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74CB0A3-73EC-4DDD-B69A-F0D462B6BD6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6" i="5"/>
  <c r="C2" i="1" l="1"/>
  <c r="D2" i="1"/>
  <c r="C118" i="4"/>
  <c r="C122" i="4"/>
  <c r="C133" i="4" s="1"/>
  <c r="C136" i="4" s="1"/>
  <c r="C122" i="3"/>
  <c r="C133" i="3" s="1"/>
  <c r="C136" i="3" s="1"/>
  <c r="R765" i="1"/>
  <c r="D136" i="5"/>
  <c r="C136" i="5"/>
  <c r="C116" i="3"/>
  <c r="C138" i="5" l="1"/>
  <c r="D136" i="4"/>
  <c r="C138" i="4" s="1"/>
  <c r="D136" i="3"/>
  <c r="C138" i="3" s="1"/>
  <c r="R764" i="1"/>
  <c r="S765" i="1"/>
  <c r="T765" i="1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R542" i="1" l="1"/>
  <c r="S543" i="1"/>
  <c r="T543" i="1" s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R503" i="1" l="1"/>
  <c r="S504" i="1"/>
  <c r="T504" i="1" s="1"/>
  <c r="S503" i="1" l="1"/>
  <c r="T503" i="1" s="1"/>
  <c r="R502" i="1"/>
  <c r="S502" i="1" l="1"/>
  <c r="T502" i="1" s="1"/>
  <c r="R501" i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S274" i="1" l="1"/>
  <c r="T274" i="1" s="1"/>
  <c r="R273" i="1"/>
  <c r="S273" i="1" l="1"/>
  <c r="T273" i="1" s="1"/>
  <c r="R272" i="1"/>
  <c r="S272" i="1" l="1"/>
  <c r="T272" i="1" s="1"/>
  <c r="R271" i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<sst xmlns="http://schemas.openxmlformats.org/spreadsheetml/2006/main" count="5898" uniqueCount="34">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</sst>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1.05</c:v>
                </c:pt>
                <c:pt idx="1">
                  <c:v>1.095</c:v>
                </c:pt>
                <c:pt idx="2">
                  <c:v>1.0820000000000001</c:v>
                </c:pt>
                <c:pt idx="3">
                  <c:v>1.0289999999999999</c:v>
                </c:pt>
                <c:pt idx="4">
                  <c:v>1.0529999999999999</c:v>
                </c:pt>
                <c:pt idx="5">
                  <c:v>1.0369999999999999</c:v>
                </c:pt>
                <c:pt idx="6">
                  <c:v>1.0660000000000001</c:v>
                </c:pt>
                <c:pt idx="7">
                  <c:v>1.214</c:v>
                </c:pt>
                <c:pt idx="8">
                  <c:v>1.264</c:v>
                </c:pt>
                <c:pt idx="9">
                  <c:v>1.2829999999999999</c:v>
                </c:pt>
                <c:pt idx="10">
                  <c:v>1.29</c:v>
                </c:pt>
                <c:pt idx="11">
                  <c:v>1.3879999999999999</c:v>
                </c:pt>
                <c:pt idx="12">
                  <c:v>1.38</c:v>
                </c:pt>
                <c:pt idx="13">
                  <c:v>1.4179999999999999</c:v>
                </c:pt>
                <c:pt idx="14">
                  <c:v>1.3480000000000001</c:v>
                </c:pt>
                <c:pt idx="15">
                  <c:v>1.3720000000000001</c:v>
                </c:pt>
                <c:pt idx="16">
                  <c:v>1.3240000000000001</c:v>
                </c:pt>
                <c:pt idx="17">
                  <c:v>1.2470000000000001</c:v>
                </c:pt>
                <c:pt idx="18">
                  <c:v>1.284</c:v>
                </c:pt>
                <c:pt idx="19">
                  <c:v>1.218</c:v>
                </c:pt>
                <c:pt idx="20">
                  <c:v>1.2749999999999999</c:v>
                </c:pt>
                <c:pt idx="21">
                  <c:v>1.365</c:v>
                </c:pt>
                <c:pt idx="22">
                  <c:v>1.385</c:v>
                </c:pt>
                <c:pt idx="23">
                  <c:v>1.486</c:v>
                </c:pt>
                <c:pt idx="24">
                  <c:v>1.5349999999999999</c:v>
                </c:pt>
                <c:pt idx="25">
                  <c:v>1.4810000000000001</c:v>
                </c:pt>
                <c:pt idx="26">
                  <c:v>1.413</c:v>
                </c:pt>
                <c:pt idx="27">
                  <c:v>1.375</c:v>
                </c:pt>
                <c:pt idx="28">
                  <c:v>1.4350000000000001</c:v>
                </c:pt>
                <c:pt idx="29">
                  <c:v>1.425</c:v>
                </c:pt>
                <c:pt idx="30">
                  <c:v>1.51</c:v>
                </c:pt>
                <c:pt idx="31">
                  <c:v>1.6240000000000001</c:v>
                </c:pt>
                <c:pt idx="32">
                  <c:v>1.6180000000000001</c:v>
                </c:pt>
                <c:pt idx="33">
                  <c:v>1.6479999999999999</c:v>
                </c:pt>
                <c:pt idx="34">
                  <c:v>1.6140000000000001</c:v>
                </c:pt>
                <c:pt idx="35">
                  <c:v>1.552</c:v>
                </c:pt>
                <c:pt idx="36">
                  <c:v>1.514</c:v>
                </c:pt>
                <c:pt idx="37">
                  <c:v>1.508</c:v>
                </c:pt>
                <c:pt idx="38">
                  <c:v>1.512</c:v>
                </c:pt>
                <c:pt idx="39">
                  <c:v>1.6020000000000001</c:v>
                </c:pt>
                <c:pt idx="40">
                  <c:v>1.415</c:v>
                </c:pt>
                <c:pt idx="41">
                  <c:v>1.3109999999999999</c:v>
                </c:pt>
                <c:pt idx="42">
                  <c:v>1.355</c:v>
                </c:pt>
                <c:pt idx="43">
                  <c:v>1.3919999999999999</c:v>
                </c:pt>
                <c:pt idx="44">
                  <c:v>1.3720000000000001</c:v>
                </c:pt>
                <c:pt idx="45">
                  <c:v>1.359</c:v>
                </c:pt>
                <c:pt idx="46">
                  <c:v>1.2010000000000001</c:v>
                </c:pt>
                <c:pt idx="47">
                  <c:v>1.1639999999999999</c:v>
                </c:pt>
                <c:pt idx="48">
                  <c:v>1.1539999999999999</c:v>
                </c:pt>
                <c:pt idx="49">
                  <c:v>1.1759999999999999</c:v>
                </c:pt>
                <c:pt idx="50">
                  <c:v>1.2769999999999999</c:v>
                </c:pt>
                <c:pt idx="51">
                  <c:v>1.246</c:v>
                </c:pt>
                <c:pt idx="52">
                  <c:v>1.252</c:v>
                </c:pt>
                <c:pt idx="53">
                  <c:v>1.27</c:v>
                </c:pt>
                <c:pt idx="54">
                  <c:v>1.278</c:v>
                </c:pt>
                <c:pt idx="55">
                  <c:v>1.5109999999999999</c:v>
                </c:pt>
                <c:pt idx="56">
                  <c:v>1.4790000000000001</c:v>
                </c:pt>
                <c:pt idx="57">
                  <c:v>1.45</c:v>
                </c:pt>
                <c:pt idx="58">
                  <c:v>1.4470000000000001</c:v>
                </c:pt>
                <c:pt idx="59">
                  <c:v>1.4650000000000001</c:v>
                </c:pt>
                <c:pt idx="60">
                  <c:v>1.476</c:v>
                </c:pt>
                <c:pt idx="61">
                  <c:v>1.5640000000000001</c:v>
                </c:pt>
                <c:pt idx="62">
                  <c:v>1.3819999999999999</c:v>
                </c:pt>
                <c:pt idx="63">
                  <c:v>1.508</c:v>
                </c:pt>
                <c:pt idx="64">
                  <c:v>1.4890000000000001</c:v>
                </c:pt>
                <c:pt idx="65">
                  <c:v>1.4750000000000001</c:v>
                </c:pt>
                <c:pt idx="66">
                  <c:v>1.4950000000000001</c:v>
                </c:pt>
                <c:pt idx="67">
                  <c:v>1.5760000000000001</c:v>
                </c:pt>
                <c:pt idx="68">
                  <c:v>1.5680000000000001</c:v>
                </c:pt>
                <c:pt idx="69">
                  <c:v>1.514</c:v>
                </c:pt>
                <c:pt idx="70">
                  <c:v>1.4079999999999999</c:v>
                </c:pt>
                <c:pt idx="71">
                  <c:v>1.5629999999999999</c:v>
                </c:pt>
                <c:pt idx="72">
                  <c:v>1.5349999999999999</c:v>
                </c:pt>
                <c:pt idx="73">
                  <c:v>1.694</c:v>
                </c:pt>
                <c:pt idx="74">
                  <c:v>1.7110000000000001</c:v>
                </c:pt>
                <c:pt idx="75">
                  <c:v>1.7470000000000001</c:v>
                </c:pt>
                <c:pt idx="76">
                  <c:v>1.6990000000000001</c:v>
                </c:pt>
                <c:pt idx="77">
                  <c:v>1.736</c:v>
                </c:pt>
                <c:pt idx="78">
                  <c:v>1.6619999999999999</c:v>
                </c:pt>
                <c:pt idx="79">
                  <c:v>1.7430000000000001</c:v>
                </c:pt>
                <c:pt idx="80">
                  <c:v>1.7390000000000001</c:v>
                </c:pt>
                <c:pt idx="81">
                  <c:v>1.728</c:v>
                </c:pt>
                <c:pt idx="82">
                  <c:v>1.7190000000000001</c:v>
                </c:pt>
                <c:pt idx="83">
                  <c:v>1.712</c:v>
                </c:pt>
                <c:pt idx="84">
                  <c:v>1.716</c:v>
                </c:pt>
                <c:pt idx="85">
                  <c:v>1.714</c:v>
                </c:pt>
                <c:pt idx="86">
                  <c:v>1.7250000000000001</c:v>
                </c:pt>
                <c:pt idx="87">
                  <c:v>1.698</c:v>
                </c:pt>
                <c:pt idx="88">
                  <c:v>1.7090000000000001</c:v>
                </c:pt>
                <c:pt idx="89">
                  <c:v>1.8089999999999999</c:v>
                </c:pt>
                <c:pt idx="90">
                  <c:v>1.667</c:v>
                </c:pt>
                <c:pt idx="91">
                  <c:v>1.61</c:v>
                </c:pt>
                <c:pt idx="92">
                  <c:v>1.5609999999999999</c:v>
                </c:pt>
                <c:pt idx="93">
                  <c:v>1.7789999999999999</c:v>
                </c:pt>
                <c:pt idx="94">
                  <c:v>1.8360000000000001</c:v>
                </c:pt>
                <c:pt idx="95">
                  <c:v>1.8080000000000001</c:v>
                </c:pt>
                <c:pt idx="96">
                  <c:v>1.849</c:v>
                </c:pt>
                <c:pt idx="97">
                  <c:v>1.8360000000000001</c:v>
                </c:pt>
                <c:pt idx="98">
                  <c:v>1.849</c:v>
                </c:pt>
                <c:pt idx="99">
                  <c:v>1.903</c:v>
                </c:pt>
                <c:pt idx="100">
                  <c:v>1.87</c:v>
                </c:pt>
                <c:pt idx="101">
                  <c:v>1.9379999999999999</c:v>
                </c:pt>
                <c:pt idx="102">
                  <c:v>1.9730000000000001</c:v>
                </c:pt>
                <c:pt idx="103">
                  <c:v>1.94</c:v>
                </c:pt>
                <c:pt idx="104">
                  <c:v>1.956</c:v>
                </c:pt>
                <c:pt idx="105">
                  <c:v>2.044</c:v>
                </c:pt>
                <c:pt idx="106">
                  <c:v>2.0019999999999998</c:v>
                </c:pt>
                <c:pt idx="107">
                  <c:v>1.97</c:v>
                </c:pt>
                <c:pt idx="108">
                  <c:v>2.11</c:v>
                </c:pt>
                <c:pt idx="109">
                  <c:v>2.4990000000000001</c:v>
                </c:pt>
                <c:pt idx="110">
                  <c:v>2.117</c:v>
                </c:pt>
                <c:pt idx="111">
                  <c:v>2.145</c:v>
                </c:pt>
                <c:pt idx="112">
                  <c:v>2.1930000000000001</c:v>
                </c:pt>
                <c:pt idx="113">
                  <c:v>2.2850000000000001</c:v>
                </c:pt>
                <c:pt idx="114">
                  <c:v>2.37</c:v>
                </c:pt>
                <c:pt idx="115">
                  <c:v>2.4500000000000002</c:v>
                </c:pt>
                <c:pt idx="116">
                  <c:v>2.157</c:v>
                </c:pt>
                <c:pt idx="117">
                  <c:v>2.2549999999999999</c:v>
                </c:pt>
                <c:pt idx="118">
                  <c:v>2.2669999999999999</c:v>
                </c:pt>
                <c:pt idx="119">
                  <c:v>2.044</c:v>
                </c:pt>
                <c:pt idx="120">
                  <c:v>2.1219999999999999</c:v>
                </c:pt>
                <c:pt idx="121">
                  <c:v>2.33</c:v>
                </c:pt>
                <c:pt idx="122">
                  <c:v>2.62</c:v>
                </c:pt>
                <c:pt idx="123">
                  <c:v>3.1589999999999998</c:v>
                </c:pt>
                <c:pt idx="124">
                  <c:v>1.508</c:v>
                </c:pt>
                <c:pt idx="125">
                  <c:v>1.603</c:v>
                </c:pt>
                <c:pt idx="126">
                  <c:v>1.5</c:v>
                </c:pt>
                <c:pt idx="127">
                  <c:v>1.2989999999999999</c:v>
                </c:pt>
                <c:pt idx="128">
                  <c:v>1.127</c:v>
                </c:pt>
                <c:pt idx="129">
                  <c:v>1.304</c:v>
                </c:pt>
                <c:pt idx="130">
                  <c:v>1.409</c:v>
                </c:pt>
                <c:pt idx="131">
                  <c:v>1.468</c:v>
                </c:pt>
                <c:pt idx="132">
                  <c:v>1.4350000000000001</c:v>
                </c:pt>
                <c:pt idx="133">
                  <c:v>1.4710000000000001</c:v>
                </c:pt>
                <c:pt idx="134">
                  <c:v>1.492</c:v>
                </c:pt>
                <c:pt idx="135">
                  <c:v>1.5069999999999999</c:v>
                </c:pt>
                <c:pt idx="136">
                  <c:v>1.381</c:v>
                </c:pt>
                <c:pt idx="137">
                  <c:v>1.5329999999999999</c:v>
                </c:pt>
                <c:pt idx="138">
                  <c:v>1.5249999999999999</c:v>
                </c:pt>
                <c:pt idx="139">
                  <c:v>1.4650000000000001</c:v>
                </c:pt>
                <c:pt idx="140">
                  <c:v>1.663</c:v>
                </c:pt>
                <c:pt idx="141">
                  <c:v>1.8440000000000001</c:v>
                </c:pt>
                <c:pt idx="142">
                  <c:v>1.4</c:v>
                </c:pt>
                <c:pt idx="143">
                  <c:v>1.7470000000000001</c:v>
                </c:pt>
                <c:pt idx="144">
                  <c:v>1.7170000000000001</c:v>
                </c:pt>
                <c:pt idx="145">
                  <c:v>1.62</c:v>
                </c:pt>
                <c:pt idx="146">
                  <c:v>1.639</c:v>
                </c:pt>
                <c:pt idx="147">
                  <c:v>1.6839999999999999</c:v>
                </c:pt>
                <c:pt idx="148">
                  <c:v>1.8009999999999999</c:v>
                </c:pt>
                <c:pt idx="149">
                  <c:v>1.752</c:v>
                </c:pt>
                <c:pt idx="150">
                  <c:v>1.6080000000000001</c:v>
                </c:pt>
                <c:pt idx="151">
                  <c:v>1.66</c:v>
                </c:pt>
                <c:pt idx="152">
                  <c:v>1.6719999999999999</c:v>
                </c:pt>
                <c:pt idx="153">
                  <c:v>1.875</c:v>
                </c:pt>
                <c:pt idx="154">
                  <c:v>1.581</c:v>
                </c:pt>
                <c:pt idx="155">
                  <c:v>1.4993000000000001</c:v>
                </c:pt>
                <c:pt idx="156">
                  <c:v>1.4416</c:v>
                </c:pt>
                <c:pt idx="157">
                  <c:v>1.5548</c:v>
                </c:pt>
                <c:pt idx="158">
                  <c:v>1.4596</c:v>
                </c:pt>
                <c:pt idx="159">
                  <c:v>1.4795</c:v>
                </c:pt>
                <c:pt idx="160">
                  <c:v>1.4923999999999999</c:v>
                </c:pt>
                <c:pt idx="161">
                  <c:v>1.5266999999999999</c:v>
                </c:pt>
                <c:pt idx="162">
                  <c:v>1.4</c:v>
                </c:pt>
                <c:pt idx="163">
                  <c:v>1.379</c:v>
                </c:pt>
                <c:pt idx="164">
                  <c:v>1.4614</c:v>
                </c:pt>
                <c:pt idx="165">
                  <c:v>1.5450999999999999</c:v>
                </c:pt>
                <c:pt idx="166">
                  <c:v>1.6211</c:v>
                </c:pt>
                <c:pt idx="167">
                  <c:v>1.5611999999999999</c:v>
                </c:pt>
                <c:pt idx="168">
                  <c:v>1.4713000000000001</c:v>
                </c:pt>
                <c:pt idx="169">
                  <c:v>1.2931999999999999</c:v>
                </c:pt>
                <c:pt idx="170">
                  <c:v>1.2877000000000001</c:v>
                </c:pt>
                <c:pt idx="171">
                  <c:v>1.2988999999999999</c:v>
                </c:pt>
                <c:pt idx="172">
                  <c:v>1.2916000000000001</c:v>
                </c:pt>
                <c:pt idx="173">
                  <c:v>1.3656999999999999</c:v>
                </c:pt>
                <c:pt idx="174">
                  <c:v>1.4196</c:v>
                </c:pt>
                <c:pt idx="175">
                  <c:v>1.4197</c:v>
                </c:pt>
                <c:pt idx="176">
                  <c:v>1.1254999999999999</c:v>
                </c:pt>
                <c:pt idx="177">
                  <c:v>1.0666</c:v>
                </c:pt>
                <c:pt idx="178">
                  <c:v>1.1022000000000001</c:v>
                </c:pt>
                <c:pt idx="179">
                  <c:v>1.1000000000000001</c:v>
                </c:pt>
                <c:pt idx="180">
                  <c:v>1.0746</c:v>
                </c:pt>
                <c:pt idx="181">
                  <c:v>1.0854999999999999</c:v>
                </c:pt>
                <c:pt idx="182">
                  <c:v>1.0311999999999999</c:v>
                </c:pt>
                <c:pt idx="183">
                  <c:v>0.95069999999999999</c:v>
                </c:pt>
                <c:pt idx="184">
                  <c:v>0.96350000000000002</c:v>
                </c:pt>
                <c:pt idx="185">
                  <c:v>0.96409999999999996</c:v>
                </c:pt>
                <c:pt idx="186">
                  <c:v>0.92869999999999997</c:v>
                </c:pt>
                <c:pt idx="187">
                  <c:v>0.93740000000000001</c:v>
                </c:pt>
                <c:pt idx="188">
                  <c:v>0.97699999999999998</c:v>
                </c:pt>
                <c:pt idx="189">
                  <c:v>0.88329999999999997</c:v>
                </c:pt>
                <c:pt idx="190">
                  <c:v>0.89739999999999998</c:v>
                </c:pt>
                <c:pt idx="191">
                  <c:v>0.80220000000000002</c:v>
                </c:pt>
                <c:pt idx="192">
                  <c:v>0.83030000000000004</c:v>
                </c:pt>
                <c:pt idx="193">
                  <c:v>0.92059999999999997</c:v>
                </c:pt>
                <c:pt idx="194">
                  <c:v>0.83679999999999999</c:v>
                </c:pt>
                <c:pt idx="195">
                  <c:v>0.85570000000000002</c:v>
                </c:pt>
                <c:pt idx="196">
                  <c:v>0.92810000000000004</c:v>
                </c:pt>
                <c:pt idx="197">
                  <c:v>1.0024</c:v>
                </c:pt>
                <c:pt idx="198">
                  <c:v>0.98119999999999996</c:v>
                </c:pt>
                <c:pt idx="199">
                  <c:v>1.0149999999999999</c:v>
                </c:pt>
                <c:pt idx="200">
                  <c:v>1.0701000000000001</c:v>
                </c:pt>
                <c:pt idx="201">
                  <c:v>1.2163999999999999</c:v>
                </c:pt>
                <c:pt idx="202">
                  <c:v>0.89780000000000004</c:v>
                </c:pt>
                <c:pt idx="203">
                  <c:v>0.84499999999999997</c:v>
                </c:pt>
                <c:pt idx="204">
                  <c:v>0.91839999999999999</c:v>
                </c:pt>
                <c:pt idx="205">
                  <c:v>0.96560000000000001</c:v>
                </c:pt>
                <c:pt idx="206">
                  <c:v>1.0886</c:v>
                </c:pt>
                <c:pt idx="207">
                  <c:v>0.85540000000000005</c:v>
                </c:pt>
                <c:pt idx="208">
                  <c:v>0.84540000000000004</c:v>
                </c:pt>
                <c:pt idx="209">
                  <c:v>0.82599999999999996</c:v>
                </c:pt>
                <c:pt idx="210">
                  <c:v>0.80630000000000002</c:v>
                </c:pt>
                <c:pt idx="211">
                  <c:v>0.86350000000000005</c:v>
                </c:pt>
                <c:pt idx="212">
                  <c:v>0.83330000000000004</c:v>
                </c:pt>
                <c:pt idx="213">
                  <c:v>0.83809999999999996</c:v>
                </c:pt>
                <c:pt idx="214">
                  <c:v>0.79479999999999995</c:v>
                </c:pt>
                <c:pt idx="215">
                  <c:v>0.71889999999999998</c:v>
                </c:pt>
                <c:pt idx="216">
                  <c:v>0.75800000000000001</c:v>
                </c:pt>
                <c:pt idx="217">
                  <c:v>0.84840000000000004</c:v>
                </c:pt>
                <c:pt idx="218">
                  <c:v>0.88149999999999995</c:v>
                </c:pt>
                <c:pt idx="219">
                  <c:v>0.86209999999999998</c:v>
                </c:pt>
                <c:pt idx="220">
                  <c:v>0.90639999999999998</c:v>
                </c:pt>
                <c:pt idx="221">
                  <c:v>1.3399000000000001</c:v>
                </c:pt>
                <c:pt idx="222">
                  <c:v>1.0626</c:v>
                </c:pt>
                <c:pt idx="223">
                  <c:v>1.1312</c:v>
                </c:pt>
                <c:pt idx="224">
                  <c:v>1.0457000000000001</c:v>
                </c:pt>
                <c:pt idx="225">
                  <c:v>1.0195000000000001</c:v>
                </c:pt>
                <c:pt idx="226">
                  <c:v>1.1060000000000001</c:v>
                </c:pt>
                <c:pt idx="227">
                  <c:v>1.1238999999999999</c:v>
                </c:pt>
                <c:pt idx="228">
                  <c:v>1.0983000000000001</c:v>
                </c:pt>
                <c:pt idx="229">
                  <c:v>1.0464</c:v>
                </c:pt>
                <c:pt idx="230">
                  <c:v>1.0472999999999999</c:v>
                </c:pt>
                <c:pt idx="231">
                  <c:v>1.1322000000000001</c:v>
                </c:pt>
                <c:pt idx="232">
                  <c:v>1.2293000000000001</c:v>
                </c:pt>
                <c:pt idx="233">
                  <c:v>1.1936</c:v>
                </c:pt>
                <c:pt idx="234">
                  <c:v>1.2531000000000001</c:v>
                </c:pt>
                <c:pt idx="235">
                  <c:v>1.3420000000000001</c:v>
                </c:pt>
                <c:pt idx="236">
                  <c:v>1.3677999999999999</c:v>
                </c:pt>
                <c:pt idx="237">
                  <c:v>1.3956999999999999</c:v>
                </c:pt>
                <c:pt idx="238">
                  <c:v>1.4355</c:v>
                </c:pt>
                <c:pt idx="239">
                  <c:v>1.3633999999999999</c:v>
                </c:pt>
                <c:pt idx="240">
                  <c:v>1.3353999999999999</c:v>
                </c:pt>
                <c:pt idx="241">
                  <c:v>1.3099000000000001</c:v>
                </c:pt>
                <c:pt idx="242">
                  <c:v>1.1632</c:v>
                </c:pt>
                <c:pt idx="243">
                  <c:v>1.1211</c:v>
                </c:pt>
                <c:pt idx="244">
                  <c:v>1.22</c:v>
                </c:pt>
                <c:pt idx="245">
                  <c:v>1.4540999999999999</c:v>
                </c:pt>
                <c:pt idx="246">
                  <c:v>1.5596000000000001</c:v>
                </c:pt>
                <c:pt idx="247">
                  <c:v>1.4298</c:v>
                </c:pt>
                <c:pt idx="248">
                  <c:v>1.2037</c:v>
                </c:pt>
                <c:pt idx="249">
                  <c:v>0.92190000000000005</c:v>
                </c:pt>
                <c:pt idx="250">
                  <c:v>1.1022000000000001</c:v>
                </c:pt>
                <c:pt idx="251">
                  <c:v>1.1930000000000001</c:v>
                </c:pt>
                <c:pt idx="252">
                  <c:v>1.427</c:v>
                </c:pt>
                <c:pt idx="253">
                  <c:v>1.3749</c:v>
                </c:pt>
                <c:pt idx="254">
                  <c:v>2.0569999999999999</c:v>
                </c:pt>
                <c:pt idx="255">
                  <c:v>2.0299999999999998</c:v>
                </c:pt>
                <c:pt idx="256">
                  <c:v>2.2101000000000002</c:v>
                </c:pt>
                <c:pt idx="257">
                  <c:v>2.1981000000000002</c:v>
                </c:pt>
                <c:pt idx="258">
                  <c:v>2.4449999999999998</c:v>
                </c:pt>
                <c:pt idx="259">
                  <c:v>2.2993999999999999</c:v>
                </c:pt>
                <c:pt idx="260">
                  <c:v>2.5101</c:v>
                </c:pt>
                <c:pt idx="261">
                  <c:v>2.8555000000000001</c:v>
                </c:pt>
                <c:pt idx="262">
                  <c:v>2.6775000000000002</c:v>
                </c:pt>
                <c:pt idx="263">
                  <c:v>2.8801999999999999</c:v>
                </c:pt>
                <c:pt idx="264">
                  <c:v>2.8626</c:v>
                </c:pt>
                <c:pt idx="265">
                  <c:v>2.6547000000000001</c:v>
                </c:pt>
                <c:pt idx="266">
                  <c:v>2.8500999999999999</c:v>
                </c:pt>
                <c:pt idx="267">
                  <c:v>2.8258999999999999</c:v>
                </c:pt>
                <c:pt idx="268">
                  <c:v>2.6505999999999998</c:v>
                </c:pt>
                <c:pt idx="269">
                  <c:v>3.0411999999999999</c:v>
                </c:pt>
                <c:pt idx="270">
                  <c:v>2.9350999999999998</c:v>
                </c:pt>
                <c:pt idx="271">
                  <c:v>2.9468000000000001</c:v>
                </c:pt>
                <c:pt idx="272">
                  <c:v>3.0106999999999999</c:v>
                </c:pt>
                <c:pt idx="273">
                  <c:v>2.6656</c:v>
                </c:pt>
                <c:pt idx="274">
                  <c:v>2.6739999999999999</c:v>
                </c:pt>
                <c:pt idx="275">
                  <c:v>2.6903000000000001</c:v>
                </c:pt>
                <c:pt idx="276">
                  <c:v>2.6395</c:v>
                </c:pt>
                <c:pt idx="277">
                  <c:v>2.3774000000000002</c:v>
                </c:pt>
                <c:pt idx="278">
                  <c:v>2.2644000000000002</c:v>
                </c:pt>
                <c:pt idx="279">
                  <c:v>2.4620000000000002</c:v>
                </c:pt>
                <c:pt idx="280">
                  <c:v>2.6779999999999999</c:v>
                </c:pt>
                <c:pt idx="281">
                  <c:v>2.9792999999999998</c:v>
                </c:pt>
                <c:pt idx="282">
                  <c:v>3.1414</c:v>
                </c:pt>
                <c:pt idx="283">
                  <c:v>2.9933000000000001</c:v>
                </c:pt>
                <c:pt idx="284">
                  <c:v>3.3058000000000001</c:v>
                </c:pt>
                <c:pt idx="285">
                  <c:v>3.7382</c:v>
                </c:pt>
                <c:pt idx="286">
                  <c:v>3.7018</c:v>
                </c:pt>
                <c:pt idx="287">
                  <c:v>3.7814000000000001</c:v>
                </c:pt>
                <c:pt idx="288">
                  <c:v>3.4451000000000001</c:v>
                </c:pt>
                <c:pt idx="289">
                  <c:v>3.6133000000000002</c:v>
                </c:pt>
                <c:pt idx="290">
                  <c:v>3.5531000000000001</c:v>
                </c:pt>
                <c:pt idx="291">
                  <c:v>3.8220999999999998</c:v>
                </c:pt>
                <c:pt idx="292">
                  <c:v>3.4277000000000002</c:v>
                </c:pt>
                <c:pt idx="293">
                  <c:v>3.5026000000000002</c:v>
                </c:pt>
                <c:pt idx="294">
                  <c:v>3.2239</c:v>
                </c:pt>
                <c:pt idx="295">
                  <c:v>2.8028</c:v>
                </c:pt>
                <c:pt idx="296">
                  <c:v>3.0933000000000002</c:v>
                </c:pt>
                <c:pt idx="297">
                  <c:v>2.9761000000000002</c:v>
                </c:pt>
                <c:pt idx="298">
                  <c:v>2.8159999999999998</c:v>
                </c:pt>
                <c:pt idx="299">
                  <c:v>2.5733000000000001</c:v>
                </c:pt>
                <c:pt idx="300">
                  <c:v>2.8014999999999999</c:v>
                </c:pt>
                <c:pt idx="301">
                  <c:v>2.7829999999999999</c:v>
                </c:pt>
                <c:pt idx="302">
                  <c:v>2.6955</c:v>
                </c:pt>
                <c:pt idx="303">
                  <c:v>2.8595999999999999</c:v>
                </c:pt>
                <c:pt idx="304">
                  <c:v>2.9489000000000001</c:v>
                </c:pt>
                <c:pt idx="305">
                  <c:v>2.5908000000000002</c:v>
                </c:pt>
                <c:pt idx="306">
                  <c:v>2.4569999999999999</c:v>
                </c:pt>
                <c:pt idx="307">
                  <c:v>2.4178000000000002</c:v>
                </c:pt>
                <c:pt idx="308">
                  <c:v>2.2429000000000001</c:v>
                </c:pt>
                <c:pt idx="309">
                  <c:v>2.3119999999999998</c:v>
                </c:pt>
                <c:pt idx="310">
                  <c:v>2.5779000000000001</c:v>
                </c:pt>
                <c:pt idx="311">
                  <c:v>2.5901999999999998</c:v>
                </c:pt>
                <c:pt idx="312">
                  <c:v>2.9434999999999998</c:v>
                </c:pt>
                <c:pt idx="313">
                  <c:v>3.0583</c:v>
                </c:pt>
                <c:pt idx="314">
                  <c:v>3.1747000000000001</c:v>
                </c:pt>
                <c:pt idx="315">
                  <c:v>2.8365</c:v>
                </c:pt>
                <c:pt idx="316">
                  <c:v>2.8641000000000001</c:v>
                </c:pt>
                <c:pt idx="317">
                  <c:v>2.7711999999999999</c:v>
                </c:pt>
                <c:pt idx="318">
                  <c:v>2.5594000000000001</c:v>
                </c:pt>
                <c:pt idx="319">
                  <c:v>2.5834000000000001</c:v>
                </c:pt>
                <c:pt idx="320">
                  <c:v>2.5598999999999998</c:v>
                </c:pt>
                <c:pt idx="321">
                  <c:v>2.2919999999999998</c:v>
                </c:pt>
                <c:pt idx="322">
                  <c:v>2.2679999999999998</c:v>
                </c:pt>
                <c:pt idx="323">
                  <c:v>2.2166000000000001</c:v>
                </c:pt>
                <c:pt idx="324">
                  <c:v>2.5190999999999999</c:v>
                </c:pt>
                <c:pt idx="325">
                  <c:v>2.2749999999999999</c:v>
                </c:pt>
                <c:pt idx="326">
                  <c:v>2.3115999999999999</c:v>
                </c:pt>
                <c:pt idx="327">
                  <c:v>2.1749000000000001</c:v>
                </c:pt>
                <c:pt idx="328">
                  <c:v>2.1492</c:v>
                </c:pt>
                <c:pt idx="329">
                  <c:v>2.1827000000000001</c:v>
                </c:pt>
                <c:pt idx="330">
                  <c:v>2.3698999999999999</c:v>
                </c:pt>
                <c:pt idx="331">
                  <c:v>2.1499000000000001</c:v>
                </c:pt>
                <c:pt idx="332">
                  <c:v>2.2595000000000001</c:v>
                </c:pt>
                <c:pt idx="333">
                  <c:v>2.1089000000000002</c:v>
                </c:pt>
                <c:pt idx="334">
                  <c:v>2.3121999999999998</c:v>
                </c:pt>
                <c:pt idx="335">
                  <c:v>2.3321000000000001</c:v>
                </c:pt>
                <c:pt idx="336">
                  <c:v>2.4001999999999999</c:v>
                </c:pt>
                <c:pt idx="337">
                  <c:v>2.6246999999999998</c:v>
                </c:pt>
                <c:pt idx="338">
                  <c:v>2.5308000000000002</c:v>
                </c:pt>
                <c:pt idx="339">
                  <c:v>3.2385000000000002</c:v>
                </c:pt>
                <c:pt idx="340">
                  <c:v>3.6116999999999999</c:v>
                </c:pt>
                <c:pt idx="341">
                  <c:v>3.7452999999999999</c:v>
                </c:pt>
                <c:pt idx="342">
                  <c:v>3.9</c:v>
                </c:pt>
                <c:pt idx="343">
                  <c:v>4.2832999999999997</c:v>
                </c:pt>
                <c:pt idx="344">
                  <c:v>4.2598000000000003</c:v>
                </c:pt>
                <c:pt idx="345">
                  <c:v>3.4582000000000002</c:v>
                </c:pt>
                <c:pt idx="346">
                  <c:v>3.5082</c:v>
                </c:pt>
                <c:pt idx="347">
                  <c:v>3.8555000000000001</c:v>
                </c:pt>
                <c:pt idx="348">
                  <c:v>3.8973</c:v>
                </c:pt>
                <c:pt idx="349">
                  <c:v>4.2548000000000004</c:v>
                </c:pt>
                <c:pt idx="350">
                  <c:v>3.7765</c:v>
                </c:pt>
                <c:pt idx="351">
                  <c:v>3.1453000000000002</c:v>
                </c:pt>
                <c:pt idx="352">
                  <c:v>3.262</c:v>
                </c:pt>
                <c:pt idx="353">
                  <c:v>3.0405000000000002</c:v>
                </c:pt>
                <c:pt idx="354">
                  <c:v>2.7086000000000001</c:v>
                </c:pt>
                <c:pt idx="355">
                  <c:v>2.9653</c:v>
                </c:pt>
                <c:pt idx="356">
                  <c:v>3.3936000000000002</c:v>
                </c:pt>
                <c:pt idx="357">
                  <c:v>2.9765000000000001</c:v>
                </c:pt>
                <c:pt idx="358">
                  <c:v>2.5573999999999999</c:v>
                </c:pt>
                <c:pt idx="359">
                  <c:v>2.5371000000000001</c:v>
                </c:pt>
                <c:pt idx="360">
                  <c:v>2.2481</c:v>
                </c:pt>
                <c:pt idx="361">
                  <c:v>2.3024</c:v>
                </c:pt>
                <c:pt idx="362">
                  <c:v>2.38</c:v>
                </c:pt>
                <c:pt idx="363">
                  <c:v>2.5038999999999998</c:v>
                </c:pt>
                <c:pt idx="364">
                  <c:v>2.8</c:v>
                </c:pt>
                <c:pt idx="365">
                  <c:v>2.7128000000000001</c:v>
                </c:pt>
                <c:pt idx="366">
                  <c:v>2.8828999999999998</c:v>
                </c:pt>
                <c:pt idx="367">
                  <c:v>2.5903</c:v>
                </c:pt>
                <c:pt idx="368">
                  <c:v>2.9499</c:v>
                </c:pt>
                <c:pt idx="369">
                  <c:v>2.5377000000000001</c:v>
                </c:pt>
                <c:pt idx="370">
                  <c:v>2.2370000000000001</c:v>
                </c:pt>
                <c:pt idx="371">
                  <c:v>1.9837</c:v>
                </c:pt>
                <c:pt idx="372">
                  <c:v>2.3006000000000002</c:v>
                </c:pt>
                <c:pt idx="373">
                  <c:v>2.4100999999999999</c:v>
                </c:pt>
                <c:pt idx="374">
                  <c:v>2.4</c:v>
                </c:pt>
                <c:pt idx="375">
                  <c:v>2.1404000000000001</c:v>
                </c:pt>
                <c:pt idx="376">
                  <c:v>2.1131000000000002</c:v>
                </c:pt>
                <c:pt idx="377">
                  <c:v>2.0152000000000001</c:v>
                </c:pt>
                <c:pt idx="378">
                  <c:v>2.1631999999999998</c:v>
                </c:pt>
                <c:pt idx="379">
                  <c:v>2.0169999999999999</c:v>
                </c:pt>
                <c:pt idx="380">
                  <c:v>1.94</c:v>
                </c:pt>
                <c:pt idx="381">
                  <c:v>2.0306000000000002</c:v>
                </c:pt>
                <c:pt idx="382">
                  <c:v>2.3866999999999998</c:v>
                </c:pt>
                <c:pt idx="383">
                  <c:v>2.6271</c:v>
                </c:pt>
                <c:pt idx="384">
                  <c:v>2.5384000000000002</c:v>
                </c:pt>
                <c:pt idx="385">
                  <c:v>2.5186000000000002</c:v>
                </c:pt>
                <c:pt idx="386">
                  <c:v>2.4094000000000002</c:v>
                </c:pt>
                <c:pt idx="387">
                  <c:v>2.1863000000000001</c:v>
                </c:pt>
                <c:pt idx="388">
                  <c:v>2.121</c:v>
                </c:pt>
                <c:pt idx="389">
                  <c:v>2.0501</c:v>
                </c:pt>
                <c:pt idx="390">
                  <c:v>1.869</c:v>
                </c:pt>
                <c:pt idx="391">
                  <c:v>1.7902</c:v>
                </c:pt>
                <c:pt idx="392">
                  <c:v>1.8740000000000001</c:v>
                </c:pt>
                <c:pt idx="393">
                  <c:v>1.8664000000000001</c:v>
                </c:pt>
                <c:pt idx="394">
                  <c:v>1.8398000000000001</c:v>
                </c:pt>
                <c:pt idx="395">
                  <c:v>1.9236</c:v>
                </c:pt>
                <c:pt idx="396">
                  <c:v>2.1280000000000001</c:v>
                </c:pt>
                <c:pt idx="397">
                  <c:v>2.1</c:v>
                </c:pt>
                <c:pt idx="398">
                  <c:v>2.1905999999999999</c:v>
                </c:pt>
                <c:pt idx="399">
                  <c:v>2.2136999999999998</c:v>
                </c:pt>
                <c:pt idx="400">
                  <c:v>2.1219999999999999</c:v>
                </c:pt>
                <c:pt idx="401">
                  <c:v>2.585</c:v>
                </c:pt>
                <c:pt idx="402">
                  <c:v>2.4428000000000001</c:v>
                </c:pt>
                <c:pt idx="403">
                  <c:v>2.67</c:v>
                </c:pt>
                <c:pt idx="404">
                  <c:v>3.0470000000000002</c:v>
                </c:pt>
                <c:pt idx="405">
                  <c:v>3.0539999999999998</c:v>
                </c:pt>
                <c:pt idx="406">
                  <c:v>3.0909</c:v>
                </c:pt>
                <c:pt idx="407">
                  <c:v>3.1459999999999999</c:v>
                </c:pt>
                <c:pt idx="408">
                  <c:v>3.3</c:v>
                </c:pt>
                <c:pt idx="409">
                  <c:v>3.4942000000000002</c:v>
                </c:pt>
                <c:pt idx="410">
                  <c:v>3.6</c:v>
                </c:pt>
                <c:pt idx="411">
                  <c:v>3.41</c:v>
                </c:pt>
                <c:pt idx="412">
                  <c:v>3.3751000000000002</c:v>
                </c:pt>
                <c:pt idx="413">
                  <c:v>3.89</c:v>
                </c:pt>
                <c:pt idx="414">
                  <c:v>3.54</c:v>
                </c:pt>
                <c:pt idx="415">
                  <c:v>3.1764999999999999</c:v>
                </c:pt>
                <c:pt idx="416">
                  <c:v>3.65</c:v>
                </c:pt>
                <c:pt idx="417">
                  <c:v>3.7185999999999999</c:v>
                </c:pt>
                <c:pt idx="418">
                  <c:v>3.0181</c:v>
                </c:pt>
                <c:pt idx="419">
                  <c:v>2.86</c:v>
                </c:pt>
                <c:pt idx="420">
                  <c:v>3.4323999999999999</c:v>
                </c:pt>
                <c:pt idx="421">
                  <c:v>3.4277000000000002</c:v>
                </c:pt>
                <c:pt idx="422">
                  <c:v>2.82</c:v>
                </c:pt>
                <c:pt idx="423">
                  <c:v>3.2785000000000002</c:v>
                </c:pt>
                <c:pt idx="424">
                  <c:v>3.0023</c:v>
                </c:pt>
                <c:pt idx="425">
                  <c:v>2.7793000000000001</c:v>
                </c:pt>
                <c:pt idx="426">
                  <c:v>2.6873999999999998</c:v>
                </c:pt>
                <c:pt idx="427">
                  <c:v>2.6606999999999998</c:v>
                </c:pt>
                <c:pt idx="428">
                  <c:v>2.3481000000000001</c:v>
                </c:pt>
                <c:pt idx="429">
                  <c:v>2.5142000000000002</c:v>
                </c:pt>
                <c:pt idx="430">
                  <c:v>2.5013000000000001</c:v>
                </c:pt>
                <c:pt idx="431">
                  <c:v>2.7143000000000002</c:v>
                </c:pt>
                <c:pt idx="432">
                  <c:v>2.2473000000000001</c:v>
                </c:pt>
                <c:pt idx="433">
                  <c:v>2.0988000000000002</c:v>
                </c:pt>
                <c:pt idx="434">
                  <c:v>1.9499</c:v>
                </c:pt>
                <c:pt idx="435">
                  <c:v>2.1</c:v>
                </c:pt>
                <c:pt idx="436">
                  <c:v>1.8557999999999999</c:v>
                </c:pt>
                <c:pt idx="437">
                  <c:v>2.2200000000000002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8-4508-9618-8F21B6FB7B1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-2.4920313510158363</c:v>
                </c:pt>
                <c:pt idx="1">
                  <c:v>-2.4912964539199458</c:v>
                </c:pt>
                <c:pt idx="2">
                  <c:v>-2.4910016039787695</c:v>
                </c:pt>
                <c:pt idx="3">
                  <c:v>-2.4929450555081809</c:v>
                </c:pt>
                <c:pt idx="4">
                  <c:v>-2.4974802829835907</c:v>
                </c:pt>
                <c:pt idx="5">
                  <c:v>-2.4895371276366518</c:v>
                </c:pt>
                <c:pt idx="6">
                  <c:v>-2.4833030975668846</c:v>
                </c:pt>
                <c:pt idx="7">
                  <c:v>-2.4752215518525986</c:v>
                </c:pt>
                <c:pt idx="8">
                  <c:v>-2.4618182165014537</c:v>
                </c:pt>
                <c:pt idx="9">
                  <c:v>-2.4612133272514538</c:v>
                </c:pt>
                <c:pt idx="10">
                  <c:v>-2.4590755068339782</c:v>
                </c:pt>
                <c:pt idx="11">
                  <c:v>-2.4535386880104482</c:v>
                </c:pt>
                <c:pt idx="12">
                  <c:v>-2.4548391546771149</c:v>
                </c:pt>
                <c:pt idx="13">
                  <c:v>-2.4510629738329595</c:v>
                </c:pt>
                <c:pt idx="14">
                  <c:v>-2.4435669229912924</c:v>
                </c:pt>
                <c:pt idx="15">
                  <c:v>-2.4428735135573301</c:v>
                </c:pt>
                <c:pt idx="16">
                  <c:v>-2.4433027525798026</c:v>
                </c:pt>
                <c:pt idx="17">
                  <c:v>-2.4453534339512308</c:v>
                </c:pt>
                <c:pt idx="18">
                  <c:v>-2.4421529109918403</c:v>
                </c:pt>
                <c:pt idx="19">
                  <c:v>-2.4441307191885611</c:v>
                </c:pt>
                <c:pt idx="20">
                  <c:v>-2.4418389405174201</c:v>
                </c:pt>
                <c:pt idx="21">
                  <c:v>-2.4387355549113598</c:v>
                </c:pt>
                <c:pt idx="22">
                  <c:v>-2.4382161991694242</c:v>
                </c:pt>
                <c:pt idx="23">
                  <c:v>-2.4346998376042071</c:v>
                </c:pt>
                <c:pt idx="24">
                  <c:v>-2.430397938695116</c:v>
                </c:pt>
                <c:pt idx="25">
                  <c:v>-2.4200537006577716</c:v>
                </c:pt>
                <c:pt idx="26">
                  <c:v>-2.4253998344019578</c:v>
                </c:pt>
                <c:pt idx="27">
                  <c:v>-2.4279426428019577</c:v>
                </c:pt>
                <c:pt idx="28">
                  <c:v>-2.4239540479301627</c:v>
                </c:pt>
                <c:pt idx="29">
                  <c:v>-2.4233197254020729</c:v>
                </c:pt>
                <c:pt idx="30">
                  <c:v>-2.4189067788492782</c:v>
                </c:pt>
                <c:pt idx="31">
                  <c:v>-2.4124758152951378</c:v>
                </c:pt>
                <c:pt idx="32">
                  <c:v>-2.4094437740259069</c:v>
                </c:pt>
                <c:pt idx="33">
                  <c:v>-2.4090605818971942</c:v>
                </c:pt>
                <c:pt idx="34">
                  <c:v>-2.4026795695956067</c:v>
                </c:pt>
                <c:pt idx="35">
                  <c:v>-2.4006741979032991</c:v>
                </c:pt>
                <c:pt idx="36">
                  <c:v>-2.4003700094804805</c:v>
                </c:pt>
                <c:pt idx="37">
                  <c:v>-2.4006429182853579</c:v>
                </c:pt>
                <c:pt idx="38">
                  <c:v>-2.395172182685358</c:v>
                </c:pt>
                <c:pt idx="39">
                  <c:v>-2.3717359455844407</c:v>
                </c:pt>
                <c:pt idx="40">
                  <c:v>-2.2991923526238773</c:v>
                </c:pt>
                <c:pt idx="41">
                  <c:v>-2.289645791673601</c:v>
                </c:pt>
                <c:pt idx="42">
                  <c:v>-2.278910782348448</c:v>
                </c:pt>
                <c:pt idx="43">
                  <c:v>-2.2693494775706697</c:v>
                </c:pt>
                <c:pt idx="44">
                  <c:v>-2.2582281899011045</c:v>
                </c:pt>
                <c:pt idx="45">
                  <c:v>-1.9584266578218281</c:v>
                </c:pt>
                <c:pt idx="46">
                  <c:v>-1.9751510827669607</c:v>
                </c:pt>
                <c:pt idx="47">
                  <c:v>-1.9727375411880137</c:v>
                </c:pt>
                <c:pt idx="48">
                  <c:v>-1.9738853088195927</c:v>
                </c:pt>
                <c:pt idx="49">
                  <c:v>-1.9642469910104323</c:v>
                </c:pt>
                <c:pt idx="50">
                  <c:v>-1.9571009068799976</c:v>
                </c:pt>
                <c:pt idx="51">
                  <c:v>-1.9517945001163612</c:v>
                </c:pt>
                <c:pt idx="52">
                  <c:v>-1.9354559197109555</c:v>
                </c:pt>
                <c:pt idx="53">
                  <c:v>-1.9346769415972116</c:v>
                </c:pt>
                <c:pt idx="54">
                  <c:v>-1.9208047196911344</c:v>
                </c:pt>
                <c:pt idx="55">
                  <c:v>-1.9202225897686538</c:v>
                </c:pt>
                <c:pt idx="56">
                  <c:v>-1.9070055587436539</c:v>
                </c:pt>
                <c:pt idx="57">
                  <c:v>-1.8839590340350825</c:v>
                </c:pt>
                <c:pt idx="58">
                  <c:v>-1.8761999267017493</c:v>
                </c:pt>
                <c:pt idx="59">
                  <c:v>-1.868143191431908</c:v>
                </c:pt>
                <c:pt idx="60">
                  <c:v>-1.8676348773351337</c:v>
                </c:pt>
                <c:pt idx="61">
                  <c:v>-1.8664064817555883</c:v>
                </c:pt>
                <c:pt idx="62">
                  <c:v>-1.8661698345360762</c:v>
                </c:pt>
                <c:pt idx="63">
                  <c:v>-1.8602477127974395</c:v>
                </c:pt>
                <c:pt idx="64">
                  <c:v>-1.8617151210993266</c:v>
                </c:pt>
                <c:pt idx="65">
                  <c:v>-1.8610791375699147</c:v>
                </c:pt>
                <c:pt idx="66">
                  <c:v>-1.8624351539612192</c:v>
                </c:pt>
                <c:pt idx="67">
                  <c:v>-1.855235360753672</c:v>
                </c:pt>
                <c:pt idx="68">
                  <c:v>-1.791905839888476</c:v>
                </c:pt>
                <c:pt idx="69">
                  <c:v>-1.790018973169883</c:v>
                </c:pt>
                <c:pt idx="70">
                  <c:v>-1.7931358855410173</c:v>
                </c:pt>
                <c:pt idx="71">
                  <c:v>-1.7876559976395394</c:v>
                </c:pt>
                <c:pt idx="72">
                  <c:v>-1.7920018099280013</c:v>
                </c:pt>
                <c:pt idx="73">
                  <c:v>-1.7860034232854891</c:v>
                </c:pt>
                <c:pt idx="74">
                  <c:v>-1.7836775750354892</c:v>
                </c:pt>
                <c:pt idx="75">
                  <c:v>-1.7834197126825482</c:v>
                </c:pt>
                <c:pt idx="76">
                  <c:v>-1.7899907908115804</c:v>
                </c:pt>
                <c:pt idx="77">
                  <c:v>-1.7914331066865805</c:v>
                </c:pt>
                <c:pt idx="78">
                  <c:v>-1.7992055191019651</c:v>
                </c:pt>
                <c:pt idx="79">
                  <c:v>-1.796173000645175</c:v>
                </c:pt>
                <c:pt idx="80">
                  <c:v>-1.7953096453466673</c:v>
                </c:pt>
                <c:pt idx="81">
                  <c:v>-1.7971179605079579</c:v>
                </c:pt>
                <c:pt idx="82">
                  <c:v>-1.7943594772162912</c:v>
                </c:pt>
                <c:pt idx="83">
                  <c:v>-1.7983669463853054</c:v>
                </c:pt>
                <c:pt idx="84">
                  <c:v>-1.7750645421882247</c:v>
                </c:pt>
                <c:pt idx="85">
                  <c:v>-1.7664729237822843</c:v>
                </c:pt>
                <c:pt idx="86">
                  <c:v>-1.7629174168378396</c:v>
                </c:pt>
                <c:pt idx="87">
                  <c:v>-1.7676958866560217</c:v>
                </c:pt>
                <c:pt idx="88">
                  <c:v>-1.7649671262895621</c:v>
                </c:pt>
                <c:pt idx="89">
                  <c:v>-1.7403419004880059</c:v>
                </c:pt>
                <c:pt idx="90">
                  <c:v>-1.573692084302154</c:v>
                </c:pt>
                <c:pt idx="91">
                  <c:v>-1.5774706907702389</c:v>
                </c:pt>
                <c:pt idx="92">
                  <c:v>-1.5820914325382391</c:v>
                </c:pt>
                <c:pt idx="93">
                  <c:v>-1.574075758538239</c:v>
                </c:pt>
                <c:pt idx="94">
                  <c:v>-1.5707894283736819</c:v>
                </c:pt>
                <c:pt idx="95">
                  <c:v>-1.5701718894451104</c:v>
                </c:pt>
                <c:pt idx="96">
                  <c:v>-1.5496434868288314</c:v>
                </c:pt>
                <c:pt idx="97">
                  <c:v>-1.547511379418117</c:v>
                </c:pt>
                <c:pt idx="98">
                  <c:v>-1.5448964546908444</c:v>
                </c:pt>
                <c:pt idx="99">
                  <c:v>-1.5387260753062288</c:v>
                </c:pt>
                <c:pt idx="100">
                  <c:v>-1.5416275428776578</c:v>
                </c:pt>
                <c:pt idx="101">
                  <c:v>-1.5451537262526578</c:v>
                </c:pt>
                <c:pt idx="102">
                  <c:v>-1.5404846427486578</c:v>
                </c:pt>
                <c:pt idx="103">
                  <c:v>-1.5056844309741897</c:v>
                </c:pt>
                <c:pt idx="104">
                  <c:v>-1.4993413338733494</c:v>
                </c:pt>
                <c:pt idx="105">
                  <c:v>-1.4963522301144843</c:v>
                </c:pt>
                <c:pt idx="106">
                  <c:v>-1.5002031623234395</c:v>
                </c:pt>
                <c:pt idx="107">
                  <c:v>-1.5061118673901059</c:v>
                </c:pt>
                <c:pt idx="108">
                  <c:v>-1.5027943319296408</c:v>
                </c:pt>
                <c:pt idx="109">
                  <c:v>-1.4734640682932769</c:v>
                </c:pt>
                <c:pt idx="110">
                  <c:v>-1.5045365913612769</c:v>
                </c:pt>
                <c:pt idx="111">
                  <c:v>-1.4934907353136582</c:v>
                </c:pt>
                <c:pt idx="112">
                  <c:v>-1.4747321674452372</c:v>
                </c:pt>
                <c:pt idx="113">
                  <c:v>-1.4570783585646401</c:v>
                </c:pt>
                <c:pt idx="114">
                  <c:v>-1.4488167092046402</c:v>
                </c:pt>
                <c:pt idx="115">
                  <c:v>-1.4280011646820272</c:v>
                </c:pt>
                <c:pt idx="116">
                  <c:v>-1.3899736902536171</c:v>
                </c:pt>
                <c:pt idx="117">
                  <c:v>-1.3639973871407964</c:v>
                </c:pt>
                <c:pt idx="118">
                  <c:v>-1.3279116369260313</c:v>
                </c:pt>
                <c:pt idx="119">
                  <c:v>-1.3009866821387297</c:v>
                </c:pt>
                <c:pt idx="120">
                  <c:v>-1.261641083012484</c:v>
                </c:pt>
                <c:pt idx="121">
                  <c:v>-1.2186376123103562</c:v>
                </c:pt>
                <c:pt idx="122">
                  <c:v>-1.1454670921802359</c:v>
                </c:pt>
                <c:pt idx="123">
                  <c:v>-0.78875438270832565</c:v>
                </c:pt>
                <c:pt idx="124">
                  <c:v>-0.46344986791265685</c:v>
                </c:pt>
                <c:pt idx="125">
                  <c:v>-0.39648573587133451</c:v>
                </c:pt>
                <c:pt idx="126">
                  <c:v>-0.41556960537133453</c:v>
                </c:pt>
                <c:pt idx="127">
                  <c:v>-0.33999785178389069</c:v>
                </c:pt>
                <c:pt idx="128">
                  <c:v>-0.34437219949817638</c:v>
                </c:pt>
                <c:pt idx="129">
                  <c:v>-0.33959308897186052</c:v>
                </c:pt>
                <c:pt idx="130">
                  <c:v>-0.33760483508297168</c:v>
                </c:pt>
                <c:pt idx="131">
                  <c:v>-0.33341857004963832</c:v>
                </c:pt>
                <c:pt idx="132">
                  <c:v>-0.33333570765637993</c:v>
                </c:pt>
                <c:pt idx="133">
                  <c:v>-0.3197859751616064</c:v>
                </c:pt>
                <c:pt idx="134">
                  <c:v>-0.31688132797769841</c:v>
                </c:pt>
                <c:pt idx="135">
                  <c:v>-0.31942857481980363</c:v>
                </c:pt>
                <c:pt idx="136">
                  <c:v>-0.3042575459170605</c:v>
                </c:pt>
                <c:pt idx="137">
                  <c:v>-0.29325022075577017</c:v>
                </c:pt>
                <c:pt idx="138">
                  <c:v>-0.28823211050759501</c:v>
                </c:pt>
                <c:pt idx="139">
                  <c:v>-0.27610113467380748</c:v>
                </c:pt>
                <c:pt idx="140">
                  <c:v>-0.25701485240283978</c:v>
                </c:pt>
                <c:pt idx="141">
                  <c:v>-0.22569493366774046</c:v>
                </c:pt>
                <c:pt idx="142">
                  <c:v>-0.15827462926442556</c:v>
                </c:pt>
                <c:pt idx="143">
                  <c:v>-0.15372271663625059</c:v>
                </c:pt>
                <c:pt idx="144">
                  <c:v>-0.1588916186465599</c:v>
                </c:pt>
                <c:pt idx="145">
                  <c:v>-0.16108136373047596</c:v>
                </c:pt>
                <c:pt idx="146">
                  <c:v>-0.15927211038163877</c:v>
                </c:pt>
                <c:pt idx="147">
                  <c:v>-0.15604332672857757</c:v>
                </c:pt>
                <c:pt idx="148">
                  <c:v>-0.15040121939524423</c:v>
                </c:pt>
                <c:pt idx="149">
                  <c:v>-0.15070079222775656</c:v>
                </c:pt>
                <c:pt idx="150">
                  <c:v>-0.15771750303626716</c:v>
                </c:pt>
                <c:pt idx="151">
                  <c:v>-0.15528780342609769</c:v>
                </c:pt>
                <c:pt idx="152">
                  <c:v>-0.15528780342609766</c:v>
                </c:pt>
                <c:pt idx="153">
                  <c:v>-0.1519721055392475</c:v>
                </c:pt>
                <c:pt idx="154">
                  <c:v>-0.17468854162292877</c:v>
                </c:pt>
                <c:pt idx="155">
                  <c:v>-0.16680962351583062</c:v>
                </c:pt>
                <c:pt idx="156">
                  <c:v>-0.16943729661086257</c:v>
                </c:pt>
                <c:pt idx="157">
                  <c:v>-0.16491057446391136</c:v>
                </c:pt>
                <c:pt idx="158">
                  <c:v>-0.14815844174982487</c:v>
                </c:pt>
                <c:pt idx="159">
                  <c:v>-0.14784707384094459</c:v>
                </c:pt>
                <c:pt idx="160">
                  <c:v>-0.14815964738624843</c:v>
                </c:pt>
                <c:pt idx="161">
                  <c:v>-0.14576525374711799</c:v>
                </c:pt>
                <c:pt idx="162">
                  <c:v>-0.15582828132354032</c:v>
                </c:pt>
                <c:pt idx="163">
                  <c:v>-0.15422272012761504</c:v>
                </c:pt>
                <c:pt idx="164">
                  <c:v>-0.15131844378927306</c:v>
                </c:pt>
                <c:pt idx="165">
                  <c:v>-0.14825071856778765</c:v>
                </c:pt>
                <c:pt idx="166">
                  <c:v>-0.14746817397564263</c:v>
                </c:pt>
                <c:pt idx="167">
                  <c:v>-0.14989666609764266</c:v>
                </c:pt>
                <c:pt idx="168">
                  <c:v>-0.15323775008023088</c:v>
                </c:pt>
                <c:pt idx="169">
                  <c:v>-0.15575300117256577</c:v>
                </c:pt>
                <c:pt idx="170">
                  <c:v>-0.14913352196614374</c:v>
                </c:pt>
                <c:pt idx="171">
                  <c:v>-0.14834602614236456</c:v>
                </c:pt>
                <c:pt idx="172">
                  <c:v>-0.14804595845469334</c:v>
                </c:pt>
                <c:pt idx="173">
                  <c:v>-0.14434284381983931</c:v>
                </c:pt>
                <c:pt idx="174">
                  <c:v>-0.13693626127035566</c:v>
                </c:pt>
                <c:pt idx="175">
                  <c:v>-0.11013548997035566</c:v>
                </c:pt>
                <c:pt idx="176">
                  <c:v>-0.1183724989623529</c:v>
                </c:pt>
                <c:pt idx="177">
                  <c:v>-0.11940951014522469</c:v>
                </c:pt>
                <c:pt idx="178">
                  <c:v>-0.11954136093113876</c:v>
                </c:pt>
                <c:pt idx="179">
                  <c:v>-0.11803166325547979</c:v>
                </c:pt>
                <c:pt idx="180">
                  <c:v>-0.11560505902747979</c:v>
                </c:pt>
                <c:pt idx="181">
                  <c:v>-0.1164309967931941</c:v>
                </c:pt>
                <c:pt idx="182">
                  <c:v>-0.11755974759082721</c:v>
                </c:pt>
                <c:pt idx="183">
                  <c:v>-0.12141442892416054</c:v>
                </c:pt>
                <c:pt idx="184">
                  <c:v>-0.12095565728751337</c:v>
                </c:pt>
                <c:pt idx="185">
                  <c:v>-0.12655928325894197</c:v>
                </c:pt>
                <c:pt idx="186">
                  <c:v>-0.11597152348054147</c:v>
                </c:pt>
                <c:pt idx="187">
                  <c:v>-0.11628256024955244</c:v>
                </c:pt>
                <c:pt idx="188">
                  <c:v>-0.10969647532165276</c:v>
                </c:pt>
                <c:pt idx="189">
                  <c:v>-0.11605453510901967</c:v>
                </c:pt>
                <c:pt idx="190">
                  <c:v>-0.1152810587188962</c:v>
                </c:pt>
                <c:pt idx="191">
                  <c:v>-0.11732405480425023</c:v>
                </c:pt>
                <c:pt idx="192">
                  <c:v>-0.11739887154090049</c:v>
                </c:pt>
                <c:pt idx="193">
                  <c:v>-0.11430680914541472</c:v>
                </c:pt>
                <c:pt idx="194">
                  <c:v>-0.10867177730636851</c:v>
                </c:pt>
                <c:pt idx="195">
                  <c:v>-0.10820180946185755</c:v>
                </c:pt>
                <c:pt idx="196">
                  <c:v>-0.10487240911243798</c:v>
                </c:pt>
                <c:pt idx="197">
                  <c:v>-9.9903064812437992E-2</c:v>
                </c:pt>
                <c:pt idx="198">
                  <c:v>-0.10269581669094632</c:v>
                </c:pt>
                <c:pt idx="199">
                  <c:v>-0.10022212099490113</c:v>
                </c:pt>
                <c:pt idx="200">
                  <c:v>-9.6226530099156452E-2</c:v>
                </c:pt>
                <c:pt idx="201">
                  <c:v>-6.910994654192755E-2</c:v>
                </c:pt>
                <c:pt idx="202">
                  <c:v>-7.5558397767890292E-2</c:v>
                </c:pt>
                <c:pt idx="203">
                  <c:v>-7.6622870432564938E-2</c:v>
                </c:pt>
                <c:pt idx="204">
                  <c:v>-7.5189198913931388E-2</c:v>
                </c:pt>
                <c:pt idx="205">
                  <c:v>-6.9149602104452312E-2</c:v>
                </c:pt>
                <c:pt idx="206">
                  <c:v>-5.1313375450829743E-2</c:v>
                </c:pt>
                <c:pt idx="207">
                  <c:v>-5.5281898926476433E-2</c:v>
                </c:pt>
                <c:pt idx="208">
                  <c:v>-5.5132606321304012E-2</c:v>
                </c:pt>
                <c:pt idx="209">
                  <c:v>-5.5009186887686475E-2</c:v>
                </c:pt>
                <c:pt idx="210">
                  <c:v>-5.5580229158519803E-2</c:v>
                </c:pt>
                <c:pt idx="211">
                  <c:v>-5.5230053697887305E-2</c:v>
                </c:pt>
                <c:pt idx="212">
                  <c:v>-5.642377867540966E-2</c:v>
                </c:pt>
                <c:pt idx="213">
                  <c:v>-5.4996295588518269E-2</c:v>
                </c:pt>
                <c:pt idx="214">
                  <c:v>-5.5826099132006118E-2</c:v>
                </c:pt>
                <c:pt idx="215">
                  <c:v>-5.4306334400888299E-2</c:v>
                </c:pt>
                <c:pt idx="216">
                  <c:v>-5.3455406139442524E-2</c:v>
                </c:pt>
                <c:pt idx="217">
                  <c:v>-5.1699781346616749E-2</c:v>
                </c:pt>
                <c:pt idx="218">
                  <c:v>-5.11339417059469E-2</c:v>
                </c:pt>
                <c:pt idx="219">
                  <c:v>-4.8721528062480604E-2</c:v>
                </c:pt>
                <c:pt idx="220">
                  <c:v>-4.6872504788424939E-2</c:v>
                </c:pt>
                <c:pt idx="221">
                  <c:v>-2.1248741070917076E-2</c:v>
                </c:pt>
                <c:pt idx="222">
                  <c:v>-2.4654710304437201E-2</c:v>
                </c:pt>
                <c:pt idx="223">
                  <c:v>-1.5766212509288956E-2</c:v>
                </c:pt>
                <c:pt idx="224">
                  <c:v>-9.3503889997752151E-3</c:v>
                </c:pt>
                <c:pt idx="225">
                  <c:v>-9.604640634635269E-3</c:v>
                </c:pt>
                <c:pt idx="226">
                  <c:v>-8.6455349088916805E-3</c:v>
                </c:pt>
                <c:pt idx="227">
                  <c:v>-8.2412002007673096E-3</c:v>
                </c:pt>
                <c:pt idx="228">
                  <c:v>-8.158316710814701E-3</c:v>
                </c:pt>
                <c:pt idx="229">
                  <c:v>-8.8353039924546298E-3</c:v>
                </c:pt>
                <c:pt idx="230">
                  <c:v>-9.10279557908702E-3</c:v>
                </c:pt>
                <c:pt idx="231">
                  <c:v>-8.5249794590222944E-3</c:v>
                </c:pt>
                <c:pt idx="232">
                  <c:v>-7.8381550720550315E-3</c:v>
                </c:pt>
                <c:pt idx="233">
                  <c:v>-8.7850366615022674E-3</c:v>
                </c:pt>
                <c:pt idx="234">
                  <c:v>-8.7467058906640152E-3</c:v>
                </c:pt>
                <c:pt idx="235">
                  <c:v>-7.6352529145213193E-3</c:v>
                </c:pt>
                <c:pt idx="236">
                  <c:v>-7.0844598538430436E-3</c:v>
                </c:pt>
                <c:pt idx="237">
                  <c:v>-6.5665742107986853E-3</c:v>
                </c:pt>
                <c:pt idx="238">
                  <c:v>-7.1012039990939737E-3</c:v>
                </c:pt>
                <c:pt idx="239">
                  <c:v>-7.1030637443081452E-3</c:v>
                </c:pt>
                <c:pt idx="240">
                  <c:v>-6.7907729443081443E-3</c:v>
                </c:pt>
                <c:pt idx="241">
                  <c:v>-7.5444930418242413E-3</c:v>
                </c:pt>
                <c:pt idx="242">
                  <c:v>-8.3976602418242407E-3</c:v>
                </c:pt>
                <c:pt idx="243">
                  <c:v>-8.6290260246484098E-3</c:v>
                </c:pt>
                <c:pt idx="244">
                  <c:v>-8.2269006940784602E-3</c:v>
                </c:pt>
                <c:pt idx="245">
                  <c:v>-7.2612528359800995E-3</c:v>
                </c:pt>
                <c:pt idx="246">
                  <c:v>-6.6111769848126549E-3</c:v>
                </c:pt>
                <c:pt idx="247">
                  <c:v>-4.959063812769649E-3</c:v>
                </c:pt>
                <c:pt idx="248">
                  <c:v>-2.3567377778450256E-3</c:v>
                </c:pt>
                <c:pt idx="249">
                  <c:v>-3.3691386906261563E-3</c:v>
                </c:pt>
                <c:pt idx="250">
                  <c:v>-3.2755368838290901E-3</c:v>
                </c:pt>
                <c:pt idx="251">
                  <c:v>-2.9140724121829269E-3</c:v>
                </c:pt>
                <c:pt idx="252">
                  <c:v>-2.2820989265649495E-3</c:v>
                </c:pt>
                <c:pt idx="253">
                  <c:v>-2.9505584321132534E-3</c:v>
                </c:pt>
                <c:pt idx="254">
                  <c:v>-1.5809910140749341E-3</c:v>
                </c:pt>
                <c:pt idx="255">
                  <c:v>-1.0884252505695862E-3</c:v>
                </c:pt>
                <c:pt idx="256">
                  <c:v>-9.1691290835028082E-4</c:v>
                </c:pt>
                <c:pt idx="257">
                  <c:v>-7.1498181311975789E-4</c:v>
                </c:pt>
                <c:pt idx="258">
                  <c:v>1.1020858325263263E-4</c:v>
                </c:pt>
                <c:pt idx="259">
                  <c:v>2.3631426374114815E-5</c:v>
                </c:pt>
                <c:pt idx="260">
                  <c:v>1.6410125631471004E-3</c:v>
                </c:pt>
                <c:pt idx="261">
                  <c:v>4.2503304631470997E-3</c:v>
                </c:pt>
                <c:pt idx="262">
                  <c:v>3.1922028606354708E-3</c:v>
                </c:pt>
                <c:pt idx="263">
                  <c:v>4.2640552539164114E-3</c:v>
                </c:pt>
                <c:pt idx="264">
                  <c:v>3.9009810700847422E-3</c:v>
                </c:pt>
                <c:pt idx="265">
                  <c:v>4.3317039891435666E-3</c:v>
                </c:pt>
                <c:pt idx="266">
                  <c:v>5.3455586718141254E-3</c:v>
                </c:pt>
                <c:pt idx="267">
                  <c:v>5.1996008375532589E-3</c:v>
                </c:pt>
                <c:pt idx="268">
                  <c:v>3.6838327630218373E-3</c:v>
                </c:pt>
                <c:pt idx="269">
                  <c:v>5.6536865266321526E-3</c:v>
                </c:pt>
                <c:pt idx="270">
                  <c:v>4.610817654065783E-3</c:v>
                </c:pt>
                <c:pt idx="271">
                  <c:v>4.7465040587809154E-3</c:v>
                </c:pt>
                <c:pt idx="272">
                  <c:v>4.305313977799082E-3</c:v>
                </c:pt>
                <c:pt idx="273">
                  <c:v>2.0299896285954138E-3</c:v>
                </c:pt>
                <c:pt idx="274">
                  <c:v>5.0253875253907833E-4</c:v>
                </c:pt>
                <c:pt idx="275">
                  <c:v>5.8176450658106076E-4</c:v>
                </c:pt>
                <c:pt idx="276">
                  <c:v>5.4068026275539305E-4</c:v>
                </c:pt>
                <c:pt idx="277">
                  <c:v>-3.4037421365689486E-4</c:v>
                </c:pt>
                <c:pt idx="278">
                  <c:v>-5.7914727109815121E-4</c:v>
                </c:pt>
                <c:pt idx="279">
                  <c:v>3.2821931739499639E-4</c:v>
                </c:pt>
                <c:pt idx="280">
                  <c:v>4.1034094994509652E-4</c:v>
                </c:pt>
                <c:pt idx="281">
                  <c:v>1.3787729313577369E-3</c:v>
                </c:pt>
                <c:pt idx="282">
                  <c:v>2.3703965061161233E-3</c:v>
                </c:pt>
                <c:pt idx="283">
                  <c:v>1.0432731079967059E-3</c:v>
                </c:pt>
                <c:pt idx="284">
                  <c:v>1.9229596726054194E-3</c:v>
                </c:pt>
                <c:pt idx="285">
                  <c:v>1.8638285811349313E-3</c:v>
                </c:pt>
                <c:pt idx="286">
                  <c:v>4.5194670629846419E-3</c:v>
                </c:pt>
                <c:pt idx="287">
                  <c:v>3.6602947169355961E-3</c:v>
                </c:pt>
                <c:pt idx="288">
                  <c:v>2.8596607723445668E-3</c:v>
                </c:pt>
                <c:pt idx="289">
                  <c:v>3.0301119955878082E-3</c:v>
                </c:pt>
                <c:pt idx="290">
                  <c:v>3.3176118026347857E-3</c:v>
                </c:pt>
                <c:pt idx="291">
                  <c:v>4.019537391773566E-3</c:v>
                </c:pt>
                <c:pt idx="292">
                  <c:v>2.5154353748001023E-3</c:v>
                </c:pt>
                <c:pt idx="293">
                  <c:v>3.8798828346417527E-3</c:v>
                </c:pt>
                <c:pt idx="294">
                  <c:v>3.2650569159508413E-3</c:v>
                </c:pt>
                <c:pt idx="295">
                  <c:v>5.6746253348469618E-3</c:v>
                </c:pt>
                <c:pt idx="296">
                  <c:v>7.9228487804418081E-3</c:v>
                </c:pt>
                <c:pt idx="297">
                  <c:v>6.1152234724272322E-3</c:v>
                </c:pt>
                <c:pt idx="298">
                  <c:v>5.3677633802119273E-3</c:v>
                </c:pt>
                <c:pt idx="299">
                  <c:v>4.4943698495646354E-3</c:v>
                </c:pt>
                <c:pt idx="300">
                  <c:v>6.0793845091840822E-3</c:v>
                </c:pt>
                <c:pt idx="301">
                  <c:v>5.4596268936784658E-3</c:v>
                </c:pt>
                <c:pt idx="302">
                  <c:v>5.1956540207857092E-3</c:v>
                </c:pt>
                <c:pt idx="303">
                  <c:v>7.2184715468436153E-3</c:v>
                </c:pt>
                <c:pt idx="304">
                  <c:v>8.795134404369697E-3</c:v>
                </c:pt>
                <c:pt idx="305">
                  <c:v>4.6714660676523585E-3</c:v>
                </c:pt>
                <c:pt idx="306">
                  <c:v>2.5259797830369701E-3</c:v>
                </c:pt>
                <c:pt idx="307">
                  <c:v>2.6589526857565588E-3</c:v>
                </c:pt>
                <c:pt idx="308">
                  <c:v>1.9318033900731048E-3</c:v>
                </c:pt>
                <c:pt idx="309">
                  <c:v>2.1729561991118414E-3</c:v>
                </c:pt>
                <c:pt idx="310">
                  <c:v>4.5558306565331302E-3</c:v>
                </c:pt>
                <c:pt idx="311">
                  <c:v>4.3627863908306513E-3</c:v>
                </c:pt>
                <c:pt idx="312">
                  <c:v>6.3953745831753801E-3</c:v>
                </c:pt>
                <c:pt idx="313">
                  <c:v>6.786958819827842E-3</c:v>
                </c:pt>
                <c:pt idx="314">
                  <c:v>8.9905269842000292E-3</c:v>
                </c:pt>
                <c:pt idx="315">
                  <c:v>6.3425023131256477E-3</c:v>
                </c:pt>
                <c:pt idx="316">
                  <c:v>5.8419713490347391E-3</c:v>
                </c:pt>
                <c:pt idx="317">
                  <c:v>4.4973677139619628E-3</c:v>
                </c:pt>
                <c:pt idx="318">
                  <c:v>2.5011480037626689E-3</c:v>
                </c:pt>
                <c:pt idx="319">
                  <c:v>2.3877174934555825E-3</c:v>
                </c:pt>
                <c:pt idx="320">
                  <c:v>1.6559042753768614E-3</c:v>
                </c:pt>
                <c:pt idx="321">
                  <c:v>4.5092350104338196E-4</c:v>
                </c:pt>
                <c:pt idx="322">
                  <c:v>1.175974398958189E-3</c:v>
                </c:pt>
                <c:pt idx="323">
                  <c:v>1.196583911339148E-3</c:v>
                </c:pt>
                <c:pt idx="324">
                  <c:v>4.055838119224448E-3</c:v>
                </c:pt>
                <c:pt idx="325">
                  <c:v>6.7019899331010289E-4</c:v>
                </c:pt>
                <c:pt idx="326">
                  <c:v>7.8195010081857027E-5</c:v>
                </c:pt>
                <c:pt idx="327">
                  <c:v>-1.2097548644851416E-3</c:v>
                </c:pt>
                <c:pt idx="328">
                  <c:v>-1.3468931980421886E-3</c:v>
                </c:pt>
                <c:pt idx="329">
                  <c:v>-1.8855639490970412E-3</c:v>
                </c:pt>
                <c:pt idx="330">
                  <c:v>-1.0748792236015944E-3</c:v>
                </c:pt>
                <c:pt idx="331">
                  <c:v>-2.1493560264234622E-3</c:v>
                </c:pt>
                <c:pt idx="332">
                  <c:v>-1.4735216054139193E-3</c:v>
                </c:pt>
                <c:pt idx="333">
                  <c:v>-1.6323171686777561E-3</c:v>
                </c:pt>
                <c:pt idx="334">
                  <c:v>-1.5161198893909207E-3</c:v>
                </c:pt>
                <c:pt idx="335">
                  <c:v>2.5076166524870005E-4</c:v>
                </c:pt>
                <c:pt idx="336">
                  <c:v>1.2742991140307113E-3</c:v>
                </c:pt>
                <c:pt idx="337">
                  <c:v>2.5734686696135675E-3</c:v>
                </c:pt>
                <c:pt idx="338">
                  <c:v>2.9454345985359827E-3</c:v>
                </c:pt>
                <c:pt idx="339">
                  <c:v>3.8966848827371313E-3</c:v>
                </c:pt>
                <c:pt idx="340">
                  <c:v>4.1846124463734927E-3</c:v>
                </c:pt>
                <c:pt idx="341">
                  <c:v>5.2383370640950149E-3</c:v>
                </c:pt>
                <c:pt idx="342">
                  <c:v>6.5453674965809863E-3</c:v>
                </c:pt>
                <c:pt idx="343">
                  <c:v>8.1708652150275889E-3</c:v>
                </c:pt>
                <c:pt idx="344">
                  <c:v>8.5010581487558259E-3</c:v>
                </c:pt>
                <c:pt idx="345">
                  <c:v>3.2466994612906429E-3</c:v>
                </c:pt>
                <c:pt idx="346">
                  <c:v>3.5045129793814809E-3</c:v>
                </c:pt>
                <c:pt idx="347">
                  <c:v>3.7074791058532017E-3</c:v>
                </c:pt>
                <c:pt idx="348">
                  <c:v>4.6716987889705575E-3</c:v>
                </c:pt>
                <c:pt idx="349">
                  <c:v>5.6546899386372244E-3</c:v>
                </c:pt>
                <c:pt idx="350">
                  <c:v>3.7390382821827638E-3</c:v>
                </c:pt>
                <c:pt idx="351">
                  <c:v>4.4694420675986573E-3</c:v>
                </c:pt>
                <c:pt idx="352">
                  <c:v>4.7612701146944169E-3</c:v>
                </c:pt>
                <c:pt idx="353">
                  <c:v>3.4701231011716248E-3</c:v>
                </c:pt>
                <c:pt idx="354">
                  <c:v>2.5783413359465801E-3</c:v>
                </c:pt>
                <c:pt idx="355">
                  <c:v>2.8612212176374638E-3</c:v>
                </c:pt>
                <c:pt idx="356">
                  <c:v>3.6759153379162099E-3</c:v>
                </c:pt>
                <c:pt idx="357">
                  <c:v>1.9822133299791786E-3</c:v>
                </c:pt>
                <c:pt idx="358">
                  <c:v>6.0411327741719445E-4</c:v>
                </c:pt>
                <c:pt idx="359">
                  <c:v>1.4013981371349088E-4</c:v>
                </c:pt>
                <c:pt idx="360">
                  <c:v>-6.8738960370008119E-4</c:v>
                </c:pt>
                <c:pt idx="361">
                  <c:v>-5.7670330099313734E-4</c:v>
                </c:pt>
                <c:pt idx="362">
                  <c:v>-3.6838082462946479E-6</c:v>
                </c:pt>
                <c:pt idx="363">
                  <c:v>4.5559401579577894E-4</c:v>
                </c:pt>
                <c:pt idx="364">
                  <c:v>1.319749718321032E-3</c:v>
                </c:pt>
                <c:pt idx="365">
                  <c:v>8.1772007900375121E-4</c:v>
                </c:pt>
                <c:pt idx="366">
                  <c:v>1.0291189793911325E-3</c:v>
                </c:pt>
                <c:pt idx="367">
                  <c:v>-3.6950043281045711E-4</c:v>
                </c:pt>
                <c:pt idx="368">
                  <c:v>4.544096093430816E-4</c:v>
                </c:pt>
                <c:pt idx="369">
                  <c:v>-4.983922743338895E-5</c:v>
                </c:pt>
                <c:pt idx="370">
                  <c:v>-6.9451871168423583E-4</c:v>
                </c:pt>
                <c:pt idx="371">
                  <c:v>-1.0398872727042723E-3</c:v>
                </c:pt>
                <c:pt idx="372">
                  <c:v>-5.1801409013200593E-4</c:v>
                </c:pt>
                <c:pt idx="373">
                  <c:v>-6.7413520584783072E-4</c:v>
                </c:pt>
                <c:pt idx="374">
                  <c:v>-2.3104218932252249E-4</c:v>
                </c:pt>
                <c:pt idx="375">
                  <c:v>-5.3031258668669718E-4</c:v>
                </c:pt>
                <c:pt idx="376">
                  <c:v>-4.5570929450562762E-4</c:v>
                </c:pt>
                <c:pt idx="377">
                  <c:v>-3.9253681950562793E-4</c:v>
                </c:pt>
                <c:pt idx="378">
                  <c:v>-3.4062361657164294E-4</c:v>
                </c:pt>
                <c:pt idx="379">
                  <c:v>-5.1820481857498099E-4</c:v>
                </c:pt>
                <c:pt idx="380">
                  <c:v>-5.3605261102781111E-4</c:v>
                </c:pt>
                <c:pt idx="381">
                  <c:v>-3.2225572587384581E-4</c:v>
                </c:pt>
                <c:pt idx="382">
                  <c:v>-3.5631583488740612E-4</c:v>
                </c:pt>
                <c:pt idx="383">
                  <c:v>-3.3769813461023322E-4</c:v>
                </c:pt>
                <c:pt idx="384">
                  <c:v>-4.8915339869266686E-4</c:v>
                </c:pt>
                <c:pt idx="385">
                  <c:v>-6.6919379869266691E-4</c:v>
                </c:pt>
                <c:pt idx="386">
                  <c:v>-5.4661907175406952E-4</c:v>
                </c:pt>
                <c:pt idx="387">
                  <c:v>-7.0436875950292098E-4</c:v>
                </c:pt>
                <c:pt idx="388">
                  <c:v>-8.0063971226757816E-4</c:v>
                </c:pt>
                <c:pt idx="389">
                  <c:v>-7.7710352592737198E-4</c:v>
                </c:pt>
                <c:pt idx="390">
                  <c:v>-8.4128112318998971E-4</c:v>
                </c:pt>
                <c:pt idx="391">
                  <c:v>-8.7188523119384714E-4</c:v>
                </c:pt>
                <c:pt idx="392">
                  <c:v>-5.2261646248969135E-4</c:v>
                </c:pt>
                <c:pt idx="393">
                  <c:v>-5.0605318854759801E-4</c:v>
                </c:pt>
                <c:pt idx="394">
                  <c:v>-5.0840027483644646E-4</c:v>
                </c:pt>
                <c:pt idx="395">
                  <c:v>-4.6718486142862531E-4</c:v>
                </c:pt>
                <c:pt idx="396">
                  <c:v>-1.5770729033515703E-4</c:v>
                </c:pt>
                <c:pt idx="397">
                  <c:v>-1.0930118826451166E-4</c:v>
                </c:pt>
                <c:pt idx="398">
                  <c:v>-8.4690882645116678E-6</c:v>
                </c:pt>
                <c:pt idx="399">
                  <c:v>1.0819949596451061E-5</c:v>
                </c:pt>
                <c:pt idx="400">
                  <c:v>-1.4555565260943065E-4</c:v>
                </c:pt>
                <c:pt idx="401">
                  <c:v>2.3473792495620221E-4</c:v>
                </c:pt>
                <c:pt idx="402">
                  <c:v>1.612709746235658E-4</c:v>
                </c:pt>
                <c:pt idx="403">
                  <c:v>1.6159590969645182E-4</c:v>
                </c:pt>
                <c:pt idx="404">
                  <c:v>3.5946434599813275E-4</c:v>
                </c:pt>
                <c:pt idx="405">
                  <c:v>4.633422218892535E-4</c:v>
                </c:pt>
                <c:pt idx="406">
                  <c:v>4.9747196479067962E-4</c:v>
                </c:pt>
                <c:pt idx="407">
                  <c:v>6.3997843801583208E-4</c:v>
                </c:pt>
                <c:pt idx="408">
                  <c:v>6.7973966290132862E-4</c:v>
                </c:pt>
                <c:pt idx="409">
                  <c:v>8.2174166860703472E-4</c:v>
                </c:pt>
                <c:pt idx="410">
                  <c:v>9.6732938807381381E-4</c:v>
                </c:pt>
                <c:pt idx="411">
                  <c:v>7.7335759860012944E-4</c:v>
                </c:pt>
                <c:pt idx="412">
                  <c:v>1.0268920120832749E-3</c:v>
                </c:pt>
                <c:pt idx="413">
                  <c:v>1.2891704811577307E-3</c:v>
                </c:pt>
                <c:pt idx="414">
                  <c:v>3.9098006596229821E-4</c:v>
                </c:pt>
                <c:pt idx="415">
                  <c:v>2.8102387498975267E-4</c:v>
                </c:pt>
                <c:pt idx="416">
                  <c:v>5.0329095776546512E-4</c:v>
                </c:pt>
                <c:pt idx="417">
                  <c:v>7.4105019511114451E-4</c:v>
                </c:pt>
                <c:pt idx="418">
                  <c:v>6.5416046487983437E-5</c:v>
                </c:pt>
                <c:pt idx="419">
                  <c:v>1.6650699063691941E-4</c:v>
                </c:pt>
                <c:pt idx="420">
                  <c:v>5.4393169597964435E-4</c:v>
                </c:pt>
                <c:pt idx="421">
                  <c:v>4.1387967249147643E-4</c:v>
                </c:pt>
                <c:pt idx="422">
                  <c:v>1.11017775075356E-4</c:v>
                </c:pt>
                <c:pt idx="423">
                  <c:v>3.1830632908426507E-4</c:v>
                </c:pt>
                <c:pt idx="424">
                  <c:v>1.7756592469415653E-4</c:v>
                </c:pt>
                <c:pt idx="425">
                  <c:v>1.3311029322107432E-4</c:v>
                </c:pt>
                <c:pt idx="426">
                  <c:v>6.272019947270903E-5</c:v>
                </c:pt>
                <c:pt idx="427">
                  <c:v>1.7366671918026452E-4</c:v>
                </c:pt>
                <c:pt idx="428">
                  <c:v>-5.9926806479381739E-5</c:v>
                </c:pt>
                <c:pt idx="429">
                  <c:v>-7.4022639225187624E-5</c:v>
                </c:pt>
                <c:pt idx="430">
                  <c:v>-4.7916329833883371E-5</c:v>
                </c:pt>
                <c:pt idx="431">
                  <c:v>1.3703467639062446E-4</c:v>
                </c:pt>
                <c:pt idx="432">
                  <c:v>3.4714842301987334E-5</c:v>
                </c:pt>
                <c:pt idx="433">
                  <c:v>3.3244301299240131E-5</c:v>
                </c:pt>
                <c:pt idx="434">
                  <c:v>2.6279017538045757E-5</c:v>
                </c:pt>
                <c:pt idx="435">
                  <c:v>9.4724505492876313E-5</c:v>
                </c:pt>
                <c:pt idx="436">
                  <c:v>-2.041178945071237E-4</c:v>
                </c:pt>
                <c:pt idx="437">
                  <c:v>1.9565924402730511E-4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8-4508-9618-8F21B6FB7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88319"/>
        <c:axId val="1798087071"/>
      </c:lineChart>
      <c:dateAx>
        <c:axId val="17980883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87071"/>
        <c:crosses val="autoZero"/>
        <c:auto val="1"/>
        <c:lblOffset val="100"/>
        <c:baseTimeUnit val="days"/>
      </c:dateAx>
      <c:valAx>
        <c:axId val="1798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8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1FBF424-0895-49AB-BBDD-AA13CDA8E3F6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7B8309-BE4A-42D1-89B2-D88D74A1ED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</v>
      </c>
      <c r="D2" s="4">
        <f>MIN(D3:D1912)</f>
        <v>0.70269999999999999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1.0960000000000001</v>
      </c>
      <c r="C5">
        <v>1.115</v>
      </c>
      <c r="D5">
        <v>1.042</v>
      </c>
      <c r="E5">
        <v>1.05</v>
      </c>
      <c r="F5">
        <v>94118.399999999994</v>
      </c>
      <c r="G5">
        <v>1.05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-0.78082191780821886</v>
      </c>
      <c r="Q5">
        <f t="shared" ref="Q5" si="1">F5*P5</f>
        <v>-73489.709589041056</v>
      </c>
      <c r="R5">
        <f t="shared" ref="R5" si="2">R6+Q5</f>
        <v>-249203135.1015836</v>
      </c>
      <c r="S5">
        <f t="shared" ref="S5" si="3">R5/100000</f>
        <v>-2492.0313510158362</v>
      </c>
      <c r="T5">
        <f t="shared" ref="T5" si="4">S5/1000</f>
        <v>-2.4920313510158363</v>
      </c>
    </row>
    <row r="6" spans="1:20" x14ac:dyDescent="0.25">
      <c r="A6" s="5">
        <v>44587</v>
      </c>
      <c r="B6">
        <v>1.087</v>
      </c>
      <c r="C6">
        <v>1.149</v>
      </c>
      <c r="D6">
        <v>1.0469999999999999</v>
      </c>
      <c r="E6">
        <v>1.095</v>
      </c>
      <c r="F6">
        <v>501244.9</v>
      </c>
      <c r="G6">
        <v>1.095</v>
      </c>
      <c r="L6" t="s">
        <v>8</v>
      </c>
      <c r="M6" t="s">
        <v>8</v>
      </c>
      <c r="N6" t="s">
        <v>7</v>
      </c>
      <c r="P6">
        <f t="shared" ref="P6" si="5">IF(C6=D6,0,((E6-D6)-(C6-E6))/(C6-D6))</f>
        <v>-5.8823529411764705E-2</v>
      </c>
      <c r="Q6">
        <f t="shared" ref="Q6" si="6">F6*P6</f>
        <v>-29484.99411764706</v>
      </c>
      <c r="R6">
        <f t="shared" ref="R6" si="7">R7+Q6</f>
        <v>-249129645.39199457</v>
      </c>
      <c r="S6">
        <f t="shared" ref="S6" si="8">R6/100000</f>
        <v>-2491.2964539199456</v>
      </c>
      <c r="T6">
        <f t="shared" ref="T6" si="9">S6/1000</f>
        <v>-2.4912964539199458</v>
      </c>
    </row>
    <row r="7" spans="1:20" x14ac:dyDescent="0.25">
      <c r="A7" s="5">
        <v>44586</v>
      </c>
      <c r="B7">
        <v>1.026</v>
      </c>
      <c r="C7">
        <v>1.1000000000000001</v>
      </c>
      <c r="D7">
        <v>0.998</v>
      </c>
      <c r="E7">
        <v>1.0820000000000001</v>
      </c>
      <c r="F7">
        <v>300351.59999999998</v>
      </c>
      <c r="G7">
        <v>1.0820000000000001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0.6470588235294118</v>
      </c>
      <c r="Q7">
        <f t="shared" ref="Q7" si="11">F7*P7</f>
        <v>194345.15294117646</v>
      </c>
      <c r="R7">
        <f t="shared" ref="R7" si="12">R8+Q7</f>
        <v>-249100160.39787692</v>
      </c>
      <c r="S7">
        <f t="shared" ref="S7" si="13">R7/100000</f>
        <v>-2491.0016039787693</v>
      </c>
      <c r="T7">
        <f t="shared" ref="T7" si="14">S7/1000</f>
        <v>-2.4910016039787695</v>
      </c>
    </row>
    <row r="8" spans="1:20" x14ac:dyDescent="0.25">
      <c r="A8" s="5">
        <v>44585</v>
      </c>
      <c r="B8">
        <v>1.052</v>
      </c>
      <c r="C8">
        <v>1.054</v>
      </c>
      <c r="D8">
        <v>0.93200000000000005</v>
      </c>
      <c r="E8">
        <v>1.0289999999999999</v>
      </c>
      <c r="F8">
        <v>768469.1</v>
      </c>
      <c r="G8">
        <v>1.0289999999999999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0.59016393442622728</v>
      </c>
      <c r="Q8">
        <f t="shared" ref="Q8" si="16">F8*P8</f>
        <v>453522.74754098186</v>
      </c>
      <c r="R8">
        <f t="shared" ref="R8" si="17">R9+Q8</f>
        <v>-249294505.55081809</v>
      </c>
      <c r="S8">
        <f t="shared" ref="S8" si="18">R8/100000</f>
        <v>-2492.9450555081808</v>
      </c>
      <c r="T8">
        <f t="shared" ref="T8" si="19">S8/1000</f>
        <v>-2.4929450555081809</v>
      </c>
    </row>
    <row r="9" spans="1:20" x14ac:dyDescent="0.25">
      <c r="A9" s="5">
        <v>44584</v>
      </c>
      <c r="B9">
        <v>1.0349999999999999</v>
      </c>
      <c r="C9">
        <v>1.167</v>
      </c>
      <c r="D9">
        <v>1.02</v>
      </c>
      <c r="E9">
        <v>1.0529999999999999</v>
      </c>
      <c r="F9">
        <v>1441535.6</v>
      </c>
      <c r="G9">
        <v>1.0529999999999999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-0.55102040816326647</v>
      </c>
      <c r="Q9">
        <f t="shared" ref="Q9" si="21">F9*P9</f>
        <v>-794315.53469387931</v>
      </c>
      <c r="R9">
        <f t="shared" ref="R9" si="22">R10+Q9</f>
        <v>-249748028.29835907</v>
      </c>
      <c r="S9">
        <f t="shared" ref="S9" si="23">R9/100000</f>
        <v>-2497.4802829835908</v>
      </c>
      <c r="T9">
        <f t="shared" ref="T9" si="24">S9/1000</f>
        <v>-2.4974802829835907</v>
      </c>
    </row>
    <row r="10" spans="1:20" x14ac:dyDescent="0.25">
      <c r="A10" s="5">
        <v>44583</v>
      </c>
      <c r="B10">
        <v>1.0680000000000001</v>
      </c>
      <c r="C10">
        <v>1.1830000000000001</v>
      </c>
      <c r="D10">
        <v>0.92500000000000004</v>
      </c>
      <c r="E10">
        <v>1.0369999999999999</v>
      </c>
      <c r="F10">
        <v>4730528.7</v>
      </c>
      <c r="G10">
        <v>1.0369999999999999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-0.13178294573643509</v>
      </c>
      <c r="Q10">
        <f t="shared" ref="Q10" si="26">F10*P10</f>
        <v>-623403.00697674882</v>
      </c>
      <c r="R10">
        <f t="shared" ref="R10" si="27">R11+Q10</f>
        <v>-248953712.7636652</v>
      </c>
      <c r="S10">
        <f t="shared" ref="S10" si="28">R10/100000</f>
        <v>-2489.5371276366518</v>
      </c>
      <c r="T10">
        <f t="shared" ref="T10" si="29">S10/1000</f>
        <v>-2.4895371276366518</v>
      </c>
    </row>
    <row r="11" spans="1:20" x14ac:dyDescent="0.25">
      <c r="A11" s="5">
        <v>44582</v>
      </c>
      <c r="B11">
        <v>1.22</v>
      </c>
      <c r="C11">
        <v>1.264</v>
      </c>
      <c r="D11">
        <v>1.0329999999999999</v>
      </c>
      <c r="E11">
        <v>1.0660000000000001</v>
      </c>
      <c r="F11">
        <v>1131416.3999999999</v>
      </c>
      <c r="G11">
        <v>1.0660000000000001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-0.71428571428571319</v>
      </c>
      <c r="Q11">
        <f t="shared" ref="Q11" si="31">F11*P11</f>
        <v>-808154.57142857008</v>
      </c>
      <c r="R11">
        <f t="shared" ref="R11" si="32">R12+Q11</f>
        <v>-248330309.75668845</v>
      </c>
      <c r="S11">
        <f t="shared" ref="S11" si="33">R11/100000</f>
        <v>-2483.3030975668844</v>
      </c>
      <c r="T11">
        <f t="shared" ref="T11" si="34">S11/1000</f>
        <v>-2.4833030975668846</v>
      </c>
    </row>
    <row r="12" spans="1:20" x14ac:dyDescent="0.25">
      <c r="A12" s="5">
        <v>44581</v>
      </c>
      <c r="B12">
        <v>1.2629999999999999</v>
      </c>
      <c r="C12">
        <v>1.3440000000000001</v>
      </c>
      <c r="D12">
        <v>1.2130000000000001</v>
      </c>
      <c r="E12">
        <v>1.214</v>
      </c>
      <c r="F12">
        <v>1361113.9</v>
      </c>
      <c r="G12">
        <v>1.214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-0.98473282442748256</v>
      </c>
      <c r="Q12">
        <f t="shared" ref="Q12" si="36">F12*P12</f>
        <v>-1340333.535114506</v>
      </c>
      <c r="R12">
        <f t="shared" ref="R12" si="37">R13+Q12</f>
        <v>-247522155.18525988</v>
      </c>
      <c r="S12">
        <f t="shared" ref="S12" si="38">R12/100000</f>
        <v>-2475.2215518525986</v>
      </c>
      <c r="T12">
        <f t="shared" ref="T12" si="39">S12/1000</f>
        <v>-2.4752215518525986</v>
      </c>
    </row>
    <row r="13" spans="1:20" x14ac:dyDescent="0.25">
      <c r="A13" s="5">
        <v>44580</v>
      </c>
      <c r="B13">
        <v>1.284</v>
      </c>
      <c r="C13">
        <v>1.3089999999999999</v>
      </c>
      <c r="D13">
        <v>1.2290000000000001</v>
      </c>
      <c r="E13">
        <v>1.264</v>
      </c>
      <c r="F13">
        <v>483911.4</v>
      </c>
      <c r="G13">
        <v>1.264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-0.12500000000000033</v>
      </c>
      <c r="Q13">
        <f t="shared" ref="Q13" si="41">F13*P13</f>
        <v>-60488.925000000163</v>
      </c>
      <c r="R13">
        <f t="shared" ref="R13" si="42">R14+Q13</f>
        <v>-246181821.65014538</v>
      </c>
      <c r="S13">
        <f t="shared" ref="S13" si="43">R13/100000</f>
        <v>-2461.8182165014537</v>
      </c>
      <c r="T13">
        <f t="shared" ref="T13" si="44">S13/1000</f>
        <v>-2.4618182165014537</v>
      </c>
    </row>
    <row r="14" spans="1:20" x14ac:dyDescent="0.25">
      <c r="A14" s="5">
        <v>44579</v>
      </c>
      <c r="B14">
        <v>1.294</v>
      </c>
      <c r="C14">
        <v>1.351</v>
      </c>
      <c r="D14">
        <v>1.248</v>
      </c>
      <c r="E14">
        <v>1.2829999999999999</v>
      </c>
      <c r="F14">
        <v>667259.1</v>
      </c>
      <c r="G14">
        <v>1.2829999999999999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-0.32038834951456452</v>
      </c>
      <c r="Q14">
        <f t="shared" ref="Q14" si="46">F14*P14</f>
        <v>-213782.04174757376</v>
      </c>
      <c r="R14">
        <f t="shared" ref="R14" si="47">R15+Q14</f>
        <v>-246121332.72514537</v>
      </c>
      <c r="S14">
        <f t="shared" ref="S14" si="48">R14/100000</f>
        <v>-2461.2133272514538</v>
      </c>
      <c r="T14">
        <f t="shared" ref="T14" si="49">S14/1000</f>
        <v>-2.4612133272514538</v>
      </c>
    </row>
    <row r="15" spans="1:20" x14ac:dyDescent="0.25">
      <c r="A15" s="5">
        <v>44578</v>
      </c>
      <c r="B15">
        <v>1.3879999999999999</v>
      </c>
      <c r="C15">
        <v>1.419</v>
      </c>
      <c r="D15">
        <v>1.266</v>
      </c>
      <c r="E15">
        <v>1.29</v>
      </c>
      <c r="F15">
        <v>806793.6</v>
      </c>
      <c r="G15">
        <v>1.29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-0.68627450980392135</v>
      </c>
      <c r="Q15">
        <f t="shared" ref="Q15" si="51">F15*P15</f>
        <v>-553681.88235294097</v>
      </c>
      <c r="R15">
        <f t="shared" ref="R15" si="52">R16+Q15</f>
        <v>-245907550.6833978</v>
      </c>
      <c r="S15">
        <f t="shared" ref="S15" si="53">R15/100000</f>
        <v>-2459.0755068339781</v>
      </c>
      <c r="T15">
        <f t="shared" ref="T15" si="54">S15/1000</f>
        <v>-2.4590755068339782</v>
      </c>
    </row>
    <row r="16" spans="1:20" x14ac:dyDescent="0.25">
      <c r="A16" s="5">
        <v>44577</v>
      </c>
      <c r="B16">
        <v>1.379</v>
      </c>
      <c r="C16">
        <v>1.391</v>
      </c>
      <c r="D16">
        <v>1.355</v>
      </c>
      <c r="E16">
        <v>1.3879999999999999</v>
      </c>
      <c r="F16">
        <v>156056</v>
      </c>
      <c r="G16">
        <v>1.3879999999999999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0.83333333333332715</v>
      </c>
      <c r="Q16">
        <f t="shared" ref="Q16" si="56">F16*P16</f>
        <v>130046.6666666657</v>
      </c>
      <c r="R16">
        <f t="shared" ref="R16" si="57">R17+Q16</f>
        <v>-245353868.80104485</v>
      </c>
      <c r="S16">
        <f t="shared" ref="S16" si="58">R16/100000</f>
        <v>-2453.5386880104484</v>
      </c>
      <c r="T16">
        <f t="shared" ref="T16" si="59">S16/1000</f>
        <v>-2.4535386880104482</v>
      </c>
    </row>
    <row r="17" spans="1:20" x14ac:dyDescent="0.25">
      <c r="A17" s="5">
        <v>44576</v>
      </c>
      <c r="B17">
        <v>1.419</v>
      </c>
      <c r="C17">
        <v>1.456</v>
      </c>
      <c r="D17">
        <v>1.379</v>
      </c>
      <c r="E17">
        <v>1.38</v>
      </c>
      <c r="F17">
        <v>387687.9</v>
      </c>
      <c r="G17">
        <v>1.38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-0.9740259740259769</v>
      </c>
      <c r="Q17">
        <f t="shared" ref="Q17" si="61">F17*P17</f>
        <v>-377618.08441558556</v>
      </c>
      <c r="R17">
        <f t="shared" ref="R17" si="62">R18+Q17</f>
        <v>-245483915.46771151</v>
      </c>
      <c r="S17">
        <f t="shared" ref="S17" si="63">R17/100000</f>
        <v>-2454.8391546771149</v>
      </c>
      <c r="T17">
        <f t="shared" ref="T17" si="64">S17/1000</f>
        <v>-2.4548391546771149</v>
      </c>
    </row>
    <row r="18" spans="1:20" x14ac:dyDescent="0.25">
      <c r="A18" s="5">
        <v>44575</v>
      </c>
      <c r="B18">
        <v>1.343</v>
      </c>
      <c r="C18">
        <v>1.579</v>
      </c>
      <c r="D18">
        <v>1.339</v>
      </c>
      <c r="E18">
        <v>1.4179999999999999</v>
      </c>
      <c r="F18">
        <v>2193966.1</v>
      </c>
      <c r="G18">
        <v>1.4179999999999999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-0.34166666666666701</v>
      </c>
      <c r="Q18">
        <f t="shared" ref="Q18" si="66">F18*P18</f>
        <v>-749605.08416666742</v>
      </c>
      <c r="R18">
        <f t="shared" ref="R18" si="67">R19+Q18</f>
        <v>-245106297.38329592</v>
      </c>
      <c r="S18">
        <f t="shared" ref="S18" si="68">R18/100000</f>
        <v>-2451.0629738329594</v>
      </c>
      <c r="T18">
        <f t="shared" ref="T18" si="69">S18/1000</f>
        <v>-2.4510629738329595</v>
      </c>
    </row>
    <row r="19" spans="1:20" x14ac:dyDescent="0.25">
      <c r="A19" s="5">
        <v>44574</v>
      </c>
      <c r="B19">
        <v>1.3720000000000001</v>
      </c>
      <c r="C19">
        <v>1.4059999999999999</v>
      </c>
      <c r="D19">
        <v>1.3</v>
      </c>
      <c r="E19">
        <v>1.3480000000000001</v>
      </c>
      <c r="F19">
        <v>735014</v>
      </c>
      <c r="G19">
        <v>1.3480000000000001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-9.433962264150754E-2</v>
      </c>
      <c r="Q19">
        <f t="shared" ref="Q19" si="71">F19*P19</f>
        <v>-69340.943396225019</v>
      </c>
      <c r="R19">
        <f t="shared" ref="R19" si="72">R20+Q19</f>
        <v>-244356692.29912925</v>
      </c>
      <c r="S19">
        <f t="shared" ref="S19" si="73">R19/100000</f>
        <v>-2443.5669229912924</v>
      </c>
      <c r="T19">
        <f t="shared" ref="T19" si="74">S19/1000</f>
        <v>-2.4435669229912924</v>
      </c>
    </row>
    <row r="20" spans="1:20" x14ac:dyDescent="0.25">
      <c r="A20" s="5">
        <v>44573</v>
      </c>
      <c r="B20">
        <v>1.327</v>
      </c>
      <c r="C20">
        <v>1.4119999999999999</v>
      </c>
      <c r="D20">
        <v>1.323</v>
      </c>
      <c r="E20">
        <v>1.3720000000000001</v>
      </c>
      <c r="F20">
        <v>424469.7</v>
      </c>
      <c r="G20">
        <v>1.3720000000000001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0.10112359550562185</v>
      </c>
      <c r="Q20">
        <f t="shared" ref="Q20" si="76">F20*P20</f>
        <v>42923.902247192658</v>
      </c>
      <c r="R20">
        <f t="shared" ref="R20" si="77">R21+Q20</f>
        <v>-244287351.35573304</v>
      </c>
      <c r="S20">
        <f t="shared" ref="S20" si="78">R20/100000</f>
        <v>-2442.8735135573302</v>
      </c>
      <c r="T20">
        <f t="shared" ref="T20" si="79">S20/1000</f>
        <v>-2.4428735135573301</v>
      </c>
    </row>
    <row r="21" spans="1:20" x14ac:dyDescent="0.25">
      <c r="A21" s="5">
        <v>44572</v>
      </c>
      <c r="B21">
        <v>1.2470000000000001</v>
      </c>
      <c r="C21">
        <v>1.37</v>
      </c>
      <c r="D21">
        <v>1.23</v>
      </c>
      <c r="E21">
        <v>1.3240000000000001</v>
      </c>
      <c r="F21">
        <v>598115.4</v>
      </c>
      <c r="G21">
        <v>1.3240000000000001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0.34285714285714286</v>
      </c>
      <c r="Q21">
        <f t="shared" ref="Q21" si="81">F21*P21</f>
        <v>205068.13714285716</v>
      </c>
      <c r="R21">
        <f t="shared" ref="R21" si="82">R22+Q21</f>
        <v>-244330275.25798023</v>
      </c>
      <c r="S21">
        <f t="shared" ref="S21" si="83">R21/100000</f>
        <v>-2443.3027525798025</v>
      </c>
      <c r="T21">
        <f t="shared" ref="T21" si="84">S21/1000</f>
        <v>-2.4433027525798026</v>
      </c>
    </row>
    <row r="22" spans="1:20" x14ac:dyDescent="0.25">
      <c r="A22" s="5">
        <v>44571</v>
      </c>
      <c r="B22">
        <v>1.2829999999999999</v>
      </c>
      <c r="C22">
        <v>1.367</v>
      </c>
      <c r="D22">
        <v>1.17</v>
      </c>
      <c r="E22">
        <v>1.2470000000000001</v>
      </c>
      <c r="F22">
        <v>1466286.1</v>
      </c>
      <c r="G22">
        <v>1.2470000000000001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-0.21827411167512534</v>
      </c>
      <c r="Q22">
        <f t="shared" ref="Q22" si="86">F22*P22</f>
        <v>-320052.29593908403</v>
      </c>
      <c r="R22">
        <f t="shared" ref="R22" si="87">R23+Q22</f>
        <v>-244535343.39512309</v>
      </c>
      <c r="S22">
        <f t="shared" ref="S22" si="88">R22/100000</f>
        <v>-2445.3534339512307</v>
      </c>
      <c r="T22">
        <f t="shared" ref="T22" si="89">S22/1000</f>
        <v>-2.4453534339512308</v>
      </c>
    </row>
    <row r="23" spans="1:20" x14ac:dyDescent="0.25">
      <c r="A23" s="5">
        <v>44570</v>
      </c>
      <c r="B23">
        <v>1.2170000000000001</v>
      </c>
      <c r="C23">
        <v>1.32</v>
      </c>
      <c r="D23">
        <v>1.198</v>
      </c>
      <c r="E23">
        <v>1.284</v>
      </c>
      <c r="F23">
        <v>482585.2</v>
      </c>
      <c r="G23">
        <v>1.284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0.4098360655737705</v>
      </c>
      <c r="Q23">
        <f t="shared" ref="Q23" si="91">F23*P23</f>
        <v>197780.81967213115</v>
      </c>
      <c r="R23">
        <f t="shared" ref="R23" si="92">R24+Q23</f>
        <v>-244215291.09918401</v>
      </c>
      <c r="S23">
        <f t="shared" ref="S23" si="93">R23/100000</f>
        <v>-2442.1529109918401</v>
      </c>
      <c r="T23">
        <f t="shared" ref="T23" si="94">S23/1000</f>
        <v>-2.4421529109918403</v>
      </c>
    </row>
    <row r="24" spans="1:20" x14ac:dyDescent="0.25">
      <c r="A24" s="5">
        <v>44569</v>
      </c>
      <c r="B24">
        <v>1.278</v>
      </c>
      <c r="C24">
        <v>1.3169999999999999</v>
      </c>
      <c r="D24">
        <v>1.1679999999999999</v>
      </c>
      <c r="E24">
        <v>1.218</v>
      </c>
      <c r="F24">
        <v>696887.8</v>
      </c>
      <c r="G24">
        <v>1.218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-0.32885906040268409</v>
      </c>
      <c r="Q24">
        <f t="shared" ref="Q24" si="96">F24*P24</f>
        <v>-229177.86711409365</v>
      </c>
      <c r="R24">
        <f t="shared" ref="R24" si="97">R25+Q24</f>
        <v>-244413071.91885614</v>
      </c>
      <c r="S24">
        <f t="shared" ref="S24" si="98">R24/100000</f>
        <v>-2444.1307191885612</v>
      </c>
      <c r="T24">
        <f t="shared" ref="T24" si="99">S24/1000</f>
        <v>-2.4441307191885611</v>
      </c>
    </row>
    <row r="25" spans="1:20" x14ac:dyDescent="0.25">
      <c r="A25" s="5">
        <v>44568</v>
      </c>
      <c r="B25">
        <v>1.3620000000000001</v>
      </c>
      <c r="C25">
        <v>1.3620000000000001</v>
      </c>
      <c r="D25">
        <v>1.2629999999999999</v>
      </c>
      <c r="E25">
        <v>1.2749999999999999</v>
      </c>
      <c r="F25">
        <v>409646.9</v>
      </c>
      <c r="G25">
        <v>1.2749999999999999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-0.7575757575757579</v>
      </c>
      <c r="Q25">
        <f t="shared" ref="Q25" si="101">F25*P25</f>
        <v>-310338.56060606078</v>
      </c>
      <c r="R25">
        <f t="shared" ref="R25" si="102">R26+Q25</f>
        <v>-244183894.05174205</v>
      </c>
      <c r="S25">
        <f t="shared" ref="S25" si="103">R25/100000</f>
        <v>-2441.8389405174203</v>
      </c>
      <c r="T25">
        <f t="shared" ref="T25" si="104">S25/1000</f>
        <v>-2.4418389405174201</v>
      </c>
    </row>
    <row r="26" spans="1:20" x14ac:dyDescent="0.25">
      <c r="A26" s="5">
        <v>44567</v>
      </c>
      <c r="B26">
        <v>1.385</v>
      </c>
      <c r="C26">
        <v>1.4359999999999999</v>
      </c>
      <c r="D26">
        <v>1.3120000000000001</v>
      </c>
      <c r="E26">
        <v>1.365</v>
      </c>
      <c r="F26">
        <v>357778.4</v>
      </c>
      <c r="G26">
        <v>1.365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-0.1451612903225809</v>
      </c>
      <c r="Q26">
        <f t="shared" ref="Q26" si="106">F26*P26</f>
        <v>-51935.574193548484</v>
      </c>
      <c r="R26">
        <f t="shared" ref="R26" si="107">R27+Q26</f>
        <v>-243873555.49113598</v>
      </c>
      <c r="S26">
        <f t="shared" ref="S26" si="108">R26/100000</f>
        <v>-2438.7355549113599</v>
      </c>
      <c r="T26">
        <f t="shared" ref="T26" si="109">S26/1000</f>
        <v>-2.4387355549113598</v>
      </c>
    </row>
    <row r="27" spans="1:20" x14ac:dyDescent="0.25">
      <c r="A27" s="5">
        <v>44566</v>
      </c>
      <c r="B27">
        <v>1.486</v>
      </c>
      <c r="C27">
        <v>1.5580000000000001</v>
      </c>
      <c r="D27">
        <v>1.351</v>
      </c>
      <c r="E27">
        <v>1.385</v>
      </c>
      <c r="F27">
        <v>523659.6</v>
      </c>
      <c r="G27">
        <v>1.385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-0.67149758454106268</v>
      </c>
      <c r="Q27">
        <f t="shared" ref="Q27" si="111">F27*P27</f>
        <v>-351636.15652173903</v>
      </c>
      <c r="R27">
        <f t="shared" ref="R27" si="112">R28+Q27</f>
        <v>-243821619.91694245</v>
      </c>
      <c r="S27">
        <f t="shared" ref="S27" si="113">R27/100000</f>
        <v>-2438.2161991694243</v>
      </c>
      <c r="T27">
        <f t="shared" ref="T27" si="114">S27/1000</f>
        <v>-2.4382161991694242</v>
      </c>
    </row>
    <row r="28" spans="1:20" x14ac:dyDescent="0.25">
      <c r="A28" s="5">
        <v>44565</v>
      </c>
      <c r="B28">
        <v>1.538</v>
      </c>
      <c r="C28">
        <v>1.5620000000000001</v>
      </c>
      <c r="D28">
        <v>1.474</v>
      </c>
      <c r="E28">
        <v>1.486</v>
      </c>
      <c r="F28">
        <v>591511.1</v>
      </c>
      <c r="G28">
        <v>1.486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-0.72727272727272729</v>
      </c>
      <c r="Q28">
        <f t="shared" ref="Q28" si="116">F28*P28</f>
        <v>-430189.89090909093</v>
      </c>
      <c r="R28">
        <f t="shared" ref="R28" si="117">R29+Q28</f>
        <v>-243469983.76042071</v>
      </c>
      <c r="S28">
        <f t="shared" ref="S28" si="118">R28/100000</f>
        <v>-2434.699837604207</v>
      </c>
      <c r="T28">
        <f t="shared" ref="T28" si="119">S28/1000</f>
        <v>-2.4346998376042071</v>
      </c>
    </row>
    <row r="29" spans="1:20" x14ac:dyDescent="0.25">
      <c r="A29" s="5">
        <v>44564</v>
      </c>
      <c r="B29">
        <v>1.4830000000000001</v>
      </c>
      <c r="C29">
        <v>1.6950000000000001</v>
      </c>
      <c r="D29">
        <v>1.454</v>
      </c>
      <c r="E29">
        <v>1.5349999999999999</v>
      </c>
      <c r="F29">
        <v>3155647.3</v>
      </c>
      <c r="G29">
        <v>1.5349999999999999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-0.32780082987551928</v>
      </c>
      <c r="Q29">
        <f t="shared" ref="Q29" si="121">F29*P29</f>
        <v>-1034423.8037344418</v>
      </c>
      <c r="R29">
        <f t="shared" ref="R29" si="122">R30+Q29</f>
        <v>-243039793.8695116</v>
      </c>
      <c r="S29">
        <f t="shared" ref="S29" si="123">R29/100000</f>
        <v>-2430.397938695116</v>
      </c>
      <c r="T29">
        <f t="shared" ref="T29" si="124">S29/1000</f>
        <v>-2.430397938695116</v>
      </c>
    </row>
    <row r="30" spans="1:20" x14ac:dyDescent="0.25">
      <c r="A30" s="5">
        <v>44563</v>
      </c>
      <c r="B30">
        <v>1.4119999999999999</v>
      </c>
      <c r="C30">
        <v>1.5049999999999999</v>
      </c>
      <c r="D30">
        <v>1.3759999999999999</v>
      </c>
      <c r="E30">
        <v>1.4810000000000001</v>
      </c>
      <c r="F30">
        <v>851421.3</v>
      </c>
      <c r="G30">
        <v>1.4810000000000001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0.62790697674418916</v>
      </c>
      <c r="Q30">
        <f t="shared" ref="Q30" si="126">F30*P30</f>
        <v>534613.37441860733</v>
      </c>
      <c r="R30">
        <f t="shared" ref="R30" si="127">R31+Q30</f>
        <v>-242005370.06577715</v>
      </c>
      <c r="S30">
        <f t="shared" ref="S30" si="128">R30/100000</f>
        <v>-2420.0537006577715</v>
      </c>
      <c r="T30">
        <f t="shared" ref="T30" si="129">S30/1000</f>
        <v>-2.4200537006577716</v>
      </c>
    </row>
    <row r="31" spans="1:20" x14ac:dyDescent="0.25">
      <c r="A31" s="5">
        <v>44562</v>
      </c>
      <c r="B31">
        <v>1.3779999999999999</v>
      </c>
      <c r="C31">
        <v>1.4239999999999999</v>
      </c>
      <c r="D31">
        <v>1.369</v>
      </c>
      <c r="E31">
        <v>1.413</v>
      </c>
      <c r="F31">
        <v>423801.4</v>
      </c>
      <c r="G31">
        <v>1.413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0.6000000000000032</v>
      </c>
      <c r="Q31">
        <f t="shared" ref="Q31" si="131">F31*P31</f>
        <v>254280.84000000136</v>
      </c>
      <c r="R31">
        <f t="shared" ref="R31" si="132">R32+Q31</f>
        <v>-242539983.44019577</v>
      </c>
      <c r="S31">
        <f t="shared" ref="S31" si="133">R31/100000</f>
        <v>-2425.3998344019578</v>
      </c>
      <c r="T31">
        <f t="shared" ref="T31" si="134">S31/1000</f>
        <v>-2.4253998344019578</v>
      </c>
    </row>
    <row r="32" spans="1:20" x14ac:dyDescent="0.25">
      <c r="A32" s="5">
        <v>44561</v>
      </c>
      <c r="B32">
        <v>1.4330000000000001</v>
      </c>
      <c r="C32">
        <v>1.446</v>
      </c>
      <c r="D32">
        <v>1.3680000000000001</v>
      </c>
      <c r="E32">
        <v>1.375</v>
      </c>
      <c r="F32">
        <v>486110</v>
      </c>
      <c r="G32">
        <v>1.375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-0.82051282051282282</v>
      </c>
      <c r="Q32">
        <f t="shared" ref="Q32" si="136">F32*P32</f>
        <v>-398859.48717948829</v>
      </c>
      <c r="R32">
        <f t="shared" ref="R32" si="137">R33+Q32</f>
        <v>-242794264.28019577</v>
      </c>
      <c r="S32">
        <f t="shared" ref="S32" si="138">R32/100000</f>
        <v>-2427.9426428019578</v>
      </c>
      <c r="T32">
        <f t="shared" ref="T32" si="139">S32/1000</f>
        <v>-2.4279426428019577</v>
      </c>
    </row>
    <row r="33" spans="1:20" x14ac:dyDescent="0.25">
      <c r="A33" s="5">
        <v>44560</v>
      </c>
      <c r="B33">
        <v>1.425</v>
      </c>
      <c r="C33">
        <v>1.4870000000000001</v>
      </c>
      <c r="D33">
        <v>1.3979999999999999</v>
      </c>
      <c r="E33">
        <v>1.4350000000000001</v>
      </c>
      <c r="F33">
        <v>376364.7</v>
      </c>
      <c r="G33">
        <v>1.4350000000000001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-0.16853932584269518</v>
      </c>
      <c r="Q33">
        <f t="shared" ref="Q33" si="141">F33*P33</f>
        <v>-63432.252808988218</v>
      </c>
      <c r="R33">
        <f t="shared" ref="R33" si="142">R34+Q33</f>
        <v>-242395404.79301628</v>
      </c>
      <c r="S33">
        <f t="shared" ref="S33" si="143">R33/100000</f>
        <v>-2423.9540479301627</v>
      </c>
      <c r="T33">
        <f t="shared" ref="T33" si="144">S33/1000</f>
        <v>-2.4239540479301627</v>
      </c>
    </row>
    <row r="34" spans="1:20" x14ac:dyDescent="0.25">
      <c r="A34" s="5">
        <v>44559</v>
      </c>
      <c r="B34">
        <v>1.5089999999999999</v>
      </c>
      <c r="C34">
        <v>1.571</v>
      </c>
      <c r="D34">
        <v>1.41</v>
      </c>
      <c r="E34">
        <v>1.425</v>
      </c>
      <c r="F34">
        <v>542354.5</v>
      </c>
      <c r="G34">
        <v>1.425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-0.81366459627329046</v>
      </c>
      <c r="Q34">
        <f t="shared" ref="Q34" si="146">F34*P34</f>
        <v>-441294.65527950233</v>
      </c>
      <c r="R34">
        <f t="shared" ref="R34" si="147">R35+Q34</f>
        <v>-242331972.5402073</v>
      </c>
      <c r="S34">
        <f t="shared" ref="S34" si="148">R34/100000</f>
        <v>-2423.3197254020729</v>
      </c>
      <c r="T34">
        <f t="shared" ref="T34" si="149">S34/1000</f>
        <v>-2.4233197254020729</v>
      </c>
    </row>
    <row r="35" spans="1:20" x14ac:dyDescent="0.25">
      <c r="A35" s="5">
        <v>44558</v>
      </c>
      <c r="B35">
        <v>1.6279999999999999</v>
      </c>
      <c r="C35">
        <v>1.6539999999999999</v>
      </c>
      <c r="D35">
        <v>1.4970000000000001</v>
      </c>
      <c r="E35">
        <v>1.51</v>
      </c>
      <c r="F35">
        <v>770733.8</v>
      </c>
      <c r="G35">
        <v>1.51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-0.83439490445859976</v>
      </c>
      <c r="Q35">
        <f t="shared" ref="Q35" si="151">F35*P35</f>
        <v>-643096.35541401361</v>
      </c>
      <c r="R35">
        <f t="shared" ref="R35" si="152">R36+Q35</f>
        <v>-241890677.88492778</v>
      </c>
      <c r="S35">
        <f t="shared" ref="S35" si="153">R35/100000</f>
        <v>-2418.906778849278</v>
      </c>
      <c r="T35">
        <f t="shared" ref="T35" si="154">S35/1000</f>
        <v>-2.4189067788492782</v>
      </c>
    </row>
    <row r="36" spans="1:20" x14ac:dyDescent="0.25">
      <c r="A36" s="5">
        <v>44557</v>
      </c>
      <c r="B36">
        <v>1.615</v>
      </c>
      <c r="C36">
        <v>1.698</v>
      </c>
      <c r="D36">
        <v>1.5940000000000001</v>
      </c>
      <c r="E36">
        <v>1.6240000000000001</v>
      </c>
      <c r="F36">
        <v>716664.3</v>
      </c>
      <c r="G36">
        <v>1.6240000000000001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-0.42307692307692185</v>
      </c>
      <c r="Q36">
        <f t="shared" ref="Q36" si="156">F36*P36</f>
        <v>-303204.12692307605</v>
      </c>
      <c r="R36">
        <f t="shared" ref="R36" si="157">R37+Q36</f>
        <v>-241247581.52951378</v>
      </c>
      <c r="S36">
        <f t="shared" ref="S36" si="158">R36/100000</f>
        <v>-2412.4758152951376</v>
      </c>
      <c r="T36">
        <f t="shared" ref="T36" si="159">S36/1000</f>
        <v>-2.4124758152951378</v>
      </c>
    </row>
    <row r="37" spans="1:20" x14ac:dyDescent="0.25">
      <c r="A37" s="5">
        <v>44556</v>
      </c>
      <c r="B37">
        <v>1.6419999999999999</v>
      </c>
      <c r="C37">
        <v>1.671</v>
      </c>
      <c r="D37">
        <v>1.57</v>
      </c>
      <c r="E37">
        <v>1.6180000000000001</v>
      </c>
      <c r="F37">
        <v>774048.1</v>
      </c>
      <c r="G37">
        <v>1.6180000000000001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-4.950495049504846E-2</v>
      </c>
      <c r="Q37">
        <f t="shared" ref="Q37" si="161">F37*P37</f>
        <v>-38319.21287128632</v>
      </c>
      <c r="R37">
        <f t="shared" ref="R37" si="162">R38+Q37</f>
        <v>-240944377.40259069</v>
      </c>
      <c r="S37">
        <f t="shared" ref="S37" si="163">R37/100000</f>
        <v>-2409.4437740259068</v>
      </c>
      <c r="T37">
        <f t="shared" ref="T37" si="164">S37/1000</f>
        <v>-2.4094437740259069</v>
      </c>
    </row>
    <row r="38" spans="1:20" x14ac:dyDescent="0.25">
      <c r="A38" s="5">
        <v>44555</v>
      </c>
      <c r="B38">
        <v>1.6140000000000001</v>
      </c>
      <c r="C38">
        <v>1.78</v>
      </c>
      <c r="D38">
        <v>1.591</v>
      </c>
      <c r="E38">
        <v>1.6479999999999999</v>
      </c>
      <c r="F38">
        <v>1608015.1</v>
      </c>
      <c r="G38">
        <v>1.6479999999999999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-0.39682539682539764</v>
      </c>
      <c r="Q38">
        <f t="shared" ref="Q38" si="166">F38*P38</f>
        <v>-638101.23015873146</v>
      </c>
      <c r="R38">
        <f t="shared" ref="R38" si="167">R39+Q38</f>
        <v>-240906058.18971941</v>
      </c>
      <c r="S38">
        <f t="shared" ref="S38" si="168">R38/100000</f>
        <v>-2409.060581897194</v>
      </c>
      <c r="T38">
        <f t="shared" ref="T38" si="169">S38/1000</f>
        <v>-2.4090605818971942</v>
      </c>
    </row>
    <row r="39" spans="1:20" x14ac:dyDescent="0.25">
      <c r="A39" s="5">
        <v>44554</v>
      </c>
      <c r="B39">
        <v>1.5509999999999999</v>
      </c>
      <c r="C39">
        <v>1.7270000000000001</v>
      </c>
      <c r="D39">
        <v>1.5189999999999999</v>
      </c>
      <c r="E39">
        <v>1.6140000000000001</v>
      </c>
      <c r="F39">
        <v>2317318.4</v>
      </c>
      <c r="G39">
        <v>1.6140000000000001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-8.6538461538460468E-2</v>
      </c>
      <c r="Q39">
        <f t="shared" ref="Q39" si="171">F39*P39</f>
        <v>-200537.16923076674</v>
      </c>
      <c r="R39">
        <f t="shared" ref="R39" si="172">R40+Q39</f>
        <v>-240267956.95956066</v>
      </c>
      <c r="S39">
        <f t="shared" ref="S39" si="173">R39/100000</f>
        <v>-2402.6795695956066</v>
      </c>
      <c r="T39">
        <f t="shared" ref="T39" si="174">S39/1000</f>
        <v>-2.4026795695956067</v>
      </c>
    </row>
    <row r="40" spans="1:20" x14ac:dyDescent="0.25">
      <c r="A40" s="5">
        <v>44553</v>
      </c>
      <c r="B40">
        <v>1.514</v>
      </c>
      <c r="C40">
        <v>1.629</v>
      </c>
      <c r="D40">
        <v>1.48</v>
      </c>
      <c r="E40">
        <v>1.552</v>
      </c>
      <c r="F40">
        <v>906481.5</v>
      </c>
      <c r="G40">
        <v>1.552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-3.355704697986505E-2</v>
      </c>
      <c r="Q40">
        <f t="shared" ref="Q40" si="176">F40*P40</f>
        <v>-30418.84228187854</v>
      </c>
      <c r="R40">
        <f t="shared" ref="R40" si="177">R41+Q40</f>
        <v>-240067419.7903299</v>
      </c>
      <c r="S40">
        <f t="shared" ref="S40" si="178">R40/100000</f>
        <v>-2400.674197903299</v>
      </c>
      <c r="T40">
        <f t="shared" ref="T40" si="179">S40/1000</f>
        <v>-2.4006741979032991</v>
      </c>
    </row>
    <row r="41" spans="1:20" x14ac:dyDescent="0.25">
      <c r="A41" s="5">
        <v>44552</v>
      </c>
      <c r="B41">
        <v>1.508</v>
      </c>
      <c r="C41">
        <v>1.554</v>
      </c>
      <c r="D41">
        <v>1.472</v>
      </c>
      <c r="E41">
        <v>1.514</v>
      </c>
      <c r="F41">
        <v>1118926.1000000001</v>
      </c>
      <c r="G41">
        <v>1.514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2.4390243902439025E-2</v>
      </c>
      <c r="Q41">
        <f t="shared" ref="Q41" si="181">F41*P41</f>
        <v>27290.88048780488</v>
      </c>
      <c r="R41">
        <f t="shared" ref="R41" si="182">R42+Q41</f>
        <v>-240037000.94804803</v>
      </c>
      <c r="S41">
        <f t="shared" ref="S41" si="183">R41/100000</f>
        <v>-2400.3700094804803</v>
      </c>
      <c r="T41">
        <f t="shared" ref="T41" si="184">S41/1000</f>
        <v>-2.4003700094804805</v>
      </c>
    </row>
    <row r="42" spans="1:20" x14ac:dyDescent="0.25">
      <c r="A42" s="5">
        <v>44551</v>
      </c>
      <c r="B42">
        <v>1.512</v>
      </c>
      <c r="C42">
        <v>1.58</v>
      </c>
      <c r="D42">
        <v>1.48</v>
      </c>
      <c r="E42">
        <v>1.508</v>
      </c>
      <c r="F42">
        <v>1243349</v>
      </c>
      <c r="G42">
        <v>1.508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-0.44</v>
      </c>
      <c r="Q42">
        <f t="shared" ref="Q42" si="186">F42*P42</f>
        <v>-547073.56000000006</v>
      </c>
      <c r="R42">
        <f t="shared" ref="R42" si="187">R43+Q42</f>
        <v>-240064291.82853583</v>
      </c>
      <c r="S42">
        <f t="shared" ref="S42" si="188">R42/100000</f>
        <v>-2400.6429182853581</v>
      </c>
      <c r="T42">
        <f t="shared" ref="T42" si="189">S42/1000</f>
        <v>-2.4006429182853579</v>
      </c>
    </row>
    <row r="43" spans="1:20" x14ac:dyDescent="0.25">
      <c r="A43" s="5">
        <v>44550</v>
      </c>
      <c r="B43">
        <v>1.6020000000000001</v>
      </c>
      <c r="C43">
        <v>1.665</v>
      </c>
      <c r="D43">
        <v>1.4470000000000001</v>
      </c>
      <c r="E43">
        <v>1.512</v>
      </c>
      <c r="F43">
        <v>5805795.0999999996</v>
      </c>
      <c r="G43">
        <v>1.512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-0.40366972477064261</v>
      </c>
      <c r="Q43">
        <f t="shared" ref="Q43" si="191">F43*P43</f>
        <v>-2343623.7100917455</v>
      </c>
      <c r="R43">
        <f t="shared" ref="R43" si="192">R44+Q43</f>
        <v>-239517218.26853582</v>
      </c>
      <c r="S43">
        <f t="shared" ref="S43" si="193">R43/100000</f>
        <v>-2395.1721826853582</v>
      </c>
      <c r="T43">
        <f t="shared" ref="T43" si="194">S43/1000</f>
        <v>-2.395172182685358</v>
      </c>
    </row>
    <row r="44" spans="1:20" x14ac:dyDescent="0.25">
      <c r="A44" s="5">
        <v>44549</v>
      </c>
      <c r="B44">
        <v>1.42</v>
      </c>
      <c r="C44">
        <v>2.0859999999999999</v>
      </c>
      <c r="D44">
        <v>1.3759999999999999</v>
      </c>
      <c r="E44">
        <v>1.6020000000000001</v>
      </c>
      <c r="F44">
        <v>19963546.899999999</v>
      </c>
      <c r="G44">
        <v>1.6020000000000001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-0.36338028169014025</v>
      </c>
      <c r="Q44">
        <f t="shared" ref="Q44" si="196">F44*P44</f>
        <v>-7254359.2960563255</v>
      </c>
      <c r="R44">
        <f t="shared" ref="R44" si="197">R45+Q44</f>
        <v>-237173594.55844408</v>
      </c>
      <c r="S44">
        <f t="shared" ref="S44" si="198">R44/100000</f>
        <v>-2371.7359455844407</v>
      </c>
      <c r="T44">
        <f t="shared" ref="T44" si="199">S44/1000</f>
        <v>-2.3717359455844407</v>
      </c>
    </row>
    <row r="45" spans="1:20" x14ac:dyDescent="0.25">
      <c r="A45" s="5">
        <v>44548</v>
      </c>
      <c r="B45">
        <v>1.3109999999999999</v>
      </c>
      <c r="C45">
        <v>1.65</v>
      </c>
      <c r="D45">
        <v>1.288</v>
      </c>
      <c r="E45">
        <v>1.415</v>
      </c>
      <c r="F45">
        <v>3199865.8</v>
      </c>
      <c r="G45">
        <v>1.415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-0.29834254143646383</v>
      </c>
      <c r="Q45">
        <f t="shared" ref="Q45" si="201">F45*P45</f>
        <v>-954656.09502762347</v>
      </c>
      <c r="R45">
        <f t="shared" ref="R45" si="202">R46+Q45</f>
        <v>-229919235.26238775</v>
      </c>
      <c r="S45">
        <f t="shared" ref="S45" si="203">R45/100000</f>
        <v>-2299.1923526238775</v>
      </c>
      <c r="T45">
        <f t="shared" ref="T45" si="204">S45/1000</f>
        <v>-2.2991923526238773</v>
      </c>
    </row>
    <row r="46" spans="1:20" x14ac:dyDescent="0.25">
      <c r="A46" s="5">
        <v>44547</v>
      </c>
      <c r="B46">
        <v>1.355</v>
      </c>
      <c r="C46">
        <v>1.4450000000000001</v>
      </c>
      <c r="D46">
        <v>1.282</v>
      </c>
      <c r="E46">
        <v>1.3109999999999999</v>
      </c>
      <c r="F46">
        <v>1666482.4</v>
      </c>
      <c r="G46">
        <v>1.3109999999999999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-0.64417177914110546</v>
      </c>
      <c r="Q46">
        <f t="shared" ref="Q46" si="206">F46*P46</f>
        <v>-1073500.9325153392</v>
      </c>
      <c r="R46">
        <f t="shared" ref="R46" si="207">R47+Q46</f>
        <v>-228964579.16736013</v>
      </c>
      <c r="S46">
        <f t="shared" ref="S46" si="208">R46/100000</f>
        <v>-2289.6457916736013</v>
      </c>
      <c r="T46">
        <f t="shared" ref="T46" si="209">S46/1000</f>
        <v>-2.289645791673601</v>
      </c>
    </row>
    <row r="47" spans="1:20" x14ac:dyDescent="0.25">
      <c r="A47" s="5">
        <v>44546</v>
      </c>
      <c r="B47">
        <v>1.393</v>
      </c>
      <c r="C47">
        <v>1.45</v>
      </c>
      <c r="D47">
        <v>1.333</v>
      </c>
      <c r="E47">
        <v>1.355</v>
      </c>
      <c r="F47">
        <v>1532428.3</v>
      </c>
      <c r="G47">
        <v>1.355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-0.6239316239316236</v>
      </c>
      <c r="Q47">
        <f t="shared" ref="Q47" si="211">F47*P47</f>
        <v>-956130.47777777736</v>
      </c>
      <c r="R47">
        <f t="shared" ref="R47" si="212">R48+Q47</f>
        <v>-227891078.23484477</v>
      </c>
      <c r="S47">
        <f t="shared" ref="S47" si="213">R47/100000</f>
        <v>-2278.9107823484478</v>
      </c>
      <c r="T47">
        <f t="shared" ref="T47" si="214">S47/1000</f>
        <v>-2.278910782348448</v>
      </c>
    </row>
    <row r="48" spans="1:20" x14ac:dyDescent="0.25">
      <c r="A48" s="5">
        <v>44545</v>
      </c>
      <c r="B48">
        <v>1.377</v>
      </c>
      <c r="C48">
        <v>1.595</v>
      </c>
      <c r="D48">
        <v>1.25</v>
      </c>
      <c r="E48">
        <v>1.3919999999999999</v>
      </c>
      <c r="F48">
        <v>6289908.5999999996</v>
      </c>
      <c r="G48">
        <v>1.3919999999999999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-0.17681159420289905</v>
      </c>
      <c r="Q48">
        <f t="shared" ref="Q48" si="216">F48*P48</f>
        <v>-1112128.7669565247</v>
      </c>
      <c r="R48">
        <f t="shared" ref="R48" si="217">R49+Q48</f>
        <v>-226934947.75706699</v>
      </c>
      <c r="S48">
        <f t="shared" ref="S48" si="218">R48/100000</f>
        <v>-2269.3494775706699</v>
      </c>
      <c r="T48">
        <f t="shared" ref="T48" si="219">S48/1000</f>
        <v>-2.2693494775706697</v>
      </c>
    </row>
    <row r="49" spans="1:20" x14ac:dyDescent="0.25">
      <c r="A49" s="5">
        <v>44544</v>
      </c>
      <c r="B49">
        <v>1.3560000000000001</v>
      </c>
      <c r="C49">
        <v>2</v>
      </c>
      <c r="D49">
        <v>1.2809999999999999</v>
      </c>
      <c r="E49">
        <v>1.3720000000000001</v>
      </c>
      <c r="F49">
        <v>40141024.5</v>
      </c>
      <c r="G49">
        <v>1.3720000000000001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-0.74687065368567407</v>
      </c>
      <c r="Q49">
        <f t="shared" ref="Q49" si="221">F49*P49</f>
        <v>-29980153.207927659</v>
      </c>
      <c r="R49">
        <f t="shared" ref="R49" si="222">R50+Q49</f>
        <v>-225822818.99011046</v>
      </c>
      <c r="S49">
        <f t="shared" ref="S49" si="223">R49/100000</f>
        <v>-2258.2281899011045</v>
      </c>
      <c r="T49">
        <f t="shared" ref="T49" si="224">S49/1000</f>
        <v>-2.2582281899011045</v>
      </c>
    </row>
    <row r="50" spans="1:20" x14ac:dyDescent="0.25">
      <c r="A50" s="5">
        <v>44543</v>
      </c>
      <c r="B50">
        <v>1.2</v>
      </c>
      <c r="C50">
        <v>1.58</v>
      </c>
      <c r="D50">
        <v>1.0149999999999999</v>
      </c>
      <c r="E50">
        <v>1.359</v>
      </c>
      <c r="F50">
        <v>7682357.7999999998</v>
      </c>
      <c r="G50">
        <v>1.359</v>
      </c>
      <c r="L50" t="s">
        <v>8</v>
      </c>
      <c r="M50" t="s">
        <v>7</v>
      </c>
      <c r="N50" t="s">
        <v>8</v>
      </c>
      <c r="P50">
        <f t="shared" ref="P50" si="225">IF(C50=D50,0,((E50-D50)-(C50-E50))/(C50-D50))</f>
        <v>0.21769911504424772</v>
      </c>
      <c r="Q50">
        <f t="shared" ref="Q50" si="226">F50*P50</f>
        <v>1672442.4945132737</v>
      </c>
      <c r="R50">
        <f t="shared" ref="R50" si="227">R51+Q50</f>
        <v>-195842665.78218281</v>
      </c>
      <c r="S50">
        <f t="shared" ref="S50" si="228">R50/100000</f>
        <v>-1958.426657821828</v>
      </c>
      <c r="T50">
        <f t="shared" ref="T50" si="229">S50/1000</f>
        <v>-1.9584266578218281</v>
      </c>
    </row>
    <row r="51" spans="1:20" x14ac:dyDescent="0.25">
      <c r="A51" s="5">
        <v>44542</v>
      </c>
      <c r="B51">
        <v>1.1879999999999999</v>
      </c>
      <c r="C51">
        <v>1.244</v>
      </c>
      <c r="D51">
        <v>1.1679999999999999</v>
      </c>
      <c r="E51">
        <v>1.2010000000000001</v>
      </c>
      <c r="F51">
        <v>1834291.6</v>
      </c>
      <c r="G51">
        <v>1.2010000000000001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-0.13157894736841813</v>
      </c>
      <c r="Q51">
        <f t="shared" ref="Q51" si="231">F51*P51</f>
        <v>-241354.1578947315</v>
      </c>
      <c r="R51">
        <f t="shared" ref="R51" si="232">R52+Q51</f>
        <v>-197515108.27669609</v>
      </c>
      <c r="S51">
        <f t="shared" ref="S51" si="233">R51/100000</f>
        <v>-1975.1510827669608</v>
      </c>
      <c r="T51">
        <f t="shared" ref="T51" si="234">S51/1000</f>
        <v>-1.9751510827669607</v>
      </c>
    </row>
    <row r="52" spans="1:20" x14ac:dyDescent="0.25">
      <c r="A52" s="5">
        <v>44541</v>
      </c>
      <c r="B52">
        <v>1.1519999999999999</v>
      </c>
      <c r="C52">
        <v>1.1679999999999999</v>
      </c>
      <c r="D52">
        <v>1.1299999999999999</v>
      </c>
      <c r="E52">
        <v>1.1639999999999999</v>
      </c>
      <c r="F52">
        <v>145383.9</v>
      </c>
      <c r="G52">
        <v>1.1639999999999999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0.78947368421052633</v>
      </c>
      <c r="Q52">
        <f t="shared" ref="Q52" si="236">F52*P52</f>
        <v>114776.76315789473</v>
      </c>
      <c r="R52">
        <f t="shared" ref="R52" si="237">R53+Q52</f>
        <v>-197273754.11880136</v>
      </c>
      <c r="S52">
        <f t="shared" ref="S52" si="238">R52/100000</f>
        <v>-1972.7375411880137</v>
      </c>
      <c r="T52">
        <f t="shared" ref="T52" si="239">S52/1000</f>
        <v>-1.9727375411880137</v>
      </c>
    </row>
    <row r="53" spans="1:20" x14ac:dyDescent="0.25">
      <c r="A53" s="5">
        <v>44540</v>
      </c>
      <c r="B53">
        <v>1.1779999999999999</v>
      </c>
      <c r="C53">
        <v>1.28</v>
      </c>
      <c r="D53">
        <v>1.149</v>
      </c>
      <c r="E53">
        <v>1.1539999999999999</v>
      </c>
      <c r="F53">
        <v>1043487.3</v>
      </c>
      <c r="G53">
        <v>1.1539999999999999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-0.92366412213740623</v>
      </c>
      <c r="Q53">
        <f t="shared" ref="Q53" si="241">F53*P53</f>
        <v>-963831.78091603226</v>
      </c>
      <c r="R53">
        <f t="shared" ref="R53" si="242">R54+Q53</f>
        <v>-197388530.88195926</v>
      </c>
      <c r="S53">
        <f t="shared" ref="S53" si="243">R53/100000</f>
        <v>-1973.8853088195926</v>
      </c>
      <c r="T53">
        <f t="shared" ref="T53" si="244">S53/1000</f>
        <v>-1.9738853088195927</v>
      </c>
    </row>
    <row r="54" spans="1:20" x14ac:dyDescent="0.25">
      <c r="A54" s="5">
        <v>44539</v>
      </c>
      <c r="B54">
        <v>1.2769999999999999</v>
      </c>
      <c r="C54">
        <v>1.29</v>
      </c>
      <c r="D54">
        <v>1.1519999999999999</v>
      </c>
      <c r="E54">
        <v>1.1759999999999999</v>
      </c>
      <c r="F54">
        <v>1095732.8999999999</v>
      </c>
      <c r="G54">
        <v>1.1759999999999999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-0.65217391304347827</v>
      </c>
      <c r="Q54">
        <f t="shared" ref="Q54" si="246">F54*P54</f>
        <v>-714608.41304347815</v>
      </c>
      <c r="R54">
        <f t="shared" ref="R54" si="247">R55+Q54</f>
        <v>-196424699.10104322</v>
      </c>
      <c r="S54">
        <f t="shared" ref="S54" si="248">R54/100000</f>
        <v>-1964.2469910104323</v>
      </c>
      <c r="T54">
        <f t="shared" ref="T54" si="249">S54/1000</f>
        <v>-1.9642469910104323</v>
      </c>
    </row>
    <row r="55" spans="1:20" x14ac:dyDescent="0.25">
      <c r="A55" s="5">
        <v>44538</v>
      </c>
      <c r="B55">
        <v>1.246</v>
      </c>
      <c r="C55">
        <v>1.3380000000000001</v>
      </c>
      <c r="D55">
        <v>1.228</v>
      </c>
      <c r="E55">
        <v>1.2769999999999999</v>
      </c>
      <c r="F55">
        <v>4864206.2</v>
      </c>
      <c r="G55">
        <v>1.2769999999999999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-0.10909090909091111</v>
      </c>
      <c r="Q55">
        <f t="shared" ref="Q55" si="251">F55*P55</f>
        <v>-530640.67636364617</v>
      </c>
      <c r="R55">
        <f t="shared" ref="R55" si="252">R56+Q55</f>
        <v>-195710090.68799976</v>
      </c>
      <c r="S55">
        <f t="shared" ref="S55" si="253">R55/100000</f>
        <v>-1957.1009068799976</v>
      </c>
      <c r="T55">
        <f t="shared" ref="T55" si="254">S55/1000</f>
        <v>-1.9571009068799976</v>
      </c>
    </row>
    <row r="56" spans="1:20" x14ac:dyDescent="0.25">
      <c r="A56" s="5">
        <v>44537</v>
      </c>
      <c r="B56">
        <v>1.2549999999999999</v>
      </c>
      <c r="C56">
        <v>1.339</v>
      </c>
      <c r="D56">
        <v>1.228</v>
      </c>
      <c r="E56">
        <v>1.246</v>
      </c>
      <c r="F56">
        <v>2418109.9</v>
      </c>
      <c r="G56">
        <v>1.246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-0.67567567567567532</v>
      </c>
      <c r="Q56">
        <f t="shared" ref="Q56" si="256">F56*P56</f>
        <v>-1633858.0405405397</v>
      </c>
      <c r="R56">
        <f t="shared" ref="R56" si="257">R57+Q56</f>
        <v>-195179450.01163611</v>
      </c>
      <c r="S56">
        <f t="shared" ref="S56" si="258">R56/100000</f>
        <v>-1951.7945001163612</v>
      </c>
      <c r="T56">
        <f t="shared" ref="T56" si="259">S56/1000</f>
        <v>-1.9517945001163612</v>
      </c>
    </row>
    <row r="57" spans="1:20" x14ac:dyDescent="0.25">
      <c r="A57" s="5">
        <v>44536</v>
      </c>
      <c r="B57">
        <v>1.27</v>
      </c>
      <c r="C57">
        <v>1.361</v>
      </c>
      <c r="D57">
        <v>1.1499999999999999</v>
      </c>
      <c r="E57">
        <v>1.252</v>
      </c>
      <c r="F57">
        <v>2348062.6</v>
      </c>
      <c r="G57">
        <v>1.252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-3.3175355450236456E-2</v>
      </c>
      <c r="Q57">
        <f t="shared" ref="Q57" si="261">F57*P57</f>
        <v>-77897.811374406388</v>
      </c>
      <c r="R57">
        <f t="shared" ref="R57" si="262">R58+Q57</f>
        <v>-193545591.97109556</v>
      </c>
      <c r="S57">
        <f t="shared" ref="S57" si="263">R57/100000</f>
        <v>-1935.4559197109556</v>
      </c>
      <c r="T57">
        <f t="shared" ref="T57" si="264">S57/1000</f>
        <v>-1.9354559197109555</v>
      </c>
    </row>
    <row r="58" spans="1:20" x14ac:dyDescent="0.25">
      <c r="A58" s="5">
        <v>44535</v>
      </c>
      <c r="B58">
        <v>1.278</v>
      </c>
      <c r="C58">
        <v>1.4179999999999999</v>
      </c>
      <c r="D58">
        <v>1.2370000000000001</v>
      </c>
      <c r="E58">
        <v>1.27</v>
      </c>
      <c r="F58">
        <v>2183367.1</v>
      </c>
      <c r="G58">
        <v>1.27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-0.63535911602210005</v>
      </c>
      <c r="Q58">
        <f t="shared" ref="Q58" si="266">F58*P58</f>
        <v>-1387222.1906077361</v>
      </c>
      <c r="R58">
        <f t="shared" ref="R58" si="267">R59+Q58</f>
        <v>-193467694.15972117</v>
      </c>
      <c r="S58">
        <f t="shared" ref="S58" si="268">R58/100000</f>
        <v>-1934.6769415972117</v>
      </c>
      <c r="T58">
        <f t="shared" ref="T58" si="269">S58/1000</f>
        <v>-1.9346769415972116</v>
      </c>
    </row>
    <row r="59" spans="1:20" x14ac:dyDescent="0.25">
      <c r="A59" s="5">
        <v>44534</v>
      </c>
      <c r="B59">
        <v>1.5109999999999999</v>
      </c>
      <c r="C59">
        <v>1.546</v>
      </c>
      <c r="D59">
        <v>1.03</v>
      </c>
      <c r="E59">
        <v>1.278</v>
      </c>
      <c r="F59">
        <v>1501895.2</v>
      </c>
      <c r="G59">
        <v>1.278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-3.8759689922480654E-2</v>
      </c>
      <c r="Q59">
        <f t="shared" ref="Q59" si="271">F59*P59</f>
        <v>-58212.992248062066</v>
      </c>
      <c r="R59">
        <f t="shared" ref="R59" si="272">R60+Q59</f>
        <v>-192080471.96911344</v>
      </c>
      <c r="S59">
        <f t="shared" ref="S59" si="273">R59/100000</f>
        <v>-1920.8047196911343</v>
      </c>
      <c r="T59">
        <f t="shared" ref="T59" si="274">S59/1000</f>
        <v>-1.9208047196911344</v>
      </c>
    </row>
    <row r="60" spans="1:20" x14ac:dyDescent="0.25">
      <c r="A60" s="5">
        <v>44533</v>
      </c>
      <c r="B60">
        <v>1.4790000000000001</v>
      </c>
      <c r="C60">
        <v>1.69</v>
      </c>
      <c r="D60">
        <v>1.45</v>
      </c>
      <c r="E60">
        <v>1.5109999999999999</v>
      </c>
      <c r="F60">
        <v>2688209.7</v>
      </c>
      <c r="G60">
        <v>1.5109999999999999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-0.49166666666666714</v>
      </c>
      <c r="Q60">
        <f t="shared" ref="Q60" si="276">F60*P60</f>
        <v>-1321703.1025000014</v>
      </c>
      <c r="R60">
        <f t="shared" ref="R60" si="277">R61+Q60</f>
        <v>-192022258.97686538</v>
      </c>
      <c r="S60">
        <f t="shared" ref="S60" si="278">R60/100000</f>
        <v>-1920.2225897686537</v>
      </c>
      <c r="T60">
        <f t="shared" ref="T60" si="279">S60/1000</f>
        <v>-1.9202225897686538</v>
      </c>
    </row>
    <row r="61" spans="1:20" x14ac:dyDescent="0.25">
      <c r="A61" s="5">
        <v>44532</v>
      </c>
      <c r="B61">
        <v>1.45</v>
      </c>
      <c r="C61">
        <v>1.75</v>
      </c>
      <c r="D61">
        <v>1.4</v>
      </c>
      <c r="E61">
        <v>1.4790000000000001</v>
      </c>
      <c r="F61">
        <v>4201189.4000000004</v>
      </c>
      <c r="G61">
        <v>1.4790000000000001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-0.5485714285714276</v>
      </c>
      <c r="Q61">
        <f t="shared" ref="Q61" si="281">F61*P61</f>
        <v>-2304652.4708571387</v>
      </c>
      <c r="R61">
        <f t="shared" ref="R61" si="282">R62+Q61</f>
        <v>-190700555.87436539</v>
      </c>
      <c r="S61">
        <f t="shared" ref="S61" si="283">R61/100000</f>
        <v>-1907.0055587436539</v>
      </c>
      <c r="T61">
        <f t="shared" ref="T61" si="284">S61/1000</f>
        <v>-1.9070055587436539</v>
      </c>
    </row>
    <row r="62" spans="1:20" x14ac:dyDescent="0.25">
      <c r="A62" s="5">
        <v>44531</v>
      </c>
      <c r="B62">
        <v>1.444</v>
      </c>
      <c r="C62">
        <v>1.52</v>
      </c>
      <c r="D62">
        <v>1.4359999999999999</v>
      </c>
      <c r="E62">
        <v>1.45</v>
      </c>
      <c r="F62">
        <v>1163866.1000000001</v>
      </c>
      <c r="G62">
        <v>1.45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-0.66666666666666663</v>
      </c>
      <c r="Q62">
        <f t="shared" ref="Q62" si="286">F62*P62</f>
        <v>-775910.7333333334</v>
      </c>
      <c r="R62">
        <f t="shared" ref="R62" si="287">R63+Q62</f>
        <v>-188395903.40350825</v>
      </c>
      <c r="S62">
        <f t="shared" ref="S62" si="288">R62/100000</f>
        <v>-1883.9590340350824</v>
      </c>
      <c r="T62">
        <f t="shared" ref="T62" si="289">S62/1000</f>
        <v>-1.8839590340350825</v>
      </c>
    </row>
    <row r="63" spans="1:20" x14ac:dyDescent="0.25">
      <c r="A63" s="5">
        <v>44530</v>
      </c>
      <c r="B63">
        <v>1.4670000000000001</v>
      </c>
      <c r="C63">
        <v>1.5</v>
      </c>
      <c r="D63">
        <v>1.4370000000000001</v>
      </c>
      <c r="E63">
        <v>1.4470000000000001</v>
      </c>
      <c r="F63">
        <v>1180405.3999999999</v>
      </c>
      <c r="G63">
        <v>1.4470000000000001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-0.682539682539682</v>
      </c>
      <c r="Q63">
        <f t="shared" ref="Q63" si="291">F63*P63</f>
        <v>-805673.52698412631</v>
      </c>
      <c r="R63">
        <f t="shared" ref="R63" si="292">R64+Q63</f>
        <v>-187619992.67017493</v>
      </c>
      <c r="S63">
        <f t="shared" ref="S63" si="293">R63/100000</f>
        <v>-1876.1999267017493</v>
      </c>
      <c r="T63">
        <f t="shared" ref="T63" si="294">S63/1000</f>
        <v>-1.8761999267017493</v>
      </c>
    </row>
    <row r="64" spans="1:20" x14ac:dyDescent="0.25">
      <c r="A64" s="5">
        <v>44529</v>
      </c>
      <c r="B64">
        <v>1.4810000000000001</v>
      </c>
      <c r="C64">
        <v>1.4990000000000001</v>
      </c>
      <c r="D64">
        <v>1.4370000000000001</v>
      </c>
      <c r="E64">
        <v>1.4650000000000001</v>
      </c>
      <c r="F64">
        <v>525257.9</v>
      </c>
      <c r="G64">
        <v>1.4650000000000001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-9.6774193548387094E-2</v>
      </c>
      <c r="Q64">
        <f t="shared" ref="Q64" si="296">F64*P64</f>
        <v>-50831.409677419353</v>
      </c>
      <c r="R64">
        <f t="shared" ref="R64" si="297">R65+Q64</f>
        <v>-186814319.1431908</v>
      </c>
      <c r="S64">
        <f t="shared" ref="S64" si="298">R64/100000</f>
        <v>-1868.143191431908</v>
      </c>
      <c r="T64">
        <f t="shared" ref="T64" si="299">S64/1000</f>
        <v>-1.868143191431908</v>
      </c>
    </row>
    <row r="65" spans="1:20" x14ac:dyDescent="0.25">
      <c r="A65" s="5">
        <v>44528</v>
      </c>
      <c r="B65">
        <v>1.5640000000000001</v>
      </c>
      <c r="C65">
        <v>1.573</v>
      </c>
      <c r="D65">
        <v>1.397</v>
      </c>
      <c r="E65">
        <v>1.476</v>
      </c>
      <c r="F65">
        <v>1201097.8999999999</v>
      </c>
      <c r="G65">
        <v>1.476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-0.1022727272727274</v>
      </c>
      <c r="Q65">
        <f t="shared" ref="Q65" si="301">F65*P65</f>
        <v>-122839.5579545456</v>
      </c>
      <c r="R65">
        <f t="shared" ref="R65" si="302">R66+Q65</f>
        <v>-186763487.73351339</v>
      </c>
      <c r="S65">
        <f t="shared" ref="S65" si="303">R65/100000</f>
        <v>-1867.6348773351338</v>
      </c>
      <c r="T65">
        <f t="shared" ref="T65" si="304">S65/1000</f>
        <v>-1.8676348773351337</v>
      </c>
    </row>
    <row r="66" spans="1:20" x14ac:dyDescent="0.25">
      <c r="A66" s="5">
        <v>44527</v>
      </c>
      <c r="B66">
        <v>1.385</v>
      </c>
      <c r="C66">
        <v>1.75</v>
      </c>
      <c r="D66">
        <v>1.381</v>
      </c>
      <c r="E66">
        <v>1.5640000000000001</v>
      </c>
      <c r="F66">
        <v>2910760.8</v>
      </c>
      <c r="G66">
        <v>1.5640000000000001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-8.1300813008127141E-3</v>
      </c>
      <c r="Q66">
        <f t="shared" ref="Q66" si="306">F66*P66</f>
        <v>-23664.721951218653</v>
      </c>
      <c r="R66">
        <f t="shared" ref="R66" si="307">R67+Q66</f>
        <v>-186640648.17555884</v>
      </c>
      <c r="S66">
        <f t="shared" ref="S66" si="308">R66/100000</f>
        <v>-1866.4064817555884</v>
      </c>
      <c r="T66">
        <f t="shared" ref="T66" si="309">S66/1000</f>
        <v>-1.8664064817555883</v>
      </c>
    </row>
    <row r="67" spans="1:20" x14ac:dyDescent="0.25">
      <c r="A67" s="5">
        <v>44526</v>
      </c>
      <c r="B67">
        <v>1.51</v>
      </c>
      <c r="C67">
        <v>1.5129999999999999</v>
      </c>
      <c r="D67">
        <v>1.337</v>
      </c>
      <c r="E67">
        <v>1.3819999999999999</v>
      </c>
      <c r="F67">
        <v>1211969.1000000001</v>
      </c>
      <c r="G67">
        <v>1.3819999999999999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-0.48863636363636426</v>
      </c>
      <c r="Q67">
        <f t="shared" ref="Q67" si="311">F67*P67</f>
        <v>-592212.17386363714</v>
      </c>
      <c r="R67">
        <f t="shared" ref="R67" si="312">R68+Q67</f>
        <v>-186616983.45360762</v>
      </c>
      <c r="S67">
        <f t="shared" ref="S67" si="313">R67/100000</f>
        <v>-1866.1698345360762</v>
      </c>
      <c r="T67">
        <f t="shared" ref="T67" si="314">S67/1000</f>
        <v>-1.8661698345360762</v>
      </c>
    </row>
    <row r="68" spans="1:20" x14ac:dyDescent="0.25">
      <c r="A68" s="5">
        <v>44525</v>
      </c>
      <c r="B68">
        <v>1.46</v>
      </c>
      <c r="C68">
        <v>1.5529999999999999</v>
      </c>
      <c r="D68">
        <v>1.4470000000000001</v>
      </c>
      <c r="E68">
        <v>1.508</v>
      </c>
      <c r="F68">
        <v>972158</v>
      </c>
      <c r="G68">
        <v>1.508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0.15094339622641542</v>
      </c>
      <c r="Q68">
        <f t="shared" ref="Q68" si="316">F68*P68</f>
        <v>146740.83018867957</v>
      </c>
      <c r="R68">
        <f t="shared" ref="R68" si="317">R69+Q68</f>
        <v>-186024771.27974397</v>
      </c>
      <c r="S68">
        <f t="shared" ref="S68" si="318">R68/100000</f>
        <v>-1860.2477127974396</v>
      </c>
      <c r="T68">
        <f t="shared" ref="T68" si="319">S68/1000</f>
        <v>-1.8602477127974395</v>
      </c>
    </row>
    <row r="69" spans="1:20" x14ac:dyDescent="0.25">
      <c r="A69" s="5">
        <v>44524</v>
      </c>
      <c r="B69">
        <v>1.4770000000000001</v>
      </c>
      <c r="C69">
        <v>1.534</v>
      </c>
      <c r="D69">
        <v>1.4490000000000001</v>
      </c>
      <c r="E69">
        <v>1.4890000000000001</v>
      </c>
      <c r="F69">
        <v>1081172</v>
      </c>
      <c r="G69">
        <v>1.4890000000000001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-5.8823529411763477E-2</v>
      </c>
      <c r="Q69">
        <f t="shared" ref="Q69" si="321">F69*P69</f>
        <v>-63598.352941175144</v>
      </c>
      <c r="R69">
        <f t="shared" ref="R69" si="322">R70+Q69</f>
        <v>-186171512.10993266</v>
      </c>
      <c r="S69">
        <f t="shared" ref="S69" si="323">R69/100000</f>
        <v>-1861.7151210993266</v>
      </c>
      <c r="T69">
        <f t="shared" ref="T69" si="324">S69/1000</f>
        <v>-1.8617151210993266</v>
      </c>
    </row>
    <row r="70" spans="1:20" x14ac:dyDescent="0.25">
      <c r="A70" s="5">
        <v>44523</v>
      </c>
      <c r="B70">
        <v>1.4910000000000001</v>
      </c>
      <c r="C70">
        <v>1.504</v>
      </c>
      <c r="D70">
        <v>1.4350000000000001</v>
      </c>
      <c r="E70">
        <v>1.4750000000000001</v>
      </c>
      <c r="F70">
        <v>850592.1</v>
      </c>
      <c r="G70">
        <v>1.4750000000000001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0.15942028985507434</v>
      </c>
      <c r="Q70">
        <f t="shared" ref="Q70" si="326">F70*P70</f>
        <v>135601.63913043638</v>
      </c>
      <c r="R70">
        <f t="shared" ref="R70" si="327">R71+Q70</f>
        <v>-186107913.75699148</v>
      </c>
      <c r="S70">
        <f t="shared" ref="S70" si="328">R70/100000</f>
        <v>-1861.0791375699148</v>
      </c>
      <c r="T70">
        <f t="shared" ref="T70" si="329">S70/1000</f>
        <v>-1.8610791375699147</v>
      </c>
    </row>
    <row r="71" spans="1:20" x14ac:dyDescent="0.25">
      <c r="A71" s="5">
        <v>44522</v>
      </c>
      <c r="B71">
        <v>1.573</v>
      </c>
      <c r="C71">
        <v>1.5760000000000001</v>
      </c>
      <c r="D71">
        <v>1.47</v>
      </c>
      <c r="E71">
        <v>1.4950000000000001</v>
      </c>
      <c r="F71">
        <v>1362818</v>
      </c>
      <c r="G71">
        <v>1.4950000000000001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-0.52830188679245071</v>
      </c>
      <c r="Q71">
        <f t="shared" ref="Q71" si="331">F71*P71</f>
        <v>-719979.32075471408</v>
      </c>
      <c r="R71">
        <f t="shared" ref="R71" si="332">R72+Q71</f>
        <v>-186243515.39612192</v>
      </c>
      <c r="S71">
        <f t="shared" ref="S71" si="333">R71/100000</f>
        <v>-1862.4351539612192</v>
      </c>
      <c r="T71">
        <f t="shared" ref="T71" si="334">S71/1000</f>
        <v>-1.8624351539612192</v>
      </c>
    </row>
    <row r="72" spans="1:20" x14ac:dyDescent="0.25">
      <c r="A72" s="5">
        <v>44521</v>
      </c>
      <c r="B72">
        <v>1.5669999999999999</v>
      </c>
      <c r="C72">
        <v>2.355</v>
      </c>
      <c r="D72">
        <v>1.5389999999999999</v>
      </c>
      <c r="E72">
        <v>1.5760000000000001</v>
      </c>
      <c r="F72">
        <v>6964540.2999999998</v>
      </c>
      <c r="G72">
        <v>1.5760000000000001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-0.90931372549019573</v>
      </c>
      <c r="Q72">
        <f t="shared" ref="Q72" si="336">F72*P72</f>
        <v>-6332952.0865196055</v>
      </c>
      <c r="R72">
        <f t="shared" ref="R72" si="337">R73+Q72</f>
        <v>-185523536.07536721</v>
      </c>
      <c r="S72">
        <f t="shared" ref="S72" si="338">R72/100000</f>
        <v>-1855.235360753672</v>
      </c>
      <c r="T72">
        <f t="shared" ref="T72" si="339">S72/1000</f>
        <v>-1.855235360753672</v>
      </c>
    </row>
    <row r="73" spans="1:20" x14ac:dyDescent="0.25">
      <c r="A73" s="5">
        <v>44520</v>
      </c>
      <c r="B73">
        <v>1.514</v>
      </c>
      <c r="C73">
        <v>1.679</v>
      </c>
      <c r="D73">
        <v>1.48</v>
      </c>
      <c r="E73">
        <v>1.5680000000000001</v>
      </c>
      <c r="F73">
        <v>1632549.9</v>
      </c>
      <c r="G73">
        <v>1.5680000000000001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-0.11557788944723568</v>
      </c>
      <c r="Q73">
        <f t="shared" ref="Q73" si="341">F73*P73</f>
        <v>-188686.67185929566</v>
      </c>
      <c r="R73">
        <f t="shared" ref="R73" si="342">R74+Q73</f>
        <v>-179190583.98884761</v>
      </c>
      <c r="S73">
        <f t="shared" ref="S73" si="343">R73/100000</f>
        <v>-1791.9058398884761</v>
      </c>
      <c r="T73">
        <f t="shared" ref="T73" si="344">S73/1000</f>
        <v>-1.791905839888476</v>
      </c>
    </row>
    <row r="74" spans="1:20" x14ac:dyDescent="0.25">
      <c r="A74" s="5">
        <v>44519</v>
      </c>
      <c r="B74">
        <v>1.405</v>
      </c>
      <c r="C74">
        <v>1.5669999999999999</v>
      </c>
      <c r="D74">
        <v>1.373</v>
      </c>
      <c r="E74">
        <v>1.514</v>
      </c>
      <c r="F74">
        <v>687137.5</v>
      </c>
      <c r="G74">
        <v>1.514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0.45360824742268091</v>
      </c>
      <c r="Q74">
        <f t="shared" ref="Q74" si="346">F74*P74</f>
        <v>311691.2371134024</v>
      </c>
      <c r="R74">
        <f t="shared" ref="R74" si="347">R75+Q74</f>
        <v>-179001897.31698832</v>
      </c>
      <c r="S74">
        <f t="shared" ref="S74" si="348">R74/100000</f>
        <v>-1790.0189731698831</v>
      </c>
      <c r="T74">
        <f t="shared" ref="T74" si="349">S74/1000</f>
        <v>-1.790018973169883</v>
      </c>
    </row>
    <row r="75" spans="1:20" x14ac:dyDescent="0.25">
      <c r="A75" s="5">
        <v>44518</v>
      </c>
      <c r="B75">
        <v>1.5629999999999999</v>
      </c>
      <c r="C75">
        <v>1.58</v>
      </c>
      <c r="D75">
        <v>1.377</v>
      </c>
      <c r="E75">
        <v>1.4079999999999999</v>
      </c>
      <c r="F75">
        <v>788948.4</v>
      </c>
      <c r="G75">
        <v>1.4079999999999999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-0.69458128078817827</v>
      </c>
      <c r="Q75">
        <f t="shared" ref="Q75" si="351">F75*P75</f>
        <v>-547988.79014778405</v>
      </c>
      <c r="R75">
        <f t="shared" ref="R75" si="352">R76+Q75</f>
        <v>-179313588.55410174</v>
      </c>
      <c r="S75">
        <f t="shared" ref="S75" si="353">R75/100000</f>
        <v>-1793.1358855410174</v>
      </c>
      <c r="T75">
        <f t="shared" ref="T75" si="354">S75/1000</f>
        <v>-1.7931358855410173</v>
      </c>
    </row>
    <row r="76" spans="1:20" x14ac:dyDescent="0.25">
      <c r="A76" s="5">
        <v>44517</v>
      </c>
      <c r="B76">
        <v>1.5329999999999999</v>
      </c>
      <c r="C76">
        <v>1.5860000000000001</v>
      </c>
      <c r="D76">
        <v>1.482</v>
      </c>
      <c r="E76">
        <v>1.5629999999999999</v>
      </c>
      <c r="F76">
        <v>779249.1</v>
      </c>
      <c r="G76">
        <v>1.5629999999999999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0.5576923076923056</v>
      </c>
      <c r="Q76">
        <f t="shared" ref="Q76" si="356">F76*P76</f>
        <v>434581.2288461522</v>
      </c>
      <c r="R76">
        <f t="shared" ref="R76" si="357">R77+Q76</f>
        <v>-178765599.76395395</v>
      </c>
      <c r="S76">
        <f t="shared" ref="S76" si="358">R76/100000</f>
        <v>-1787.6559976395395</v>
      </c>
      <c r="T76">
        <f t="shared" ref="T76" si="359">S76/1000</f>
        <v>-1.7876559976395394</v>
      </c>
    </row>
    <row r="77" spans="1:20" x14ac:dyDescent="0.25">
      <c r="A77" s="5">
        <v>44516</v>
      </c>
      <c r="B77">
        <v>1.694</v>
      </c>
      <c r="C77">
        <v>1.6950000000000001</v>
      </c>
      <c r="D77">
        <v>1.488</v>
      </c>
      <c r="E77">
        <v>1.5349999999999999</v>
      </c>
      <c r="F77">
        <v>1098819.5</v>
      </c>
      <c r="G77">
        <v>1.5349999999999999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-0.54589371980676415</v>
      </c>
      <c r="Q77">
        <f t="shared" ref="Q77" si="361">F77*P77</f>
        <v>-599838.66425120865</v>
      </c>
      <c r="R77">
        <f t="shared" ref="R77" si="362">R78+Q77</f>
        <v>-179200180.99280012</v>
      </c>
      <c r="S77">
        <f t="shared" ref="S77" si="363">R77/100000</f>
        <v>-1792.0018099280012</v>
      </c>
      <c r="T77">
        <f t="shared" ref="T77" si="364">S77/1000</f>
        <v>-1.7920018099280013</v>
      </c>
    </row>
    <row r="78" spans="1:20" x14ac:dyDescent="0.25">
      <c r="A78" s="5">
        <v>44515</v>
      </c>
      <c r="B78">
        <v>1.7110000000000001</v>
      </c>
      <c r="C78">
        <v>1.7250000000000001</v>
      </c>
      <c r="D78">
        <v>1.6850000000000001</v>
      </c>
      <c r="E78">
        <v>1.694</v>
      </c>
      <c r="F78">
        <v>422881.5</v>
      </c>
      <c r="G78">
        <v>1.694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-0.5500000000000056</v>
      </c>
      <c r="Q78">
        <f t="shared" ref="Q78" si="366">F78*P78</f>
        <v>-232584.82500000237</v>
      </c>
      <c r="R78">
        <f t="shared" ref="R78" si="367">R79+Q78</f>
        <v>-178600342.32854891</v>
      </c>
      <c r="S78">
        <f t="shared" ref="S78" si="368">R78/100000</f>
        <v>-1786.0034232854891</v>
      </c>
      <c r="T78">
        <f t="shared" ref="T78" si="369">S78/1000</f>
        <v>-1.7860034232854891</v>
      </c>
    </row>
    <row r="79" spans="1:20" x14ac:dyDescent="0.25">
      <c r="A79" s="5">
        <v>44514</v>
      </c>
      <c r="B79">
        <v>1.7490000000000001</v>
      </c>
      <c r="C79">
        <v>1.7549999999999999</v>
      </c>
      <c r="D79">
        <v>1.67</v>
      </c>
      <c r="E79">
        <v>1.7110000000000001</v>
      </c>
      <c r="F79">
        <v>730610</v>
      </c>
      <c r="G79">
        <v>1.7110000000000001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-3.5294117647054951E-2</v>
      </c>
      <c r="Q79">
        <f t="shared" ref="Q79" si="371">F79*P79</f>
        <v>-25786.235294114816</v>
      </c>
      <c r="R79">
        <f t="shared" ref="R79" si="372">R80+Q79</f>
        <v>-178367757.50354892</v>
      </c>
      <c r="S79">
        <f t="shared" ref="S79" si="373">R79/100000</f>
        <v>-1783.6775750354891</v>
      </c>
      <c r="T79">
        <f t="shared" ref="T79" si="374">S79/1000</f>
        <v>-1.7836775750354892</v>
      </c>
    </row>
    <row r="80" spans="1:20" x14ac:dyDescent="0.25">
      <c r="A80" s="5">
        <v>44513</v>
      </c>
      <c r="B80">
        <v>1.7</v>
      </c>
      <c r="C80">
        <v>1.752</v>
      </c>
      <c r="D80">
        <v>1.69</v>
      </c>
      <c r="E80">
        <v>1.7470000000000001</v>
      </c>
      <c r="F80">
        <v>783474.7</v>
      </c>
      <c r="G80">
        <v>1.7470000000000001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0.83870967741935842</v>
      </c>
      <c r="Q80">
        <f t="shared" ref="Q80" si="376">F80*P80</f>
        <v>657107.81290322857</v>
      </c>
      <c r="R80">
        <f t="shared" ref="R80" si="377">R81+Q80</f>
        <v>-178341971.26825482</v>
      </c>
      <c r="S80">
        <f t="shared" ref="S80" si="378">R80/100000</f>
        <v>-1783.4197126825482</v>
      </c>
      <c r="T80">
        <f t="shared" ref="T80" si="379">S80/1000</f>
        <v>-1.7834197126825482</v>
      </c>
    </row>
    <row r="81" spans="1:20" x14ac:dyDescent="0.25">
      <c r="A81" s="5">
        <v>44512</v>
      </c>
      <c r="B81">
        <v>1.734</v>
      </c>
      <c r="C81">
        <v>1.736</v>
      </c>
      <c r="D81">
        <v>1.64</v>
      </c>
      <c r="E81">
        <v>1.6990000000000001</v>
      </c>
      <c r="F81">
        <v>629374.19999999995</v>
      </c>
      <c r="G81">
        <v>1.6990000000000001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0.22916666666666899</v>
      </c>
      <c r="Q81">
        <f t="shared" ref="Q81" si="381">F81*P81</f>
        <v>144231.58750000145</v>
      </c>
      <c r="R81">
        <f t="shared" ref="R81" si="382">R82+Q81</f>
        <v>-178999079.08115804</v>
      </c>
      <c r="S81">
        <f t="shared" ref="S81" si="383">R81/100000</f>
        <v>-1789.9907908115804</v>
      </c>
      <c r="T81">
        <f t="shared" ref="T81" si="384">S81/1000</f>
        <v>-1.7899907908115804</v>
      </c>
    </row>
    <row r="82" spans="1:20" x14ac:dyDescent="0.25">
      <c r="A82" s="5">
        <v>44511</v>
      </c>
      <c r="B82">
        <v>1.673</v>
      </c>
      <c r="C82">
        <v>1.752</v>
      </c>
      <c r="D82">
        <v>1.6220000000000001</v>
      </c>
      <c r="E82">
        <v>1.736</v>
      </c>
      <c r="F82">
        <v>1031034.3</v>
      </c>
      <c r="G82">
        <v>1.736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0.75384615384615339</v>
      </c>
      <c r="Q82">
        <f t="shared" ref="Q82" si="386">F82*P82</f>
        <v>777241.24153846106</v>
      </c>
      <c r="R82">
        <f t="shared" ref="R82" si="387">R83+Q82</f>
        <v>-179143310.66865805</v>
      </c>
      <c r="S82">
        <f t="shared" ref="S82" si="388">R82/100000</f>
        <v>-1791.4331066865805</v>
      </c>
      <c r="T82">
        <f t="shared" ref="T82" si="389">S82/1000</f>
        <v>-1.7914331066865805</v>
      </c>
    </row>
    <row r="83" spans="1:20" x14ac:dyDescent="0.25">
      <c r="A83" s="5">
        <v>44510</v>
      </c>
      <c r="B83">
        <v>1.7450000000000001</v>
      </c>
      <c r="C83">
        <v>1.762</v>
      </c>
      <c r="D83">
        <v>1.6</v>
      </c>
      <c r="E83">
        <v>1.6619999999999999</v>
      </c>
      <c r="F83">
        <v>1292810.5</v>
      </c>
      <c r="G83">
        <v>1.6619999999999999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-0.23456790123456958</v>
      </c>
      <c r="Q83">
        <f t="shared" ref="Q83" si="391">F83*P83</f>
        <v>-303251.84567901451</v>
      </c>
      <c r="R83">
        <f t="shared" ref="R83" si="392">R84+Q83</f>
        <v>-179920551.91019651</v>
      </c>
      <c r="S83">
        <f t="shared" ref="S83" si="393">R83/100000</f>
        <v>-1799.2055191019651</v>
      </c>
      <c r="T83">
        <f t="shared" ref="T83" si="394">S83/1000</f>
        <v>-1.7992055191019651</v>
      </c>
    </row>
    <row r="84" spans="1:20" x14ac:dyDescent="0.25">
      <c r="A84" s="5">
        <v>44509</v>
      </c>
      <c r="B84">
        <v>1.7410000000000001</v>
      </c>
      <c r="C84">
        <v>1.7789999999999999</v>
      </c>
      <c r="D84">
        <v>1.712</v>
      </c>
      <c r="E84">
        <v>1.7430000000000001</v>
      </c>
      <c r="F84">
        <v>1156896.1000000001</v>
      </c>
      <c r="G84">
        <v>1.7430000000000001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-7.4626865671636941E-2</v>
      </c>
      <c r="Q84">
        <f t="shared" ref="Q84" si="396">F84*P84</f>
        <v>-86335.52985074067</v>
      </c>
      <c r="R84">
        <f t="shared" ref="R84" si="397">R85+Q84</f>
        <v>-179617300.0645175</v>
      </c>
      <c r="S84">
        <f t="shared" ref="S84" si="398">R84/100000</f>
        <v>-1796.1730006451751</v>
      </c>
      <c r="T84">
        <f t="shared" ref="T84" si="399">S84/1000</f>
        <v>-1.796173000645175</v>
      </c>
    </row>
    <row r="85" spans="1:20" x14ac:dyDescent="0.25">
      <c r="A85" s="5">
        <v>44508</v>
      </c>
      <c r="B85">
        <v>1.7290000000000001</v>
      </c>
      <c r="C85">
        <v>1.778</v>
      </c>
      <c r="D85">
        <v>1.6850000000000001</v>
      </c>
      <c r="E85">
        <v>1.7390000000000001</v>
      </c>
      <c r="F85">
        <v>1121155.3999999999</v>
      </c>
      <c r="G85">
        <v>1.7390000000000001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0.16129032258064654</v>
      </c>
      <c r="Q85">
        <f t="shared" ref="Q85" si="401">F85*P85</f>
        <v>180831.51612903379</v>
      </c>
      <c r="R85">
        <f t="shared" ref="R85" si="402">R86+Q85</f>
        <v>-179530964.53466675</v>
      </c>
      <c r="S85">
        <f t="shared" ref="S85" si="403">R85/100000</f>
        <v>-1795.3096453466674</v>
      </c>
      <c r="T85">
        <f t="shared" ref="T85" si="404">S85/1000</f>
        <v>-1.7953096453466673</v>
      </c>
    </row>
    <row r="86" spans="1:20" x14ac:dyDescent="0.25">
      <c r="A86" s="5">
        <v>44507</v>
      </c>
      <c r="B86">
        <v>1.7210000000000001</v>
      </c>
      <c r="C86">
        <v>1.79</v>
      </c>
      <c r="D86">
        <v>1.694</v>
      </c>
      <c r="E86">
        <v>1.728</v>
      </c>
      <c r="F86">
        <v>945765.7</v>
      </c>
      <c r="G86">
        <v>1.728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-0.29166666666666669</v>
      </c>
      <c r="Q86">
        <f t="shared" ref="Q86" si="406">F86*P86</f>
        <v>-275848.32916666666</v>
      </c>
      <c r="R86">
        <f t="shared" ref="R86" si="407">R87+Q86</f>
        <v>-179711796.05079579</v>
      </c>
      <c r="S86">
        <f t="shared" ref="S86" si="408">R86/100000</f>
        <v>-1797.1179605079578</v>
      </c>
      <c r="T86">
        <f t="shared" ref="T86" si="409">S86/1000</f>
        <v>-1.7971179605079579</v>
      </c>
    </row>
    <row r="87" spans="1:20" x14ac:dyDescent="0.25">
      <c r="A87" s="5">
        <v>44506</v>
      </c>
      <c r="B87">
        <v>1.712</v>
      </c>
      <c r="C87">
        <v>1.7350000000000001</v>
      </c>
      <c r="D87">
        <v>1.6639999999999999</v>
      </c>
      <c r="E87">
        <v>1.7190000000000001</v>
      </c>
      <c r="F87">
        <v>729564.9</v>
      </c>
      <c r="G87">
        <v>1.7190000000000001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0.54929577464788804</v>
      </c>
      <c r="Q87">
        <f t="shared" ref="Q87" si="411">F87*P87</f>
        <v>400746.91690140899</v>
      </c>
      <c r="R87">
        <f t="shared" ref="R87" si="412">R88+Q87</f>
        <v>-179435947.72162911</v>
      </c>
      <c r="S87">
        <f t="shared" ref="S87" si="413">R87/100000</f>
        <v>-1794.3594772162912</v>
      </c>
      <c r="T87">
        <f t="shared" ref="T87" si="414">S87/1000</f>
        <v>-1.7943594772162912</v>
      </c>
    </row>
    <row r="88" spans="1:20" x14ac:dyDescent="0.25">
      <c r="A88" s="5">
        <v>44505</v>
      </c>
      <c r="B88">
        <v>1.7170000000000001</v>
      </c>
      <c r="C88">
        <v>1.974</v>
      </c>
      <c r="D88">
        <v>1.7</v>
      </c>
      <c r="E88">
        <v>1.712</v>
      </c>
      <c r="F88">
        <v>2553943.5</v>
      </c>
      <c r="G88">
        <v>1.712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-0.91240875912408748</v>
      </c>
      <c r="Q88">
        <f t="shared" ref="Q88" si="416">F88*P88</f>
        <v>-2330240.4197080289</v>
      </c>
      <c r="R88">
        <f t="shared" ref="R88" si="417">R89+Q88</f>
        <v>-179836694.63853052</v>
      </c>
      <c r="S88">
        <f t="shared" ref="S88" si="418">R88/100000</f>
        <v>-1798.3669463853053</v>
      </c>
      <c r="T88">
        <f t="shared" ref="T88" si="419">S88/1000</f>
        <v>-1.7983669463853054</v>
      </c>
    </row>
    <row r="89" spans="1:20" x14ac:dyDescent="0.25">
      <c r="A89" s="5">
        <v>44504</v>
      </c>
      <c r="B89">
        <v>1.7170000000000001</v>
      </c>
      <c r="C89">
        <v>1.788</v>
      </c>
      <c r="D89">
        <v>1.6870000000000001</v>
      </c>
      <c r="E89">
        <v>1.716</v>
      </c>
      <c r="F89">
        <v>2018031.3</v>
      </c>
      <c r="G89">
        <v>1.716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-0.42574257425742729</v>
      </c>
      <c r="Q89">
        <f t="shared" ref="Q89" si="421">F89*P89</f>
        <v>-859161.84059406258</v>
      </c>
      <c r="R89">
        <f t="shared" ref="R89" si="422">R90+Q89</f>
        <v>-177506454.21882248</v>
      </c>
      <c r="S89">
        <f t="shared" ref="S89" si="423">R89/100000</f>
        <v>-1775.0645421882248</v>
      </c>
      <c r="T89">
        <f t="shared" ref="T89" si="424">S89/1000</f>
        <v>-1.7750645421882247</v>
      </c>
    </row>
    <row r="90" spans="1:20" x14ac:dyDescent="0.25">
      <c r="A90" s="5">
        <v>44503</v>
      </c>
      <c r="B90">
        <v>1.7250000000000001</v>
      </c>
      <c r="C90">
        <v>1.76</v>
      </c>
      <c r="D90">
        <v>1.6879999999999999</v>
      </c>
      <c r="E90">
        <v>1.714</v>
      </c>
      <c r="F90">
        <v>1279982.5</v>
      </c>
      <c r="G90">
        <v>1.714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-0.27777777777777779</v>
      </c>
      <c r="Q90">
        <f t="shared" ref="Q90" si="426">F90*P90</f>
        <v>-355550.69444444444</v>
      </c>
      <c r="R90">
        <f t="shared" ref="R90" si="427">R91+Q90</f>
        <v>-176647292.37822843</v>
      </c>
      <c r="S90">
        <f t="shared" ref="S90" si="428">R90/100000</f>
        <v>-1766.4729237822842</v>
      </c>
      <c r="T90">
        <f t="shared" ref="T90" si="429">S90/1000</f>
        <v>-1.7664729237822843</v>
      </c>
    </row>
    <row r="91" spans="1:20" x14ac:dyDescent="0.25">
      <c r="A91" s="5">
        <v>44502</v>
      </c>
      <c r="B91">
        <v>1.698</v>
      </c>
      <c r="C91">
        <v>1.744</v>
      </c>
      <c r="D91">
        <v>1.6779999999999999</v>
      </c>
      <c r="E91">
        <v>1.7250000000000001</v>
      </c>
      <c r="F91">
        <v>1126353.6000000001</v>
      </c>
      <c r="G91">
        <v>1.7250000000000001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0.42424242424242758</v>
      </c>
      <c r="Q91">
        <f t="shared" ref="Q91" si="431">F91*P91</f>
        <v>477846.9818181856</v>
      </c>
      <c r="R91">
        <f t="shared" ref="R91" si="432">R92+Q91</f>
        <v>-176291741.68378398</v>
      </c>
      <c r="S91">
        <f t="shared" ref="S91" si="433">R91/100000</f>
        <v>-1762.9174168378397</v>
      </c>
      <c r="T91">
        <f t="shared" ref="T91" si="434">S91/1000</f>
        <v>-1.7629174168378396</v>
      </c>
    </row>
    <row r="92" spans="1:20" x14ac:dyDescent="0.25">
      <c r="A92" s="5">
        <v>44501</v>
      </c>
      <c r="B92">
        <v>1.7090000000000001</v>
      </c>
      <c r="C92">
        <v>1.7949999999999999</v>
      </c>
      <c r="D92">
        <v>1.6339999999999999</v>
      </c>
      <c r="E92">
        <v>1.698</v>
      </c>
      <c r="F92">
        <v>1331304.3</v>
      </c>
      <c r="G92">
        <v>1.698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-0.20496894409937833</v>
      </c>
      <c r="Q92">
        <f t="shared" ref="Q92" si="436">F92*P92</f>
        <v>-272876.03664596198</v>
      </c>
      <c r="R92">
        <f t="shared" ref="R92" si="437">R93+Q92</f>
        <v>-176769588.66560218</v>
      </c>
      <c r="S92">
        <f t="shared" ref="S92" si="438">R92/100000</f>
        <v>-1767.6958866560217</v>
      </c>
      <c r="T92">
        <f t="shared" ref="T92" si="439">S92/1000</f>
        <v>-1.7676958866560217</v>
      </c>
    </row>
    <row r="93" spans="1:20" x14ac:dyDescent="0.25">
      <c r="A93" s="5">
        <v>44500</v>
      </c>
      <c r="B93">
        <v>1.8069999999999999</v>
      </c>
      <c r="C93">
        <v>1.9159999999999999</v>
      </c>
      <c r="D93">
        <v>1.659</v>
      </c>
      <c r="E93">
        <v>1.7090000000000001</v>
      </c>
      <c r="F93">
        <v>4031008.3</v>
      </c>
      <c r="G93">
        <v>1.7090000000000001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-0.61089494163424074</v>
      </c>
      <c r="Q93">
        <f t="shared" ref="Q93" si="441">F93*P93</f>
        <v>-2462522.5801556399</v>
      </c>
      <c r="R93">
        <f t="shared" ref="R93" si="442">R94+Q93</f>
        <v>-176496712.62895623</v>
      </c>
      <c r="S93">
        <f t="shared" ref="S93" si="443">R93/100000</f>
        <v>-1764.9671262895622</v>
      </c>
      <c r="T93">
        <f t="shared" ref="T93" si="444">S93/1000</f>
        <v>-1.7649671262895621</v>
      </c>
    </row>
    <row r="94" spans="1:20" x14ac:dyDescent="0.25">
      <c r="A94" s="5">
        <v>44499</v>
      </c>
      <c r="B94">
        <v>1.667</v>
      </c>
      <c r="C94">
        <v>3.137</v>
      </c>
      <c r="D94">
        <v>1.5820000000000001</v>
      </c>
      <c r="E94">
        <v>1.8089999999999999</v>
      </c>
      <c r="F94">
        <v>23536826.899999999</v>
      </c>
      <c r="G94">
        <v>1.8089999999999999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-0.70803858520900342</v>
      </c>
      <c r="Q94">
        <f t="shared" ref="Q94" si="446">F94*P94</f>
        <v>-16664981.618585212</v>
      </c>
      <c r="R94">
        <f t="shared" ref="R94" si="447">R95+Q94</f>
        <v>-174034190.04880059</v>
      </c>
      <c r="S94">
        <f t="shared" ref="S94" si="448">R94/100000</f>
        <v>-1740.3419004880059</v>
      </c>
      <c r="T94">
        <f t="shared" ref="T94" si="449">S94/1000</f>
        <v>-1.7403419004880059</v>
      </c>
    </row>
    <row r="95" spans="1:20" x14ac:dyDescent="0.25">
      <c r="A95" s="5">
        <v>44498</v>
      </c>
      <c r="B95">
        <v>1.605</v>
      </c>
      <c r="C95">
        <v>1.69</v>
      </c>
      <c r="D95">
        <v>1.5960000000000001</v>
      </c>
      <c r="E95">
        <v>1.667</v>
      </c>
      <c r="F95">
        <v>739977.1</v>
      </c>
      <c r="G95">
        <v>1.667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0.51063829787234161</v>
      </c>
      <c r="Q95">
        <f t="shared" ref="Q95" si="451">F95*P95</f>
        <v>377860.64680851152</v>
      </c>
      <c r="R95">
        <f t="shared" ref="R95" si="452">R96+Q95</f>
        <v>-157369208.43021539</v>
      </c>
      <c r="S95">
        <f t="shared" ref="S95" si="453">R95/100000</f>
        <v>-1573.6920843021539</v>
      </c>
      <c r="T95">
        <f t="shared" ref="T95" si="454">S95/1000</f>
        <v>-1.573692084302154</v>
      </c>
    </row>
    <row r="96" spans="1:20" x14ac:dyDescent="0.25">
      <c r="A96" s="5">
        <v>44497</v>
      </c>
      <c r="B96">
        <v>1.5640000000000001</v>
      </c>
      <c r="C96">
        <v>1.6379999999999999</v>
      </c>
      <c r="D96">
        <v>1.5129999999999999</v>
      </c>
      <c r="E96">
        <v>1.61</v>
      </c>
      <c r="F96">
        <v>837090.9</v>
      </c>
      <c r="G96">
        <v>1.61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0.55200000000000315</v>
      </c>
      <c r="Q96">
        <f t="shared" ref="Q96" si="456">F96*P96</f>
        <v>462074.17680000263</v>
      </c>
      <c r="R96">
        <f t="shared" ref="R96" si="457">R97+Q96</f>
        <v>-157747069.07702389</v>
      </c>
      <c r="S96">
        <f t="shared" ref="S96" si="458">R96/100000</f>
        <v>-1577.4706907702389</v>
      </c>
      <c r="T96">
        <f t="shared" ref="T96" si="459">S96/1000</f>
        <v>-1.5774706907702389</v>
      </c>
    </row>
    <row r="97" spans="1:20" x14ac:dyDescent="0.25">
      <c r="A97" s="5">
        <v>44496</v>
      </c>
      <c r="B97">
        <v>1.7829999999999999</v>
      </c>
      <c r="C97">
        <v>1.8009999999999999</v>
      </c>
      <c r="D97">
        <v>1.5609999999999999</v>
      </c>
      <c r="E97">
        <v>1.5609999999999999</v>
      </c>
      <c r="F97">
        <v>801567.4</v>
      </c>
      <c r="G97">
        <v>1.5609999999999999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-1</v>
      </c>
      <c r="Q97">
        <f t="shared" ref="Q97" si="461">F97*P97</f>
        <v>-801567.4</v>
      </c>
      <c r="R97">
        <f t="shared" ref="R97" si="462">R98+Q97</f>
        <v>-158209143.25382391</v>
      </c>
      <c r="S97">
        <f t="shared" ref="S97" si="463">R97/100000</f>
        <v>-1582.0914325382391</v>
      </c>
      <c r="T97">
        <f t="shared" ref="T97" si="464">S97/1000</f>
        <v>-1.5820914325382391</v>
      </c>
    </row>
    <row r="98" spans="1:20" x14ac:dyDescent="0.25">
      <c r="A98" s="5">
        <v>44495</v>
      </c>
      <c r="B98">
        <v>1.837</v>
      </c>
      <c r="C98">
        <v>1.837</v>
      </c>
      <c r="D98">
        <v>1.758</v>
      </c>
      <c r="E98">
        <v>1.7789999999999999</v>
      </c>
      <c r="F98">
        <v>701675.9</v>
      </c>
      <c r="G98">
        <v>1.7789999999999999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-0.46835443037974889</v>
      </c>
      <c r="Q98">
        <f t="shared" ref="Q98" si="466">F98*P98</f>
        <v>-328633.01645569765</v>
      </c>
      <c r="R98">
        <f t="shared" ref="R98" si="467">R99+Q98</f>
        <v>-157407575.8538239</v>
      </c>
      <c r="S98">
        <f t="shared" ref="S98" si="468">R98/100000</f>
        <v>-1574.0757585382389</v>
      </c>
      <c r="T98">
        <f t="shared" ref="T98" si="469">S98/1000</f>
        <v>-1.574075758538239</v>
      </c>
    </row>
    <row r="99" spans="1:20" x14ac:dyDescent="0.25">
      <c r="A99" s="5">
        <v>44494</v>
      </c>
      <c r="B99">
        <v>1.804</v>
      </c>
      <c r="C99">
        <v>1.8959999999999999</v>
      </c>
      <c r="D99">
        <v>1.784</v>
      </c>
      <c r="E99">
        <v>1.8360000000000001</v>
      </c>
      <c r="F99">
        <v>864554.5</v>
      </c>
      <c r="G99">
        <v>1.8360000000000001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-7.1428571428569593E-2</v>
      </c>
      <c r="Q99">
        <f t="shared" ref="Q99" si="471">F99*P99</f>
        <v>-61753.892857141269</v>
      </c>
      <c r="R99">
        <f t="shared" ref="R99" si="472">R100+Q99</f>
        <v>-157078942.83736819</v>
      </c>
      <c r="S99">
        <f t="shared" ref="S99" si="473">R99/100000</f>
        <v>-1570.7894283736819</v>
      </c>
      <c r="T99">
        <f t="shared" ref="T99" si="474">S99/1000</f>
        <v>-1.5707894283736819</v>
      </c>
    </row>
    <row r="100" spans="1:20" x14ac:dyDescent="0.25">
      <c r="A100" s="5">
        <v>44493</v>
      </c>
      <c r="B100">
        <v>1.849</v>
      </c>
      <c r="C100">
        <v>2.0950000000000002</v>
      </c>
      <c r="D100">
        <v>1.7509999999999999</v>
      </c>
      <c r="E100">
        <v>1.8080000000000001</v>
      </c>
      <c r="F100">
        <v>3070335</v>
      </c>
      <c r="G100">
        <v>1.8080000000000001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-0.66860465116279</v>
      </c>
      <c r="Q100">
        <f t="shared" ref="Q100" si="476">F100*P100</f>
        <v>-2052840.2616279048</v>
      </c>
      <c r="R100">
        <f t="shared" ref="R100" si="477">R101+Q100</f>
        <v>-157017188.94451106</v>
      </c>
      <c r="S100">
        <f t="shared" ref="S100" si="478">R100/100000</f>
        <v>-1570.1718894451105</v>
      </c>
      <c r="T100">
        <f t="shared" ref="T100" si="479">S100/1000</f>
        <v>-1.5701718894451104</v>
      </c>
    </row>
    <row r="101" spans="1:20" x14ac:dyDescent="0.25">
      <c r="A101" s="5">
        <v>44492</v>
      </c>
      <c r="B101">
        <v>1.8360000000000001</v>
      </c>
      <c r="C101">
        <v>1.9159999999999999</v>
      </c>
      <c r="D101">
        <v>1.804</v>
      </c>
      <c r="E101">
        <v>1.849</v>
      </c>
      <c r="F101">
        <v>1085436.5</v>
      </c>
      <c r="G101">
        <v>1.849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-0.19642857142857181</v>
      </c>
      <c r="Q101">
        <f t="shared" ref="Q101" si="481">F101*P101</f>
        <v>-213210.74107142899</v>
      </c>
      <c r="R101">
        <f t="shared" ref="R101" si="482">R102+Q101</f>
        <v>-154964348.68288314</v>
      </c>
      <c r="S101">
        <f t="shared" ref="S101" si="483">R101/100000</f>
        <v>-1549.6434868288313</v>
      </c>
      <c r="T101">
        <f t="shared" ref="T101" si="484">S101/1000</f>
        <v>-1.5496434868288314</v>
      </c>
    </row>
    <row r="102" spans="1:20" x14ac:dyDescent="0.25">
      <c r="A102" s="5">
        <v>44491</v>
      </c>
      <c r="B102">
        <v>1.845</v>
      </c>
      <c r="C102">
        <v>1.889</v>
      </c>
      <c r="D102">
        <v>1.8120000000000001</v>
      </c>
      <c r="E102">
        <v>1.8360000000000001</v>
      </c>
      <c r="F102">
        <v>694307.6</v>
      </c>
      <c r="G102">
        <v>1.8360000000000001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-0.37662337662337575</v>
      </c>
      <c r="Q102">
        <f t="shared" ref="Q102" si="486">F102*P102</f>
        <v>-261492.47272727211</v>
      </c>
      <c r="R102">
        <f t="shared" ref="R102" si="487">R103+Q102</f>
        <v>-154751137.94181171</v>
      </c>
      <c r="S102">
        <f t="shared" ref="S102" si="488">R102/100000</f>
        <v>-1547.511379418117</v>
      </c>
      <c r="T102">
        <f t="shared" ref="T102" si="489">S102/1000</f>
        <v>-1.547511379418117</v>
      </c>
    </row>
    <row r="103" spans="1:20" x14ac:dyDescent="0.25">
      <c r="A103" s="5">
        <v>44490</v>
      </c>
      <c r="B103">
        <v>1.903</v>
      </c>
      <c r="C103">
        <v>1.929</v>
      </c>
      <c r="D103">
        <v>1.825</v>
      </c>
      <c r="E103">
        <v>1.849</v>
      </c>
      <c r="F103">
        <v>1145927.6000000001</v>
      </c>
      <c r="G103">
        <v>1.849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-0.53846153846153844</v>
      </c>
      <c r="Q103">
        <f t="shared" ref="Q103" si="491">F103*P103</f>
        <v>-617037.93846153852</v>
      </c>
      <c r="R103">
        <f t="shared" ref="R103" si="492">R104+Q103</f>
        <v>-154489645.46908444</v>
      </c>
      <c r="S103">
        <f t="shared" ref="S103" si="493">R103/100000</f>
        <v>-1544.8964546908444</v>
      </c>
      <c r="T103">
        <f t="shared" ref="T103" si="494">S103/1000</f>
        <v>-1.5448964546908444</v>
      </c>
    </row>
    <row r="104" spans="1:20" x14ac:dyDescent="0.25">
      <c r="A104" s="5">
        <v>44489</v>
      </c>
      <c r="B104">
        <v>1.873</v>
      </c>
      <c r="C104">
        <v>1.9419999999999999</v>
      </c>
      <c r="D104">
        <v>1.837</v>
      </c>
      <c r="E104">
        <v>1.903</v>
      </c>
      <c r="F104">
        <v>1128348.5</v>
      </c>
      <c r="G104">
        <v>1.903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0.25714285714285845</v>
      </c>
      <c r="Q104">
        <f t="shared" ref="Q104" si="496">F104*P104</f>
        <v>290146.75714285864</v>
      </c>
      <c r="R104">
        <f t="shared" ref="R104" si="497">R105+Q104</f>
        <v>-153872607.5306229</v>
      </c>
      <c r="S104">
        <f t="shared" ref="S104" si="498">R104/100000</f>
        <v>-1538.7260753062289</v>
      </c>
      <c r="T104">
        <f t="shared" ref="T104" si="499">S104/1000</f>
        <v>-1.5387260753062288</v>
      </c>
    </row>
    <row r="105" spans="1:20" x14ac:dyDescent="0.25">
      <c r="A105" s="5">
        <v>44488</v>
      </c>
      <c r="B105">
        <v>1.9379999999999999</v>
      </c>
      <c r="C105">
        <v>1.984</v>
      </c>
      <c r="D105">
        <v>1.6</v>
      </c>
      <c r="E105">
        <v>1.87</v>
      </c>
      <c r="F105">
        <v>867983.6</v>
      </c>
      <c r="G105">
        <v>1.87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0.40625000000000044</v>
      </c>
      <c r="Q105">
        <f t="shared" ref="Q105" si="501">F105*P105</f>
        <v>352618.33750000037</v>
      </c>
      <c r="R105">
        <f t="shared" ref="R105" si="502">R106+Q105</f>
        <v>-154162754.28776577</v>
      </c>
      <c r="S105">
        <f t="shared" ref="S105" si="503">R105/100000</f>
        <v>-1541.6275428776578</v>
      </c>
      <c r="T105">
        <f t="shared" ref="T105" si="504">S105/1000</f>
        <v>-1.5416275428776578</v>
      </c>
    </row>
    <row r="106" spans="1:20" x14ac:dyDescent="0.25">
      <c r="A106" s="5">
        <v>44487</v>
      </c>
      <c r="B106">
        <v>1.9730000000000001</v>
      </c>
      <c r="C106">
        <v>2.0369999999999999</v>
      </c>
      <c r="D106">
        <v>1.9119999999999999</v>
      </c>
      <c r="E106">
        <v>1.9379999999999999</v>
      </c>
      <c r="F106">
        <v>799500.6</v>
      </c>
      <c r="G106">
        <v>1.9379999999999999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-0.58399999999999963</v>
      </c>
      <c r="Q106">
        <f t="shared" ref="Q106" si="506">F106*P106</f>
        <v>-466908.3503999997</v>
      </c>
      <c r="R106">
        <f t="shared" ref="R106" si="507">R107+Q106</f>
        <v>-154515372.62526578</v>
      </c>
      <c r="S106">
        <f t="shared" ref="S106" si="508">R106/100000</f>
        <v>-1545.1537262526579</v>
      </c>
      <c r="T106">
        <f t="shared" ref="T106" si="509">S106/1000</f>
        <v>-1.5451537262526578</v>
      </c>
    </row>
    <row r="107" spans="1:20" x14ac:dyDescent="0.25">
      <c r="A107" s="5">
        <v>44486</v>
      </c>
      <c r="B107">
        <v>1.94</v>
      </c>
      <c r="C107">
        <v>2.3849999999999998</v>
      </c>
      <c r="D107">
        <v>1.915</v>
      </c>
      <c r="E107">
        <v>1.9730000000000001</v>
      </c>
      <c r="F107">
        <v>4620367.0999999996</v>
      </c>
      <c r="G107">
        <v>1.9730000000000001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-0.75319148936170177</v>
      </c>
      <c r="Q107">
        <f t="shared" ref="Q107" si="511">F107*P107</f>
        <v>-3480021.1774468068</v>
      </c>
      <c r="R107">
        <f t="shared" ref="R107" si="512">R108+Q107</f>
        <v>-154048464.27486578</v>
      </c>
      <c r="S107">
        <f t="shared" ref="S107" si="513">R107/100000</f>
        <v>-1540.4846427486577</v>
      </c>
      <c r="T107">
        <f t="shared" ref="T107" si="514">S107/1000</f>
        <v>-1.5404846427486578</v>
      </c>
    </row>
    <row r="108" spans="1:20" x14ac:dyDescent="0.25">
      <c r="A108" s="5">
        <v>44485</v>
      </c>
      <c r="B108">
        <v>1.9510000000000001</v>
      </c>
      <c r="C108">
        <v>2.032</v>
      </c>
      <c r="D108">
        <v>1.913</v>
      </c>
      <c r="E108">
        <v>1.94</v>
      </c>
      <c r="F108">
        <v>1161274.7</v>
      </c>
      <c r="G108">
        <v>1.94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-0.54621848739495937</v>
      </c>
      <c r="Q108">
        <f t="shared" ref="Q108" si="516">F108*P108</f>
        <v>-634309.71008403518</v>
      </c>
      <c r="R108">
        <f t="shared" ref="R108" si="517">R109+Q108</f>
        <v>-150568443.09741896</v>
      </c>
      <c r="S108">
        <f t="shared" ref="S108" si="518">R108/100000</f>
        <v>-1505.6844309741896</v>
      </c>
      <c r="T108">
        <f t="shared" ref="T108" si="519">S108/1000</f>
        <v>-1.5056844309741897</v>
      </c>
    </row>
    <row r="109" spans="1:20" x14ac:dyDescent="0.25">
      <c r="A109" s="5">
        <v>44484</v>
      </c>
      <c r="B109">
        <v>2.044</v>
      </c>
      <c r="C109">
        <v>2.044</v>
      </c>
      <c r="D109">
        <v>1.903</v>
      </c>
      <c r="E109">
        <v>1.956</v>
      </c>
      <c r="F109">
        <v>1204181.8</v>
      </c>
      <c r="G109">
        <v>1.956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-0.24822695035461093</v>
      </c>
      <c r="Q109">
        <f t="shared" ref="Q109" si="521">F109*P109</f>
        <v>-298910.37588652602</v>
      </c>
      <c r="R109">
        <f t="shared" ref="R109" si="522">R110+Q109</f>
        <v>-149934133.38733494</v>
      </c>
      <c r="S109">
        <f t="shared" ref="S109" si="523">R109/100000</f>
        <v>-1499.3413338733494</v>
      </c>
      <c r="T109">
        <f t="shared" ref="T109" si="524">S109/1000</f>
        <v>-1.4993413338733494</v>
      </c>
    </row>
    <row r="110" spans="1:20" x14ac:dyDescent="0.25">
      <c r="A110" s="5">
        <v>44483</v>
      </c>
      <c r="B110">
        <v>2</v>
      </c>
      <c r="C110">
        <v>2.089</v>
      </c>
      <c r="D110">
        <v>1.9550000000000001</v>
      </c>
      <c r="E110">
        <v>2.044</v>
      </c>
      <c r="F110">
        <v>1172783.8999999999</v>
      </c>
      <c r="G110">
        <v>2.044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0.32835820895522444</v>
      </c>
      <c r="Q110">
        <f t="shared" ref="Q110" si="526">F110*P110</f>
        <v>385093.22089552303</v>
      </c>
      <c r="R110">
        <f t="shared" ref="R110" si="527">R111+Q110</f>
        <v>-149635223.01144841</v>
      </c>
      <c r="S110">
        <f t="shared" ref="S110" si="528">R110/100000</f>
        <v>-1496.3522301144842</v>
      </c>
      <c r="T110">
        <f t="shared" ref="T110" si="529">S110/1000</f>
        <v>-1.4963522301144843</v>
      </c>
    </row>
    <row r="111" spans="1:20" x14ac:dyDescent="0.25">
      <c r="A111" s="5">
        <v>44482</v>
      </c>
      <c r="B111">
        <v>1.976</v>
      </c>
      <c r="C111">
        <v>2.0299999999999998</v>
      </c>
      <c r="D111">
        <v>1.91</v>
      </c>
      <c r="E111">
        <v>2.0019999999999998</v>
      </c>
      <c r="F111">
        <v>1107882.2</v>
      </c>
      <c r="G111">
        <v>2.0019999999999998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0.53333333333333244</v>
      </c>
      <c r="Q111">
        <f t="shared" ref="Q111" si="531">F111*P111</f>
        <v>590870.50666666566</v>
      </c>
      <c r="R111">
        <f t="shared" ref="R111" si="532">R112+Q111</f>
        <v>-150020316.23234394</v>
      </c>
      <c r="S111">
        <f t="shared" ref="S111" si="533">R111/100000</f>
        <v>-1500.2031623234395</v>
      </c>
      <c r="T111">
        <f t="shared" ref="T111" si="534">S111/1000</f>
        <v>-1.5002031623234395</v>
      </c>
    </row>
    <row r="112" spans="1:20" x14ac:dyDescent="0.25">
      <c r="A112" s="5">
        <v>44481</v>
      </c>
      <c r="B112">
        <v>2.1080000000000001</v>
      </c>
      <c r="C112">
        <v>2.109</v>
      </c>
      <c r="D112">
        <v>1.8939999999999999</v>
      </c>
      <c r="E112">
        <v>1.97</v>
      </c>
      <c r="F112">
        <v>1132174.8</v>
      </c>
      <c r="G112">
        <v>1.97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-0.29302325581395311</v>
      </c>
      <c r="Q112">
        <f t="shared" ref="Q112" si="536">F112*P112</f>
        <v>-331753.54604651121</v>
      </c>
      <c r="R112">
        <f t="shared" ref="R112" si="537">R113+Q112</f>
        <v>-150611186.7390106</v>
      </c>
      <c r="S112">
        <f t="shared" ref="S112" si="538">R112/100000</f>
        <v>-1506.111867390106</v>
      </c>
      <c r="T112">
        <f t="shared" ref="T112" si="539">S112/1000</f>
        <v>-1.5061118673901059</v>
      </c>
    </row>
    <row r="113" spans="1:20" x14ac:dyDescent="0.25">
      <c r="A113" s="5">
        <v>44480</v>
      </c>
      <c r="B113">
        <v>2.4860000000000002</v>
      </c>
      <c r="C113">
        <v>2.6</v>
      </c>
      <c r="D113">
        <v>2.0609999999999999</v>
      </c>
      <c r="E113">
        <v>2.11</v>
      </c>
      <c r="F113">
        <v>3584810</v>
      </c>
      <c r="G113">
        <v>2.11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-0.81818181818181845</v>
      </c>
      <c r="Q113">
        <f t="shared" ref="Q113" si="541">F113*P113</f>
        <v>-2933026.3636363647</v>
      </c>
      <c r="R113">
        <f t="shared" ref="R113" si="542">R114+Q113</f>
        <v>-150279433.19296408</v>
      </c>
      <c r="S113">
        <f t="shared" ref="S113" si="543">R113/100000</f>
        <v>-1502.7943319296407</v>
      </c>
      <c r="T113">
        <f t="shared" ref="T113" si="544">S113/1000</f>
        <v>-1.5027943319296408</v>
      </c>
    </row>
    <row r="114" spans="1:20" x14ac:dyDescent="0.25">
      <c r="A114" s="5">
        <v>44479</v>
      </c>
      <c r="B114">
        <v>2.117</v>
      </c>
      <c r="C114">
        <v>2.5499999999999998</v>
      </c>
      <c r="D114">
        <v>2.0499999999999998</v>
      </c>
      <c r="E114">
        <v>2.4990000000000001</v>
      </c>
      <c r="F114">
        <v>3903583.3</v>
      </c>
      <c r="G114">
        <v>2.4990000000000001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0.79600000000000115</v>
      </c>
      <c r="Q114">
        <f t="shared" ref="Q114" si="546">F114*P114</f>
        <v>3107252.3068000046</v>
      </c>
      <c r="R114">
        <f t="shared" ref="R114" si="547">R115+Q114</f>
        <v>-147346406.8293277</v>
      </c>
      <c r="S114">
        <f t="shared" ref="S114" si="548">R114/100000</f>
        <v>-1473.464068293277</v>
      </c>
      <c r="T114">
        <f t="shared" ref="T114" si="549">S114/1000</f>
        <v>-1.4734640682932769</v>
      </c>
    </row>
    <row r="115" spans="1:20" x14ac:dyDescent="0.25">
      <c r="A115" s="5">
        <v>44478</v>
      </c>
      <c r="B115">
        <v>2.1459999999999999</v>
      </c>
      <c r="C115">
        <v>2.25</v>
      </c>
      <c r="D115">
        <v>2.1030000000000002</v>
      </c>
      <c r="E115">
        <v>2.117</v>
      </c>
      <c r="F115">
        <v>1364488.1</v>
      </c>
      <c r="G115">
        <v>2.117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-0.80952380952381209</v>
      </c>
      <c r="Q115">
        <f t="shared" ref="Q115" si="551">F115*P115</f>
        <v>-1104585.6047619083</v>
      </c>
      <c r="R115">
        <f t="shared" ref="R115" si="552">R116+Q115</f>
        <v>-150453659.13612771</v>
      </c>
      <c r="S115">
        <f t="shared" ref="S115" si="553">R115/100000</f>
        <v>-1504.536591361277</v>
      </c>
      <c r="T115">
        <f t="shared" ref="T115" si="554">S115/1000</f>
        <v>-1.5045365913612769</v>
      </c>
    </row>
    <row r="116" spans="1:20" x14ac:dyDescent="0.25">
      <c r="A116" s="5">
        <v>44477</v>
      </c>
      <c r="B116">
        <v>2.1970000000000001</v>
      </c>
      <c r="C116">
        <v>2.36</v>
      </c>
      <c r="D116">
        <v>2.1320000000000001</v>
      </c>
      <c r="E116">
        <v>2.145</v>
      </c>
      <c r="F116">
        <v>2117303.7000000002</v>
      </c>
      <c r="G116">
        <v>2.145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-0.88596491228070251</v>
      </c>
      <c r="Q116">
        <f t="shared" ref="Q116" si="556">F116*P116</f>
        <v>-1875856.7868421071</v>
      </c>
      <c r="R116">
        <f t="shared" ref="R116" si="557">R117+Q116</f>
        <v>-149349073.53136581</v>
      </c>
      <c r="S116">
        <f t="shared" ref="S116" si="558">R116/100000</f>
        <v>-1493.4907353136582</v>
      </c>
      <c r="T116">
        <f t="shared" ref="T116" si="559">S116/1000</f>
        <v>-1.4934907353136582</v>
      </c>
    </row>
    <row r="117" spans="1:20" x14ac:dyDescent="0.25">
      <c r="A117" s="5">
        <v>44476</v>
      </c>
      <c r="B117">
        <v>2.2850000000000001</v>
      </c>
      <c r="C117">
        <v>2.3149999999999999</v>
      </c>
      <c r="D117">
        <v>2.181</v>
      </c>
      <c r="E117">
        <v>2.1930000000000001</v>
      </c>
      <c r="F117">
        <v>2150554.9</v>
      </c>
      <c r="G117">
        <v>2.1930000000000001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-0.82089552238805941</v>
      </c>
      <c r="Q117">
        <f t="shared" ref="Q117" si="561">F117*P117</f>
        <v>-1765380.8880597008</v>
      </c>
      <c r="R117">
        <f t="shared" ref="R117" si="562">R118+Q117</f>
        <v>-147473216.7445237</v>
      </c>
      <c r="S117">
        <f t="shared" ref="S117" si="563">R117/100000</f>
        <v>-1474.7321674452371</v>
      </c>
      <c r="T117">
        <f t="shared" ref="T117" si="564">S117/1000</f>
        <v>-1.4747321674452372</v>
      </c>
    </row>
    <row r="118" spans="1:20" x14ac:dyDescent="0.25">
      <c r="A118" s="5">
        <v>44475</v>
      </c>
      <c r="B118">
        <v>2.37</v>
      </c>
      <c r="C118">
        <v>2.4550000000000001</v>
      </c>
      <c r="D118">
        <v>2.2050000000000001</v>
      </c>
      <c r="E118">
        <v>2.2850000000000001</v>
      </c>
      <c r="F118">
        <v>2294902.6</v>
      </c>
      <c r="G118">
        <v>2.2850000000000001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-0.35999999999999943</v>
      </c>
      <c r="Q118">
        <f t="shared" ref="Q118" si="566">F118*P118</f>
        <v>-826164.93599999871</v>
      </c>
      <c r="R118">
        <f t="shared" ref="R118" si="567">R119+Q118</f>
        <v>-145707835.856464</v>
      </c>
      <c r="S118">
        <f t="shared" ref="S118" si="568">R118/100000</f>
        <v>-1457.07835856464</v>
      </c>
      <c r="T118">
        <f t="shared" ref="T118" si="569">S118/1000</f>
        <v>-1.4570783585646401</v>
      </c>
    </row>
    <row r="119" spans="1:20" x14ac:dyDescent="0.25">
      <c r="A119" s="5">
        <v>44474</v>
      </c>
      <c r="B119">
        <v>2.4620000000000002</v>
      </c>
      <c r="C119">
        <v>2.7</v>
      </c>
      <c r="D119">
        <v>2.302</v>
      </c>
      <c r="E119">
        <v>2.37</v>
      </c>
      <c r="F119">
        <v>3162056</v>
      </c>
      <c r="G119">
        <v>2.37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-0.65829145728643201</v>
      </c>
      <c r="Q119">
        <f t="shared" ref="Q119" si="571">F119*P119</f>
        <v>-2081554.4522613061</v>
      </c>
      <c r="R119">
        <f t="shared" ref="R119" si="572">R120+Q119</f>
        <v>-144881670.92046401</v>
      </c>
      <c r="S119">
        <f t="shared" ref="S119" si="573">R119/100000</f>
        <v>-1448.8167092046401</v>
      </c>
      <c r="T119">
        <f t="shared" ref="T119" si="574">S119/1000</f>
        <v>-1.4488167092046402</v>
      </c>
    </row>
    <row r="120" spans="1:20" x14ac:dyDescent="0.25">
      <c r="A120" s="5">
        <v>44473</v>
      </c>
      <c r="B120">
        <v>2.4209999999999998</v>
      </c>
      <c r="C120">
        <v>3.28</v>
      </c>
      <c r="D120">
        <v>2.3929999999999998</v>
      </c>
      <c r="E120">
        <v>2.4500000000000002</v>
      </c>
      <c r="F120">
        <v>4363566.5999999996</v>
      </c>
      <c r="G120">
        <v>2.4500000000000002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-0.87147688838782322</v>
      </c>
      <c r="Q120">
        <f t="shared" ref="Q120" si="576">F120*P120</f>
        <v>-3802747.442841033</v>
      </c>
      <c r="R120">
        <f t="shared" ref="R120" si="577">R121+Q120</f>
        <v>-142800116.46820271</v>
      </c>
      <c r="S120">
        <f t="shared" ref="S120" si="578">R120/100000</f>
        <v>-1428.0011646820271</v>
      </c>
      <c r="T120">
        <f t="shared" ref="T120" si="579">S120/1000</f>
        <v>-1.4280011646820272</v>
      </c>
    </row>
    <row r="121" spans="1:20" x14ac:dyDescent="0.25">
      <c r="A121" s="5">
        <v>44472</v>
      </c>
      <c r="B121">
        <v>2.2549999999999999</v>
      </c>
      <c r="C121">
        <v>2.33</v>
      </c>
      <c r="D121">
        <v>2.1349999999999998</v>
      </c>
      <c r="E121">
        <v>2.157</v>
      </c>
      <c r="F121">
        <v>3354555.7</v>
      </c>
      <c r="G121">
        <v>2.157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-0.77435897435897216</v>
      </c>
      <c r="Q121">
        <f t="shared" ref="Q121" si="581">F121*P121</f>
        <v>-2597630.3112820443</v>
      </c>
      <c r="R121">
        <f t="shared" ref="R121" si="582">R122+Q121</f>
        <v>-138997369.02536169</v>
      </c>
      <c r="S121">
        <f t="shared" ref="S121" si="583">R121/100000</f>
        <v>-1389.973690253617</v>
      </c>
      <c r="T121">
        <f t="shared" ref="T121" si="584">S121/1000</f>
        <v>-1.3899736902536171</v>
      </c>
    </row>
    <row r="122" spans="1:20" x14ac:dyDescent="0.25">
      <c r="A122" s="5">
        <v>44471</v>
      </c>
      <c r="B122">
        <v>2.2679999999999998</v>
      </c>
      <c r="C122">
        <v>2.4980000000000002</v>
      </c>
      <c r="D122">
        <v>2.2000000000000002</v>
      </c>
      <c r="E122">
        <v>2.2549999999999999</v>
      </c>
      <c r="F122">
        <v>5719975.2999999998</v>
      </c>
      <c r="G122">
        <v>2.2549999999999999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-0.63087248322147849</v>
      </c>
      <c r="Q122">
        <f t="shared" ref="Q122" si="586">F122*P122</f>
        <v>-3608575.0214765212</v>
      </c>
      <c r="R122">
        <f t="shared" ref="R122" si="587">R123+Q122</f>
        <v>-136399738.71407965</v>
      </c>
      <c r="S122">
        <f t="shared" ref="S122" si="588">R122/100000</f>
        <v>-1363.9973871407965</v>
      </c>
      <c r="T122">
        <f t="shared" ref="T122" si="589">S122/1000</f>
        <v>-1.3639973871407964</v>
      </c>
    </row>
    <row r="123" spans="1:20" x14ac:dyDescent="0.25">
      <c r="A123" s="5">
        <v>44470</v>
      </c>
      <c r="B123">
        <v>2.0449999999999999</v>
      </c>
      <c r="C123">
        <v>2.649</v>
      </c>
      <c r="D123">
        <v>2.0190000000000001</v>
      </c>
      <c r="E123">
        <v>2.2669999999999999</v>
      </c>
      <c r="F123">
        <v>12658747.4</v>
      </c>
      <c r="G123">
        <v>2.2669999999999999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-0.21269841269841328</v>
      </c>
      <c r="Q123">
        <f t="shared" ref="Q123" si="591">F123*P123</f>
        <v>-2692495.4787301663</v>
      </c>
      <c r="R123">
        <f t="shared" ref="R123" si="592">R124+Q123</f>
        <v>-132791163.69260314</v>
      </c>
      <c r="S123">
        <f t="shared" ref="S123" si="593">R123/100000</f>
        <v>-1327.9116369260314</v>
      </c>
      <c r="T123">
        <f t="shared" ref="T123" si="594">S123/1000</f>
        <v>-1.3279116369260313</v>
      </c>
    </row>
    <row r="124" spans="1:20" x14ac:dyDescent="0.25">
      <c r="A124" s="5">
        <v>44469</v>
      </c>
      <c r="B124">
        <v>2.1259999999999999</v>
      </c>
      <c r="C124">
        <v>2.2989999999999999</v>
      </c>
      <c r="D124">
        <v>1.998</v>
      </c>
      <c r="E124">
        <v>2.044</v>
      </c>
      <c r="F124">
        <v>5666519.2999999998</v>
      </c>
      <c r="G124">
        <v>2.044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-0.6943521594684382</v>
      </c>
      <c r="Q124">
        <f t="shared" ref="Q124" si="596">F124*P124</f>
        <v>-3934559.9126245826</v>
      </c>
      <c r="R124">
        <f t="shared" ref="R124" si="597">R125+Q124</f>
        <v>-130098668.21387297</v>
      </c>
      <c r="S124">
        <f t="shared" ref="S124" si="598">R124/100000</f>
        <v>-1300.9866821387297</v>
      </c>
      <c r="T124">
        <f t="shared" ref="T124" si="599">S124/1000</f>
        <v>-1.3009866821387297</v>
      </c>
    </row>
    <row r="125" spans="1:20" x14ac:dyDescent="0.25">
      <c r="A125" s="5">
        <v>44468</v>
      </c>
      <c r="B125">
        <v>2.33</v>
      </c>
      <c r="C125">
        <v>2.4990000000000001</v>
      </c>
      <c r="D125">
        <v>2.0760000000000001</v>
      </c>
      <c r="E125">
        <v>2.1219999999999999</v>
      </c>
      <c r="F125">
        <v>5495609.7000000002</v>
      </c>
      <c r="G125">
        <v>2.1219999999999999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-0.78250591016548554</v>
      </c>
      <c r="Q125">
        <f t="shared" ref="Q125" si="601">F125*P125</f>
        <v>-4300347.0702127712</v>
      </c>
      <c r="R125">
        <f t="shared" ref="R125" si="602">R126+Q125</f>
        <v>-126164108.30124839</v>
      </c>
      <c r="S125">
        <f t="shared" ref="S125" si="603">R125/100000</f>
        <v>-1261.6410830124839</v>
      </c>
      <c r="T125">
        <f t="shared" ref="T125" si="604">S125/1000</f>
        <v>-1.261641083012484</v>
      </c>
    </row>
    <row r="126" spans="1:20" x14ac:dyDescent="0.25">
      <c r="A126" s="5">
        <v>44467</v>
      </c>
      <c r="B126">
        <v>2.6150000000000002</v>
      </c>
      <c r="C126">
        <v>2.7170000000000001</v>
      </c>
      <c r="D126">
        <v>2.302</v>
      </c>
      <c r="E126">
        <v>2.33</v>
      </c>
      <c r="F126">
        <v>8458430.5999999996</v>
      </c>
      <c r="G126">
        <v>2.33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-0.86506024096385536</v>
      </c>
      <c r="Q126">
        <f t="shared" ref="Q126" si="606">F126*P126</f>
        <v>-7317052.0130120469</v>
      </c>
      <c r="R126">
        <f t="shared" ref="R126" si="607">R127+Q126</f>
        <v>-121863761.23103562</v>
      </c>
      <c r="S126">
        <f t="shared" ref="S126" si="608">R126/100000</f>
        <v>-1218.6376123103562</v>
      </c>
      <c r="T126">
        <f t="shared" ref="T126" si="609">S126/1000</f>
        <v>-1.2186376123103562</v>
      </c>
    </row>
    <row r="127" spans="1:20" x14ac:dyDescent="0.25">
      <c r="A127" s="5">
        <v>44466</v>
      </c>
      <c r="B127">
        <v>3.1589999999999998</v>
      </c>
      <c r="C127">
        <v>4.3</v>
      </c>
      <c r="D127">
        <v>2.52</v>
      </c>
      <c r="E127">
        <v>2.62</v>
      </c>
      <c r="F127">
        <v>40186621.700000003</v>
      </c>
      <c r="G127">
        <v>2.62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-0.88764044943820208</v>
      </c>
      <c r="Q127">
        <f t="shared" ref="Q127" si="611">F127*P127</f>
        <v>-35671270.947191007</v>
      </c>
      <c r="R127">
        <f t="shared" ref="R127" si="612">R128+Q127</f>
        <v>-114546709.21802357</v>
      </c>
      <c r="S127">
        <f t="shared" ref="S127" si="613">R127/100000</f>
        <v>-1145.4670921802358</v>
      </c>
      <c r="T127">
        <f t="shared" ref="T127" si="614">S127/1000</f>
        <v>-1.1454670921802359</v>
      </c>
    </row>
    <row r="128" spans="1:20" x14ac:dyDescent="0.25">
      <c r="A128" s="5">
        <v>44465</v>
      </c>
      <c r="B128">
        <v>1.506</v>
      </c>
      <c r="C128">
        <v>10</v>
      </c>
      <c r="D128">
        <v>1.411</v>
      </c>
      <c r="E128">
        <v>3.1589999999999998</v>
      </c>
      <c r="F128">
        <v>54860406</v>
      </c>
      <c r="G128">
        <v>3.1589999999999998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-0.59296774944696706</v>
      </c>
      <c r="Q128">
        <f t="shared" ref="Q128" si="616">F128*P128</f>
        <v>-32530451.479566887</v>
      </c>
      <c r="R128">
        <f t="shared" ref="R128" si="617">R129+Q128</f>
        <v>-78875438.270832568</v>
      </c>
      <c r="S128">
        <f t="shared" ref="S128" si="618">R128/100000</f>
        <v>-788.75438270832569</v>
      </c>
      <c r="T128">
        <f t="shared" ref="T128" si="619">S128/1000</f>
        <v>-0.78875438270832565</v>
      </c>
    </row>
    <row r="129" spans="1:20" x14ac:dyDescent="0.25">
      <c r="A129" s="5">
        <v>44464</v>
      </c>
      <c r="B129">
        <v>1.601</v>
      </c>
      <c r="C129">
        <v>1.9890000000000001</v>
      </c>
      <c r="D129">
        <v>1.5049999999999999</v>
      </c>
      <c r="E129">
        <v>1.508</v>
      </c>
      <c r="F129">
        <v>6780468.5999999996</v>
      </c>
      <c r="G129">
        <v>1.508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-0.98760330578512345</v>
      </c>
      <c r="Q129">
        <f t="shared" ref="Q129" si="621">F129*P129</f>
        <v>-6696413.2041322272</v>
      </c>
      <c r="R129">
        <f t="shared" ref="R129" si="622">R130+Q129</f>
        <v>-46344986.791265681</v>
      </c>
      <c r="S129">
        <f t="shared" ref="S129" si="623">R129/100000</f>
        <v>-463.44986791265683</v>
      </c>
      <c r="T129">
        <f t="shared" ref="T129" si="624">S129/1000</f>
        <v>-0.46344986791265685</v>
      </c>
    </row>
    <row r="130" spans="1:20" x14ac:dyDescent="0.25">
      <c r="A130" s="5">
        <v>44463</v>
      </c>
      <c r="B130">
        <v>1.498</v>
      </c>
      <c r="C130">
        <v>1.694</v>
      </c>
      <c r="D130">
        <v>1.3340000000000001</v>
      </c>
      <c r="E130">
        <v>1.603</v>
      </c>
      <c r="F130">
        <v>3859659</v>
      </c>
      <c r="G130">
        <v>1.603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0.49444444444444446</v>
      </c>
      <c r="Q130">
        <f t="shared" ref="Q130" si="626">F130*P130</f>
        <v>1908386.9500000002</v>
      </c>
      <c r="R130">
        <f t="shared" ref="R130" si="627">R131+Q130</f>
        <v>-39648573.587133452</v>
      </c>
      <c r="S130">
        <f t="shared" ref="S130" si="628">R130/100000</f>
        <v>-396.4857358713345</v>
      </c>
      <c r="T130">
        <f t="shared" ref="T130" si="629">S130/1000</f>
        <v>-0.39648573587133451</v>
      </c>
    </row>
    <row r="131" spans="1:20" x14ac:dyDescent="0.25">
      <c r="A131" s="5">
        <v>44462</v>
      </c>
      <c r="B131">
        <v>1.3009999999999999</v>
      </c>
      <c r="C131">
        <v>2.177</v>
      </c>
      <c r="D131">
        <v>1.2849999999999999</v>
      </c>
      <c r="E131">
        <v>1.5</v>
      </c>
      <c r="F131">
        <v>14590910</v>
      </c>
      <c r="G131">
        <v>1.5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-0.51793721973094164</v>
      </c>
      <c r="Q131">
        <f t="shared" ref="Q131" si="631">F131*P131</f>
        <v>-7557175.358744394</v>
      </c>
      <c r="R131">
        <f t="shared" ref="R131" si="632">R132+Q131</f>
        <v>-41556960.537133455</v>
      </c>
      <c r="S131">
        <f t="shared" ref="S131" si="633">R131/100000</f>
        <v>-415.56960537133455</v>
      </c>
      <c r="T131">
        <f t="shared" ref="T131" si="634">S131/1000</f>
        <v>-0.41556960537133453</v>
      </c>
    </row>
    <row r="132" spans="1:20" x14ac:dyDescent="0.25">
      <c r="A132" s="5">
        <v>44461</v>
      </c>
      <c r="B132">
        <v>1.127</v>
      </c>
      <c r="C132">
        <v>1.302</v>
      </c>
      <c r="D132">
        <v>1.127</v>
      </c>
      <c r="E132">
        <v>1.2989999999999999</v>
      </c>
      <c r="F132">
        <v>452965</v>
      </c>
      <c r="G132">
        <v>1.2989999999999999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0.96571428571428442</v>
      </c>
      <c r="Q132">
        <f t="shared" ref="Q132" si="636">F132*P132</f>
        <v>437434.77142857085</v>
      </c>
      <c r="R132">
        <f t="shared" ref="R132" si="637">R133+Q132</f>
        <v>-33999785.178389065</v>
      </c>
      <c r="S132">
        <f t="shared" ref="S132" si="638">R132/100000</f>
        <v>-339.99785178389067</v>
      </c>
      <c r="T132">
        <f t="shared" ref="T132" si="639">S132/1000</f>
        <v>-0.33999785178389069</v>
      </c>
    </row>
    <row r="133" spans="1:20" x14ac:dyDescent="0.25">
      <c r="A133" s="5">
        <v>44460</v>
      </c>
      <c r="B133">
        <v>1.232</v>
      </c>
      <c r="C133">
        <v>1.278</v>
      </c>
      <c r="D133">
        <v>1.1259999999999999</v>
      </c>
      <c r="E133">
        <v>1.127</v>
      </c>
      <c r="F133">
        <v>484283.2</v>
      </c>
      <c r="G133">
        <v>1.127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-0.98684210526315641</v>
      </c>
      <c r="Q133">
        <f t="shared" ref="Q133" si="641">F133*P133</f>
        <v>-477911.05263157823</v>
      </c>
      <c r="R133">
        <f t="shared" ref="R133" si="642">R134+Q133</f>
        <v>-34437219.949817635</v>
      </c>
      <c r="S133">
        <f t="shared" ref="S133" si="643">R133/100000</f>
        <v>-344.37219949817637</v>
      </c>
      <c r="T133">
        <f t="shared" ref="T133" si="644">S133/1000</f>
        <v>-0.34437219949817638</v>
      </c>
    </row>
    <row r="134" spans="1:20" x14ac:dyDescent="0.25">
      <c r="A134" s="5">
        <v>44459</v>
      </c>
      <c r="B134">
        <v>1.415</v>
      </c>
      <c r="C134">
        <v>1.4159999999999999</v>
      </c>
      <c r="D134">
        <v>1.272</v>
      </c>
      <c r="E134">
        <v>1.304</v>
      </c>
      <c r="F134">
        <v>357885.7</v>
      </c>
      <c r="G134">
        <v>1.304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-0.55555555555555491</v>
      </c>
      <c r="Q134">
        <f t="shared" ref="Q134" si="646">F134*P134</f>
        <v>-198825.38888888867</v>
      </c>
      <c r="R134">
        <f t="shared" ref="R134" si="647">R135+Q134</f>
        <v>-33959308.897186056</v>
      </c>
      <c r="S134">
        <f t="shared" ref="S134" si="648">R134/100000</f>
        <v>-339.59308897186054</v>
      </c>
      <c r="T134">
        <f t="shared" ref="T134" si="649">S134/1000</f>
        <v>-0.33959308897186052</v>
      </c>
    </row>
    <row r="135" spans="1:20" x14ac:dyDescent="0.25">
      <c r="A135" s="5">
        <v>44458</v>
      </c>
      <c r="B135">
        <v>1.468</v>
      </c>
      <c r="C135">
        <v>1.468</v>
      </c>
      <c r="D135">
        <v>1.4079999999999999</v>
      </c>
      <c r="E135">
        <v>1.409</v>
      </c>
      <c r="F135">
        <v>433061.9</v>
      </c>
      <c r="G135">
        <v>1.409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-0.96666666666666301</v>
      </c>
      <c r="Q135">
        <f t="shared" ref="Q135" si="651">F135*P135</f>
        <v>-418626.50333333178</v>
      </c>
      <c r="R135">
        <f t="shared" ref="R135" si="652">R136+Q135</f>
        <v>-33760483.508297168</v>
      </c>
      <c r="S135">
        <f t="shared" ref="S135" si="653">R135/100000</f>
        <v>-337.6048350829717</v>
      </c>
      <c r="T135">
        <f t="shared" ref="T135" si="654">S135/1000</f>
        <v>-0.33760483508297168</v>
      </c>
    </row>
    <row r="136" spans="1:20" x14ac:dyDescent="0.25">
      <c r="A136" s="5">
        <v>44457</v>
      </c>
      <c r="B136">
        <v>1.4339999999999999</v>
      </c>
      <c r="C136">
        <v>1.5129999999999999</v>
      </c>
      <c r="D136">
        <v>1.4239999999999999</v>
      </c>
      <c r="E136">
        <v>1.468</v>
      </c>
      <c r="F136">
        <v>737475.3</v>
      </c>
      <c r="G136">
        <v>1.468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-1.1235955056178542E-2</v>
      </c>
      <c r="Q136">
        <f t="shared" ref="Q136" si="656">F136*P136</f>
        <v>-8286.2393258417869</v>
      </c>
      <c r="R136">
        <f t="shared" ref="R136" si="657">R137+Q136</f>
        <v>-33341857.004963834</v>
      </c>
      <c r="S136">
        <f t="shared" ref="S136" si="658">R136/100000</f>
        <v>-333.41857004963833</v>
      </c>
      <c r="T136">
        <f t="shared" ref="T136" si="659">S136/1000</f>
        <v>-0.33341857004963832</v>
      </c>
    </row>
    <row r="137" spans="1:20" x14ac:dyDescent="0.25">
      <c r="A137" s="5">
        <v>44456</v>
      </c>
      <c r="B137">
        <v>1.474</v>
      </c>
      <c r="C137">
        <v>1.6779999999999999</v>
      </c>
      <c r="D137">
        <v>1.391</v>
      </c>
      <c r="E137">
        <v>1.4350000000000001</v>
      </c>
      <c r="F137">
        <v>1954157.4</v>
      </c>
      <c r="G137">
        <v>1.4350000000000001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-0.69337979094076618</v>
      </c>
      <c r="Q137">
        <f t="shared" ref="Q137" si="661">F137*P137</f>
        <v>-1354973.2494773511</v>
      </c>
      <c r="R137">
        <f t="shared" ref="R137" si="662">R138+Q137</f>
        <v>-33333570.765637994</v>
      </c>
      <c r="S137">
        <f t="shared" ref="S137" si="663">R137/100000</f>
        <v>-333.33570765637995</v>
      </c>
      <c r="T137">
        <f t="shared" ref="T137" si="664">S137/1000</f>
        <v>-0.33333570765637993</v>
      </c>
    </row>
    <row r="138" spans="1:20" x14ac:dyDescent="0.25">
      <c r="A138" s="5">
        <v>44455</v>
      </c>
      <c r="B138">
        <v>1.4950000000000001</v>
      </c>
      <c r="C138">
        <v>1.532</v>
      </c>
      <c r="D138">
        <v>1.4450000000000001</v>
      </c>
      <c r="E138">
        <v>1.4710000000000001</v>
      </c>
      <c r="F138">
        <v>722012.3</v>
      </c>
      <c r="G138">
        <v>1.4710000000000001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-0.40229885057471187</v>
      </c>
      <c r="Q138">
        <f t="shared" ref="Q138" si="666">F138*P138</f>
        <v>-290464.71839080408</v>
      </c>
      <c r="R138">
        <f t="shared" ref="R138" si="667">R139+Q138</f>
        <v>-31978597.516160641</v>
      </c>
      <c r="S138">
        <f t="shared" ref="S138" si="668">R138/100000</f>
        <v>-319.78597516160642</v>
      </c>
      <c r="T138">
        <f t="shared" ref="T138" si="669">S138/1000</f>
        <v>-0.3197859751616064</v>
      </c>
    </row>
    <row r="139" spans="1:20" x14ac:dyDescent="0.25">
      <c r="A139" s="5">
        <v>44454</v>
      </c>
      <c r="B139">
        <v>1.5089999999999999</v>
      </c>
      <c r="C139">
        <v>1.52</v>
      </c>
      <c r="D139">
        <v>1.444</v>
      </c>
      <c r="E139">
        <v>1.492</v>
      </c>
      <c r="F139">
        <v>967953.8</v>
      </c>
      <c r="G139">
        <v>1.492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0.26315789473684209</v>
      </c>
      <c r="Q139">
        <f t="shared" ref="Q139" si="671">F139*P139</f>
        <v>254724.68421052632</v>
      </c>
      <c r="R139">
        <f t="shared" ref="R139" si="672">R140+Q139</f>
        <v>-31688132.797769837</v>
      </c>
      <c r="S139">
        <f t="shared" ref="S139" si="673">R139/100000</f>
        <v>-316.88132797769839</v>
      </c>
      <c r="T139">
        <f t="shared" ref="T139" si="674">S139/1000</f>
        <v>-0.31688132797769841</v>
      </c>
    </row>
    <row r="140" spans="1:20" x14ac:dyDescent="0.25">
      <c r="A140" s="5">
        <v>44453</v>
      </c>
      <c r="B140">
        <v>1.3819999999999999</v>
      </c>
      <c r="C140">
        <v>1.78</v>
      </c>
      <c r="D140">
        <v>1.379</v>
      </c>
      <c r="E140">
        <v>1.5069999999999999</v>
      </c>
      <c r="F140">
        <v>4195574.2</v>
      </c>
      <c r="G140">
        <v>1.5069999999999999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-0.36159600997506292</v>
      </c>
      <c r="Q140">
        <f t="shared" ref="Q140" si="676">F140*P140</f>
        <v>-1517102.8902743168</v>
      </c>
      <c r="R140">
        <f t="shared" ref="R140" si="677">R141+Q140</f>
        <v>-31942857.481980365</v>
      </c>
      <c r="S140">
        <f t="shared" ref="S140" si="678">R140/100000</f>
        <v>-319.42857481980366</v>
      </c>
      <c r="T140">
        <f t="shared" ref="T140" si="679">S140/1000</f>
        <v>-0.31942857481980363</v>
      </c>
    </row>
    <row r="141" spans="1:20" x14ac:dyDescent="0.25">
      <c r="A141" s="5">
        <v>44452</v>
      </c>
      <c r="B141">
        <v>1.532</v>
      </c>
      <c r="C141">
        <v>1.556</v>
      </c>
      <c r="D141">
        <v>1.339</v>
      </c>
      <c r="E141">
        <v>1.381</v>
      </c>
      <c r="F141">
        <v>1795932</v>
      </c>
      <c r="G141">
        <v>1.381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-0.6129032258064514</v>
      </c>
      <c r="Q141">
        <f t="shared" ref="Q141" si="681">F141*P141</f>
        <v>-1100732.5161290318</v>
      </c>
      <c r="R141">
        <f t="shared" ref="R141" si="682">R142+Q141</f>
        <v>-30425754.591706049</v>
      </c>
      <c r="S141">
        <f t="shared" ref="S141" si="683">R141/100000</f>
        <v>-304.2575459170605</v>
      </c>
      <c r="T141">
        <f t="shared" ref="T141" si="684">S141/1000</f>
        <v>-0.3042575459170605</v>
      </c>
    </row>
    <row r="142" spans="1:20" x14ac:dyDescent="0.25">
      <c r="A142" s="5">
        <v>44451</v>
      </c>
      <c r="B142">
        <v>1.5249999999999999</v>
      </c>
      <c r="C142">
        <v>1.635</v>
      </c>
      <c r="D142">
        <v>1.498</v>
      </c>
      <c r="E142">
        <v>1.5329999999999999</v>
      </c>
      <c r="F142">
        <v>1026091.2</v>
      </c>
      <c r="G142">
        <v>1.5329999999999999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-0.48905109489051213</v>
      </c>
      <c r="Q142">
        <f t="shared" ref="Q142" si="686">F142*P142</f>
        <v>-501811.02481751941</v>
      </c>
      <c r="R142">
        <f t="shared" ref="R142" si="687">R143+Q142</f>
        <v>-29325022.075577017</v>
      </c>
      <c r="S142">
        <f t="shared" ref="S142" si="688">R142/100000</f>
        <v>-293.25022075577016</v>
      </c>
      <c r="T142">
        <f t="shared" ref="T142" si="689">S142/1000</f>
        <v>-0.29325022075577017</v>
      </c>
    </row>
    <row r="143" spans="1:20" x14ac:dyDescent="0.25">
      <c r="A143" s="5">
        <v>44450</v>
      </c>
      <c r="B143">
        <v>1.4650000000000001</v>
      </c>
      <c r="C143">
        <v>1.798</v>
      </c>
      <c r="D143">
        <v>1.431</v>
      </c>
      <c r="E143">
        <v>1.5249999999999999</v>
      </c>
      <c r="F143">
        <v>2487188.9</v>
      </c>
      <c r="G143">
        <v>1.5249999999999999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-0.48773841961852937</v>
      </c>
      <c r="Q143">
        <f t="shared" ref="Q143" si="691">F143*P143</f>
        <v>-1213097.5833787485</v>
      </c>
      <c r="R143">
        <f t="shared" ref="R143" si="692">R144+Q143</f>
        <v>-28823211.050759498</v>
      </c>
      <c r="S143">
        <f t="shared" ref="S143" si="693">R143/100000</f>
        <v>-288.232110507595</v>
      </c>
      <c r="T143">
        <f t="shared" ref="T143" si="694">S143/1000</f>
        <v>-0.28823211050759501</v>
      </c>
    </row>
    <row r="144" spans="1:20" x14ac:dyDescent="0.25">
      <c r="A144" s="5">
        <v>44449</v>
      </c>
      <c r="B144">
        <v>1.663</v>
      </c>
      <c r="C144">
        <v>1.736</v>
      </c>
      <c r="D144">
        <v>1.4259999999999999</v>
      </c>
      <c r="E144">
        <v>1.4650000000000001</v>
      </c>
      <c r="F144">
        <v>2550322.2000000002</v>
      </c>
      <c r="G144">
        <v>1.4650000000000001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-0.74838709677419268</v>
      </c>
      <c r="Q144">
        <f t="shared" ref="Q144" si="696">F144*P144</f>
        <v>-1908628.2270967721</v>
      </c>
      <c r="R144">
        <f t="shared" ref="R144" si="697">R145+Q144</f>
        <v>-27610113.467380751</v>
      </c>
      <c r="S144">
        <f t="shared" ref="S144" si="698">R144/100000</f>
        <v>-276.10113467380751</v>
      </c>
      <c r="T144">
        <f t="shared" ref="T144" si="699">S144/1000</f>
        <v>-0.27610113467380748</v>
      </c>
    </row>
    <row r="145" spans="1:20" x14ac:dyDescent="0.25">
      <c r="A145" s="5">
        <v>44448</v>
      </c>
      <c r="B145">
        <v>1.841</v>
      </c>
      <c r="C145">
        <v>1.915</v>
      </c>
      <c r="D145">
        <v>1.613</v>
      </c>
      <c r="E145">
        <v>1.663</v>
      </c>
      <c r="F145">
        <v>4682482.9000000004</v>
      </c>
      <c r="G145">
        <v>1.663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-0.66887417218543022</v>
      </c>
      <c r="Q145">
        <f t="shared" ref="Q145" si="701">F145*P145</f>
        <v>-3131991.8735099328</v>
      </c>
      <c r="R145">
        <f t="shared" ref="R145" si="702">R146+Q145</f>
        <v>-25701485.240283977</v>
      </c>
      <c r="S145">
        <f t="shared" ref="S145" si="703">R145/100000</f>
        <v>-257.01485240283978</v>
      </c>
      <c r="T145">
        <f t="shared" ref="T145" si="704">S145/1000</f>
        <v>-0.25701485240283978</v>
      </c>
    </row>
    <row r="146" spans="1:20" x14ac:dyDescent="0.25">
      <c r="A146" s="5">
        <v>44447</v>
      </c>
      <c r="B146">
        <v>1.417</v>
      </c>
      <c r="C146">
        <v>2.8</v>
      </c>
      <c r="D146">
        <v>1.3520000000000001</v>
      </c>
      <c r="E146">
        <v>1.8440000000000001</v>
      </c>
      <c r="F146">
        <v>21039784.649999999</v>
      </c>
      <c r="G146">
        <v>1.8440000000000001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-0.32044198895027615</v>
      </c>
      <c r="Q146">
        <f t="shared" ref="Q146" si="706">F146*P146</f>
        <v>-6742030.4403314888</v>
      </c>
      <c r="R146">
        <f t="shared" ref="R146" si="707">R147+Q146</f>
        <v>-22569493.366774045</v>
      </c>
      <c r="S146">
        <f t="shared" ref="S146" si="708">R146/100000</f>
        <v>-225.69493366774046</v>
      </c>
      <c r="T146">
        <f t="shared" ref="T146" si="709">S146/1000</f>
        <v>-0.22569493366774046</v>
      </c>
    </row>
    <row r="147" spans="1:20" x14ac:dyDescent="0.25">
      <c r="A147" s="5">
        <v>44446</v>
      </c>
      <c r="B147">
        <v>1.7470000000000001</v>
      </c>
      <c r="C147">
        <v>2.06</v>
      </c>
      <c r="D147">
        <v>0.871</v>
      </c>
      <c r="E147">
        <v>1.4</v>
      </c>
      <c r="F147">
        <v>4131468.79</v>
      </c>
      <c r="G147">
        <v>1.4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-0.11017661900756957</v>
      </c>
      <c r="Q147">
        <f t="shared" ref="Q147" si="711">F147*P147</f>
        <v>-455191.26281749445</v>
      </c>
      <c r="R147">
        <f t="shared" ref="R147" si="712">R148+Q147</f>
        <v>-15827462.926442554</v>
      </c>
      <c r="S147">
        <f t="shared" ref="S147" si="713">R147/100000</f>
        <v>-158.27462926442556</v>
      </c>
      <c r="T147">
        <f t="shared" ref="T147" si="714">S147/1000</f>
        <v>-0.15827462926442556</v>
      </c>
    </row>
    <row r="148" spans="1:20" x14ac:dyDescent="0.25">
      <c r="A148" s="5">
        <v>44445</v>
      </c>
      <c r="B148">
        <v>1.72</v>
      </c>
      <c r="C148">
        <v>1.748</v>
      </c>
      <c r="D148">
        <v>1.651</v>
      </c>
      <c r="E148">
        <v>1.7470000000000001</v>
      </c>
      <c r="F148">
        <v>527772.1</v>
      </c>
      <c r="G148">
        <v>1.7470000000000001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0.97938144329897137</v>
      </c>
      <c r="Q148">
        <f t="shared" ref="Q148" si="716">F148*P148</f>
        <v>516890.20103092905</v>
      </c>
      <c r="R148">
        <f t="shared" ref="R148" si="717">R149+Q148</f>
        <v>-15372271.66362506</v>
      </c>
      <c r="S148">
        <f t="shared" ref="S148" si="718">R148/100000</f>
        <v>-153.7227166362506</v>
      </c>
      <c r="T148">
        <f t="shared" ref="T148" si="719">S148/1000</f>
        <v>-0.15372271663625059</v>
      </c>
    </row>
    <row r="149" spans="1:20" x14ac:dyDescent="0.25">
      <c r="A149" s="5">
        <v>44444</v>
      </c>
      <c r="B149">
        <v>1.62</v>
      </c>
      <c r="C149">
        <v>1.76</v>
      </c>
      <c r="D149">
        <v>1.617</v>
      </c>
      <c r="E149">
        <v>1.7170000000000001</v>
      </c>
      <c r="F149">
        <v>549357.1</v>
      </c>
      <c r="G149">
        <v>1.7170000000000001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0.3986013986013997</v>
      </c>
      <c r="Q149">
        <f t="shared" ref="Q149" si="721">F149*P149</f>
        <v>218974.50839160898</v>
      </c>
      <c r="R149">
        <f t="shared" ref="R149" si="722">R150+Q149</f>
        <v>-15889161.864655988</v>
      </c>
      <c r="S149">
        <f t="shared" ref="S149" si="723">R149/100000</f>
        <v>-158.89161864655989</v>
      </c>
      <c r="T149">
        <f t="shared" ref="T149" si="724">S149/1000</f>
        <v>-0.1588916186465599</v>
      </c>
    </row>
    <row r="150" spans="1:20" x14ac:dyDescent="0.25">
      <c r="A150" s="5">
        <v>44443</v>
      </c>
      <c r="B150">
        <v>1.637</v>
      </c>
      <c r="C150">
        <v>1.6559999999999999</v>
      </c>
      <c r="D150">
        <v>1.613</v>
      </c>
      <c r="E150">
        <v>1.62</v>
      </c>
      <c r="F150">
        <v>268268.59999999998</v>
      </c>
      <c r="G150">
        <v>1.62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-0.67441860465115677</v>
      </c>
      <c r="Q150">
        <f t="shared" ref="Q150" si="726">F150*P150</f>
        <v>-180925.3348837193</v>
      </c>
      <c r="R150">
        <f t="shared" ref="R150" si="727">R151+Q150</f>
        <v>-16108136.373047598</v>
      </c>
      <c r="S150">
        <f t="shared" ref="S150" si="728">R150/100000</f>
        <v>-161.08136373047597</v>
      </c>
      <c r="T150">
        <f t="shared" ref="T150" si="729">S150/1000</f>
        <v>-0.16108136373047596</v>
      </c>
    </row>
    <row r="151" spans="1:20" x14ac:dyDescent="0.25">
      <c r="A151" s="5">
        <v>44442</v>
      </c>
      <c r="B151">
        <v>1.6839999999999999</v>
      </c>
      <c r="C151">
        <v>1.7170000000000001</v>
      </c>
      <c r="D151">
        <v>1.619</v>
      </c>
      <c r="E151">
        <v>1.639</v>
      </c>
      <c r="F151">
        <v>545553.1</v>
      </c>
      <c r="G151">
        <v>1.639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-0.59183673469387754</v>
      </c>
      <c r="Q151">
        <f t="shared" ref="Q151" si="731">F151*P151</f>
        <v>-322878.3653061224</v>
      </c>
      <c r="R151">
        <f t="shared" ref="R151" si="732">R152+Q151</f>
        <v>-15927211.038163878</v>
      </c>
      <c r="S151">
        <f t="shared" ref="S151" si="733">R151/100000</f>
        <v>-159.27211038163878</v>
      </c>
      <c r="T151">
        <f t="shared" ref="T151" si="734">S151/1000</f>
        <v>-0.15927211038163877</v>
      </c>
    </row>
    <row r="152" spans="1:20" x14ac:dyDescent="0.25">
      <c r="A152" s="5">
        <v>44441</v>
      </c>
      <c r="B152">
        <v>1.796</v>
      </c>
      <c r="C152">
        <v>1.8340000000000001</v>
      </c>
      <c r="D152">
        <v>1.6539999999999999</v>
      </c>
      <c r="E152">
        <v>1.6839999999999999</v>
      </c>
      <c r="F152">
        <v>846316.1</v>
      </c>
      <c r="G152">
        <v>1.6839999999999999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-0.66666666666666663</v>
      </c>
      <c r="Q152">
        <f t="shared" ref="Q152" si="736">F152*P152</f>
        <v>-564210.73333333328</v>
      </c>
      <c r="R152">
        <f t="shared" ref="R152" si="737">R153+Q152</f>
        <v>-15604332.672857756</v>
      </c>
      <c r="S152">
        <f t="shared" ref="S152" si="738">R152/100000</f>
        <v>-156.04332672857757</v>
      </c>
      <c r="T152">
        <f t="shared" ref="T152" si="739">S152/1000</f>
        <v>-0.15604332672857757</v>
      </c>
    </row>
    <row r="153" spans="1:20" x14ac:dyDescent="0.25">
      <c r="A153" s="5">
        <v>44440</v>
      </c>
      <c r="B153">
        <v>1.7470000000000001</v>
      </c>
      <c r="C153">
        <v>1.9</v>
      </c>
      <c r="D153">
        <v>1.6970000000000001</v>
      </c>
      <c r="E153">
        <v>1.8009999999999999</v>
      </c>
      <c r="F153">
        <v>1216265.7</v>
      </c>
      <c r="G153">
        <v>1.8009999999999999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2.4630541871920677E-2</v>
      </c>
      <c r="Q153">
        <f t="shared" ref="Q153" si="741">F153*P153</f>
        <v>29957.283251230911</v>
      </c>
      <c r="R153">
        <f t="shared" ref="R153" si="742">R154+Q153</f>
        <v>-15040121.939524423</v>
      </c>
      <c r="S153">
        <f t="shared" ref="S153" si="743">R153/100000</f>
        <v>-150.40121939524423</v>
      </c>
      <c r="T153">
        <f t="shared" ref="T153" si="744">S153/1000</f>
        <v>-0.15040121939524423</v>
      </c>
    </row>
    <row r="154" spans="1:20" x14ac:dyDescent="0.25">
      <c r="A154" s="5">
        <v>44439</v>
      </c>
      <c r="B154">
        <v>1.607</v>
      </c>
      <c r="C154">
        <v>1.754</v>
      </c>
      <c r="D154">
        <v>1.5660000000000001</v>
      </c>
      <c r="E154">
        <v>1.752</v>
      </c>
      <c r="F154">
        <v>716924.8</v>
      </c>
      <c r="G154">
        <v>1.752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0.97872340425531912</v>
      </c>
      <c r="Q154">
        <f t="shared" ref="Q154" si="746">F154*P154</f>
        <v>701671.08085106383</v>
      </c>
      <c r="R154">
        <f t="shared" ref="R154" si="747">R155+Q154</f>
        <v>-15070079.222775655</v>
      </c>
      <c r="S154">
        <f t="shared" ref="S154" si="748">R154/100000</f>
        <v>-150.70079222775655</v>
      </c>
      <c r="T154">
        <f t="shared" ref="T154" si="749">S154/1000</f>
        <v>-0.15070079222775656</v>
      </c>
    </row>
    <row r="155" spans="1:20" x14ac:dyDescent="0.25">
      <c r="A155" s="5">
        <v>44438</v>
      </c>
      <c r="B155">
        <v>1.661</v>
      </c>
      <c r="C155">
        <v>1.698</v>
      </c>
      <c r="D155">
        <v>1.58</v>
      </c>
      <c r="E155">
        <v>1.6080000000000001</v>
      </c>
      <c r="F155">
        <v>462426.7</v>
      </c>
      <c r="G155">
        <v>1.6080000000000001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-0.52542372881355848</v>
      </c>
      <c r="Q155">
        <f t="shared" ref="Q155" si="751">F155*P155</f>
        <v>-242969.96101694877</v>
      </c>
      <c r="R155">
        <f t="shared" ref="R155" si="752">R156+Q155</f>
        <v>-15771750.303626718</v>
      </c>
      <c r="S155">
        <f t="shared" ref="S155" si="753">R155/100000</f>
        <v>-157.71750303626717</v>
      </c>
      <c r="T155">
        <f t="shared" ref="T155" si="754">S155/1000</f>
        <v>-0.15771750303626716</v>
      </c>
    </row>
    <row r="156" spans="1:20" x14ac:dyDescent="0.25">
      <c r="A156" s="5">
        <v>44437</v>
      </c>
      <c r="B156">
        <v>1.671</v>
      </c>
      <c r="C156">
        <v>1.72</v>
      </c>
      <c r="D156">
        <v>1.6</v>
      </c>
      <c r="E156">
        <v>1.66</v>
      </c>
      <c r="F156">
        <v>643493.5</v>
      </c>
      <c r="G156">
        <v>1.66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-1.8503717077085959E-15</v>
      </c>
      <c r="Q156">
        <f t="shared" ref="Q156" si="756">F156*P156</f>
        <v>-1.1907021664943815E-9</v>
      </c>
      <c r="R156">
        <f t="shared" ref="R156" si="757">R157+Q156</f>
        <v>-15528780.342609769</v>
      </c>
      <c r="S156">
        <f t="shared" ref="S156" si="758">R156/100000</f>
        <v>-155.2878034260977</v>
      </c>
      <c r="T156">
        <f t="shared" ref="T156" si="759">S156/1000</f>
        <v>-0.15528780342609769</v>
      </c>
    </row>
    <row r="157" spans="1:20" x14ac:dyDescent="0.25">
      <c r="A157" s="5">
        <v>44436</v>
      </c>
      <c r="B157">
        <v>1.8740000000000001</v>
      </c>
      <c r="C157">
        <v>1.875</v>
      </c>
      <c r="D157">
        <v>1.548</v>
      </c>
      <c r="E157">
        <v>1.6719999999999999</v>
      </c>
      <c r="F157">
        <v>1372447.1</v>
      </c>
      <c r="G157">
        <v>1.6719999999999999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-0.24159021406727887</v>
      </c>
      <c r="Q157">
        <f t="shared" ref="Q157" si="761">F157*P157</f>
        <v>-331569.7886850161</v>
      </c>
      <c r="R157">
        <f t="shared" ref="R157" si="762">R158+Q157</f>
        <v>-15528780.342609767</v>
      </c>
      <c r="S157">
        <f t="shared" ref="S157" si="763">R157/100000</f>
        <v>-155.28780342609767</v>
      </c>
      <c r="T157">
        <f t="shared" ref="T157" si="764">S157/1000</f>
        <v>-0.15528780342609766</v>
      </c>
    </row>
    <row r="158" spans="1:20" x14ac:dyDescent="0.25">
      <c r="A158" s="5">
        <v>44435</v>
      </c>
      <c r="B158">
        <v>1.5760000000000001</v>
      </c>
      <c r="C158">
        <v>2.0419999999999998</v>
      </c>
      <c r="D158">
        <v>1.5149999999999999</v>
      </c>
      <c r="E158">
        <v>1.875</v>
      </c>
      <c r="F158">
        <v>6202881.7699999996</v>
      </c>
      <c r="G158">
        <v>1.875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0.36622390891840667</v>
      </c>
      <c r="Q158">
        <f t="shared" ref="Q158" si="766">F158*P158</f>
        <v>2271643.6083681248</v>
      </c>
      <c r="R158">
        <f t="shared" ref="R158" si="767">R159+Q158</f>
        <v>-15197210.553924751</v>
      </c>
      <c r="S158">
        <f t="shared" ref="S158" si="768">R158/100000</f>
        <v>-151.97210553924751</v>
      </c>
      <c r="T158">
        <f t="shared" ref="T158" si="769">S158/1000</f>
        <v>-0.1519721055392475</v>
      </c>
    </row>
    <row r="159" spans="1:20" x14ac:dyDescent="0.25">
      <c r="A159" s="5">
        <v>44434</v>
      </c>
      <c r="B159">
        <v>1.5041</v>
      </c>
      <c r="C159">
        <v>1.885</v>
      </c>
      <c r="D159">
        <v>1.4059999999999999</v>
      </c>
      <c r="E159">
        <v>1.581</v>
      </c>
      <c r="F159">
        <v>2925582.77</v>
      </c>
      <c r="G159">
        <v>1.581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-0.2693110647181628</v>
      </c>
      <c r="Q159">
        <f t="shared" ref="Q159" si="771">F159*P159</f>
        <v>-787891.81070981198</v>
      </c>
      <c r="R159">
        <f t="shared" ref="R159" si="772">R160+Q159</f>
        <v>-17468854.162292875</v>
      </c>
      <c r="S159">
        <f t="shared" ref="S159" si="773">R159/100000</f>
        <v>-174.68854162292877</v>
      </c>
      <c r="T159">
        <f t="shared" ref="T159" si="774">S159/1000</f>
        <v>-0.17468854162292877</v>
      </c>
    </row>
    <row r="160" spans="1:20" x14ac:dyDescent="0.25">
      <c r="A160" s="5">
        <v>44433</v>
      </c>
      <c r="B160">
        <v>1.4416</v>
      </c>
      <c r="C160">
        <v>1.5319</v>
      </c>
      <c r="D160">
        <v>1.391</v>
      </c>
      <c r="E160">
        <v>1.4993000000000001</v>
      </c>
      <c r="F160">
        <v>489087.37</v>
      </c>
      <c r="G160">
        <v>1.4993000000000001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0.53726046841731789</v>
      </c>
      <c r="Q160">
        <f t="shared" ref="Q160" si="776">F160*P160</f>
        <v>262767.30950319406</v>
      </c>
      <c r="R160">
        <f t="shared" ref="R160" si="777">R161+Q160</f>
        <v>-16680962.351583064</v>
      </c>
      <c r="S160">
        <f t="shared" ref="S160" si="778">R160/100000</f>
        <v>-166.80962351583062</v>
      </c>
      <c r="T160">
        <f t="shared" ref="T160" si="779">S160/1000</f>
        <v>-0.16680962351583062</v>
      </c>
    </row>
    <row r="161" spans="1:20" x14ac:dyDescent="0.25">
      <c r="A161" s="5">
        <v>44432</v>
      </c>
      <c r="B161">
        <v>1.5548999999999999</v>
      </c>
      <c r="C161">
        <v>1.5548999999999999</v>
      </c>
      <c r="D161">
        <v>1.4237</v>
      </c>
      <c r="E161">
        <v>1.4416</v>
      </c>
      <c r="F161">
        <v>622542.92000000004</v>
      </c>
      <c r="G161">
        <v>1.4416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-0.72713414634146301</v>
      </c>
      <c r="Q161">
        <f t="shared" ref="Q161" si="781">F161*P161</f>
        <v>-452672.21469512174</v>
      </c>
      <c r="R161">
        <f t="shared" ref="R161" si="782">R162+Q161</f>
        <v>-16943729.661086258</v>
      </c>
      <c r="S161">
        <f t="shared" ref="S161" si="783">R161/100000</f>
        <v>-169.43729661086257</v>
      </c>
      <c r="T161">
        <f t="shared" ref="T161" si="784">S161/1000</f>
        <v>-0.16943729661086257</v>
      </c>
    </row>
    <row r="162" spans="1:20" x14ac:dyDescent="0.25">
      <c r="A162" s="5">
        <v>44431</v>
      </c>
      <c r="B162">
        <v>1.528</v>
      </c>
      <c r="C162">
        <v>1.9214</v>
      </c>
      <c r="D162">
        <v>1.4912000000000001</v>
      </c>
      <c r="E162">
        <v>1.5548</v>
      </c>
      <c r="F162">
        <v>2378471.12</v>
      </c>
      <c r="G162">
        <v>1.5548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-0.7043235704323576</v>
      </c>
      <c r="Q162">
        <f t="shared" ref="Q162" si="786">F162*P162</f>
        <v>-1675213.2714086485</v>
      </c>
      <c r="R162">
        <f t="shared" ref="R162" si="787">R163+Q162</f>
        <v>-16491057.446391135</v>
      </c>
      <c r="S162">
        <f t="shared" ref="S162" si="788">R162/100000</f>
        <v>-164.91057446391136</v>
      </c>
      <c r="T162">
        <f t="shared" ref="T162" si="789">S162/1000</f>
        <v>-0.16491057446391136</v>
      </c>
    </row>
    <row r="163" spans="1:20" x14ac:dyDescent="0.25">
      <c r="A163" s="5">
        <v>44430</v>
      </c>
      <c r="B163">
        <v>1.4831000000000001</v>
      </c>
      <c r="C163">
        <v>1.5033000000000001</v>
      </c>
      <c r="D163">
        <v>1.4515</v>
      </c>
      <c r="E163">
        <v>1.4596</v>
      </c>
      <c r="F163">
        <v>45305.78</v>
      </c>
      <c r="G163">
        <v>1.4596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-0.68725868725868777</v>
      </c>
      <c r="Q163">
        <f t="shared" ref="Q163" si="791">F163*P163</f>
        <v>-31136.790888030911</v>
      </c>
      <c r="R163">
        <f t="shared" ref="R163" si="792">R164+Q163</f>
        <v>-14815844.174982486</v>
      </c>
      <c r="S163">
        <f t="shared" ref="S163" si="793">R163/100000</f>
        <v>-148.15844174982487</v>
      </c>
      <c r="T163">
        <f t="shared" ref="T163" si="794">S163/1000</f>
        <v>-0.14815844174982487</v>
      </c>
    </row>
    <row r="164" spans="1:20" x14ac:dyDescent="0.25">
      <c r="A164" s="5">
        <v>44429</v>
      </c>
      <c r="B164">
        <v>1.4977</v>
      </c>
      <c r="C164">
        <v>1.54</v>
      </c>
      <c r="D164">
        <v>1.4133</v>
      </c>
      <c r="E164">
        <v>1.4795</v>
      </c>
      <c r="F164">
        <v>694790.67</v>
      </c>
      <c r="G164">
        <v>1.4795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4.4988161010260749E-2</v>
      </c>
      <c r="Q164">
        <f t="shared" ref="Q164" si="796">F164*P164</f>
        <v>31257.354530386943</v>
      </c>
      <c r="R164">
        <f t="shared" ref="R164" si="797">R165+Q164</f>
        <v>-14784707.384094456</v>
      </c>
      <c r="S164">
        <f t="shared" ref="S164" si="798">R164/100000</f>
        <v>-147.84707384094457</v>
      </c>
      <c r="T164">
        <f t="shared" ref="T164" si="799">S164/1000</f>
        <v>-0.14784707384094459</v>
      </c>
    </row>
    <row r="165" spans="1:20" x14ac:dyDescent="0.25">
      <c r="A165" s="5">
        <v>44428</v>
      </c>
      <c r="B165">
        <v>1.5338000000000001</v>
      </c>
      <c r="C165">
        <v>1.55</v>
      </c>
      <c r="D165">
        <v>1.4763999999999999</v>
      </c>
      <c r="E165">
        <v>1.4923999999999999</v>
      </c>
      <c r="F165">
        <v>423623.49</v>
      </c>
      <c r="G165">
        <v>1.4923999999999999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-0.56521739130434812</v>
      </c>
      <c r="Q165">
        <f t="shared" ref="Q165" si="801">F165*P165</f>
        <v>-239439.36391304361</v>
      </c>
      <c r="R165">
        <f t="shared" ref="R165" si="802">R166+Q165</f>
        <v>-14815964.738624843</v>
      </c>
      <c r="S165">
        <f t="shared" ref="S165" si="803">R165/100000</f>
        <v>-148.15964738624842</v>
      </c>
      <c r="T165">
        <f t="shared" ref="T165" si="804">S165/1000</f>
        <v>-0.14815964738624843</v>
      </c>
    </row>
    <row r="166" spans="1:20" x14ac:dyDescent="0.25">
      <c r="A166" s="5">
        <v>44427</v>
      </c>
      <c r="B166">
        <v>1.4</v>
      </c>
      <c r="C166">
        <v>1.5344</v>
      </c>
      <c r="D166">
        <v>1.3392999999999999</v>
      </c>
      <c r="E166">
        <v>1.5266999999999999</v>
      </c>
      <c r="F166">
        <v>1092541.28</v>
      </c>
      <c r="G166">
        <v>1.5266999999999999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0.92106611993849274</v>
      </c>
      <c r="Q166">
        <f t="shared" ref="Q166" si="806">F166*P166</f>
        <v>1006302.7576422344</v>
      </c>
      <c r="R166">
        <f t="shared" ref="R166" si="807">R167+Q166</f>
        <v>-14576525.374711799</v>
      </c>
      <c r="S166">
        <f t="shared" ref="S166" si="808">R166/100000</f>
        <v>-145.76525374711798</v>
      </c>
      <c r="T166">
        <f t="shared" ref="T166" si="809">S166/1000</f>
        <v>-0.14576525374711799</v>
      </c>
    </row>
    <row r="167" spans="1:20" x14ac:dyDescent="0.25">
      <c r="A167" s="5">
        <v>44426</v>
      </c>
      <c r="B167">
        <v>1.375</v>
      </c>
      <c r="C167">
        <v>1.5389999999999999</v>
      </c>
      <c r="D167">
        <v>1.3033999999999999</v>
      </c>
      <c r="E167">
        <v>1.4</v>
      </c>
      <c r="F167">
        <v>892146.74</v>
      </c>
      <c r="G167">
        <v>1.4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-0.17996604414261455</v>
      </c>
      <c r="Q167">
        <f t="shared" ref="Q167" si="811">F167*P167</f>
        <v>-160556.11959252966</v>
      </c>
      <c r="R167">
        <f t="shared" ref="R167" si="812">R168+Q167</f>
        <v>-15582828.132354032</v>
      </c>
      <c r="S167">
        <f t="shared" ref="S167" si="813">R167/100000</f>
        <v>-155.82828132354032</v>
      </c>
      <c r="T167">
        <f t="shared" ref="T167" si="814">S167/1000</f>
        <v>-0.15582828132354032</v>
      </c>
    </row>
    <row r="168" spans="1:20" x14ac:dyDescent="0.25">
      <c r="A168" s="5">
        <v>44425</v>
      </c>
      <c r="B168">
        <v>1.4614</v>
      </c>
      <c r="C168">
        <v>1.5165999999999999</v>
      </c>
      <c r="D168">
        <v>1.3622000000000001</v>
      </c>
      <c r="E168">
        <v>1.379</v>
      </c>
      <c r="F168">
        <v>371208.83</v>
      </c>
      <c r="G168">
        <v>1.379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-0.78238341968911995</v>
      </c>
      <c r="Q168">
        <f t="shared" ref="Q168" si="816">F168*P168</f>
        <v>-290427.63383419719</v>
      </c>
      <c r="R168">
        <f t="shared" ref="R168" si="817">R169+Q168</f>
        <v>-15422272.012761503</v>
      </c>
      <c r="S168">
        <f t="shared" ref="S168" si="818">R168/100000</f>
        <v>-154.22272012761505</v>
      </c>
      <c r="T168">
        <f t="shared" ref="T168" si="819">S168/1000</f>
        <v>-0.15422272012761504</v>
      </c>
    </row>
    <row r="169" spans="1:20" x14ac:dyDescent="0.25">
      <c r="A169" s="5">
        <v>44424</v>
      </c>
      <c r="B169">
        <v>1.5499000000000001</v>
      </c>
      <c r="C169">
        <v>1.575</v>
      </c>
      <c r="D169">
        <v>1.4241999999999999</v>
      </c>
      <c r="E169">
        <v>1.4614</v>
      </c>
      <c r="F169">
        <v>605514.35</v>
      </c>
      <c r="G169">
        <v>1.4614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-0.50663129973474652</v>
      </c>
      <c r="Q169">
        <f t="shared" ref="Q169" si="821">F169*P169</f>
        <v>-306772.52214854019</v>
      </c>
      <c r="R169">
        <f t="shared" ref="R169" si="822">R170+Q169</f>
        <v>-15131844.378927305</v>
      </c>
      <c r="S169">
        <f t="shared" ref="S169" si="823">R169/100000</f>
        <v>-151.31844378927306</v>
      </c>
      <c r="T169">
        <f t="shared" ref="T169" si="824">S169/1000</f>
        <v>-0.15131844378927306</v>
      </c>
    </row>
    <row r="170" spans="1:20" x14ac:dyDescent="0.25">
      <c r="A170" s="5">
        <v>44423</v>
      </c>
      <c r="B170">
        <v>1.617</v>
      </c>
      <c r="C170">
        <v>1.6213</v>
      </c>
      <c r="D170">
        <v>1.4888999999999999</v>
      </c>
      <c r="E170">
        <v>1.5450999999999999</v>
      </c>
      <c r="F170">
        <v>518044.52</v>
      </c>
      <c r="G170">
        <v>1.5450999999999999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-0.15105740181268887</v>
      </c>
      <c r="Q170">
        <f t="shared" ref="Q170" si="826">F170*P170</f>
        <v>-78254.459214501534</v>
      </c>
      <c r="R170">
        <f t="shared" ref="R170" si="827">R171+Q170</f>
        <v>-14825071.856778765</v>
      </c>
      <c r="S170">
        <f t="shared" ref="S170" si="828">R170/100000</f>
        <v>-148.25071856778766</v>
      </c>
      <c r="T170">
        <f t="shared" ref="T170" si="829">S170/1000</f>
        <v>-0.14825071856778765</v>
      </c>
    </row>
    <row r="171" spans="1:20" x14ac:dyDescent="0.25">
      <c r="A171" s="5">
        <v>44422</v>
      </c>
      <c r="B171">
        <v>1.5583</v>
      </c>
      <c r="C171">
        <v>1.69</v>
      </c>
      <c r="D171">
        <v>1.52</v>
      </c>
      <c r="E171">
        <v>1.6211</v>
      </c>
      <c r="F171">
        <v>1282123.17</v>
      </c>
      <c r="G171">
        <v>1.6211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0.18941176470588247</v>
      </c>
      <c r="Q171">
        <f t="shared" ref="Q171" si="831">F171*P171</f>
        <v>242849.21220000015</v>
      </c>
      <c r="R171">
        <f t="shared" ref="R171" si="832">R172+Q171</f>
        <v>-14746817.397564264</v>
      </c>
      <c r="S171">
        <f t="shared" ref="S171" si="833">R171/100000</f>
        <v>-147.46817397564263</v>
      </c>
      <c r="T171">
        <f t="shared" ref="T171" si="834">S171/1000</f>
        <v>-0.14746817397564263</v>
      </c>
    </row>
    <row r="172" spans="1:20" x14ac:dyDescent="0.25">
      <c r="A172" s="5">
        <v>44421</v>
      </c>
      <c r="B172">
        <v>1.4688000000000001</v>
      </c>
      <c r="C172">
        <v>1.62</v>
      </c>
      <c r="D172">
        <v>1.45</v>
      </c>
      <c r="E172">
        <v>1.5611999999999999</v>
      </c>
      <c r="F172">
        <v>1083939.46</v>
      </c>
      <c r="G172">
        <v>1.5611999999999999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0.3082352941176455</v>
      </c>
      <c r="Q172">
        <f t="shared" ref="Q172" si="836">F172*P172</f>
        <v>334108.39825882181</v>
      </c>
      <c r="R172">
        <f t="shared" ref="R172" si="837">R173+Q172</f>
        <v>-14989666.609764265</v>
      </c>
      <c r="S172">
        <f t="shared" ref="S172" si="838">R172/100000</f>
        <v>-149.89666609764265</v>
      </c>
      <c r="T172">
        <f t="shared" ref="T172" si="839">S172/1000</f>
        <v>-0.14989666609764266</v>
      </c>
    </row>
    <row r="173" spans="1:20" x14ac:dyDescent="0.25">
      <c r="A173" s="5">
        <v>44420</v>
      </c>
      <c r="B173">
        <v>1.2964</v>
      </c>
      <c r="C173">
        <v>1.62</v>
      </c>
      <c r="D173">
        <v>1.2807999999999999</v>
      </c>
      <c r="E173">
        <v>1.4713000000000001</v>
      </c>
      <c r="F173">
        <v>2041084.14</v>
      </c>
      <c r="G173">
        <v>1.4713000000000001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0.12323113207547182</v>
      </c>
      <c r="Q173">
        <f t="shared" ref="Q173" si="841">F173*P173</f>
        <v>251525.1092334908</v>
      </c>
      <c r="R173">
        <f t="shared" ref="R173" si="842">R174+Q173</f>
        <v>-15323775.008023087</v>
      </c>
      <c r="S173">
        <f t="shared" ref="S173" si="843">R173/100000</f>
        <v>-153.23775008023088</v>
      </c>
      <c r="T173">
        <f t="shared" ref="T173" si="844">S173/1000</f>
        <v>-0.15323775008023088</v>
      </c>
    </row>
    <row r="174" spans="1:20" x14ac:dyDescent="0.25">
      <c r="A174" s="5">
        <v>44419</v>
      </c>
      <c r="B174">
        <v>1.2909999999999999</v>
      </c>
      <c r="C174">
        <v>1.4108000000000001</v>
      </c>
      <c r="D174">
        <v>1.28</v>
      </c>
      <c r="E174">
        <v>1.2931999999999999</v>
      </c>
      <c r="F174">
        <v>829337.05</v>
      </c>
      <c r="G174">
        <v>1.2931999999999999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-0.79816513761468078</v>
      </c>
      <c r="Q174">
        <f t="shared" ref="Q174" si="846">F174*P174</f>
        <v>-661947.92064220342</v>
      </c>
      <c r="R174">
        <f t="shared" ref="R174" si="847">R175+Q174</f>
        <v>-15575300.117256578</v>
      </c>
      <c r="S174">
        <f t="shared" ref="S174" si="848">R174/100000</f>
        <v>-155.75300117256577</v>
      </c>
      <c r="T174">
        <f t="shared" ref="T174" si="849">S174/1000</f>
        <v>-0.15575300117256577</v>
      </c>
    </row>
    <row r="175" spans="1:20" x14ac:dyDescent="0.25">
      <c r="A175" s="5">
        <v>44418</v>
      </c>
      <c r="B175">
        <v>1.2979000000000001</v>
      </c>
      <c r="C175">
        <v>1.3160000000000001</v>
      </c>
      <c r="D175">
        <v>1.2688999999999999</v>
      </c>
      <c r="E175">
        <v>1.2877000000000001</v>
      </c>
      <c r="F175">
        <v>390432.14</v>
      </c>
      <c r="G175">
        <v>1.2877000000000001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-0.20169851380042067</v>
      </c>
      <c r="Q175">
        <f t="shared" ref="Q175" si="851">F175*P175</f>
        <v>-78749.582377917774</v>
      </c>
      <c r="R175">
        <f t="shared" ref="R175" si="852">R176+Q175</f>
        <v>-14913352.196614375</v>
      </c>
      <c r="S175">
        <f t="shared" ref="S175" si="853">R175/100000</f>
        <v>-149.13352196614375</v>
      </c>
      <c r="T175">
        <f t="shared" ref="T175" si="854">S175/1000</f>
        <v>-0.14913352196614374</v>
      </c>
    </row>
    <row r="176" spans="1:20" x14ac:dyDescent="0.25">
      <c r="A176" s="5">
        <v>44417</v>
      </c>
      <c r="B176">
        <v>1.2932999999999999</v>
      </c>
      <c r="C176">
        <v>1.3529</v>
      </c>
      <c r="D176">
        <v>1.2506999999999999</v>
      </c>
      <c r="E176">
        <v>1.2988999999999999</v>
      </c>
      <c r="F176">
        <v>528739.96</v>
      </c>
      <c r="G176">
        <v>1.2988999999999999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-5.6751467710372053E-2</v>
      </c>
      <c r="Q176">
        <f t="shared" ref="Q176" si="856">F176*P176</f>
        <v>-30006.768767123409</v>
      </c>
      <c r="R176">
        <f t="shared" ref="R176" si="857">R177+Q176</f>
        <v>-14834602.614236457</v>
      </c>
      <c r="S176">
        <f t="shared" ref="S176" si="858">R176/100000</f>
        <v>-148.34602614236456</v>
      </c>
      <c r="T176">
        <f t="shared" ref="T176" si="859">S176/1000</f>
        <v>-0.14834602614236456</v>
      </c>
    </row>
    <row r="177" spans="1:20" x14ac:dyDescent="0.25">
      <c r="A177" s="5">
        <v>44416</v>
      </c>
      <c r="B177">
        <v>1.3696999999999999</v>
      </c>
      <c r="C177">
        <v>1.3900999999999999</v>
      </c>
      <c r="D177">
        <v>1.2805</v>
      </c>
      <c r="E177">
        <v>1.2916000000000001</v>
      </c>
      <c r="F177">
        <v>464372.27</v>
      </c>
      <c r="G177">
        <v>1.2916000000000001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-0.79744525547445044</v>
      </c>
      <c r="Q177">
        <f t="shared" ref="Q177" si="861">F177*P177</f>
        <v>-370311.46348540048</v>
      </c>
      <c r="R177">
        <f t="shared" ref="R177" si="862">R178+Q177</f>
        <v>-14804595.845469333</v>
      </c>
      <c r="S177">
        <f t="shared" ref="S177" si="863">R177/100000</f>
        <v>-148.04595845469333</v>
      </c>
      <c r="T177">
        <f t="shared" ref="T177" si="864">S177/1000</f>
        <v>-0.14804595845469334</v>
      </c>
    </row>
    <row r="178" spans="1:20" x14ac:dyDescent="0.25">
      <c r="A178" s="5">
        <v>44415</v>
      </c>
      <c r="B178">
        <v>1.4144000000000001</v>
      </c>
      <c r="C178">
        <v>1.5494000000000001</v>
      </c>
      <c r="D178">
        <v>1.3169999999999999</v>
      </c>
      <c r="E178">
        <v>1.3656999999999999</v>
      </c>
      <c r="F178">
        <v>1275029.47</v>
      </c>
      <c r="G178">
        <v>1.3656999999999999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-0.58089500860585253</v>
      </c>
      <c r="Q178">
        <f t="shared" ref="Q178" si="866">F178*P178</f>
        <v>-740658.25494836562</v>
      </c>
      <c r="R178">
        <f t="shared" ref="R178" si="867">R179+Q178</f>
        <v>-14434284.381983932</v>
      </c>
      <c r="S178">
        <f t="shared" ref="S178" si="868">R178/100000</f>
        <v>-144.34284381983932</v>
      </c>
      <c r="T178">
        <f t="shared" ref="T178" si="869">S178/1000</f>
        <v>-0.14434284381983931</v>
      </c>
    </row>
    <row r="179" spans="1:20" x14ac:dyDescent="0.25">
      <c r="A179" s="5">
        <v>44414</v>
      </c>
      <c r="B179">
        <v>1.4177999999999999</v>
      </c>
      <c r="C179">
        <v>1.69</v>
      </c>
      <c r="D179">
        <v>1.4000999999999999</v>
      </c>
      <c r="E179">
        <v>1.4196</v>
      </c>
      <c r="F179">
        <v>3096669.43</v>
      </c>
      <c r="G179">
        <v>1.4196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-0.86547085201793672</v>
      </c>
      <c r="Q179">
        <f t="shared" ref="Q179" si="871">F179*P179</f>
        <v>-2680077.1299999985</v>
      </c>
      <c r="R179">
        <f t="shared" ref="R179" si="872">R180+Q179</f>
        <v>-13693626.127035566</v>
      </c>
      <c r="S179">
        <f t="shared" ref="S179" si="873">R179/100000</f>
        <v>-136.93626127035566</v>
      </c>
      <c r="T179">
        <f t="shared" ref="T179" si="874">S179/1000</f>
        <v>-0.13693626127035566</v>
      </c>
    </row>
    <row r="180" spans="1:20" x14ac:dyDescent="0.25">
      <c r="A180" s="5">
        <v>44413</v>
      </c>
      <c r="B180">
        <v>1.1192</v>
      </c>
      <c r="C180">
        <v>1.6700999999999999</v>
      </c>
      <c r="D180">
        <v>1.0952999999999999</v>
      </c>
      <c r="E180">
        <v>1.4197</v>
      </c>
      <c r="F180">
        <v>6398152.3899999997</v>
      </c>
      <c r="G180">
        <v>1.4197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0.12874043145441905</v>
      </c>
      <c r="Q180">
        <f t="shared" ref="Q180" si="876">F180*P180</f>
        <v>823700.89919972233</v>
      </c>
      <c r="R180">
        <f t="shared" ref="R180" si="877">R181+Q180</f>
        <v>-11013548.997035567</v>
      </c>
      <c r="S180">
        <f t="shared" ref="S180" si="878">R180/100000</f>
        <v>-110.13548997035566</v>
      </c>
      <c r="T180">
        <f t="shared" ref="T180" si="879">S180/1000</f>
        <v>-0.11013548997035566</v>
      </c>
    </row>
    <row r="181" spans="1:20" x14ac:dyDescent="0.25">
      <c r="A181" s="5">
        <v>44412</v>
      </c>
      <c r="B181">
        <v>1.0666</v>
      </c>
      <c r="C181">
        <v>1.1517999999999999</v>
      </c>
      <c r="D181">
        <v>1.0543</v>
      </c>
      <c r="E181">
        <v>1.1254999999999999</v>
      </c>
      <c r="F181">
        <v>225186.17</v>
      </c>
      <c r="G181">
        <v>1.1254999999999999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0.46051282051282028</v>
      </c>
      <c r="Q181">
        <f t="shared" ref="Q181" si="881">F181*P181</f>
        <v>103701.11828717944</v>
      </c>
      <c r="R181">
        <f t="shared" ref="R181" si="882">R182+Q181</f>
        <v>-11837249.896235289</v>
      </c>
      <c r="S181">
        <f t="shared" ref="S181" si="883">R181/100000</f>
        <v>-118.37249896235289</v>
      </c>
      <c r="T181">
        <f t="shared" ref="T181" si="884">S181/1000</f>
        <v>-0.1183724989623529</v>
      </c>
    </row>
    <row r="182" spans="1:20" x14ac:dyDescent="0.25">
      <c r="A182" s="5">
        <v>44411</v>
      </c>
      <c r="B182">
        <v>1.0906</v>
      </c>
      <c r="C182">
        <v>1.1146</v>
      </c>
      <c r="D182">
        <v>1.0145</v>
      </c>
      <c r="E182">
        <v>1.0666</v>
      </c>
      <c r="F182">
        <v>321908.87</v>
      </c>
      <c r="G182">
        <v>1.0666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4.0959040959040856E-2</v>
      </c>
      <c r="Q182">
        <f t="shared" ref="Q182" si="886">F182*P182</f>
        <v>13185.078591408557</v>
      </c>
      <c r="R182">
        <f t="shared" ref="R182" si="887">R183+Q182</f>
        <v>-11940951.014522469</v>
      </c>
      <c r="S182">
        <f t="shared" ref="S182" si="888">R182/100000</f>
        <v>-119.40951014522469</v>
      </c>
      <c r="T182">
        <f t="shared" ref="T182" si="889">S182/1000</f>
        <v>-0.11940951014522469</v>
      </c>
    </row>
    <row r="183" spans="1:20" x14ac:dyDescent="0.25">
      <c r="A183" s="5">
        <v>44410</v>
      </c>
      <c r="B183">
        <v>1.1000000000000001</v>
      </c>
      <c r="C183">
        <v>1.2082999999999999</v>
      </c>
      <c r="D183">
        <v>1.03</v>
      </c>
      <c r="E183">
        <v>1.1022000000000001</v>
      </c>
      <c r="F183">
        <v>794038.63</v>
      </c>
      <c r="G183">
        <v>1.1022000000000001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-0.19012899607403161</v>
      </c>
      <c r="Q183">
        <f t="shared" ref="Q183" si="891">F183*P183</f>
        <v>-150969.76756589944</v>
      </c>
      <c r="R183">
        <f t="shared" ref="R183" si="892">R184+Q183</f>
        <v>-11954136.093113877</v>
      </c>
      <c r="S183">
        <f t="shared" ref="S183" si="893">R183/100000</f>
        <v>-119.54136093113877</v>
      </c>
      <c r="T183">
        <f t="shared" ref="T183" si="894">S183/1000</f>
        <v>-0.11954136093113876</v>
      </c>
    </row>
    <row r="184" spans="1:20" x14ac:dyDescent="0.25">
      <c r="A184" s="5">
        <v>44409</v>
      </c>
      <c r="B184">
        <v>1.0721000000000001</v>
      </c>
      <c r="C184">
        <v>1.2182999999999999</v>
      </c>
      <c r="D184">
        <v>1.0558000000000001</v>
      </c>
      <c r="E184">
        <v>1.1000000000000001</v>
      </c>
      <c r="F184">
        <v>532150.05000000005</v>
      </c>
      <c r="G184">
        <v>1.1000000000000001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-0.45599999999999935</v>
      </c>
      <c r="Q184">
        <f t="shared" ref="Q184" si="896">F184*P184</f>
        <v>-242660.42279999968</v>
      </c>
      <c r="R184">
        <f t="shared" ref="R184" si="897">R185+Q184</f>
        <v>-11803166.325547978</v>
      </c>
      <c r="S184">
        <f t="shared" ref="S184" si="898">R184/100000</f>
        <v>-118.03166325547978</v>
      </c>
      <c r="T184">
        <f t="shared" ref="T184" si="899">S184/1000</f>
        <v>-0.11803166325547979</v>
      </c>
    </row>
    <row r="185" spans="1:20" x14ac:dyDescent="0.25">
      <c r="A185" s="5">
        <v>44408</v>
      </c>
      <c r="B185">
        <v>1.0912999999999999</v>
      </c>
      <c r="C185">
        <v>1.0996999999999999</v>
      </c>
      <c r="D185">
        <v>1.0331999999999999</v>
      </c>
      <c r="E185">
        <v>1.0746</v>
      </c>
      <c r="F185">
        <v>336962.34</v>
      </c>
      <c r="G185">
        <v>1.0746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0.24511278195489025</v>
      </c>
      <c r="Q185">
        <f t="shared" ref="Q185" si="901">F185*P185</f>
        <v>82593.776571429597</v>
      </c>
      <c r="R185">
        <f t="shared" ref="R185" si="902">R186+Q185</f>
        <v>-11560505.902747979</v>
      </c>
      <c r="S185">
        <f t="shared" ref="S185" si="903">R185/100000</f>
        <v>-115.6050590274798</v>
      </c>
      <c r="T185">
        <f t="shared" ref="T185" si="904">S185/1000</f>
        <v>-0.11560505902747979</v>
      </c>
    </row>
    <row r="186" spans="1:20" x14ac:dyDescent="0.25">
      <c r="A186" s="5">
        <v>44407</v>
      </c>
      <c r="B186">
        <v>1.0315000000000001</v>
      </c>
      <c r="C186">
        <v>1.159</v>
      </c>
      <c r="D186">
        <v>0.99</v>
      </c>
      <c r="E186">
        <v>1.0854999999999999</v>
      </c>
      <c r="F186">
        <v>867085.84</v>
      </c>
      <c r="G186">
        <v>1.0854999999999999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0.13017751479289819</v>
      </c>
      <c r="Q186">
        <f t="shared" ref="Q186" si="906">F186*P186</f>
        <v>112875.07976331255</v>
      </c>
      <c r="R186">
        <f t="shared" ref="R186" si="907">R187+Q186</f>
        <v>-11643099.67931941</v>
      </c>
      <c r="S186">
        <f t="shared" ref="S186" si="908">R186/100000</f>
        <v>-116.4309967931941</v>
      </c>
      <c r="T186">
        <f t="shared" ref="T186" si="909">S186/1000</f>
        <v>-0.1164309967931941</v>
      </c>
    </row>
    <row r="187" spans="1:20" x14ac:dyDescent="0.25">
      <c r="A187" s="5">
        <v>44406</v>
      </c>
      <c r="B187">
        <v>0.94850000000000001</v>
      </c>
      <c r="C187">
        <v>1.0407</v>
      </c>
      <c r="D187">
        <v>0.92669999999999997</v>
      </c>
      <c r="E187">
        <v>1.0311999999999999</v>
      </c>
      <c r="F187">
        <v>462561.76</v>
      </c>
      <c r="G187">
        <v>1.0311999999999999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0.83333333333333215</v>
      </c>
      <c r="Q187">
        <f t="shared" ref="Q187" si="911">F187*P187</f>
        <v>385468.13333333278</v>
      </c>
      <c r="R187">
        <f t="shared" ref="R187" si="912">R188+Q187</f>
        <v>-11755974.759082722</v>
      </c>
      <c r="S187">
        <f t="shared" ref="S187" si="913">R187/100000</f>
        <v>-117.55974759082721</v>
      </c>
      <c r="T187">
        <f t="shared" ref="T187" si="914">S187/1000</f>
        <v>-0.11755974759082721</v>
      </c>
    </row>
    <row r="188" spans="1:20" x14ac:dyDescent="0.25">
      <c r="A188" s="5">
        <v>44405</v>
      </c>
      <c r="B188">
        <v>0.9637</v>
      </c>
      <c r="C188">
        <v>0.97899999999999998</v>
      </c>
      <c r="D188">
        <v>0.92769999999999997</v>
      </c>
      <c r="E188">
        <v>0.95069999999999999</v>
      </c>
      <c r="F188">
        <v>444056.32000000001</v>
      </c>
      <c r="G188">
        <v>0.95069999999999999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-0.10331384015594483</v>
      </c>
      <c r="Q188">
        <f t="shared" ref="Q188" si="916">F188*P188</f>
        <v>-45877.163664717089</v>
      </c>
      <c r="R188">
        <f t="shared" ref="R188" si="917">R189+Q188</f>
        <v>-12141442.892416054</v>
      </c>
      <c r="S188">
        <f t="shared" ref="S188" si="918">R188/100000</f>
        <v>-121.41442892416055</v>
      </c>
      <c r="T188">
        <f t="shared" ref="T188" si="919">S188/1000</f>
        <v>-0.12141442892416054</v>
      </c>
    </row>
    <row r="189" spans="1:20" x14ac:dyDescent="0.25">
      <c r="A189" s="5">
        <v>44404</v>
      </c>
      <c r="B189">
        <v>0.96099999999999997</v>
      </c>
      <c r="C189">
        <v>0.98</v>
      </c>
      <c r="D189">
        <v>0.87219999999999998</v>
      </c>
      <c r="E189">
        <v>0.96350000000000002</v>
      </c>
      <c r="F189">
        <v>807581.39</v>
      </c>
      <c r="G189">
        <v>0.96350000000000002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0.69387755102040893</v>
      </c>
      <c r="Q189">
        <f t="shared" ref="Q189" si="921">F189*P189</f>
        <v>560362.59714285773</v>
      </c>
      <c r="R189">
        <f t="shared" ref="R189" si="922">R190+Q189</f>
        <v>-12095565.728751337</v>
      </c>
      <c r="S189">
        <f t="shared" ref="S189" si="923">R189/100000</f>
        <v>-120.95565728751338</v>
      </c>
      <c r="T189">
        <f t="shared" ref="T189" si="924">S189/1000</f>
        <v>-0.12095565728751337</v>
      </c>
    </row>
    <row r="190" spans="1:20" x14ac:dyDescent="0.25">
      <c r="A190" s="5">
        <v>44403</v>
      </c>
      <c r="B190">
        <v>0.93569999999999998</v>
      </c>
      <c r="C190">
        <v>1.1037999999999999</v>
      </c>
      <c r="D190">
        <v>0.9325</v>
      </c>
      <c r="E190">
        <v>0.96409999999999996</v>
      </c>
      <c r="F190">
        <v>1677782.84</v>
      </c>
      <c r="G190">
        <v>0.96409999999999996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-0.63105662580268562</v>
      </c>
      <c r="Q190">
        <f t="shared" ref="Q190" si="926">F190*P190</f>
        <v>-1058775.9778400473</v>
      </c>
      <c r="R190">
        <f t="shared" ref="R190" si="927">R191+Q190</f>
        <v>-12655928.325894196</v>
      </c>
      <c r="S190">
        <f t="shared" ref="S190" si="928">R190/100000</f>
        <v>-126.55928325894196</v>
      </c>
      <c r="T190">
        <f t="shared" ref="T190" si="929">S190/1000</f>
        <v>-0.12655928325894197</v>
      </c>
    </row>
    <row r="191" spans="1:20" x14ac:dyDescent="0.25">
      <c r="A191" s="5">
        <v>44402</v>
      </c>
      <c r="B191">
        <v>0.93740000000000001</v>
      </c>
      <c r="C191">
        <v>0.95050000000000001</v>
      </c>
      <c r="D191">
        <v>0.90500000000000003</v>
      </c>
      <c r="E191">
        <v>0.92869999999999997</v>
      </c>
      <c r="F191">
        <v>744851.21</v>
      </c>
      <c r="G191">
        <v>0.92869999999999997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4.1758241758239611E-2</v>
      </c>
      <c r="Q191">
        <f t="shared" ref="Q191" si="931">F191*P191</f>
        <v>31103.6769010973</v>
      </c>
      <c r="R191">
        <f t="shared" ref="R191" si="932">R192+Q191</f>
        <v>-11597152.348054148</v>
      </c>
      <c r="S191">
        <f t="shared" ref="S191" si="933">R191/100000</f>
        <v>-115.97152348054148</v>
      </c>
      <c r="T191">
        <f t="shared" ref="T191:T197" si="934">S191/1000</f>
        <v>-0.11597152348054147</v>
      </c>
    </row>
    <row r="192" spans="1:20" x14ac:dyDescent="0.25">
      <c r="A192" s="5">
        <v>44401</v>
      </c>
      <c r="B192">
        <v>0.97440000000000004</v>
      </c>
      <c r="C192">
        <v>1.02</v>
      </c>
      <c r="D192">
        <v>0.92430000000000001</v>
      </c>
      <c r="E192">
        <v>0.93740000000000001</v>
      </c>
      <c r="F192">
        <v>906889.68</v>
      </c>
      <c r="G192">
        <v>0.93740000000000001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-0.72622779519331249</v>
      </c>
      <c r="Q192">
        <f t="shared" ref="Q192" si="936">F192*P192</f>
        <v>-658608.49278996873</v>
      </c>
      <c r="R192">
        <f t="shared" ref="R192" si="937">R193+Q192</f>
        <v>-11628256.024955245</v>
      </c>
      <c r="S192">
        <f t="shared" ref="S192" si="938">R192/100000</f>
        <v>-116.28256024955245</v>
      </c>
      <c r="T192">
        <f t="shared" si="934"/>
        <v>-0.11628256024955244</v>
      </c>
    </row>
    <row r="193" spans="1:20" x14ac:dyDescent="0.25">
      <c r="A193" s="5">
        <v>44400</v>
      </c>
      <c r="B193">
        <v>0.88790000000000002</v>
      </c>
      <c r="C193">
        <v>1.0134000000000001</v>
      </c>
      <c r="D193">
        <v>0.87250000000000005</v>
      </c>
      <c r="E193">
        <v>0.97699999999999998</v>
      </c>
      <c r="F193">
        <v>1315492.8400000001</v>
      </c>
      <c r="G193">
        <v>0.97699999999999998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0.48332150461319956</v>
      </c>
      <c r="Q193">
        <f t="shared" ref="Q193" si="940">F193*P193</f>
        <v>635805.97873669106</v>
      </c>
      <c r="R193">
        <f t="shared" ref="R193" si="941">R194+Q193</f>
        <v>-10969647.532165276</v>
      </c>
      <c r="S193">
        <f t="shared" ref="S193" si="942">R193/100000</f>
        <v>-109.69647532165276</v>
      </c>
      <c r="T193">
        <f t="shared" si="934"/>
        <v>-0.10969647532165276</v>
      </c>
    </row>
    <row r="194" spans="1:20" x14ac:dyDescent="0.25">
      <c r="A194" s="5">
        <v>44399</v>
      </c>
      <c r="B194">
        <v>0.89359999999999995</v>
      </c>
      <c r="C194">
        <v>0.92689999999999995</v>
      </c>
      <c r="D194">
        <v>0.86209999999999998</v>
      </c>
      <c r="E194">
        <v>0.88329999999999997</v>
      </c>
      <c r="F194">
        <v>223755.67</v>
      </c>
      <c r="G194">
        <v>0.88329999999999997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-0.34567901234567883</v>
      </c>
      <c r="Q194">
        <f t="shared" ref="Q194" si="944">F194*P194</f>
        <v>-77347.639012345637</v>
      </c>
      <c r="R194">
        <f t="shared" ref="R194" si="945">R195+Q194</f>
        <v>-11605453.510901967</v>
      </c>
      <c r="S194">
        <f t="shared" ref="S194" si="946">R194/100000</f>
        <v>-116.05453510901967</v>
      </c>
      <c r="T194">
        <f t="shared" si="934"/>
        <v>-0.11605453510901967</v>
      </c>
    </row>
    <row r="195" spans="1:20" x14ac:dyDescent="0.25">
      <c r="A195" s="5">
        <v>44398</v>
      </c>
      <c r="B195">
        <v>0.80930000000000002</v>
      </c>
      <c r="C195">
        <v>0.91169999999999995</v>
      </c>
      <c r="D195">
        <v>0.80859999999999999</v>
      </c>
      <c r="E195">
        <v>0.89739999999999998</v>
      </c>
      <c r="F195">
        <v>282728.71999999997</v>
      </c>
      <c r="G195">
        <v>0.89739999999999998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0.72259941804073746</v>
      </c>
      <c r="Q195">
        <f t="shared" ref="Q195" si="948">F195*P195</f>
        <v>204299.6085354026</v>
      </c>
      <c r="R195">
        <f t="shared" ref="R195" si="949">R196+Q195</f>
        <v>-11528105.871889621</v>
      </c>
      <c r="S195">
        <f t="shared" ref="S195" si="950">R195/100000</f>
        <v>-115.2810587188962</v>
      </c>
      <c r="T195">
        <f t="shared" si="934"/>
        <v>-0.1152810587188962</v>
      </c>
    </row>
    <row r="196" spans="1:20" x14ac:dyDescent="0.25">
      <c r="A196" s="5">
        <v>44397</v>
      </c>
      <c r="B196">
        <v>0.83130000000000004</v>
      </c>
      <c r="C196">
        <v>0.85160000000000002</v>
      </c>
      <c r="D196">
        <v>0.75009999999999999</v>
      </c>
      <c r="E196">
        <v>0.80220000000000002</v>
      </c>
      <c r="F196">
        <v>281255.51</v>
      </c>
      <c r="G196">
        <v>0.80220000000000002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2.660098522167522E-2</v>
      </c>
      <c r="Q196">
        <f t="shared" ref="Q196" si="952">F196*P196</f>
        <v>7481.6736650247276</v>
      </c>
      <c r="R196">
        <f t="shared" ref="R196" si="953">R197+Q196</f>
        <v>-11732405.480425024</v>
      </c>
      <c r="S196">
        <f t="shared" ref="S196" si="954">R196/100000</f>
        <v>-117.32405480425024</v>
      </c>
      <c r="T196">
        <f t="shared" si="934"/>
        <v>-0.11732405480425023</v>
      </c>
    </row>
    <row r="197" spans="1:20" x14ac:dyDescent="0.25">
      <c r="A197" s="5">
        <v>44396</v>
      </c>
      <c r="B197">
        <v>0.92179999999999995</v>
      </c>
      <c r="C197">
        <v>0.92190000000000005</v>
      </c>
      <c r="D197">
        <v>0.82</v>
      </c>
      <c r="E197">
        <v>0.83030000000000004</v>
      </c>
      <c r="F197">
        <v>387553.7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-0.79784102060843809</v>
      </c>
      <c r="Q197">
        <f t="shared" ref="Q197" si="956">F197*P197</f>
        <v>-309206.23954857641</v>
      </c>
      <c r="R197">
        <f t="shared" ref="R197" si="957">R198+Q197</f>
        <v>-11739887.154090049</v>
      </c>
      <c r="S197">
        <f t="shared" ref="S197" si="958">R197/100000</f>
        <v>-117.39887154090049</v>
      </c>
      <c r="T197">
        <f t="shared" si="934"/>
        <v>-0.11739887154090049</v>
      </c>
    </row>
    <row r="198" spans="1:20" x14ac:dyDescent="0.25">
      <c r="A198" s="5">
        <v>44395</v>
      </c>
      <c r="B198">
        <v>0.83689999999999998</v>
      </c>
      <c r="C198">
        <v>1.1037999999999999</v>
      </c>
      <c r="D198">
        <v>0.83540000000000003</v>
      </c>
      <c r="E198">
        <v>0.92059999999999997</v>
      </c>
      <c r="F198">
        <v>1543308.72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-0.36512667660208653</v>
      </c>
      <c r="Q198">
        <f t="shared" ref="Q198:Q261" si="960">F198*P198</f>
        <v>-563503.18390462012</v>
      </c>
      <c r="R198">
        <f t="shared" ref="R198:R261" si="961">R199+Q198</f>
        <v>-11430680.914541472</v>
      </c>
      <c r="S198">
        <f t="shared" ref="S198:S261" si="962">R198/100000</f>
        <v>-114.30680914541472</v>
      </c>
      <c r="T198">
        <f t="shared" ref="T198:T261" si="963">S198/1000</f>
        <v>-0.11430680914541472</v>
      </c>
    </row>
    <row r="199" spans="1:20" x14ac:dyDescent="0.25">
      <c r="A199" s="5">
        <v>44394</v>
      </c>
      <c r="B199">
        <v>0.85370000000000001</v>
      </c>
      <c r="C199">
        <v>0.86899999999999999</v>
      </c>
      <c r="D199">
        <v>0.81889999999999996</v>
      </c>
      <c r="E199">
        <v>0.83679999999999999</v>
      </c>
      <c r="F199">
        <v>164653.07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-0.28542914171656625</v>
      </c>
      <c r="Q199">
        <f t="shared" si="960"/>
        <v>-46996.784451097701</v>
      </c>
      <c r="R199">
        <f t="shared" si="961"/>
        <v>-10867177.730636852</v>
      </c>
      <c r="S199">
        <f t="shared" si="962"/>
        <v>-108.67177730636851</v>
      </c>
      <c r="T199">
        <f t="shared" si="963"/>
        <v>-0.10867177730636851</v>
      </c>
    </row>
    <row r="200" spans="1:20" x14ac:dyDescent="0.25">
      <c r="A200" s="5">
        <v>44393</v>
      </c>
      <c r="B200">
        <v>0.9304</v>
      </c>
      <c r="C200">
        <v>0.9677</v>
      </c>
      <c r="D200">
        <v>0.84709999999999996</v>
      </c>
      <c r="E200">
        <v>0.85570000000000002</v>
      </c>
      <c r="F200">
        <v>388322.71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-0.85737976782752823</v>
      </c>
      <c r="Q200">
        <f t="shared" si="960"/>
        <v>-332940.03494195658</v>
      </c>
      <c r="R200">
        <f t="shared" si="961"/>
        <v>-10820180.946185755</v>
      </c>
      <c r="S200">
        <f t="shared" si="962"/>
        <v>-108.20180946185755</v>
      </c>
      <c r="T200">
        <f t="shared" si="963"/>
        <v>-0.10820180946185755</v>
      </c>
    </row>
    <row r="201" spans="1:20" x14ac:dyDescent="0.25">
      <c r="A201" s="5">
        <v>44392</v>
      </c>
      <c r="B201">
        <v>1.0027999999999999</v>
      </c>
      <c r="C201">
        <v>1.0362</v>
      </c>
      <c r="D201">
        <v>0.92810000000000004</v>
      </c>
      <c r="E201">
        <v>0.92810000000000004</v>
      </c>
      <c r="F201">
        <v>496934.43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-1</v>
      </c>
      <c r="Q201">
        <f t="shared" si="960"/>
        <v>-496934.43</v>
      </c>
      <c r="R201">
        <f t="shared" si="961"/>
        <v>-10487240.911243798</v>
      </c>
      <c r="S201">
        <f t="shared" si="962"/>
        <v>-104.87240911243798</v>
      </c>
      <c r="T201">
        <f t="shared" si="963"/>
        <v>-0.10487240911243798</v>
      </c>
    </row>
    <row r="202" spans="1:20" x14ac:dyDescent="0.25">
      <c r="A202" s="5">
        <v>44391</v>
      </c>
      <c r="B202">
        <v>0.98119999999999996</v>
      </c>
      <c r="C202">
        <v>1.0249999999999999</v>
      </c>
      <c r="D202">
        <v>0.92310000000000003</v>
      </c>
      <c r="E202">
        <v>1.0024</v>
      </c>
      <c r="F202">
        <v>501907.26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0.55642787046123687</v>
      </c>
      <c r="Q202">
        <f t="shared" si="960"/>
        <v>279275.18785083434</v>
      </c>
      <c r="R202">
        <f t="shared" si="961"/>
        <v>-9990306.4812437985</v>
      </c>
      <c r="S202">
        <f t="shared" si="962"/>
        <v>-99.903064812437989</v>
      </c>
      <c r="T202">
        <f t="shared" si="963"/>
        <v>-9.9903064812437992E-2</v>
      </c>
    </row>
    <row r="203" spans="1:20" x14ac:dyDescent="0.25">
      <c r="A203" s="5">
        <v>44390</v>
      </c>
      <c r="B203">
        <v>1.0145999999999999</v>
      </c>
      <c r="C203">
        <v>1.0365</v>
      </c>
      <c r="D203">
        <v>0.9657</v>
      </c>
      <c r="E203">
        <v>0.98119999999999996</v>
      </c>
      <c r="F203">
        <v>440044.36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-0.56214689265536821</v>
      </c>
      <c r="Q203">
        <f t="shared" si="960"/>
        <v>-247369.56960452019</v>
      </c>
      <c r="R203">
        <f t="shared" si="961"/>
        <v>-10269581.669094633</v>
      </c>
      <c r="S203">
        <f t="shared" si="962"/>
        <v>-102.69581669094633</v>
      </c>
      <c r="T203">
        <f t="shared" si="963"/>
        <v>-0.10269581669094632</v>
      </c>
    </row>
    <row r="204" spans="1:20" x14ac:dyDescent="0.25">
      <c r="A204" s="5">
        <v>44389</v>
      </c>
      <c r="B204">
        <v>1.073</v>
      </c>
      <c r="C204">
        <v>1.1444000000000001</v>
      </c>
      <c r="D204">
        <v>0.97050000000000003</v>
      </c>
      <c r="E204">
        <v>1.0149999999999999</v>
      </c>
      <c r="F204">
        <v>818413.73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-0.48821161587119194</v>
      </c>
      <c r="Q204">
        <f t="shared" si="960"/>
        <v>-399559.08957446937</v>
      </c>
      <c r="R204">
        <f t="shared" si="961"/>
        <v>-10022212.099490114</v>
      </c>
      <c r="S204">
        <f t="shared" si="962"/>
        <v>-100.22212099490113</v>
      </c>
      <c r="T204">
        <f t="shared" si="963"/>
        <v>-0.10022212099490113</v>
      </c>
    </row>
    <row r="205" spans="1:20" x14ac:dyDescent="0.25">
      <c r="A205" s="5">
        <v>44388</v>
      </c>
      <c r="B205">
        <v>1.2163999999999999</v>
      </c>
      <c r="C205">
        <v>1.35</v>
      </c>
      <c r="D205">
        <v>1.0511999999999999</v>
      </c>
      <c r="E205">
        <v>1.0701000000000001</v>
      </c>
      <c r="F205">
        <v>3104381.29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-0.87349397590361355</v>
      </c>
      <c r="Q205">
        <f t="shared" si="960"/>
        <v>-2711658.3557228888</v>
      </c>
      <c r="R205">
        <f t="shared" si="961"/>
        <v>-9622653.0099156443</v>
      </c>
      <c r="S205">
        <f t="shared" si="962"/>
        <v>-96.226530099156449</v>
      </c>
      <c r="T205">
        <f t="shared" si="963"/>
        <v>-9.6226530099156452E-2</v>
      </c>
    </row>
    <row r="206" spans="1:20" x14ac:dyDescent="0.25">
      <c r="A206" s="5">
        <v>44387</v>
      </c>
      <c r="B206">
        <v>0.89610000000000001</v>
      </c>
      <c r="C206">
        <v>1.4424999999999999</v>
      </c>
      <c r="D206">
        <v>0.879</v>
      </c>
      <c r="E206">
        <v>1.2163999999999999</v>
      </c>
      <c r="F206">
        <v>3264781.91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0.19751552795031052</v>
      </c>
      <c r="Q206">
        <f t="shared" si="960"/>
        <v>644845.1225962732</v>
      </c>
      <c r="R206">
        <f t="shared" si="961"/>
        <v>-6910994.6541927559</v>
      </c>
      <c r="S206">
        <f t="shared" si="962"/>
        <v>-69.109946541927556</v>
      </c>
      <c r="T206">
        <f t="shared" si="963"/>
        <v>-6.910994654192755E-2</v>
      </c>
    </row>
    <row r="207" spans="1:20" x14ac:dyDescent="0.25">
      <c r="A207" s="5">
        <v>44386</v>
      </c>
      <c r="B207">
        <v>0.8468</v>
      </c>
      <c r="C207">
        <v>0.90659999999999996</v>
      </c>
      <c r="D207">
        <v>0.83130000000000004</v>
      </c>
      <c r="E207">
        <v>0.89780000000000004</v>
      </c>
      <c r="F207">
        <v>138916.45000000001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0.76626826029216655</v>
      </c>
      <c r="Q207">
        <f t="shared" si="960"/>
        <v>106447.26646746375</v>
      </c>
      <c r="R207">
        <f t="shared" si="961"/>
        <v>-7555839.7767890291</v>
      </c>
      <c r="S207">
        <f t="shared" si="962"/>
        <v>-75.558397767890298</v>
      </c>
      <c r="T207">
        <f t="shared" si="963"/>
        <v>-7.5558397767890292E-2</v>
      </c>
    </row>
    <row r="208" spans="1:20" x14ac:dyDescent="0.25">
      <c r="A208" s="5">
        <v>44385</v>
      </c>
      <c r="B208">
        <v>0.91600000000000004</v>
      </c>
      <c r="C208">
        <v>0.92659999999999998</v>
      </c>
      <c r="D208">
        <v>0.83</v>
      </c>
      <c r="E208">
        <v>0.84499999999999997</v>
      </c>
      <c r="F208">
        <v>207946.95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-0.68944099378881962</v>
      </c>
      <c r="Q208">
        <f t="shared" si="960"/>
        <v>-143367.151863354</v>
      </c>
      <c r="R208">
        <f t="shared" si="961"/>
        <v>-7662287.0432564933</v>
      </c>
      <c r="S208">
        <f t="shared" si="962"/>
        <v>-76.622870432564937</v>
      </c>
      <c r="T208">
        <f t="shared" si="963"/>
        <v>-7.6622870432564938E-2</v>
      </c>
    </row>
    <row r="209" spans="1:20" x14ac:dyDescent="0.25">
      <c r="A209" s="5">
        <v>44384</v>
      </c>
      <c r="B209">
        <v>0.96530000000000005</v>
      </c>
      <c r="C209">
        <v>1.0301</v>
      </c>
      <c r="D209">
        <v>0.91300000000000003</v>
      </c>
      <c r="E209">
        <v>0.91839999999999999</v>
      </c>
      <c r="F209">
        <v>665321.53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-0.90777113578138413</v>
      </c>
      <c r="Q209">
        <f t="shared" si="960"/>
        <v>-603959.68094790832</v>
      </c>
      <c r="R209">
        <f t="shared" si="961"/>
        <v>-7518919.891393139</v>
      </c>
      <c r="S209">
        <f t="shared" si="962"/>
        <v>-75.189198913931392</v>
      </c>
      <c r="T209">
        <f t="shared" si="963"/>
        <v>-7.5189198913931388E-2</v>
      </c>
    </row>
    <row r="210" spans="1:20" x14ac:dyDescent="0.25">
      <c r="A210" s="5">
        <v>44383</v>
      </c>
      <c r="B210">
        <v>1.0885</v>
      </c>
      <c r="C210">
        <v>1.1798999999999999</v>
      </c>
      <c r="D210">
        <v>0.94940000000000002</v>
      </c>
      <c r="E210">
        <v>0.96560000000000001</v>
      </c>
      <c r="F210">
        <v>2075340.86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-0.8594360086767896</v>
      </c>
      <c r="Q210">
        <f t="shared" si="960"/>
        <v>-1783622.6653622561</v>
      </c>
      <c r="R210">
        <f t="shared" si="961"/>
        <v>-6914960.2104452308</v>
      </c>
      <c r="S210">
        <f t="shared" si="962"/>
        <v>-69.149602104452313</v>
      </c>
      <c r="T210">
        <f t="shared" si="963"/>
        <v>-6.9149602104452312E-2</v>
      </c>
    </row>
    <row r="211" spans="1:20" x14ac:dyDescent="0.25">
      <c r="A211" s="5">
        <v>44382</v>
      </c>
      <c r="B211">
        <v>0.85109999999999997</v>
      </c>
      <c r="C211">
        <v>1.28</v>
      </c>
      <c r="D211">
        <v>0.80449999999999999</v>
      </c>
      <c r="E211">
        <v>1.0886</v>
      </c>
      <c r="F211">
        <v>2035634.21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0.19495268138801261</v>
      </c>
      <c r="Q211">
        <f t="shared" si="960"/>
        <v>396852.34756466874</v>
      </c>
      <c r="R211">
        <f t="shared" si="961"/>
        <v>-5131337.5450829742</v>
      </c>
      <c r="S211">
        <f t="shared" si="962"/>
        <v>-51.313375450829746</v>
      </c>
      <c r="T211">
        <f t="shared" si="963"/>
        <v>-5.1313375450829743E-2</v>
      </c>
    </row>
    <row r="212" spans="1:20" x14ac:dyDescent="0.25">
      <c r="A212" s="5">
        <v>44381</v>
      </c>
      <c r="B212">
        <v>0.84030000000000005</v>
      </c>
      <c r="C212">
        <v>0.89559999999999995</v>
      </c>
      <c r="D212">
        <v>0.82599999999999996</v>
      </c>
      <c r="E212">
        <v>0.85540000000000005</v>
      </c>
      <c r="F212">
        <v>96210.79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-0.15517241379310073</v>
      </c>
      <c r="Q212">
        <f t="shared" si="960"/>
        <v>-14929.260517241117</v>
      </c>
      <c r="R212">
        <f t="shared" si="961"/>
        <v>-5528189.8926476426</v>
      </c>
      <c r="S212">
        <f t="shared" si="962"/>
        <v>-55.28189892647643</v>
      </c>
      <c r="T212">
        <f t="shared" si="963"/>
        <v>-5.5281898926476433E-2</v>
      </c>
    </row>
    <row r="213" spans="1:20" x14ac:dyDescent="0.25">
      <c r="A213" s="5">
        <v>44380</v>
      </c>
      <c r="B213">
        <v>0.82469999999999999</v>
      </c>
      <c r="C213">
        <v>0.89319999999999999</v>
      </c>
      <c r="D213">
        <v>0.81110000000000004</v>
      </c>
      <c r="E213">
        <v>0.84540000000000004</v>
      </c>
      <c r="F213">
        <v>75057.3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-0.16443361753958544</v>
      </c>
      <c r="Q213">
        <f t="shared" si="960"/>
        <v>-12341.943361753927</v>
      </c>
      <c r="R213">
        <f t="shared" si="961"/>
        <v>-5513260.6321304012</v>
      </c>
      <c r="S213">
        <f t="shared" si="962"/>
        <v>-55.13260632130401</v>
      </c>
      <c r="T213">
        <f t="shared" si="963"/>
        <v>-5.5132606321304012E-2</v>
      </c>
    </row>
    <row r="214" spans="1:20" x14ac:dyDescent="0.25">
      <c r="A214" s="5">
        <v>44379</v>
      </c>
      <c r="B214">
        <v>0.80259999999999998</v>
      </c>
      <c r="C214">
        <v>0.83420000000000005</v>
      </c>
      <c r="D214">
        <v>0.76700000000000002</v>
      </c>
      <c r="E214">
        <v>0.82599999999999996</v>
      </c>
      <c r="F214">
        <v>75539.45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0.75595238095237827</v>
      </c>
      <c r="Q214">
        <f t="shared" si="960"/>
        <v>57104.227083333128</v>
      </c>
      <c r="R214">
        <f t="shared" si="961"/>
        <v>-5500918.6887686476</v>
      </c>
      <c r="S214">
        <f t="shared" si="962"/>
        <v>-55.009186887686475</v>
      </c>
      <c r="T214">
        <f t="shared" si="963"/>
        <v>-5.5009186887686475E-2</v>
      </c>
    </row>
    <row r="215" spans="1:20" x14ac:dyDescent="0.25">
      <c r="A215" s="5">
        <v>44378</v>
      </c>
      <c r="B215">
        <v>0.86209999999999998</v>
      </c>
      <c r="C215">
        <v>0.86209999999999998</v>
      </c>
      <c r="D215">
        <v>0.77039999999999997</v>
      </c>
      <c r="E215">
        <v>0.80630000000000002</v>
      </c>
      <c r="F215">
        <v>161362.26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-0.21701199563794893</v>
      </c>
      <c r="Q215">
        <f t="shared" si="960"/>
        <v>-35017.546063249581</v>
      </c>
      <c r="R215">
        <f t="shared" si="961"/>
        <v>-5558022.9158519804</v>
      </c>
      <c r="S215">
        <f t="shared" si="962"/>
        <v>-55.580229158519806</v>
      </c>
      <c r="T215">
        <f t="shared" si="963"/>
        <v>-5.5580229158519803E-2</v>
      </c>
    </row>
    <row r="216" spans="1:20" x14ac:dyDescent="0.25">
      <c r="A216" s="5">
        <v>44377</v>
      </c>
      <c r="B216">
        <v>0.83640000000000003</v>
      </c>
      <c r="C216">
        <v>0.87170000000000003</v>
      </c>
      <c r="D216">
        <v>0.79339999999999999</v>
      </c>
      <c r="E216">
        <v>0.86350000000000005</v>
      </c>
      <c r="F216">
        <v>150999.46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0.79054916985951518</v>
      </c>
      <c r="Q216">
        <f t="shared" si="960"/>
        <v>119372.49775223507</v>
      </c>
      <c r="R216">
        <f t="shared" si="961"/>
        <v>-5523005.3697887305</v>
      </c>
      <c r="S216">
        <f t="shared" si="962"/>
        <v>-55.230053697887307</v>
      </c>
      <c r="T216">
        <f t="shared" si="963"/>
        <v>-5.5230053697887305E-2</v>
      </c>
    </row>
    <row r="217" spans="1:20" x14ac:dyDescent="0.25">
      <c r="A217" s="5">
        <v>44376</v>
      </c>
      <c r="B217">
        <v>0.83599999999999997</v>
      </c>
      <c r="C217">
        <v>0.90429999999999999</v>
      </c>
      <c r="D217">
        <v>0.82420000000000004</v>
      </c>
      <c r="E217">
        <v>0.83330000000000004</v>
      </c>
      <c r="F217">
        <v>184719.54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-0.7727840199750311</v>
      </c>
      <c r="Q217">
        <f t="shared" si="960"/>
        <v>-142748.30868913856</v>
      </c>
      <c r="R217">
        <f t="shared" si="961"/>
        <v>-5642377.8675409658</v>
      </c>
      <c r="S217">
        <f t="shared" si="962"/>
        <v>-56.423778675409658</v>
      </c>
      <c r="T217">
        <f t="shared" si="963"/>
        <v>-5.642377867540966E-2</v>
      </c>
    </row>
    <row r="218" spans="1:20" x14ac:dyDescent="0.25">
      <c r="A218" s="5">
        <v>44375</v>
      </c>
      <c r="B218">
        <v>0.79630000000000001</v>
      </c>
      <c r="C218">
        <v>0.86560000000000004</v>
      </c>
      <c r="D218">
        <v>0.77500000000000002</v>
      </c>
      <c r="E218">
        <v>0.83809999999999996</v>
      </c>
      <c r="F218">
        <v>211180.34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0.39293598233995419</v>
      </c>
      <c r="Q218">
        <f t="shared" si="960"/>
        <v>82980.35434878552</v>
      </c>
      <c r="R218">
        <f t="shared" si="961"/>
        <v>-5499629.5588518269</v>
      </c>
      <c r="S218">
        <f t="shared" si="962"/>
        <v>-54.996295588518272</v>
      </c>
      <c r="T218">
        <f t="shared" si="963"/>
        <v>-5.4996295588518269E-2</v>
      </c>
    </row>
    <row r="219" spans="1:20" x14ac:dyDescent="0.25">
      <c r="A219" s="5">
        <v>44374</v>
      </c>
      <c r="B219">
        <v>0.71879999999999999</v>
      </c>
      <c r="C219">
        <v>0.97389999999999999</v>
      </c>
      <c r="D219">
        <v>0.70909999999999995</v>
      </c>
      <c r="E219">
        <v>0.79479999999999995</v>
      </c>
      <c r="F219">
        <v>430871.2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-0.35271903323262849</v>
      </c>
      <c r="Q219">
        <f t="shared" si="960"/>
        <v>-151976.47311178251</v>
      </c>
      <c r="R219">
        <f t="shared" si="961"/>
        <v>-5582609.9132006122</v>
      </c>
      <c r="S219">
        <f t="shared" si="962"/>
        <v>-55.826099132006121</v>
      </c>
      <c r="T219">
        <f t="shared" si="963"/>
        <v>-5.5826099132006118E-2</v>
      </c>
    </row>
    <row r="220" spans="1:20" x14ac:dyDescent="0.25">
      <c r="A220" s="5">
        <v>44373</v>
      </c>
      <c r="B220">
        <v>0.75580000000000003</v>
      </c>
      <c r="C220">
        <v>0.77739999999999998</v>
      </c>
      <c r="D220">
        <v>0.70269999999999999</v>
      </c>
      <c r="E220">
        <v>0.71889999999999998</v>
      </c>
      <c r="F220">
        <v>150270.31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-0.56626506024096401</v>
      </c>
      <c r="Q220">
        <f t="shared" si="960"/>
        <v>-85092.826144578343</v>
      </c>
      <c r="R220">
        <f t="shared" si="961"/>
        <v>-5430633.44008883</v>
      </c>
      <c r="S220">
        <f t="shared" si="962"/>
        <v>-54.306334400888296</v>
      </c>
      <c r="T220">
        <f t="shared" si="963"/>
        <v>-5.4306334400888299E-2</v>
      </c>
    </row>
    <row r="221" spans="1:20" x14ac:dyDescent="0.25">
      <c r="A221" s="5">
        <v>44372</v>
      </c>
      <c r="B221">
        <v>0.85109999999999997</v>
      </c>
      <c r="C221">
        <v>0.87280000000000002</v>
      </c>
      <c r="D221">
        <v>0.73619999999999997</v>
      </c>
      <c r="E221">
        <v>0.75800000000000001</v>
      </c>
      <c r="F221">
        <v>257869.19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-0.68081991215226889</v>
      </c>
      <c r="Q221">
        <f t="shared" si="960"/>
        <v>-175562.47928257674</v>
      </c>
      <c r="R221">
        <f t="shared" si="961"/>
        <v>-5345540.613944252</v>
      </c>
      <c r="S221">
        <f t="shared" si="962"/>
        <v>-53.455406139442523</v>
      </c>
      <c r="T221">
        <f t="shared" si="963"/>
        <v>-5.3455406139442524E-2</v>
      </c>
    </row>
    <row r="222" spans="1:20" x14ac:dyDescent="0.25">
      <c r="A222" s="5">
        <v>44371</v>
      </c>
      <c r="B222">
        <v>0.88160000000000005</v>
      </c>
      <c r="C222">
        <v>0.88870000000000005</v>
      </c>
      <c r="D222">
        <v>0.82599999999999996</v>
      </c>
      <c r="E222">
        <v>0.84840000000000004</v>
      </c>
      <c r="F222">
        <v>198201.93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-0.28548644338117846</v>
      </c>
      <c r="Q222">
        <f t="shared" si="960"/>
        <v>-56583.964066985296</v>
      </c>
      <c r="R222">
        <f t="shared" si="961"/>
        <v>-5169978.1346616754</v>
      </c>
      <c r="S222">
        <f t="shared" si="962"/>
        <v>-51.699781346616753</v>
      </c>
      <c r="T222">
        <f t="shared" si="963"/>
        <v>-5.1699781346616749E-2</v>
      </c>
    </row>
    <row r="223" spans="1:20" x14ac:dyDescent="0.25">
      <c r="A223" s="5">
        <v>44370</v>
      </c>
      <c r="B223">
        <v>0.86250000000000004</v>
      </c>
      <c r="C223">
        <v>0.98850000000000005</v>
      </c>
      <c r="D223">
        <v>0.84309999999999996</v>
      </c>
      <c r="E223">
        <v>0.88149999999999995</v>
      </c>
      <c r="F223">
        <v>511319.16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-0.47180192572214624</v>
      </c>
      <c r="Q223">
        <f t="shared" si="960"/>
        <v>-241241.3643466302</v>
      </c>
      <c r="R223">
        <f t="shared" si="961"/>
        <v>-5113394.1705946904</v>
      </c>
      <c r="S223">
        <f t="shared" si="962"/>
        <v>-51.133941705946903</v>
      </c>
      <c r="T223">
        <f t="shared" si="963"/>
        <v>-5.11339417059469E-2</v>
      </c>
    </row>
    <row r="224" spans="1:20" x14ac:dyDescent="0.25">
      <c r="A224" s="5">
        <v>44369</v>
      </c>
      <c r="B224">
        <v>0.90900000000000003</v>
      </c>
      <c r="C224">
        <v>0.99</v>
      </c>
      <c r="D224">
        <v>0.78879999999999995</v>
      </c>
      <c r="E224">
        <v>0.86209999999999998</v>
      </c>
      <c r="F224">
        <v>681361.69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-0.27137176938369767</v>
      </c>
      <c r="Q224">
        <f t="shared" si="960"/>
        <v>-184902.3274055665</v>
      </c>
      <c r="R224">
        <f t="shared" si="961"/>
        <v>-4872152.8062480604</v>
      </c>
      <c r="S224">
        <f t="shared" si="962"/>
        <v>-48.721528062480601</v>
      </c>
      <c r="T224">
        <f t="shared" si="963"/>
        <v>-4.8721528062480604E-2</v>
      </c>
    </row>
    <row r="225" spans="1:20" x14ac:dyDescent="0.25">
      <c r="A225" s="5">
        <v>44368</v>
      </c>
      <c r="B225">
        <v>1.3384</v>
      </c>
      <c r="C225">
        <v>1.6313</v>
      </c>
      <c r="D225">
        <v>0.9002</v>
      </c>
      <c r="E225">
        <v>0.90639999999999998</v>
      </c>
      <c r="F225">
        <v>2606586.0099999998</v>
      </c>
      <c r="G225">
        <v>0</v>
      </c>
      <c r="L225" t="s">
        <v>7</v>
      </c>
      <c r="M225" t="s">
        <v>7</v>
      </c>
      <c r="N225" t="s">
        <v>8</v>
      </c>
      <c r="P225">
        <f t="shared" si="959"/>
        <v>-0.98303925591574348</v>
      </c>
      <c r="Q225">
        <f t="shared" si="960"/>
        <v>-2562376.3717507864</v>
      </c>
      <c r="R225">
        <f t="shared" si="961"/>
        <v>-4687250.4788424941</v>
      </c>
      <c r="S225">
        <f t="shared" si="962"/>
        <v>-46.872504788424941</v>
      </c>
      <c r="T225">
        <f t="shared" si="963"/>
        <v>-4.6872504788424939E-2</v>
      </c>
    </row>
    <row r="226" spans="1:20" x14ac:dyDescent="0.25">
      <c r="A226" s="5">
        <v>44367</v>
      </c>
      <c r="B226">
        <v>1.0591999999999999</v>
      </c>
      <c r="C226">
        <v>1.5799000000000001</v>
      </c>
      <c r="D226">
        <v>0.99099999999999999</v>
      </c>
      <c r="E226">
        <v>1.3399000000000001</v>
      </c>
      <c r="F226">
        <v>1841850.58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0.18492103922567515</v>
      </c>
      <c r="Q226">
        <f t="shared" si="960"/>
        <v>340596.92335201253</v>
      </c>
      <c r="R226">
        <f t="shared" si="961"/>
        <v>-2124874.1070917076</v>
      </c>
      <c r="S226">
        <f t="shared" si="962"/>
        <v>-21.248741070917077</v>
      </c>
      <c r="T226">
        <f t="shared" si="963"/>
        <v>-2.1248741070917076E-2</v>
      </c>
    </row>
    <row r="227" spans="1:20" x14ac:dyDescent="0.25">
      <c r="A227" s="5">
        <v>44366</v>
      </c>
      <c r="B227">
        <v>1.1326000000000001</v>
      </c>
      <c r="C227">
        <v>1.17</v>
      </c>
      <c r="D227">
        <v>1.0587</v>
      </c>
      <c r="E227">
        <v>1.0626</v>
      </c>
      <c r="F227">
        <v>955835.56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-0.92991913746630694</v>
      </c>
      <c r="Q227">
        <f t="shared" si="960"/>
        <v>-888849.77951482451</v>
      </c>
      <c r="R227">
        <f t="shared" si="961"/>
        <v>-2465471.0304437201</v>
      </c>
      <c r="S227">
        <f t="shared" si="962"/>
        <v>-24.654710304437202</v>
      </c>
      <c r="T227">
        <f t="shared" si="963"/>
        <v>-2.4654710304437201E-2</v>
      </c>
    </row>
    <row r="228" spans="1:20" x14ac:dyDescent="0.25">
      <c r="A228" s="5">
        <v>44365</v>
      </c>
      <c r="B228">
        <v>1.0416000000000001</v>
      </c>
      <c r="C228">
        <v>1.391</v>
      </c>
      <c r="D228">
        <v>1.0125999999999999</v>
      </c>
      <c r="E228">
        <v>1.1312</v>
      </c>
      <c r="F228">
        <v>1719368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-0.37315010570824514</v>
      </c>
      <c r="Q228">
        <f t="shared" si="960"/>
        <v>-641582.35095137404</v>
      </c>
      <c r="R228">
        <f t="shared" si="961"/>
        <v>-1576621.2509288955</v>
      </c>
      <c r="S228">
        <f t="shared" si="962"/>
        <v>-15.766212509288955</v>
      </c>
      <c r="T228">
        <f t="shared" si="963"/>
        <v>-1.5766212509288956E-2</v>
      </c>
    </row>
    <row r="229" spans="1:20" x14ac:dyDescent="0.25">
      <c r="A229" s="5">
        <v>44364</v>
      </c>
      <c r="B229">
        <v>1.0199</v>
      </c>
      <c r="C229">
        <v>1.0785</v>
      </c>
      <c r="D229">
        <v>0.99990000000000001</v>
      </c>
      <c r="E229">
        <v>1.0457000000000001</v>
      </c>
      <c r="F229">
        <v>153724.45000000001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0.16539440203562497</v>
      </c>
      <c r="Q229">
        <f t="shared" si="960"/>
        <v>25425.163486005331</v>
      </c>
      <c r="R229">
        <f t="shared" si="961"/>
        <v>-935038.89997752151</v>
      </c>
      <c r="S229">
        <f t="shared" si="962"/>
        <v>-9.3503889997752143</v>
      </c>
      <c r="T229">
        <f t="shared" si="963"/>
        <v>-9.3503889997752151E-3</v>
      </c>
    </row>
    <row r="230" spans="1:20" x14ac:dyDescent="0.25">
      <c r="A230" s="5">
        <v>44363</v>
      </c>
      <c r="B230">
        <v>1.1060000000000001</v>
      </c>
      <c r="C230">
        <v>1.1096999999999999</v>
      </c>
      <c r="D230">
        <v>1.0122</v>
      </c>
      <c r="E230">
        <v>1.0195000000000001</v>
      </c>
      <c r="F230">
        <v>112801.94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-0.85025641025640841</v>
      </c>
      <c r="Q230">
        <f t="shared" si="960"/>
        <v>-95910.572574358768</v>
      </c>
      <c r="R230">
        <f t="shared" si="961"/>
        <v>-960464.06346352678</v>
      </c>
      <c r="S230">
        <f t="shared" si="962"/>
        <v>-9.6046406346352686</v>
      </c>
      <c r="T230">
        <f t="shared" si="963"/>
        <v>-9.604640634635269E-3</v>
      </c>
    </row>
    <row r="231" spans="1:20" x14ac:dyDescent="0.25">
      <c r="A231" s="5">
        <v>44362</v>
      </c>
      <c r="B231">
        <v>1.1308</v>
      </c>
      <c r="C231">
        <v>1.1811</v>
      </c>
      <c r="D231">
        <v>1.0813999999999999</v>
      </c>
      <c r="E231">
        <v>1.1060000000000001</v>
      </c>
      <c r="F231">
        <v>79826.080000000002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-0.50651955867602516</v>
      </c>
      <c r="Q231">
        <f t="shared" si="960"/>
        <v>-40433.470812437081</v>
      </c>
      <c r="R231">
        <f t="shared" si="961"/>
        <v>-864553.490889168</v>
      </c>
      <c r="S231">
        <f t="shared" si="962"/>
        <v>-8.6455349088916797</v>
      </c>
      <c r="T231">
        <f t="shared" si="963"/>
        <v>-8.6455349088916805E-3</v>
      </c>
    </row>
    <row r="232" spans="1:20" x14ac:dyDescent="0.25">
      <c r="A232" s="5">
        <v>44361</v>
      </c>
      <c r="B232">
        <v>1.0984</v>
      </c>
      <c r="C232">
        <v>1.18</v>
      </c>
      <c r="D232">
        <v>1.0745</v>
      </c>
      <c r="E232">
        <v>1.1238999999999999</v>
      </c>
      <c r="F232">
        <v>130510.57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-6.3507109004740811E-2</v>
      </c>
      <c r="Q232">
        <f t="shared" si="960"/>
        <v>-8288.3489952608561</v>
      </c>
      <c r="R232">
        <f t="shared" si="961"/>
        <v>-824120.02007673087</v>
      </c>
      <c r="S232">
        <f t="shared" si="962"/>
        <v>-8.2412002007673095</v>
      </c>
      <c r="T232">
        <f t="shared" si="963"/>
        <v>-8.2412002007673096E-3</v>
      </c>
    </row>
    <row r="233" spans="1:20" x14ac:dyDescent="0.25">
      <c r="A233" s="5">
        <v>44360</v>
      </c>
      <c r="B233">
        <v>1.0389999999999999</v>
      </c>
      <c r="C233">
        <v>1.1218999999999999</v>
      </c>
      <c r="D233">
        <v>1.0097</v>
      </c>
      <c r="E233">
        <v>1.0983000000000001</v>
      </c>
      <c r="F233">
        <v>116858.42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0.5793226381461698</v>
      </c>
      <c r="Q233">
        <f t="shared" si="960"/>
        <v>67698.728163993132</v>
      </c>
      <c r="R233">
        <f t="shared" si="961"/>
        <v>-815831.67108146998</v>
      </c>
      <c r="S233">
        <f t="shared" si="962"/>
        <v>-8.1583167108147006</v>
      </c>
      <c r="T233">
        <f t="shared" si="963"/>
        <v>-8.158316710814701E-3</v>
      </c>
    </row>
    <row r="234" spans="1:20" x14ac:dyDescent="0.25">
      <c r="A234" s="5">
        <v>44359</v>
      </c>
      <c r="B234">
        <v>1.052</v>
      </c>
      <c r="C234">
        <v>1.0677000000000001</v>
      </c>
      <c r="D234">
        <v>0.9899</v>
      </c>
      <c r="E234">
        <v>1.0464</v>
      </c>
      <c r="F234">
        <v>59121.72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0.45244215938303156</v>
      </c>
      <c r="Q234">
        <f t="shared" si="960"/>
        <v>26749.158663238966</v>
      </c>
      <c r="R234">
        <f t="shared" si="961"/>
        <v>-883530.39924546308</v>
      </c>
      <c r="S234">
        <f t="shared" si="962"/>
        <v>-8.8353039924546302</v>
      </c>
      <c r="T234">
        <f t="shared" si="963"/>
        <v>-8.8353039924546298E-3</v>
      </c>
    </row>
    <row r="235" spans="1:20" x14ac:dyDescent="0.25">
      <c r="A235" s="5">
        <v>44358</v>
      </c>
      <c r="B235">
        <v>1.1352</v>
      </c>
      <c r="C235">
        <v>1.1657</v>
      </c>
      <c r="D235">
        <v>1.0421</v>
      </c>
      <c r="E235">
        <v>1.0472999999999999</v>
      </c>
      <c r="F235">
        <v>63090.17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-0.91585760517799553</v>
      </c>
      <c r="Q235">
        <f t="shared" si="960"/>
        <v>-57781.612006472613</v>
      </c>
      <c r="R235">
        <f t="shared" si="961"/>
        <v>-910279.55790870206</v>
      </c>
      <c r="S235">
        <f t="shared" si="962"/>
        <v>-9.1027955790870205</v>
      </c>
      <c r="T235">
        <f t="shared" si="963"/>
        <v>-9.10279557908702E-3</v>
      </c>
    </row>
    <row r="236" spans="1:20" x14ac:dyDescent="0.25">
      <c r="A236" s="5">
        <v>44357</v>
      </c>
      <c r="B236">
        <v>1.2202999999999999</v>
      </c>
      <c r="C236">
        <v>1.2619</v>
      </c>
      <c r="D236">
        <v>1.1000000000000001</v>
      </c>
      <c r="E236">
        <v>1.1322000000000001</v>
      </c>
      <c r="F236">
        <v>114048.07</v>
      </c>
      <c r="G236">
        <v>0</v>
      </c>
      <c r="L236" t="s">
        <v>8</v>
      </c>
      <c r="M236" t="s">
        <v>7</v>
      </c>
      <c r="N236" t="s">
        <v>8</v>
      </c>
      <c r="P236">
        <f t="shared" si="959"/>
        <v>-0.60222359481161192</v>
      </c>
      <c r="Q236">
        <f t="shared" si="960"/>
        <v>-68682.438696726356</v>
      </c>
      <c r="R236">
        <f t="shared" si="961"/>
        <v>-852497.9459022294</v>
      </c>
      <c r="S236">
        <f t="shared" si="962"/>
        <v>-8.524979459022294</v>
      </c>
      <c r="T236">
        <f t="shared" si="963"/>
        <v>-8.5249794590222944E-3</v>
      </c>
    </row>
    <row r="237" spans="1:20" x14ac:dyDescent="0.25">
      <c r="A237" s="5">
        <v>44356</v>
      </c>
      <c r="B237">
        <v>1.204</v>
      </c>
      <c r="C237">
        <v>1.2397</v>
      </c>
      <c r="D237">
        <v>1.1600999999999999</v>
      </c>
      <c r="E237">
        <v>1.2293000000000001</v>
      </c>
      <c r="F237">
        <v>128183.29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0.73869346733668473</v>
      </c>
      <c r="Q237">
        <f t="shared" si="960"/>
        <v>94688.158944723778</v>
      </c>
      <c r="R237">
        <f t="shared" si="961"/>
        <v>-783815.50720550306</v>
      </c>
      <c r="S237">
        <f t="shared" si="962"/>
        <v>-7.8381550720550308</v>
      </c>
      <c r="T237">
        <f t="shared" si="963"/>
        <v>-7.8381550720550315E-3</v>
      </c>
    </row>
    <row r="238" spans="1:20" x14ac:dyDescent="0.25">
      <c r="A238" s="5">
        <v>44355</v>
      </c>
      <c r="B238">
        <v>1.2552000000000001</v>
      </c>
      <c r="C238">
        <v>1.2806</v>
      </c>
      <c r="D238">
        <v>1.1112</v>
      </c>
      <c r="E238">
        <v>1.1936</v>
      </c>
      <c r="F238">
        <v>141157.23000000001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-2.7154663518299513E-2</v>
      </c>
      <c r="Q238">
        <f t="shared" si="960"/>
        <v>-3833.0770838252138</v>
      </c>
      <c r="R238">
        <f t="shared" si="961"/>
        <v>-878503.66615022684</v>
      </c>
      <c r="S238">
        <f t="shared" si="962"/>
        <v>-8.7850366615022679</v>
      </c>
      <c r="T238">
        <f t="shared" si="963"/>
        <v>-8.7850366615022674E-3</v>
      </c>
    </row>
    <row r="239" spans="1:20" x14ac:dyDescent="0.25">
      <c r="A239" s="5">
        <v>44354</v>
      </c>
      <c r="B239">
        <v>1.3463000000000001</v>
      </c>
      <c r="C239">
        <v>1.4192</v>
      </c>
      <c r="D239">
        <v>1.2398</v>
      </c>
      <c r="E239">
        <v>1.2531000000000001</v>
      </c>
      <c r="F239">
        <v>130493.89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-0.8517279821627638</v>
      </c>
      <c r="Q239">
        <f t="shared" si="960"/>
        <v>-111145.29761426966</v>
      </c>
      <c r="R239">
        <f t="shared" si="961"/>
        <v>-874670.58906640159</v>
      </c>
      <c r="S239">
        <f t="shared" si="962"/>
        <v>-8.7467058906640158</v>
      </c>
      <c r="T239">
        <f t="shared" si="963"/>
        <v>-8.7467058906640152E-3</v>
      </c>
    </row>
    <row r="240" spans="1:20" x14ac:dyDescent="0.25">
      <c r="A240" s="5">
        <v>44353</v>
      </c>
      <c r="B240">
        <v>1.3633</v>
      </c>
      <c r="C240">
        <v>1.4357</v>
      </c>
      <c r="D240">
        <v>1.3266</v>
      </c>
      <c r="E240">
        <v>1.3420000000000001</v>
      </c>
      <c r="F240">
        <v>76745.240000000005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-0.71769019248395816</v>
      </c>
      <c r="Q240">
        <f t="shared" si="960"/>
        <v>-55079.306067827565</v>
      </c>
      <c r="R240">
        <f t="shared" si="961"/>
        <v>-763525.29145213193</v>
      </c>
      <c r="S240">
        <f t="shared" si="962"/>
        <v>-7.6352529145213195</v>
      </c>
      <c r="T240">
        <f t="shared" si="963"/>
        <v>-7.6352529145213193E-3</v>
      </c>
    </row>
    <row r="241" spans="1:20" x14ac:dyDescent="0.25">
      <c r="A241" s="5">
        <v>44352</v>
      </c>
      <c r="B241">
        <v>1.4017999999999999</v>
      </c>
      <c r="C241">
        <v>1.5099</v>
      </c>
      <c r="D241">
        <v>1.3115000000000001</v>
      </c>
      <c r="E241">
        <v>1.3677999999999999</v>
      </c>
      <c r="F241">
        <v>119753.51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-0.43245967741935665</v>
      </c>
      <c r="Q241">
        <f t="shared" si="960"/>
        <v>-51788.564304435698</v>
      </c>
      <c r="R241">
        <f t="shared" si="961"/>
        <v>-708445.98538430431</v>
      </c>
      <c r="S241">
        <f t="shared" si="962"/>
        <v>-7.0844598538430432</v>
      </c>
      <c r="T241">
        <f t="shared" si="963"/>
        <v>-7.0844598538430436E-3</v>
      </c>
    </row>
    <row r="242" spans="1:20" x14ac:dyDescent="0.25">
      <c r="A242" s="5">
        <v>44351</v>
      </c>
      <c r="B242">
        <v>1.4239999999999999</v>
      </c>
      <c r="C242">
        <v>1.47</v>
      </c>
      <c r="D242">
        <v>1.2641</v>
      </c>
      <c r="E242">
        <v>1.3956999999999999</v>
      </c>
      <c r="F242">
        <v>192112.17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0.27829043224866401</v>
      </c>
      <c r="Q242">
        <f t="shared" si="960"/>
        <v>53462.978829528824</v>
      </c>
      <c r="R242">
        <f t="shared" si="961"/>
        <v>-656657.42107986857</v>
      </c>
      <c r="S242">
        <f t="shared" si="962"/>
        <v>-6.5665742107986853</v>
      </c>
      <c r="T242">
        <f t="shared" si="963"/>
        <v>-6.5665742107986853E-3</v>
      </c>
    </row>
    <row r="243" spans="1:20" x14ac:dyDescent="0.25">
      <c r="A243" s="5">
        <v>44350</v>
      </c>
      <c r="B243">
        <v>1.3681000000000001</v>
      </c>
      <c r="C243">
        <v>1.5299</v>
      </c>
      <c r="D243">
        <v>1.3408</v>
      </c>
      <c r="E243">
        <v>1.4355</v>
      </c>
      <c r="F243">
        <v>117225.94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1.5864621893176461E-3</v>
      </c>
      <c r="Q243">
        <f t="shared" si="960"/>
        <v>185.97452141721902</v>
      </c>
      <c r="R243">
        <f t="shared" si="961"/>
        <v>-710120.39990939735</v>
      </c>
      <c r="S243">
        <f t="shared" si="962"/>
        <v>-7.1012039990939737</v>
      </c>
      <c r="T243">
        <f t="shared" si="963"/>
        <v>-7.1012039990939737E-3</v>
      </c>
    </row>
    <row r="244" spans="1:20" x14ac:dyDescent="0.25">
      <c r="A244" s="5">
        <v>44349</v>
      </c>
      <c r="B244">
        <v>1.3136000000000001</v>
      </c>
      <c r="C244">
        <v>1.5299</v>
      </c>
      <c r="D244">
        <v>1.2826</v>
      </c>
      <c r="E244">
        <v>1.3633999999999999</v>
      </c>
      <c r="F244">
        <v>90116.12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-0.34654266073594858</v>
      </c>
      <c r="Q244">
        <f t="shared" si="960"/>
        <v>-31229.080000000031</v>
      </c>
      <c r="R244">
        <f t="shared" si="961"/>
        <v>-710306.37443081453</v>
      </c>
      <c r="S244">
        <f t="shared" si="962"/>
        <v>-7.1030637443081455</v>
      </c>
      <c r="T244">
        <f t="shared" si="963"/>
        <v>-7.1030637443081452E-3</v>
      </c>
    </row>
    <row r="245" spans="1:20" x14ac:dyDescent="0.25">
      <c r="A245" s="5">
        <v>44348</v>
      </c>
      <c r="B245">
        <v>1.3144</v>
      </c>
      <c r="C245">
        <v>1.34</v>
      </c>
      <c r="D245">
        <v>1.2313000000000001</v>
      </c>
      <c r="E245">
        <v>1.3353999999999999</v>
      </c>
      <c r="F245">
        <v>82341.08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0.91536338546457852</v>
      </c>
      <c r="Q245">
        <f t="shared" si="960"/>
        <v>75372.009751609701</v>
      </c>
      <c r="R245">
        <f t="shared" si="961"/>
        <v>-679077.29443081445</v>
      </c>
      <c r="S245">
        <f t="shared" si="962"/>
        <v>-6.7907729443081442</v>
      </c>
      <c r="T245">
        <f t="shared" si="963"/>
        <v>-6.7907729443081443E-3</v>
      </c>
    </row>
    <row r="246" spans="1:20" x14ac:dyDescent="0.25">
      <c r="A246" s="5">
        <v>44347</v>
      </c>
      <c r="B246">
        <v>1.1809000000000001</v>
      </c>
      <c r="C246">
        <v>1.3099000000000001</v>
      </c>
      <c r="D246">
        <v>1.1083000000000001</v>
      </c>
      <c r="E246">
        <v>1.3099000000000001</v>
      </c>
      <c r="F246">
        <v>85316.72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1</v>
      </c>
      <c r="Q246">
        <f t="shared" si="960"/>
        <v>85316.72</v>
      </c>
      <c r="R246">
        <f t="shared" si="961"/>
        <v>-754449.30418242409</v>
      </c>
      <c r="S246">
        <f t="shared" si="962"/>
        <v>-7.5444930418242411</v>
      </c>
      <c r="T246">
        <f t="shared" si="963"/>
        <v>-7.5444930418242413E-3</v>
      </c>
    </row>
    <row r="247" spans="1:20" x14ac:dyDescent="0.25">
      <c r="A247" s="5">
        <v>44346</v>
      </c>
      <c r="B247">
        <v>1.1156999999999999</v>
      </c>
      <c r="C247">
        <v>1.22</v>
      </c>
      <c r="D247">
        <v>1.0727</v>
      </c>
      <c r="E247">
        <v>1.1632</v>
      </c>
      <c r="F247">
        <v>101128.13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0.22878479293957954</v>
      </c>
      <c r="Q247">
        <f t="shared" si="960"/>
        <v>23136.578282416882</v>
      </c>
      <c r="R247">
        <f t="shared" si="961"/>
        <v>-839766.02418242407</v>
      </c>
      <c r="S247">
        <f t="shared" si="962"/>
        <v>-8.3976602418242408</v>
      </c>
      <c r="T247">
        <f t="shared" si="963"/>
        <v>-8.3976602418242407E-3</v>
      </c>
    </row>
    <row r="248" spans="1:20" x14ac:dyDescent="0.25">
      <c r="A248" s="5">
        <v>44345</v>
      </c>
      <c r="B248">
        <v>1.22</v>
      </c>
      <c r="C248">
        <v>1.2816000000000001</v>
      </c>
      <c r="D248">
        <v>1.0886</v>
      </c>
      <c r="E248">
        <v>1.1211</v>
      </c>
      <c r="F248">
        <v>60632.959999999999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-0.66321243523316098</v>
      </c>
      <c r="Q248">
        <f t="shared" si="960"/>
        <v>-40212.533056994842</v>
      </c>
      <c r="R248">
        <f t="shared" si="961"/>
        <v>-862902.60246484098</v>
      </c>
      <c r="S248">
        <f t="shared" si="962"/>
        <v>-8.6290260246484092</v>
      </c>
      <c r="T248">
        <f t="shared" si="963"/>
        <v>-8.6290260246484098E-3</v>
      </c>
    </row>
    <row r="249" spans="1:20" x14ac:dyDescent="0.25">
      <c r="A249" s="5">
        <v>44344</v>
      </c>
      <c r="B249">
        <v>1.456</v>
      </c>
      <c r="C249">
        <v>1.4849000000000001</v>
      </c>
      <c r="D249">
        <v>1.1798999999999999</v>
      </c>
      <c r="E249">
        <v>1.22</v>
      </c>
      <c r="F249">
        <v>131015.39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-0.73704918032786881</v>
      </c>
      <c r="Q249">
        <f t="shared" si="960"/>
        <v>-96564.785809836059</v>
      </c>
      <c r="R249">
        <f t="shared" si="961"/>
        <v>-822690.06940784608</v>
      </c>
      <c r="S249">
        <f t="shared" si="962"/>
        <v>-8.226900694078461</v>
      </c>
      <c r="T249">
        <f t="shared" si="963"/>
        <v>-8.2269006940784602E-3</v>
      </c>
    </row>
    <row r="250" spans="1:20" x14ac:dyDescent="0.25">
      <c r="A250" s="5">
        <v>44343</v>
      </c>
      <c r="B250">
        <v>1.5597000000000001</v>
      </c>
      <c r="C250">
        <v>1.5599000000000001</v>
      </c>
      <c r="D250">
        <v>1.41</v>
      </c>
      <c r="E250">
        <v>1.4540999999999999</v>
      </c>
      <c r="F250">
        <v>157935.76999999999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-0.4116077384923284</v>
      </c>
      <c r="Q250">
        <f t="shared" si="960"/>
        <v>-65007.585116744522</v>
      </c>
      <c r="R250">
        <f t="shared" si="961"/>
        <v>-726125.28359800996</v>
      </c>
      <c r="S250">
        <f t="shared" si="962"/>
        <v>-7.2612528359800992</v>
      </c>
      <c r="T250">
        <f t="shared" si="963"/>
        <v>-7.2612528359800995E-3</v>
      </c>
    </row>
    <row r="251" spans="1:20" x14ac:dyDescent="0.25">
      <c r="A251" s="5">
        <v>44342</v>
      </c>
      <c r="B251">
        <v>1.4298</v>
      </c>
      <c r="C251">
        <v>1.7645</v>
      </c>
      <c r="D251">
        <v>1.4297</v>
      </c>
      <c r="E251">
        <v>1.5596000000000001</v>
      </c>
      <c r="F251">
        <v>737503.32</v>
      </c>
      <c r="G251">
        <v>0</v>
      </c>
      <c r="L251" t="s">
        <v>7</v>
      </c>
      <c r="M251" t="s">
        <v>7</v>
      </c>
      <c r="N251" t="s">
        <v>7</v>
      </c>
      <c r="P251">
        <f t="shared" si="959"/>
        <v>-0.22401433691756192</v>
      </c>
      <c r="Q251">
        <f t="shared" si="960"/>
        <v>-165211.31720430046</v>
      </c>
      <c r="R251">
        <f t="shared" si="961"/>
        <v>-661117.69848126546</v>
      </c>
      <c r="S251">
        <f t="shared" si="962"/>
        <v>-6.6111769848126549</v>
      </c>
      <c r="T251">
        <f t="shared" si="963"/>
        <v>-6.6111769848126549E-3</v>
      </c>
    </row>
    <row r="252" spans="1:20" x14ac:dyDescent="0.25">
      <c r="A252" s="5">
        <v>44341</v>
      </c>
      <c r="B252">
        <v>1.2118</v>
      </c>
      <c r="C252">
        <v>1.9918</v>
      </c>
      <c r="D252">
        <v>1.0366</v>
      </c>
      <c r="E252">
        <v>1.4298</v>
      </c>
      <c r="F252">
        <v>1472595.87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-0.17671691792294814</v>
      </c>
      <c r="Q252">
        <f t="shared" si="960"/>
        <v>-260232.60349246243</v>
      </c>
      <c r="R252">
        <f t="shared" si="961"/>
        <v>-495906.38127696497</v>
      </c>
      <c r="S252">
        <f t="shared" si="962"/>
        <v>-4.9590638127696494</v>
      </c>
      <c r="T252">
        <f t="shared" si="963"/>
        <v>-4.959063812769649E-3</v>
      </c>
    </row>
    <row r="253" spans="1:20" x14ac:dyDescent="0.25">
      <c r="A253" s="5">
        <v>44340</v>
      </c>
      <c r="B253">
        <v>0.90800000000000003</v>
      </c>
      <c r="C253">
        <v>1.2467999999999999</v>
      </c>
      <c r="D253">
        <v>0.88219999999999998</v>
      </c>
      <c r="E253">
        <v>1.2037</v>
      </c>
      <c r="F253">
        <v>132586.70000000001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0.76357652221612771</v>
      </c>
      <c r="Q253">
        <f t="shared" si="960"/>
        <v>101240.09127811308</v>
      </c>
      <c r="R253">
        <f t="shared" si="961"/>
        <v>-235673.77778450254</v>
      </c>
      <c r="S253">
        <f t="shared" si="962"/>
        <v>-2.3567377778450256</v>
      </c>
      <c r="T253">
        <f t="shared" si="963"/>
        <v>-2.3567377778450256E-3</v>
      </c>
    </row>
    <row r="254" spans="1:20" x14ac:dyDescent="0.25">
      <c r="A254" s="5">
        <v>44339</v>
      </c>
      <c r="B254">
        <v>1.1009</v>
      </c>
      <c r="C254">
        <v>1.1365000000000001</v>
      </c>
      <c r="D254">
        <v>0.72750000000000004</v>
      </c>
      <c r="E254">
        <v>0.92190000000000005</v>
      </c>
      <c r="F254">
        <v>189520.49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-4.9388753056234705E-2</v>
      </c>
      <c r="Q254">
        <f t="shared" si="960"/>
        <v>-9360.1806797065983</v>
      </c>
      <c r="R254">
        <f t="shared" si="961"/>
        <v>-336913.86906261562</v>
      </c>
      <c r="S254">
        <f t="shared" si="962"/>
        <v>-3.3691386906261562</v>
      </c>
      <c r="T254">
        <f t="shared" si="963"/>
        <v>-3.3691386906261563E-3</v>
      </c>
    </row>
    <row r="255" spans="1:20" x14ac:dyDescent="0.25">
      <c r="A255" s="5">
        <v>44338</v>
      </c>
      <c r="B255">
        <v>1.2031000000000001</v>
      </c>
      <c r="C255">
        <v>1.2302</v>
      </c>
      <c r="D255">
        <v>1.0595000000000001</v>
      </c>
      <c r="E255">
        <v>1.1022000000000001</v>
      </c>
      <c r="F255">
        <v>72335.27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-0.49970708845928535</v>
      </c>
      <c r="Q255">
        <f t="shared" si="960"/>
        <v>-36146.447164616293</v>
      </c>
      <c r="R255">
        <f t="shared" si="961"/>
        <v>-327553.68838290899</v>
      </c>
      <c r="S255">
        <f t="shared" si="962"/>
        <v>-3.2755368838290901</v>
      </c>
      <c r="T255">
        <f t="shared" si="963"/>
        <v>-3.2755368838290901E-3</v>
      </c>
    </row>
    <row r="256" spans="1:20" x14ac:dyDescent="0.25">
      <c r="A256" s="5">
        <v>44337</v>
      </c>
      <c r="B256">
        <v>1.4339999999999999</v>
      </c>
      <c r="C256">
        <v>1.51</v>
      </c>
      <c r="D256">
        <v>1.0649999999999999</v>
      </c>
      <c r="E256">
        <v>1.1930000000000001</v>
      </c>
      <c r="F256">
        <v>148797.99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-0.42471910112359507</v>
      </c>
      <c r="Q256">
        <f t="shared" si="960"/>
        <v>-63197.348561797684</v>
      </c>
      <c r="R256">
        <f t="shared" si="961"/>
        <v>-291407.24121829268</v>
      </c>
      <c r="S256">
        <f t="shared" si="962"/>
        <v>-2.9140724121829269</v>
      </c>
      <c r="T256">
        <f t="shared" si="963"/>
        <v>-2.9140724121829269E-3</v>
      </c>
    </row>
    <row r="257" spans="1:20" x14ac:dyDescent="0.25">
      <c r="A257" s="5">
        <v>44336</v>
      </c>
      <c r="B257">
        <v>1.3636999999999999</v>
      </c>
      <c r="C257">
        <v>1.5150999999999999</v>
      </c>
      <c r="D257">
        <v>1.2087000000000001</v>
      </c>
      <c r="E257">
        <v>1.427</v>
      </c>
      <c r="F257">
        <v>157308.75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0.42493472584856457</v>
      </c>
      <c r="Q257">
        <f t="shared" si="960"/>
        <v>66845.950554830386</v>
      </c>
      <c r="R257">
        <f t="shared" si="961"/>
        <v>-228209.89265649498</v>
      </c>
      <c r="S257">
        <f t="shared" si="962"/>
        <v>-2.2820989265649496</v>
      </c>
      <c r="T257">
        <f t="shared" si="963"/>
        <v>-2.2820989265649495E-3</v>
      </c>
    </row>
    <row r="258" spans="1:20" x14ac:dyDescent="0.25">
      <c r="A258" s="5">
        <v>44335</v>
      </c>
      <c r="B258">
        <v>2.0739000000000001</v>
      </c>
      <c r="C258">
        <v>2.0861999999999998</v>
      </c>
      <c r="D258">
        <v>1.0789</v>
      </c>
      <c r="E258">
        <v>1.3749</v>
      </c>
      <c r="F258">
        <v>332185.23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-0.41229028094907161</v>
      </c>
      <c r="Q258">
        <f t="shared" si="960"/>
        <v>-136956.74180383197</v>
      </c>
      <c r="R258">
        <f t="shared" si="961"/>
        <v>-295055.84321132535</v>
      </c>
      <c r="S258">
        <f t="shared" si="962"/>
        <v>-2.9505584321132536</v>
      </c>
      <c r="T258">
        <f t="shared" si="963"/>
        <v>-2.9505584321132534E-3</v>
      </c>
    </row>
    <row r="259" spans="1:20" x14ac:dyDescent="0.25">
      <c r="A259" s="5">
        <v>44334</v>
      </c>
      <c r="B259">
        <v>2.0301</v>
      </c>
      <c r="C259">
        <v>2.2151999999999998</v>
      </c>
      <c r="D259">
        <v>2.0001000000000002</v>
      </c>
      <c r="E259">
        <v>2.0569999999999999</v>
      </c>
      <c r="F259">
        <v>104591.21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-0.47094374709437631</v>
      </c>
      <c r="Q259">
        <f t="shared" si="960"/>
        <v>-49256.576350534808</v>
      </c>
      <c r="R259">
        <f t="shared" si="961"/>
        <v>-158099.10140749341</v>
      </c>
      <c r="S259">
        <f t="shared" si="962"/>
        <v>-1.5809910140749341</v>
      </c>
      <c r="T259">
        <f t="shared" si="963"/>
        <v>-1.5809910140749341E-3</v>
      </c>
    </row>
    <row r="260" spans="1:20" x14ac:dyDescent="0.25">
      <c r="A260" s="5">
        <v>44333</v>
      </c>
      <c r="B260">
        <v>2.2052</v>
      </c>
      <c r="C260">
        <v>2.2067000000000001</v>
      </c>
      <c r="D260">
        <v>1.9020999999999999</v>
      </c>
      <c r="E260">
        <v>2.0299999999999998</v>
      </c>
      <c r="F260">
        <v>107054.63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-0.16021011162180029</v>
      </c>
      <c r="Q260">
        <f t="shared" si="960"/>
        <v>-17151.234221930532</v>
      </c>
      <c r="R260">
        <f t="shared" si="961"/>
        <v>-108842.52505695861</v>
      </c>
      <c r="S260">
        <f t="shared" si="962"/>
        <v>-1.0884252505695862</v>
      </c>
      <c r="T260">
        <f t="shared" si="963"/>
        <v>-1.0884252505695862E-3</v>
      </c>
    </row>
    <row r="261" spans="1:20" x14ac:dyDescent="0.25">
      <c r="A261" s="5">
        <v>44332</v>
      </c>
      <c r="B261">
        <v>2.2153</v>
      </c>
      <c r="C261">
        <v>2.3946000000000001</v>
      </c>
      <c r="D261">
        <v>2.0800999999999998</v>
      </c>
      <c r="E261">
        <v>2.2101000000000002</v>
      </c>
      <c r="F261">
        <v>116527.21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-0.1732909379968188</v>
      </c>
      <c r="Q261">
        <f t="shared" si="960"/>
        <v>-20193.109523052284</v>
      </c>
      <c r="R261">
        <f t="shared" si="961"/>
        <v>-91691.290835028078</v>
      </c>
      <c r="S261">
        <f t="shared" si="962"/>
        <v>-0.91691290835028083</v>
      </c>
      <c r="T261">
        <f t="shared" si="963"/>
        <v>-9.1691290835028082E-4</v>
      </c>
    </row>
    <row r="262" spans="1:20" x14ac:dyDescent="0.25">
      <c r="A262" s="5">
        <v>44331</v>
      </c>
      <c r="B262">
        <v>2.4668000000000001</v>
      </c>
      <c r="C262">
        <v>2.5015000000000001</v>
      </c>
      <c r="D262">
        <v>2.19</v>
      </c>
      <c r="E262">
        <v>2.1981000000000002</v>
      </c>
      <c r="F262">
        <v>87045.99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-0.94799357945425222</v>
      </c>
      <c r="Q262">
        <f t="shared" ref="Q262:Q325" si="965">F262*P262</f>
        <v>-82519.039637239053</v>
      </c>
      <c r="R262">
        <f t="shared" ref="R262:R325" si="966">R263+Q262</f>
        <v>-71498.181311975786</v>
      </c>
      <c r="S262">
        <f t="shared" ref="S262:S325" si="967">R262/100000</f>
        <v>-0.71498181311975784</v>
      </c>
      <c r="T262">
        <f t="shared" ref="T262:T325" si="968">S262/1000</f>
        <v>-7.1498181311975789E-4</v>
      </c>
    </row>
    <row r="263" spans="1:20" x14ac:dyDescent="0.25">
      <c r="A263" s="5">
        <v>44330</v>
      </c>
      <c r="B263">
        <v>2.3445999999999998</v>
      </c>
      <c r="C263">
        <v>2.5590999999999999</v>
      </c>
      <c r="D263">
        <v>2.3105000000000002</v>
      </c>
      <c r="E263">
        <v>2.4449999999999998</v>
      </c>
      <c r="F263">
        <v>105505.3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8.2059533386965214E-2</v>
      </c>
      <c r="Q263">
        <f t="shared" si="965"/>
        <v>8657.7156878517817</v>
      </c>
      <c r="R263">
        <f t="shared" si="966"/>
        <v>11020.858325263263</v>
      </c>
      <c r="S263">
        <f t="shared" si="967"/>
        <v>0.11020858325263264</v>
      </c>
      <c r="T263">
        <f t="shared" si="968"/>
        <v>1.1020858325263263E-4</v>
      </c>
    </row>
    <row r="264" spans="1:20" x14ac:dyDescent="0.25">
      <c r="A264" s="5">
        <v>44329</v>
      </c>
      <c r="B264">
        <v>2.5497000000000001</v>
      </c>
      <c r="C264">
        <v>2.7197</v>
      </c>
      <c r="D264">
        <v>2.2400000000000002</v>
      </c>
      <c r="E264">
        <v>2.2993999999999999</v>
      </c>
      <c r="F264">
        <v>214978.59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-0.75234521575985114</v>
      </c>
      <c r="Q264">
        <f t="shared" si="965"/>
        <v>-161738.11367729856</v>
      </c>
      <c r="R264">
        <f t="shared" si="966"/>
        <v>2363.1426374114817</v>
      </c>
      <c r="S264">
        <f t="shared" si="967"/>
        <v>2.3631426374114816E-2</v>
      </c>
      <c r="T264">
        <f t="shared" si="968"/>
        <v>2.3631426374114815E-5</v>
      </c>
    </row>
    <row r="265" spans="1:20" x14ac:dyDescent="0.25">
      <c r="A265" s="5">
        <v>44328</v>
      </c>
      <c r="B265">
        <v>2.8555000000000001</v>
      </c>
      <c r="C265">
        <v>3.1</v>
      </c>
      <c r="D265">
        <v>2.5101</v>
      </c>
      <c r="E265">
        <v>2.5101</v>
      </c>
      <c r="F265">
        <v>260931.79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-1</v>
      </c>
      <c r="Q265">
        <f t="shared" si="965"/>
        <v>-260931.79</v>
      </c>
      <c r="R265">
        <f t="shared" si="966"/>
        <v>164101.25631471004</v>
      </c>
      <c r="S265">
        <f t="shared" si="967"/>
        <v>1.6410125631471004</v>
      </c>
      <c r="T265">
        <f t="shared" si="968"/>
        <v>1.6410125631471004E-3</v>
      </c>
    </row>
    <row r="266" spans="1:20" x14ac:dyDescent="0.25">
      <c r="A266" s="5">
        <v>44327</v>
      </c>
      <c r="B266">
        <v>2.6673</v>
      </c>
      <c r="C266">
        <v>2.8761999999999999</v>
      </c>
      <c r="D266">
        <v>2.5537000000000001</v>
      </c>
      <c r="E266">
        <v>2.8555000000000001</v>
      </c>
      <c r="F266">
        <v>121396.71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0.87162790697674586</v>
      </c>
      <c r="Q266">
        <f t="shared" si="965"/>
        <v>105812.760251163</v>
      </c>
      <c r="R266">
        <f t="shared" si="966"/>
        <v>425033.04631471005</v>
      </c>
      <c r="S266">
        <f t="shared" si="967"/>
        <v>4.2503304631471002</v>
      </c>
      <c r="T266">
        <f t="shared" si="968"/>
        <v>4.2503304631470997E-3</v>
      </c>
    </row>
    <row r="267" spans="1:20" x14ac:dyDescent="0.25">
      <c r="A267" s="5">
        <v>44326</v>
      </c>
      <c r="B267">
        <v>2.8803999999999998</v>
      </c>
      <c r="C267">
        <v>3.0926999999999998</v>
      </c>
      <c r="D267">
        <v>2.5836999999999999</v>
      </c>
      <c r="E267">
        <v>2.6775000000000002</v>
      </c>
      <c r="F267">
        <v>169748.87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-0.63143418467583357</v>
      </c>
      <c r="Q267">
        <f t="shared" si="965"/>
        <v>-107185.23932809406</v>
      </c>
      <c r="R267">
        <f t="shared" si="966"/>
        <v>319220.28606354707</v>
      </c>
      <c r="S267">
        <f t="shared" si="967"/>
        <v>3.1922028606354709</v>
      </c>
      <c r="T267">
        <f t="shared" si="968"/>
        <v>3.1922028606354708E-3</v>
      </c>
    </row>
    <row r="268" spans="1:20" x14ac:dyDescent="0.25">
      <c r="A268" s="5">
        <v>44325</v>
      </c>
      <c r="B268">
        <v>2.8607</v>
      </c>
      <c r="C268">
        <v>2.9820000000000002</v>
      </c>
      <c r="D268">
        <v>2.7111000000000001</v>
      </c>
      <c r="E268">
        <v>2.8801999999999999</v>
      </c>
      <c r="F268">
        <v>146146.79999999999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0.24843115540789751</v>
      </c>
      <c r="Q268">
        <f t="shared" si="965"/>
        <v>36307.418383166914</v>
      </c>
      <c r="R268">
        <f t="shared" si="966"/>
        <v>426405.52539164113</v>
      </c>
      <c r="S268">
        <f t="shared" si="967"/>
        <v>4.2640552539164114</v>
      </c>
      <c r="T268">
        <f t="shared" si="968"/>
        <v>4.2640552539164114E-3</v>
      </c>
    </row>
    <row r="269" spans="1:20" x14ac:dyDescent="0.25">
      <c r="A269" s="5">
        <v>44324</v>
      </c>
      <c r="B269">
        <v>2.6547999999999998</v>
      </c>
      <c r="C269">
        <v>3.15</v>
      </c>
      <c r="D269">
        <v>2.64</v>
      </c>
      <c r="E269">
        <v>2.8626</v>
      </c>
      <c r="F269">
        <v>338994.89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-0.12705882352941175</v>
      </c>
      <c r="Q269">
        <f t="shared" si="965"/>
        <v>-43072.291905882354</v>
      </c>
      <c r="R269">
        <f t="shared" si="966"/>
        <v>390098.10700847424</v>
      </c>
      <c r="S269">
        <f t="shared" si="967"/>
        <v>3.9009810700847423</v>
      </c>
      <c r="T269">
        <f t="shared" si="968"/>
        <v>3.9009810700847422E-3</v>
      </c>
    </row>
    <row r="270" spans="1:20" x14ac:dyDescent="0.25">
      <c r="A270" s="5">
        <v>44323</v>
      </c>
      <c r="B270">
        <v>2.8650000000000002</v>
      </c>
      <c r="C270">
        <v>2.8891</v>
      </c>
      <c r="D270">
        <v>2.6150000000000002</v>
      </c>
      <c r="E270">
        <v>2.6547000000000001</v>
      </c>
      <c r="F270">
        <v>142731.16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-0.71032469901495898</v>
      </c>
      <c r="Q270">
        <f t="shared" si="965"/>
        <v>-101385.46826705596</v>
      </c>
      <c r="R270">
        <f t="shared" si="966"/>
        <v>433170.3989143566</v>
      </c>
      <c r="S270">
        <f t="shared" si="967"/>
        <v>4.3317039891435662</v>
      </c>
      <c r="T270">
        <f t="shared" si="968"/>
        <v>4.3317039891435666E-3</v>
      </c>
    </row>
    <row r="271" spans="1:20" x14ac:dyDescent="0.25">
      <c r="A271" s="5">
        <v>44322</v>
      </c>
      <c r="B271">
        <v>2.8144</v>
      </c>
      <c r="C271">
        <v>2.95</v>
      </c>
      <c r="D271">
        <v>2.72</v>
      </c>
      <c r="E271">
        <v>2.8500999999999999</v>
      </c>
      <c r="F271">
        <v>111159.94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0.13130434782608408</v>
      </c>
      <c r="Q271">
        <f t="shared" si="965"/>
        <v>14595.783426086637</v>
      </c>
      <c r="R271">
        <f t="shared" si="966"/>
        <v>534555.86718141253</v>
      </c>
      <c r="S271">
        <f t="shared" si="967"/>
        <v>5.3455586718141257</v>
      </c>
      <c r="T271">
        <f t="shared" si="968"/>
        <v>5.3455586718141254E-3</v>
      </c>
    </row>
    <row r="272" spans="1:20" x14ac:dyDescent="0.25">
      <c r="A272" s="5">
        <v>44321</v>
      </c>
      <c r="B272">
        <v>2.6556999999999999</v>
      </c>
      <c r="C272">
        <v>2.8654999999999999</v>
      </c>
      <c r="D272">
        <v>2.5933999999999999</v>
      </c>
      <c r="E272">
        <v>2.8258999999999999</v>
      </c>
      <c r="F272">
        <v>213810.52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0.70893054024255731</v>
      </c>
      <c r="Q272">
        <f t="shared" si="965"/>
        <v>151576.8074531421</v>
      </c>
      <c r="R272">
        <f t="shared" si="966"/>
        <v>519960.08375532588</v>
      </c>
      <c r="S272">
        <f t="shared" si="967"/>
        <v>5.199600837553259</v>
      </c>
      <c r="T272">
        <f t="shared" si="968"/>
        <v>5.1996008375532589E-3</v>
      </c>
    </row>
    <row r="273" spans="1:20" x14ac:dyDescent="0.25">
      <c r="A273" s="5">
        <v>44320</v>
      </c>
      <c r="B273">
        <v>3.0489999999999999</v>
      </c>
      <c r="C273">
        <v>3.0489999999999999</v>
      </c>
      <c r="D273">
        <v>2.6301999999999999</v>
      </c>
      <c r="E273">
        <v>2.6505999999999998</v>
      </c>
      <c r="F273">
        <v>218247.29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-0.90257879656160478</v>
      </c>
      <c r="Q273">
        <f t="shared" si="965"/>
        <v>-196985.37636103158</v>
      </c>
      <c r="R273">
        <f t="shared" si="966"/>
        <v>368383.27630218375</v>
      </c>
      <c r="S273">
        <f t="shared" si="967"/>
        <v>3.6838327630218375</v>
      </c>
      <c r="T273">
        <f t="shared" si="968"/>
        <v>3.6838327630218373E-3</v>
      </c>
    </row>
    <row r="274" spans="1:20" x14ac:dyDescent="0.25">
      <c r="A274" s="5">
        <v>44319</v>
      </c>
      <c r="B274">
        <v>2.9355000000000002</v>
      </c>
      <c r="C274">
        <v>3.1</v>
      </c>
      <c r="D274">
        <v>2.8626999999999998</v>
      </c>
      <c r="E274">
        <v>3.0411999999999999</v>
      </c>
      <c r="F274">
        <v>206744.18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0.50442477876106095</v>
      </c>
      <c r="Q274">
        <f t="shared" si="965"/>
        <v>104286.88725663695</v>
      </c>
      <c r="R274">
        <f t="shared" si="966"/>
        <v>565368.6526632153</v>
      </c>
      <c r="S274">
        <f t="shared" si="967"/>
        <v>5.6536865266321525</v>
      </c>
      <c r="T274">
        <f t="shared" si="968"/>
        <v>5.6536865266321526E-3</v>
      </c>
    </row>
    <row r="275" spans="1:20" x14ac:dyDescent="0.25">
      <c r="A275" s="5">
        <v>44318</v>
      </c>
      <c r="B275">
        <v>2.948</v>
      </c>
      <c r="C275">
        <v>3.0449000000000002</v>
      </c>
      <c r="D275">
        <v>2.8412999999999999</v>
      </c>
      <c r="E275">
        <v>2.9350999999999998</v>
      </c>
      <c r="F275">
        <v>172660.95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-7.8585461689589589E-2</v>
      </c>
      <c r="Q275">
        <f t="shared" si="965"/>
        <v>-13568.640471513145</v>
      </c>
      <c r="R275">
        <f t="shared" si="966"/>
        <v>461081.76540657831</v>
      </c>
      <c r="S275">
        <f t="shared" si="967"/>
        <v>4.6108176540657828</v>
      </c>
      <c r="T275">
        <f t="shared" si="968"/>
        <v>4.610817654065783E-3</v>
      </c>
    </row>
    <row r="276" spans="1:20" x14ac:dyDescent="0.25">
      <c r="A276" s="5">
        <v>44317</v>
      </c>
      <c r="B276">
        <v>3.0169999999999999</v>
      </c>
      <c r="C276">
        <v>3.0449999999999999</v>
      </c>
      <c r="D276">
        <v>2.7863000000000002</v>
      </c>
      <c r="E276">
        <v>2.9468000000000001</v>
      </c>
      <c r="F276">
        <v>183203.65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0.24081948202551254</v>
      </c>
      <c r="Q276">
        <f t="shared" si="965"/>
        <v>44119.008098183287</v>
      </c>
      <c r="R276">
        <f t="shared" si="966"/>
        <v>474650.40587809146</v>
      </c>
      <c r="S276">
        <f t="shared" si="967"/>
        <v>4.7465040587809151</v>
      </c>
      <c r="T276">
        <f t="shared" si="968"/>
        <v>4.7465040587809154E-3</v>
      </c>
    </row>
    <row r="277" spans="1:20" x14ac:dyDescent="0.25">
      <c r="A277" s="5">
        <v>44316</v>
      </c>
      <c r="B277">
        <v>2.673</v>
      </c>
      <c r="C277">
        <v>3.1636000000000002</v>
      </c>
      <c r="D277">
        <v>2.6299000000000001</v>
      </c>
      <c r="E277">
        <v>3.0106999999999999</v>
      </c>
      <c r="F277">
        <v>532839.23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0.42701892448941264</v>
      </c>
      <c r="Q277">
        <f t="shared" si="965"/>
        <v>227532.43492036677</v>
      </c>
      <c r="R277">
        <f t="shared" si="966"/>
        <v>430531.39777990815</v>
      </c>
      <c r="S277">
        <f t="shared" si="967"/>
        <v>4.3053139777990816</v>
      </c>
      <c r="T277">
        <f t="shared" si="968"/>
        <v>4.305313977799082E-3</v>
      </c>
    </row>
    <row r="278" spans="1:20" x14ac:dyDescent="0.25">
      <c r="A278" s="5">
        <v>44315</v>
      </c>
      <c r="B278">
        <v>2.6619999999999999</v>
      </c>
      <c r="C278">
        <v>2.7130000000000001</v>
      </c>
      <c r="D278">
        <v>2.5</v>
      </c>
      <c r="E278">
        <v>2.6656</v>
      </c>
      <c r="F278">
        <v>275251.3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0.55492957746478788</v>
      </c>
      <c r="Q278">
        <f t="shared" si="965"/>
        <v>152745.08760563357</v>
      </c>
      <c r="R278">
        <f t="shared" si="966"/>
        <v>202998.96285954141</v>
      </c>
      <c r="S278">
        <f t="shared" si="967"/>
        <v>2.029989628595414</v>
      </c>
      <c r="T278">
        <f t="shared" si="968"/>
        <v>2.0299896285954138E-3</v>
      </c>
    </row>
    <row r="279" spans="1:20" x14ac:dyDescent="0.25">
      <c r="A279" s="5">
        <v>44314</v>
      </c>
      <c r="B279">
        <v>2.6978</v>
      </c>
      <c r="C279">
        <v>2.7957999999999998</v>
      </c>
      <c r="D279">
        <v>2.5718999999999999</v>
      </c>
      <c r="E279">
        <v>2.6739999999999999</v>
      </c>
      <c r="F279">
        <v>90043.89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-8.7985707905314112E-2</v>
      </c>
      <c r="Q279">
        <f t="shared" si="965"/>
        <v>-7922.5754041982345</v>
      </c>
      <c r="R279">
        <f t="shared" si="966"/>
        <v>50253.875253907834</v>
      </c>
      <c r="S279">
        <f t="shared" si="967"/>
        <v>0.50253875253907831</v>
      </c>
      <c r="T279">
        <f t="shared" si="968"/>
        <v>5.0253875253907833E-4</v>
      </c>
    </row>
    <row r="280" spans="1:20" x14ac:dyDescent="0.25">
      <c r="A280" s="5">
        <v>44313</v>
      </c>
      <c r="B280">
        <v>2.6499000000000001</v>
      </c>
      <c r="C280">
        <v>2.77</v>
      </c>
      <c r="D280">
        <v>2.6048</v>
      </c>
      <c r="E280">
        <v>2.6903000000000001</v>
      </c>
      <c r="F280">
        <v>117019.26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3.5108958837773901E-2</v>
      </c>
      <c r="Q280">
        <f t="shared" si="965"/>
        <v>4108.4243825667618</v>
      </c>
      <c r="R280">
        <f t="shared" si="966"/>
        <v>58176.45065810607</v>
      </c>
      <c r="S280">
        <f t="shared" si="967"/>
        <v>0.58176450658106071</v>
      </c>
      <c r="T280">
        <f t="shared" si="968"/>
        <v>5.8176450658106076E-4</v>
      </c>
    </row>
    <row r="281" spans="1:20" x14ac:dyDescent="0.25">
      <c r="A281" s="5">
        <v>44312</v>
      </c>
      <c r="B281">
        <v>2.3839999999999999</v>
      </c>
      <c r="C281">
        <v>2.68</v>
      </c>
      <c r="D281">
        <v>2.3773</v>
      </c>
      <c r="E281">
        <v>2.6395</v>
      </c>
      <c r="F281">
        <v>120295.53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0.73240832507432985</v>
      </c>
      <c r="Q281">
        <f t="shared" si="965"/>
        <v>88105.447641228791</v>
      </c>
      <c r="R281">
        <f t="shared" si="966"/>
        <v>54068.026275539305</v>
      </c>
      <c r="S281">
        <f t="shared" si="967"/>
        <v>0.54068026275539305</v>
      </c>
      <c r="T281">
        <f t="shared" si="968"/>
        <v>5.4068026275539305E-4</v>
      </c>
    </row>
    <row r="282" spans="1:20" x14ac:dyDescent="0.25">
      <c r="A282" s="5">
        <v>44311</v>
      </c>
      <c r="B282">
        <v>2.2711999999999999</v>
      </c>
      <c r="C282">
        <v>2.4615999999999998</v>
      </c>
      <c r="D282">
        <v>2.2317999999999998</v>
      </c>
      <c r="E282">
        <v>2.3774000000000002</v>
      </c>
      <c r="F282">
        <v>89364.9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0.26718885987815832</v>
      </c>
      <c r="Q282">
        <f t="shared" si="965"/>
        <v>23877.305744125628</v>
      </c>
      <c r="R282">
        <f t="shared" si="966"/>
        <v>-34037.421365689486</v>
      </c>
      <c r="S282">
        <f t="shared" si="967"/>
        <v>-0.34037421365689485</v>
      </c>
      <c r="T282">
        <f t="shared" si="968"/>
        <v>-3.4037421365689486E-4</v>
      </c>
    </row>
    <row r="283" spans="1:20" x14ac:dyDescent="0.25">
      <c r="A283" s="5">
        <v>44310</v>
      </c>
      <c r="B283">
        <v>2.4554</v>
      </c>
      <c r="C283">
        <v>2.4554999999999998</v>
      </c>
      <c r="D283">
        <v>2.2364999999999999</v>
      </c>
      <c r="E283">
        <v>2.2644000000000002</v>
      </c>
      <c r="F283">
        <v>121760.59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-0.74520547945205229</v>
      </c>
      <c r="Q283">
        <f t="shared" si="965"/>
        <v>-90736.658849314757</v>
      </c>
      <c r="R283">
        <f t="shared" si="966"/>
        <v>-57914.727109815118</v>
      </c>
      <c r="S283">
        <f t="shared" si="967"/>
        <v>-0.57914727109815123</v>
      </c>
      <c r="T283">
        <f t="shared" si="968"/>
        <v>-5.7914727109815121E-4</v>
      </c>
    </row>
    <row r="284" spans="1:20" x14ac:dyDescent="0.25">
      <c r="A284" s="5">
        <v>44309</v>
      </c>
      <c r="B284">
        <v>2.6781000000000001</v>
      </c>
      <c r="C284">
        <v>2.6873999999999998</v>
      </c>
      <c r="D284">
        <v>2.2532999999999999</v>
      </c>
      <c r="E284">
        <v>2.4620000000000002</v>
      </c>
      <c r="F284">
        <v>213467.07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-3.8470398525683652E-2</v>
      </c>
      <c r="Q284">
        <f t="shared" si="965"/>
        <v>-8212.1632550100094</v>
      </c>
      <c r="R284">
        <f t="shared" si="966"/>
        <v>32821.93173949964</v>
      </c>
      <c r="S284">
        <f t="shared" si="967"/>
        <v>0.32821931739499638</v>
      </c>
      <c r="T284">
        <f t="shared" si="968"/>
        <v>3.2821931739499639E-4</v>
      </c>
    </row>
    <row r="285" spans="1:20" x14ac:dyDescent="0.25">
      <c r="A285" s="5">
        <v>44308</v>
      </c>
      <c r="B285">
        <v>2.9821</v>
      </c>
      <c r="C285">
        <v>3.0842000000000001</v>
      </c>
      <c r="D285">
        <v>2.6</v>
      </c>
      <c r="E285">
        <v>2.6779999999999999</v>
      </c>
      <c r="F285">
        <v>142874.70000000001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-0.67781908302354454</v>
      </c>
      <c r="Q285">
        <f t="shared" si="965"/>
        <v>-96843.198141264031</v>
      </c>
      <c r="R285">
        <f t="shared" si="966"/>
        <v>41034.094994509651</v>
      </c>
      <c r="S285">
        <f t="shared" si="967"/>
        <v>0.41034094994509651</v>
      </c>
      <c r="T285">
        <f t="shared" si="968"/>
        <v>4.1034094994509652E-4</v>
      </c>
    </row>
    <row r="286" spans="1:20" x14ac:dyDescent="0.25">
      <c r="A286" s="5">
        <v>44307</v>
      </c>
      <c r="B286">
        <v>3.1375999999999999</v>
      </c>
      <c r="C286">
        <v>3.3</v>
      </c>
      <c r="D286">
        <v>2.9481999999999999</v>
      </c>
      <c r="E286">
        <v>2.9792999999999998</v>
      </c>
      <c r="F286">
        <v>120460.35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-0.82319499715747635</v>
      </c>
      <c r="Q286">
        <f t="shared" si="965"/>
        <v>-99162.357475838609</v>
      </c>
      <c r="R286">
        <f t="shared" si="966"/>
        <v>137877.29313577368</v>
      </c>
      <c r="S286">
        <f t="shared" si="967"/>
        <v>1.3787729313577368</v>
      </c>
      <c r="T286">
        <f t="shared" si="968"/>
        <v>1.3787729313577369E-3</v>
      </c>
    </row>
    <row r="287" spans="1:20" x14ac:dyDescent="0.25">
      <c r="A287" s="5">
        <v>44306</v>
      </c>
      <c r="B287">
        <v>2.9870999999999999</v>
      </c>
      <c r="C287">
        <v>3.1454</v>
      </c>
      <c r="D287">
        <v>2.72</v>
      </c>
      <c r="E287">
        <v>3.1414</v>
      </c>
      <c r="F287">
        <v>135255.94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0.98119417019275967</v>
      </c>
      <c r="Q287">
        <f t="shared" si="965"/>
        <v>132712.3398119417</v>
      </c>
      <c r="R287">
        <f t="shared" si="966"/>
        <v>237039.65061161231</v>
      </c>
      <c r="S287">
        <f t="shared" si="967"/>
        <v>2.3703965061161232</v>
      </c>
      <c r="T287">
        <f t="shared" si="968"/>
        <v>2.3703965061161233E-3</v>
      </c>
    </row>
    <row r="288" spans="1:20" x14ac:dyDescent="0.25">
      <c r="A288" s="5">
        <v>44305</v>
      </c>
      <c r="B288">
        <v>3.2986</v>
      </c>
      <c r="C288">
        <v>3.3551000000000002</v>
      </c>
      <c r="D288">
        <v>2.8708</v>
      </c>
      <c r="E288">
        <v>2.9933000000000001</v>
      </c>
      <c r="F288">
        <v>178032.68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-0.49411521784018164</v>
      </c>
      <c r="Q288">
        <f t="shared" si="965"/>
        <v>-87968.656460871352</v>
      </c>
      <c r="R288">
        <f t="shared" si="966"/>
        <v>104327.31079967059</v>
      </c>
      <c r="S288">
        <f t="shared" si="967"/>
        <v>1.0432731079967059</v>
      </c>
      <c r="T288">
        <f t="shared" si="968"/>
        <v>1.0432731079967059E-3</v>
      </c>
    </row>
    <row r="289" spans="1:20" x14ac:dyDescent="0.25">
      <c r="A289" s="5">
        <v>44304</v>
      </c>
      <c r="B289">
        <v>3.7349999999999999</v>
      </c>
      <c r="C289">
        <v>3.7349999999999999</v>
      </c>
      <c r="D289">
        <v>2.8557000000000001</v>
      </c>
      <c r="E289">
        <v>3.3058000000000001</v>
      </c>
      <c r="F289">
        <v>248774.97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2.3768907085181562E-2</v>
      </c>
      <c r="Q289">
        <f t="shared" si="965"/>
        <v>5913.1091470488309</v>
      </c>
      <c r="R289">
        <f t="shared" si="966"/>
        <v>192295.96726054195</v>
      </c>
      <c r="S289">
        <f t="shared" si="967"/>
        <v>1.9229596726054194</v>
      </c>
      <c r="T289">
        <f t="shared" si="968"/>
        <v>1.9229596726054194E-3</v>
      </c>
    </row>
    <row r="290" spans="1:20" x14ac:dyDescent="0.25">
      <c r="A290" s="5">
        <v>44303</v>
      </c>
      <c r="B290">
        <v>3.7058</v>
      </c>
      <c r="C290">
        <v>4.2191000000000001</v>
      </c>
      <c r="D290">
        <v>3.7000999999999999</v>
      </c>
      <c r="E290">
        <v>3.7382</v>
      </c>
      <c r="F290">
        <v>311263.86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-0.85317919075144499</v>
      </c>
      <c r="Q290">
        <f t="shared" si="965"/>
        <v>-265563.84818497108</v>
      </c>
      <c r="R290">
        <f t="shared" si="966"/>
        <v>186382.85811349313</v>
      </c>
      <c r="S290">
        <f t="shared" si="967"/>
        <v>1.8638285811349313</v>
      </c>
      <c r="T290">
        <f t="shared" si="968"/>
        <v>1.8638285811349313E-3</v>
      </c>
    </row>
    <row r="291" spans="1:20" x14ac:dyDescent="0.25">
      <c r="A291" s="5">
        <v>44302</v>
      </c>
      <c r="B291">
        <v>3.7673000000000001</v>
      </c>
      <c r="C291">
        <v>3.8001</v>
      </c>
      <c r="D291">
        <v>3.5065</v>
      </c>
      <c r="E291">
        <v>3.7018</v>
      </c>
      <c r="F291">
        <v>260054.64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0.33038147138964558</v>
      </c>
      <c r="Q291">
        <f t="shared" si="965"/>
        <v>85917.234604904588</v>
      </c>
      <c r="R291">
        <f t="shared" si="966"/>
        <v>451946.70629846421</v>
      </c>
      <c r="S291">
        <f t="shared" si="967"/>
        <v>4.5194670629846421</v>
      </c>
      <c r="T291">
        <f t="shared" si="968"/>
        <v>4.5194670629846419E-3</v>
      </c>
    </row>
    <row r="292" spans="1:20" x14ac:dyDescent="0.25">
      <c r="A292" s="5">
        <v>44301</v>
      </c>
      <c r="B292">
        <v>3.4641999999999999</v>
      </c>
      <c r="C292">
        <v>3.9188000000000001</v>
      </c>
      <c r="D292">
        <v>3.464</v>
      </c>
      <c r="E292">
        <v>3.7814000000000001</v>
      </c>
      <c r="F292">
        <v>202293.51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0.39577836411609524</v>
      </c>
      <c r="Q292">
        <f t="shared" si="965"/>
        <v>80063.394459102958</v>
      </c>
      <c r="R292">
        <f t="shared" si="966"/>
        <v>366029.47169355961</v>
      </c>
      <c r="S292">
        <f t="shared" si="967"/>
        <v>3.6602947169355962</v>
      </c>
      <c r="T292">
        <f t="shared" si="968"/>
        <v>3.6602947169355961E-3</v>
      </c>
    </row>
    <row r="293" spans="1:20" x14ac:dyDescent="0.25">
      <c r="A293" s="5">
        <v>44300</v>
      </c>
      <c r="B293">
        <v>3.6164999999999998</v>
      </c>
      <c r="C293">
        <v>3.6189</v>
      </c>
      <c r="D293">
        <v>3.3043999999999998</v>
      </c>
      <c r="E293">
        <v>3.4451000000000001</v>
      </c>
      <c r="F293">
        <v>161954.41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-0.10524642289348064</v>
      </c>
      <c r="Q293">
        <f t="shared" si="965"/>
        <v>-17045.122324324151</v>
      </c>
      <c r="R293">
        <f t="shared" si="966"/>
        <v>285966.07723445666</v>
      </c>
      <c r="S293">
        <f t="shared" si="967"/>
        <v>2.8596607723445668</v>
      </c>
      <c r="T293">
        <f t="shared" si="968"/>
        <v>2.8596607723445668E-3</v>
      </c>
    </row>
    <row r="294" spans="1:20" x14ac:dyDescent="0.25">
      <c r="A294" s="5">
        <v>44299</v>
      </c>
      <c r="B294">
        <v>3.5617000000000001</v>
      </c>
      <c r="C294">
        <v>3.75</v>
      </c>
      <c r="D294">
        <v>3.5116000000000001</v>
      </c>
      <c r="E294">
        <v>3.6133000000000002</v>
      </c>
      <c r="F294">
        <v>195828.44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-0.14681208053691153</v>
      </c>
      <c r="Q294">
        <f t="shared" si="965"/>
        <v>-28749.980704697748</v>
      </c>
      <c r="R294">
        <f t="shared" si="966"/>
        <v>303011.19955878082</v>
      </c>
      <c r="S294">
        <f t="shared" si="967"/>
        <v>3.0301119955878084</v>
      </c>
      <c r="T294">
        <f t="shared" si="968"/>
        <v>3.0301119955878082E-3</v>
      </c>
    </row>
    <row r="295" spans="1:20" x14ac:dyDescent="0.25">
      <c r="A295" s="5">
        <v>44298</v>
      </c>
      <c r="B295">
        <v>3.8201999999999998</v>
      </c>
      <c r="C295">
        <v>3.8357000000000001</v>
      </c>
      <c r="D295">
        <v>3.4710999999999999</v>
      </c>
      <c r="E295">
        <v>3.5531000000000001</v>
      </c>
      <c r="F295">
        <v>127578.3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-0.55019199122325702</v>
      </c>
      <c r="Q295">
        <f t="shared" si="965"/>
        <v>-70192.558913878049</v>
      </c>
      <c r="R295">
        <f t="shared" si="966"/>
        <v>331761.18026347854</v>
      </c>
      <c r="S295">
        <f t="shared" si="967"/>
        <v>3.3176118026347856</v>
      </c>
      <c r="T295">
        <f t="shared" si="968"/>
        <v>3.3176118026347857E-3</v>
      </c>
    </row>
    <row r="296" spans="1:20" x14ac:dyDescent="0.25">
      <c r="A296" s="5">
        <v>44297</v>
      </c>
      <c r="B296">
        <v>3.4277000000000002</v>
      </c>
      <c r="C296">
        <v>3.8264999999999998</v>
      </c>
      <c r="D296">
        <v>3.4081999999999999</v>
      </c>
      <c r="E296">
        <v>3.8220999999999998</v>
      </c>
      <c r="F296">
        <v>153642.46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0.97896246712885504</v>
      </c>
      <c r="Q296">
        <f t="shared" si="965"/>
        <v>150410.20169734641</v>
      </c>
      <c r="R296">
        <f t="shared" si="966"/>
        <v>401953.73917735659</v>
      </c>
      <c r="S296">
        <f t="shared" si="967"/>
        <v>4.0195373917735662</v>
      </c>
      <c r="T296">
        <f t="shared" si="968"/>
        <v>4.019537391773566E-3</v>
      </c>
    </row>
    <row r="297" spans="1:20" x14ac:dyDescent="0.25">
      <c r="A297" s="5">
        <v>44296</v>
      </c>
      <c r="B297">
        <v>3.5004</v>
      </c>
      <c r="C297">
        <v>3.78</v>
      </c>
      <c r="D297">
        <v>3.3252999999999999</v>
      </c>
      <c r="E297">
        <v>3.4277000000000002</v>
      </c>
      <c r="F297">
        <v>248265.01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-0.54959313833296553</v>
      </c>
      <c r="Q297">
        <f t="shared" si="965"/>
        <v>-136444.74598416509</v>
      </c>
      <c r="R297">
        <f t="shared" si="966"/>
        <v>251543.53748001021</v>
      </c>
      <c r="S297">
        <f t="shared" si="967"/>
        <v>2.5154353748001022</v>
      </c>
      <c r="T297">
        <f t="shared" si="968"/>
        <v>2.5154353748001023E-3</v>
      </c>
    </row>
    <row r="298" spans="1:20" x14ac:dyDescent="0.25">
      <c r="A298" s="5">
        <v>44295</v>
      </c>
      <c r="B298">
        <v>3.2206000000000001</v>
      </c>
      <c r="C298">
        <v>3.7505000000000002</v>
      </c>
      <c r="D298">
        <v>3.2004999999999999</v>
      </c>
      <c r="E298">
        <v>3.5026000000000002</v>
      </c>
      <c r="F298">
        <v>623900.84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9.854545454545495E-2</v>
      </c>
      <c r="Q298">
        <f t="shared" si="965"/>
        <v>61482.591869091157</v>
      </c>
      <c r="R298">
        <f t="shared" si="966"/>
        <v>387988.2834641753</v>
      </c>
      <c r="S298">
        <f t="shared" si="967"/>
        <v>3.8798828346417529</v>
      </c>
      <c r="T298">
        <f t="shared" si="968"/>
        <v>3.8798828346417527E-3</v>
      </c>
    </row>
    <row r="299" spans="1:20" x14ac:dyDescent="0.25">
      <c r="A299" s="5">
        <v>44294</v>
      </c>
      <c r="B299">
        <v>2.8094000000000001</v>
      </c>
      <c r="C299">
        <v>4</v>
      </c>
      <c r="D299">
        <v>2.7553000000000001</v>
      </c>
      <c r="E299">
        <v>3.2239</v>
      </c>
      <c r="F299">
        <v>975346.28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-0.24704748132080029</v>
      </c>
      <c r="Q299">
        <f t="shared" si="965"/>
        <v>-240956.84188961206</v>
      </c>
      <c r="R299">
        <f t="shared" si="966"/>
        <v>326505.69159508415</v>
      </c>
      <c r="S299">
        <f t="shared" si="967"/>
        <v>3.2650569159508414</v>
      </c>
      <c r="T299">
        <f t="shared" si="968"/>
        <v>3.2650569159508413E-3</v>
      </c>
    </row>
    <row r="300" spans="1:20" x14ac:dyDescent="0.25">
      <c r="A300" s="5">
        <v>44293</v>
      </c>
      <c r="B300">
        <v>3.1097000000000001</v>
      </c>
      <c r="C300">
        <v>3.2441</v>
      </c>
      <c r="D300">
        <v>2.7322000000000002</v>
      </c>
      <c r="E300">
        <v>2.8028</v>
      </c>
      <c r="F300">
        <v>310457.40000000002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-0.72416487595233525</v>
      </c>
      <c r="Q300">
        <f t="shared" si="965"/>
        <v>-224822.34455948454</v>
      </c>
      <c r="R300">
        <f t="shared" si="966"/>
        <v>567462.53348469618</v>
      </c>
      <c r="S300">
        <f t="shared" si="967"/>
        <v>5.6746253348469615</v>
      </c>
      <c r="T300">
        <f t="shared" si="968"/>
        <v>5.6746253348469618E-3</v>
      </c>
    </row>
    <row r="301" spans="1:20" x14ac:dyDescent="0.25">
      <c r="A301" s="5">
        <v>44292</v>
      </c>
      <c r="B301">
        <v>2.9872999999999998</v>
      </c>
      <c r="C301">
        <v>3.1484000000000001</v>
      </c>
      <c r="D301">
        <v>2.8738999999999999</v>
      </c>
      <c r="E301">
        <v>3.0933000000000002</v>
      </c>
      <c r="F301">
        <v>302004.34999999998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0.59854280510018298</v>
      </c>
      <c r="Q301">
        <f t="shared" si="965"/>
        <v>180762.53080145744</v>
      </c>
      <c r="R301">
        <f t="shared" si="966"/>
        <v>792284.87804418069</v>
      </c>
      <c r="S301">
        <f t="shared" si="967"/>
        <v>7.9228487804418073</v>
      </c>
      <c r="T301">
        <f t="shared" si="968"/>
        <v>7.9228487804418081E-3</v>
      </c>
    </row>
    <row r="302" spans="1:20" x14ac:dyDescent="0.25">
      <c r="A302" s="5">
        <v>44291</v>
      </c>
      <c r="B302">
        <v>2.8166000000000002</v>
      </c>
      <c r="C302">
        <v>3.15</v>
      </c>
      <c r="D302">
        <v>2.7004000000000001</v>
      </c>
      <c r="E302">
        <v>2.9761000000000002</v>
      </c>
      <c r="F302">
        <v>330115.96999999997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0.22642348754448485</v>
      </c>
      <c r="Q302">
        <f t="shared" si="965"/>
        <v>74746.009221530534</v>
      </c>
      <c r="R302">
        <f t="shared" si="966"/>
        <v>611522.34724272322</v>
      </c>
      <c r="S302">
        <f t="shared" si="967"/>
        <v>6.1152234724272319</v>
      </c>
      <c r="T302">
        <f t="shared" si="968"/>
        <v>6.1152234724272322E-3</v>
      </c>
    </row>
    <row r="303" spans="1:20" x14ac:dyDescent="0.25">
      <c r="A303" s="5">
        <v>44290</v>
      </c>
      <c r="B303">
        <v>2.5754999999999999</v>
      </c>
      <c r="C303">
        <v>2.9</v>
      </c>
      <c r="D303">
        <v>2.5215000000000001</v>
      </c>
      <c r="E303">
        <v>2.8159999999999998</v>
      </c>
      <c r="F303">
        <v>157044.87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0.55614266842800475</v>
      </c>
      <c r="Q303">
        <f t="shared" si="965"/>
        <v>87339.353064729105</v>
      </c>
      <c r="R303">
        <f t="shared" si="966"/>
        <v>536776.3380211927</v>
      </c>
      <c r="S303">
        <f t="shared" si="967"/>
        <v>5.3677633802119269</v>
      </c>
      <c r="T303">
        <f t="shared" si="968"/>
        <v>5.3677633802119273E-3</v>
      </c>
    </row>
    <row r="304" spans="1:20" x14ac:dyDescent="0.25">
      <c r="A304" s="5">
        <v>44289</v>
      </c>
      <c r="B304">
        <v>2.8014000000000001</v>
      </c>
      <c r="C304">
        <v>2.8557000000000001</v>
      </c>
      <c r="D304">
        <v>2.5718999999999999</v>
      </c>
      <c r="E304">
        <v>2.5733000000000001</v>
      </c>
      <c r="F304">
        <v>160080.84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-0.99013389711063926</v>
      </c>
      <c r="Q304">
        <f t="shared" si="965"/>
        <v>-158501.46596194469</v>
      </c>
      <c r="R304">
        <f t="shared" si="966"/>
        <v>449436.98495646357</v>
      </c>
      <c r="S304">
        <f t="shared" si="967"/>
        <v>4.4943698495646354</v>
      </c>
      <c r="T304">
        <f t="shared" si="968"/>
        <v>4.4943698495646354E-3</v>
      </c>
    </row>
    <row r="305" spans="1:20" x14ac:dyDescent="0.25">
      <c r="A305" s="5">
        <v>44288</v>
      </c>
      <c r="B305">
        <v>2.7827999999999999</v>
      </c>
      <c r="C305">
        <v>2.8395999999999999</v>
      </c>
      <c r="D305">
        <v>2.7061000000000002</v>
      </c>
      <c r="E305">
        <v>2.8014999999999999</v>
      </c>
      <c r="F305">
        <v>144393.79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0.42921348314606594</v>
      </c>
      <c r="Q305">
        <f t="shared" si="965"/>
        <v>61975.76155056159</v>
      </c>
      <c r="R305">
        <f t="shared" si="966"/>
        <v>607938.45091840823</v>
      </c>
      <c r="S305">
        <f t="shared" si="967"/>
        <v>6.0793845091840826</v>
      </c>
      <c r="T305">
        <f t="shared" si="968"/>
        <v>6.0793845091840822E-3</v>
      </c>
    </row>
    <row r="306" spans="1:20" x14ac:dyDescent="0.25">
      <c r="A306" s="5">
        <v>44287</v>
      </c>
      <c r="B306">
        <v>2.6964000000000001</v>
      </c>
      <c r="C306">
        <v>2.8889</v>
      </c>
      <c r="D306">
        <v>2.6362000000000001</v>
      </c>
      <c r="E306">
        <v>2.7829999999999999</v>
      </c>
      <c r="F306">
        <v>163095.22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0.1618519984170943</v>
      </c>
      <c r="Q306">
        <f t="shared" si="965"/>
        <v>26397.287289275646</v>
      </c>
      <c r="R306">
        <f t="shared" si="966"/>
        <v>545962.68936784659</v>
      </c>
      <c r="S306">
        <f t="shared" si="967"/>
        <v>5.4596268936784655</v>
      </c>
      <c r="T306">
        <f t="shared" si="968"/>
        <v>5.4596268936784658E-3</v>
      </c>
    </row>
    <row r="307" spans="1:20" x14ac:dyDescent="0.25">
      <c r="A307" s="5">
        <v>44286</v>
      </c>
      <c r="B307">
        <v>2.859</v>
      </c>
      <c r="C307">
        <v>3.0990000000000002</v>
      </c>
      <c r="D307">
        <v>2.65</v>
      </c>
      <c r="E307">
        <v>2.6955</v>
      </c>
      <c r="F307">
        <v>253699.74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-0.79732739420935383</v>
      </c>
      <c r="Q307">
        <f t="shared" si="965"/>
        <v>-202281.75260579056</v>
      </c>
      <c r="R307">
        <f t="shared" si="966"/>
        <v>519565.40207857097</v>
      </c>
      <c r="S307">
        <f t="shared" si="967"/>
        <v>5.1956540207857094</v>
      </c>
      <c r="T307">
        <f t="shared" si="968"/>
        <v>5.1956540207857092E-3</v>
      </c>
    </row>
    <row r="308" spans="1:20" x14ac:dyDescent="0.25">
      <c r="A308" s="5">
        <v>44285</v>
      </c>
      <c r="B308">
        <v>2.9493</v>
      </c>
      <c r="C308">
        <v>3.1541000000000001</v>
      </c>
      <c r="D308">
        <v>2.8186</v>
      </c>
      <c r="E308">
        <v>2.8595999999999999</v>
      </c>
      <c r="F308">
        <v>208666.82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-0.75558867362146109</v>
      </c>
      <c r="Q308">
        <f t="shared" si="965"/>
        <v>-157666.28575260818</v>
      </c>
      <c r="R308">
        <f t="shared" si="966"/>
        <v>721847.15468436154</v>
      </c>
      <c r="S308">
        <f t="shared" si="967"/>
        <v>7.2184715468436149</v>
      </c>
      <c r="T308">
        <f t="shared" si="968"/>
        <v>7.2184715468436153E-3</v>
      </c>
    </row>
    <row r="309" spans="1:20" x14ac:dyDescent="0.25">
      <c r="A309" s="5">
        <v>44284</v>
      </c>
      <c r="B309">
        <v>2.6036999999999999</v>
      </c>
      <c r="C309">
        <v>2.95</v>
      </c>
      <c r="D309">
        <v>2.5619000000000001</v>
      </c>
      <c r="E309">
        <v>2.9489000000000001</v>
      </c>
      <c r="F309">
        <v>414717.72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0.99433135789744864</v>
      </c>
      <c r="Q309">
        <f t="shared" si="965"/>
        <v>412366.83367173385</v>
      </c>
      <c r="R309">
        <f t="shared" si="966"/>
        <v>879513.44043696974</v>
      </c>
      <c r="S309">
        <f t="shared" si="967"/>
        <v>8.7951344043696977</v>
      </c>
      <c r="T309">
        <f t="shared" si="968"/>
        <v>8.795134404369697E-3</v>
      </c>
    </row>
    <row r="310" spans="1:20" x14ac:dyDescent="0.25">
      <c r="A310" s="5">
        <v>44283</v>
      </c>
      <c r="B310">
        <v>2.4569999999999999</v>
      </c>
      <c r="C310">
        <v>2.6113</v>
      </c>
      <c r="D310">
        <v>2.3448000000000002</v>
      </c>
      <c r="E310">
        <v>2.5908000000000002</v>
      </c>
      <c r="F310">
        <v>253557.47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0.84615384615384792</v>
      </c>
      <c r="Q310">
        <f t="shared" si="965"/>
        <v>214548.6284615389</v>
      </c>
      <c r="R310">
        <f t="shared" si="966"/>
        <v>467146.60676523589</v>
      </c>
      <c r="S310">
        <f t="shared" si="967"/>
        <v>4.6714660676523589</v>
      </c>
      <c r="T310">
        <f t="shared" si="968"/>
        <v>4.6714660676523585E-3</v>
      </c>
    </row>
    <row r="311" spans="1:20" x14ac:dyDescent="0.25">
      <c r="A311" s="5">
        <v>44282</v>
      </c>
      <c r="B311">
        <v>2.4359000000000002</v>
      </c>
      <c r="C311">
        <v>2.6038999999999999</v>
      </c>
      <c r="D311">
        <v>2.3317999999999999</v>
      </c>
      <c r="E311">
        <v>2.4569999999999999</v>
      </c>
      <c r="F311">
        <v>166736.99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-7.9750091877986221E-2</v>
      </c>
      <c r="Q311">
        <f t="shared" si="965"/>
        <v>-13297.290271958869</v>
      </c>
      <c r="R311">
        <f t="shared" si="966"/>
        <v>252597.97830369702</v>
      </c>
      <c r="S311">
        <f t="shared" si="967"/>
        <v>2.5259797830369703</v>
      </c>
      <c r="T311">
        <f t="shared" si="968"/>
        <v>2.5259797830369701E-3</v>
      </c>
    </row>
    <row r="312" spans="1:20" x14ac:dyDescent="0.25">
      <c r="A312" s="5">
        <v>44281</v>
      </c>
      <c r="B312">
        <v>2.2364000000000002</v>
      </c>
      <c r="C312">
        <v>2.4449000000000001</v>
      </c>
      <c r="D312">
        <v>2.2364000000000002</v>
      </c>
      <c r="E312">
        <v>2.4178000000000002</v>
      </c>
      <c r="F312">
        <v>98257.05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0.7400479616306963</v>
      </c>
      <c r="Q312">
        <f t="shared" si="965"/>
        <v>72714.929568345411</v>
      </c>
      <c r="R312">
        <f t="shared" si="966"/>
        <v>265895.26857565588</v>
      </c>
      <c r="S312">
        <f t="shared" si="967"/>
        <v>2.6589526857565589</v>
      </c>
      <c r="T312">
        <f t="shared" si="968"/>
        <v>2.6589526857565588E-3</v>
      </c>
    </row>
    <row r="313" spans="1:20" x14ac:dyDescent="0.25">
      <c r="A313" s="5">
        <v>44280</v>
      </c>
      <c r="B313">
        <v>2.2972999999999999</v>
      </c>
      <c r="C313">
        <v>2.359</v>
      </c>
      <c r="D313">
        <v>2.1499000000000001</v>
      </c>
      <c r="E313">
        <v>2.2429000000000001</v>
      </c>
      <c r="F313">
        <v>218290.27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-0.11047345767575283</v>
      </c>
      <c r="Q313">
        <f t="shared" si="965"/>
        <v>-24115.280903873656</v>
      </c>
      <c r="R313">
        <f t="shared" si="966"/>
        <v>193180.33900731048</v>
      </c>
      <c r="S313">
        <f t="shared" si="967"/>
        <v>1.9318033900731049</v>
      </c>
      <c r="T313">
        <f t="shared" si="968"/>
        <v>1.9318033900731048E-3</v>
      </c>
    </row>
    <row r="314" spans="1:20" x14ac:dyDescent="0.25">
      <c r="A314" s="5">
        <v>44279</v>
      </c>
      <c r="B314">
        <v>2.58</v>
      </c>
      <c r="C314">
        <v>2.6802000000000001</v>
      </c>
      <c r="D314">
        <v>2.2799999999999998</v>
      </c>
      <c r="E314">
        <v>2.3119999999999998</v>
      </c>
      <c r="F314">
        <v>283648.53000000003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-0.84007996001998997</v>
      </c>
      <c r="Q314">
        <f t="shared" si="965"/>
        <v>-238287.44574212894</v>
      </c>
      <c r="R314">
        <f t="shared" si="966"/>
        <v>217295.61991118413</v>
      </c>
      <c r="S314">
        <f t="shared" si="967"/>
        <v>2.1729561991118413</v>
      </c>
      <c r="T314">
        <f t="shared" si="968"/>
        <v>2.1729561991118414E-3</v>
      </c>
    </row>
    <row r="315" spans="1:20" x14ac:dyDescent="0.25">
      <c r="A315" s="5">
        <v>44278</v>
      </c>
      <c r="B315">
        <v>2.5903</v>
      </c>
      <c r="C315">
        <v>2.6852</v>
      </c>
      <c r="D315">
        <v>2.4432</v>
      </c>
      <c r="E315">
        <v>2.5779000000000001</v>
      </c>
      <c r="F315">
        <v>170498.95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0.11322314049586815</v>
      </c>
      <c r="Q315">
        <f t="shared" si="965"/>
        <v>19304.426570248001</v>
      </c>
      <c r="R315">
        <f t="shared" si="966"/>
        <v>455583.06565331307</v>
      </c>
      <c r="S315">
        <f t="shared" si="967"/>
        <v>4.5558306565331304</v>
      </c>
      <c r="T315">
        <f t="shared" si="968"/>
        <v>4.5558306565331302E-3</v>
      </c>
    </row>
    <row r="316" spans="1:20" x14ac:dyDescent="0.25">
      <c r="A316" s="5">
        <v>44277</v>
      </c>
      <c r="B316">
        <v>2.9182000000000001</v>
      </c>
      <c r="C316">
        <v>2.992</v>
      </c>
      <c r="D316">
        <v>2.5766</v>
      </c>
      <c r="E316">
        <v>2.5901999999999998</v>
      </c>
      <c r="F316">
        <v>217500.55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-0.93452094366875382</v>
      </c>
      <c r="Q316">
        <f t="shared" si="965"/>
        <v>-203258.81923447296</v>
      </c>
      <c r="R316">
        <f t="shared" si="966"/>
        <v>436278.63908306509</v>
      </c>
      <c r="S316">
        <f t="shared" si="967"/>
        <v>4.3627863908306512</v>
      </c>
      <c r="T316">
        <f t="shared" si="968"/>
        <v>4.3627863908306513E-3</v>
      </c>
    </row>
    <row r="317" spans="1:20" x14ac:dyDescent="0.25">
      <c r="A317" s="5">
        <v>44276</v>
      </c>
      <c r="B317">
        <v>3.0482</v>
      </c>
      <c r="C317">
        <v>3.1</v>
      </c>
      <c r="D317">
        <v>2.8418999999999999</v>
      </c>
      <c r="E317">
        <v>2.9434999999999998</v>
      </c>
      <c r="F317">
        <v>184094.52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-0.21270825261526674</v>
      </c>
      <c r="Q317">
        <f t="shared" si="965"/>
        <v>-39158.423665246271</v>
      </c>
      <c r="R317">
        <f t="shared" si="966"/>
        <v>639537.45831753802</v>
      </c>
      <c r="S317">
        <f t="shared" si="967"/>
        <v>6.3953745831753803</v>
      </c>
      <c r="T317">
        <f t="shared" si="968"/>
        <v>6.3953745831753801E-3</v>
      </c>
    </row>
    <row r="318" spans="1:20" x14ac:dyDescent="0.25">
      <c r="A318" s="5">
        <v>44275</v>
      </c>
      <c r="B318">
        <v>3.1959</v>
      </c>
      <c r="C318">
        <v>3.3330000000000002</v>
      </c>
      <c r="D318">
        <v>3.0438999999999998</v>
      </c>
      <c r="E318">
        <v>3.0583</v>
      </c>
      <c r="F318">
        <v>244737.44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-0.90038049117952146</v>
      </c>
      <c r="Q318">
        <f t="shared" si="965"/>
        <v>-220356.81643721866</v>
      </c>
      <c r="R318">
        <f t="shared" si="966"/>
        <v>678695.88198278425</v>
      </c>
      <c r="S318">
        <f t="shared" si="967"/>
        <v>6.7869588198278423</v>
      </c>
      <c r="T318">
        <f t="shared" si="968"/>
        <v>6.786958819827842E-3</v>
      </c>
    </row>
    <row r="319" spans="1:20" x14ac:dyDescent="0.25">
      <c r="A319" s="5">
        <v>44274</v>
      </c>
      <c r="B319">
        <v>2.8365</v>
      </c>
      <c r="C319">
        <v>3.2298</v>
      </c>
      <c r="D319">
        <v>2.77</v>
      </c>
      <c r="E319">
        <v>3.1747000000000001</v>
      </c>
      <c r="F319">
        <v>348272.81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0.76033057851239705</v>
      </c>
      <c r="Q319">
        <f t="shared" si="965"/>
        <v>264802.46710743813</v>
      </c>
      <c r="R319">
        <f t="shared" si="966"/>
        <v>899052.69842000294</v>
      </c>
      <c r="S319">
        <f t="shared" si="967"/>
        <v>8.990526984200029</v>
      </c>
      <c r="T319">
        <f t="shared" si="968"/>
        <v>8.9905269842000292E-3</v>
      </c>
    </row>
    <row r="320" spans="1:20" x14ac:dyDescent="0.25">
      <c r="A320" s="5">
        <v>44273</v>
      </c>
      <c r="B320">
        <v>2.8641000000000001</v>
      </c>
      <c r="C320">
        <v>2.92</v>
      </c>
      <c r="D320">
        <v>2.7</v>
      </c>
      <c r="E320">
        <v>2.8365</v>
      </c>
      <c r="F320">
        <v>207767.57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0.24090909090909088</v>
      </c>
      <c r="Q320">
        <f t="shared" si="965"/>
        <v>50053.096409090904</v>
      </c>
      <c r="R320">
        <f t="shared" si="966"/>
        <v>634250.23131256481</v>
      </c>
      <c r="S320">
        <f t="shared" si="967"/>
        <v>6.3425023131256477</v>
      </c>
      <c r="T320">
        <f t="shared" si="968"/>
        <v>6.3425023131256477E-3</v>
      </c>
    </row>
    <row r="321" spans="1:20" x14ac:dyDescent="0.25">
      <c r="A321" s="5">
        <v>44272</v>
      </c>
      <c r="B321">
        <v>2.7709999999999999</v>
      </c>
      <c r="C321">
        <v>2.9323999999999999</v>
      </c>
      <c r="D321">
        <v>2.6507000000000001</v>
      </c>
      <c r="E321">
        <v>2.8641000000000001</v>
      </c>
      <c r="F321">
        <v>261044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0.51508697195598263</v>
      </c>
      <c r="Q321">
        <f t="shared" si="965"/>
        <v>134460.36350727754</v>
      </c>
      <c r="R321">
        <f t="shared" si="966"/>
        <v>584197.1349034739</v>
      </c>
      <c r="S321">
        <f t="shared" si="967"/>
        <v>5.8419713490347389</v>
      </c>
      <c r="T321">
        <f t="shared" si="968"/>
        <v>5.8419713490347391E-3</v>
      </c>
    </row>
    <row r="322" spans="1:20" x14ac:dyDescent="0.25">
      <c r="A322" s="5">
        <v>44271</v>
      </c>
      <c r="B322">
        <v>2.5106999999999999</v>
      </c>
      <c r="C322">
        <v>2.85</v>
      </c>
      <c r="D322">
        <v>2.3382000000000001</v>
      </c>
      <c r="E322">
        <v>2.7711999999999999</v>
      </c>
      <c r="F322">
        <v>288443.03999999998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0.69206721375537239</v>
      </c>
      <c r="Q322">
        <f t="shared" si="965"/>
        <v>199621.97101992942</v>
      </c>
      <c r="R322">
        <f t="shared" si="966"/>
        <v>449736.77139619633</v>
      </c>
      <c r="S322">
        <f t="shared" si="967"/>
        <v>4.497367713961963</v>
      </c>
      <c r="T322">
        <f t="shared" si="968"/>
        <v>4.4973677139619628E-3</v>
      </c>
    </row>
    <row r="323" spans="1:20" x14ac:dyDescent="0.25">
      <c r="A323" s="5">
        <v>44270</v>
      </c>
      <c r="B323">
        <v>2.6027</v>
      </c>
      <c r="C323">
        <v>2.7197</v>
      </c>
      <c r="D323">
        <v>2.3908</v>
      </c>
      <c r="E323">
        <v>2.5594000000000001</v>
      </c>
      <c r="F323">
        <v>449485.48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2.5235633931286704E-2</v>
      </c>
      <c r="Q323">
        <f t="shared" si="965"/>
        <v>11343.051030708692</v>
      </c>
      <c r="R323">
        <f t="shared" si="966"/>
        <v>250114.80037626691</v>
      </c>
      <c r="S323">
        <f t="shared" si="967"/>
        <v>2.501148003762669</v>
      </c>
      <c r="T323">
        <f t="shared" si="968"/>
        <v>2.5011480037626689E-3</v>
      </c>
    </row>
    <row r="324" spans="1:20" x14ac:dyDescent="0.25">
      <c r="A324" s="5">
        <v>44269</v>
      </c>
      <c r="B324">
        <v>2.5617999999999999</v>
      </c>
      <c r="C324">
        <v>2.7</v>
      </c>
      <c r="D324">
        <v>2.4001999999999999</v>
      </c>
      <c r="E324">
        <v>2.5834000000000001</v>
      </c>
      <c r="F324">
        <v>329425.83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0.22214809873248884</v>
      </c>
      <c r="Q324">
        <f t="shared" si="965"/>
        <v>73181.321807872082</v>
      </c>
      <c r="R324">
        <f t="shared" si="966"/>
        <v>238771.74934555823</v>
      </c>
      <c r="S324">
        <f t="shared" si="967"/>
        <v>2.3877174934555825</v>
      </c>
      <c r="T324">
        <f t="shared" si="968"/>
        <v>2.3877174934555825E-3</v>
      </c>
    </row>
    <row r="325" spans="1:20" x14ac:dyDescent="0.25">
      <c r="A325" s="5">
        <v>44268</v>
      </c>
      <c r="B325">
        <v>2.3176999999999999</v>
      </c>
      <c r="C325">
        <v>2.7</v>
      </c>
      <c r="D325">
        <v>2.2574000000000001</v>
      </c>
      <c r="E325">
        <v>2.5598999999999998</v>
      </c>
      <c r="F325">
        <v>328401.78000000003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0.36692272932670444</v>
      </c>
      <c r="Q325">
        <f t="shared" si="965"/>
        <v>120498.07743334795</v>
      </c>
      <c r="R325">
        <f t="shared" si="966"/>
        <v>165590.42753768613</v>
      </c>
      <c r="S325">
        <f t="shared" si="967"/>
        <v>1.6559042753768614</v>
      </c>
      <c r="T325">
        <f t="shared" si="968"/>
        <v>1.6559042753768614E-3</v>
      </c>
    </row>
    <row r="326" spans="1:20" x14ac:dyDescent="0.25">
      <c r="A326" s="5">
        <v>44267</v>
      </c>
      <c r="B326">
        <v>2.2503000000000002</v>
      </c>
      <c r="C326">
        <v>2.5</v>
      </c>
      <c r="D326">
        <v>2.1642999999999999</v>
      </c>
      <c r="E326">
        <v>2.2919999999999998</v>
      </c>
      <c r="F326">
        <v>303112.81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-0.23920166815609245</v>
      </c>
      <c r="Q326">
        <f t="shared" ref="Q326:Q389" si="970">F326*P326</f>
        <v>-72505.089791480699</v>
      </c>
      <c r="R326">
        <f t="shared" ref="R326:R389" si="971">R327+Q326</f>
        <v>45092.350104338198</v>
      </c>
      <c r="S326">
        <f t="shared" ref="S326:S389" si="972">R326/100000</f>
        <v>0.45092350104338197</v>
      </c>
      <c r="T326">
        <f t="shared" ref="T326:T389" si="973">S326/1000</f>
        <v>4.5092350104338196E-4</v>
      </c>
    </row>
    <row r="327" spans="1:20" x14ac:dyDescent="0.25">
      <c r="A327" s="5">
        <v>44266</v>
      </c>
      <c r="B327">
        <v>2.2174</v>
      </c>
      <c r="C327">
        <v>2.3475000000000001</v>
      </c>
      <c r="D327">
        <v>2.19</v>
      </c>
      <c r="E327">
        <v>2.2679999999999998</v>
      </c>
      <c r="F327">
        <v>216399.88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-9.5238095238126923E-3</v>
      </c>
      <c r="Q327">
        <f t="shared" si="970"/>
        <v>-2060.9512380959236</v>
      </c>
      <c r="R327">
        <f t="shared" si="971"/>
        <v>117597.4398958189</v>
      </c>
      <c r="S327">
        <f t="shared" si="972"/>
        <v>1.175974398958189</v>
      </c>
      <c r="T327">
        <f t="shared" si="973"/>
        <v>1.175974398958189E-3</v>
      </c>
    </row>
    <row r="328" spans="1:20" x14ac:dyDescent="0.25">
      <c r="A328" s="5">
        <v>44265</v>
      </c>
      <c r="B328">
        <v>2.5377000000000001</v>
      </c>
      <c r="C328">
        <v>2.5499999999999998</v>
      </c>
      <c r="D328">
        <v>2.2151999999999998</v>
      </c>
      <c r="E328">
        <v>2.2166000000000001</v>
      </c>
      <c r="F328">
        <v>288336.84000000003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-0.99163679808840921</v>
      </c>
      <c r="Q328">
        <f t="shared" si="970"/>
        <v>-285925.42078852997</v>
      </c>
      <c r="R328">
        <f t="shared" si="971"/>
        <v>119658.39113391482</v>
      </c>
      <c r="S328">
        <f t="shared" si="972"/>
        <v>1.1965839113391481</v>
      </c>
      <c r="T328">
        <f t="shared" si="973"/>
        <v>1.196583911339148E-3</v>
      </c>
    </row>
    <row r="329" spans="1:20" x14ac:dyDescent="0.25">
      <c r="A329" s="5">
        <v>44264</v>
      </c>
      <c r="B329">
        <v>2.2749999999999999</v>
      </c>
      <c r="C329">
        <v>2.54</v>
      </c>
      <c r="D329">
        <v>2.2201</v>
      </c>
      <c r="E329">
        <v>2.5190999999999999</v>
      </c>
      <c r="F329">
        <v>389451.98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0.86933416692716392</v>
      </c>
      <c r="Q329">
        <f t="shared" si="970"/>
        <v>338563.91259143449</v>
      </c>
      <c r="R329">
        <f t="shared" si="971"/>
        <v>405583.81192244479</v>
      </c>
      <c r="S329">
        <f t="shared" si="972"/>
        <v>4.0558381192244477</v>
      </c>
      <c r="T329">
        <f t="shared" si="973"/>
        <v>4.055838119224448E-3</v>
      </c>
    </row>
    <row r="330" spans="1:20" x14ac:dyDescent="0.25">
      <c r="A330" s="5">
        <v>44263</v>
      </c>
      <c r="B330">
        <v>2.3115999999999999</v>
      </c>
      <c r="C330">
        <v>2.3481000000000001</v>
      </c>
      <c r="D330">
        <v>2.1101999999999999</v>
      </c>
      <c r="E330">
        <v>2.2749999999999999</v>
      </c>
      <c r="F330">
        <v>153585.32999999999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0.38545607398066334</v>
      </c>
      <c r="Q330">
        <f t="shared" si="970"/>
        <v>59200.398322824585</v>
      </c>
      <c r="R330">
        <f t="shared" si="971"/>
        <v>67019.899331010296</v>
      </c>
      <c r="S330">
        <f t="shared" si="972"/>
        <v>0.67019899331010291</v>
      </c>
      <c r="T330">
        <f t="shared" si="973"/>
        <v>6.7019899331010289E-4</v>
      </c>
    </row>
    <row r="331" spans="1:20" x14ac:dyDescent="0.25">
      <c r="A331" s="5">
        <v>44262</v>
      </c>
      <c r="B331">
        <v>2.1732</v>
      </c>
      <c r="C331">
        <v>2.33</v>
      </c>
      <c r="D331">
        <v>2.1105999999999998</v>
      </c>
      <c r="E331">
        <v>2.3115999999999999</v>
      </c>
      <c r="F331">
        <v>154751.48000000001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0.8322698268003631</v>
      </c>
      <c r="Q331">
        <f t="shared" si="970"/>
        <v>128794.98745669986</v>
      </c>
      <c r="R331">
        <f t="shared" si="971"/>
        <v>7819.5010081857035</v>
      </c>
      <c r="S331">
        <f t="shared" si="972"/>
        <v>7.819501008185703E-2</v>
      </c>
      <c r="T331">
        <f t="shared" si="973"/>
        <v>7.8195010081857027E-5</v>
      </c>
    </row>
    <row r="332" spans="1:20" x14ac:dyDescent="0.25">
      <c r="A332" s="5">
        <v>44261</v>
      </c>
      <c r="B332">
        <v>2.1562999999999999</v>
      </c>
      <c r="C332">
        <v>2.2736000000000001</v>
      </c>
      <c r="D332">
        <v>2.0501</v>
      </c>
      <c r="E332">
        <v>2.1749000000000001</v>
      </c>
      <c r="F332">
        <v>117434.55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0.11677852348993292</v>
      </c>
      <c r="Q332">
        <f t="shared" si="970"/>
        <v>13713.833355704703</v>
      </c>
      <c r="R332">
        <f t="shared" si="971"/>
        <v>-120975.48644851416</v>
      </c>
      <c r="S332">
        <f t="shared" si="972"/>
        <v>-1.2097548644851417</v>
      </c>
      <c r="T332">
        <f t="shared" si="973"/>
        <v>-1.2097548644851416E-3</v>
      </c>
    </row>
    <row r="333" spans="1:20" x14ac:dyDescent="0.25">
      <c r="A333" s="5">
        <v>44260</v>
      </c>
      <c r="B333">
        <v>2.1676000000000002</v>
      </c>
      <c r="C333">
        <v>2.21</v>
      </c>
      <c r="D333">
        <v>2.0204</v>
      </c>
      <c r="E333">
        <v>2.1492</v>
      </c>
      <c r="F333">
        <v>150194.07999999999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0.3586497890295362</v>
      </c>
      <c r="Q333">
        <f t="shared" si="970"/>
        <v>53867.075105485281</v>
      </c>
      <c r="R333">
        <f t="shared" si="971"/>
        <v>-134689.31980421886</v>
      </c>
      <c r="S333">
        <f t="shared" si="972"/>
        <v>-1.3468931980421885</v>
      </c>
      <c r="T333">
        <f t="shared" si="973"/>
        <v>-1.3468931980421886E-3</v>
      </c>
    </row>
    <row r="334" spans="1:20" x14ac:dyDescent="0.25">
      <c r="A334" s="5">
        <v>44259</v>
      </c>
      <c r="B334">
        <v>2.3898999999999999</v>
      </c>
      <c r="C334">
        <v>2.4386999999999999</v>
      </c>
      <c r="D334">
        <v>2.0653000000000001</v>
      </c>
      <c r="E334">
        <v>2.1827000000000001</v>
      </c>
      <c r="F334">
        <v>218405.25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-0.37118371719335813</v>
      </c>
      <c r="Q334">
        <f t="shared" si="970"/>
        <v>-81068.472549544676</v>
      </c>
      <c r="R334">
        <f t="shared" si="971"/>
        <v>-188556.39490970413</v>
      </c>
      <c r="S334">
        <f t="shared" si="972"/>
        <v>-1.8855639490970413</v>
      </c>
      <c r="T334">
        <f t="shared" si="973"/>
        <v>-1.8855639490970412E-3</v>
      </c>
    </row>
    <row r="335" spans="1:20" x14ac:dyDescent="0.25">
      <c r="A335" s="5">
        <v>44258</v>
      </c>
      <c r="B335">
        <v>2.1400999999999999</v>
      </c>
      <c r="C335">
        <v>2.4384000000000001</v>
      </c>
      <c r="D335">
        <v>2.0981999999999998</v>
      </c>
      <c r="E335">
        <v>2.3698999999999999</v>
      </c>
      <c r="F335">
        <v>179890.26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0.59729570840681856</v>
      </c>
      <c r="Q335">
        <f t="shared" si="970"/>
        <v>107447.68028218678</v>
      </c>
      <c r="R335">
        <f t="shared" si="971"/>
        <v>-107487.92236015946</v>
      </c>
      <c r="S335">
        <f t="shared" si="972"/>
        <v>-1.0748792236015945</v>
      </c>
      <c r="T335">
        <f t="shared" si="973"/>
        <v>-1.0748792236015944E-3</v>
      </c>
    </row>
    <row r="336" spans="1:20" x14ac:dyDescent="0.25">
      <c r="A336" s="5">
        <v>44257</v>
      </c>
      <c r="B336">
        <v>2.2502</v>
      </c>
      <c r="C336">
        <v>2.2898999999999998</v>
      </c>
      <c r="D336">
        <v>2.0699999999999998</v>
      </c>
      <c r="E336">
        <v>2.1499000000000001</v>
      </c>
      <c r="F336">
        <v>247281.18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-0.27330604820372617</v>
      </c>
      <c r="Q336">
        <f t="shared" si="970"/>
        <v>-67583.442100954286</v>
      </c>
      <c r="R336">
        <f t="shared" si="971"/>
        <v>-214935.60264234623</v>
      </c>
      <c r="S336">
        <f t="shared" si="972"/>
        <v>-2.1493560264234621</v>
      </c>
      <c r="T336">
        <f t="shared" si="973"/>
        <v>-2.1493560264234622E-3</v>
      </c>
    </row>
    <row r="337" spans="1:20" x14ac:dyDescent="0.25">
      <c r="A337" s="5">
        <v>44256</v>
      </c>
      <c r="B337">
        <v>2.109</v>
      </c>
      <c r="C337">
        <v>2.3871000000000002</v>
      </c>
      <c r="D337">
        <v>2.1089000000000002</v>
      </c>
      <c r="E337">
        <v>2.2595000000000001</v>
      </c>
      <c r="F337">
        <v>192073.59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8.2674335010782488E-2</v>
      </c>
      <c r="Q337">
        <f t="shared" si="970"/>
        <v>15879.556326383681</v>
      </c>
      <c r="R337">
        <f t="shared" si="971"/>
        <v>-147352.16054139193</v>
      </c>
      <c r="S337">
        <f t="shared" si="972"/>
        <v>-1.4735216054139193</v>
      </c>
      <c r="T337">
        <f t="shared" si="973"/>
        <v>-1.4735216054139193E-3</v>
      </c>
    </row>
    <row r="338" spans="1:20" x14ac:dyDescent="0.25">
      <c r="A338" s="5">
        <v>44255</v>
      </c>
      <c r="B338">
        <v>2.3119999999999998</v>
      </c>
      <c r="C338">
        <v>2.3121999999999998</v>
      </c>
      <c r="D338">
        <v>1.9308000000000001</v>
      </c>
      <c r="E338">
        <v>2.1089000000000002</v>
      </c>
      <c r="F338">
        <v>175863.66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-6.6072364971157482E-2</v>
      </c>
      <c r="Q338">
        <f t="shared" si="970"/>
        <v>-11619.727928683549</v>
      </c>
      <c r="R338">
        <f t="shared" si="971"/>
        <v>-163231.7168677756</v>
      </c>
      <c r="S338">
        <f t="shared" si="972"/>
        <v>-1.632317168677756</v>
      </c>
      <c r="T338">
        <f t="shared" si="973"/>
        <v>-1.6323171686777561E-3</v>
      </c>
    </row>
    <row r="339" spans="1:20" x14ac:dyDescent="0.25">
      <c r="A339" s="5">
        <v>44254</v>
      </c>
      <c r="B339">
        <v>2.3321000000000001</v>
      </c>
      <c r="C339">
        <v>2.5295999999999998</v>
      </c>
      <c r="D339">
        <v>2.2978999999999998</v>
      </c>
      <c r="E339">
        <v>2.3121999999999998</v>
      </c>
      <c r="F339">
        <v>201568.91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-0.87656452309020305</v>
      </c>
      <c r="Q339">
        <f t="shared" si="970"/>
        <v>-176688.15546396206</v>
      </c>
      <c r="R339">
        <f t="shared" si="971"/>
        <v>-151611.98893909206</v>
      </c>
      <c r="S339">
        <f t="shared" si="972"/>
        <v>-1.5161198893909207</v>
      </c>
      <c r="T339">
        <f t="shared" si="973"/>
        <v>-1.5161198893909207E-3</v>
      </c>
    </row>
    <row r="340" spans="1:20" x14ac:dyDescent="0.25">
      <c r="A340" s="5">
        <v>44253</v>
      </c>
      <c r="B340">
        <v>2.4001999999999999</v>
      </c>
      <c r="C340">
        <v>2.8557000000000001</v>
      </c>
      <c r="D340">
        <v>2.2153</v>
      </c>
      <c r="E340">
        <v>2.3321000000000001</v>
      </c>
      <c r="F340">
        <v>161129.15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-0.63522798251093071</v>
      </c>
      <c r="Q340">
        <f t="shared" si="970"/>
        <v>-102353.74487820113</v>
      </c>
      <c r="R340">
        <f t="shared" si="971"/>
        <v>25076.166524870001</v>
      </c>
      <c r="S340">
        <f t="shared" si="972"/>
        <v>0.25076166524870003</v>
      </c>
      <c r="T340">
        <f t="shared" si="973"/>
        <v>2.5076166524870005E-4</v>
      </c>
    </row>
    <row r="341" spans="1:20" x14ac:dyDescent="0.25">
      <c r="A341" s="5">
        <v>44252</v>
      </c>
      <c r="B341">
        <v>2.6246999999999998</v>
      </c>
      <c r="C341">
        <v>2.76</v>
      </c>
      <c r="D341">
        <v>2.3936999999999999</v>
      </c>
      <c r="E341">
        <v>2.4001999999999999</v>
      </c>
      <c r="F341">
        <v>134697.37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-0.96450996450996473</v>
      </c>
      <c r="Q341">
        <f t="shared" si="970"/>
        <v>-129916.95555828558</v>
      </c>
      <c r="R341">
        <f t="shared" si="971"/>
        <v>127429.91140307114</v>
      </c>
      <c r="S341">
        <f t="shared" si="972"/>
        <v>1.2742991140307114</v>
      </c>
      <c r="T341">
        <f t="shared" si="973"/>
        <v>1.2742991140307113E-3</v>
      </c>
    </row>
    <row r="342" spans="1:20" x14ac:dyDescent="0.25">
      <c r="A342" s="5">
        <v>44251</v>
      </c>
      <c r="B342">
        <v>2.5308000000000002</v>
      </c>
      <c r="C342">
        <v>2.8875999999999999</v>
      </c>
      <c r="D342">
        <v>2.4236</v>
      </c>
      <c r="E342">
        <v>2.6246999999999998</v>
      </c>
      <c r="F342">
        <v>279275.39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-0.13318965517241443</v>
      </c>
      <c r="Q342">
        <f t="shared" si="970"/>
        <v>-37196.592892241562</v>
      </c>
      <c r="R342">
        <f t="shared" si="971"/>
        <v>257346.86696135672</v>
      </c>
      <c r="S342">
        <f t="shared" si="972"/>
        <v>2.5734686696135674</v>
      </c>
      <c r="T342">
        <f t="shared" si="973"/>
        <v>2.5734686696135675E-3</v>
      </c>
    </row>
    <row r="343" spans="1:20" x14ac:dyDescent="0.25">
      <c r="A343" s="5">
        <v>44250</v>
      </c>
      <c r="B343">
        <v>3.2877000000000001</v>
      </c>
      <c r="C343">
        <v>3.3058000000000001</v>
      </c>
      <c r="D343">
        <v>2.0709</v>
      </c>
      <c r="E343">
        <v>2.5308000000000002</v>
      </c>
      <c r="F343">
        <v>372801.96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-0.25516236132480336</v>
      </c>
      <c r="Q343">
        <f t="shared" si="970"/>
        <v>-95125.02842011489</v>
      </c>
      <c r="R343">
        <f t="shared" si="971"/>
        <v>294543.45985359827</v>
      </c>
      <c r="S343">
        <f t="shared" si="972"/>
        <v>2.9454345985359827</v>
      </c>
      <c r="T343">
        <f t="shared" si="973"/>
        <v>2.9454345985359827E-3</v>
      </c>
    </row>
    <row r="344" spans="1:20" x14ac:dyDescent="0.25">
      <c r="A344" s="5">
        <v>44249</v>
      </c>
      <c r="B344">
        <v>3.6</v>
      </c>
      <c r="C344">
        <v>3.6446999999999998</v>
      </c>
      <c r="D344">
        <v>2.9</v>
      </c>
      <c r="E344">
        <v>3.2385000000000002</v>
      </c>
      <c r="F344">
        <v>316720.32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-9.0909090909090148E-2</v>
      </c>
      <c r="Q344">
        <f t="shared" si="970"/>
        <v>-28792.756363636123</v>
      </c>
      <c r="R344">
        <f t="shared" si="971"/>
        <v>389668.48827371316</v>
      </c>
      <c r="S344">
        <f t="shared" si="972"/>
        <v>3.8966848827371314</v>
      </c>
      <c r="T344">
        <f t="shared" si="973"/>
        <v>3.8966848827371313E-3</v>
      </c>
    </row>
    <row r="345" spans="1:20" x14ac:dyDescent="0.25">
      <c r="A345" s="5">
        <v>44248</v>
      </c>
      <c r="B345">
        <v>3.7195</v>
      </c>
      <c r="C345">
        <v>3.7997999999999998</v>
      </c>
      <c r="D345">
        <v>3.5628000000000002</v>
      </c>
      <c r="E345">
        <v>3.6116999999999999</v>
      </c>
      <c r="F345">
        <v>179405.7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-0.58734177215190053</v>
      </c>
      <c r="Q345">
        <f t="shared" si="970"/>
        <v>-105372.46177215222</v>
      </c>
      <c r="R345">
        <f t="shared" si="971"/>
        <v>418461.24463734927</v>
      </c>
      <c r="S345">
        <f t="shared" si="972"/>
        <v>4.1846124463734924</v>
      </c>
      <c r="T345">
        <f t="shared" si="973"/>
        <v>4.1846124463734927E-3</v>
      </c>
    </row>
    <row r="346" spans="1:20" x14ac:dyDescent="0.25">
      <c r="A346" s="5">
        <v>44247</v>
      </c>
      <c r="B346">
        <v>3.9001000000000001</v>
      </c>
      <c r="C346">
        <v>4.1657999999999999</v>
      </c>
      <c r="D346">
        <v>3.56</v>
      </c>
      <c r="E346">
        <v>3.7452999999999999</v>
      </c>
      <c r="F346">
        <v>336649.25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-0.3882469461868609</v>
      </c>
      <c r="Q346">
        <f t="shared" si="970"/>
        <v>-130703.04324859708</v>
      </c>
      <c r="R346">
        <f t="shared" si="971"/>
        <v>523833.70640950149</v>
      </c>
      <c r="S346">
        <f t="shared" si="972"/>
        <v>5.2383370640950151</v>
      </c>
      <c r="T346">
        <f t="shared" si="973"/>
        <v>5.2383370640950149E-3</v>
      </c>
    </row>
    <row r="347" spans="1:20" x14ac:dyDescent="0.25">
      <c r="A347" s="5">
        <v>44246</v>
      </c>
      <c r="B347">
        <v>4.2633999999999999</v>
      </c>
      <c r="C347">
        <v>4.2656000000000001</v>
      </c>
      <c r="D347">
        <v>3.73</v>
      </c>
      <c r="E347">
        <v>3.9</v>
      </c>
      <c r="F347">
        <v>445100.5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-0.36519790888722964</v>
      </c>
      <c r="Q347">
        <f t="shared" si="970"/>
        <v>-162549.77184466037</v>
      </c>
      <c r="R347">
        <f t="shared" si="971"/>
        <v>654536.74965809856</v>
      </c>
      <c r="S347">
        <f t="shared" si="972"/>
        <v>6.5453674965809858</v>
      </c>
      <c r="T347">
        <f t="shared" si="973"/>
        <v>6.5453674965809863E-3</v>
      </c>
    </row>
    <row r="348" spans="1:20" x14ac:dyDescent="0.25">
      <c r="A348" s="5">
        <v>44245</v>
      </c>
      <c r="B348">
        <v>4.26</v>
      </c>
      <c r="C348">
        <v>4.6516000000000002</v>
      </c>
      <c r="D348">
        <v>3.9340999999999999</v>
      </c>
      <c r="E348">
        <v>4.2832999999999997</v>
      </c>
      <c r="F348">
        <v>1240384.45</v>
      </c>
      <c r="G348">
        <v>0</v>
      </c>
      <c r="L348" t="s">
        <v>7</v>
      </c>
      <c r="M348" t="s">
        <v>7</v>
      </c>
      <c r="N348" t="s">
        <v>8</v>
      </c>
      <c r="P348">
        <f t="shared" si="969"/>
        <v>-2.6620209059234533E-2</v>
      </c>
      <c r="Q348">
        <f t="shared" si="970"/>
        <v>-33019.293372823646</v>
      </c>
      <c r="R348">
        <f t="shared" si="971"/>
        <v>817086.52150275896</v>
      </c>
      <c r="S348">
        <f t="shared" si="972"/>
        <v>8.1708652150275896</v>
      </c>
      <c r="T348">
        <f t="shared" si="973"/>
        <v>8.1708652150275889E-3</v>
      </c>
    </row>
    <row r="349" spans="1:20" x14ac:dyDescent="0.25">
      <c r="A349" s="5">
        <v>44244</v>
      </c>
      <c r="B349">
        <v>3.4579</v>
      </c>
      <c r="C349">
        <v>4.82</v>
      </c>
      <c r="D349">
        <v>2.9531999999999998</v>
      </c>
      <c r="E349">
        <v>4.2598000000000003</v>
      </c>
      <c r="F349">
        <v>1314152.8400000001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0.39982858367259494</v>
      </c>
      <c r="Q349">
        <f t="shared" si="970"/>
        <v>525435.86874651827</v>
      </c>
      <c r="R349">
        <f t="shared" si="971"/>
        <v>850105.81487558258</v>
      </c>
      <c r="S349">
        <f t="shared" si="972"/>
        <v>8.5010581487558259</v>
      </c>
      <c r="T349">
        <f t="shared" si="973"/>
        <v>8.5010581487558259E-3</v>
      </c>
    </row>
    <row r="350" spans="1:20" x14ac:dyDescent="0.25">
      <c r="A350" s="5">
        <v>44243</v>
      </c>
      <c r="B350">
        <v>3.4704000000000002</v>
      </c>
      <c r="C350">
        <v>3.75</v>
      </c>
      <c r="D350">
        <v>3.2303999999999999</v>
      </c>
      <c r="E350">
        <v>3.4582000000000002</v>
      </c>
      <c r="F350">
        <v>209312.35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-0.12317167051578061</v>
      </c>
      <c r="Q350">
        <f t="shared" si="970"/>
        <v>-25781.351809083753</v>
      </c>
      <c r="R350">
        <f t="shared" si="971"/>
        <v>324669.94612906431</v>
      </c>
      <c r="S350">
        <f t="shared" si="972"/>
        <v>3.246699461290643</v>
      </c>
      <c r="T350">
        <f t="shared" si="973"/>
        <v>3.2466994612906429E-3</v>
      </c>
    </row>
    <row r="351" spans="1:20" x14ac:dyDescent="0.25">
      <c r="A351" s="5">
        <v>44242</v>
      </c>
      <c r="B351">
        <v>3.8555999999999999</v>
      </c>
      <c r="C351">
        <v>3.93</v>
      </c>
      <c r="D351">
        <v>3.1503000000000001</v>
      </c>
      <c r="E351">
        <v>3.5082</v>
      </c>
      <c r="F351">
        <v>247656.79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-8.1954597922278161E-2</v>
      </c>
      <c r="Q351">
        <f t="shared" si="970"/>
        <v>-20296.612647172078</v>
      </c>
      <c r="R351">
        <f t="shared" si="971"/>
        <v>350451.29793814808</v>
      </c>
      <c r="S351">
        <f t="shared" si="972"/>
        <v>3.5045129793814809</v>
      </c>
      <c r="T351">
        <f t="shared" si="973"/>
        <v>3.5045129793814809E-3</v>
      </c>
    </row>
    <row r="352" spans="1:20" x14ac:dyDescent="0.25">
      <c r="A352" s="5">
        <v>44241</v>
      </c>
      <c r="B352">
        <v>3.8974000000000002</v>
      </c>
      <c r="C352">
        <v>4.2179000000000002</v>
      </c>
      <c r="D352">
        <v>3.67</v>
      </c>
      <c r="E352">
        <v>3.8555000000000001</v>
      </c>
      <c r="F352">
        <v>298641.02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-0.32286913670377759</v>
      </c>
      <c r="Q352">
        <f t="shared" si="970"/>
        <v>-96421.968311735589</v>
      </c>
      <c r="R352">
        <f t="shared" si="971"/>
        <v>370747.91058532015</v>
      </c>
      <c r="S352">
        <f t="shared" si="972"/>
        <v>3.7074791058532015</v>
      </c>
      <c r="T352">
        <f t="shared" si="973"/>
        <v>3.7074791058532017E-3</v>
      </c>
    </row>
    <row r="353" spans="1:20" x14ac:dyDescent="0.25">
      <c r="A353" s="5">
        <v>44240</v>
      </c>
      <c r="B353">
        <v>4.2548000000000004</v>
      </c>
      <c r="C353">
        <v>4.5</v>
      </c>
      <c r="D353">
        <v>3.6</v>
      </c>
      <c r="E353">
        <v>3.8973</v>
      </c>
      <c r="F353">
        <v>289683.05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-0.33933333333333349</v>
      </c>
      <c r="Q353">
        <f t="shared" si="970"/>
        <v>-98299.114966666704</v>
      </c>
      <c r="R353">
        <f t="shared" si="971"/>
        <v>467169.87889705575</v>
      </c>
      <c r="S353">
        <f t="shared" si="972"/>
        <v>4.6716987889705575</v>
      </c>
      <c r="T353">
        <f t="shared" si="973"/>
        <v>4.6716987889705575E-3</v>
      </c>
    </row>
    <row r="354" spans="1:20" x14ac:dyDescent="0.25">
      <c r="A354" s="5">
        <v>44239</v>
      </c>
      <c r="B354">
        <v>3.7772000000000001</v>
      </c>
      <c r="C354">
        <v>4.4800000000000004</v>
      </c>
      <c r="D354">
        <v>3.5171000000000001</v>
      </c>
      <c r="E354">
        <v>4.2548000000000004</v>
      </c>
      <c r="F354">
        <v>359918.24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0.53224633918371589</v>
      </c>
      <c r="Q354">
        <f t="shared" si="970"/>
        <v>191565.16564544605</v>
      </c>
      <c r="R354">
        <f t="shared" si="971"/>
        <v>565468.99386372243</v>
      </c>
      <c r="S354">
        <f t="shared" si="972"/>
        <v>5.6546899386372242</v>
      </c>
      <c r="T354">
        <f t="shared" si="973"/>
        <v>5.6546899386372244E-3</v>
      </c>
    </row>
    <row r="355" spans="1:20" x14ac:dyDescent="0.25">
      <c r="A355" s="5">
        <v>44238</v>
      </c>
      <c r="B355">
        <v>3.1453000000000002</v>
      </c>
      <c r="C355">
        <v>4.96</v>
      </c>
      <c r="D355">
        <v>3.0737000000000001</v>
      </c>
      <c r="E355">
        <v>3.7765</v>
      </c>
      <c r="F355">
        <v>286615.49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-0.2548375125907863</v>
      </c>
      <c r="Q355">
        <f t="shared" si="970"/>
        <v>-73040.37854158938</v>
      </c>
      <c r="R355">
        <f t="shared" si="971"/>
        <v>373903.82821827638</v>
      </c>
      <c r="S355">
        <f t="shared" si="972"/>
        <v>3.7390382821827637</v>
      </c>
      <c r="T355">
        <f t="shared" si="973"/>
        <v>3.7390382821827638E-3</v>
      </c>
    </row>
    <row r="356" spans="1:20" x14ac:dyDescent="0.25">
      <c r="A356" s="5">
        <v>44237</v>
      </c>
      <c r="B356">
        <v>3.27</v>
      </c>
      <c r="C356">
        <v>3.4710999999999999</v>
      </c>
      <c r="D356">
        <v>2.8978000000000002</v>
      </c>
      <c r="E356">
        <v>3.1453000000000002</v>
      </c>
      <c r="F356">
        <v>213671.8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-0.1365777080062788</v>
      </c>
      <c r="Q356">
        <f t="shared" si="970"/>
        <v>-29182.804709576001</v>
      </c>
      <c r="R356">
        <f t="shared" si="971"/>
        <v>446944.20675986574</v>
      </c>
      <c r="S356">
        <f t="shared" si="972"/>
        <v>4.4694420675986573</v>
      </c>
      <c r="T356">
        <f t="shared" si="973"/>
        <v>4.4694420675986573E-3</v>
      </c>
    </row>
    <row r="357" spans="1:20" x14ac:dyDescent="0.25">
      <c r="A357" s="5">
        <v>44236</v>
      </c>
      <c r="B357">
        <v>3.0680999999999998</v>
      </c>
      <c r="C357">
        <v>3.38</v>
      </c>
      <c r="D357">
        <v>2.8557000000000001</v>
      </c>
      <c r="E357">
        <v>3.262</v>
      </c>
      <c r="F357">
        <v>234806.93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0.54987602517642598</v>
      </c>
      <c r="Q357">
        <f t="shared" si="970"/>
        <v>129114.70135227928</v>
      </c>
      <c r="R357">
        <f t="shared" si="971"/>
        <v>476127.01146944176</v>
      </c>
      <c r="S357">
        <f t="shared" si="972"/>
        <v>4.7612701146944172</v>
      </c>
      <c r="T357">
        <f t="shared" si="973"/>
        <v>4.7612701146944169E-3</v>
      </c>
    </row>
    <row r="358" spans="1:20" x14ac:dyDescent="0.25">
      <c r="A358" s="5">
        <v>44235</v>
      </c>
      <c r="B358">
        <v>2.7023000000000001</v>
      </c>
      <c r="C358">
        <v>3.1</v>
      </c>
      <c r="D358">
        <v>2.7023000000000001</v>
      </c>
      <c r="E358">
        <v>3.0405000000000002</v>
      </c>
      <c r="F358">
        <v>127255.69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0.70077948202162488</v>
      </c>
      <c r="Q358">
        <f t="shared" si="970"/>
        <v>89178.176522504466</v>
      </c>
      <c r="R358">
        <f t="shared" si="971"/>
        <v>347012.31011716247</v>
      </c>
      <c r="S358">
        <f t="shared" si="972"/>
        <v>3.4701231011716249</v>
      </c>
      <c r="T358">
        <f t="shared" si="973"/>
        <v>3.4701231011716248E-3</v>
      </c>
    </row>
    <row r="359" spans="1:20" x14ac:dyDescent="0.25">
      <c r="A359" s="5">
        <v>44234</v>
      </c>
      <c r="B359">
        <v>2.9369999999999998</v>
      </c>
      <c r="C359">
        <v>2.9369999999999998</v>
      </c>
      <c r="D359">
        <v>2.5585</v>
      </c>
      <c r="E359">
        <v>2.7086000000000001</v>
      </c>
      <c r="F359">
        <v>136743.34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-0.20686922060766083</v>
      </c>
      <c r="Q359">
        <f t="shared" si="970"/>
        <v>-28287.98816908837</v>
      </c>
      <c r="R359">
        <f t="shared" si="971"/>
        <v>257834.13359465799</v>
      </c>
      <c r="S359">
        <f t="shared" si="972"/>
        <v>2.5783413359465799</v>
      </c>
      <c r="T359">
        <f t="shared" si="973"/>
        <v>2.5783413359465801E-3</v>
      </c>
    </row>
    <row r="360" spans="1:20" x14ac:dyDescent="0.25">
      <c r="A360" s="5">
        <v>44233</v>
      </c>
      <c r="B360">
        <v>3.3384999999999998</v>
      </c>
      <c r="C360">
        <v>3.4615</v>
      </c>
      <c r="D360">
        <v>2.8875000000000002</v>
      </c>
      <c r="E360">
        <v>2.9653</v>
      </c>
      <c r="F360">
        <v>111767.31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-0.72891986062717806</v>
      </c>
      <c r="Q360">
        <f t="shared" si="970"/>
        <v>-81469.412027874598</v>
      </c>
      <c r="R360">
        <f t="shared" si="971"/>
        <v>286122.12176374637</v>
      </c>
      <c r="S360">
        <f t="shared" si="972"/>
        <v>2.8612212176374636</v>
      </c>
      <c r="T360">
        <f t="shared" si="973"/>
        <v>2.8612212176374638E-3</v>
      </c>
    </row>
    <row r="361" spans="1:20" x14ac:dyDescent="0.25">
      <c r="A361" s="5">
        <v>44232</v>
      </c>
      <c r="B361">
        <v>3.02</v>
      </c>
      <c r="C361">
        <v>3.5097999999999998</v>
      </c>
      <c r="D361">
        <v>2.9</v>
      </c>
      <c r="E361">
        <v>3.3936000000000002</v>
      </c>
      <c r="F361">
        <v>273667.06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0.61889143981633432</v>
      </c>
      <c r="Q361">
        <f t="shared" si="970"/>
        <v>169370.20079370314</v>
      </c>
      <c r="R361">
        <f t="shared" si="971"/>
        <v>367591.53379162098</v>
      </c>
      <c r="S361">
        <f t="shared" si="972"/>
        <v>3.6759153379162099</v>
      </c>
      <c r="T361">
        <f t="shared" si="973"/>
        <v>3.6759153379162099E-3</v>
      </c>
    </row>
    <row r="362" spans="1:20" x14ac:dyDescent="0.25">
      <c r="A362" s="5">
        <v>44231</v>
      </c>
      <c r="B362">
        <v>2.5579999999999998</v>
      </c>
      <c r="C362">
        <v>3.1</v>
      </c>
      <c r="D362">
        <v>2.4950000000000001</v>
      </c>
      <c r="E362">
        <v>2.9765000000000001</v>
      </c>
      <c r="F362">
        <v>232891.21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0.59173553719008287</v>
      </c>
      <c r="Q362">
        <f t="shared" si="970"/>
        <v>137810.0052561984</v>
      </c>
      <c r="R362">
        <f t="shared" si="971"/>
        <v>198221.33299791784</v>
      </c>
      <c r="S362">
        <f t="shared" si="972"/>
        <v>1.9822133299791784</v>
      </c>
      <c r="T362">
        <f t="shared" si="973"/>
        <v>1.9822133299791786E-3</v>
      </c>
    </row>
    <row r="363" spans="1:20" x14ac:dyDescent="0.25">
      <c r="A363" s="5">
        <v>44230</v>
      </c>
      <c r="B363">
        <v>2.5015000000000001</v>
      </c>
      <c r="C363">
        <v>2.65</v>
      </c>
      <c r="D363">
        <v>2.38</v>
      </c>
      <c r="E363">
        <v>2.5573999999999999</v>
      </c>
      <c r="F363">
        <v>147727.4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0.31407407407407401</v>
      </c>
      <c r="Q363">
        <f t="shared" si="970"/>
        <v>46397.34637037036</v>
      </c>
      <c r="R363">
        <f t="shared" si="971"/>
        <v>60411.327741719448</v>
      </c>
      <c r="S363">
        <f t="shared" si="972"/>
        <v>0.60411327741719445</v>
      </c>
      <c r="T363">
        <f t="shared" si="973"/>
        <v>6.0411327741719445E-4</v>
      </c>
    </row>
    <row r="364" spans="1:20" x14ac:dyDescent="0.25">
      <c r="A364" s="5">
        <v>44229</v>
      </c>
      <c r="B364">
        <v>2.2481</v>
      </c>
      <c r="C364">
        <v>2.7042000000000002</v>
      </c>
      <c r="D364">
        <v>2.1575000000000002</v>
      </c>
      <c r="E364">
        <v>2.5371000000000001</v>
      </c>
      <c r="F364">
        <v>212898.98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0.38869581123102237</v>
      </c>
      <c r="Q364">
        <f t="shared" si="970"/>
        <v>82752.941741357208</v>
      </c>
      <c r="R364">
        <f t="shared" si="971"/>
        <v>14013.981371349088</v>
      </c>
      <c r="S364">
        <f t="shared" si="972"/>
        <v>0.14013981371349088</v>
      </c>
      <c r="T364">
        <f t="shared" si="973"/>
        <v>1.4013981371349088E-4</v>
      </c>
    </row>
    <row r="365" spans="1:20" x14ac:dyDescent="0.25">
      <c r="A365" s="5">
        <v>44228</v>
      </c>
      <c r="B365">
        <v>2.2820999999999998</v>
      </c>
      <c r="C365">
        <v>2.3908999999999998</v>
      </c>
      <c r="D365">
        <v>2.1360000000000001</v>
      </c>
      <c r="E365">
        <v>2.2481</v>
      </c>
      <c r="F365">
        <v>91902.080000000002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-0.12043938799529222</v>
      </c>
      <c r="Q365">
        <f t="shared" si="970"/>
        <v>-11068.630270694386</v>
      </c>
      <c r="R365">
        <f t="shared" si="971"/>
        <v>-68738.960370008121</v>
      </c>
      <c r="S365">
        <f t="shared" si="972"/>
        <v>-0.68738960370008118</v>
      </c>
      <c r="T365">
        <f t="shared" si="973"/>
        <v>-6.8738960370008119E-4</v>
      </c>
    </row>
    <row r="366" spans="1:20" x14ac:dyDescent="0.25">
      <c r="A366" s="5">
        <v>44227</v>
      </c>
      <c r="B366">
        <v>2.3801999999999999</v>
      </c>
      <c r="C366">
        <v>2.472</v>
      </c>
      <c r="D366">
        <v>2.2583000000000002</v>
      </c>
      <c r="E366">
        <v>2.3024</v>
      </c>
      <c r="F366">
        <v>97573.119999999995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-0.58727187646233181</v>
      </c>
      <c r="Q366">
        <f t="shared" si="970"/>
        <v>-57301.949274684273</v>
      </c>
      <c r="R366">
        <f t="shared" si="971"/>
        <v>-57670.330099313738</v>
      </c>
      <c r="S366">
        <f t="shared" si="972"/>
        <v>-0.57670330099313738</v>
      </c>
      <c r="T366">
        <f t="shared" si="973"/>
        <v>-5.7670330099313734E-4</v>
      </c>
    </row>
    <row r="367" spans="1:20" x14ac:dyDescent="0.25">
      <c r="A367" s="5">
        <v>44226</v>
      </c>
      <c r="B367">
        <v>2.4725999999999999</v>
      </c>
      <c r="C367">
        <v>2.5836999999999999</v>
      </c>
      <c r="D367">
        <v>2.3174999999999999</v>
      </c>
      <c r="E367">
        <v>2.38</v>
      </c>
      <c r="F367">
        <v>86586.23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-0.5304282494365139</v>
      </c>
      <c r="Q367">
        <f t="shared" si="970"/>
        <v>-45927.782404207363</v>
      </c>
      <c r="R367">
        <f t="shared" si="971"/>
        <v>-368.38082462946477</v>
      </c>
      <c r="S367">
        <f t="shared" si="972"/>
        <v>-3.6838082462946477E-3</v>
      </c>
      <c r="T367">
        <f t="shared" si="973"/>
        <v>-3.6838082462946479E-6</v>
      </c>
    </row>
    <row r="368" spans="1:20" x14ac:dyDescent="0.25">
      <c r="A368" s="5">
        <v>44225</v>
      </c>
      <c r="B368">
        <v>2.8</v>
      </c>
      <c r="C368">
        <v>2.88</v>
      </c>
      <c r="D368">
        <v>2.4443999999999999</v>
      </c>
      <c r="E368">
        <v>2.5038999999999998</v>
      </c>
      <c r="F368">
        <v>118896.47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-0.72681359044995464</v>
      </c>
      <c r="Q368">
        <f t="shared" si="970"/>
        <v>-86415.570252525315</v>
      </c>
      <c r="R368">
        <f t="shared" si="971"/>
        <v>45559.401579577898</v>
      </c>
      <c r="S368">
        <f t="shared" si="972"/>
        <v>0.45559401579577896</v>
      </c>
      <c r="T368">
        <f t="shared" si="973"/>
        <v>4.5559401579577894E-4</v>
      </c>
    </row>
    <row r="369" spans="1:20" x14ac:dyDescent="0.25">
      <c r="A369" s="5">
        <v>44224</v>
      </c>
      <c r="B369">
        <v>2.7004999999999999</v>
      </c>
      <c r="C369">
        <v>2.9</v>
      </c>
      <c r="D369">
        <v>2.5718999999999999</v>
      </c>
      <c r="E369">
        <v>2.8</v>
      </c>
      <c r="F369">
        <v>128583.86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0.3904297470283446</v>
      </c>
      <c r="Q369">
        <f t="shared" si="970"/>
        <v>50202.963931728082</v>
      </c>
      <c r="R369">
        <f t="shared" si="971"/>
        <v>131974.97183210321</v>
      </c>
      <c r="S369">
        <f t="shared" si="972"/>
        <v>1.3197497183210321</v>
      </c>
      <c r="T369">
        <f t="shared" si="973"/>
        <v>1.319749718321032E-3</v>
      </c>
    </row>
    <row r="370" spans="1:20" x14ac:dyDescent="0.25">
      <c r="A370" s="5">
        <v>44223</v>
      </c>
      <c r="B370">
        <v>2.9331</v>
      </c>
      <c r="C370">
        <v>2.9333</v>
      </c>
      <c r="D370">
        <v>2.5718999999999999</v>
      </c>
      <c r="E370">
        <v>2.7128000000000001</v>
      </c>
      <c r="F370">
        <v>95979.35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-0.22025456557830558</v>
      </c>
      <c r="Q370">
        <f t="shared" si="970"/>
        <v>-21139.890038738144</v>
      </c>
      <c r="R370">
        <f t="shared" si="971"/>
        <v>81772.007900375116</v>
      </c>
      <c r="S370">
        <f t="shared" si="972"/>
        <v>0.81772007900375121</v>
      </c>
      <c r="T370">
        <f t="shared" si="973"/>
        <v>8.1772007900375121E-4</v>
      </c>
    </row>
    <row r="371" spans="1:20" x14ac:dyDescent="0.25">
      <c r="A371" s="5">
        <v>44222</v>
      </c>
      <c r="B371">
        <v>2.5905999999999998</v>
      </c>
      <c r="C371">
        <v>2.9333</v>
      </c>
      <c r="D371">
        <v>2.4809000000000001</v>
      </c>
      <c r="E371">
        <v>2.8828999999999998</v>
      </c>
      <c r="F371">
        <v>179958.88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0.77718832891246581</v>
      </c>
      <c r="Q371">
        <f t="shared" si="970"/>
        <v>139861.94122015897</v>
      </c>
      <c r="R371">
        <f t="shared" si="971"/>
        <v>102911.89793911326</v>
      </c>
      <c r="S371">
        <f t="shared" si="972"/>
        <v>1.0291189793911326</v>
      </c>
      <c r="T371">
        <f t="shared" si="973"/>
        <v>1.0291189793911325E-3</v>
      </c>
    </row>
    <row r="372" spans="1:20" x14ac:dyDescent="0.25">
      <c r="A372" s="5">
        <v>44221</v>
      </c>
      <c r="B372">
        <v>2.8997000000000002</v>
      </c>
      <c r="C372">
        <v>3.0733999999999999</v>
      </c>
      <c r="D372">
        <v>2.5718999999999999</v>
      </c>
      <c r="E372">
        <v>2.5903</v>
      </c>
      <c r="F372">
        <v>88915.62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-0.92662013958125544</v>
      </c>
      <c r="Q372">
        <f t="shared" si="970"/>
        <v>-82391.004215353867</v>
      </c>
      <c r="R372">
        <f t="shared" si="971"/>
        <v>-36950.043281045706</v>
      </c>
      <c r="S372">
        <f t="shared" si="972"/>
        <v>-0.36950043281045708</v>
      </c>
      <c r="T372">
        <f t="shared" si="973"/>
        <v>-3.6950043281045711E-4</v>
      </c>
    </row>
    <row r="373" spans="1:20" x14ac:dyDescent="0.25">
      <c r="A373" s="5">
        <v>44220</v>
      </c>
      <c r="B373">
        <v>2.5213999999999999</v>
      </c>
      <c r="C373">
        <v>3.25</v>
      </c>
      <c r="D373">
        <v>2.4</v>
      </c>
      <c r="E373">
        <v>2.9499</v>
      </c>
      <c r="F373">
        <v>171581.87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0.29388235294117648</v>
      </c>
      <c r="Q373">
        <f t="shared" si="970"/>
        <v>50424.883677647056</v>
      </c>
      <c r="R373">
        <f t="shared" si="971"/>
        <v>45440.960934308161</v>
      </c>
      <c r="S373">
        <f t="shared" si="972"/>
        <v>0.45440960934308161</v>
      </c>
      <c r="T373">
        <f t="shared" si="973"/>
        <v>4.544096093430816E-4</v>
      </c>
    </row>
    <row r="374" spans="1:20" x14ac:dyDescent="0.25">
      <c r="A374" s="5">
        <v>44219</v>
      </c>
      <c r="B374">
        <v>2.1919</v>
      </c>
      <c r="C374">
        <v>2.6779999999999999</v>
      </c>
      <c r="D374">
        <v>2.1166999999999998</v>
      </c>
      <c r="E374">
        <v>2.5377000000000001</v>
      </c>
      <c r="F374">
        <v>128912.93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0.50008907892392718</v>
      </c>
      <c r="Q374">
        <f t="shared" si="970"/>
        <v>64467.948425084694</v>
      </c>
      <c r="R374">
        <f t="shared" si="971"/>
        <v>-4983.9227433388951</v>
      </c>
      <c r="S374">
        <f t="shared" si="972"/>
        <v>-4.983922743338895E-2</v>
      </c>
      <c r="T374">
        <f t="shared" si="973"/>
        <v>-4.983922743338895E-5</v>
      </c>
    </row>
    <row r="375" spans="1:20" x14ac:dyDescent="0.25">
      <c r="A375" s="5">
        <v>44218</v>
      </c>
      <c r="B375">
        <v>1.9218999999999999</v>
      </c>
      <c r="C375">
        <v>2.3490000000000002</v>
      </c>
      <c r="D375">
        <v>1.8</v>
      </c>
      <c r="E375">
        <v>2.2370000000000001</v>
      </c>
      <c r="F375">
        <v>58340.72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0.59198542805100163</v>
      </c>
      <c r="Q375">
        <f t="shared" si="970"/>
        <v>34536.856102003636</v>
      </c>
      <c r="R375">
        <f t="shared" si="971"/>
        <v>-69451.87116842359</v>
      </c>
      <c r="S375">
        <f t="shared" si="972"/>
        <v>-0.69451871168423585</v>
      </c>
      <c r="T375">
        <f t="shared" si="973"/>
        <v>-6.9451871168423583E-4</v>
      </c>
    </row>
    <row r="376" spans="1:20" x14ac:dyDescent="0.25">
      <c r="A376" s="5">
        <v>44217</v>
      </c>
      <c r="B376">
        <v>2.3006000000000002</v>
      </c>
      <c r="C376">
        <v>2.3969999999999998</v>
      </c>
      <c r="D376">
        <v>1.9196</v>
      </c>
      <c r="E376">
        <v>1.9837</v>
      </c>
      <c r="F376">
        <v>71346.58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-0.73146208630079568</v>
      </c>
      <c r="Q376">
        <f t="shared" si="970"/>
        <v>-52187.318257226623</v>
      </c>
      <c r="R376">
        <f t="shared" si="971"/>
        <v>-103988.72727042722</v>
      </c>
      <c r="S376">
        <f t="shared" si="972"/>
        <v>-1.0398872727042723</v>
      </c>
      <c r="T376">
        <f t="shared" si="973"/>
        <v>-1.0398872727042723E-3</v>
      </c>
    </row>
    <row r="377" spans="1:20" x14ac:dyDescent="0.25">
      <c r="A377" s="5">
        <v>44216</v>
      </c>
      <c r="B377">
        <v>2.4087999999999998</v>
      </c>
      <c r="C377">
        <v>2.4449999999999998</v>
      </c>
      <c r="D377">
        <v>2.0733999999999999</v>
      </c>
      <c r="E377">
        <v>2.3006000000000002</v>
      </c>
      <c r="F377">
        <v>70065.95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0.22282023681378005</v>
      </c>
      <c r="Q377">
        <f t="shared" si="970"/>
        <v>15612.111571582471</v>
      </c>
      <c r="R377">
        <f t="shared" si="971"/>
        <v>-51801.409013200595</v>
      </c>
      <c r="S377">
        <f t="shared" si="972"/>
        <v>-0.51801409013200594</v>
      </c>
      <c r="T377">
        <f t="shared" si="973"/>
        <v>-5.1801409013200593E-4</v>
      </c>
    </row>
    <row r="378" spans="1:20" x14ac:dyDescent="0.25">
      <c r="A378" s="5">
        <v>44215</v>
      </c>
      <c r="B378">
        <v>2.4874000000000001</v>
      </c>
      <c r="C378">
        <v>2.6779999999999999</v>
      </c>
      <c r="D378">
        <v>2.3125</v>
      </c>
      <c r="E378">
        <v>2.4100999999999999</v>
      </c>
      <c r="F378">
        <v>95097.18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-0.46593707250342037</v>
      </c>
      <c r="Q378">
        <f t="shared" si="970"/>
        <v>-44309.301652530812</v>
      </c>
      <c r="R378">
        <f t="shared" si="971"/>
        <v>-67413.520584783066</v>
      </c>
      <c r="S378">
        <f t="shared" si="972"/>
        <v>-0.67413520584783071</v>
      </c>
      <c r="T378">
        <f t="shared" si="973"/>
        <v>-6.7413520584783072E-4</v>
      </c>
    </row>
    <row r="379" spans="1:20" x14ac:dyDescent="0.25">
      <c r="A379" s="5">
        <v>44214</v>
      </c>
      <c r="B379">
        <v>2.2170999999999998</v>
      </c>
      <c r="C379">
        <v>2.5019999999999998</v>
      </c>
      <c r="D379">
        <v>2.1301999999999999</v>
      </c>
      <c r="E379">
        <v>2.4</v>
      </c>
      <c r="F379">
        <v>66310.33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0.45131791285637496</v>
      </c>
      <c r="Q379">
        <f t="shared" si="970"/>
        <v>29927.039736417468</v>
      </c>
      <c r="R379">
        <f t="shared" si="971"/>
        <v>-23104.21893225225</v>
      </c>
      <c r="S379">
        <f t="shared" si="972"/>
        <v>-0.23104218932252249</v>
      </c>
      <c r="T379">
        <f t="shared" si="973"/>
        <v>-2.3104218932252249E-4</v>
      </c>
    </row>
    <row r="380" spans="1:20" x14ac:dyDescent="0.25">
      <c r="A380" s="5">
        <v>44213</v>
      </c>
      <c r="B380">
        <v>2.1179999999999999</v>
      </c>
      <c r="C380">
        <v>2.4</v>
      </c>
      <c r="D380">
        <v>1.9382999999999999</v>
      </c>
      <c r="E380">
        <v>2.1404000000000001</v>
      </c>
      <c r="F380">
        <v>59903.199999999997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-0.12453974442278463</v>
      </c>
      <c r="Q380">
        <f t="shared" si="970"/>
        <v>-7460.3292181069519</v>
      </c>
      <c r="R380">
        <f t="shared" si="971"/>
        <v>-53031.258668669718</v>
      </c>
      <c r="S380">
        <f t="shared" si="972"/>
        <v>-0.53031258668669723</v>
      </c>
      <c r="T380">
        <f t="shared" si="973"/>
        <v>-5.3031258668669718E-4</v>
      </c>
    </row>
    <row r="381" spans="1:20" x14ac:dyDescent="0.25">
      <c r="A381" s="5">
        <v>44212</v>
      </c>
      <c r="B381">
        <v>2.0003000000000002</v>
      </c>
      <c r="C381">
        <v>2.3426</v>
      </c>
      <c r="D381">
        <v>1.9865999999999999</v>
      </c>
      <c r="E381">
        <v>2.1131000000000002</v>
      </c>
      <c r="F381">
        <v>21834.37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-0.28932584269662781</v>
      </c>
      <c r="Q381">
        <f t="shared" si="970"/>
        <v>-6317.2474999999695</v>
      </c>
      <c r="R381">
        <f t="shared" si="971"/>
        <v>-45570.929450562762</v>
      </c>
      <c r="S381">
        <f t="shared" si="972"/>
        <v>-0.45570929450562764</v>
      </c>
      <c r="T381">
        <f t="shared" si="973"/>
        <v>-4.5570929450562762E-4</v>
      </c>
    </row>
    <row r="382" spans="1:20" x14ac:dyDescent="0.25">
      <c r="A382" s="5">
        <v>44211</v>
      </c>
      <c r="B382">
        <v>2.1375000000000002</v>
      </c>
      <c r="C382">
        <v>2.1753999999999998</v>
      </c>
      <c r="D382">
        <v>1.93</v>
      </c>
      <c r="E382">
        <v>2.0152000000000001</v>
      </c>
      <c r="F382">
        <v>16986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-0.30562347188263878</v>
      </c>
      <c r="Q382">
        <f t="shared" si="970"/>
        <v>-5191.3202933985021</v>
      </c>
      <c r="R382">
        <f t="shared" si="971"/>
        <v>-39253.681950562794</v>
      </c>
      <c r="S382">
        <f t="shared" si="972"/>
        <v>-0.39253681950562791</v>
      </c>
      <c r="T382">
        <f t="shared" si="973"/>
        <v>-3.9253681950562793E-4</v>
      </c>
    </row>
    <row r="383" spans="1:20" x14ac:dyDescent="0.25">
      <c r="A383" s="5">
        <v>44210</v>
      </c>
      <c r="B383">
        <v>2.0606</v>
      </c>
      <c r="C383">
        <v>2.2000000000000002</v>
      </c>
      <c r="D383">
        <v>1.9603999999999999</v>
      </c>
      <c r="E383">
        <v>2.1631999999999998</v>
      </c>
      <c r="F383">
        <v>25631.599999999999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0.6928213689482442</v>
      </c>
      <c r="Q383">
        <f t="shared" si="970"/>
        <v>17758.120200333815</v>
      </c>
      <c r="R383">
        <f t="shared" si="971"/>
        <v>-34062.361657164292</v>
      </c>
      <c r="S383">
        <f t="shared" si="972"/>
        <v>-0.34062361657164292</v>
      </c>
      <c r="T383">
        <f t="shared" si="973"/>
        <v>-3.4062361657164294E-4</v>
      </c>
    </row>
    <row r="384" spans="1:20" x14ac:dyDescent="0.25">
      <c r="A384" s="5">
        <v>44209</v>
      </c>
      <c r="B384">
        <v>1.94</v>
      </c>
      <c r="C384">
        <v>2.1661999999999999</v>
      </c>
      <c r="D384">
        <v>1.8323</v>
      </c>
      <c r="E384">
        <v>2.0169999999999999</v>
      </c>
      <c r="F384">
        <v>16786.98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0.10631925726265312</v>
      </c>
      <c r="Q384">
        <f t="shared" si="970"/>
        <v>1784.7792452830126</v>
      </c>
      <c r="R384">
        <f t="shared" si="971"/>
        <v>-51820.481857498104</v>
      </c>
      <c r="S384">
        <f t="shared" si="972"/>
        <v>-0.51820481857498102</v>
      </c>
      <c r="T384">
        <f t="shared" si="973"/>
        <v>-5.1820481857498099E-4</v>
      </c>
    </row>
    <row r="385" spans="1:20" x14ac:dyDescent="0.25">
      <c r="A385" s="5">
        <v>44208</v>
      </c>
      <c r="B385">
        <v>2.0028999999999999</v>
      </c>
      <c r="C385">
        <v>2.48</v>
      </c>
      <c r="D385">
        <v>1.8987000000000001</v>
      </c>
      <c r="E385">
        <v>1.94</v>
      </c>
      <c r="F385">
        <v>24920.82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-0.85790469637020506</v>
      </c>
      <c r="Q385">
        <f t="shared" si="970"/>
        <v>-21379.688515396534</v>
      </c>
      <c r="R385">
        <f t="shared" si="971"/>
        <v>-53605.261102781114</v>
      </c>
      <c r="S385">
        <f t="shared" si="972"/>
        <v>-0.5360526110278111</v>
      </c>
      <c r="T385">
        <f t="shared" si="973"/>
        <v>-5.3605261102781111E-4</v>
      </c>
    </row>
    <row r="386" spans="1:20" x14ac:dyDescent="0.25">
      <c r="A386" s="5">
        <v>44207</v>
      </c>
      <c r="B386">
        <v>2.3472</v>
      </c>
      <c r="C386">
        <v>2.3521999999999998</v>
      </c>
      <c r="D386">
        <v>1.6</v>
      </c>
      <c r="E386">
        <v>2.0306000000000002</v>
      </c>
      <c r="F386">
        <v>23504.6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0.14490826907737367</v>
      </c>
      <c r="Q386">
        <f t="shared" si="970"/>
        <v>3406.0109013560368</v>
      </c>
      <c r="R386">
        <f t="shared" si="971"/>
        <v>-32225.57258738458</v>
      </c>
      <c r="S386">
        <f t="shared" si="972"/>
        <v>-0.32225572587384582</v>
      </c>
      <c r="T386">
        <f t="shared" si="973"/>
        <v>-3.2225572587384581E-4</v>
      </c>
    </row>
    <row r="387" spans="1:20" x14ac:dyDescent="0.25">
      <c r="A387" s="5">
        <v>44206</v>
      </c>
      <c r="B387">
        <v>2.6271</v>
      </c>
      <c r="C387">
        <v>2.6677</v>
      </c>
      <c r="D387">
        <v>2.1625999999999999</v>
      </c>
      <c r="E387">
        <v>2.3866999999999998</v>
      </c>
      <c r="F387">
        <v>16526.89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-0.11265096020590014</v>
      </c>
      <c r="Q387">
        <f t="shared" si="970"/>
        <v>-1861.7700277172889</v>
      </c>
      <c r="R387">
        <f t="shared" si="971"/>
        <v>-35631.583488740616</v>
      </c>
      <c r="S387">
        <f t="shared" si="972"/>
        <v>-0.35631583488740615</v>
      </c>
      <c r="T387">
        <f t="shared" si="973"/>
        <v>-3.5631583488740612E-4</v>
      </c>
    </row>
    <row r="388" spans="1:20" x14ac:dyDescent="0.25">
      <c r="A388" s="5">
        <v>44205</v>
      </c>
      <c r="B388">
        <v>2.5384000000000002</v>
      </c>
      <c r="C388">
        <v>2.673</v>
      </c>
      <c r="D388">
        <v>2.3673000000000002</v>
      </c>
      <c r="E388">
        <v>2.6271</v>
      </c>
      <c r="F388">
        <v>21645.57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0.69970559371933216</v>
      </c>
      <c r="Q388">
        <f t="shared" si="970"/>
        <v>15145.526408243364</v>
      </c>
      <c r="R388">
        <f t="shared" si="971"/>
        <v>-33769.813461023325</v>
      </c>
      <c r="S388">
        <f t="shared" si="972"/>
        <v>-0.33769813461023324</v>
      </c>
      <c r="T388">
        <f t="shared" si="973"/>
        <v>-3.3769813461023322E-4</v>
      </c>
    </row>
    <row r="389" spans="1:20" x14ac:dyDescent="0.25">
      <c r="A389" s="5">
        <v>44204</v>
      </c>
      <c r="B389">
        <v>2.5186000000000002</v>
      </c>
      <c r="C389">
        <v>2.5384000000000002</v>
      </c>
      <c r="D389">
        <v>2.1055000000000001</v>
      </c>
      <c r="E389">
        <v>2.5384000000000002</v>
      </c>
      <c r="F389">
        <v>18004.04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1</v>
      </c>
      <c r="Q389">
        <f t="shared" si="970"/>
        <v>18004.04</v>
      </c>
      <c r="R389">
        <f t="shared" si="971"/>
        <v>-48915.339869266689</v>
      </c>
      <c r="S389">
        <f t="shared" si="972"/>
        <v>-0.48915339869266689</v>
      </c>
      <c r="T389">
        <f t="shared" si="973"/>
        <v>-4.8915339869266686E-4</v>
      </c>
    </row>
    <row r="390" spans="1:20" x14ac:dyDescent="0.25">
      <c r="A390" s="5">
        <v>44203</v>
      </c>
      <c r="B390">
        <v>2.3210999999999999</v>
      </c>
      <c r="C390">
        <v>3.1</v>
      </c>
      <c r="D390">
        <v>2.1831</v>
      </c>
      <c r="E390">
        <v>2.5186000000000002</v>
      </c>
      <c r="F390">
        <v>45705.07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-0.26818627985603638</v>
      </c>
      <c r="Q390">
        <f t="shared" ref="Q390:Q453" si="975">F390*P390</f>
        <v>-12257.472693859732</v>
      </c>
      <c r="R390">
        <f t="shared" ref="R390:R453" si="976">R391+Q390</f>
        <v>-66919.37986926669</v>
      </c>
      <c r="S390">
        <f t="shared" ref="S390:S453" si="977">R390/100000</f>
        <v>-0.66919379869266693</v>
      </c>
      <c r="T390">
        <f t="shared" ref="T390:T453" si="978">S390/1000</f>
        <v>-6.6919379869266691E-4</v>
      </c>
    </row>
    <row r="391" spans="1:20" x14ac:dyDescent="0.25">
      <c r="A391" s="5">
        <v>44202</v>
      </c>
      <c r="B391">
        <v>2.1996000000000002</v>
      </c>
      <c r="C391">
        <v>2.4500000000000002</v>
      </c>
      <c r="D391">
        <v>2.1234999999999999</v>
      </c>
      <c r="E391">
        <v>2.4094000000000002</v>
      </c>
      <c r="F391">
        <v>20996.85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0.75130168453292534</v>
      </c>
      <c r="Q391">
        <f t="shared" si="975"/>
        <v>15774.968774885152</v>
      </c>
      <c r="R391">
        <f t="shared" si="976"/>
        <v>-54661.907175406952</v>
      </c>
      <c r="S391">
        <f t="shared" si="977"/>
        <v>-0.54661907175406954</v>
      </c>
      <c r="T391">
        <f t="shared" si="978"/>
        <v>-5.4661907175406952E-4</v>
      </c>
    </row>
    <row r="392" spans="1:20" x14ac:dyDescent="0.25">
      <c r="A392" s="5">
        <v>44201</v>
      </c>
      <c r="B392">
        <v>2.121</v>
      </c>
      <c r="C392">
        <v>2.3109999999999999</v>
      </c>
      <c r="D392">
        <v>1.9511000000000001</v>
      </c>
      <c r="E392">
        <v>2.1863000000000001</v>
      </c>
      <c r="F392">
        <v>31355.58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0.30702973048068993</v>
      </c>
      <c r="Q392">
        <f t="shared" si="975"/>
        <v>9627.0952764657122</v>
      </c>
      <c r="R392">
        <f t="shared" si="976"/>
        <v>-70436.875950292102</v>
      </c>
      <c r="S392">
        <f t="shared" si="977"/>
        <v>-0.70436875950292099</v>
      </c>
      <c r="T392">
        <f t="shared" si="978"/>
        <v>-7.0436875950292098E-4</v>
      </c>
    </row>
    <row r="393" spans="1:20" x14ac:dyDescent="0.25">
      <c r="A393" s="5">
        <v>44200</v>
      </c>
      <c r="B393">
        <v>2.0503999999999998</v>
      </c>
      <c r="C393">
        <v>2.3759999999999999</v>
      </c>
      <c r="D393">
        <v>1.9104000000000001</v>
      </c>
      <c r="E393">
        <v>2.121</v>
      </c>
      <c r="F393">
        <v>24681.19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-9.5360824742268077E-2</v>
      </c>
      <c r="Q393">
        <f t="shared" si="975"/>
        <v>-2353.6186340206195</v>
      </c>
      <c r="R393">
        <f t="shared" si="976"/>
        <v>-80063.971226757814</v>
      </c>
      <c r="S393">
        <f t="shared" si="977"/>
        <v>-0.80063971226757813</v>
      </c>
      <c r="T393">
        <f t="shared" si="978"/>
        <v>-8.0063971226757816E-4</v>
      </c>
    </row>
    <row r="394" spans="1:20" x14ac:dyDescent="0.25">
      <c r="A394" s="5">
        <v>44199</v>
      </c>
      <c r="B394">
        <v>1.867</v>
      </c>
      <c r="C394">
        <v>2.2290999999999999</v>
      </c>
      <c r="D394">
        <v>1.7615000000000001</v>
      </c>
      <c r="E394">
        <v>2.0501</v>
      </c>
      <c r="F394">
        <v>27380.880000000001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0.23438836612489347</v>
      </c>
      <c r="Q394">
        <f t="shared" si="975"/>
        <v>6417.7597262617737</v>
      </c>
      <c r="R394">
        <f t="shared" si="976"/>
        <v>-77710.352592737196</v>
      </c>
      <c r="S394">
        <f t="shared" si="977"/>
        <v>-0.77710352592737197</v>
      </c>
      <c r="T394">
        <f t="shared" si="978"/>
        <v>-7.7710352592737198E-4</v>
      </c>
    </row>
    <row r="395" spans="1:20" x14ac:dyDescent="0.25">
      <c r="A395" s="5">
        <v>44198</v>
      </c>
      <c r="B395">
        <v>1.7901</v>
      </c>
      <c r="C395">
        <v>1.9499</v>
      </c>
      <c r="D395">
        <v>1.7424999999999999</v>
      </c>
      <c r="E395">
        <v>1.869</v>
      </c>
      <c r="F395">
        <v>13919.5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0.21986499517839961</v>
      </c>
      <c r="Q395">
        <f t="shared" si="975"/>
        <v>3060.4108003857332</v>
      </c>
      <c r="R395">
        <f t="shared" si="976"/>
        <v>-84128.112318998974</v>
      </c>
      <c r="S395">
        <f t="shared" si="977"/>
        <v>-0.84128112318998971</v>
      </c>
      <c r="T395">
        <f t="shared" si="978"/>
        <v>-8.4128112318998971E-4</v>
      </c>
    </row>
    <row r="396" spans="1:20" x14ac:dyDescent="0.25">
      <c r="A396" s="5">
        <v>44197</v>
      </c>
      <c r="B396">
        <v>1.8466</v>
      </c>
      <c r="C396">
        <v>1.9448000000000001</v>
      </c>
      <c r="D396">
        <v>1.7811999999999999</v>
      </c>
      <c r="E396">
        <v>1.7902</v>
      </c>
      <c r="F396">
        <v>39244.76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-0.88997555012224805</v>
      </c>
      <c r="Q396">
        <f t="shared" si="975"/>
        <v>-34926.876870415595</v>
      </c>
      <c r="R396">
        <f t="shared" si="976"/>
        <v>-87188.523119384714</v>
      </c>
      <c r="S396">
        <f t="shared" si="977"/>
        <v>-0.87188523119384709</v>
      </c>
      <c r="T396">
        <f t="shared" si="978"/>
        <v>-8.7188523119384714E-4</v>
      </c>
    </row>
    <row r="397" spans="1:20" x14ac:dyDescent="0.25">
      <c r="A397" s="5">
        <v>44196</v>
      </c>
      <c r="B397">
        <v>1.8665</v>
      </c>
      <c r="C397">
        <v>1.9263999999999999</v>
      </c>
      <c r="D397">
        <v>1.8366</v>
      </c>
      <c r="E397">
        <v>1.8740000000000001</v>
      </c>
      <c r="F397">
        <v>9915.8799999999992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-0.16703786191536416</v>
      </c>
      <c r="Q397">
        <f t="shared" si="975"/>
        <v>-1656.327394209321</v>
      </c>
      <c r="R397">
        <f t="shared" si="976"/>
        <v>-52261.646248969126</v>
      </c>
      <c r="S397">
        <f t="shared" si="977"/>
        <v>-0.52261646248969129</v>
      </c>
      <c r="T397">
        <f t="shared" si="978"/>
        <v>-5.2261646248969135E-4</v>
      </c>
    </row>
    <row r="398" spans="1:20" x14ac:dyDescent="0.25">
      <c r="A398" s="5">
        <v>44195</v>
      </c>
      <c r="B398">
        <v>1.8019000000000001</v>
      </c>
      <c r="C398">
        <v>1.9736</v>
      </c>
      <c r="D398">
        <v>1.7547999999999999</v>
      </c>
      <c r="E398">
        <v>1.8664000000000001</v>
      </c>
      <c r="F398">
        <v>11671.42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2.0109689213894787E-2</v>
      </c>
      <c r="Q398">
        <f t="shared" si="975"/>
        <v>234.70862888483589</v>
      </c>
      <c r="R398">
        <f t="shared" si="976"/>
        <v>-50605.318854759804</v>
      </c>
      <c r="S398">
        <f t="shared" si="977"/>
        <v>-0.50605318854759807</v>
      </c>
      <c r="T398">
        <f t="shared" si="978"/>
        <v>-5.0605318854759801E-4</v>
      </c>
    </row>
    <row r="399" spans="1:20" x14ac:dyDescent="0.25">
      <c r="A399" s="5">
        <v>44194</v>
      </c>
      <c r="B399">
        <v>1.9458</v>
      </c>
      <c r="C399">
        <v>1.9818</v>
      </c>
      <c r="D399">
        <v>1.7312000000000001</v>
      </c>
      <c r="E399">
        <v>1.8398000000000001</v>
      </c>
      <c r="F399">
        <v>30923.9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-0.13328012769353506</v>
      </c>
      <c r="Q399">
        <f t="shared" si="975"/>
        <v>-4121.5413407821088</v>
      </c>
      <c r="R399">
        <f t="shared" si="976"/>
        <v>-50840.027483644641</v>
      </c>
      <c r="S399">
        <f t="shared" si="977"/>
        <v>-0.50840027483644645</v>
      </c>
      <c r="T399">
        <f t="shared" si="978"/>
        <v>-5.0840027483644646E-4</v>
      </c>
    </row>
    <row r="400" spans="1:20" x14ac:dyDescent="0.25">
      <c r="A400" s="5">
        <v>44193</v>
      </c>
      <c r="B400">
        <v>2.125</v>
      </c>
      <c r="C400">
        <v>2.1999</v>
      </c>
      <c r="D400">
        <v>1.9228000000000001</v>
      </c>
      <c r="E400">
        <v>1.9236</v>
      </c>
      <c r="F400">
        <v>31127.49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-0.99422591122338566</v>
      </c>
      <c r="Q400">
        <f t="shared" si="975"/>
        <v>-30947.757109346825</v>
      </c>
      <c r="R400">
        <f t="shared" si="976"/>
        <v>-46718.48614286253</v>
      </c>
      <c r="S400">
        <f t="shared" si="977"/>
        <v>-0.46718486142862531</v>
      </c>
      <c r="T400">
        <f t="shared" si="978"/>
        <v>-4.6718486142862531E-4</v>
      </c>
    </row>
    <row r="401" spans="1:20" x14ac:dyDescent="0.25">
      <c r="A401" s="5">
        <v>44192</v>
      </c>
      <c r="B401">
        <v>2.1459999999999999</v>
      </c>
      <c r="C401">
        <v>2.3784999999999998</v>
      </c>
      <c r="D401">
        <v>1.968</v>
      </c>
      <c r="E401">
        <v>2.1280000000000001</v>
      </c>
      <c r="F401">
        <v>21956.58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-0.22046285018270306</v>
      </c>
      <c r="Q401">
        <f t="shared" si="975"/>
        <v>-4840.6102070645347</v>
      </c>
      <c r="R401">
        <f t="shared" si="976"/>
        <v>-15770.729033515701</v>
      </c>
      <c r="S401">
        <f t="shared" si="977"/>
        <v>-0.15770729033515701</v>
      </c>
      <c r="T401">
        <f t="shared" si="978"/>
        <v>-1.5770729033515703E-4</v>
      </c>
    </row>
    <row r="402" spans="1:20" x14ac:dyDescent="0.25">
      <c r="A402" s="5">
        <v>44191</v>
      </c>
      <c r="B402">
        <v>2.2397999999999998</v>
      </c>
      <c r="C402">
        <v>2.2967</v>
      </c>
      <c r="D402">
        <v>2.1</v>
      </c>
      <c r="E402">
        <v>2.1</v>
      </c>
      <c r="F402">
        <v>10083.209999999999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-1</v>
      </c>
      <c r="Q402">
        <f t="shared" si="975"/>
        <v>-10083.209999999999</v>
      </c>
      <c r="R402">
        <f t="shared" si="976"/>
        <v>-10930.118826451166</v>
      </c>
      <c r="S402">
        <f t="shared" si="977"/>
        <v>-0.10930118826451166</v>
      </c>
      <c r="T402">
        <f t="shared" si="978"/>
        <v>-1.0930118826451166E-4</v>
      </c>
    </row>
    <row r="403" spans="1:20" x14ac:dyDescent="0.25">
      <c r="A403" s="5">
        <v>44190</v>
      </c>
      <c r="B403">
        <v>2.1417999999999999</v>
      </c>
      <c r="C403">
        <v>2.2989000000000002</v>
      </c>
      <c r="D403">
        <v>2.1118999999999999</v>
      </c>
      <c r="E403">
        <v>2.1905999999999999</v>
      </c>
      <c r="F403">
        <v>12185.98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-0.15828877005347727</v>
      </c>
      <c r="Q403">
        <f t="shared" si="975"/>
        <v>-1928.9037860962728</v>
      </c>
      <c r="R403">
        <f t="shared" si="976"/>
        <v>-846.90882645116676</v>
      </c>
      <c r="S403">
        <f t="shared" si="977"/>
        <v>-8.4690882645116674E-3</v>
      </c>
      <c r="T403">
        <f t="shared" si="978"/>
        <v>-8.4690882645116678E-6</v>
      </c>
    </row>
    <row r="404" spans="1:20" x14ac:dyDescent="0.25">
      <c r="A404" s="5">
        <v>44189</v>
      </c>
      <c r="B404">
        <v>2.1128999999999998</v>
      </c>
      <c r="C404">
        <v>2.25</v>
      </c>
      <c r="D404">
        <v>2.0596000000000001</v>
      </c>
      <c r="E404">
        <v>2.2136999999999998</v>
      </c>
      <c r="F404">
        <v>25274.97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0.61869747899159411</v>
      </c>
      <c r="Q404">
        <f t="shared" si="975"/>
        <v>15637.560220588171</v>
      </c>
      <c r="R404">
        <f t="shared" si="976"/>
        <v>1081.9949596451061</v>
      </c>
      <c r="S404">
        <f t="shared" si="977"/>
        <v>1.0819949596451061E-2</v>
      </c>
      <c r="T404">
        <f t="shared" si="978"/>
        <v>1.0819949596451061E-5</v>
      </c>
    </row>
    <row r="405" spans="1:20" x14ac:dyDescent="0.25">
      <c r="A405" s="5">
        <v>44188</v>
      </c>
      <c r="B405">
        <v>2.585</v>
      </c>
      <c r="C405">
        <v>2.6023999999999998</v>
      </c>
      <c r="D405">
        <v>2.0996000000000001</v>
      </c>
      <c r="E405">
        <v>2.1219999999999999</v>
      </c>
      <c r="F405">
        <v>41749.26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-0.91089896579156815</v>
      </c>
      <c r="Q405">
        <f t="shared" si="975"/>
        <v>-38029.357756563288</v>
      </c>
      <c r="R405">
        <f t="shared" si="976"/>
        <v>-14555.565260943065</v>
      </c>
      <c r="S405">
        <f t="shared" si="977"/>
        <v>-0.14555565260943065</v>
      </c>
      <c r="T405">
        <f t="shared" si="978"/>
        <v>-1.4555565260943065E-4</v>
      </c>
    </row>
    <row r="406" spans="1:20" x14ac:dyDescent="0.25">
      <c r="A406" s="5">
        <v>44187</v>
      </c>
      <c r="B406">
        <v>2.4186999999999999</v>
      </c>
      <c r="C406">
        <v>2.7869999999999999</v>
      </c>
      <c r="D406">
        <v>2.2608999999999999</v>
      </c>
      <c r="E406">
        <v>2.585</v>
      </c>
      <c r="F406">
        <v>31655.17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0.23208515491351472</v>
      </c>
      <c r="Q406">
        <f t="shared" si="975"/>
        <v>7346.6950332636434</v>
      </c>
      <c r="R406">
        <f t="shared" si="976"/>
        <v>23473.792495620222</v>
      </c>
      <c r="S406">
        <f t="shared" si="977"/>
        <v>0.23473792495620222</v>
      </c>
      <c r="T406">
        <f t="shared" si="978"/>
        <v>2.3473792495620221E-4</v>
      </c>
    </row>
    <row r="407" spans="1:20" x14ac:dyDescent="0.25">
      <c r="A407" s="5">
        <v>44186</v>
      </c>
      <c r="B407">
        <v>2.7063999999999999</v>
      </c>
      <c r="C407">
        <v>2.7860999999999998</v>
      </c>
      <c r="D407">
        <v>2.1000999999999999</v>
      </c>
      <c r="E407">
        <v>2.4428000000000001</v>
      </c>
      <c r="F407">
        <v>37150.910000000003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-8.7463556851237587E-4</v>
      </c>
      <c r="Q407">
        <f t="shared" si="975"/>
        <v>-32.49350728860211</v>
      </c>
      <c r="R407">
        <f t="shared" si="976"/>
        <v>16127.09746235658</v>
      </c>
      <c r="S407">
        <f t="shared" si="977"/>
        <v>0.16127097462356579</v>
      </c>
      <c r="T407">
        <f t="shared" si="978"/>
        <v>1.612709746235658E-4</v>
      </c>
    </row>
    <row r="408" spans="1:20" x14ac:dyDescent="0.25">
      <c r="A408" s="5">
        <v>44185</v>
      </c>
      <c r="B408">
        <v>3.0438000000000001</v>
      </c>
      <c r="C408">
        <v>3.0470000000000002</v>
      </c>
      <c r="D408">
        <v>2.6067999999999998</v>
      </c>
      <c r="E408">
        <v>2.67</v>
      </c>
      <c r="F408">
        <v>27757.07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-0.71285779191276655</v>
      </c>
      <c r="Q408">
        <f t="shared" si="975"/>
        <v>-19786.843630168096</v>
      </c>
      <c r="R408">
        <f t="shared" si="976"/>
        <v>16159.590969645182</v>
      </c>
      <c r="S408">
        <f t="shared" si="977"/>
        <v>0.16159590969645182</v>
      </c>
      <c r="T408">
        <f t="shared" si="978"/>
        <v>1.6159590969645182E-4</v>
      </c>
    </row>
    <row r="409" spans="1:20" x14ac:dyDescent="0.25">
      <c r="A409" s="5">
        <v>44184</v>
      </c>
      <c r="B409">
        <v>3.0648</v>
      </c>
      <c r="C409">
        <v>3.1629</v>
      </c>
      <c r="D409">
        <v>3.0085999999999999</v>
      </c>
      <c r="E409">
        <v>3.0470000000000002</v>
      </c>
      <c r="F409">
        <v>20681.75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-0.50226830848995219</v>
      </c>
      <c r="Q409">
        <f t="shared" si="975"/>
        <v>-10387.787589112069</v>
      </c>
      <c r="R409">
        <f t="shared" si="976"/>
        <v>35946.434599813278</v>
      </c>
      <c r="S409">
        <f t="shared" si="977"/>
        <v>0.35946434599813276</v>
      </c>
      <c r="T409">
        <f t="shared" si="978"/>
        <v>3.5946434599813275E-4</v>
      </c>
    </row>
    <row r="410" spans="1:20" x14ac:dyDescent="0.25">
      <c r="A410" s="5">
        <v>44183</v>
      </c>
      <c r="B410">
        <v>3.1387</v>
      </c>
      <c r="C410">
        <v>3.1507000000000001</v>
      </c>
      <c r="D410">
        <v>2.9893999999999998</v>
      </c>
      <c r="E410">
        <v>3.0539999999999998</v>
      </c>
      <c r="F410">
        <v>17149.93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-0.19900805951643022</v>
      </c>
      <c r="Q410">
        <f t="shared" si="975"/>
        <v>-3412.9742901426121</v>
      </c>
      <c r="R410">
        <f t="shared" si="976"/>
        <v>46334.222188925349</v>
      </c>
      <c r="S410">
        <f t="shared" si="977"/>
        <v>0.4633422218892535</v>
      </c>
      <c r="T410">
        <f t="shared" si="978"/>
        <v>4.633422218892535E-4</v>
      </c>
    </row>
    <row r="411" spans="1:20" x14ac:dyDescent="0.25">
      <c r="A411" s="5">
        <v>44182</v>
      </c>
      <c r="B411">
        <v>3.1711</v>
      </c>
      <c r="C411">
        <v>3.2791999999999999</v>
      </c>
      <c r="D411">
        <v>3.0327000000000002</v>
      </c>
      <c r="E411">
        <v>3.0909</v>
      </c>
      <c r="F411">
        <v>27000.65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-0.52778904665314508</v>
      </c>
      <c r="Q411">
        <f t="shared" si="975"/>
        <v>-14250.647322515242</v>
      </c>
      <c r="R411">
        <f t="shared" si="976"/>
        <v>49747.196479067963</v>
      </c>
      <c r="S411">
        <f t="shared" si="977"/>
        <v>0.49747196479067962</v>
      </c>
      <c r="T411">
        <f t="shared" si="978"/>
        <v>4.9747196479067962E-4</v>
      </c>
    </row>
    <row r="412" spans="1:20" x14ac:dyDescent="0.25">
      <c r="A412" s="5">
        <v>44181</v>
      </c>
      <c r="B412">
        <v>3.3237000000000001</v>
      </c>
      <c r="C412">
        <v>3.3275000000000001</v>
      </c>
      <c r="D412">
        <v>3</v>
      </c>
      <c r="E412">
        <v>3.1459999999999999</v>
      </c>
      <c r="F412">
        <v>36681.129999999997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-0.1083969465648864</v>
      </c>
      <c r="Q412">
        <f t="shared" si="975"/>
        <v>-3976.1224885496508</v>
      </c>
      <c r="R412">
        <f t="shared" si="976"/>
        <v>63997.843801583207</v>
      </c>
      <c r="S412">
        <f t="shared" si="977"/>
        <v>0.6399784380158321</v>
      </c>
      <c r="T412">
        <f t="shared" si="978"/>
        <v>6.3997843801583208E-4</v>
      </c>
    </row>
    <row r="413" spans="1:20" x14ac:dyDescent="0.25">
      <c r="A413" s="5">
        <v>44180</v>
      </c>
      <c r="B413">
        <v>3.5703</v>
      </c>
      <c r="C413">
        <v>3.6</v>
      </c>
      <c r="D413">
        <v>3.2004000000000001</v>
      </c>
      <c r="E413">
        <v>3.3</v>
      </c>
      <c r="F413">
        <v>28315.37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-0.50150150150150297</v>
      </c>
      <c r="Q413">
        <f t="shared" si="975"/>
        <v>-14200.200570570612</v>
      </c>
      <c r="R413">
        <f t="shared" si="976"/>
        <v>67973.966290132856</v>
      </c>
      <c r="S413">
        <f t="shared" si="977"/>
        <v>0.67973966290132859</v>
      </c>
      <c r="T413">
        <f t="shared" si="978"/>
        <v>6.7973966290132862E-4</v>
      </c>
    </row>
    <row r="414" spans="1:20" x14ac:dyDescent="0.25">
      <c r="A414" s="5">
        <v>44179</v>
      </c>
      <c r="B414">
        <v>3.6008</v>
      </c>
      <c r="C414">
        <v>3.6707000000000001</v>
      </c>
      <c r="D414">
        <v>3.4344000000000001</v>
      </c>
      <c r="E414">
        <v>3.4942000000000002</v>
      </c>
      <c r="F414">
        <v>29479.33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-0.49386373254337634</v>
      </c>
      <c r="Q414">
        <f t="shared" si="975"/>
        <v>-14558.771946677931</v>
      </c>
      <c r="R414">
        <f t="shared" si="976"/>
        <v>82174.166860703466</v>
      </c>
      <c r="S414">
        <f t="shared" si="977"/>
        <v>0.82174166860703468</v>
      </c>
      <c r="T414">
        <f t="shared" si="978"/>
        <v>8.2174166860703472E-4</v>
      </c>
    </row>
    <row r="415" spans="1:20" x14ac:dyDescent="0.25">
      <c r="A415" s="5">
        <v>44178</v>
      </c>
      <c r="B415">
        <v>3.4333</v>
      </c>
      <c r="C415">
        <v>3.71</v>
      </c>
      <c r="D415">
        <v>3.33</v>
      </c>
      <c r="E415">
        <v>3.6</v>
      </c>
      <c r="F415">
        <v>46068.3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0.42105263157894784</v>
      </c>
      <c r="Q415">
        <f t="shared" si="975"/>
        <v>19397.178947368444</v>
      </c>
      <c r="R415">
        <f t="shared" si="976"/>
        <v>96732.93880738139</v>
      </c>
      <c r="S415">
        <f t="shared" si="977"/>
        <v>0.96732938807381386</v>
      </c>
      <c r="T415">
        <f t="shared" si="978"/>
        <v>9.6732938807381381E-4</v>
      </c>
    </row>
    <row r="416" spans="1:20" x14ac:dyDescent="0.25">
      <c r="A416" s="5">
        <v>44177</v>
      </c>
      <c r="B416">
        <v>3.3797999999999999</v>
      </c>
      <c r="C416">
        <v>3.6920000000000002</v>
      </c>
      <c r="D416">
        <v>3.3359999999999999</v>
      </c>
      <c r="E416">
        <v>3.41</v>
      </c>
      <c r="F416">
        <v>43393.39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-0.58426966292134708</v>
      </c>
      <c r="Q416">
        <f t="shared" si="975"/>
        <v>-25353.441348314554</v>
      </c>
      <c r="R416">
        <f t="shared" si="976"/>
        <v>77335.759860012942</v>
      </c>
      <c r="S416">
        <f t="shared" si="977"/>
        <v>0.77335759860012943</v>
      </c>
      <c r="T416">
        <f t="shared" si="978"/>
        <v>7.7335759860012944E-4</v>
      </c>
    </row>
    <row r="417" spans="1:20" x14ac:dyDescent="0.25">
      <c r="A417" s="5">
        <v>44176</v>
      </c>
      <c r="B417">
        <v>3.8900999999999999</v>
      </c>
      <c r="C417">
        <v>3.9298999999999999</v>
      </c>
      <c r="D417">
        <v>3.3</v>
      </c>
      <c r="E417">
        <v>3.3751000000000002</v>
      </c>
      <c r="F417">
        <v>34440.11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-0.76154945229401372</v>
      </c>
      <c r="Q417">
        <f t="shared" si="975"/>
        <v>-26227.846907445586</v>
      </c>
      <c r="R417">
        <f t="shared" si="976"/>
        <v>102689.20120832749</v>
      </c>
      <c r="S417">
        <f t="shared" si="977"/>
        <v>1.026892012083275</v>
      </c>
      <c r="T417">
        <f t="shared" si="978"/>
        <v>1.0268920120832749E-3</v>
      </c>
    </row>
    <row r="418" spans="1:20" x14ac:dyDescent="0.25">
      <c r="A418" s="5">
        <v>44175</v>
      </c>
      <c r="B418">
        <v>3.5491999999999999</v>
      </c>
      <c r="C418">
        <v>3.93</v>
      </c>
      <c r="D418">
        <v>3.4746000000000001</v>
      </c>
      <c r="E418">
        <v>3.89</v>
      </c>
      <c r="F418">
        <v>108960.02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0.82433025911286761</v>
      </c>
      <c r="Q418">
        <f t="shared" si="975"/>
        <v>89819.041519543243</v>
      </c>
      <c r="R418">
        <f t="shared" si="976"/>
        <v>128917.04811577307</v>
      </c>
      <c r="S418">
        <f t="shared" si="977"/>
        <v>1.2891704811577307</v>
      </c>
      <c r="T418">
        <f t="shared" si="978"/>
        <v>1.2891704811577307E-3</v>
      </c>
    </row>
    <row r="419" spans="1:20" x14ac:dyDescent="0.25">
      <c r="A419" s="5">
        <v>44174</v>
      </c>
      <c r="B419">
        <v>3.2505000000000002</v>
      </c>
      <c r="C419">
        <v>3.76</v>
      </c>
      <c r="D419">
        <v>3.1153</v>
      </c>
      <c r="E419">
        <v>3.54</v>
      </c>
      <c r="F419">
        <v>34630.559999999998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0.31751202109508359</v>
      </c>
      <c r="Q419">
        <f t="shared" si="975"/>
        <v>10995.619097254557</v>
      </c>
      <c r="R419">
        <f t="shared" si="976"/>
        <v>39098.006596229825</v>
      </c>
      <c r="S419">
        <f t="shared" si="977"/>
        <v>0.39098006596229823</v>
      </c>
      <c r="T419">
        <f t="shared" si="978"/>
        <v>3.9098006596229821E-4</v>
      </c>
    </row>
    <row r="420" spans="1:20" x14ac:dyDescent="0.25">
      <c r="A420" s="5">
        <v>44173</v>
      </c>
      <c r="B420">
        <v>3.6434000000000002</v>
      </c>
      <c r="C420">
        <v>3.6551999999999998</v>
      </c>
      <c r="D420">
        <v>3.1709999999999998</v>
      </c>
      <c r="E420">
        <v>3.1764999999999999</v>
      </c>
      <c r="F420">
        <v>22743.39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-0.97728211482858296</v>
      </c>
      <c r="Q420">
        <f t="shared" si="975"/>
        <v>-22226.708277571244</v>
      </c>
      <c r="R420">
        <f t="shared" si="976"/>
        <v>28102.387498975269</v>
      </c>
      <c r="S420">
        <f t="shared" si="977"/>
        <v>0.28102387498975268</v>
      </c>
      <c r="T420">
        <f t="shared" si="978"/>
        <v>2.8102387498975267E-4</v>
      </c>
    </row>
    <row r="421" spans="1:20" x14ac:dyDescent="0.25">
      <c r="A421" s="5">
        <v>44172</v>
      </c>
      <c r="B421">
        <v>3.7261000000000002</v>
      </c>
      <c r="C421">
        <v>3.8738999999999999</v>
      </c>
      <c r="D421">
        <v>3.5499000000000001</v>
      </c>
      <c r="E421">
        <v>3.65</v>
      </c>
      <c r="F421">
        <v>62224.55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-0.38209876543209936</v>
      </c>
      <c r="Q421">
        <f t="shared" si="975"/>
        <v>-23775.923734567939</v>
      </c>
      <c r="R421">
        <f t="shared" si="976"/>
        <v>50329.095776546514</v>
      </c>
      <c r="S421">
        <f t="shared" si="977"/>
        <v>0.50329095776546517</v>
      </c>
      <c r="T421">
        <f t="shared" si="978"/>
        <v>5.0329095776546512E-4</v>
      </c>
    </row>
    <row r="422" spans="1:20" x14ac:dyDescent="0.25">
      <c r="A422" s="5">
        <v>44171</v>
      </c>
      <c r="B422">
        <v>3.0884999999999998</v>
      </c>
      <c r="C422">
        <v>3.7719999999999998</v>
      </c>
      <c r="D422">
        <v>2.9767000000000001</v>
      </c>
      <c r="E422">
        <v>3.7185999999999999</v>
      </c>
      <c r="F422">
        <v>78043.839999999997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0.86571105243304436</v>
      </c>
      <c r="Q422">
        <f t="shared" si="975"/>
        <v>67563.414862316116</v>
      </c>
      <c r="R422">
        <f t="shared" si="976"/>
        <v>74105.019511114457</v>
      </c>
      <c r="S422">
        <f t="shared" si="977"/>
        <v>0.74105019511114456</v>
      </c>
      <c r="T422">
        <f t="shared" si="978"/>
        <v>7.4105019511114451E-4</v>
      </c>
    </row>
    <row r="423" spans="1:20" x14ac:dyDescent="0.25">
      <c r="A423" s="5">
        <v>44170</v>
      </c>
      <c r="B423">
        <v>2.86</v>
      </c>
      <c r="C423">
        <v>3.3111999999999999</v>
      </c>
      <c r="D423">
        <v>2.86</v>
      </c>
      <c r="E423">
        <v>3.0181</v>
      </c>
      <c r="F423">
        <v>33786.839999999997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-0.29920212765957399</v>
      </c>
      <c r="Q423">
        <f t="shared" si="975"/>
        <v>-10109.0944148936</v>
      </c>
      <c r="R423">
        <f t="shared" si="976"/>
        <v>6541.604648798344</v>
      </c>
      <c r="S423">
        <f t="shared" si="977"/>
        <v>6.5416046487983437E-2</v>
      </c>
      <c r="T423">
        <f t="shared" si="978"/>
        <v>6.5416046487983437E-5</v>
      </c>
    </row>
    <row r="424" spans="1:20" x14ac:dyDescent="0.25">
      <c r="A424" s="5">
        <v>44169</v>
      </c>
      <c r="B424">
        <v>3.4321000000000002</v>
      </c>
      <c r="C424">
        <v>3.4321000000000002</v>
      </c>
      <c r="D424">
        <v>2.85</v>
      </c>
      <c r="E424">
        <v>2.86</v>
      </c>
      <c r="F424">
        <v>39085.379999999997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-0.96564164232949734</v>
      </c>
      <c r="Q424">
        <f t="shared" si="975"/>
        <v>-37742.470534272485</v>
      </c>
      <c r="R424">
        <f t="shared" si="976"/>
        <v>16650.699063691944</v>
      </c>
      <c r="S424">
        <f t="shared" si="977"/>
        <v>0.16650699063691943</v>
      </c>
      <c r="T424">
        <f t="shared" si="978"/>
        <v>1.6650699063691941E-4</v>
      </c>
    </row>
    <row r="425" spans="1:20" x14ac:dyDescent="0.25">
      <c r="A425" s="5">
        <v>44168</v>
      </c>
      <c r="B425">
        <v>3.4799000000000002</v>
      </c>
      <c r="C425">
        <v>3.7</v>
      </c>
      <c r="D425">
        <v>3.0154000000000001</v>
      </c>
      <c r="E425">
        <v>3.4323999999999999</v>
      </c>
      <c r="F425">
        <v>59594.12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0.21822962313759789</v>
      </c>
      <c r="Q425">
        <f t="shared" si="975"/>
        <v>13005.202348816785</v>
      </c>
      <c r="R425">
        <f t="shared" si="976"/>
        <v>54393.169597964428</v>
      </c>
      <c r="S425">
        <f t="shared" si="977"/>
        <v>0.5439316959796443</v>
      </c>
      <c r="T425">
        <f t="shared" si="978"/>
        <v>5.4393169597964435E-4</v>
      </c>
    </row>
    <row r="426" spans="1:20" x14ac:dyDescent="0.25">
      <c r="A426" s="5">
        <v>44167</v>
      </c>
      <c r="B426">
        <v>2.7505999999999999</v>
      </c>
      <c r="C426">
        <v>3.66</v>
      </c>
      <c r="D426">
        <v>2.6227999999999998</v>
      </c>
      <c r="E426">
        <v>3.4277000000000002</v>
      </c>
      <c r="F426">
        <v>54860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0.55206324720401101</v>
      </c>
      <c r="Q426">
        <f t="shared" si="975"/>
        <v>30286.189741612045</v>
      </c>
      <c r="R426">
        <f t="shared" si="976"/>
        <v>41387.967249147645</v>
      </c>
      <c r="S426">
        <f t="shared" si="977"/>
        <v>0.41387967249147645</v>
      </c>
      <c r="T426">
        <f t="shared" si="978"/>
        <v>4.1387967249147643E-4</v>
      </c>
    </row>
    <row r="427" spans="1:20" x14ac:dyDescent="0.25">
      <c r="A427" s="5">
        <v>44166</v>
      </c>
      <c r="B427">
        <v>3.2726999999999999</v>
      </c>
      <c r="C427">
        <v>3.2726999999999999</v>
      </c>
      <c r="D427">
        <v>2.7339000000000002</v>
      </c>
      <c r="E427">
        <v>2.82</v>
      </c>
      <c r="F427">
        <v>30465.65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-0.68040089086859812</v>
      </c>
      <c r="Q427">
        <f t="shared" si="975"/>
        <v>-20728.855400890909</v>
      </c>
      <c r="R427">
        <f t="shared" si="976"/>
        <v>11101.7775075356</v>
      </c>
      <c r="S427">
        <f t="shared" si="977"/>
        <v>0.111017775075356</v>
      </c>
      <c r="T427">
        <f t="shared" si="978"/>
        <v>1.11017775075356E-4</v>
      </c>
    </row>
    <row r="428" spans="1:20" x14ac:dyDescent="0.25">
      <c r="A428" s="5">
        <v>44165</v>
      </c>
      <c r="B428">
        <v>3.04</v>
      </c>
      <c r="C428">
        <v>3.3999000000000001</v>
      </c>
      <c r="D428">
        <v>3.04</v>
      </c>
      <c r="E428">
        <v>3.2785000000000002</v>
      </c>
      <c r="F428">
        <v>43255.74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0.3253681578216176</v>
      </c>
      <c r="Q428">
        <f t="shared" si="975"/>
        <v>14074.040439010856</v>
      </c>
      <c r="R428">
        <f t="shared" si="976"/>
        <v>31830.632908426509</v>
      </c>
      <c r="S428">
        <f t="shared" si="977"/>
        <v>0.31830632908426509</v>
      </c>
      <c r="T428">
        <f t="shared" si="978"/>
        <v>3.1830632908426507E-4</v>
      </c>
    </row>
    <row r="429" spans="1:20" x14ac:dyDescent="0.25">
      <c r="A429" s="5">
        <v>44164</v>
      </c>
      <c r="B429">
        <v>2.7719</v>
      </c>
      <c r="C429">
        <v>3.1943000000000001</v>
      </c>
      <c r="D429">
        <v>2.6871999999999998</v>
      </c>
      <c r="E429">
        <v>3.0023</v>
      </c>
      <c r="F429">
        <v>18313.12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0.2427529086965094</v>
      </c>
      <c r="Q429">
        <f t="shared" si="975"/>
        <v>4445.5631473082203</v>
      </c>
      <c r="R429">
        <f t="shared" si="976"/>
        <v>17756.592469415653</v>
      </c>
      <c r="S429">
        <f t="shared" si="977"/>
        <v>0.17756592469415652</v>
      </c>
      <c r="T429">
        <f t="shared" si="978"/>
        <v>1.7756592469415653E-4</v>
      </c>
    </row>
    <row r="430" spans="1:20" x14ac:dyDescent="0.25">
      <c r="A430" s="5">
        <v>44163</v>
      </c>
      <c r="B430">
        <v>2.6398000000000001</v>
      </c>
      <c r="C430">
        <v>2.8997999999999999</v>
      </c>
      <c r="D430">
        <v>2.5175000000000001</v>
      </c>
      <c r="E430">
        <v>2.7793000000000001</v>
      </c>
      <c r="F430">
        <v>19044.68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0.36960502223384845</v>
      </c>
      <c r="Q430">
        <f t="shared" si="975"/>
        <v>7039.0093748365289</v>
      </c>
      <c r="R430">
        <f t="shared" si="976"/>
        <v>13311.029322107432</v>
      </c>
      <c r="S430">
        <f t="shared" si="977"/>
        <v>0.13311029322107432</v>
      </c>
      <c r="T430">
        <f t="shared" si="978"/>
        <v>1.3311029322107432E-4</v>
      </c>
    </row>
    <row r="431" spans="1:20" x14ac:dyDescent="0.25">
      <c r="A431" s="5">
        <v>44162</v>
      </c>
      <c r="B431">
        <v>2.6657999999999999</v>
      </c>
      <c r="C431">
        <v>3.0402</v>
      </c>
      <c r="D431">
        <v>2.4247000000000001</v>
      </c>
      <c r="E431">
        <v>2.6873999999999998</v>
      </c>
      <c r="F431">
        <v>75790.880000000005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-0.14638505280260036</v>
      </c>
      <c r="Q431">
        <f t="shared" si="975"/>
        <v>-11094.651970755549</v>
      </c>
      <c r="R431">
        <f t="shared" si="976"/>
        <v>6272.0199472709028</v>
      </c>
      <c r="S431">
        <f t="shared" si="977"/>
        <v>6.2720199472709029E-2</v>
      </c>
      <c r="T431">
        <f t="shared" si="978"/>
        <v>6.272019947270903E-5</v>
      </c>
    </row>
    <row r="432" spans="1:20" x14ac:dyDescent="0.25">
      <c r="A432" s="5">
        <v>44161</v>
      </c>
      <c r="B432">
        <v>2.4455</v>
      </c>
      <c r="C432">
        <v>3.3754</v>
      </c>
      <c r="D432">
        <v>1.7230000000000001</v>
      </c>
      <c r="E432">
        <v>2.6606999999999998</v>
      </c>
      <c r="F432">
        <v>173089.66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0.13495521665456287</v>
      </c>
      <c r="Q432">
        <f t="shared" si="975"/>
        <v>23359.352565964626</v>
      </c>
      <c r="R432">
        <f t="shared" si="976"/>
        <v>17366.671918026452</v>
      </c>
      <c r="S432">
        <f t="shared" si="977"/>
        <v>0.17366671918026452</v>
      </c>
      <c r="T432">
        <f t="shared" si="978"/>
        <v>1.7366671918026452E-4</v>
      </c>
    </row>
    <row r="433" spans="1:20" x14ac:dyDescent="0.25">
      <c r="A433" s="5">
        <v>44160</v>
      </c>
      <c r="B433">
        <v>2.5</v>
      </c>
      <c r="C433">
        <v>2.56</v>
      </c>
      <c r="D433">
        <v>2.0891000000000002</v>
      </c>
      <c r="E433">
        <v>2.3481000000000001</v>
      </c>
      <c r="F433">
        <v>14092.84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0.10002123593119544</v>
      </c>
      <c r="Q433">
        <f t="shared" si="975"/>
        <v>1409.5832745805883</v>
      </c>
      <c r="R433">
        <f t="shared" si="976"/>
        <v>-5992.6806479381739</v>
      </c>
      <c r="S433">
        <f t="shared" si="977"/>
        <v>-5.9926806479381742E-2</v>
      </c>
      <c r="T433">
        <f t="shared" si="978"/>
        <v>-5.9926806479381739E-5</v>
      </c>
    </row>
    <row r="434" spans="1:20" x14ac:dyDescent="0.25">
      <c r="A434" s="5">
        <v>44159</v>
      </c>
      <c r="B434">
        <v>2.7017000000000002</v>
      </c>
      <c r="C434">
        <v>2.7835999999999999</v>
      </c>
      <c r="D434">
        <v>2.3811</v>
      </c>
      <c r="E434">
        <v>2.5142000000000002</v>
      </c>
      <c r="F434">
        <v>7709.31</v>
      </c>
      <c r="G434">
        <v>0</v>
      </c>
      <c r="L434" t="s">
        <v>8</v>
      </c>
      <c r="M434" t="s">
        <v>7</v>
      </c>
      <c r="N434" t="s">
        <v>8</v>
      </c>
      <c r="P434">
        <f t="shared" si="974"/>
        <v>-0.33863354037266952</v>
      </c>
      <c r="Q434">
        <f t="shared" si="975"/>
        <v>-2610.6309391304248</v>
      </c>
      <c r="R434">
        <f t="shared" si="976"/>
        <v>-7402.2639225187622</v>
      </c>
      <c r="S434">
        <f t="shared" si="977"/>
        <v>-7.402263922518762E-2</v>
      </c>
      <c r="T434">
        <f t="shared" si="978"/>
        <v>-7.4022639225187624E-5</v>
      </c>
    </row>
    <row r="435" spans="1:20" x14ac:dyDescent="0.25">
      <c r="A435" s="5">
        <v>44158</v>
      </c>
      <c r="B435">
        <v>2.7721</v>
      </c>
      <c r="C435">
        <v>2.9298999999999999</v>
      </c>
      <c r="D435">
        <v>2.3660000000000001</v>
      </c>
      <c r="E435">
        <v>2.5013000000000001</v>
      </c>
      <c r="F435">
        <v>35558.769999999997</v>
      </c>
      <c r="G435">
        <v>0</v>
      </c>
      <c r="L435" t="s">
        <v>7</v>
      </c>
      <c r="M435" t="s">
        <v>7</v>
      </c>
      <c r="N435" t="s">
        <v>8</v>
      </c>
      <c r="P435">
        <f t="shared" si="974"/>
        <v>-0.5201276822131583</v>
      </c>
      <c r="Q435">
        <f t="shared" si="975"/>
        <v>-18495.100622450784</v>
      </c>
      <c r="R435">
        <f t="shared" si="976"/>
        <v>-4791.6329833883374</v>
      </c>
      <c r="S435">
        <f t="shared" si="977"/>
        <v>-4.7916329833883373E-2</v>
      </c>
      <c r="T435">
        <f t="shared" si="978"/>
        <v>-4.7916329833883371E-5</v>
      </c>
    </row>
    <row r="436" spans="1:20" x14ac:dyDescent="0.25">
      <c r="A436" s="5">
        <v>44157</v>
      </c>
      <c r="B436">
        <v>2.2570000000000001</v>
      </c>
      <c r="C436">
        <v>2.93</v>
      </c>
      <c r="D436">
        <v>2.0297000000000001</v>
      </c>
      <c r="E436">
        <v>2.7143000000000002</v>
      </c>
      <c r="F436">
        <v>19645.669999999998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0.52082639120293239</v>
      </c>
      <c r="Q436">
        <f t="shared" si="975"/>
        <v>10231.983408863713</v>
      </c>
      <c r="R436">
        <f t="shared" si="976"/>
        <v>13703.467639062446</v>
      </c>
      <c r="S436">
        <f t="shared" si="977"/>
        <v>0.13703467639062447</v>
      </c>
      <c r="T436">
        <f t="shared" si="978"/>
        <v>1.3703467639062446E-4</v>
      </c>
    </row>
    <row r="437" spans="1:20" x14ac:dyDescent="0.25">
      <c r="A437" s="5">
        <v>44156</v>
      </c>
      <c r="B437">
        <v>2.0988000000000002</v>
      </c>
      <c r="C437">
        <v>2.39</v>
      </c>
      <c r="D437">
        <v>2.0988000000000002</v>
      </c>
      <c r="E437">
        <v>2.2473000000000001</v>
      </c>
      <c r="F437">
        <v>7383.13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1.9917582417581757E-2</v>
      </c>
      <c r="Q437">
        <f t="shared" si="975"/>
        <v>147.05410027472041</v>
      </c>
      <c r="R437">
        <f t="shared" si="976"/>
        <v>3471.4842301987333</v>
      </c>
      <c r="S437">
        <f t="shared" si="977"/>
        <v>3.4714842301987334E-2</v>
      </c>
      <c r="T437">
        <f t="shared" si="978"/>
        <v>3.4714842301987334E-5</v>
      </c>
    </row>
    <row r="438" spans="1:20" x14ac:dyDescent="0.25">
      <c r="A438" s="5">
        <v>44155</v>
      </c>
      <c r="B438">
        <v>1.925</v>
      </c>
      <c r="C438">
        <v>2.2599999999999998</v>
      </c>
      <c r="D438">
        <v>1.925</v>
      </c>
      <c r="E438">
        <v>2.0988000000000002</v>
      </c>
      <c r="F438">
        <v>18518.810000000001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3.7611940298509318E-2</v>
      </c>
      <c r="Q438">
        <f t="shared" si="975"/>
        <v>696.52837611943744</v>
      </c>
      <c r="R438">
        <f t="shared" si="976"/>
        <v>3324.4301299240128</v>
      </c>
      <c r="S438">
        <f t="shared" si="977"/>
        <v>3.324430129924013E-2</v>
      </c>
      <c r="T438">
        <f t="shared" si="978"/>
        <v>3.3244301299240131E-5</v>
      </c>
    </row>
    <row r="439" spans="1:20" x14ac:dyDescent="0.25">
      <c r="A439" s="5">
        <v>44154</v>
      </c>
      <c r="B439">
        <v>1.9583999999999999</v>
      </c>
      <c r="C439">
        <v>2.1000999999999999</v>
      </c>
      <c r="D439">
        <v>1.861</v>
      </c>
      <c r="E439">
        <v>1.9499</v>
      </c>
      <c r="F439">
        <v>26697.09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-0.25637808448347948</v>
      </c>
      <c r="Q439">
        <f t="shared" si="975"/>
        <v>-6844.5487954830551</v>
      </c>
      <c r="R439">
        <f t="shared" si="976"/>
        <v>2627.9017538045755</v>
      </c>
      <c r="S439">
        <f t="shared" si="977"/>
        <v>2.6279017538045756E-2</v>
      </c>
      <c r="T439">
        <f t="shared" si="978"/>
        <v>2.6279017538045757E-5</v>
      </c>
    </row>
    <row r="440" spans="1:20" x14ac:dyDescent="0.25">
      <c r="A440" s="5">
        <v>44153</v>
      </c>
      <c r="B440">
        <v>1.8011999999999999</v>
      </c>
      <c r="C440">
        <v>2.1</v>
      </c>
      <c r="D440">
        <v>1.653</v>
      </c>
      <c r="E440">
        <v>2.1</v>
      </c>
      <c r="F440">
        <v>29884.240000000002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1</v>
      </c>
      <c r="Q440">
        <f t="shared" si="975"/>
        <v>29884.240000000002</v>
      </c>
      <c r="R440">
        <f t="shared" si="976"/>
        <v>9472.4505492876306</v>
      </c>
      <c r="S440">
        <f t="shared" si="977"/>
        <v>9.472450549287631E-2</v>
      </c>
      <c r="T440">
        <f t="shared" si="978"/>
        <v>9.4724505492876313E-5</v>
      </c>
    </row>
    <row r="441" spans="1:20" x14ac:dyDescent="0.25">
      <c r="A441" s="5">
        <v>44152</v>
      </c>
      <c r="B441">
        <v>2.2099000000000002</v>
      </c>
      <c r="C441">
        <v>2.2867000000000002</v>
      </c>
      <c r="D441">
        <v>1.6535</v>
      </c>
      <c r="E441">
        <v>1.8557999999999999</v>
      </c>
      <c r="F441">
        <v>110734.42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-0.3610233733417566</v>
      </c>
      <c r="Q441">
        <f t="shared" si="975"/>
        <v>-39977.713853442881</v>
      </c>
      <c r="R441">
        <f t="shared" si="976"/>
        <v>-20411.789450712371</v>
      </c>
      <c r="S441">
        <f t="shared" si="977"/>
        <v>-0.2041178945071237</v>
      </c>
      <c r="T441">
        <f t="shared" si="978"/>
        <v>-2.041178945071237E-4</v>
      </c>
    </row>
    <row r="442" spans="1:20" x14ac:dyDescent="0.25">
      <c r="A442" s="5">
        <v>44151</v>
      </c>
      <c r="B442">
        <v>2.0499999999999998</v>
      </c>
      <c r="C442">
        <v>2.5625</v>
      </c>
      <c r="D442">
        <v>1.83</v>
      </c>
      <c r="E442">
        <v>2.2200000000000002</v>
      </c>
      <c r="F442">
        <v>301727.15000000002</v>
      </c>
      <c r="G442">
        <v>0</v>
      </c>
      <c r="P442">
        <f t="shared" si="974"/>
        <v>6.4846416382252997E-2</v>
      </c>
      <c r="Q442">
        <f t="shared" si="975"/>
        <v>19565.92440273051</v>
      </c>
      <c r="R442">
        <f t="shared" si="976"/>
        <v>19565.92440273051</v>
      </c>
      <c r="S442">
        <f t="shared" si="977"/>
        <v>0.19565924402730511</v>
      </c>
      <c r="T442">
        <f t="shared" si="978"/>
        <v>1.9565924402730511E-4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F584" sqref="IF58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$A$583</v>
      </c>
      <c r="D111" s="1" t="str">
        <f>ADDRESS(C121-1,D121,1,1)</f>
        <v>$IF$583</v>
      </c>
      <c r="E111"/>
    </row>
    <row r="112" spans="1:5" x14ac:dyDescent="0.25">
      <c r="A112" s="7">
        <v>12164.144957890772</v>
      </c>
      <c r="C112" s="1" t="str">
        <f>ADDRESS(C121,1,1,1)</f>
        <v>$A$584</v>
      </c>
      <c r="D112" s="1" t="str">
        <f>ADDRESS(C121,D121-1,1,1)</f>
        <v>$IE$584</v>
      </c>
      <c r="E112"/>
    </row>
    <row r="113" spans="1:5" x14ac:dyDescent="0.25">
      <c r="A113" s="7">
        <v>11925.63231165762</v>
      </c>
      <c r="C113" s="1" t="str">
        <f>ADDRESS(C121+1,1,1,1)</f>
        <v>$A$585</v>
      </c>
      <c r="D113" s="1" t="str">
        <f>ADDRESS(C121-1,D121+1,1,1)</f>
        <v>$IG$583</v>
      </c>
    </row>
    <row r="114" spans="1:5" x14ac:dyDescent="0.25">
      <c r="A114" s="7">
        <v>11691.796383978059</v>
      </c>
      <c r="C114" s="1" t="str">
        <f>ADDRESS(C121,D121,1,1)</f>
        <v>$IF$584</v>
      </c>
      <c r="D114" s="1" t="str">
        <f>ADDRESS(C121+1,D121+1,1,1)</f>
        <v>$IG$585</v>
      </c>
    </row>
    <row r="115" spans="1:5" x14ac:dyDescent="0.25">
      <c r="A115" s="7">
        <v>11462.545474488292</v>
      </c>
      <c r="C115" s="1" t="str">
        <f>ADDRESS(C121+1,D121,1,1)</f>
        <v>$IF$585</v>
      </c>
    </row>
    <row r="116" spans="1:5" x14ac:dyDescent="0.25">
      <c r="A116" s="7">
        <v>11237.789680870874</v>
      </c>
      <c r="C116" s="1">
        <f>C117-1</f>
        <v>583</v>
      </c>
    </row>
    <row r="117" spans="1:5" x14ac:dyDescent="0.25">
      <c r="A117" s="7">
        <v>11017.440863598895</v>
      </c>
      <c r="C117" s="1">
        <f>C121</f>
        <v>584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585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584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R584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1.0612079999999999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176" x14ac:dyDescent="0.25">
      <c r="A465" s="7">
        <v>11.200075620783522</v>
      </c>
      <c r="B465"/>
      <c r="C465"/>
      <c r="D465"/>
      <c r="E465"/>
    </row>
    <row r="466" spans="1:176" x14ac:dyDescent="0.25">
      <c r="A466" s="7">
        <v>10.980466294885806</v>
      </c>
      <c r="B466"/>
      <c r="C466"/>
      <c r="D466"/>
      <c r="E466"/>
    </row>
    <row r="467" spans="1:176" x14ac:dyDescent="0.25">
      <c r="A467" s="7">
        <v>10.765163034201771</v>
      </c>
      <c r="B467"/>
      <c r="C467"/>
      <c r="D467"/>
      <c r="E467"/>
    </row>
    <row r="468" spans="1:176" x14ac:dyDescent="0.25">
      <c r="A468" s="7">
        <v>10.554081406080169</v>
      </c>
      <c r="B468"/>
      <c r="C468"/>
      <c r="D468"/>
      <c r="E468"/>
    </row>
    <row r="469" spans="1:176" x14ac:dyDescent="0.25">
      <c r="A469" s="7">
        <v>10.34713863341193</v>
      </c>
      <c r="B469"/>
      <c r="C469"/>
      <c r="D469"/>
      <c r="E469"/>
    </row>
    <row r="470" spans="1:176" x14ac:dyDescent="0.25">
      <c r="A470" s="7">
        <v>10.14425356216856</v>
      </c>
      <c r="B470"/>
      <c r="C470"/>
      <c r="D470"/>
      <c r="E470"/>
    </row>
    <row r="471" spans="1:176" x14ac:dyDescent="0.25">
      <c r="A471" s="7">
        <v>9.9453466295770188</v>
      </c>
      <c r="B471"/>
      <c r="C471"/>
      <c r="D471"/>
      <c r="E471"/>
      <c r="FS471" s="27" t="s">
        <v>8</v>
      </c>
    </row>
    <row r="472" spans="1:176" x14ac:dyDescent="0.25">
      <c r="A472" s="7">
        <v>9.7503398329186464</v>
      </c>
      <c r="B472"/>
      <c r="C472"/>
      <c r="D472"/>
      <c r="E472"/>
      <c r="FS472" s="27" t="s">
        <v>8</v>
      </c>
      <c r="FT472" s="27" t="s">
        <v>7</v>
      </c>
    </row>
    <row r="473" spans="1:176" x14ac:dyDescent="0.25">
      <c r="A473" s="7">
        <v>9.5591566989398498</v>
      </c>
      <c r="B473"/>
      <c r="C473"/>
      <c r="D473"/>
      <c r="E473"/>
      <c r="FS473" s="27" t="s">
        <v>8</v>
      </c>
      <c r="FT473" s="27" t="s">
        <v>7</v>
      </c>
    </row>
    <row r="474" spans="1:176" x14ac:dyDescent="0.25">
      <c r="A474" s="7">
        <v>9.3717222538625968</v>
      </c>
      <c r="B474"/>
      <c r="C474"/>
      <c r="D474"/>
      <c r="E474"/>
      <c r="FS474" s="27" t="s">
        <v>8</v>
      </c>
      <c r="FT474" s="27" t="s">
        <v>7</v>
      </c>
    </row>
    <row r="475" spans="1:176" x14ac:dyDescent="0.25">
      <c r="A475" s="7">
        <v>9.1879629939829375</v>
      </c>
      <c r="B475"/>
      <c r="C475"/>
      <c r="D475"/>
      <c r="E475"/>
      <c r="FS475" s="27" t="s">
        <v>8</v>
      </c>
      <c r="FT475" s="27" t="s">
        <v>7</v>
      </c>
    </row>
    <row r="476" spans="1:176" x14ac:dyDescent="0.25">
      <c r="A476" s="7">
        <v>9.0078068568460168</v>
      </c>
      <c r="B476"/>
      <c r="C476"/>
      <c r="D476"/>
      <c r="E476"/>
      <c r="FS476" s="27" t="s">
        <v>8</v>
      </c>
      <c r="FT476" s="27" t="s">
        <v>7</v>
      </c>
    </row>
    <row r="477" spans="1:176" x14ac:dyDescent="0.25">
      <c r="A477" s="7">
        <v>8.8311831929862912</v>
      </c>
      <c r="B477"/>
      <c r="C477"/>
      <c r="D477"/>
      <c r="E477"/>
      <c r="FS477" s="27" t="s">
        <v>8</v>
      </c>
      <c r="FT477" s="27" t="s">
        <v>7</v>
      </c>
    </row>
    <row r="478" spans="1:176" x14ac:dyDescent="0.25">
      <c r="A478" s="7">
        <v>8.6580227382218542</v>
      </c>
      <c r="B478"/>
      <c r="C478"/>
      <c r="D478"/>
      <c r="E478"/>
      <c r="FS478" s="27" t="s">
        <v>8</v>
      </c>
      <c r="FT478" s="27" t="s">
        <v>7</v>
      </c>
    </row>
    <row r="479" spans="1:176" x14ac:dyDescent="0.25">
      <c r="A479" s="7">
        <v>8.4882575864920131</v>
      </c>
      <c r="B479"/>
      <c r="C479"/>
      <c r="D479"/>
      <c r="E479"/>
      <c r="FS479" s="27" t="s">
        <v>8</v>
      </c>
      <c r="FT479" s="27" t="s">
        <v>7</v>
      </c>
    </row>
    <row r="480" spans="1:176" x14ac:dyDescent="0.25">
      <c r="A480" s="7">
        <v>8.3218211632274635</v>
      </c>
      <c r="B480"/>
      <c r="C480"/>
      <c r="D480"/>
      <c r="E480"/>
      <c r="FS480" s="27" t="s">
        <v>8</v>
      </c>
      <c r="FT480" s="27" t="s">
        <v>7</v>
      </c>
    </row>
    <row r="481" spans="1:176" x14ac:dyDescent="0.25">
      <c r="A481" s="7">
        <v>8.1586481992426112</v>
      </c>
      <c r="B481"/>
      <c r="C481"/>
      <c r="D481"/>
      <c r="E481"/>
      <c r="FS481" s="27" t="s">
        <v>8</v>
      </c>
      <c r="FT481" s="27" t="s">
        <v>7</v>
      </c>
    </row>
    <row r="482" spans="1:176" x14ac:dyDescent="0.25">
      <c r="A482" s="7">
        <v>7.9986747051398144</v>
      </c>
      <c r="B482"/>
      <c r="C482"/>
      <c r="D482"/>
      <c r="E482"/>
      <c r="FS482" s="27" t="s">
        <v>8</v>
      </c>
      <c r="FT482" s="27" t="s">
        <v>7</v>
      </c>
    </row>
    <row r="483" spans="1:176" x14ac:dyDescent="0.25">
      <c r="A483" s="7">
        <v>7.8418379462155041</v>
      </c>
      <c r="B483"/>
      <c r="C483"/>
      <c r="D483"/>
      <c r="E483"/>
      <c r="FS483" s="27" t="s">
        <v>8</v>
      </c>
      <c r="FT483" s="27" t="s">
        <v>7</v>
      </c>
    </row>
    <row r="484" spans="1:176" x14ac:dyDescent="0.25">
      <c r="A484" s="7">
        <v>7.688076417858337</v>
      </c>
      <c r="B484"/>
      <c r="C484"/>
      <c r="D484"/>
      <c r="E484"/>
      <c r="FS484" s="27" t="s">
        <v>8</v>
      </c>
      <c r="FT484" s="27" t="s">
        <v>7</v>
      </c>
    </row>
    <row r="485" spans="1:176" x14ac:dyDescent="0.25">
      <c r="A485" s="7">
        <v>7.5373298214297417</v>
      </c>
      <c r="B485"/>
      <c r="C485"/>
      <c r="D485"/>
      <c r="E485"/>
      <c r="FS485" s="27" t="s">
        <v>8</v>
      </c>
      <c r="FT485" s="27" t="s">
        <v>7</v>
      </c>
    </row>
    <row r="486" spans="1:176" x14ac:dyDescent="0.25">
      <c r="A486" s="7">
        <v>7.389539040617394</v>
      </c>
      <c r="B486"/>
      <c r="C486"/>
      <c r="D486"/>
      <c r="E486"/>
      <c r="FS486" s="27" t="s">
        <v>8</v>
      </c>
      <c r="FT486" s="27" t="s">
        <v>7</v>
      </c>
    </row>
    <row r="487" spans="1:176" x14ac:dyDescent="0.25">
      <c r="A487" s="7">
        <v>7.2446461182523469</v>
      </c>
      <c r="B487"/>
      <c r="C487"/>
      <c r="D487"/>
      <c r="E487"/>
      <c r="FS487" s="27" t="s">
        <v>8</v>
      </c>
      <c r="FT487" s="27" t="s">
        <v>7</v>
      </c>
    </row>
    <row r="488" spans="1:176" x14ac:dyDescent="0.25">
      <c r="A488" s="7">
        <v>7.1025942335807324</v>
      </c>
      <c r="B488"/>
      <c r="C488"/>
      <c r="D488"/>
      <c r="E488"/>
      <c r="FS488" s="27" t="s">
        <v>8</v>
      </c>
      <c r="FT488" s="27" t="s">
        <v>7</v>
      </c>
    </row>
    <row r="489" spans="1:176" x14ac:dyDescent="0.25">
      <c r="A489" s="7">
        <v>6.9633276799811101</v>
      </c>
      <c r="B489"/>
      <c r="C489"/>
      <c r="D489"/>
      <c r="E489"/>
      <c r="FS489" s="27" t="s">
        <v>8</v>
      </c>
      <c r="FT489" s="27" t="s">
        <v>7</v>
      </c>
    </row>
    <row r="490" spans="1:176" x14ac:dyDescent="0.25">
      <c r="A490" s="7">
        <v>6.8267918431187349</v>
      </c>
      <c r="B490"/>
      <c r="C490"/>
      <c r="D490"/>
      <c r="E490"/>
      <c r="FS490" s="27" t="s">
        <v>8</v>
      </c>
      <c r="FT490" s="27" t="s">
        <v>7</v>
      </c>
    </row>
    <row r="491" spans="1:176" x14ac:dyDescent="0.25">
      <c r="A491" s="7">
        <v>6.692933179528171</v>
      </c>
      <c r="B491"/>
      <c r="C491"/>
      <c r="D491"/>
      <c r="E491"/>
      <c r="FS491" s="27" t="s">
        <v>8</v>
      </c>
      <c r="FT491" s="27" t="s">
        <v>7</v>
      </c>
    </row>
    <row r="492" spans="1:176" x14ac:dyDescent="0.25">
      <c r="A492" s="7">
        <v>6.5616991956158541</v>
      </c>
      <c r="B492"/>
      <c r="C492"/>
      <c r="D492"/>
      <c r="E492"/>
      <c r="FS492" s="27" t="s">
        <v>8</v>
      </c>
      <c r="FT492" s="27" t="s">
        <v>7</v>
      </c>
    </row>
    <row r="493" spans="1:176" x14ac:dyDescent="0.25">
      <c r="A493" s="7">
        <v>6.4330384270743668</v>
      </c>
      <c r="B493"/>
      <c r="C493"/>
      <c r="D493"/>
      <c r="E493"/>
      <c r="FS493" s="27" t="s">
        <v>8</v>
      </c>
      <c r="FT493" s="27" t="s">
        <v>7</v>
      </c>
    </row>
    <row r="494" spans="1:176" x14ac:dyDescent="0.25">
      <c r="A494" s="7">
        <v>6.3069004187003594</v>
      </c>
      <c r="B494"/>
      <c r="C494"/>
      <c r="D494"/>
      <c r="E494"/>
      <c r="FS494" s="27" t="s">
        <v>8</v>
      </c>
      <c r="FT494" s="27" t="s">
        <v>7</v>
      </c>
    </row>
    <row r="495" spans="1:176" x14ac:dyDescent="0.25">
      <c r="A495" s="7">
        <v>6.1832357046081956</v>
      </c>
      <c r="B495"/>
      <c r="C495"/>
      <c r="D495"/>
      <c r="E495"/>
      <c r="FS495" s="27" t="s">
        <v>8</v>
      </c>
      <c r="FT495" s="27" t="s">
        <v>7</v>
      </c>
    </row>
    <row r="496" spans="1:176" x14ac:dyDescent="0.25">
      <c r="A496" s="7">
        <v>6.0619957888315641</v>
      </c>
      <c r="B496"/>
      <c r="C496"/>
      <c r="D496"/>
      <c r="E496"/>
      <c r="FS496" s="27" t="s">
        <v>8</v>
      </c>
      <c r="FT496" s="27" t="s">
        <v>7</v>
      </c>
    </row>
    <row r="497" spans="1:176" x14ac:dyDescent="0.25">
      <c r="A497" s="7">
        <v>5.9431331263054545</v>
      </c>
      <c r="B497"/>
      <c r="C497"/>
      <c r="D497"/>
      <c r="E497"/>
      <c r="FS497" s="27" t="s">
        <v>8</v>
      </c>
      <c r="FT497" s="27" t="s">
        <v>7</v>
      </c>
    </row>
    <row r="498" spans="1:176" x14ac:dyDescent="0.25">
      <c r="A498" s="7">
        <v>5.8266011042210337</v>
      </c>
      <c r="B498"/>
      <c r="C498"/>
      <c r="D498"/>
      <c r="E498"/>
      <c r="FS498" s="27" t="s">
        <v>8</v>
      </c>
      <c r="FT498" s="27" t="s">
        <v>7</v>
      </c>
    </row>
    <row r="499" spans="1:176" x14ac:dyDescent="0.25">
      <c r="A499" s="7">
        <v>5.7123540237461112</v>
      </c>
      <c r="B499"/>
      <c r="C499"/>
      <c r="D499"/>
      <c r="E499"/>
      <c r="FS499" s="27" t="s">
        <v>8</v>
      </c>
      <c r="FT499" s="27" t="s">
        <v>7</v>
      </c>
    </row>
    <row r="500" spans="1:176" x14ac:dyDescent="0.25">
      <c r="A500" s="7">
        <v>5.6003470821040304</v>
      </c>
      <c r="B500"/>
      <c r="C500"/>
      <c r="D500"/>
      <c r="E500"/>
      <c r="FS500" s="27" t="s">
        <v>8</v>
      </c>
      <c r="FT500" s="27" t="s">
        <v>7</v>
      </c>
    </row>
    <row r="501" spans="1:176" x14ac:dyDescent="0.25">
      <c r="A501" s="7">
        <v>5.4905363550039512</v>
      </c>
      <c r="B501"/>
      <c r="C501"/>
      <c r="D501"/>
      <c r="E501"/>
      <c r="FS501" s="27" t="s">
        <v>8</v>
      </c>
      <c r="FT501" s="27" t="s">
        <v>7</v>
      </c>
    </row>
    <row r="502" spans="1:176" x14ac:dyDescent="0.25">
      <c r="A502" s="7">
        <v>5.3828787794156385</v>
      </c>
      <c r="B502"/>
      <c r="C502"/>
      <c r="D502"/>
      <c r="E502"/>
      <c r="FS502" s="27" t="s">
        <v>8</v>
      </c>
      <c r="FT502" s="27" t="s">
        <v>7</v>
      </c>
    </row>
    <row r="503" spans="1:176" x14ac:dyDescent="0.25">
      <c r="A503" s="7">
        <v>5.2773321366819985</v>
      </c>
      <c r="B503"/>
      <c r="C503"/>
      <c r="D503"/>
      <c r="E503"/>
      <c r="FS503" s="27" t="s">
        <v>8</v>
      </c>
      <c r="FT503" s="27" t="s">
        <v>7</v>
      </c>
    </row>
    <row r="504" spans="1:176" x14ac:dyDescent="0.25">
      <c r="A504" s="7">
        <v>5.1738550359627435</v>
      </c>
      <c r="B504"/>
      <c r="C504"/>
      <c r="D504"/>
      <c r="E504"/>
      <c r="FS504" s="27" t="s">
        <v>8</v>
      </c>
      <c r="FT504" s="27" t="s">
        <v>7</v>
      </c>
    </row>
    <row r="505" spans="1:176" x14ac:dyDescent="0.25">
      <c r="A505" s="7">
        <v>5.07240689800269</v>
      </c>
      <c r="B505"/>
      <c r="C505"/>
      <c r="D505"/>
      <c r="E505"/>
      <c r="FS505" s="27" t="s">
        <v>8</v>
      </c>
      <c r="FT505" s="27" t="s">
        <v>7</v>
      </c>
    </row>
    <row r="506" spans="1:176" x14ac:dyDescent="0.25">
      <c r="A506" s="7">
        <v>4.9729479392183231</v>
      </c>
      <c r="B506"/>
      <c r="C506"/>
      <c r="D506"/>
      <c r="E506"/>
      <c r="FS506" s="27" t="s">
        <v>8</v>
      </c>
      <c r="FT506" s="27" t="s">
        <v>7</v>
      </c>
    </row>
    <row r="507" spans="1:176" x14ac:dyDescent="0.25">
      <c r="A507" s="7">
        <v>4.8754391560963954</v>
      </c>
      <c r="B507"/>
      <c r="C507"/>
      <c r="D507"/>
      <c r="E507"/>
      <c r="AY507" s="27" t="s">
        <v>8</v>
      </c>
      <c r="FS507" s="27" t="s">
        <v>8</v>
      </c>
      <c r="FT507" s="27" t="s">
        <v>7</v>
      </c>
    </row>
    <row r="508" spans="1:176" x14ac:dyDescent="0.25">
      <c r="A508" s="7">
        <v>4.7798423098984264</v>
      </c>
      <c r="B508"/>
      <c r="C508"/>
      <c r="D508"/>
      <c r="E508"/>
      <c r="AY508" s="27" t="s">
        <v>8</v>
      </c>
      <c r="AZ508" s="27" t="s">
        <v>7</v>
      </c>
      <c r="BC508" s="27" t="s">
        <v>8</v>
      </c>
      <c r="FS508" s="27" t="s">
        <v>8</v>
      </c>
      <c r="FT508" s="27" t="s">
        <v>7</v>
      </c>
    </row>
    <row r="509" spans="1:176" x14ac:dyDescent="0.25">
      <c r="A509" s="7">
        <v>4.6861199116651235</v>
      </c>
      <c r="B509"/>
      <c r="C509"/>
      <c r="D509"/>
      <c r="E509"/>
      <c r="AY509" s="27" t="s">
        <v>8</v>
      </c>
      <c r="AZ509" s="27" t="s">
        <v>7</v>
      </c>
      <c r="BC509" s="27" t="s">
        <v>8</v>
      </c>
      <c r="BD509" s="27" t="s">
        <v>7</v>
      </c>
      <c r="FS509" s="27" t="s">
        <v>8</v>
      </c>
      <c r="FT509" s="27" t="s">
        <v>7</v>
      </c>
    </row>
    <row r="510" spans="1:176" x14ac:dyDescent="0.25">
      <c r="A510" s="7">
        <v>4.5942352075148269</v>
      </c>
      <c r="B510"/>
      <c r="C510"/>
      <c r="D510"/>
      <c r="E510"/>
      <c r="AY510" s="27" t="s">
        <v>8</v>
      </c>
      <c r="AZ510" s="27" t="s">
        <v>7</v>
      </c>
      <c r="BC510" s="27" t="s">
        <v>8</v>
      </c>
      <c r="BD510" s="27" t="s">
        <v>7</v>
      </c>
      <c r="FS510" s="27" t="s">
        <v>8</v>
      </c>
      <c r="FT510" s="27" t="s">
        <v>7</v>
      </c>
    </row>
    <row r="511" spans="1:176" x14ac:dyDescent="0.25">
      <c r="A511" s="7">
        <v>4.5041521642302227</v>
      </c>
      <c r="B511"/>
      <c r="C511"/>
      <c r="D511"/>
      <c r="E511"/>
      <c r="AY511" s="27" t="s">
        <v>8</v>
      </c>
      <c r="AZ511" s="27" t="s">
        <v>7</v>
      </c>
      <c r="BC511" s="27" t="s">
        <v>8</v>
      </c>
      <c r="BD511" s="27" t="s">
        <v>7</v>
      </c>
      <c r="FS511" s="27" t="s">
        <v>8</v>
      </c>
      <c r="FT511" s="27" t="s">
        <v>7</v>
      </c>
    </row>
    <row r="512" spans="1:176" x14ac:dyDescent="0.25">
      <c r="A512" s="7">
        <v>4.4158354551276693</v>
      </c>
      <c r="B512"/>
      <c r="C512"/>
      <c r="D512"/>
      <c r="E512"/>
      <c r="AY512" s="27" t="s">
        <v>8</v>
      </c>
      <c r="AZ512" s="27" t="s">
        <v>7</v>
      </c>
      <c r="BA512" s="27" t="s">
        <v>8</v>
      </c>
      <c r="BC512" s="27" t="s">
        <v>8</v>
      </c>
      <c r="BD512" s="27" t="s">
        <v>7</v>
      </c>
      <c r="FS512" s="27" t="s">
        <v>8</v>
      </c>
      <c r="FT512" s="27" t="s">
        <v>7</v>
      </c>
    </row>
    <row r="513" spans="1:179" x14ac:dyDescent="0.25">
      <c r="A513" s="7">
        <v>4.3292504462035977</v>
      </c>
      <c r="B513"/>
      <c r="C513"/>
      <c r="D513"/>
      <c r="E513"/>
      <c r="AY513" s="27" t="s">
        <v>8</v>
      </c>
      <c r="AZ513" s="27" t="s">
        <v>7</v>
      </c>
      <c r="BA513" s="27" t="s">
        <v>8</v>
      </c>
      <c r="BB513" s="27" t="s">
        <v>7</v>
      </c>
      <c r="BC513" s="27" t="s">
        <v>8</v>
      </c>
      <c r="BD513" s="27" t="s">
        <v>7</v>
      </c>
      <c r="FS513" s="27" t="s">
        <v>8</v>
      </c>
      <c r="FT513" s="27" t="s">
        <v>7</v>
      </c>
    </row>
    <row r="514" spans="1:179" x14ac:dyDescent="0.25">
      <c r="A514" s="7">
        <v>4.2443631825525463</v>
      </c>
      <c r="B514"/>
      <c r="C514"/>
      <c r="D514"/>
      <c r="E514"/>
      <c r="AY514" s="27" t="s">
        <v>8</v>
      </c>
      <c r="AZ514" s="27" t="s">
        <v>7</v>
      </c>
      <c r="BA514" s="27" t="s">
        <v>8</v>
      </c>
      <c r="BB514" s="27" t="s">
        <v>7</v>
      </c>
      <c r="BC514" s="27" t="s">
        <v>8</v>
      </c>
      <c r="BD514" s="27" t="s">
        <v>7</v>
      </c>
      <c r="FS514" s="27" t="s">
        <v>8</v>
      </c>
      <c r="FT514" s="27" t="s">
        <v>7</v>
      </c>
    </row>
    <row r="515" spans="1:179" x14ac:dyDescent="0.25">
      <c r="A515" s="7">
        <v>4.1611403750515157</v>
      </c>
      <c r="B515"/>
      <c r="C515"/>
      <c r="D515"/>
      <c r="E515"/>
      <c r="AY515" s="27" t="s">
        <v>8</v>
      </c>
      <c r="AZ515" s="27" t="s">
        <v>7</v>
      </c>
      <c r="BA515" s="27" t="s">
        <v>8</v>
      </c>
      <c r="BB515" s="27" t="s">
        <v>7</v>
      </c>
      <c r="BC515" s="27" t="s">
        <v>8</v>
      </c>
      <c r="BD515" s="27" t="s">
        <v>7</v>
      </c>
      <c r="CK515" s="27" t="s">
        <v>8</v>
      </c>
      <c r="FS515" s="27" t="s">
        <v>8</v>
      </c>
      <c r="FT515" s="27" t="s">
        <v>7</v>
      </c>
    </row>
    <row r="516" spans="1:179" x14ac:dyDescent="0.25">
      <c r="A516" s="7">
        <v>4.0795493873054074</v>
      </c>
      <c r="B516"/>
      <c r="C516"/>
      <c r="D516"/>
      <c r="E516"/>
      <c r="AY516" s="27" t="s">
        <v>8</v>
      </c>
      <c r="AZ516" s="27" t="s">
        <v>7</v>
      </c>
      <c r="BA516" s="27" t="s">
        <v>8</v>
      </c>
      <c r="BB516" s="27" t="s">
        <v>7</v>
      </c>
      <c r="BC516" s="27" t="s">
        <v>8</v>
      </c>
      <c r="BD516" s="27" t="s">
        <v>7</v>
      </c>
      <c r="CK516" s="27" t="s">
        <v>8</v>
      </c>
      <c r="CL516" s="27" t="s">
        <v>7</v>
      </c>
      <c r="FS516" s="27" t="s">
        <v>8</v>
      </c>
      <c r="FT516" s="27" t="s">
        <v>7</v>
      </c>
    </row>
    <row r="517" spans="1:179" x14ac:dyDescent="0.25">
      <c r="A517" s="7">
        <v>3.9995582228484383</v>
      </c>
      <c r="B517"/>
      <c r="C517"/>
      <c r="D517"/>
      <c r="E517"/>
      <c r="AY517" s="27" t="s">
        <v>8</v>
      </c>
      <c r="AZ517" s="27" t="s">
        <v>7</v>
      </c>
      <c r="BA517" s="27" t="s">
        <v>8</v>
      </c>
      <c r="BB517" s="27" t="s">
        <v>7</v>
      </c>
      <c r="BC517" s="27" t="s">
        <v>8</v>
      </c>
      <c r="BD517" s="27" t="s">
        <v>7</v>
      </c>
      <c r="CC517" s="27" t="s">
        <v>8</v>
      </c>
      <c r="CK517" s="27" t="s">
        <v>8</v>
      </c>
      <c r="CL517" s="27" t="s">
        <v>7</v>
      </c>
      <c r="FS517" s="27" t="s">
        <v>8</v>
      </c>
      <c r="FT517" s="27" t="s">
        <v>7</v>
      </c>
    </row>
    <row r="518" spans="1:179" x14ac:dyDescent="0.25">
      <c r="A518" s="7">
        <v>3.9211355125965079</v>
      </c>
      <c r="B518"/>
      <c r="C518"/>
      <c r="D518"/>
      <c r="E518"/>
      <c r="S518" s="27" t="s">
        <v>8</v>
      </c>
      <c r="AY518" s="27" t="s">
        <v>8</v>
      </c>
      <c r="AZ518" s="27" t="s">
        <v>7</v>
      </c>
      <c r="BA518" s="27" t="s">
        <v>8</v>
      </c>
      <c r="BB518" s="27" t="s">
        <v>7</v>
      </c>
      <c r="BC518" s="27" t="s">
        <v>8</v>
      </c>
      <c r="BD518" s="27" t="s">
        <v>7</v>
      </c>
      <c r="CC518" s="27" t="s">
        <v>8</v>
      </c>
      <c r="CD518" s="27" t="s">
        <v>7</v>
      </c>
      <c r="CK518" s="27" t="s">
        <v>8</v>
      </c>
      <c r="CL518" s="27" t="s">
        <v>7</v>
      </c>
      <c r="FS518" s="27" t="s">
        <v>8</v>
      </c>
      <c r="FT518" s="27" t="s">
        <v>7</v>
      </c>
    </row>
    <row r="519" spans="1:179" x14ac:dyDescent="0.25">
      <c r="A519" s="7">
        <v>3.844250502545596</v>
      </c>
      <c r="B519"/>
      <c r="C519"/>
      <c r="D519"/>
      <c r="E519"/>
      <c r="Q519" s="27" t="s">
        <v>8</v>
      </c>
      <c r="S519" s="27" t="s">
        <v>8</v>
      </c>
      <c r="T519" s="27" t="s">
        <v>7</v>
      </c>
      <c r="AY519" s="27" t="s">
        <v>8</v>
      </c>
      <c r="AZ519" s="27" t="s">
        <v>7</v>
      </c>
      <c r="BA519" s="27" t="s">
        <v>8</v>
      </c>
      <c r="BB519" s="27" t="s">
        <v>7</v>
      </c>
      <c r="BC519" s="27" t="s">
        <v>8</v>
      </c>
      <c r="BD519" s="27" t="s">
        <v>7</v>
      </c>
      <c r="CC519" s="27" t="s">
        <v>8</v>
      </c>
      <c r="CD519" s="27" t="s">
        <v>7</v>
      </c>
      <c r="CI519" s="27" t="s">
        <v>8</v>
      </c>
      <c r="CK519" s="27" t="s">
        <v>8</v>
      </c>
      <c r="CL519" s="27" t="s">
        <v>7</v>
      </c>
      <c r="FS519" s="27" t="s">
        <v>8</v>
      </c>
      <c r="FT519" s="27" t="s">
        <v>7</v>
      </c>
    </row>
    <row r="520" spans="1:179" x14ac:dyDescent="0.25">
      <c r="A520" s="7">
        <v>3.7688730417113687</v>
      </c>
      <c r="B520"/>
      <c r="C520"/>
      <c r="D520"/>
      <c r="E520"/>
      <c r="Q520" s="27" t="s">
        <v>8</v>
      </c>
      <c r="R520" s="27" t="s">
        <v>7</v>
      </c>
      <c r="S520" s="27" t="s">
        <v>8</v>
      </c>
      <c r="T520" s="27" t="s">
        <v>7</v>
      </c>
      <c r="AY520" s="27" t="s">
        <v>8</v>
      </c>
      <c r="AZ520" s="27" t="s">
        <v>7</v>
      </c>
      <c r="BA520" s="27" t="s">
        <v>8</v>
      </c>
      <c r="BB520" s="27" t="s">
        <v>7</v>
      </c>
      <c r="BC520" s="27" t="s">
        <v>8</v>
      </c>
      <c r="BD520" s="27" t="s">
        <v>7</v>
      </c>
      <c r="CC520" s="27" t="s">
        <v>8</v>
      </c>
      <c r="CD520" s="27" t="s">
        <v>7</v>
      </c>
      <c r="CE520" s="27" t="s">
        <v>8</v>
      </c>
      <c r="CG520" s="27" t="s">
        <v>8</v>
      </c>
      <c r="CI520" s="27" t="s">
        <v>8</v>
      </c>
      <c r="CJ520" s="27" t="s">
        <v>7</v>
      </c>
      <c r="CK520" s="27" t="s">
        <v>8</v>
      </c>
      <c r="CL520" s="27" t="s">
        <v>7</v>
      </c>
      <c r="FS520" s="27" t="s">
        <v>8</v>
      </c>
      <c r="FT520" s="27" t="s">
        <v>7</v>
      </c>
    </row>
    <row r="521" spans="1:179" x14ac:dyDescent="0.25">
      <c r="A521" s="7">
        <v>3.6949735703052635</v>
      </c>
      <c r="B521"/>
      <c r="C521"/>
      <c r="D521"/>
      <c r="E521"/>
      <c r="O521" s="27" t="s">
        <v>8</v>
      </c>
      <c r="Q521" s="27" t="s">
        <v>8</v>
      </c>
      <c r="R521" s="27" t="s">
        <v>7</v>
      </c>
      <c r="S521" s="27" t="s">
        <v>8</v>
      </c>
      <c r="T521" s="27" t="s">
        <v>7</v>
      </c>
      <c r="U521" s="27" t="s">
        <v>8</v>
      </c>
      <c r="AY521" s="27" t="s">
        <v>8</v>
      </c>
      <c r="AZ521" s="27" t="s">
        <v>7</v>
      </c>
      <c r="BA521" s="27" t="s">
        <v>8</v>
      </c>
      <c r="BB521" s="27" t="s">
        <v>7</v>
      </c>
      <c r="BC521" s="27" t="s">
        <v>8</v>
      </c>
      <c r="BD521" s="27" t="s">
        <v>7</v>
      </c>
      <c r="CC521" s="27" t="s">
        <v>8</v>
      </c>
      <c r="CD521" s="27" t="s">
        <v>7</v>
      </c>
      <c r="CE521" s="27" t="s">
        <v>8</v>
      </c>
      <c r="CF521" s="27" t="s">
        <v>7</v>
      </c>
      <c r="CG521" s="27" t="s">
        <v>8</v>
      </c>
      <c r="CH521" s="27" t="s">
        <v>7</v>
      </c>
      <c r="CI521" s="27" t="s">
        <v>8</v>
      </c>
      <c r="CJ521" s="27" t="s">
        <v>7</v>
      </c>
      <c r="CK521" s="27" t="s">
        <v>8</v>
      </c>
      <c r="CL521" s="27" t="s">
        <v>7</v>
      </c>
      <c r="FS521" s="27" t="s">
        <v>8</v>
      </c>
      <c r="FT521" s="27" t="s">
        <v>7</v>
      </c>
    </row>
    <row r="522" spans="1:179" x14ac:dyDescent="0.25">
      <c r="A522" s="7">
        <v>3.6225231081424152</v>
      </c>
      <c r="B522"/>
      <c r="C522"/>
      <c r="D522"/>
      <c r="E522"/>
      <c r="O522" s="27" t="s">
        <v>8</v>
      </c>
      <c r="P522" s="27" t="s">
        <v>7</v>
      </c>
      <c r="Q522" s="27" t="s">
        <v>8</v>
      </c>
      <c r="R522" s="27" t="s">
        <v>7</v>
      </c>
      <c r="S522" s="27" t="s">
        <v>8</v>
      </c>
      <c r="T522" s="27" t="s">
        <v>7</v>
      </c>
      <c r="U522" s="27" t="s">
        <v>8</v>
      </c>
      <c r="V522" s="27" t="s">
        <v>7</v>
      </c>
      <c r="AY522" s="27" t="s">
        <v>8</v>
      </c>
      <c r="AZ522" s="27" t="s">
        <v>7</v>
      </c>
      <c r="BA522" s="27" t="s">
        <v>8</v>
      </c>
      <c r="BB522" s="27" t="s">
        <v>7</v>
      </c>
      <c r="BC522" s="27" t="s">
        <v>8</v>
      </c>
      <c r="BD522" s="27" t="s">
        <v>7</v>
      </c>
      <c r="CC522" s="27" t="s">
        <v>8</v>
      </c>
      <c r="CD522" s="27" t="s">
        <v>7</v>
      </c>
      <c r="CE522" s="27" t="s">
        <v>8</v>
      </c>
      <c r="CF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  <c r="CL522" s="27" t="s">
        <v>7</v>
      </c>
      <c r="FS522" s="27" t="s">
        <v>8</v>
      </c>
      <c r="FT522" s="27" t="s">
        <v>7</v>
      </c>
    </row>
    <row r="523" spans="1:179" x14ac:dyDescent="0.25">
      <c r="A523" s="7">
        <v>3.5514932432768775</v>
      </c>
      <c r="B523"/>
      <c r="C523"/>
      <c r="D523"/>
      <c r="E523"/>
      <c r="O523" s="27" t="s">
        <v>8</v>
      </c>
      <c r="P523" s="27" t="s">
        <v>7</v>
      </c>
      <c r="Q523" s="27" t="s">
        <v>8</v>
      </c>
      <c r="R523" s="27" t="s">
        <v>7</v>
      </c>
      <c r="S523" s="27" t="s">
        <v>8</v>
      </c>
      <c r="T523" s="27" t="s">
        <v>7</v>
      </c>
      <c r="U523" s="27" t="s">
        <v>8</v>
      </c>
      <c r="V523" s="27" t="s">
        <v>7</v>
      </c>
      <c r="AY523" s="27" t="s">
        <v>8</v>
      </c>
      <c r="AZ523" s="27" t="s">
        <v>7</v>
      </c>
      <c r="BB523" s="27" t="s">
        <v>7</v>
      </c>
      <c r="BC523" s="27" t="s">
        <v>8</v>
      </c>
      <c r="BD523" s="27" t="s">
        <v>7</v>
      </c>
      <c r="CC523" s="27" t="s">
        <v>8</v>
      </c>
      <c r="CD523" s="27" t="s">
        <v>7</v>
      </c>
      <c r="CE523" s="27" t="s">
        <v>8</v>
      </c>
      <c r="CF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  <c r="CL523" s="27" t="s">
        <v>7</v>
      </c>
      <c r="FS523" s="27" t="s">
        <v>8</v>
      </c>
      <c r="FT523" s="27" t="s">
        <v>7</v>
      </c>
    </row>
    <row r="524" spans="1:179" x14ac:dyDescent="0.25">
      <c r="A524" s="7">
        <v>3.4818561208596837</v>
      </c>
      <c r="B524"/>
      <c r="C524"/>
      <c r="D524"/>
      <c r="E524"/>
      <c r="O524" s="27" t="s">
        <v>8</v>
      </c>
      <c r="P524" s="27" t="s">
        <v>7</v>
      </c>
      <c r="Q524" s="27" t="s">
        <v>8</v>
      </c>
      <c r="R524" s="27" t="s">
        <v>7</v>
      </c>
      <c r="S524" s="27" t="s">
        <v>8</v>
      </c>
      <c r="T524" s="27" t="s">
        <v>7</v>
      </c>
      <c r="U524" s="27" t="s">
        <v>8</v>
      </c>
      <c r="V524" s="27" t="s">
        <v>7</v>
      </c>
      <c r="AW524" s="27" t="s">
        <v>8</v>
      </c>
      <c r="AY524" s="27" t="s">
        <v>8</v>
      </c>
      <c r="BB524" s="27" t="s">
        <v>7</v>
      </c>
      <c r="BC524" s="27" t="s">
        <v>8</v>
      </c>
      <c r="BD524" s="27" t="s">
        <v>7</v>
      </c>
      <c r="CC524" s="27" t="s">
        <v>8</v>
      </c>
      <c r="CD524" s="27" t="s">
        <v>7</v>
      </c>
      <c r="CE524" s="27" t="s">
        <v>8</v>
      </c>
      <c r="CF524" s="27" t="s">
        <v>7</v>
      </c>
      <c r="CG524" s="27" t="s">
        <v>8</v>
      </c>
      <c r="CH524" s="27" t="s">
        <v>7</v>
      </c>
      <c r="CI524" s="27" t="s">
        <v>8</v>
      </c>
      <c r="CL524" s="27" t="s">
        <v>7</v>
      </c>
      <c r="FS524" s="27" t="s">
        <v>8</v>
      </c>
      <c r="FT524" s="27" t="s">
        <v>7</v>
      </c>
    </row>
    <row r="525" spans="1:179" x14ac:dyDescent="0.25">
      <c r="A525" s="7">
        <v>3.4135844322153761</v>
      </c>
      <c r="B525"/>
      <c r="C525"/>
      <c r="D525"/>
      <c r="E525"/>
      <c r="O525" s="27" t="s">
        <v>8</v>
      </c>
      <c r="P525" s="27" t="s">
        <v>7</v>
      </c>
      <c r="Q525" s="27" t="s">
        <v>8</v>
      </c>
      <c r="R525" s="27" t="s">
        <v>7</v>
      </c>
      <c r="S525" s="27" t="s">
        <v>8</v>
      </c>
      <c r="T525" s="27" t="s">
        <v>7</v>
      </c>
      <c r="U525" s="27" t="s">
        <v>8</v>
      </c>
      <c r="V525" s="27" t="s">
        <v>7</v>
      </c>
      <c r="AW525" s="27" t="s">
        <v>8</v>
      </c>
      <c r="AX525" s="27" t="s">
        <v>7</v>
      </c>
      <c r="AY525" s="27" t="s">
        <v>8</v>
      </c>
      <c r="BB525" s="27" t="s">
        <v>7</v>
      </c>
      <c r="BC525" s="27" t="s">
        <v>8</v>
      </c>
      <c r="BD525" s="27" t="s">
        <v>7</v>
      </c>
      <c r="CC525" s="27" t="s">
        <v>8</v>
      </c>
      <c r="CD525" s="27" t="s">
        <v>7</v>
      </c>
      <c r="CE525" s="27" t="s">
        <v>8</v>
      </c>
      <c r="CF525" s="27" t="s">
        <v>7</v>
      </c>
      <c r="CH525" s="27" t="s">
        <v>7</v>
      </c>
      <c r="CI525" s="27" t="s">
        <v>8</v>
      </c>
      <c r="CL525" s="27" t="s">
        <v>7</v>
      </c>
      <c r="FS525" s="27" t="s">
        <v>8</v>
      </c>
      <c r="FT525" s="27" t="s">
        <v>7</v>
      </c>
    </row>
    <row r="526" spans="1:179" x14ac:dyDescent="0.25">
      <c r="A526" s="7">
        <v>3.3466514041327216</v>
      </c>
      <c r="B526"/>
      <c r="C526"/>
      <c r="D526"/>
      <c r="E526"/>
      <c r="M526" s="27" t="s">
        <v>8</v>
      </c>
      <c r="O526" s="27" t="s">
        <v>8</v>
      </c>
      <c r="P526" s="27" t="s">
        <v>7</v>
      </c>
      <c r="Q526" s="27" t="s">
        <v>8</v>
      </c>
      <c r="R526" s="27" t="s">
        <v>7</v>
      </c>
      <c r="S526" s="27" t="s">
        <v>8</v>
      </c>
      <c r="T526" s="27" t="s">
        <v>7</v>
      </c>
      <c r="V526" s="27" t="s">
        <v>7</v>
      </c>
      <c r="AW526" s="27" t="s">
        <v>8</v>
      </c>
      <c r="AX526" s="27" t="s">
        <v>7</v>
      </c>
      <c r="AY526" s="27" t="s">
        <v>8</v>
      </c>
      <c r="BB526" s="27" t="s">
        <v>7</v>
      </c>
      <c r="BC526" s="27" t="s">
        <v>8</v>
      </c>
      <c r="BD526" s="27" t="s">
        <v>7</v>
      </c>
      <c r="CC526" s="27" t="s">
        <v>8</v>
      </c>
      <c r="CD526" s="27" t="s">
        <v>7</v>
      </c>
      <c r="CE526" s="27" t="s">
        <v>8</v>
      </c>
      <c r="CH526" s="27" t="s">
        <v>7</v>
      </c>
      <c r="CL526" s="27" t="s">
        <v>7</v>
      </c>
      <c r="CM526" s="27" t="s">
        <v>8</v>
      </c>
      <c r="FS526" s="27" t="s">
        <v>8</v>
      </c>
      <c r="FT526" s="27" t="s">
        <v>7</v>
      </c>
    </row>
    <row r="527" spans="1:179" x14ac:dyDescent="0.25">
      <c r="A527" s="7">
        <v>3.2810307883654133</v>
      </c>
      <c r="B527"/>
      <c r="C527"/>
      <c r="D527"/>
      <c r="E527"/>
      <c r="M527" s="27" t="s">
        <v>8</v>
      </c>
      <c r="N527" s="27" t="s">
        <v>7</v>
      </c>
      <c r="O527" s="27" t="s">
        <v>8</v>
      </c>
      <c r="P527" s="27" t="s">
        <v>7</v>
      </c>
      <c r="Q527" s="27" t="s">
        <v>8</v>
      </c>
      <c r="R527" s="27" t="s">
        <v>7</v>
      </c>
      <c r="S527" s="27" t="s">
        <v>8</v>
      </c>
      <c r="V527" s="27" t="s">
        <v>7</v>
      </c>
      <c r="AW527" s="27" t="s">
        <v>8</v>
      </c>
      <c r="AX527" s="27" t="s">
        <v>7</v>
      </c>
      <c r="AY527" s="27" t="s">
        <v>8</v>
      </c>
      <c r="BB527" s="27" t="s">
        <v>7</v>
      </c>
      <c r="BC527" s="27" t="s">
        <v>8</v>
      </c>
      <c r="BD527" s="27" t="s">
        <v>7</v>
      </c>
      <c r="BS527" s="27" t="s">
        <v>8</v>
      </c>
      <c r="CC527" s="27" t="s">
        <v>8</v>
      </c>
      <c r="CD527" s="27" t="s">
        <v>7</v>
      </c>
      <c r="CE527" s="27" t="s">
        <v>8</v>
      </c>
      <c r="CL527" s="27" t="s">
        <v>7</v>
      </c>
      <c r="CM527" s="27" t="s">
        <v>8</v>
      </c>
      <c r="CN527" s="27" t="s">
        <v>7</v>
      </c>
      <c r="CO527" s="27" t="s">
        <v>8</v>
      </c>
      <c r="FS527" s="27" t="s">
        <v>8</v>
      </c>
      <c r="FT527" s="27" t="s">
        <v>7</v>
      </c>
    </row>
    <row r="528" spans="1:179" x14ac:dyDescent="0.25">
      <c r="A528" s="7">
        <v>3.2166968513386403</v>
      </c>
      <c r="B528"/>
      <c r="C528"/>
      <c r="D528"/>
      <c r="E528"/>
      <c r="M528" s="27" t="s">
        <v>8</v>
      </c>
      <c r="N528" s="27" t="s">
        <v>7</v>
      </c>
      <c r="O528" s="27" t="s">
        <v>8</v>
      </c>
      <c r="P528" s="27" t="s">
        <v>7</v>
      </c>
      <c r="Q528" s="27" t="s">
        <v>8</v>
      </c>
      <c r="R528" s="27" t="s">
        <v>7</v>
      </c>
      <c r="S528" s="27" t="s">
        <v>8</v>
      </c>
      <c r="V528" s="27" t="s">
        <v>7</v>
      </c>
      <c r="W528" s="27" t="s">
        <v>8</v>
      </c>
      <c r="AQ528" s="27" t="s">
        <v>8</v>
      </c>
      <c r="AW528" s="27" t="s">
        <v>8</v>
      </c>
      <c r="AX528" s="27" t="s">
        <v>7</v>
      </c>
      <c r="AY528" s="27" t="s">
        <v>8</v>
      </c>
      <c r="BB528" s="27" t="s">
        <v>7</v>
      </c>
      <c r="BC528" s="27" t="s">
        <v>8</v>
      </c>
      <c r="BD528" s="27" t="s">
        <v>7</v>
      </c>
      <c r="BS528" s="27" t="s">
        <v>8</v>
      </c>
      <c r="BT528" s="27" t="s">
        <v>7</v>
      </c>
      <c r="CC528" s="27" t="s">
        <v>8</v>
      </c>
      <c r="CD528" s="27" t="s">
        <v>7</v>
      </c>
      <c r="CL528" s="27" t="s">
        <v>7</v>
      </c>
      <c r="CM528" s="27" t="s">
        <v>8</v>
      </c>
      <c r="CN528" s="27" t="s">
        <v>7</v>
      </c>
      <c r="CO528" s="27" t="s">
        <v>8</v>
      </c>
      <c r="CP528" s="27" t="s">
        <v>7</v>
      </c>
      <c r="FS528" s="27" t="s">
        <v>8</v>
      </c>
      <c r="FT528" s="27" t="s">
        <v>7</v>
      </c>
      <c r="FW528" s="27" t="s">
        <v>8</v>
      </c>
    </row>
    <row r="529" spans="1:201" x14ac:dyDescent="0.25">
      <c r="A529" s="7">
        <v>3.1536243640574906</v>
      </c>
      <c r="B529"/>
      <c r="C529"/>
      <c r="D529"/>
      <c r="E529"/>
      <c r="M529" s="27" t="s">
        <v>8</v>
      </c>
      <c r="N529" s="27" t="s">
        <v>7</v>
      </c>
      <c r="O529" s="27" t="s">
        <v>8</v>
      </c>
      <c r="P529" s="27" t="s">
        <v>7</v>
      </c>
      <c r="Q529" s="27" t="s">
        <v>8</v>
      </c>
      <c r="R529" s="27" t="s">
        <v>7</v>
      </c>
      <c r="V529" s="27" t="s">
        <v>7</v>
      </c>
      <c r="W529" s="27" t="s">
        <v>8</v>
      </c>
      <c r="X529" s="27" t="s">
        <v>7</v>
      </c>
      <c r="AQ529" s="27" t="s">
        <v>8</v>
      </c>
      <c r="AR529" s="27" t="s">
        <v>7</v>
      </c>
      <c r="AW529" s="27" t="s">
        <v>8</v>
      </c>
      <c r="AX529" s="27" t="s">
        <v>7</v>
      </c>
      <c r="AY529" s="27" t="s">
        <v>8</v>
      </c>
      <c r="BB529" s="27" t="s">
        <v>7</v>
      </c>
      <c r="BD529" s="27" t="s">
        <v>7</v>
      </c>
      <c r="BS529" s="27" t="s">
        <v>8</v>
      </c>
      <c r="BT529" s="27" t="s">
        <v>7</v>
      </c>
      <c r="BW529" s="27" t="s">
        <v>8</v>
      </c>
      <c r="CC529" s="27" t="s">
        <v>8</v>
      </c>
      <c r="CL529" s="27" t="s">
        <v>7</v>
      </c>
      <c r="CM529" s="27" t="s">
        <v>8</v>
      </c>
      <c r="CN529" s="27" t="s">
        <v>7</v>
      </c>
      <c r="CO529" s="27" t="s">
        <v>8</v>
      </c>
      <c r="CP529" s="27" t="s">
        <v>7</v>
      </c>
      <c r="CS529" s="27" t="s">
        <v>8</v>
      </c>
      <c r="FS529" s="27" t="s">
        <v>8</v>
      </c>
      <c r="FT529" s="27" t="s">
        <v>7</v>
      </c>
      <c r="FW529" s="27" t="s">
        <v>8</v>
      </c>
      <c r="FX529" s="27" t="s">
        <v>7</v>
      </c>
    </row>
    <row r="530" spans="1:201" x14ac:dyDescent="0.25">
      <c r="A530" s="7">
        <v>3.0917885922132262</v>
      </c>
      <c r="B530"/>
      <c r="C530"/>
      <c r="D530"/>
      <c r="E530"/>
      <c r="M530" s="27" t="s">
        <v>8</v>
      </c>
      <c r="N530" s="27" t="s">
        <v>7</v>
      </c>
      <c r="O530" s="27" t="s">
        <v>8</v>
      </c>
      <c r="P530" s="27" t="s">
        <v>7</v>
      </c>
      <c r="Q530" s="27" t="s">
        <v>8</v>
      </c>
      <c r="V530" s="27" t="s">
        <v>7</v>
      </c>
      <c r="W530" s="27" t="s">
        <v>8</v>
      </c>
      <c r="X530" s="27" t="s">
        <v>7</v>
      </c>
      <c r="AG530" s="27" t="s">
        <v>8</v>
      </c>
      <c r="AQ530" s="27" t="s">
        <v>8</v>
      </c>
      <c r="AR530" s="27" t="s">
        <v>7</v>
      </c>
      <c r="AW530" s="27" t="s">
        <v>8</v>
      </c>
      <c r="AX530" s="27" t="s">
        <v>7</v>
      </c>
      <c r="AY530" s="27" t="s">
        <v>8</v>
      </c>
      <c r="BD530" s="27" t="s">
        <v>7</v>
      </c>
      <c r="BS530" s="27" t="s">
        <v>8</v>
      </c>
      <c r="BT530" s="27" t="s">
        <v>7</v>
      </c>
      <c r="BW530" s="27" t="s">
        <v>8</v>
      </c>
      <c r="BX530" s="27" t="s">
        <v>7</v>
      </c>
      <c r="CA530" s="27" t="s">
        <v>8</v>
      </c>
      <c r="CC530" s="27" t="s">
        <v>8</v>
      </c>
      <c r="CL530" s="27" t="s">
        <v>7</v>
      </c>
      <c r="CM530" s="27" t="s">
        <v>8</v>
      </c>
      <c r="CN530" s="27" t="s">
        <v>7</v>
      </c>
      <c r="CO530" s="27" t="s">
        <v>8</v>
      </c>
      <c r="CP530" s="27" t="s">
        <v>7</v>
      </c>
      <c r="CS530" s="27" t="s">
        <v>8</v>
      </c>
      <c r="CT530" s="27" t="s">
        <v>7</v>
      </c>
      <c r="CU530" s="27" t="s">
        <v>8</v>
      </c>
      <c r="CY530" s="27" t="s">
        <v>8</v>
      </c>
      <c r="DA530" s="27" t="s">
        <v>8</v>
      </c>
      <c r="FS530" s="27" t="s">
        <v>8</v>
      </c>
      <c r="FT530" s="27" t="s">
        <v>7</v>
      </c>
      <c r="FW530" s="27" t="s">
        <v>8</v>
      </c>
      <c r="FX530" s="27" t="s">
        <v>7</v>
      </c>
      <c r="GI530" s="27" t="s">
        <v>8</v>
      </c>
    </row>
    <row r="531" spans="1:201" x14ac:dyDescent="0.25">
      <c r="A531" s="7">
        <v>3.0311652864835552</v>
      </c>
      <c r="B531"/>
      <c r="C531"/>
      <c r="D531"/>
      <c r="E531"/>
      <c r="K531" s="27" t="s">
        <v>8</v>
      </c>
      <c r="M531" s="27" t="s">
        <v>8</v>
      </c>
      <c r="N531" s="27" t="s">
        <v>7</v>
      </c>
      <c r="O531" s="27" t="s">
        <v>8</v>
      </c>
      <c r="P531" s="27" t="s">
        <v>7</v>
      </c>
      <c r="Q531" s="27" t="s">
        <v>8</v>
      </c>
      <c r="V531" s="27" t="s">
        <v>7</v>
      </c>
      <c r="X531" s="27" t="s">
        <v>7</v>
      </c>
      <c r="AG531" s="27" t="s">
        <v>8</v>
      </c>
      <c r="AH531" s="27" t="s">
        <v>7</v>
      </c>
      <c r="AQ531" s="27" t="s">
        <v>8</v>
      </c>
      <c r="AR531" s="27" t="s">
        <v>7</v>
      </c>
      <c r="AW531" s="27" t="s">
        <v>8</v>
      </c>
      <c r="AX531" s="27" t="s">
        <v>7</v>
      </c>
      <c r="AY531" s="27" t="s">
        <v>8</v>
      </c>
      <c r="BD531" s="27" t="s">
        <v>7</v>
      </c>
      <c r="BS531" s="27" t="s">
        <v>8</v>
      </c>
      <c r="BT531" s="27" t="s">
        <v>7</v>
      </c>
      <c r="BW531" s="27" t="s">
        <v>8</v>
      </c>
      <c r="BX531" s="27" t="s">
        <v>7</v>
      </c>
      <c r="CA531" s="27" t="s">
        <v>8</v>
      </c>
      <c r="CB531" s="27" t="s">
        <v>7</v>
      </c>
      <c r="CC531" s="27" t="s">
        <v>8</v>
      </c>
      <c r="CL531" s="27" t="s">
        <v>7</v>
      </c>
      <c r="CM531" s="27" t="s">
        <v>8</v>
      </c>
      <c r="CN531" s="27" t="s">
        <v>7</v>
      </c>
      <c r="CO531" s="27" t="s">
        <v>8</v>
      </c>
      <c r="CP531" s="27" t="s">
        <v>7</v>
      </c>
      <c r="CS531" s="27" t="s">
        <v>8</v>
      </c>
      <c r="CT531" s="27" t="s">
        <v>7</v>
      </c>
      <c r="CU531" s="27" t="s">
        <v>8</v>
      </c>
      <c r="CV531" s="27" t="s">
        <v>7</v>
      </c>
      <c r="CY531" s="27" t="s">
        <v>8</v>
      </c>
      <c r="CZ531" s="27" t="s">
        <v>7</v>
      </c>
      <c r="DA531" s="27" t="s">
        <v>8</v>
      </c>
      <c r="DB531" s="27" t="s">
        <v>7</v>
      </c>
      <c r="FS531" s="27" t="s">
        <v>8</v>
      </c>
      <c r="FT531" s="27" t="s">
        <v>7</v>
      </c>
      <c r="FW531" s="27" t="s">
        <v>8</v>
      </c>
      <c r="FX531" s="27" t="s">
        <v>7</v>
      </c>
      <c r="GI531" s="27" t="s">
        <v>8</v>
      </c>
      <c r="GJ531" s="27" t="s">
        <v>7</v>
      </c>
    </row>
    <row r="532" spans="1:201" x14ac:dyDescent="0.25">
      <c r="A532" s="7">
        <v>2.9717306730230932</v>
      </c>
      <c r="B532"/>
      <c r="C532"/>
      <c r="D532"/>
      <c r="E532"/>
      <c r="K532" s="27" t="s">
        <v>8</v>
      </c>
      <c r="L532" s="27" t="s">
        <v>7</v>
      </c>
      <c r="M532" s="27" t="s">
        <v>8</v>
      </c>
      <c r="N532" s="27" t="s">
        <v>7</v>
      </c>
      <c r="O532" s="27" t="s">
        <v>8</v>
      </c>
      <c r="P532" s="27" t="s">
        <v>7</v>
      </c>
      <c r="Q532" s="27" t="s">
        <v>8</v>
      </c>
      <c r="X532" s="27" t="s">
        <v>7</v>
      </c>
      <c r="AG532" s="27" t="s">
        <v>8</v>
      </c>
      <c r="AH532" s="27" t="s">
        <v>7</v>
      </c>
      <c r="AQ532" s="27" t="s">
        <v>8</v>
      </c>
      <c r="AR532" s="27" t="s">
        <v>7</v>
      </c>
      <c r="AW532" s="27" t="s">
        <v>8</v>
      </c>
      <c r="AX532" s="27" t="s">
        <v>7</v>
      </c>
      <c r="AY532" s="27" t="s">
        <v>8</v>
      </c>
      <c r="BD532" s="27" t="s">
        <v>7</v>
      </c>
      <c r="BS532" s="27" t="s">
        <v>8</v>
      </c>
      <c r="BT532" s="27" t="s">
        <v>7</v>
      </c>
      <c r="BW532" s="27" t="s">
        <v>8</v>
      </c>
      <c r="BX532" s="27" t="s">
        <v>7</v>
      </c>
      <c r="CA532" s="27" t="s">
        <v>8</v>
      </c>
      <c r="CB532" s="27" t="s">
        <v>7</v>
      </c>
      <c r="CC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P532" s="27" t="s">
        <v>7</v>
      </c>
      <c r="CS532" s="27" t="s">
        <v>8</v>
      </c>
      <c r="CT532" s="27" t="s">
        <v>7</v>
      </c>
      <c r="CU532" s="27" t="s">
        <v>8</v>
      </c>
      <c r="CV532" s="27" t="s">
        <v>7</v>
      </c>
      <c r="CY532" s="27" t="s">
        <v>8</v>
      </c>
      <c r="CZ532" s="27" t="s">
        <v>7</v>
      </c>
      <c r="DA532" s="27" t="s">
        <v>8</v>
      </c>
      <c r="DB532" s="27" t="s">
        <v>7</v>
      </c>
      <c r="FS532" s="27" t="s">
        <v>8</v>
      </c>
      <c r="FT532" s="27" t="s">
        <v>7</v>
      </c>
      <c r="FW532" s="27" t="s">
        <v>8</v>
      </c>
      <c r="FX532" s="27" t="s">
        <v>7</v>
      </c>
      <c r="GI532" s="27" t="s">
        <v>8</v>
      </c>
      <c r="GJ532" s="27" t="s">
        <v>7</v>
      </c>
    </row>
    <row r="533" spans="1:201" x14ac:dyDescent="0.25">
      <c r="A533" s="7">
        <v>2.9134614441402875</v>
      </c>
      <c r="B533"/>
      <c r="C533"/>
      <c r="D533"/>
      <c r="E533"/>
      <c r="G533" s="27" t="s">
        <v>8</v>
      </c>
      <c r="K533" s="27" t="s">
        <v>8</v>
      </c>
      <c r="L533" s="27" t="s">
        <v>7</v>
      </c>
      <c r="M533" s="27" t="s">
        <v>8</v>
      </c>
      <c r="N533" s="27" t="s">
        <v>7</v>
      </c>
      <c r="O533" s="27" t="s">
        <v>8</v>
      </c>
      <c r="P533" s="27" t="s">
        <v>7</v>
      </c>
      <c r="Q533" s="27" t="s">
        <v>8</v>
      </c>
      <c r="X533" s="27" t="s">
        <v>7</v>
      </c>
      <c r="AG533" s="27" t="s">
        <v>8</v>
      </c>
      <c r="AH533" s="27" t="s">
        <v>7</v>
      </c>
      <c r="AQ533" s="27" t="s">
        <v>8</v>
      </c>
      <c r="AR533" s="27" t="s">
        <v>7</v>
      </c>
      <c r="AS533" s="27" t="s">
        <v>8</v>
      </c>
      <c r="AW533" s="27" t="s">
        <v>8</v>
      </c>
      <c r="AX533" s="27" t="s">
        <v>7</v>
      </c>
      <c r="AY533" s="27" t="s">
        <v>8</v>
      </c>
      <c r="BD533" s="27" t="s">
        <v>7</v>
      </c>
      <c r="BQ533" s="27" t="s">
        <v>8</v>
      </c>
      <c r="BS533" s="27" t="s">
        <v>8</v>
      </c>
      <c r="BT533" s="27" t="s">
        <v>7</v>
      </c>
      <c r="BW533" s="27" t="s">
        <v>8</v>
      </c>
      <c r="BX533" s="27" t="s">
        <v>7</v>
      </c>
      <c r="CA533" s="27" t="s">
        <v>8</v>
      </c>
      <c r="CB533" s="27" t="s">
        <v>7</v>
      </c>
      <c r="CC533" s="27" t="s">
        <v>8</v>
      </c>
      <c r="CL533" s="27" t="s">
        <v>7</v>
      </c>
      <c r="CM533" s="27" t="s">
        <v>8</v>
      </c>
      <c r="CN533" s="27" t="s">
        <v>7</v>
      </c>
      <c r="CO533" s="27" t="s">
        <v>8</v>
      </c>
      <c r="CP533" s="27" t="s">
        <v>7</v>
      </c>
      <c r="CS533" s="27" t="s">
        <v>8</v>
      </c>
      <c r="CT533" s="27" t="s">
        <v>7</v>
      </c>
      <c r="CU533" s="27" t="s">
        <v>8</v>
      </c>
      <c r="CV533" s="27" t="s">
        <v>7</v>
      </c>
      <c r="CW533" s="27" t="s">
        <v>8</v>
      </c>
      <c r="CY533" s="27" t="s">
        <v>8</v>
      </c>
      <c r="CZ533" s="27" t="s">
        <v>7</v>
      </c>
      <c r="DA533" s="27" t="s">
        <v>8</v>
      </c>
      <c r="DB533" s="27" t="s">
        <v>7</v>
      </c>
      <c r="FS533" s="27" t="s">
        <v>8</v>
      </c>
      <c r="FT533" s="27" t="s">
        <v>7</v>
      </c>
      <c r="FW533" s="27" t="s">
        <v>8</v>
      </c>
      <c r="FX533" s="27" t="s">
        <v>7</v>
      </c>
      <c r="GI533" s="27" t="s">
        <v>8</v>
      </c>
      <c r="GJ533" s="27" t="s">
        <v>7</v>
      </c>
    </row>
    <row r="534" spans="1:201" x14ac:dyDescent="0.25">
      <c r="A534" s="7">
        <v>2.8563347491571447</v>
      </c>
      <c r="B534"/>
      <c r="C534"/>
      <c r="D534"/>
      <c r="E534"/>
      <c r="G534" s="27" t="s">
        <v>8</v>
      </c>
      <c r="H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O534" s="27" t="s">
        <v>8</v>
      </c>
      <c r="P534" s="27" t="s">
        <v>7</v>
      </c>
      <c r="X534" s="27" t="s">
        <v>7</v>
      </c>
      <c r="AG534" s="27" t="s">
        <v>8</v>
      </c>
      <c r="AH534" s="27" t="s">
        <v>7</v>
      </c>
      <c r="AQ534" s="27" t="s">
        <v>8</v>
      </c>
      <c r="AR534" s="27" t="s">
        <v>7</v>
      </c>
      <c r="AS534" s="27" t="s">
        <v>8</v>
      </c>
      <c r="AT534" s="27" t="s">
        <v>7</v>
      </c>
      <c r="AW534" s="27" t="s">
        <v>8</v>
      </c>
      <c r="AX534" s="27" t="s">
        <v>7</v>
      </c>
      <c r="AY534" s="27" t="s">
        <v>8</v>
      </c>
      <c r="BD534" s="27" t="s">
        <v>7</v>
      </c>
      <c r="BE534" s="27" t="s">
        <v>8</v>
      </c>
      <c r="BQ534" s="27" t="s">
        <v>8</v>
      </c>
      <c r="BR534" s="27" t="s">
        <v>7</v>
      </c>
      <c r="BS534" s="27" t="s">
        <v>8</v>
      </c>
      <c r="BT534" s="27" t="s">
        <v>7</v>
      </c>
      <c r="BW534" s="27" t="s">
        <v>8</v>
      </c>
      <c r="BX534" s="27" t="s">
        <v>7</v>
      </c>
      <c r="CA534" s="27" t="s">
        <v>8</v>
      </c>
      <c r="CB534" s="27" t="s">
        <v>7</v>
      </c>
      <c r="CC534" s="27" t="s">
        <v>8</v>
      </c>
      <c r="CL534" s="27" t="s">
        <v>7</v>
      </c>
      <c r="CN534" s="27" t="s">
        <v>7</v>
      </c>
      <c r="CO534" s="27" t="s">
        <v>8</v>
      </c>
      <c r="CP534" s="27" t="s">
        <v>7</v>
      </c>
      <c r="CS534" s="27" t="s">
        <v>8</v>
      </c>
      <c r="CT534" s="27" t="s">
        <v>7</v>
      </c>
      <c r="CU534" s="27" t="s">
        <v>8</v>
      </c>
      <c r="CV534" s="27" t="s">
        <v>7</v>
      </c>
      <c r="CW534" s="27" t="s">
        <v>8</v>
      </c>
      <c r="CX534" s="27" t="s">
        <v>7</v>
      </c>
      <c r="CY534" s="27" t="s">
        <v>8</v>
      </c>
      <c r="CZ534" s="27" t="s">
        <v>7</v>
      </c>
      <c r="DA534" s="27" t="s">
        <v>8</v>
      </c>
      <c r="DB534" s="27" t="s">
        <v>7</v>
      </c>
      <c r="FS534" s="27" t="s">
        <v>8</v>
      </c>
      <c r="FT534" s="27" t="s">
        <v>7</v>
      </c>
      <c r="FW534" s="27" t="s">
        <v>8</v>
      </c>
      <c r="FX534" s="27" t="s">
        <v>7</v>
      </c>
      <c r="GI534" s="27" t="s">
        <v>8</v>
      </c>
      <c r="GJ534" s="27" t="s">
        <v>7</v>
      </c>
    </row>
    <row r="535" spans="1:201" x14ac:dyDescent="0.25">
      <c r="A535" s="7">
        <v>2.8003281854481812</v>
      </c>
      <c r="B535"/>
      <c r="C535"/>
      <c r="D535"/>
      <c r="E535"/>
      <c r="G535" s="27" t="s">
        <v>8</v>
      </c>
      <c r="H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X535" s="27" t="s">
        <v>7</v>
      </c>
      <c r="AG535" s="27" t="s">
        <v>8</v>
      </c>
      <c r="AH535" s="27" t="s">
        <v>7</v>
      </c>
      <c r="AQ535" s="27" t="s">
        <v>8</v>
      </c>
      <c r="AR535" s="27" t="s">
        <v>7</v>
      </c>
      <c r="AS535" s="27" t="s">
        <v>8</v>
      </c>
      <c r="AT535" s="27" t="s">
        <v>7</v>
      </c>
      <c r="AW535" s="27" t="s">
        <v>8</v>
      </c>
      <c r="AX535" s="27" t="s">
        <v>7</v>
      </c>
      <c r="AY535" s="27" t="s">
        <v>8</v>
      </c>
      <c r="BD535" s="27" t="s">
        <v>7</v>
      </c>
      <c r="BE535" s="27" t="s">
        <v>8</v>
      </c>
      <c r="BF535" s="27" t="s">
        <v>7</v>
      </c>
      <c r="BQ535" s="27" t="s">
        <v>8</v>
      </c>
      <c r="BR535" s="27" t="s">
        <v>7</v>
      </c>
      <c r="BS535" s="27" t="s">
        <v>8</v>
      </c>
      <c r="BT535" s="27" t="s">
        <v>7</v>
      </c>
      <c r="BW535" s="27" t="s">
        <v>8</v>
      </c>
      <c r="BX535" s="27" t="s">
        <v>7</v>
      </c>
      <c r="BY535" s="27" t="s">
        <v>8</v>
      </c>
      <c r="CA535" s="27" t="s">
        <v>8</v>
      </c>
      <c r="CB535" s="27" t="s">
        <v>7</v>
      </c>
      <c r="CC535" s="27" t="s">
        <v>8</v>
      </c>
      <c r="CN535" s="27" t="s">
        <v>7</v>
      </c>
      <c r="CO535" s="27" t="s">
        <v>8</v>
      </c>
      <c r="CP535" s="27" t="s">
        <v>7</v>
      </c>
      <c r="CS535" s="27" t="s">
        <v>8</v>
      </c>
      <c r="CT535" s="27" t="s">
        <v>7</v>
      </c>
      <c r="CV535" s="27" t="s">
        <v>7</v>
      </c>
      <c r="CW535" s="27" t="s">
        <v>8</v>
      </c>
      <c r="CX535" s="27" t="s">
        <v>7</v>
      </c>
      <c r="CY535" s="27" t="s">
        <v>8</v>
      </c>
      <c r="CZ535" s="27" t="s">
        <v>7</v>
      </c>
      <c r="DA535" s="27" t="s">
        <v>8</v>
      </c>
      <c r="DB535" s="27" t="s">
        <v>7</v>
      </c>
      <c r="FS535" s="27" t="s">
        <v>8</v>
      </c>
      <c r="FT535" s="27" t="s">
        <v>7</v>
      </c>
      <c r="FW535" s="27" t="s">
        <v>8</v>
      </c>
      <c r="FX535" s="27" t="s">
        <v>7</v>
      </c>
      <c r="GI535" s="27" t="s">
        <v>8</v>
      </c>
      <c r="GJ535" s="27" t="s">
        <v>7</v>
      </c>
    </row>
    <row r="536" spans="1:201" x14ac:dyDescent="0.25">
      <c r="A536" s="7">
        <v>2.7454197896550796</v>
      </c>
      <c r="B536"/>
      <c r="C536"/>
      <c r="D536"/>
      <c r="E536"/>
      <c r="G536" s="27" t="s">
        <v>8</v>
      </c>
      <c r="H536" s="27" t="s">
        <v>7</v>
      </c>
      <c r="I536" s="27" t="s">
        <v>8</v>
      </c>
      <c r="K536" s="27" t="s">
        <v>8</v>
      </c>
      <c r="L536" s="27" t="s">
        <v>7</v>
      </c>
      <c r="M536" s="27" t="s">
        <v>8</v>
      </c>
      <c r="N536" s="27" t="s">
        <v>7</v>
      </c>
      <c r="O536" s="27" t="s">
        <v>8</v>
      </c>
      <c r="X536" s="27" t="s">
        <v>7</v>
      </c>
      <c r="Y536" s="27" t="s">
        <v>8</v>
      </c>
      <c r="AG536" s="27" t="s">
        <v>8</v>
      </c>
      <c r="AH536" s="27" t="s">
        <v>7</v>
      </c>
      <c r="AQ536" s="27" t="s">
        <v>8</v>
      </c>
      <c r="AR536" s="27" t="s">
        <v>7</v>
      </c>
      <c r="AS536" s="27" t="s">
        <v>8</v>
      </c>
      <c r="AT536" s="27" t="s">
        <v>7</v>
      </c>
      <c r="AW536" s="27" t="s">
        <v>8</v>
      </c>
      <c r="AX536" s="27" t="s">
        <v>7</v>
      </c>
      <c r="AY536" s="27" t="s">
        <v>8</v>
      </c>
      <c r="BD536" s="27" t="s">
        <v>7</v>
      </c>
      <c r="BE536" s="27" t="s">
        <v>8</v>
      </c>
      <c r="BF536" s="27" t="s">
        <v>7</v>
      </c>
      <c r="BQ536" s="27" t="s">
        <v>8</v>
      </c>
      <c r="BR536" s="27" t="s">
        <v>7</v>
      </c>
      <c r="BT536" s="27" t="s">
        <v>7</v>
      </c>
      <c r="BW536" s="27" t="s">
        <v>8</v>
      </c>
      <c r="BX536" s="27" t="s">
        <v>7</v>
      </c>
      <c r="BY536" s="27" t="s">
        <v>8</v>
      </c>
      <c r="BZ536" s="27" t="s">
        <v>7</v>
      </c>
      <c r="CA536" s="27" t="s">
        <v>8</v>
      </c>
      <c r="CB536" s="27" t="s">
        <v>7</v>
      </c>
      <c r="CN536" s="27" t="s">
        <v>7</v>
      </c>
      <c r="CP536" s="27" t="s">
        <v>7</v>
      </c>
      <c r="CQ536" s="27" t="s">
        <v>8</v>
      </c>
      <c r="CS536" s="27" t="s">
        <v>8</v>
      </c>
      <c r="CV536" s="27" t="s">
        <v>7</v>
      </c>
      <c r="CW536" s="27" t="s">
        <v>8</v>
      </c>
      <c r="CX536" s="27" t="s">
        <v>7</v>
      </c>
      <c r="CY536" s="27" t="s">
        <v>8</v>
      </c>
      <c r="CZ536" s="27" t="s">
        <v>7</v>
      </c>
      <c r="DA536" s="27" t="s">
        <v>8</v>
      </c>
      <c r="DB536" s="27" t="s">
        <v>7</v>
      </c>
      <c r="FI536" s="27" t="s">
        <v>8</v>
      </c>
      <c r="FS536" s="27" t="s">
        <v>8</v>
      </c>
      <c r="FT536" s="27" t="s">
        <v>7</v>
      </c>
      <c r="FW536" s="27" t="s">
        <v>8</v>
      </c>
      <c r="FX536" s="27" t="s">
        <v>7</v>
      </c>
      <c r="GI536" s="27" t="s">
        <v>8</v>
      </c>
      <c r="GJ536" s="27" t="s">
        <v>7</v>
      </c>
    </row>
    <row r="537" spans="1:201" x14ac:dyDescent="0.25">
      <c r="A537" s="7">
        <v>2.6915880290736074</v>
      </c>
      <c r="B537"/>
      <c r="C537"/>
      <c r="D537"/>
      <c r="E537"/>
      <c r="G537" s="27" t="s">
        <v>8</v>
      </c>
      <c r="H537" s="27" t="s">
        <v>7</v>
      </c>
      <c r="I537" s="27" t="s">
        <v>8</v>
      </c>
      <c r="J537" s="27" t="s">
        <v>7</v>
      </c>
      <c r="K537" s="27" t="s">
        <v>8</v>
      </c>
      <c r="L537" s="27" t="s">
        <v>7</v>
      </c>
      <c r="M537" s="27" t="s">
        <v>8</v>
      </c>
      <c r="N537" s="27" t="s">
        <v>7</v>
      </c>
      <c r="O537" s="27" t="s">
        <v>8</v>
      </c>
      <c r="X537" s="27" t="s">
        <v>7</v>
      </c>
      <c r="Y537" s="27" t="s">
        <v>8</v>
      </c>
      <c r="Z537" s="27" t="s">
        <v>7</v>
      </c>
      <c r="AG537" s="27" t="s">
        <v>8</v>
      </c>
      <c r="AH537" s="27" t="s">
        <v>7</v>
      </c>
      <c r="AQ537" s="27" t="s">
        <v>8</v>
      </c>
      <c r="AR537" s="27" t="s">
        <v>7</v>
      </c>
      <c r="AS537" s="27" t="s">
        <v>8</v>
      </c>
      <c r="AT537" s="27" t="s">
        <v>7</v>
      </c>
      <c r="AU537" s="27" t="s">
        <v>8</v>
      </c>
      <c r="AW537" s="27" t="s">
        <v>8</v>
      </c>
      <c r="AX537" s="27" t="s">
        <v>7</v>
      </c>
      <c r="AY537" s="27" t="s">
        <v>8</v>
      </c>
      <c r="BD537" s="27" t="s">
        <v>7</v>
      </c>
      <c r="BE537" s="27" t="s">
        <v>8</v>
      </c>
      <c r="BF537" s="27" t="s">
        <v>7</v>
      </c>
      <c r="BO537" s="27" t="s">
        <v>8</v>
      </c>
      <c r="BQ537" s="27" t="s">
        <v>8</v>
      </c>
      <c r="BT537" s="27" t="s">
        <v>7</v>
      </c>
      <c r="BW537" s="27" t="s">
        <v>8</v>
      </c>
      <c r="BX537" s="27" t="s">
        <v>7</v>
      </c>
      <c r="BY537" s="27" t="s">
        <v>8</v>
      </c>
      <c r="BZ537" s="27" t="s">
        <v>7</v>
      </c>
      <c r="CA537" s="27" t="s">
        <v>8</v>
      </c>
      <c r="CP537" s="27" t="s">
        <v>7</v>
      </c>
      <c r="CQ537" s="27" t="s">
        <v>8</v>
      </c>
      <c r="CR537" s="27" t="s">
        <v>7</v>
      </c>
      <c r="CS537" s="27" t="s">
        <v>8</v>
      </c>
      <c r="CV537" s="27" t="s">
        <v>7</v>
      </c>
      <c r="CW537" s="27" t="s">
        <v>8</v>
      </c>
      <c r="CX537" s="27" t="s">
        <v>7</v>
      </c>
      <c r="CY537" s="27" t="s">
        <v>8</v>
      </c>
      <c r="CZ537" s="27" t="s">
        <v>7</v>
      </c>
      <c r="DA537" s="27" t="s">
        <v>8</v>
      </c>
      <c r="DB537" s="27" t="s">
        <v>7</v>
      </c>
      <c r="FI537" s="27" t="s">
        <v>8</v>
      </c>
      <c r="FJ537" s="27" t="s">
        <v>7</v>
      </c>
      <c r="FS537" s="27" t="s">
        <v>8</v>
      </c>
      <c r="FT537" s="27" t="s">
        <v>7</v>
      </c>
      <c r="FW537" s="27" t="s">
        <v>8</v>
      </c>
      <c r="FX537" s="27" t="s">
        <v>7</v>
      </c>
      <c r="GI537" s="27" t="s">
        <v>8</v>
      </c>
      <c r="GJ537" s="27" t="s">
        <v>7</v>
      </c>
    </row>
    <row r="538" spans="1:201" x14ac:dyDescent="0.25">
      <c r="A538" s="7">
        <v>2.6388117932094191</v>
      </c>
      <c r="B538"/>
      <c r="C538"/>
      <c r="D538"/>
      <c r="E538"/>
      <c r="G538" s="27" t="s">
        <v>8</v>
      </c>
      <c r="H538" s="27" t="s">
        <v>7</v>
      </c>
      <c r="I538" s="27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N538" s="27" t="s">
        <v>7</v>
      </c>
      <c r="X538" s="27" t="s">
        <v>7</v>
      </c>
      <c r="Y538" s="27" t="s">
        <v>8</v>
      </c>
      <c r="Z538" s="27" t="s">
        <v>7</v>
      </c>
      <c r="AG538" s="27" t="s">
        <v>8</v>
      </c>
      <c r="AH538" s="27" t="s">
        <v>7</v>
      </c>
      <c r="AI538" s="27" t="s">
        <v>8</v>
      </c>
      <c r="AO538" s="27" t="s">
        <v>8</v>
      </c>
      <c r="AQ538" s="27" t="s">
        <v>8</v>
      </c>
      <c r="AR538" s="27" t="s">
        <v>7</v>
      </c>
      <c r="AS538" s="27" t="s">
        <v>8</v>
      </c>
      <c r="AT538" s="27" t="s">
        <v>7</v>
      </c>
      <c r="AU538" s="27" t="s">
        <v>8</v>
      </c>
      <c r="AV538" s="27" t="s">
        <v>7</v>
      </c>
      <c r="AW538" s="27" t="s">
        <v>8</v>
      </c>
      <c r="AX538" s="27" t="s">
        <v>7</v>
      </c>
      <c r="AY538" s="27" t="s">
        <v>8</v>
      </c>
      <c r="BD538" s="27" t="s">
        <v>7</v>
      </c>
      <c r="BE538" s="27" t="s">
        <v>8</v>
      </c>
      <c r="BF538" s="27" t="s">
        <v>7</v>
      </c>
      <c r="BO538" s="27" t="s">
        <v>8</v>
      </c>
      <c r="BP538" s="27" t="s">
        <v>7</v>
      </c>
      <c r="BQ538" s="27" t="s">
        <v>8</v>
      </c>
      <c r="BT538" s="27" t="s">
        <v>7</v>
      </c>
      <c r="BW538" s="27" t="s">
        <v>8</v>
      </c>
      <c r="BX538" s="27" t="s">
        <v>7</v>
      </c>
      <c r="BZ538" s="27" t="s">
        <v>7</v>
      </c>
      <c r="CA538" s="27" t="s">
        <v>8</v>
      </c>
      <c r="CP538" s="27" t="s">
        <v>7</v>
      </c>
      <c r="CQ538" s="27" t="s">
        <v>8</v>
      </c>
      <c r="CR538" s="27" t="s">
        <v>7</v>
      </c>
      <c r="CS538" s="27" t="s">
        <v>8</v>
      </c>
      <c r="CV538" s="27" t="s">
        <v>7</v>
      </c>
      <c r="CX538" s="27" t="s">
        <v>7</v>
      </c>
      <c r="CZ538" s="27" t="s">
        <v>7</v>
      </c>
      <c r="DA538" s="27" t="s">
        <v>8</v>
      </c>
      <c r="DB538" s="27" t="s">
        <v>7</v>
      </c>
      <c r="FI538" s="27" t="s">
        <v>8</v>
      </c>
      <c r="FJ538" s="27" t="s">
        <v>7</v>
      </c>
      <c r="FS538" s="27" t="s">
        <v>8</v>
      </c>
      <c r="FT538" s="27" t="s">
        <v>7</v>
      </c>
      <c r="FU538" s="27" t="s">
        <v>8</v>
      </c>
      <c r="FW538" s="27" t="s">
        <v>8</v>
      </c>
      <c r="FX538" s="27" t="s">
        <v>7</v>
      </c>
      <c r="GI538" s="27" t="s">
        <v>8</v>
      </c>
      <c r="GJ538" s="27" t="s">
        <v>7</v>
      </c>
    </row>
    <row r="539" spans="1:201" x14ac:dyDescent="0.25">
      <c r="A539" s="7">
        <v>2.5870703854994304</v>
      </c>
      <c r="B539"/>
      <c r="C539"/>
      <c r="D539"/>
      <c r="E539"/>
      <c r="G539" s="27" t="s">
        <v>8</v>
      </c>
      <c r="H539" s="27" t="s">
        <v>7</v>
      </c>
      <c r="I539" s="27" t="s">
        <v>8</v>
      </c>
      <c r="J539" s="27" t="s">
        <v>7</v>
      </c>
      <c r="K539" s="27" t="s">
        <v>8</v>
      </c>
      <c r="L539" s="27" t="s">
        <v>7</v>
      </c>
      <c r="M539" s="27" t="s">
        <v>8</v>
      </c>
      <c r="X539" s="27" t="s">
        <v>7</v>
      </c>
      <c r="Y539" s="27" t="s">
        <v>8</v>
      </c>
      <c r="Z539" s="27" t="s">
        <v>7</v>
      </c>
      <c r="AG539" s="27" t="s">
        <v>8</v>
      </c>
      <c r="AH539" s="27" t="s">
        <v>7</v>
      </c>
      <c r="AI539" s="27" t="s">
        <v>8</v>
      </c>
      <c r="AJ539" s="27" t="s">
        <v>7</v>
      </c>
      <c r="AO539" s="27" t="s">
        <v>8</v>
      </c>
      <c r="AP539" s="27" t="s">
        <v>7</v>
      </c>
      <c r="AQ539" s="27" t="s">
        <v>8</v>
      </c>
      <c r="AR539" s="27" t="s">
        <v>7</v>
      </c>
      <c r="AS539" s="27" t="s">
        <v>8</v>
      </c>
      <c r="AT539" s="27" t="s">
        <v>7</v>
      </c>
      <c r="AU539" s="27" t="s">
        <v>8</v>
      </c>
      <c r="AV539" s="27" t="s">
        <v>7</v>
      </c>
      <c r="AW539" s="27" t="s">
        <v>8</v>
      </c>
      <c r="AX539" s="27" t="s">
        <v>7</v>
      </c>
      <c r="BD539" s="27" t="s">
        <v>7</v>
      </c>
      <c r="BE539" s="27" t="s">
        <v>8</v>
      </c>
      <c r="BF539" s="27" t="s">
        <v>7</v>
      </c>
      <c r="BO539" s="27" t="s">
        <v>8</v>
      </c>
      <c r="BP539" s="27" t="s">
        <v>7</v>
      </c>
      <c r="BQ539" s="27" t="s">
        <v>8</v>
      </c>
      <c r="BT539" s="27" t="s">
        <v>7</v>
      </c>
      <c r="BU539" s="27" t="s">
        <v>8</v>
      </c>
      <c r="BW539" s="27" t="s">
        <v>8</v>
      </c>
      <c r="BZ539" s="27" t="s">
        <v>7</v>
      </c>
      <c r="CA539" s="27" t="s">
        <v>8</v>
      </c>
      <c r="CP539" s="27" t="s">
        <v>7</v>
      </c>
      <c r="CQ539" s="27" t="s">
        <v>8</v>
      </c>
      <c r="CR539" s="27" t="s">
        <v>7</v>
      </c>
      <c r="CS539" s="27" t="s">
        <v>8</v>
      </c>
      <c r="CZ539" s="27" t="s">
        <v>7</v>
      </c>
      <c r="DB539" s="27" t="s">
        <v>7</v>
      </c>
      <c r="FI539" s="27" t="s">
        <v>8</v>
      </c>
      <c r="FJ539" s="27" t="s">
        <v>7</v>
      </c>
      <c r="FS539" s="27" t="s">
        <v>8</v>
      </c>
      <c r="FT539" s="27" t="s">
        <v>7</v>
      </c>
      <c r="FU539" s="27" t="s">
        <v>8</v>
      </c>
      <c r="FV539" s="27" t="s">
        <v>7</v>
      </c>
      <c r="FW539" s="27" t="s">
        <v>8</v>
      </c>
      <c r="FX539" s="27" t="s">
        <v>7</v>
      </c>
      <c r="FY539" s="27" t="s">
        <v>8</v>
      </c>
      <c r="GI539" s="27" t="s">
        <v>8</v>
      </c>
      <c r="GJ539" s="27" t="s">
        <v>7</v>
      </c>
    </row>
    <row r="540" spans="1:201" x14ac:dyDescent="0.25">
      <c r="A540" s="7">
        <v>2.53634351519552</v>
      </c>
      <c r="B540"/>
      <c r="C540"/>
      <c r="D540"/>
      <c r="E540"/>
      <c r="G540" s="27" t="s">
        <v>8</v>
      </c>
      <c r="H540" s="27" t="s">
        <v>7</v>
      </c>
      <c r="I540" s="27" t="s">
        <v>8</v>
      </c>
      <c r="J540" s="27" t="s">
        <v>7</v>
      </c>
      <c r="K540" s="27" t="s">
        <v>8</v>
      </c>
      <c r="L540" s="27" t="s">
        <v>7</v>
      </c>
      <c r="X540" s="27" t="s">
        <v>7</v>
      </c>
      <c r="Y540" s="27" t="s">
        <v>8</v>
      </c>
      <c r="Z540" s="27" t="s">
        <v>7</v>
      </c>
      <c r="AG540" s="27" t="s">
        <v>8</v>
      </c>
      <c r="AH540" s="27" t="s">
        <v>7</v>
      </c>
      <c r="AI540" s="27" t="s">
        <v>8</v>
      </c>
      <c r="AJ540" s="27" t="s">
        <v>7</v>
      </c>
      <c r="AO540" s="27" t="s">
        <v>8</v>
      </c>
      <c r="AP540" s="27" t="s">
        <v>7</v>
      </c>
      <c r="AQ540" s="27" t="s">
        <v>8</v>
      </c>
      <c r="AR540" s="27" t="s">
        <v>7</v>
      </c>
      <c r="AS540" s="27" t="s">
        <v>8</v>
      </c>
      <c r="AT540" s="27" t="s">
        <v>7</v>
      </c>
      <c r="AU540" s="27" t="s">
        <v>8</v>
      </c>
      <c r="AV540" s="27" t="s">
        <v>7</v>
      </c>
      <c r="AW540" s="27" t="s">
        <v>8</v>
      </c>
      <c r="BD540" s="27" t="s">
        <v>7</v>
      </c>
      <c r="BE540" s="27" t="s">
        <v>8</v>
      </c>
      <c r="BF540" s="27" t="s">
        <v>7</v>
      </c>
      <c r="BM540" s="27" t="s">
        <v>8</v>
      </c>
      <c r="BO540" s="27" t="s">
        <v>8</v>
      </c>
      <c r="BP540" s="27" t="s">
        <v>7</v>
      </c>
      <c r="BQ540" s="27" t="s">
        <v>8</v>
      </c>
      <c r="BT540" s="27" t="s">
        <v>7</v>
      </c>
      <c r="BU540" s="27" t="s">
        <v>8</v>
      </c>
      <c r="BV540" s="27" t="s">
        <v>7</v>
      </c>
      <c r="BW540" s="27" t="s">
        <v>8</v>
      </c>
      <c r="BZ540" s="27" t="s">
        <v>7</v>
      </c>
      <c r="CP540" s="27" t="s">
        <v>7</v>
      </c>
      <c r="CQ540" s="27" t="s">
        <v>8</v>
      </c>
      <c r="CR540" s="27" t="s">
        <v>7</v>
      </c>
      <c r="DB540" s="27" t="s">
        <v>7</v>
      </c>
      <c r="DC540" s="27" t="s">
        <v>8</v>
      </c>
      <c r="FI540" s="27" t="s">
        <v>8</v>
      </c>
      <c r="FJ540" s="27" t="s">
        <v>7</v>
      </c>
      <c r="FS540" s="27" t="s">
        <v>8</v>
      </c>
      <c r="FT540" s="27" t="s">
        <v>7</v>
      </c>
      <c r="FU540" s="27" t="s">
        <v>8</v>
      </c>
      <c r="FV540" s="27" t="s">
        <v>7</v>
      </c>
      <c r="FW540" s="27" t="s">
        <v>8</v>
      </c>
      <c r="FX540" s="27" t="s">
        <v>7</v>
      </c>
      <c r="FY540" s="27" t="s">
        <v>8</v>
      </c>
      <c r="FZ540" s="27" t="s">
        <v>7</v>
      </c>
      <c r="GI540" s="27" t="s">
        <v>8</v>
      </c>
      <c r="GJ540" s="27" t="s">
        <v>7</v>
      </c>
    </row>
    <row r="541" spans="1:201" x14ac:dyDescent="0.25">
      <c r="A541" s="7">
        <v>2.4866112894073726</v>
      </c>
      <c r="B541"/>
      <c r="C541"/>
      <c r="D541"/>
      <c r="E541"/>
      <c r="G541" s="27" t="s">
        <v>8</v>
      </c>
      <c r="H541" s="27" t="s">
        <v>7</v>
      </c>
      <c r="I541" s="27" t="s">
        <v>8</v>
      </c>
      <c r="J541" s="27" t="s">
        <v>7</v>
      </c>
      <c r="K541" s="27" t="s">
        <v>8</v>
      </c>
      <c r="X541" s="27" t="s">
        <v>7</v>
      </c>
      <c r="Y541" s="27" t="s">
        <v>8</v>
      </c>
      <c r="Z541" s="27" t="s">
        <v>7</v>
      </c>
      <c r="AG541" s="27" t="s">
        <v>8</v>
      </c>
      <c r="AH541" s="27" t="s">
        <v>7</v>
      </c>
      <c r="AI541" s="27" t="s">
        <v>8</v>
      </c>
      <c r="AJ541" s="27" t="s">
        <v>7</v>
      </c>
      <c r="AO541" s="27" t="s">
        <v>8</v>
      </c>
      <c r="AP541" s="27" t="s">
        <v>7</v>
      </c>
      <c r="AQ541" s="27" t="s">
        <v>8</v>
      </c>
      <c r="AR541" s="27" t="s">
        <v>7</v>
      </c>
      <c r="AT541" s="27" t="s">
        <v>7</v>
      </c>
      <c r="AU541" s="27" t="s">
        <v>8</v>
      </c>
      <c r="AV541" s="27" t="s">
        <v>7</v>
      </c>
      <c r="AW541" s="27" t="s">
        <v>8</v>
      </c>
      <c r="BD541" s="27" t="s">
        <v>7</v>
      </c>
      <c r="BE541" s="27" t="s">
        <v>8</v>
      </c>
      <c r="BF541" s="27" t="s">
        <v>7</v>
      </c>
      <c r="BG541" s="27" t="s">
        <v>8</v>
      </c>
      <c r="BM541" s="27" t="s">
        <v>8</v>
      </c>
      <c r="BN541" s="27" t="s">
        <v>7</v>
      </c>
      <c r="BO541" s="27" t="s">
        <v>8</v>
      </c>
      <c r="BP541" s="27" t="s">
        <v>7</v>
      </c>
      <c r="BQ541" s="27" t="s">
        <v>8</v>
      </c>
      <c r="BT541" s="27" t="s">
        <v>7</v>
      </c>
      <c r="BU541" s="27" t="s">
        <v>8</v>
      </c>
      <c r="BV541" s="27" t="s">
        <v>7</v>
      </c>
      <c r="BW541" s="27" t="s">
        <v>8</v>
      </c>
      <c r="CP541" s="27" t="s">
        <v>7</v>
      </c>
      <c r="CQ541" s="27" t="s">
        <v>8</v>
      </c>
      <c r="DB541" s="27" t="s">
        <v>7</v>
      </c>
      <c r="DC541" s="27" t="s">
        <v>8</v>
      </c>
      <c r="DD541" s="27" t="s">
        <v>7</v>
      </c>
      <c r="FI541" s="27" t="s">
        <v>8</v>
      </c>
      <c r="FJ541" s="27" t="s">
        <v>7</v>
      </c>
      <c r="FS541" s="27" t="s">
        <v>8</v>
      </c>
      <c r="FT541" s="27" t="s">
        <v>7</v>
      </c>
      <c r="FU541" s="27" t="s">
        <v>8</v>
      </c>
      <c r="FV541" s="27" t="s">
        <v>7</v>
      </c>
      <c r="FW541" s="27" t="s">
        <v>8</v>
      </c>
      <c r="FX541" s="27" t="s">
        <v>7</v>
      </c>
      <c r="FY541" s="27" t="s">
        <v>8</v>
      </c>
      <c r="FZ541" s="27" t="s">
        <v>7</v>
      </c>
      <c r="GI541" s="27" t="s">
        <v>8</v>
      </c>
      <c r="GJ541" s="27" t="s">
        <v>7</v>
      </c>
    </row>
    <row r="542" spans="1:201" x14ac:dyDescent="0.25">
      <c r="A542" s="7">
        <v>2.4378542053013459</v>
      </c>
      <c r="B542"/>
      <c r="C542"/>
      <c r="D542"/>
      <c r="E542"/>
      <c r="G542" s="27" t="s">
        <v>8</v>
      </c>
      <c r="H542" s="27" t="s">
        <v>7</v>
      </c>
      <c r="I542" s="27" t="s">
        <v>8</v>
      </c>
      <c r="J542" s="27" t="s">
        <v>7</v>
      </c>
      <c r="K542" s="27" t="s">
        <v>8</v>
      </c>
      <c r="X542" s="27" t="s">
        <v>7</v>
      </c>
      <c r="Y542" s="27" t="s">
        <v>8</v>
      </c>
      <c r="Z542" s="27" t="s">
        <v>7</v>
      </c>
      <c r="AG542" s="27" t="s">
        <v>8</v>
      </c>
      <c r="AH542" s="27" t="s">
        <v>7</v>
      </c>
      <c r="AI542" s="27" t="s">
        <v>8</v>
      </c>
      <c r="AJ542" s="27" t="s">
        <v>7</v>
      </c>
      <c r="AK542" s="27" t="s">
        <v>8</v>
      </c>
      <c r="AO542" s="27" t="s">
        <v>8</v>
      </c>
      <c r="AP542" s="27" t="s">
        <v>7</v>
      </c>
      <c r="AQ542" s="27" t="s">
        <v>8</v>
      </c>
      <c r="AT542" s="27" t="s">
        <v>7</v>
      </c>
      <c r="AU542" s="27" t="s">
        <v>8</v>
      </c>
      <c r="AV542" s="27" t="s">
        <v>7</v>
      </c>
      <c r="AW542" s="27" t="s">
        <v>8</v>
      </c>
      <c r="BD542" s="27" t="s">
        <v>7</v>
      </c>
      <c r="BE542" s="27" t="s">
        <v>8</v>
      </c>
      <c r="BF542" s="27" t="s">
        <v>7</v>
      </c>
      <c r="BG542" s="27" t="s">
        <v>8</v>
      </c>
      <c r="BH542" s="27" t="s">
        <v>7</v>
      </c>
      <c r="BK542" s="27" t="s">
        <v>8</v>
      </c>
      <c r="BM542" s="27" t="s">
        <v>8</v>
      </c>
      <c r="BN542" s="27" t="s">
        <v>7</v>
      </c>
      <c r="BO542" s="27" t="s">
        <v>8</v>
      </c>
      <c r="BP542" s="27" t="s">
        <v>7</v>
      </c>
      <c r="BT542" s="27" t="s">
        <v>7</v>
      </c>
      <c r="BU542" s="27" t="s">
        <v>8</v>
      </c>
      <c r="BV542" s="27" t="s">
        <v>7</v>
      </c>
      <c r="BW542" s="27" t="s">
        <v>8</v>
      </c>
      <c r="CP542" s="27" t="s">
        <v>7</v>
      </c>
      <c r="CQ542" s="27" t="s">
        <v>8</v>
      </c>
      <c r="DB542" s="27" t="s">
        <v>7</v>
      </c>
      <c r="DC542" s="27" t="s">
        <v>8</v>
      </c>
      <c r="DD542" s="27" t="s">
        <v>7</v>
      </c>
      <c r="FI542" s="27" t="s">
        <v>8</v>
      </c>
      <c r="FJ542" s="27" t="s">
        <v>7</v>
      </c>
      <c r="FS542" s="27" t="s">
        <v>8</v>
      </c>
      <c r="FT542" s="27" t="s">
        <v>7</v>
      </c>
      <c r="FU542" s="27" t="s">
        <v>8</v>
      </c>
      <c r="FV542" s="27" t="s">
        <v>7</v>
      </c>
      <c r="FW542" s="27" t="s">
        <v>8</v>
      </c>
      <c r="FX542" s="27" t="s">
        <v>7</v>
      </c>
      <c r="FY542" s="27" t="s">
        <v>8</v>
      </c>
      <c r="FZ542" s="27" t="s">
        <v>7</v>
      </c>
      <c r="GI542" s="27" t="s">
        <v>8</v>
      </c>
      <c r="GJ542" s="27" t="s">
        <v>7</v>
      </c>
    </row>
    <row r="543" spans="1:201" x14ac:dyDescent="0.25">
      <c r="A543" s="7">
        <v>2.3900531424522997</v>
      </c>
      <c r="B543"/>
      <c r="C543"/>
      <c r="D543"/>
      <c r="E543"/>
      <c r="G543" s="27" t="s">
        <v>8</v>
      </c>
      <c r="H543" s="27" t="s">
        <v>7</v>
      </c>
      <c r="J543" s="27" t="s">
        <v>7</v>
      </c>
      <c r="K543" s="27" t="s">
        <v>8</v>
      </c>
      <c r="X543" s="27" t="s">
        <v>7</v>
      </c>
      <c r="Y543" s="27" t="s">
        <v>8</v>
      </c>
      <c r="Z543" s="27" t="s">
        <v>7</v>
      </c>
      <c r="AG543" s="27" t="s">
        <v>8</v>
      </c>
      <c r="AH543" s="27" t="s">
        <v>7</v>
      </c>
      <c r="AI543" s="27" t="s">
        <v>8</v>
      </c>
      <c r="AJ543" s="27" t="s">
        <v>7</v>
      </c>
      <c r="AK543" s="27" t="s">
        <v>8</v>
      </c>
      <c r="AL543" s="27" t="s">
        <v>7</v>
      </c>
      <c r="AO543" s="27" t="s">
        <v>8</v>
      </c>
      <c r="AP543" s="27" t="s">
        <v>7</v>
      </c>
      <c r="AQ543" s="27" t="s">
        <v>8</v>
      </c>
      <c r="AT543" s="27" t="s">
        <v>7</v>
      </c>
      <c r="AU543" s="27" t="s">
        <v>8</v>
      </c>
      <c r="AV543" s="27" t="s">
        <v>7</v>
      </c>
      <c r="BD543" s="27" t="s">
        <v>7</v>
      </c>
      <c r="BE543" s="27" t="s">
        <v>8</v>
      </c>
      <c r="BF543" s="27" t="s">
        <v>7</v>
      </c>
      <c r="BG543" s="27" t="s">
        <v>8</v>
      </c>
      <c r="BH543" s="27" t="s">
        <v>7</v>
      </c>
      <c r="BK543" s="27" t="s">
        <v>8</v>
      </c>
      <c r="BL543" s="27" t="s">
        <v>7</v>
      </c>
      <c r="BM543" s="27" t="s">
        <v>8</v>
      </c>
      <c r="BN543" s="27" t="s">
        <v>7</v>
      </c>
      <c r="BO543" s="27" t="s">
        <v>8</v>
      </c>
      <c r="BT543" s="27" t="s">
        <v>7</v>
      </c>
      <c r="BU543" s="27" t="s">
        <v>8</v>
      </c>
      <c r="BV543" s="27" t="s">
        <v>7</v>
      </c>
      <c r="CP543" s="27" t="s">
        <v>7</v>
      </c>
      <c r="CQ543" s="27" t="s">
        <v>8</v>
      </c>
      <c r="DB543" s="27" t="s">
        <v>7</v>
      </c>
      <c r="DC543" s="27" t="s">
        <v>8</v>
      </c>
      <c r="DD543" s="27" t="s">
        <v>7</v>
      </c>
      <c r="FI543" s="27" t="s">
        <v>8</v>
      </c>
      <c r="FJ543" s="27" t="s">
        <v>7</v>
      </c>
      <c r="FS543" s="27" t="s">
        <v>8</v>
      </c>
      <c r="FT543" s="27" t="s">
        <v>7</v>
      </c>
      <c r="FU543" s="27" t="s">
        <v>8</v>
      </c>
      <c r="FV543" s="27" t="s">
        <v>7</v>
      </c>
      <c r="FW543" s="27" t="s">
        <v>8</v>
      </c>
      <c r="FX543" s="27" t="s">
        <v>7</v>
      </c>
      <c r="FY543" s="27" t="s">
        <v>8</v>
      </c>
      <c r="FZ543" s="27" t="s">
        <v>7</v>
      </c>
      <c r="GI543" s="27" t="s">
        <v>8</v>
      </c>
      <c r="GJ543" s="27" t="s">
        <v>7</v>
      </c>
    </row>
    <row r="544" spans="1:201" x14ac:dyDescent="0.25">
      <c r="A544" s="7">
        <v>2.343189355345392</v>
      </c>
      <c r="B544"/>
      <c r="C544"/>
      <c r="D544"/>
      <c r="E544"/>
      <c r="G544" s="27" t="s">
        <v>8</v>
      </c>
      <c r="J544" s="27" t="s">
        <v>7</v>
      </c>
      <c r="K544" s="27" t="s">
        <v>8</v>
      </c>
      <c r="X544" s="27" t="s">
        <v>7</v>
      </c>
      <c r="Y544" s="27" t="s">
        <v>8</v>
      </c>
      <c r="Z544" s="27" t="s">
        <v>7</v>
      </c>
      <c r="AE544" s="27" t="s">
        <v>8</v>
      </c>
      <c r="AG544" s="27" t="s">
        <v>8</v>
      </c>
      <c r="AH544" s="27" t="s">
        <v>7</v>
      </c>
      <c r="AI544" s="27" t="s">
        <v>8</v>
      </c>
      <c r="AJ544" s="27" t="s">
        <v>7</v>
      </c>
      <c r="AK544" s="27" t="s">
        <v>8</v>
      </c>
      <c r="AL544" s="27" t="s">
        <v>7</v>
      </c>
      <c r="AO544" s="27" t="s">
        <v>8</v>
      </c>
      <c r="AP544" s="27" t="s">
        <v>7</v>
      </c>
      <c r="AQ544" s="27" t="s">
        <v>8</v>
      </c>
      <c r="AT544" s="27" t="s">
        <v>7</v>
      </c>
      <c r="AU544" s="27" t="s">
        <v>8</v>
      </c>
      <c r="BD544" s="27" t="s">
        <v>7</v>
      </c>
      <c r="BE544" s="27" t="s">
        <v>8</v>
      </c>
      <c r="BF544" s="27" t="s">
        <v>7</v>
      </c>
      <c r="BG544" s="27" t="s">
        <v>8</v>
      </c>
      <c r="BH544" s="27" t="s">
        <v>7</v>
      </c>
      <c r="BI544" s="27" t="s">
        <v>8</v>
      </c>
      <c r="BK544" s="27" t="s">
        <v>8</v>
      </c>
      <c r="BL544" s="27" t="s">
        <v>7</v>
      </c>
      <c r="BM544" s="27" t="s">
        <v>8</v>
      </c>
      <c r="BN544" s="27" t="s">
        <v>7</v>
      </c>
      <c r="BO544" s="27" t="s">
        <v>8</v>
      </c>
      <c r="BT544" s="27" t="s">
        <v>7</v>
      </c>
      <c r="BU544" s="27" t="s">
        <v>8</v>
      </c>
      <c r="CP544" s="27" t="s">
        <v>7</v>
      </c>
      <c r="CQ544" s="27" t="s">
        <v>8</v>
      </c>
      <c r="DB544" s="27" t="s">
        <v>7</v>
      </c>
      <c r="DC544" s="27" t="s">
        <v>8</v>
      </c>
      <c r="DD544" s="27" t="s">
        <v>7</v>
      </c>
      <c r="FI544" s="27" t="s">
        <v>8</v>
      </c>
      <c r="FJ544" s="27" t="s">
        <v>7</v>
      </c>
      <c r="FS544" s="27" t="s">
        <v>8</v>
      </c>
      <c r="FT544" s="27" t="s">
        <v>7</v>
      </c>
      <c r="FU544" s="27" t="s">
        <v>8</v>
      </c>
      <c r="FV544" s="27" t="s">
        <v>7</v>
      </c>
      <c r="FW544" s="27" t="s">
        <v>8</v>
      </c>
      <c r="FX544" s="27" t="s">
        <v>7</v>
      </c>
      <c r="FY544" s="27" t="s">
        <v>8</v>
      </c>
      <c r="FZ544" s="27" t="s">
        <v>7</v>
      </c>
      <c r="GC544" s="27" t="s">
        <v>8</v>
      </c>
      <c r="GI544" s="27" t="s">
        <v>8</v>
      </c>
      <c r="GJ544" s="27" t="s">
        <v>7</v>
      </c>
      <c r="GS544" s="27" t="s">
        <v>8</v>
      </c>
    </row>
    <row r="545" spans="1:224" x14ac:dyDescent="0.25">
      <c r="A545" s="7">
        <v>2.2972444660248938</v>
      </c>
      <c r="B545"/>
      <c r="C545"/>
      <c r="D545"/>
      <c r="E545"/>
      <c r="G545" s="27" t="s">
        <v>8</v>
      </c>
      <c r="J545" s="27" t="s">
        <v>7</v>
      </c>
      <c r="K545" s="27" t="s">
        <v>8</v>
      </c>
      <c r="X545" s="27" t="s">
        <v>7</v>
      </c>
      <c r="Y545" s="27" t="s">
        <v>8</v>
      </c>
      <c r="Z545" s="27" t="s">
        <v>7</v>
      </c>
      <c r="AA545" s="27" t="s">
        <v>8</v>
      </c>
      <c r="AE545" s="27" t="s">
        <v>8</v>
      </c>
      <c r="AF545" s="27" t="s">
        <v>7</v>
      </c>
      <c r="AG545" s="27" t="s">
        <v>8</v>
      </c>
      <c r="AH545" s="27" t="s">
        <v>7</v>
      </c>
      <c r="AI545" s="27" t="s">
        <v>8</v>
      </c>
      <c r="AJ545" s="27" t="s">
        <v>7</v>
      </c>
      <c r="AK545" s="27" t="s">
        <v>8</v>
      </c>
      <c r="AL545" s="27" t="s">
        <v>7</v>
      </c>
      <c r="AO545" s="27" t="s">
        <v>8</v>
      </c>
      <c r="AP545" s="27" t="s">
        <v>7</v>
      </c>
      <c r="AQ545" s="27" t="s">
        <v>8</v>
      </c>
      <c r="AT545" s="27" t="s">
        <v>7</v>
      </c>
      <c r="AU545" s="27" t="s">
        <v>8</v>
      </c>
      <c r="BD545" s="27" t="s">
        <v>7</v>
      </c>
      <c r="BE545" s="27" t="s">
        <v>8</v>
      </c>
      <c r="BF545" s="27" t="s">
        <v>7</v>
      </c>
      <c r="BG545" s="27" t="s">
        <v>8</v>
      </c>
      <c r="BH545" s="27" t="s">
        <v>7</v>
      </c>
      <c r="BI545" s="27" t="s">
        <v>8</v>
      </c>
      <c r="BJ545" s="27" t="s">
        <v>7</v>
      </c>
      <c r="BK545" s="27" t="s">
        <v>8</v>
      </c>
      <c r="BL545" s="27" t="s">
        <v>7</v>
      </c>
      <c r="BM545" s="27" t="s">
        <v>8</v>
      </c>
      <c r="BN545" s="27" t="s">
        <v>7</v>
      </c>
      <c r="BO545" s="27" t="s">
        <v>8</v>
      </c>
      <c r="BT545" s="27" t="s">
        <v>7</v>
      </c>
      <c r="BU545" s="27" t="s">
        <v>8</v>
      </c>
      <c r="CP545" s="27" t="s">
        <v>7</v>
      </c>
      <c r="CQ545" s="27" t="s">
        <v>8</v>
      </c>
      <c r="DB545" s="27" t="s">
        <v>7</v>
      </c>
      <c r="DC545" s="27" t="s">
        <v>8</v>
      </c>
      <c r="DD545" s="27" t="s">
        <v>7</v>
      </c>
      <c r="FI545" s="27" t="s">
        <v>8</v>
      </c>
      <c r="FJ545" s="27" t="s">
        <v>7</v>
      </c>
      <c r="FS545" s="27" t="s">
        <v>8</v>
      </c>
      <c r="FT545" s="27" t="s">
        <v>7</v>
      </c>
      <c r="FU545" s="27" t="s">
        <v>8</v>
      </c>
      <c r="FV545" s="27" t="s">
        <v>7</v>
      </c>
      <c r="FW545" s="27" t="s">
        <v>8</v>
      </c>
      <c r="FX545" s="27" t="s">
        <v>7</v>
      </c>
      <c r="FY545" s="27" t="s">
        <v>8</v>
      </c>
      <c r="FZ545" s="27" t="s">
        <v>7</v>
      </c>
      <c r="GC545" s="27" t="s">
        <v>8</v>
      </c>
      <c r="GD545" s="27" t="s">
        <v>7</v>
      </c>
      <c r="GI545" s="27" t="s">
        <v>8</v>
      </c>
      <c r="GJ545" s="27" t="s">
        <v>7</v>
      </c>
      <c r="GS545" s="27" t="s">
        <v>8</v>
      </c>
      <c r="GT545" s="27" t="s">
        <v>7</v>
      </c>
    </row>
    <row r="546" spans="1:224" x14ac:dyDescent="0.25">
      <c r="A546" s="7">
        <v>2.252200456887151</v>
      </c>
      <c r="B546"/>
      <c r="C546"/>
      <c r="D546"/>
      <c r="E546" t="s">
        <v>8</v>
      </c>
      <c r="G546" s="27" t="s">
        <v>8</v>
      </c>
      <c r="J546" s="27" t="s">
        <v>7</v>
      </c>
      <c r="K546" s="27" t="s">
        <v>8</v>
      </c>
      <c r="X546" s="27" t="s">
        <v>7</v>
      </c>
      <c r="Y546" s="27" t="s">
        <v>8</v>
      </c>
      <c r="Z546" s="27" t="s">
        <v>7</v>
      </c>
      <c r="AA546" s="27" t="s">
        <v>8</v>
      </c>
      <c r="AB546" s="27" t="s">
        <v>7</v>
      </c>
      <c r="AE546" s="27" t="s">
        <v>8</v>
      </c>
      <c r="AF546" s="27" t="s">
        <v>7</v>
      </c>
      <c r="AG546" s="27" t="s">
        <v>8</v>
      </c>
      <c r="AH546" s="27" t="s">
        <v>7</v>
      </c>
      <c r="AI546" s="27" t="s">
        <v>8</v>
      </c>
      <c r="AJ546" s="27" t="s">
        <v>7</v>
      </c>
      <c r="AK546" s="27" t="s">
        <v>8</v>
      </c>
      <c r="AL546" s="27" t="s">
        <v>7</v>
      </c>
      <c r="AO546" s="27" t="s">
        <v>8</v>
      </c>
      <c r="AP546" s="27" t="s">
        <v>7</v>
      </c>
      <c r="AQ546" s="27" t="s">
        <v>8</v>
      </c>
      <c r="AT546" s="27" t="s">
        <v>7</v>
      </c>
      <c r="AU546" s="27" t="s">
        <v>8</v>
      </c>
      <c r="BD546" s="27" t="s">
        <v>7</v>
      </c>
      <c r="BE546" s="27" t="s">
        <v>8</v>
      </c>
      <c r="BF546" s="27" t="s">
        <v>7</v>
      </c>
      <c r="BH546" s="27" t="s">
        <v>7</v>
      </c>
      <c r="BI546" s="27" t="s">
        <v>8</v>
      </c>
      <c r="BJ546" s="27" t="s">
        <v>7</v>
      </c>
      <c r="BK546" s="27" t="s">
        <v>8</v>
      </c>
      <c r="BL546" s="27" t="s">
        <v>7</v>
      </c>
      <c r="BM546" s="27" t="s">
        <v>8</v>
      </c>
      <c r="BN546" s="27" t="s">
        <v>7</v>
      </c>
      <c r="BO546" s="27" t="s">
        <v>8</v>
      </c>
      <c r="BT546" s="27" t="s">
        <v>7</v>
      </c>
      <c r="BU546" s="27" t="s">
        <v>8</v>
      </c>
      <c r="CP546" s="27" t="s">
        <v>7</v>
      </c>
      <c r="DB546" s="27" t="s">
        <v>7</v>
      </c>
      <c r="DD546" s="27" t="s">
        <v>7</v>
      </c>
      <c r="FI546" s="27" t="s">
        <v>8</v>
      </c>
      <c r="FJ546" s="27" t="s">
        <v>7</v>
      </c>
      <c r="FS546" s="27" t="s">
        <v>8</v>
      </c>
      <c r="FT546" s="27" t="s">
        <v>7</v>
      </c>
      <c r="FU546" s="27" t="s">
        <v>8</v>
      </c>
      <c r="FV546" s="27" t="s">
        <v>7</v>
      </c>
      <c r="FW546" s="27" t="s">
        <v>8</v>
      </c>
      <c r="FX546" s="27" t="s">
        <v>7</v>
      </c>
      <c r="FY546" s="27" t="s">
        <v>8</v>
      </c>
      <c r="FZ546" s="27" t="s">
        <v>7</v>
      </c>
      <c r="GC546" s="27" t="s">
        <v>8</v>
      </c>
      <c r="GD546" s="27" t="s">
        <v>7</v>
      </c>
      <c r="GI546" s="27" t="s">
        <v>8</v>
      </c>
      <c r="GJ546" s="27" t="s">
        <v>7</v>
      </c>
      <c r="GS546" s="27" t="s">
        <v>8</v>
      </c>
      <c r="GT546" s="27" t="s">
        <v>7</v>
      </c>
    </row>
    <row r="547" spans="1:224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J547" s="27" t="s">
        <v>7</v>
      </c>
      <c r="K547" s="27" t="s">
        <v>8</v>
      </c>
      <c r="X547" s="27" t="s">
        <v>7</v>
      </c>
      <c r="Y547" s="27" t="s">
        <v>8</v>
      </c>
      <c r="Z547" s="27" t="s">
        <v>7</v>
      </c>
      <c r="AA547" s="27" t="s">
        <v>8</v>
      </c>
      <c r="AB547" s="27" t="s">
        <v>7</v>
      </c>
      <c r="AE547" s="27" t="s">
        <v>8</v>
      </c>
      <c r="AF547" s="27" t="s">
        <v>7</v>
      </c>
      <c r="AG547" s="27" t="s">
        <v>8</v>
      </c>
      <c r="AH547" s="27" t="s">
        <v>7</v>
      </c>
      <c r="AI547" s="27" t="s">
        <v>8</v>
      </c>
      <c r="AJ547" s="27" t="s">
        <v>7</v>
      </c>
      <c r="AK547" s="27" t="s">
        <v>8</v>
      </c>
      <c r="AL547" s="27" t="s">
        <v>7</v>
      </c>
      <c r="AO547" s="27" t="s">
        <v>8</v>
      </c>
      <c r="AP547" s="27" t="s">
        <v>7</v>
      </c>
      <c r="AQ547" s="27" t="s">
        <v>8</v>
      </c>
      <c r="AT547" s="27" t="s">
        <v>7</v>
      </c>
      <c r="AU547" s="27" t="s">
        <v>8</v>
      </c>
      <c r="BD547" s="27" t="s">
        <v>7</v>
      </c>
      <c r="BE547" s="27" t="s">
        <v>8</v>
      </c>
      <c r="BH547" s="27" t="s">
        <v>7</v>
      </c>
      <c r="BI547" s="27" t="s">
        <v>8</v>
      </c>
      <c r="BJ547" s="27" t="s">
        <v>7</v>
      </c>
      <c r="BK547" s="27" t="s">
        <v>8</v>
      </c>
      <c r="BL547" s="27" t="s">
        <v>7</v>
      </c>
      <c r="BM547" s="27" t="s">
        <v>8</v>
      </c>
      <c r="BN547" s="27" t="s">
        <v>7</v>
      </c>
      <c r="BO547" s="27" t="s">
        <v>8</v>
      </c>
      <c r="BT547" s="27" t="s">
        <v>7</v>
      </c>
      <c r="BU547" s="27" t="s">
        <v>8</v>
      </c>
      <c r="DD547" s="27" t="s">
        <v>7</v>
      </c>
      <c r="DE547" s="27" t="s">
        <v>8</v>
      </c>
      <c r="FI547" s="27" t="s">
        <v>8</v>
      </c>
      <c r="FJ547" s="27" t="s">
        <v>7</v>
      </c>
      <c r="FS547" s="27" t="s">
        <v>8</v>
      </c>
      <c r="FT547" s="27" t="s">
        <v>7</v>
      </c>
      <c r="FU547" s="27" t="s">
        <v>8</v>
      </c>
      <c r="FV547" s="27" t="s">
        <v>7</v>
      </c>
      <c r="FW547" s="27" t="s">
        <v>8</v>
      </c>
      <c r="FX547" s="27" t="s">
        <v>7</v>
      </c>
      <c r="FY547" s="27" t="s">
        <v>8</v>
      </c>
      <c r="FZ547" s="27" t="s">
        <v>7</v>
      </c>
      <c r="GC547" s="27" t="s">
        <v>8</v>
      </c>
      <c r="GD547" s="27" t="s">
        <v>7</v>
      </c>
      <c r="GI547" s="27" t="s">
        <v>8</v>
      </c>
      <c r="GJ547" s="27" t="s">
        <v>7</v>
      </c>
      <c r="GS547" s="27" t="s">
        <v>8</v>
      </c>
      <c r="GT547" s="27" t="s">
        <v>7</v>
      </c>
    </row>
    <row r="548" spans="1:224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J548" s="27" t="s">
        <v>7</v>
      </c>
      <c r="K548" s="27" t="s">
        <v>8</v>
      </c>
      <c r="X548" s="27" t="s">
        <v>7</v>
      </c>
      <c r="Y548" s="27" t="s">
        <v>8</v>
      </c>
      <c r="Z548" s="27" t="s">
        <v>7</v>
      </c>
      <c r="AA548" s="27" t="s">
        <v>8</v>
      </c>
      <c r="AB548" s="27" t="s">
        <v>7</v>
      </c>
      <c r="AE548" s="27" t="s">
        <v>8</v>
      </c>
      <c r="AF548" s="27" t="s">
        <v>7</v>
      </c>
      <c r="AG548" s="27" t="s">
        <v>8</v>
      </c>
      <c r="AH548" s="27" t="s">
        <v>7</v>
      </c>
      <c r="AI548" s="27" t="s">
        <v>8</v>
      </c>
      <c r="AJ548" s="27" t="s">
        <v>7</v>
      </c>
      <c r="AK548" s="27" t="s">
        <v>8</v>
      </c>
      <c r="AL548" s="27" t="s">
        <v>7</v>
      </c>
      <c r="AM548" s="27" t="s">
        <v>8</v>
      </c>
      <c r="AO548" s="27" t="s">
        <v>8</v>
      </c>
      <c r="AP548" s="27" t="s">
        <v>7</v>
      </c>
      <c r="AQ548" s="27" t="s">
        <v>8</v>
      </c>
      <c r="AT548" s="27" t="s">
        <v>7</v>
      </c>
      <c r="BD548" s="27" t="s">
        <v>7</v>
      </c>
      <c r="BE548" s="27" t="s">
        <v>8</v>
      </c>
      <c r="BH548" s="27" t="s">
        <v>7</v>
      </c>
      <c r="BI548" s="27" t="s">
        <v>8</v>
      </c>
      <c r="BJ548" s="27" t="s">
        <v>7</v>
      </c>
      <c r="BK548" s="27" t="s">
        <v>8</v>
      </c>
      <c r="BL548" s="27" t="s">
        <v>7</v>
      </c>
      <c r="BM548" s="27" t="s">
        <v>8</v>
      </c>
      <c r="BN548" s="27" t="s">
        <v>7</v>
      </c>
      <c r="BT548" s="27" t="s">
        <v>7</v>
      </c>
      <c r="DD548" s="27" t="s">
        <v>7</v>
      </c>
      <c r="DE548" s="27" t="s">
        <v>8</v>
      </c>
      <c r="DF548" s="27" t="s">
        <v>7</v>
      </c>
      <c r="FI548" s="27" t="s">
        <v>8</v>
      </c>
      <c r="FJ548" s="27" t="s">
        <v>7</v>
      </c>
      <c r="FQ548" s="27" t="s">
        <v>8</v>
      </c>
      <c r="FS548" s="27" t="s">
        <v>8</v>
      </c>
      <c r="FT548" s="27" t="s">
        <v>7</v>
      </c>
      <c r="FU548" s="27" t="s">
        <v>8</v>
      </c>
      <c r="FV548" s="27" t="s">
        <v>7</v>
      </c>
      <c r="FX548" s="27" t="s">
        <v>7</v>
      </c>
      <c r="FY548" s="27" t="s">
        <v>8</v>
      </c>
      <c r="FZ548" s="27" t="s">
        <v>7</v>
      </c>
      <c r="GC548" s="27" t="s">
        <v>8</v>
      </c>
      <c r="GD548" s="27" t="s">
        <v>7</v>
      </c>
      <c r="GI548" s="27" t="s">
        <v>8</v>
      </c>
      <c r="GJ548" s="27" t="s">
        <v>7</v>
      </c>
      <c r="GS548" s="27" t="s">
        <v>8</v>
      </c>
      <c r="GT548" s="27" t="s">
        <v>7</v>
      </c>
    </row>
    <row r="549" spans="1:224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J549" s="27" t="s">
        <v>7</v>
      </c>
      <c r="K549" s="27" t="s">
        <v>8</v>
      </c>
      <c r="X549" s="27" t="s">
        <v>7</v>
      </c>
      <c r="Z549" s="27" t="s">
        <v>7</v>
      </c>
      <c r="AA549" s="27" t="s">
        <v>8</v>
      </c>
      <c r="AB549" s="27" t="s">
        <v>7</v>
      </c>
      <c r="AE549" s="27" t="s">
        <v>8</v>
      </c>
      <c r="AF549" s="27" t="s">
        <v>7</v>
      </c>
      <c r="AG549" s="27" t="s">
        <v>8</v>
      </c>
      <c r="AH549" s="27" t="s">
        <v>7</v>
      </c>
      <c r="AJ549" s="27" t="s">
        <v>7</v>
      </c>
      <c r="AK549" s="27" t="s">
        <v>8</v>
      </c>
      <c r="AL549" s="27" t="s">
        <v>7</v>
      </c>
      <c r="AM549" s="27" t="s">
        <v>8</v>
      </c>
      <c r="AN549" s="27" t="s">
        <v>7</v>
      </c>
      <c r="AO549" s="27" t="s">
        <v>8</v>
      </c>
      <c r="AP549" s="27" t="s">
        <v>7</v>
      </c>
      <c r="AQ549" s="27" t="s">
        <v>8</v>
      </c>
      <c r="BD549" s="27" t="s">
        <v>7</v>
      </c>
      <c r="BE549" s="27" t="s">
        <v>8</v>
      </c>
      <c r="BH549" s="27" t="s">
        <v>7</v>
      </c>
      <c r="BI549" s="27" t="s">
        <v>8</v>
      </c>
      <c r="BJ549" s="27" t="s">
        <v>7</v>
      </c>
      <c r="BK549" s="27" t="s">
        <v>8</v>
      </c>
      <c r="BL549" s="27" t="s">
        <v>7</v>
      </c>
      <c r="BM549" s="27" t="s">
        <v>8</v>
      </c>
      <c r="DD549" s="27" t="s">
        <v>7</v>
      </c>
      <c r="DE549" s="27" t="s">
        <v>8</v>
      </c>
      <c r="DF549" s="27" t="s">
        <v>7</v>
      </c>
      <c r="FI549" s="27" t="s">
        <v>8</v>
      </c>
      <c r="FJ549" s="27" t="s">
        <v>7</v>
      </c>
      <c r="FQ549" s="27" t="s">
        <v>8</v>
      </c>
      <c r="FR549" s="27" t="s">
        <v>7</v>
      </c>
      <c r="FS549" s="27" t="s">
        <v>8</v>
      </c>
      <c r="FT549" s="27" t="s">
        <v>7</v>
      </c>
      <c r="FU549" s="27" t="s">
        <v>8</v>
      </c>
      <c r="FX549" s="27" t="s">
        <v>7</v>
      </c>
      <c r="FY549" s="27" t="s">
        <v>8</v>
      </c>
      <c r="FZ549" s="27" t="s">
        <v>7</v>
      </c>
      <c r="GC549" s="27" t="s">
        <v>8</v>
      </c>
      <c r="GD549" s="27" t="s">
        <v>7</v>
      </c>
      <c r="GI549" s="27" t="s">
        <v>8</v>
      </c>
      <c r="GJ549" s="27" t="s">
        <v>7</v>
      </c>
      <c r="GS549" s="27" t="s">
        <v>8</v>
      </c>
      <c r="GT549" s="27" t="s">
        <v>7</v>
      </c>
    </row>
    <row r="550" spans="1:224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J550" s="27" t="s">
        <v>7</v>
      </c>
      <c r="K550" s="27" t="s">
        <v>8</v>
      </c>
      <c r="Z550" s="27" t="s">
        <v>7</v>
      </c>
      <c r="AB550" s="27" t="s">
        <v>7</v>
      </c>
      <c r="AE550" s="27" t="s">
        <v>8</v>
      </c>
      <c r="AF550" s="27" t="s">
        <v>7</v>
      </c>
      <c r="AG550" s="27" t="s">
        <v>8</v>
      </c>
      <c r="AJ550" s="27" t="s">
        <v>7</v>
      </c>
      <c r="AK550" s="27" t="s">
        <v>8</v>
      </c>
      <c r="AL550" s="27" t="s">
        <v>7</v>
      </c>
      <c r="AM550" s="27" t="s">
        <v>8</v>
      </c>
      <c r="AN550" s="27" t="s">
        <v>7</v>
      </c>
      <c r="AO550" s="27" t="s">
        <v>8</v>
      </c>
      <c r="AP550" s="27" t="s">
        <v>7</v>
      </c>
      <c r="AQ550" s="27" t="s">
        <v>8</v>
      </c>
      <c r="BD550" s="27" t="s">
        <v>7</v>
      </c>
      <c r="BH550" s="27" t="s">
        <v>7</v>
      </c>
      <c r="BI550" s="27" t="s">
        <v>8</v>
      </c>
      <c r="BJ550" s="27" t="s">
        <v>7</v>
      </c>
      <c r="BL550" s="27" t="s">
        <v>7</v>
      </c>
      <c r="BM550" s="27" t="s">
        <v>8</v>
      </c>
      <c r="DD550" s="27" t="s">
        <v>7</v>
      </c>
      <c r="DE550" s="27" t="s">
        <v>8</v>
      </c>
      <c r="DF550" s="27" t="s">
        <v>7</v>
      </c>
      <c r="FI550" s="27" t="s">
        <v>8</v>
      </c>
      <c r="FJ550" s="27" t="s">
        <v>7</v>
      </c>
      <c r="FQ550" s="27" t="s">
        <v>8</v>
      </c>
      <c r="FR550" s="27" t="s">
        <v>7</v>
      </c>
      <c r="FS550" s="27" t="s">
        <v>8</v>
      </c>
      <c r="FT550" s="27" t="s">
        <v>7</v>
      </c>
      <c r="FU550" s="27" t="s">
        <v>8</v>
      </c>
      <c r="FX550" s="27" t="s">
        <v>7</v>
      </c>
      <c r="FZ550" s="27" t="s">
        <v>7</v>
      </c>
      <c r="GA550" s="27" t="s">
        <v>8</v>
      </c>
      <c r="GC550" s="27" t="s">
        <v>8</v>
      </c>
      <c r="GD550" s="27" t="s">
        <v>7</v>
      </c>
      <c r="GI550" s="27" t="s">
        <v>8</v>
      </c>
      <c r="GJ550" s="27" t="s">
        <v>7</v>
      </c>
      <c r="GS550" s="27" t="s">
        <v>8</v>
      </c>
      <c r="GT550" s="27" t="s">
        <v>7</v>
      </c>
      <c r="HK550" s="27" t="s">
        <v>8</v>
      </c>
    </row>
    <row r="551" spans="1:224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J551" s="27" t="s">
        <v>7</v>
      </c>
      <c r="K551" s="27" t="s">
        <v>8</v>
      </c>
      <c r="AB551" s="27" t="s">
        <v>7</v>
      </c>
      <c r="AE551" s="27" t="s">
        <v>8</v>
      </c>
      <c r="AF551" s="27" t="s">
        <v>7</v>
      </c>
      <c r="AG551" s="27" t="s">
        <v>8</v>
      </c>
      <c r="AJ551" s="27" t="s">
        <v>7</v>
      </c>
      <c r="AK551" s="27" t="s">
        <v>8</v>
      </c>
      <c r="AL551" s="27" t="s">
        <v>7</v>
      </c>
      <c r="AM551" s="27" t="s">
        <v>8</v>
      </c>
      <c r="AN551" s="27" t="s">
        <v>7</v>
      </c>
      <c r="AO551" s="27" t="s">
        <v>8</v>
      </c>
      <c r="AP551" s="27" t="s">
        <v>7</v>
      </c>
      <c r="AQ551" s="27" t="s">
        <v>8</v>
      </c>
      <c r="BH551" s="27" t="s">
        <v>7</v>
      </c>
      <c r="BI551" s="27" t="s">
        <v>8</v>
      </c>
      <c r="BL551" s="27" t="s">
        <v>7</v>
      </c>
      <c r="DD551" s="27" t="s">
        <v>7</v>
      </c>
      <c r="DE551" s="27" t="s">
        <v>8</v>
      </c>
      <c r="DF551" s="27" t="s">
        <v>7</v>
      </c>
      <c r="FC551" s="27" t="s">
        <v>8</v>
      </c>
      <c r="FI551" s="27" t="s">
        <v>8</v>
      </c>
      <c r="FJ551" s="27" t="s">
        <v>7</v>
      </c>
      <c r="FQ551" s="27" t="s">
        <v>8</v>
      </c>
      <c r="FR551" s="27" t="s">
        <v>7</v>
      </c>
      <c r="FS551" s="27" t="s">
        <v>8</v>
      </c>
      <c r="FT551" s="27" t="s">
        <v>7</v>
      </c>
      <c r="FU551" s="27" t="s">
        <v>8</v>
      </c>
      <c r="FZ551" s="27" t="s">
        <v>7</v>
      </c>
      <c r="GA551" s="27" t="s">
        <v>8</v>
      </c>
      <c r="GB551" s="27" t="s">
        <v>7</v>
      </c>
      <c r="GC551" s="27" t="s">
        <v>8</v>
      </c>
      <c r="GD551" s="27" t="s">
        <v>7</v>
      </c>
      <c r="GI551" s="27" t="s">
        <v>8</v>
      </c>
      <c r="GJ551" s="27" t="s">
        <v>7</v>
      </c>
      <c r="GS551" s="27" t="s">
        <v>8</v>
      </c>
      <c r="GT551" s="27" t="s">
        <v>7</v>
      </c>
      <c r="HK551" s="27" t="s">
        <v>8</v>
      </c>
      <c r="HL551" s="27" t="s">
        <v>7</v>
      </c>
    </row>
    <row r="552" spans="1:224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J552" s="27" t="s">
        <v>7</v>
      </c>
      <c r="K552" s="27" t="s">
        <v>8</v>
      </c>
      <c r="AB552" s="27" t="s">
        <v>7</v>
      </c>
      <c r="AE552" s="27" t="s">
        <v>8</v>
      </c>
      <c r="AF552" s="27" t="s">
        <v>7</v>
      </c>
      <c r="AG552" s="27" t="s">
        <v>8</v>
      </c>
      <c r="AJ552" s="27" t="s">
        <v>7</v>
      </c>
      <c r="AK552" s="27" t="s">
        <v>8</v>
      </c>
      <c r="AL552" s="27" t="s">
        <v>7</v>
      </c>
      <c r="AM552" s="27" t="s">
        <v>8</v>
      </c>
      <c r="AN552" s="27" t="s">
        <v>7</v>
      </c>
      <c r="AO552" s="27" t="s">
        <v>8</v>
      </c>
      <c r="AP552" s="27" t="s">
        <v>7</v>
      </c>
      <c r="AQ552" s="27" t="s">
        <v>8</v>
      </c>
      <c r="BH552" s="27" t="s">
        <v>7</v>
      </c>
      <c r="BI552" s="27" t="s">
        <v>8</v>
      </c>
      <c r="DD552" s="27" t="s">
        <v>7</v>
      </c>
      <c r="DE552" s="27" t="s">
        <v>8</v>
      </c>
      <c r="DF552" s="27" t="s">
        <v>7</v>
      </c>
      <c r="FC552" s="27" t="s">
        <v>8</v>
      </c>
      <c r="FD552" s="27" t="s">
        <v>7</v>
      </c>
      <c r="FI552" s="27" t="s">
        <v>8</v>
      </c>
      <c r="FJ552" s="27" t="s">
        <v>7</v>
      </c>
      <c r="FQ552" s="27" t="s">
        <v>8</v>
      </c>
      <c r="FR552" s="27" t="s">
        <v>7</v>
      </c>
      <c r="FS552" s="27" t="s">
        <v>8</v>
      </c>
      <c r="FT552" s="27" t="s">
        <v>7</v>
      </c>
      <c r="FZ552" s="27" t="s">
        <v>7</v>
      </c>
      <c r="GA552" s="27" t="s">
        <v>8</v>
      </c>
      <c r="GB552" s="27" t="s">
        <v>7</v>
      </c>
      <c r="GC552" s="27" t="s">
        <v>8</v>
      </c>
      <c r="GD552" s="27" t="s">
        <v>7</v>
      </c>
      <c r="GI552" s="27" t="s">
        <v>8</v>
      </c>
      <c r="GJ552" s="27" t="s">
        <v>7</v>
      </c>
      <c r="GS552" s="27" t="s">
        <v>8</v>
      </c>
      <c r="GT552" s="27" t="s">
        <v>7</v>
      </c>
      <c r="HG552" s="27" t="s">
        <v>8</v>
      </c>
      <c r="HK552" s="27" t="s">
        <v>8</v>
      </c>
      <c r="HL552" s="27" t="s">
        <v>7</v>
      </c>
    </row>
    <row r="553" spans="1:224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J553" s="27" t="s">
        <v>7</v>
      </c>
      <c r="K553" s="27" t="s">
        <v>8</v>
      </c>
      <c r="AB553" s="27" t="s">
        <v>7</v>
      </c>
      <c r="AC553" s="27" t="s">
        <v>8</v>
      </c>
      <c r="AE553" s="27" t="s">
        <v>8</v>
      </c>
      <c r="AF553" s="27" t="s">
        <v>7</v>
      </c>
      <c r="AJ553" s="27" t="s">
        <v>7</v>
      </c>
      <c r="AK553" s="27" t="s">
        <v>8</v>
      </c>
      <c r="AL553" s="27" t="s">
        <v>7</v>
      </c>
      <c r="AM553" s="27" t="s">
        <v>8</v>
      </c>
      <c r="AN553" s="27" t="s">
        <v>7</v>
      </c>
      <c r="AP553" s="27" t="s">
        <v>7</v>
      </c>
      <c r="AQ553" s="27" t="s">
        <v>8</v>
      </c>
      <c r="BH553" s="27" t="s">
        <v>7</v>
      </c>
      <c r="DD553" s="27" t="s">
        <v>7</v>
      </c>
      <c r="DE553" s="27" t="s">
        <v>8</v>
      </c>
      <c r="DF553" s="27" t="s">
        <v>7</v>
      </c>
      <c r="DI553" s="27" t="s">
        <v>8</v>
      </c>
      <c r="FC553" s="27" t="s">
        <v>8</v>
      </c>
      <c r="FD553" s="27" t="s">
        <v>7</v>
      </c>
      <c r="FI553" s="27" t="s">
        <v>8</v>
      </c>
      <c r="FJ553" s="27" t="s">
        <v>7</v>
      </c>
      <c r="FQ553" s="27" t="s">
        <v>8</v>
      </c>
      <c r="FR553" s="27" t="s">
        <v>7</v>
      </c>
      <c r="FS553" s="27" t="s">
        <v>8</v>
      </c>
      <c r="FZ553" s="27" t="s">
        <v>7</v>
      </c>
      <c r="GA553" s="27" t="s">
        <v>8</v>
      </c>
      <c r="GB553" s="27" t="s">
        <v>7</v>
      </c>
      <c r="GC553" s="27" t="s">
        <v>8</v>
      </c>
      <c r="GD553" s="27" t="s">
        <v>7</v>
      </c>
      <c r="GI553" s="27" t="s">
        <v>8</v>
      </c>
      <c r="GJ553" s="27" t="s">
        <v>7</v>
      </c>
      <c r="GK553" s="27" t="s">
        <v>8</v>
      </c>
      <c r="GS553" s="27" t="s">
        <v>8</v>
      </c>
      <c r="GT553" s="27" t="s">
        <v>7</v>
      </c>
      <c r="HG553" s="27" t="s">
        <v>8</v>
      </c>
      <c r="HH553" s="27" t="s">
        <v>7</v>
      </c>
      <c r="HK553" s="27" t="s">
        <v>8</v>
      </c>
      <c r="HL553" s="27" t="s">
        <v>7</v>
      </c>
    </row>
    <row r="554" spans="1:224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J554" s="27" t="s">
        <v>7</v>
      </c>
      <c r="K554" s="27" t="s">
        <v>8</v>
      </c>
      <c r="AB554" s="27" t="s">
        <v>7</v>
      </c>
      <c r="AC554" s="27" t="s">
        <v>8</v>
      </c>
      <c r="AD554" s="27" t="s">
        <v>7</v>
      </c>
      <c r="AE554" s="27" t="s">
        <v>8</v>
      </c>
      <c r="AJ554" s="27" t="s">
        <v>7</v>
      </c>
      <c r="AK554" s="27" t="s">
        <v>8</v>
      </c>
      <c r="AL554" s="27" t="s">
        <v>7</v>
      </c>
      <c r="AM554" s="27" t="s">
        <v>8</v>
      </c>
      <c r="AP554" s="27" t="s">
        <v>7</v>
      </c>
      <c r="AQ554" s="27" t="s">
        <v>8</v>
      </c>
      <c r="DD554" s="27" t="s">
        <v>7</v>
      </c>
      <c r="DF554" s="27" t="s">
        <v>7</v>
      </c>
      <c r="DI554" s="27" t="s">
        <v>8</v>
      </c>
      <c r="DJ554" s="27" t="s">
        <v>7</v>
      </c>
      <c r="FC554" s="27" t="s">
        <v>8</v>
      </c>
      <c r="FD554" s="27" t="s">
        <v>7</v>
      </c>
      <c r="FI554" s="27" t="s">
        <v>8</v>
      </c>
      <c r="FJ554" s="27" t="s">
        <v>7</v>
      </c>
      <c r="FQ554" s="27" t="s">
        <v>8</v>
      </c>
      <c r="FR554" s="27" t="s">
        <v>7</v>
      </c>
      <c r="FS554" s="27" t="s">
        <v>8</v>
      </c>
      <c r="FZ554" s="27" t="s">
        <v>7</v>
      </c>
      <c r="GB554" s="27" t="s">
        <v>7</v>
      </c>
      <c r="GD554" s="27" t="s">
        <v>7</v>
      </c>
      <c r="GE554" s="27" t="s">
        <v>8</v>
      </c>
      <c r="GI554" s="27" t="s">
        <v>8</v>
      </c>
      <c r="GJ554" s="27" t="s">
        <v>7</v>
      </c>
      <c r="GK554" s="27" t="s">
        <v>8</v>
      </c>
      <c r="GL554" s="27" t="s">
        <v>7</v>
      </c>
      <c r="GS554" s="27" t="s">
        <v>8</v>
      </c>
      <c r="GT554" s="27" t="s">
        <v>7</v>
      </c>
      <c r="HG554" s="27" t="s">
        <v>8</v>
      </c>
      <c r="HH554" s="27" t="s">
        <v>7</v>
      </c>
      <c r="HK554" s="27" t="s">
        <v>8</v>
      </c>
      <c r="HL554" s="27" t="s">
        <v>7</v>
      </c>
    </row>
    <row r="555" spans="1:224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G555" s="27" t="s">
        <v>8</v>
      </c>
      <c r="J555" s="27" t="s">
        <v>7</v>
      </c>
      <c r="K555" s="27" t="s">
        <v>8</v>
      </c>
      <c r="AB555" s="27" t="s">
        <v>7</v>
      </c>
      <c r="AC555" s="27" t="s">
        <v>8</v>
      </c>
      <c r="AD555" s="27" t="s">
        <v>7</v>
      </c>
      <c r="AE555" s="27" t="s">
        <v>8</v>
      </c>
      <c r="AJ555" s="27" t="s">
        <v>7</v>
      </c>
      <c r="AK555" s="27" t="s">
        <v>8</v>
      </c>
      <c r="AL555" s="27" t="s">
        <v>7</v>
      </c>
      <c r="AM555" s="27" t="s">
        <v>8</v>
      </c>
      <c r="AP555" s="27" t="s">
        <v>7</v>
      </c>
      <c r="AQ555" s="27" t="s">
        <v>8</v>
      </c>
      <c r="DF555" s="27" t="s">
        <v>7</v>
      </c>
      <c r="DI555" s="27" t="s">
        <v>8</v>
      </c>
      <c r="DJ555" s="27" t="s">
        <v>7</v>
      </c>
      <c r="FA555" s="27" t="s">
        <v>8</v>
      </c>
      <c r="FC555" s="27" t="s">
        <v>8</v>
      </c>
      <c r="FD555" s="27" t="s">
        <v>7</v>
      </c>
      <c r="FG555" s="27" t="s">
        <v>8</v>
      </c>
      <c r="FI555" s="27" t="s">
        <v>8</v>
      </c>
      <c r="FJ555" s="27" t="s">
        <v>7</v>
      </c>
      <c r="FQ555" s="27" t="s">
        <v>8</v>
      </c>
      <c r="FR555" s="27" t="s">
        <v>7</v>
      </c>
      <c r="FS555" s="27" t="s">
        <v>8</v>
      </c>
      <c r="GD555" s="27" t="s">
        <v>7</v>
      </c>
      <c r="GE555" s="27" t="s">
        <v>8</v>
      </c>
      <c r="GF555" s="27" t="s">
        <v>7</v>
      </c>
      <c r="GG555" s="27" t="s">
        <v>8</v>
      </c>
      <c r="GI555" s="27" t="s">
        <v>8</v>
      </c>
      <c r="GJ555" s="27" t="s">
        <v>7</v>
      </c>
      <c r="GK555" s="27" t="s">
        <v>8</v>
      </c>
      <c r="GL555" s="27" t="s">
        <v>7</v>
      </c>
      <c r="GS555" s="27" t="s">
        <v>8</v>
      </c>
      <c r="GT555" s="27" t="s">
        <v>7</v>
      </c>
      <c r="HG555" s="27" t="s">
        <v>8</v>
      </c>
      <c r="HH555" s="27" t="s">
        <v>7</v>
      </c>
      <c r="HK555" s="27" t="s">
        <v>8</v>
      </c>
      <c r="HL555" s="27" t="s">
        <v>7</v>
      </c>
    </row>
    <row r="556" spans="1:224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G556" s="27" t="s">
        <v>8</v>
      </c>
      <c r="J556" s="27" t="s">
        <v>7</v>
      </c>
      <c r="K556" s="27" t="s">
        <v>8</v>
      </c>
      <c r="AB556" s="27" t="s">
        <v>7</v>
      </c>
      <c r="AC556" s="27" t="s">
        <v>8</v>
      </c>
      <c r="AD556" s="27" t="s">
        <v>7</v>
      </c>
      <c r="AE556" s="27" t="s">
        <v>8</v>
      </c>
      <c r="AJ556" s="27" t="s">
        <v>7</v>
      </c>
      <c r="AK556" s="27" t="s">
        <v>8</v>
      </c>
      <c r="AL556" s="27" t="s">
        <v>7</v>
      </c>
      <c r="AP556" s="27" t="s">
        <v>7</v>
      </c>
      <c r="AQ556" s="27" t="s">
        <v>8</v>
      </c>
      <c r="DF556" s="27" t="s">
        <v>7</v>
      </c>
      <c r="DI556" s="27" t="s">
        <v>8</v>
      </c>
      <c r="DJ556" s="27" t="s">
        <v>7</v>
      </c>
      <c r="FA556" s="27" t="s">
        <v>8</v>
      </c>
      <c r="FB556" s="27" t="s">
        <v>7</v>
      </c>
      <c r="FC556" s="27" t="s">
        <v>8</v>
      </c>
      <c r="FD556" s="27" t="s">
        <v>7</v>
      </c>
      <c r="FG556" s="27" t="s">
        <v>8</v>
      </c>
      <c r="FH556" s="27" t="s">
        <v>7</v>
      </c>
      <c r="FI556" s="27" t="s">
        <v>8</v>
      </c>
      <c r="FJ556" s="27" t="s">
        <v>7</v>
      </c>
      <c r="FQ556" s="27" t="s">
        <v>8</v>
      </c>
      <c r="FR556" s="27" t="s">
        <v>7</v>
      </c>
      <c r="FS556" s="27" t="s">
        <v>8</v>
      </c>
      <c r="GD556" s="27" t="s">
        <v>7</v>
      </c>
      <c r="GE556" s="27" t="s">
        <v>8</v>
      </c>
      <c r="GF556" s="27" t="s">
        <v>7</v>
      </c>
      <c r="GG556" s="27" t="s">
        <v>8</v>
      </c>
      <c r="GH556" s="27" t="s">
        <v>7</v>
      </c>
      <c r="GI556" s="27" t="s">
        <v>8</v>
      </c>
      <c r="GJ556" s="27" t="s">
        <v>7</v>
      </c>
      <c r="GK556" s="27" t="s">
        <v>8</v>
      </c>
      <c r="GL556" s="27" t="s">
        <v>7</v>
      </c>
      <c r="GS556" s="27" t="s">
        <v>8</v>
      </c>
      <c r="GT556" s="27" t="s">
        <v>7</v>
      </c>
      <c r="HG556" s="27" t="s">
        <v>8</v>
      </c>
      <c r="HH556" s="27" t="s">
        <v>7</v>
      </c>
      <c r="HK556" s="27" t="s">
        <v>8</v>
      </c>
      <c r="HL556" s="27" t="s">
        <v>7</v>
      </c>
    </row>
    <row r="557" spans="1:224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G557" s="27" t="s">
        <v>8</v>
      </c>
      <c r="J557" s="27" t="s">
        <v>7</v>
      </c>
      <c r="K557" s="27" t="s">
        <v>8</v>
      </c>
      <c r="AB557" s="27" t="s">
        <v>7</v>
      </c>
      <c r="AC557" s="27" t="s">
        <v>8</v>
      </c>
      <c r="AD557" s="27" t="s">
        <v>7</v>
      </c>
      <c r="AE557" s="27" t="s">
        <v>8</v>
      </c>
      <c r="AJ557" s="27" t="s">
        <v>7</v>
      </c>
      <c r="AK557" s="27" t="s">
        <v>8</v>
      </c>
      <c r="AP557" s="27" t="s">
        <v>7</v>
      </c>
      <c r="DF557" s="27" t="s">
        <v>7</v>
      </c>
      <c r="DI557" s="27" t="s">
        <v>8</v>
      </c>
      <c r="DJ557" s="27" t="s">
        <v>7</v>
      </c>
      <c r="FA557" s="27" t="s">
        <v>8</v>
      </c>
      <c r="FB557" s="27" t="s">
        <v>7</v>
      </c>
      <c r="FC557" s="27" t="s">
        <v>8</v>
      </c>
      <c r="FD557" s="27" t="s">
        <v>7</v>
      </c>
      <c r="FG557" s="27" t="s">
        <v>8</v>
      </c>
      <c r="FH557" s="27" t="s">
        <v>7</v>
      </c>
      <c r="FI557" s="27" t="s">
        <v>8</v>
      </c>
      <c r="FJ557" s="27" t="s">
        <v>7</v>
      </c>
      <c r="FQ557" s="27" t="s">
        <v>8</v>
      </c>
      <c r="FR557" s="27" t="s">
        <v>7</v>
      </c>
      <c r="FS557" s="27" t="s">
        <v>8</v>
      </c>
      <c r="GD557" s="27" t="s">
        <v>7</v>
      </c>
      <c r="GE557" s="27" t="s">
        <v>8</v>
      </c>
      <c r="GF557" s="27" t="s">
        <v>7</v>
      </c>
      <c r="GG557" s="27" t="s">
        <v>8</v>
      </c>
      <c r="GH557" s="27" t="s">
        <v>7</v>
      </c>
      <c r="GI557" s="27" t="s">
        <v>8</v>
      </c>
      <c r="GJ557" s="27" t="s">
        <v>7</v>
      </c>
      <c r="GK557" s="27" t="s">
        <v>8</v>
      </c>
      <c r="GL557" s="27" t="s">
        <v>7</v>
      </c>
      <c r="GS557" s="27" t="s">
        <v>8</v>
      </c>
      <c r="GT557" s="27" t="s">
        <v>7</v>
      </c>
      <c r="HG557" s="27" t="s">
        <v>8</v>
      </c>
      <c r="HH557" s="27" t="s">
        <v>7</v>
      </c>
      <c r="HK557" s="27" t="s">
        <v>8</v>
      </c>
      <c r="HL557" s="27" t="s">
        <v>7</v>
      </c>
    </row>
    <row r="558" spans="1:224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G558" s="27" t="s">
        <v>8</v>
      </c>
      <c r="J558" s="27" t="s">
        <v>7</v>
      </c>
      <c r="K558" s="27" t="s">
        <v>8</v>
      </c>
      <c r="AB558" s="27" t="s">
        <v>7</v>
      </c>
      <c r="AC558" s="27" t="s">
        <v>8</v>
      </c>
      <c r="AD558" s="27" t="s">
        <v>7</v>
      </c>
      <c r="AJ558" s="27" t="s">
        <v>7</v>
      </c>
      <c r="AK558" s="27" t="s">
        <v>8</v>
      </c>
      <c r="DF558" s="27" t="s">
        <v>7</v>
      </c>
      <c r="DI558" s="27" t="s">
        <v>8</v>
      </c>
      <c r="DJ558" s="27" t="s">
        <v>7</v>
      </c>
      <c r="FA558" s="27" t="s">
        <v>8</v>
      </c>
      <c r="FB558" s="27" t="s">
        <v>7</v>
      </c>
      <c r="FC558" s="27" t="s">
        <v>8</v>
      </c>
      <c r="FD558" s="27" t="s">
        <v>7</v>
      </c>
      <c r="FG558" s="27" t="s">
        <v>8</v>
      </c>
      <c r="FH558" s="27" t="s">
        <v>7</v>
      </c>
      <c r="FI558" s="27" t="s">
        <v>8</v>
      </c>
      <c r="FJ558" s="27" t="s">
        <v>7</v>
      </c>
      <c r="FK558" s="27" t="s">
        <v>8</v>
      </c>
      <c r="FM558" s="27" t="s">
        <v>8</v>
      </c>
      <c r="FQ558" s="27" t="s">
        <v>8</v>
      </c>
      <c r="FR558" s="27" t="s">
        <v>7</v>
      </c>
      <c r="FS558" s="27" t="s">
        <v>8</v>
      </c>
      <c r="GD558" s="27" t="s">
        <v>7</v>
      </c>
      <c r="GE558" s="27" t="s">
        <v>8</v>
      </c>
      <c r="GF558" s="27" t="s">
        <v>7</v>
      </c>
      <c r="GH558" s="27" t="s">
        <v>7</v>
      </c>
      <c r="GI558" s="27" t="s">
        <v>8</v>
      </c>
      <c r="GJ558" s="27" t="s">
        <v>7</v>
      </c>
      <c r="GK558" s="27" t="s">
        <v>8</v>
      </c>
      <c r="GL558" s="27" t="s">
        <v>7</v>
      </c>
      <c r="GM558" s="27" t="s">
        <v>8</v>
      </c>
      <c r="GS558" s="27" t="s">
        <v>8</v>
      </c>
      <c r="GT558" s="27" t="s">
        <v>7</v>
      </c>
      <c r="HG558" s="27" t="s">
        <v>8</v>
      </c>
      <c r="HH558" s="27" t="s">
        <v>7</v>
      </c>
      <c r="HK558" s="27" t="s">
        <v>8</v>
      </c>
      <c r="HL558" s="27" t="s">
        <v>7</v>
      </c>
      <c r="HO558" s="27" t="s">
        <v>8</v>
      </c>
    </row>
    <row r="559" spans="1:224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J559" s="27" t="s">
        <v>7</v>
      </c>
      <c r="AB559" s="27" t="s">
        <v>7</v>
      </c>
      <c r="AJ559" s="27" t="s">
        <v>7</v>
      </c>
      <c r="AK559" s="27" t="s">
        <v>8</v>
      </c>
      <c r="DF559" s="27" t="s">
        <v>7</v>
      </c>
      <c r="DI559" s="27" t="s">
        <v>8</v>
      </c>
      <c r="DJ559" s="27" t="s">
        <v>7</v>
      </c>
      <c r="FA559" s="27" t="s">
        <v>8</v>
      </c>
      <c r="FB559" s="27" t="s">
        <v>7</v>
      </c>
      <c r="FC559" s="27" t="s">
        <v>8</v>
      </c>
      <c r="FD559" s="27" t="s">
        <v>7</v>
      </c>
      <c r="FG559" s="27" t="s">
        <v>8</v>
      </c>
      <c r="FH559" s="27" t="s">
        <v>7</v>
      </c>
      <c r="FI559" s="27" t="s">
        <v>8</v>
      </c>
      <c r="FJ559" s="27" t="s">
        <v>7</v>
      </c>
      <c r="FK559" s="27" t="s">
        <v>8</v>
      </c>
      <c r="FL559" s="27" t="s">
        <v>7</v>
      </c>
      <c r="FM559" s="27" t="s">
        <v>8</v>
      </c>
      <c r="FN559" s="27" t="s">
        <v>7</v>
      </c>
      <c r="FQ559" s="27" t="s">
        <v>8</v>
      </c>
      <c r="FR559" s="27" t="s">
        <v>7</v>
      </c>
      <c r="FS559" s="27" t="s">
        <v>8</v>
      </c>
      <c r="GD559" s="27" t="s">
        <v>7</v>
      </c>
      <c r="GE559" s="27" t="s">
        <v>8</v>
      </c>
      <c r="GH559" s="27" t="s">
        <v>7</v>
      </c>
      <c r="GI559" s="27" t="s">
        <v>8</v>
      </c>
      <c r="GJ559" s="27" t="s">
        <v>7</v>
      </c>
      <c r="GK559" s="27" t="s">
        <v>8</v>
      </c>
      <c r="GL559" s="27" t="s">
        <v>7</v>
      </c>
      <c r="GM559" s="27" t="s">
        <v>8</v>
      </c>
      <c r="GN559" s="27" t="s">
        <v>7</v>
      </c>
      <c r="GO559" s="27" t="s">
        <v>8</v>
      </c>
      <c r="GQ559" s="27" t="s">
        <v>8</v>
      </c>
      <c r="GS559" s="27" t="s">
        <v>8</v>
      </c>
      <c r="GT559" s="27" t="s">
        <v>7</v>
      </c>
      <c r="GW559" s="27" t="s">
        <v>8</v>
      </c>
      <c r="GY559" s="27" t="s">
        <v>8</v>
      </c>
      <c r="HG559" s="27" t="s">
        <v>8</v>
      </c>
      <c r="HH559" s="27" t="s">
        <v>7</v>
      </c>
      <c r="HK559" s="27" t="s">
        <v>8</v>
      </c>
      <c r="HL559" s="27" t="s">
        <v>7</v>
      </c>
      <c r="HO559" s="27" t="s">
        <v>8</v>
      </c>
      <c r="HP559" s="27" t="s">
        <v>7</v>
      </c>
    </row>
    <row r="560" spans="1:224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AJ560" s="27" t="s">
        <v>7</v>
      </c>
      <c r="AK560" s="27" t="s">
        <v>8</v>
      </c>
      <c r="DF560" s="27" t="s">
        <v>7</v>
      </c>
      <c r="DI560" s="27" t="s">
        <v>8</v>
      </c>
      <c r="DJ560" s="27" t="s">
        <v>7</v>
      </c>
      <c r="FA560" s="27" t="s">
        <v>8</v>
      </c>
      <c r="FB560" s="27" t="s">
        <v>7</v>
      </c>
      <c r="FC560" s="27" t="s">
        <v>8</v>
      </c>
      <c r="FD560" s="27" t="s">
        <v>7</v>
      </c>
      <c r="FE560" s="27" t="s">
        <v>8</v>
      </c>
      <c r="FG560" s="27" t="s">
        <v>8</v>
      </c>
      <c r="FH560" s="27" t="s">
        <v>7</v>
      </c>
      <c r="FI560" s="27" t="s">
        <v>8</v>
      </c>
      <c r="FJ560" s="27" t="s">
        <v>7</v>
      </c>
      <c r="FK560" s="27" t="s">
        <v>8</v>
      </c>
      <c r="FL560" s="27" t="s">
        <v>7</v>
      </c>
      <c r="FM560" s="27" t="s">
        <v>8</v>
      </c>
      <c r="FN560" s="27" t="s">
        <v>7</v>
      </c>
      <c r="FQ560" s="27" t="s">
        <v>8</v>
      </c>
      <c r="FR560" s="27" t="s">
        <v>7</v>
      </c>
      <c r="FS560" s="27" t="s">
        <v>8</v>
      </c>
      <c r="GD560" s="27" t="s">
        <v>7</v>
      </c>
      <c r="GE560" s="27" t="s">
        <v>8</v>
      </c>
      <c r="GH560" s="27" t="s">
        <v>7</v>
      </c>
      <c r="GI560" s="27" t="s">
        <v>8</v>
      </c>
      <c r="GJ560" s="27" t="s">
        <v>7</v>
      </c>
      <c r="GK560" s="27" t="s">
        <v>8</v>
      </c>
      <c r="GL560" s="27" t="s">
        <v>7</v>
      </c>
      <c r="GM560" s="27" t="s">
        <v>8</v>
      </c>
      <c r="GN560" s="27" t="s">
        <v>7</v>
      </c>
      <c r="GO560" s="27" t="s">
        <v>8</v>
      </c>
      <c r="GP560" s="27" t="s">
        <v>7</v>
      </c>
      <c r="GQ560" s="27" t="s">
        <v>8</v>
      </c>
      <c r="GR560" s="27" t="s">
        <v>7</v>
      </c>
      <c r="GS560" s="27" t="s">
        <v>8</v>
      </c>
      <c r="GT560" s="27" t="s">
        <v>7</v>
      </c>
      <c r="GW560" s="27" t="s">
        <v>8</v>
      </c>
      <c r="GX560" s="27" t="s">
        <v>7</v>
      </c>
      <c r="GY560" s="27" t="s">
        <v>8</v>
      </c>
      <c r="GZ560" s="27" t="s">
        <v>7</v>
      </c>
      <c r="HG560" s="27" t="s">
        <v>8</v>
      </c>
      <c r="HH560" s="27" t="s">
        <v>7</v>
      </c>
      <c r="HK560" s="27" t="s">
        <v>8</v>
      </c>
      <c r="HL560" s="27" t="s">
        <v>7</v>
      </c>
      <c r="HO560" s="27" t="s">
        <v>8</v>
      </c>
      <c r="HP560" s="27" t="s">
        <v>7</v>
      </c>
    </row>
    <row r="561" spans="1:236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AJ561" s="27" t="s">
        <v>7</v>
      </c>
      <c r="AK561" s="27" t="s">
        <v>8</v>
      </c>
      <c r="DF561" s="27" t="s">
        <v>7</v>
      </c>
      <c r="DI561" s="27" t="s">
        <v>8</v>
      </c>
      <c r="DJ561" s="27" t="s">
        <v>7</v>
      </c>
      <c r="ES561" s="27" t="s">
        <v>8</v>
      </c>
      <c r="EW561" s="27" t="s">
        <v>8</v>
      </c>
      <c r="FA561" s="27" t="s">
        <v>8</v>
      </c>
      <c r="FB561" s="27" t="s">
        <v>7</v>
      </c>
      <c r="FC561" s="27" t="s">
        <v>8</v>
      </c>
      <c r="FD561" s="27" t="s">
        <v>7</v>
      </c>
      <c r="FE561" s="27" t="s">
        <v>8</v>
      </c>
      <c r="FF561" s="27" t="s">
        <v>7</v>
      </c>
      <c r="FG561" s="27" t="s">
        <v>8</v>
      </c>
      <c r="FH561" s="27" t="s">
        <v>7</v>
      </c>
      <c r="FI561" s="27" t="s">
        <v>8</v>
      </c>
      <c r="FJ561" s="27" t="s">
        <v>7</v>
      </c>
      <c r="FK561" s="27" t="s">
        <v>8</v>
      </c>
      <c r="FL561" s="27" t="s">
        <v>7</v>
      </c>
      <c r="FM561" s="27" t="s">
        <v>8</v>
      </c>
      <c r="FN561" s="27" t="s">
        <v>7</v>
      </c>
      <c r="FQ561" s="27" t="s">
        <v>8</v>
      </c>
      <c r="FR561" s="27" t="s">
        <v>7</v>
      </c>
      <c r="FS561" s="27" t="s">
        <v>8</v>
      </c>
      <c r="GD561" s="27" t="s">
        <v>7</v>
      </c>
      <c r="GE561" s="27" t="s">
        <v>8</v>
      </c>
      <c r="GH561" s="27" t="s">
        <v>7</v>
      </c>
      <c r="GI561" s="27" t="s">
        <v>8</v>
      </c>
      <c r="GJ561" s="27" t="s">
        <v>7</v>
      </c>
      <c r="GK561" s="27" t="s">
        <v>8</v>
      </c>
      <c r="GL561" s="27" t="s">
        <v>7</v>
      </c>
      <c r="GN561" s="27" t="s">
        <v>7</v>
      </c>
      <c r="GO561" s="27" t="s">
        <v>8</v>
      </c>
      <c r="GP561" s="27" t="s">
        <v>7</v>
      </c>
      <c r="GQ561" s="27" t="s">
        <v>8</v>
      </c>
      <c r="GR561" s="27" t="s">
        <v>7</v>
      </c>
      <c r="GS561" s="27" t="s">
        <v>8</v>
      </c>
      <c r="GT561" s="27" t="s">
        <v>7</v>
      </c>
      <c r="GW561" s="27" t="s">
        <v>8</v>
      </c>
      <c r="GX561" s="27" t="s">
        <v>7</v>
      </c>
      <c r="GY561" s="27" t="s">
        <v>8</v>
      </c>
      <c r="GZ561" s="27" t="s">
        <v>7</v>
      </c>
      <c r="HG561" s="27" t="s">
        <v>8</v>
      </c>
      <c r="HH561" s="27" t="s">
        <v>7</v>
      </c>
      <c r="HK561" s="27" t="s">
        <v>8</v>
      </c>
      <c r="HL561" s="27" t="s">
        <v>7</v>
      </c>
      <c r="HO561" s="27" t="s">
        <v>8</v>
      </c>
      <c r="HP561" s="27" t="s">
        <v>7</v>
      </c>
      <c r="HQ561" s="27" t="s">
        <v>8</v>
      </c>
      <c r="HS561" s="27" t="s">
        <v>8</v>
      </c>
    </row>
    <row r="562" spans="1:236" x14ac:dyDescent="0.25">
      <c r="A562" s="7">
        <v>1.6406059944647307</v>
      </c>
      <c r="B562"/>
      <c r="C562"/>
      <c r="D562"/>
      <c r="E562" t="s">
        <v>8</v>
      </c>
      <c r="AJ562" s="27" t="s">
        <v>7</v>
      </c>
      <c r="AK562" s="27" t="s">
        <v>8</v>
      </c>
      <c r="DF562" s="27" t="s">
        <v>7</v>
      </c>
      <c r="DI562" s="27" t="s">
        <v>8</v>
      </c>
      <c r="DJ562" s="27" t="s">
        <v>7</v>
      </c>
      <c r="ES562" s="27" t="s">
        <v>8</v>
      </c>
      <c r="ET562" s="27" t="s">
        <v>7</v>
      </c>
      <c r="EW562" s="27" t="s">
        <v>8</v>
      </c>
      <c r="EX562" s="27" t="s">
        <v>7</v>
      </c>
      <c r="FA562" s="27" t="s">
        <v>8</v>
      </c>
      <c r="FB562" s="27" t="s">
        <v>7</v>
      </c>
      <c r="FC562" s="27" t="s">
        <v>8</v>
      </c>
      <c r="FD562" s="27" t="s">
        <v>7</v>
      </c>
      <c r="FE562" s="27" t="s">
        <v>8</v>
      </c>
      <c r="FF562" s="27" t="s">
        <v>7</v>
      </c>
      <c r="FG562" s="27" t="s">
        <v>8</v>
      </c>
      <c r="FH562" s="27" t="s">
        <v>7</v>
      </c>
      <c r="FJ562" s="27" t="s">
        <v>7</v>
      </c>
      <c r="FK562" s="27" t="s">
        <v>8</v>
      </c>
      <c r="FL562" s="27" t="s">
        <v>7</v>
      </c>
      <c r="FM562" s="27" t="s">
        <v>8</v>
      </c>
      <c r="FN562" s="27" t="s">
        <v>7</v>
      </c>
      <c r="FQ562" s="27" t="s">
        <v>8</v>
      </c>
      <c r="FR562" s="27" t="s">
        <v>7</v>
      </c>
      <c r="FS562" s="27" t="s">
        <v>8</v>
      </c>
      <c r="GD562" s="27" t="s">
        <v>7</v>
      </c>
      <c r="GE562" s="27" t="s">
        <v>8</v>
      </c>
      <c r="GH562" s="27" t="s">
        <v>7</v>
      </c>
      <c r="GI562" s="27" t="s">
        <v>8</v>
      </c>
      <c r="GJ562" s="27" t="s">
        <v>7</v>
      </c>
      <c r="GN562" s="27" t="s">
        <v>7</v>
      </c>
      <c r="GO562" s="27" t="s">
        <v>8</v>
      </c>
      <c r="GP562" s="27" t="s">
        <v>7</v>
      </c>
      <c r="GR562" s="27" t="s">
        <v>7</v>
      </c>
      <c r="GS562" s="27" t="s">
        <v>8</v>
      </c>
      <c r="GT562" s="27" t="s">
        <v>7</v>
      </c>
      <c r="GW562" s="27" t="s">
        <v>8</v>
      </c>
      <c r="GX562" s="27" t="s">
        <v>7</v>
      </c>
      <c r="GY562" s="27" t="s">
        <v>8</v>
      </c>
      <c r="GZ562" s="27" t="s">
        <v>7</v>
      </c>
      <c r="HG562" s="27" t="s">
        <v>8</v>
      </c>
      <c r="HH562" s="27" t="s">
        <v>7</v>
      </c>
      <c r="HK562" s="27" t="s">
        <v>8</v>
      </c>
      <c r="HL562" s="27" t="s">
        <v>7</v>
      </c>
      <c r="HO562" s="27" t="s">
        <v>8</v>
      </c>
      <c r="HP562" s="27" t="s">
        <v>7</v>
      </c>
      <c r="HQ562" s="27" t="s">
        <v>8</v>
      </c>
      <c r="HR562" s="27" t="s">
        <v>7</v>
      </c>
      <c r="HS562" s="27" t="s">
        <v>8</v>
      </c>
      <c r="HT562" s="27" t="s">
        <v>7</v>
      </c>
    </row>
    <row r="563" spans="1:236" x14ac:dyDescent="0.25">
      <c r="A563" s="7">
        <v>1.6084372494752261</v>
      </c>
      <c r="B563"/>
      <c r="C563"/>
      <c r="D563"/>
      <c r="E563" t="s">
        <v>8</v>
      </c>
      <c r="AJ563" s="27" t="s">
        <v>7</v>
      </c>
      <c r="DF563" s="27" t="s">
        <v>7</v>
      </c>
      <c r="DI563" s="27" t="s">
        <v>8</v>
      </c>
      <c r="DJ563" s="27" t="s">
        <v>7</v>
      </c>
      <c r="ES563" s="27" t="s">
        <v>8</v>
      </c>
      <c r="ET563" s="27" t="s">
        <v>7</v>
      </c>
      <c r="EU563" s="27" t="s">
        <v>8</v>
      </c>
      <c r="EW563" s="27" t="s">
        <v>8</v>
      </c>
      <c r="EX563" s="27" t="s">
        <v>7</v>
      </c>
      <c r="FA563" s="27" t="s">
        <v>8</v>
      </c>
      <c r="FB563" s="27" t="s">
        <v>7</v>
      </c>
      <c r="FC563" s="27" t="s">
        <v>8</v>
      </c>
      <c r="FD563" s="27" t="s">
        <v>7</v>
      </c>
      <c r="FE563" s="27" t="s">
        <v>8</v>
      </c>
      <c r="FF563" s="27" t="s">
        <v>7</v>
      </c>
      <c r="FG563" s="27" t="s">
        <v>8</v>
      </c>
      <c r="FJ563" s="27" t="s">
        <v>7</v>
      </c>
      <c r="FK563" s="27" t="s">
        <v>8</v>
      </c>
      <c r="FL563" s="27" t="s">
        <v>7</v>
      </c>
      <c r="FM563" s="27" t="s">
        <v>8</v>
      </c>
      <c r="FN563" s="27" t="s">
        <v>7</v>
      </c>
      <c r="FQ563" s="27" t="s">
        <v>8</v>
      </c>
      <c r="FR563" s="27" t="s">
        <v>7</v>
      </c>
      <c r="FS563" s="27" t="s">
        <v>8</v>
      </c>
      <c r="GD563" s="27" t="s">
        <v>7</v>
      </c>
      <c r="GH563" s="27" t="s">
        <v>7</v>
      </c>
      <c r="GI563" s="27" t="s">
        <v>8</v>
      </c>
      <c r="GN563" s="27" t="s">
        <v>7</v>
      </c>
      <c r="GR563" s="27" t="s">
        <v>7</v>
      </c>
      <c r="GS563" s="27" t="s">
        <v>8</v>
      </c>
      <c r="GT563" s="27" t="s">
        <v>7</v>
      </c>
      <c r="GW563" s="27" t="s">
        <v>8</v>
      </c>
      <c r="GX563" s="27" t="s">
        <v>7</v>
      </c>
      <c r="GY563" s="27" t="s">
        <v>8</v>
      </c>
      <c r="GZ563" s="27" t="s">
        <v>7</v>
      </c>
      <c r="HG563" s="27" t="s">
        <v>8</v>
      </c>
      <c r="HH563" s="27" t="s">
        <v>7</v>
      </c>
      <c r="HK563" s="27" t="s">
        <v>8</v>
      </c>
      <c r="HL563" s="27" t="s">
        <v>7</v>
      </c>
      <c r="HO563" s="27" t="s">
        <v>8</v>
      </c>
      <c r="HP563" s="27" t="s">
        <v>7</v>
      </c>
      <c r="HQ563" s="27" t="s">
        <v>8</v>
      </c>
      <c r="HR563" s="27" t="s">
        <v>7</v>
      </c>
      <c r="HS563" s="27" t="s">
        <v>8</v>
      </c>
      <c r="HT563" s="27" t="s">
        <v>7</v>
      </c>
    </row>
    <row r="564" spans="1:236" x14ac:dyDescent="0.25">
      <c r="A564" s="7">
        <v>1.5768992641913981</v>
      </c>
      <c r="B564"/>
      <c r="C564"/>
      <c r="D564"/>
      <c r="E564" t="s">
        <v>8</v>
      </c>
      <c r="DF564" s="27" t="s">
        <v>7</v>
      </c>
      <c r="DI564" s="27" t="s">
        <v>8</v>
      </c>
      <c r="DJ564" s="27" t="s">
        <v>7</v>
      </c>
      <c r="ES564" s="27" t="s">
        <v>8</v>
      </c>
      <c r="ET564" s="27" t="s">
        <v>7</v>
      </c>
      <c r="EU564" s="27" t="s">
        <v>8</v>
      </c>
      <c r="EV564" s="27" t="s">
        <v>7</v>
      </c>
      <c r="EW564" s="27" t="s">
        <v>8</v>
      </c>
      <c r="EX564" s="27" t="s">
        <v>7</v>
      </c>
      <c r="FA564" s="27" t="s">
        <v>8</v>
      </c>
      <c r="FB564" s="27" t="s">
        <v>7</v>
      </c>
      <c r="FC564" s="27" t="s">
        <v>8</v>
      </c>
      <c r="FD564" s="27" t="s">
        <v>7</v>
      </c>
      <c r="FF564" s="27" t="s">
        <v>7</v>
      </c>
      <c r="FJ564" s="27" t="s">
        <v>7</v>
      </c>
      <c r="FK564" s="27" t="s">
        <v>8</v>
      </c>
      <c r="FL564" s="27" t="s">
        <v>7</v>
      </c>
      <c r="FM564" s="27" t="s">
        <v>8</v>
      </c>
      <c r="FN564" s="27" t="s">
        <v>7</v>
      </c>
      <c r="FQ564" s="27" t="s">
        <v>8</v>
      </c>
      <c r="FR564" s="27" t="s">
        <v>7</v>
      </c>
      <c r="FS564" s="27" t="s">
        <v>8</v>
      </c>
      <c r="GH564" s="27" t="s">
        <v>7</v>
      </c>
      <c r="GI564" s="27" t="s">
        <v>8</v>
      </c>
      <c r="GR564" s="27" t="s">
        <v>7</v>
      </c>
      <c r="GS564" s="27" t="s">
        <v>8</v>
      </c>
      <c r="GT564" s="27" t="s">
        <v>7</v>
      </c>
      <c r="GW564" s="27" t="s">
        <v>8</v>
      </c>
      <c r="GX564" s="27" t="s">
        <v>7</v>
      </c>
      <c r="GY564" s="27" t="s">
        <v>8</v>
      </c>
      <c r="GZ564" s="27" t="s">
        <v>7</v>
      </c>
      <c r="HG564" s="27" t="s">
        <v>8</v>
      </c>
      <c r="HH564" s="27" t="s">
        <v>7</v>
      </c>
      <c r="HK564" s="27" t="s">
        <v>8</v>
      </c>
      <c r="HL564" s="27" t="s">
        <v>7</v>
      </c>
      <c r="HM564" s="27" t="s">
        <v>8</v>
      </c>
      <c r="HO564" s="27" t="s">
        <v>8</v>
      </c>
      <c r="HP564" s="27" t="s">
        <v>7</v>
      </c>
      <c r="HR564" s="27" t="s">
        <v>7</v>
      </c>
      <c r="HS564" s="27" t="s">
        <v>8</v>
      </c>
      <c r="HT564" s="27" t="s">
        <v>7</v>
      </c>
      <c r="HY564" s="27" t="s">
        <v>8</v>
      </c>
    </row>
    <row r="565" spans="1:236" x14ac:dyDescent="0.25">
      <c r="A565" s="7">
        <v>1.5459796707758806</v>
      </c>
      <c r="B565"/>
      <c r="C565"/>
      <c r="D565"/>
      <c r="E565" t="s">
        <v>8</v>
      </c>
      <c r="DF565" s="27" t="s">
        <v>7</v>
      </c>
      <c r="DI565" s="27" t="s">
        <v>8</v>
      </c>
      <c r="DJ565" s="27" t="s">
        <v>7</v>
      </c>
      <c r="ES565" s="27" t="s">
        <v>8</v>
      </c>
      <c r="ET565" s="27" t="s">
        <v>7</v>
      </c>
      <c r="EU565" s="27" t="s">
        <v>8</v>
      </c>
      <c r="EV565" s="27" t="s">
        <v>7</v>
      </c>
      <c r="EW565" s="27" t="s">
        <v>8</v>
      </c>
      <c r="EX565" s="27" t="s">
        <v>7</v>
      </c>
      <c r="EY565" s="27" t="s">
        <v>8</v>
      </c>
      <c r="FA565" s="27" t="s">
        <v>8</v>
      </c>
      <c r="FB565" s="27" t="s">
        <v>7</v>
      </c>
      <c r="FC565" s="27" t="s">
        <v>8</v>
      </c>
      <c r="FJ565" s="27" t="s">
        <v>7</v>
      </c>
      <c r="FK565" s="27" t="s">
        <v>8</v>
      </c>
      <c r="FL565" s="27" t="s">
        <v>7</v>
      </c>
      <c r="FM565" s="27" t="s">
        <v>8</v>
      </c>
      <c r="FN565" s="27" t="s">
        <v>7</v>
      </c>
      <c r="FQ565" s="27" t="s">
        <v>8</v>
      </c>
      <c r="FR565" s="27" t="s">
        <v>7</v>
      </c>
      <c r="FS565" s="27" t="s">
        <v>8</v>
      </c>
      <c r="GH565" s="27" t="s">
        <v>7</v>
      </c>
      <c r="GI565" s="27" t="s">
        <v>8</v>
      </c>
      <c r="GR565" s="27" t="s">
        <v>7</v>
      </c>
      <c r="GS565" s="27" t="s">
        <v>8</v>
      </c>
      <c r="GT565" s="27" t="s">
        <v>7</v>
      </c>
      <c r="GU565" s="27" t="s">
        <v>8</v>
      </c>
      <c r="GW565" s="27" t="s">
        <v>8</v>
      </c>
      <c r="GX565" s="27" t="s">
        <v>7</v>
      </c>
      <c r="GY565" s="27" t="s">
        <v>8</v>
      </c>
      <c r="GZ565" s="27" t="s">
        <v>7</v>
      </c>
      <c r="HG565" s="27" t="s">
        <v>8</v>
      </c>
      <c r="HH565" s="27" t="s">
        <v>7</v>
      </c>
      <c r="HK565" s="27" t="s">
        <v>8</v>
      </c>
      <c r="HL565" s="27" t="s">
        <v>7</v>
      </c>
      <c r="HM565" s="27" t="s">
        <v>8</v>
      </c>
      <c r="HN565" s="27" t="s">
        <v>7</v>
      </c>
      <c r="HO565" s="27" t="s">
        <v>8</v>
      </c>
      <c r="HR565" s="27" t="s">
        <v>7</v>
      </c>
      <c r="HS565" s="27" t="s">
        <v>8</v>
      </c>
      <c r="HT565" s="27" t="s">
        <v>7</v>
      </c>
      <c r="HY565" s="27" t="s">
        <v>8</v>
      </c>
      <c r="HZ565" s="27" t="s">
        <v>7</v>
      </c>
    </row>
    <row r="566" spans="1:236" x14ac:dyDescent="0.25">
      <c r="A566" s="7">
        <v>1.5156663438979221</v>
      </c>
      <c r="B566"/>
      <c r="C566"/>
      <c r="D566"/>
      <c r="E566" t="s">
        <v>8</v>
      </c>
      <c r="DF566" s="27" t="s">
        <v>7</v>
      </c>
      <c r="DI566" s="27" t="s">
        <v>8</v>
      </c>
      <c r="DJ566" s="27" t="s">
        <v>7</v>
      </c>
      <c r="DK566" s="27" t="s">
        <v>8</v>
      </c>
      <c r="ES566" s="27" t="s">
        <v>8</v>
      </c>
      <c r="ET566" s="27" t="s">
        <v>7</v>
      </c>
      <c r="EU566" s="27" t="s">
        <v>8</v>
      </c>
      <c r="EV566" s="27" t="s">
        <v>7</v>
      </c>
      <c r="EW566" s="27" t="s">
        <v>8</v>
      </c>
      <c r="EX566" s="27" t="s">
        <v>7</v>
      </c>
      <c r="EY566" s="27" t="s">
        <v>8</v>
      </c>
      <c r="EZ566" s="27" t="s">
        <v>7</v>
      </c>
      <c r="FA566" s="27" t="s">
        <v>8</v>
      </c>
      <c r="FB566" s="27" t="s">
        <v>7</v>
      </c>
      <c r="FC566" s="27" t="s">
        <v>8</v>
      </c>
      <c r="FJ566" s="27" t="s">
        <v>7</v>
      </c>
      <c r="FK566" s="27" t="s">
        <v>8</v>
      </c>
      <c r="FL566" s="27" t="s">
        <v>7</v>
      </c>
      <c r="FM566" s="27" t="s">
        <v>8</v>
      </c>
      <c r="FN566" s="27" t="s">
        <v>7</v>
      </c>
      <c r="FQ566" s="27" t="s">
        <v>8</v>
      </c>
      <c r="FR566" s="27" t="s">
        <v>7</v>
      </c>
      <c r="FS566" s="27" t="s">
        <v>8</v>
      </c>
      <c r="GH566" s="27" t="s">
        <v>7</v>
      </c>
      <c r="GR566" s="27" t="s">
        <v>7</v>
      </c>
      <c r="GS566" s="27" t="s">
        <v>8</v>
      </c>
      <c r="GT566" s="27" t="s">
        <v>7</v>
      </c>
      <c r="GU566" s="27" t="s">
        <v>8</v>
      </c>
      <c r="GV566" s="27" t="s">
        <v>7</v>
      </c>
      <c r="GW566" s="27" t="s">
        <v>8</v>
      </c>
      <c r="GX566" s="27" t="s">
        <v>7</v>
      </c>
      <c r="GY566" s="27" t="s">
        <v>8</v>
      </c>
      <c r="GZ566" s="27" t="s">
        <v>7</v>
      </c>
      <c r="HG566" s="27" t="s">
        <v>8</v>
      </c>
      <c r="HH566" s="27" t="s">
        <v>7</v>
      </c>
      <c r="HK566" s="27" t="s">
        <v>8</v>
      </c>
      <c r="HL566" s="27" t="s">
        <v>7</v>
      </c>
      <c r="HM566" s="27" t="s">
        <v>8</v>
      </c>
      <c r="HN566" s="27" t="s">
        <v>7</v>
      </c>
      <c r="HO566" s="27" t="s">
        <v>8</v>
      </c>
      <c r="HR566" s="27" t="s">
        <v>7</v>
      </c>
      <c r="HS566" s="27" t="s">
        <v>8</v>
      </c>
      <c r="HT566" s="27" t="s">
        <v>7</v>
      </c>
      <c r="HY566" s="27" t="s">
        <v>8</v>
      </c>
      <c r="HZ566" s="27" t="s">
        <v>7</v>
      </c>
    </row>
    <row r="567" spans="1:236" x14ac:dyDescent="0.25">
      <c r="A567" s="7">
        <v>1.4859473959783549</v>
      </c>
      <c r="B567"/>
      <c r="C567"/>
      <c r="D567"/>
      <c r="E567" t="s">
        <v>8</v>
      </c>
      <c r="DF567" s="27" t="s">
        <v>7</v>
      </c>
      <c r="DG567" s="27" t="s">
        <v>8</v>
      </c>
      <c r="DI567" s="27" t="s">
        <v>8</v>
      </c>
      <c r="DJ567" s="27" t="s">
        <v>7</v>
      </c>
      <c r="DK567" s="27" t="s">
        <v>8</v>
      </c>
      <c r="DL567" s="27" t="s">
        <v>7</v>
      </c>
      <c r="DM567" s="27" t="s">
        <v>8</v>
      </c>
      <c r="ES567" s="27" t="s">
        <v>8</v>
      </c>
      <c r="ET567" s="27" t="s">
        <v>7</v>
      </c>
      <c r="EU567" s="27" t="s">
        <v>8</v>
      </c>
      <c r="EV567" s="27" t="s">
        <v>7</v>
      </c>
      <c r="EW567" s="27" t="s">
        <v>8</v>
      </c>
      <c r="EX567" s="27" t="s">
        <v>7</v>
      </c>
      <c r="EY567" s="27" t="s">
        <v>8</v>
      </c>
      <c r="EZ567" s="27" t="s">
        <v>7</v>
      </c>
      <c r="FA567" s="27" t="s">
        <v>8</v>
      </c>
      <c r="FB567" s="27" t="s">
        <v>7</v>
      </c>
      <c r="FC567" s="27" t="s">
        <v>8</v>
      </c>
      <c r="FJ567" s="27" t="s">
        <v>7</v>
      </c>
      <c r="FK567" s="27" t="s">
        <v>8</v>
      </c>
      <c r="FL567" s="27" t="s">
        <v>7</v>
      </c>
      <c r="FM567" s="27" t="s">
        <v>8</v>
      </c>
      <c r="FN567" s="27" t="s">
        <v>7</v>
      </c>
      <c r="FO567" s="27" t="s">
        <v>8</v>
      </c>
      <c r="FQ567" s="27" t="s">
        <v>8</v>
      </c>
      <c r="FR567" s="27" t="s">
        <v>7</v>
      </c>
      <c r="FS567" s="27" t="s">
        <v>8</v>
      </c>
      <c r="GR567" s="27" t="s">
        <v>7</v>
      </c>
      <c r="GS567" s="27" t="s">
        <v>8</v>
      </c>
      <c r="GT567" s="27" t="s">
        <v>7</v>
      </c>
      <c r="GU567" s="27" t="s">
        <v>8</v>
      </c>
      <c r="GV567" s="27" t="s">
        <v>7</v>
      </c>
      <c r="GW567" s="27" t="s">
        <v>8</v>
      </c>
      <c r="GX567" s="27" t="s">
        <v>7</v>
      </c>
      <c r="GY567" s="27" t="s">
        <v>8</v>
      </c>
      <c r="GZ567" s="27" t="s">
        <v>7</v>
      </c>
      <c r="HG567" s="27" t="s">
        <v>8</v>
      </c>
      <c r="HH567" s="27" t="s">
        <v>7</v>
      </c>
      <c r="HK567" s="27" t="s">
        <v>8</v>
      </c>
      <c r="HL567" s="27" t="s">
        <v>7</v>
      </c>
      <c r="HM567" s="27" t="s">
        <v>8</v>
      </c>
      <c r="HN567" s="27" t="s">
        <v>7</v>
      </c>
      <c r="HR567" s="27" t="s">
        <v>7</v>
      </c>
      <c r="HS567" s="27" t="s">
        <v>8</v>
      </c>
      <c r="HT567" s="27" t="s">
        <v>7</v>
      </c>
      <c r="HY567" s="27" t="s">
        <v>8</v>
      </c>
      <c r="HZ567" s="27" t="s">
        <v>7</v>
      </c>
    </row>
    <row r="568" spans="1:236" x14ac:dyDescent="0.25">
      <c r="A568" s="7">
        <v>1.4568111725277988</v>
      </c>
      <c r="B568"/>
      <c r="C568"/>
      <c r="D568"/>
      <c r="E568" t="s">
        <v>8</v>
      </c>
      <c r="DF568" s="27" t="s">
        <v>7</v>
      </c>
      <c r="DG568" s="27" t="s">
        <v>8</v>
      </c>
      <c r="DH568" s="27" t="s">
        <v>7</v>
      </c>
      <c r="DI568" s="27" t="s">
        <v>8</v>
      </c>
      <c r="DJ568" s="27" t="s">
        <v>7</v>
      </c>
      <c r="DK568" s="27" t="s">
        <v>8</v>
      </c>
      <c r="DL568" s="27" t="s">
        <v>7</v>
      </c>
      <c r="DM568" s="27" t="s">
        <v>8</v>
      </c>
      <c r="DN568" s="27" t="s">
        <v>7</v>
      </c>
      <c r="ES568" s="27" t="s">
        <v>8</v>
      </c>
      <c r="ET568" s="27" t="s">
        <v>7</v>
      </c>
      <c r="EU568" s="27" t="s">
        <v>8</v>
      </c>
      <c r="EV568" s="27" t="s">
        <v>7</v>
      </c>
      <c r="EX568" s="27" t="s">
        <v>7</v>
      </c>
      <c r="EY568" s="27" t="s">
        <v>8</v>
      </c>
      <c r="EZ568" s="27" t="s">
        <v>7</v>
      </c>
      <c r="FA568" s="27" t="s">
        <v>8</v>
      </c>
      <c r="FB568" s="27" t="s">
        <v>7</v>
      </c>
      <c r="FC568" s="27" t="s">
        <v>8</v>
      </c>
      <c r="FJ568" s="27" t="s">
        <v>7</v>
      </c>
      <c r="FK568" s="27" t="s">
        <v>8</v>
      </c>
      <c r="FL568" s="27" t="s">
        <v>7</v>
      </c>
      <c r="FM568" s="27" t="s">
        <v>8</v>
      </c>
      <c r="FN568" s="27" t="s">
        <v>7</v>
      </c>
      <c r="FO568" s="27" t="s">
        <v>8</v>
      </c>
      <c r="FP568" s="27" t="s">
        <v>7</v>
      </c>
      <c r="FQ568" s="27" t="s">
        <v>8</v>
      </c>
      <c r="FR568" s="27" t="s">
        <v>7</v>
      </c>
      <c r="FS568" s="27" t="s">
        <v>8</v>
      </c>
      <c r="GR568" s="27" t="s">
        <v>7</v>
      </c>
      <c r="GS568" s="27" t="s">
        <v>8</v>
      </c>
      <c r="GT568" s="27" t="s">
        <v>7</v>
      </c>
      <c r="GV568" s="27" t="s">
        <v>7</v>
      </c>
      <c r="GW568" s="27" t="s">
        <v>8</v>
      </c>
      <c r="GX568" s="27" t="s">
        <v>7</v>
      </c>
      <c r="GY568" s="27" t="s">
        <v>8</v>
      </c>
      <c r="GZ568" s="27" t="s">
        <v>7</v>
      </c>
      <c r="HG568" s="27" t="s">
        <v>8</v>
      </c>
      <c r="HH568" s="27" t="s">
        <v>7</v>
      </c>
      <c r="HK568" s="27" t="s">
        <v>8</v>
      </c>
      <c r="HL568" s="27" t="s">
        <v>7</v>
      </c>
      <c r="HR568" s="27" t="s">
        <v>7</v>
      </c>
      <c r="HS568" s="27" t="s">
        <v>8</v>
      </c>
      <c r="HT568" s="27" t="s">
        <v>7</v>
      </c>
      <c r="HY568" s="27" t="s">
        <v>8</v>
      </c>
      <c r="HZ568" s="27" t="s">
        <v>7</v>
      </c>
    </row>
    <row r="569" spans="1:236" x14ac:dyDescent="0.25">
      <c r="A569" s="7">
        <v>1.4282462475762734</v>
      </c>
      <c r="B569"/>
      <c r="C569"/>
      <c r="D569"/>
      <c r="E569" t="s">
        <v>8</v>
      </c>
      <c r="DF569" s="27" t="s">
        <v>7</v>
      </c>
      <c r="DG569" s="27" t="s">
        <v>8</v>
      </c>
      <c r="DH569" s="27" t="s">
        <v>7</v>
      </c>
      <c r="DI569" s="27" t="s">
        <v>8</v>
      </c>
      <c r="DJ569" s="27" t="s">
        <v>7</v>
      </c>
      <c r="DK569" s="27" t="s">
        <v>8</v>
      </c>
      <c r="DL569" s="27" t="s">
        <v>7</v>
      </c>
      <c r="DM569" s="27" t="s">
        <v>8</v>
      </c>
      <c r="DN569" s="27" t="s">
        <v>7</v>
      </c>
      <c r="EE569" s="27" t="s">
        <v>8</v>
      </c>
      <c r="ES569" s="27" t="s">
        <v>8</v>
      </c>
      <c r="ET569" s="27" t="s">
        <v>7</v>
      </c>
      <c r="EU569" s="27" t="s">
        <v>8</v>
      </c>
      <c r="EX569" s="27" t="s">
        <v>7</v>
      </c>
      <c r="EY569" s="27" t="s">
        <v>8</v>
      </c>
      <c r="EZ569" s="27" t="s">
        <v>7</v>
      </c>
      <c r="FB569" s="27" t="s">
        <v>7</v>
      </c>
      <c r="FC569" s="27" t="s">
        <v>8</v>
      </c>
      <c r="FJ569" s="27" t="s">
        <v>7</v>
      </c>
      <c r="FL569" s="27" t="s">
        <v>7</v>
      </c>
      <c r="FM569" s="27" t="s">
        <v>8</v>
      </c>
      <c r="FN569" s="27" t="s">
        <v>7</v>
      </c>
      <c r="FO569" s="27" t="s">
        <v>8</v>
      </c>
      <c r="FP569" s="27" t="s">
        <v>7</v>
      </c>
      <c r="FQ569" s="27" t="s">
        <v>8</v>
      </c>
      <c r="FR569" s="27" t="s">
        <v>7</v>
      </c>
      <c r="FS569" s="27" t="s">
        <v>8</v>
      </c>
      <c r="GR569" s="27" t="s">
        <v>7</v>
      </c>
      <c r="GS569" s="27" t="s">
        <v>8</v>
      </c>
      <c r="GV569" s="27" t="s">
        <v>7</v>
      </c>
      <c r="GW569" s="27" t="s">
        <v>8</v>
      </c>
      <c r="GX569" s="27" t="s">
        <v>7</v>
      </c>
      <c r="GY569" s="27" t="s">
        <v>8</v>
      </c>
      <c r="GZ569" s="27" t="s">
        <v>7</v>
      </c>
      <c r="HG569" s="27" t="s">
        <v>8</v>
      </c>
      <c r="HH569" s="27" t="s">
        <v>7</v>
      </c>
      <c r="HI569" s="27" t="s">
        <v>8</v>
      </c>
      <c r="HK569" s="27" t="s">
        <v>8</v>
      </c>
      <c r="HR569" s="27" t="s">
        <v>7</v>
      </c>
      <c r="HS569" s="27" t="s">
        <v>8</v>
      </c>
      <c r="HT569" s="27" t="s">
        <v>7</v>
      </c>
      <c r="HY569" s="27" t="s">
        <v>8</v>
      </c>
      <c r="HZ569" s="27" t="s">
        <v>7</v>
      </c>
    </row>
    <row r="570" spans="1:236" x14ac:dyDescent="0.25">
      <c r="A570" s="7">
        <v>1.4002414191924248</v>
      </c>
      <c r="B570"/>
      <c r="C570"/>
      <c r="D570"/>
      <c r="E570" t="s">
        <v>8</v>
      </c>
      <c r="DF570" s="27" t="s">
        <v>7</v>
      </c>
      <c r="DG570" s="27" t="s">
        <v>8</v>
      </c>
      <c r="DH570" s="27" t="s">
        <v>7</v>
      </c>
      <c r="DI570" s="27" t="s">
        <v>8</v>
      </c>
      <c r="DJ570" s="27" t="s">
        <v>7</v>
      </c>
      <c r="DK570" s="27" t="s">
        <v>8</v>
      </c>
      <c r="DL570" s="27" t="s">
        <v>7</v>
      </c>
      <c r="DM570" s="27" t="s">
        <v>8</v>
      </c>
      <c r="DN570" s="27" t="s">
        <v>7</v>
      </c>
      <c r="EE570" s="27" t="s">
        <v>8</v>
      </c>
      <c r="EF570" s="27" t="s">
        <v>7</v>
      </c>
      <c r="ES570" s="27" t="s">
        <v>8</v>
      </c>
      <c r="ET570" s="27" t="s">
        <v>7</v>
      </c>
      <c r="EU570" s="27" t="s">
        <v>8</v>
      </c>
      <c r="EX570" s="27" t="s">
        <v>7</v>
      </c>
      <c r="EY570" s="27" t="s">
        <v>8</v>
      </c>
      <c r="FB570" s="27" t="s">
        <v>7</v>
      </c>
      <c r="FL570" s="27" t="s">
        <v>7</v>
      </c>
      <c r="FM570" s="27" t="s">
        <v>8</v>
      </c>
      <c r="FN570" s="27" t="s">
        <v>7</v>
      </c>
      <c r="FP570" s="27" t="s">
        <v>7</v>
      </c>
      <c r="FQ570" s="27" t="s">
        <v>8</v>
      </c>
      <c r="FR570" s="27" t="s">
        <v>7</v>
      </c>
      <c r="FS570" s="27" t="s">
        <v>8</v>
      </c>
      <c r="GR570" s="27" t="s">
        <v>7</v>
      </c>
      <c r="GV570" s="27" t="s">
        <v>7</v>
      </c>
      <c r="GW570" s="27" t="s">
        <v>8</v>
      </c>
      <c r="GX570" s="27" t="s">
        <v>7</v>
      </c>
      <c r="GZ570" s="27" t="s">
        <v>7</v>
      </c>
      <c r="HA570" s="27" t="s">
        <v>8</v>
      </c>
      <c r="HG570" s="27" t="s">
        <v>8</v>
      </c>
      <c r="HH570" s="27" t="s">
        <v>7</v>
      </c>
      <c r="HI570" s="27" t="s">
        <v>8</v>
      </c>
      <c r="HJ570" s="27" t="s">
        <v>7</v>
      </c>
      <c r="HK570" s="27" t="s">
        <v>8</v>
      </c>
      <c r="HR570" s="27" t="s">
        <v>7</v>
      </c>
      <c r="HS570" s="27" t="s">
        <v>8</v>
      </c>
      <c r="HT570" s="27" t="s">
        <v>7</v>
      </c>
      <c r="HW570" s="27" t="s">
        <v>8</v>
      </c>
      <c r="HY570" s="27" t="s">
        <v>8</v>
      </c>
      <c r="HZ570" s="27" t="s">
        <v>7</v>
      </c>
    </row>
    <row r="571" spans="1:236" x14ac:dyDescent="0.25">
      <c r="A571" s="7">
        <v>1.3727857050906125</v>
      </c>
      <c r="B571"/>
      <c r="C571"/>
      <c r="D571"/>
      <c r="E571" t="s">
        <v>8</v>
      </c>
      <c r="DF571" s="27" t="s">
        <v>7</v>
      </c>
      <c r="DG571" s="27" t="s">
        <v>8</v>
      </c>
      <c r="DH571" s="27" t="s">
        <v>7</v>
      </c>
      <c r="DI571" s="27" t="s">
        <v>8</v>
      </c>
      <c r="DJ571" s="27" t="s">
        <v>7</v>
      </c>
      <c r="DK571" s="27" t="s">
        <v>8</v>
      </c>
      <c r="DL571" s="27" t="s">
        <v>7</v>
      </c>
      <c r="DM571" s="27" t="s">
        <v>8</v>
      </c>
      <c r="DN571" s="27" t="s">
        <v>7</v>
      </c>
      <c r="DS571" s="27" t="s">
        <v>8</v>
      </c>
      <c r="EE571" s="27" t="s">
        <v>8</v>
      </c>
      <c r="EF571" s="27" t="s">
        <v>7</v>
      </c>
      <c r="ES571" s="27" t="s">
        <v>8</v>
      </c>
      <c r="ET571" s="27" t="s">
        <v>7</v>
      </c>
      <c r="EU571" s="27" t="s">
        <v>8</v>
      </c>
      <c r="EX571" s="27" t="s">
        <v>7</v>
      </c>
      <c r="EY571" s="27" t="s">
        <v>8</v>
      </c>
      <c r="FL571" s="27" t="s">
        <v>7</v>
      </c>
      <c r="FM571" s="27" t="s">
        <v>8</v>
      </c>
      <c r="FP571" s="27" t="s">
        <v>7</v>
      </c>
      <c r="FQ571" s="27" t="s">
        <v>8</v>
      </c>
      <c r="FR571" s="27" t="s">
        <v>7</v>
      </c>
      <c r="FS571" s="27" t="s">
        <v>8</v>
      </c>
      <c r="GV571" s="27" t="s">
        <v>7</v>
      </c>
      <c r="GW571" s="27" t="s">
        <v>8</v>
      </c>
      <c r="GZ571" s="27" t="s">
        <v>7</v>
      </c>
      <c r="HA571" s="27" t="s">
        <v>8</v>
      </c>
      <c r="HB571" s="27" t="s">
        <v>7</v>
      </c>
      <c r="HG571" s="27" t="s">
        <v>8</v>
      </c>
      <c r="HH571" s="27" t="s">
        <v>7</v>
      </c>
      <c r="HI571" s="27" t="s">
        <v>8</v>
      </c>
      <c r="HJ571" s="27" t="s">
        <v>7</v>
      </c>
      <c r="HK571" s="27" t="s">
        <v>8</v>
      </c>
      <c r="HR571" s="27" t="s">
        <v>7</v>
      </c>
      <c r="HT571" s="27" t="s">
        <v>7</v>
      </c>
      <c r="HW571" s="27" t="s">
        <v>8</v>
      </c>
      <c r="HX571" s="27" t="s">
        <v>7</v>
      </c>
      <c r="HY571" s="27" t="s">
        <v>8</v>
      </c>
      <c r="HZ571" s="27" t="s">
        <v>7</v>
      </c>
    </row>
    <row r="572" spans="1:236" x14ac:dyDescent="0.25">
      <c r="A572" s="7">
        <v>1.3458683383241299</v>
      </c>
      <c r="B572"/>
      <c r="C572"/>
      <c r="D572"/>
      <c r="E572" t="s">
        <v>8</v>
      </c>
      <c r="DF572" s="27" t="s">
        <v>7</v>
      </c>
      <c r="DG572" s="27" t="s">
        <v>8</v>
      </c>
      <c r="DH572" s="27" t="s">
        <v>7</v>
      </c>
      <c r="DI572" s="27" t="s">
        <v>8</v>
      </c>
      <c r="DJ572" s="27" t="s">
        <v>7</v>
      </c>
      <c r="DK572" s="27" t="s">
        <v>8</v>
      </c>
      <c r="DL572" s="27" t="s">
        <v>7</v>
      </c>
      <c r="DM572" s="27" t="s">
        <v>8</v>
      </c>
      <c r="DN572" s="27" t="s">
        <v>7</v>
      </c>
      <c r="DS572" s="27" t="s">
        <v>8</v>
      </c>
      <c r="DT572" s="27" t="s">
        <v>7</v>
      </c>
      <c r="EE572" s="27" t="s">
        <v>8</v>
      </c>
      <c r="EF572" s="27" t="s">
        <v>7</v>
      </c>
      <c r="ES572" s="27" t="s">
        <v>8</v>
      </c>
      <c r="ET572" s="27" t="s">
        <v>7</v>
      </c>
      <c r="EU572" s="27" t="s">
        <v>8</v>
      </c>
      <c r="EX572" s="27" t="s">
        <v>7</v>
      </c>
      <c r="EY572" s="27" t="s">
        <v>8</v>
      </c>
      <c r="FL572" s="27" t="s">
        <v>7</v>
      </c>
      <c r="FP572" s="27" t="s">
        <v>7</v>
      </c>
      <c r="FQ572" s="27" t="s">
        <v>8</v>
      </c>
      <c r="FR572" s="27" t="s">
        <v>7</v>
      </c>
      <c r="GV572" s="27" t="s">
        <v>7</v>
      </c>
      <c r="GZ572" s="27" t="s">
        <v>7</v>
      </c>
      <c r="HA572" s="27" t="s">
        <v>8</v>
      </c>
      <c r="HB572" s="27" t="s">
        <v>7</v>
      </c>
      <c r="HG572" s="27" t="s">
        <v>8</v>
      </c>
      <c r="HH572" s="27" t="s">
        <v>7</v>
      </c>
      <c r="HI572" s="27" t="s">
        <v>8</v>
      </c>
      <c r="HJ572" s="27" t="s">
        <v>7</v>
      </c>
      <c r="HK572" s="27" t="s">
        <v>8</v>
      </c>
      <c r="HT572" s="27" t="s">
        <v>7</v>
      </c>
      <c r="HU572" s="27" t="s">
        <v>8</v>
      </c>
      <c r="HW572" s="27" t="s">
        <v>8</v>
      </c>
      <c r="HX572" s="27" t="s">
        <v>7</v>
      </c>
      <c r="HY572" s="27" t="s">
        <v>8</v>
      </c>
      <c r="HZ572" s="27" t="s">
        <v>7</v>
      </c>
      <c r="IA572" s="27" t="s">
        <v>8</v>
      </c>
    </row>
    <row r="573" spans="1:236" x14ac:dyDescent="0.25">
      <c r="A573" s="7">
        <v>1.3194787630628724</v>
      </c>
      <c r="B573"/>
      <c r="C573"/>
      <c r="D573"/>
      <c r="E573" t="s">
        <v>8</v>
      </c>
      <c r="DF573" s="27" t="s">
        <v>7</v>
      </c>
      <c r="DG573" s="27" t="s">
        <v>8</v>
      </c>
      <c r="DH573" s="27" t="s">
        <v>7</v>
      </c>
      <c r="DI573" s="27" t="s">
        <v>8</v>
      </c>
      <c r="DJ573" s="27" t="s">
        <v>7</v>
      </c>
      <c r="DK573" s="27" t="s">
        <v>8</v>
      </c>
      <c r="DL573" s="27" t="s">
        <v>7</v>
      </c>
      <c r="DM573" s="27" t="s">
        <v>8</v>
      </c>
      <c r="DN573" s="27" t="s">
        <v>7</v>
      </c>
      <c r="DS573" s="27" t="s">
        <v>8</v>
      </c>
      <c r="DT573" s="27" t="s">
        <v>7</v>
      </c>
      <c r="EE573" s="27" t="s">
        <v>8</v>
      </c>
      <c r="EF573" s="27" t="s">
        <v>7</v>
      </c>
      <c r="ES573" s="27" t="s">
        <v>8</v>
      </c>
      <c r="ET573" s="27" t="s">
        <v>7</v>
      </c>
      <c r="EU573" s="27" t="s">
        <v>8</v>
      </c>
      <c r="EX573" s="27" t="s">
        <v>7</v>
      </c>
      <c r="FP573" s="27" t="s">
        <v>7</v>
      </c>
      <c r="FQ573" s="27" t="s">
        <v>8</v>
      </c>
      <c r="GZ573" s="27" t="s">
        <v>7</v>
      </c>
      <c r="HA573" s="27" t="s">
        <v>8</v>
      </c>
      <c r="HB573" s="27" t="s">
        <v>7</v>
      </c>
      <c r="HC573" s="27" t="s">
        <v>8</v>
      </c>
      <c r="HG573" s="27" t="s">
        <v>8</v>
      </c>
      <c r="HH573" s="27" t="s">
        <v>7</v>
      </c>
      <c r="HI573" s="27" t="s">
        <v>8</v>
      </c>
      <c r="HJ573" s="27" t="s">
        <v>7</v>
      </c>
      <c r="HK573" s="27" t="s">
        <v>8</v>
      </c>
      <c r="HT573" s="27" t="s">
        <v>7</v>
      </c>
      <c r="HU573" s="27" t="s">
        <v>8</v>
      </c>
      <c r="HV573" s="27" t="s">
        <v>7</v>
      </c>
      <c r="HW573" s="27" t="s">
        <v>8</v>
      </c>
      <c r="HX573" s="27" t="s">
        <v>7</v>
      </c>
      <c r="HZ573" s="27" t="s">
        <v>7</v>
      </c>
      <c r="IA573" s="27" t="s">
        <v>8</v>
      </c>
      <c r="IB573" s="27" t="s">
        <v>7</v>
      </c>
    </row>
    <row r="574" spans="1:236" x14ac:dyDescent="0.25">
      <c r="A574" s="7">
        <v>1.2936066304537963</v>
      </c>
      <c r="B574"/>
      <c r="C574"/>
      <c r="D574"/>
      <c r="E574" t="s">
        <v>8</v>
      </c>
      <c r="DF574" s="27" t="s">
        <v>7</v>
      </c>
      <c r="DG574" s="27" t="s">
        <v>8</v>
      </c>
      <c r="DH574" s="27" t="s">
        <v>7</v>
      </c>
      <c r="DI574" s="27" t="s">
        <v>8</v>
      </c>
      <c r="DJ574" s="27" t="s">
        <v>7</v>
      </c>
      <c r="DK574" s="27" t="s">
        <v>8</v>
      </c>
      <c r="DL574" s="27" t="s">
        <v>7</v>
      </c>
      <c r="DM574" s="27" t="s">
        <v>8</v>
      </c>
      <c r="DN574" s="27" t="s">
        <v>7</v>
      </c>
      <c r="DS574" s="27" t="s">
        <v>8</v>
      </c>
      <c r="DT574" s="27" t="s">
        <v>7</v>
      </c>
      <c r="EE574" s="27" t="s">
        <v>8</v>
      </c>
      <c r="EF574" s="27" t="s">
        <v>7</v>
      </c>
      <c r="ES574" s="27" t="s">
        <v>8</v>
      </c>
      <c r="ET574" s="27" t="s">
        <v>7</v>
      </c>
      <c r="EU574" s="27" t="s">
        <v>8</v>
      </c>
      <c r="FP574" s="27" t="s">
        <v>7</v>
      </c>
      <c r="FQ574" s="27" t="s">
        <v>8</v>
      </c>
      <c r="GZ574" s="27" t="s">
        <v>7</v>
      </c>
      <c r="HA574" s="27" t="s">
        <v>8</v>
      </c>
      <c r="HB574" s="27" t="s">
        <v>7</v>
      </c>
      <c r="HC574" s="27" t="s">
        <v>8</v>
      </c>
      <c r="HD574" s="27" t="s">
        <v>7</v>
      </c>
      <c r="HG574" s="27" t="s">
        <v>8</v>
      </c>
      <c r="HH574" s="27" t="s">
        <v>7</v>
      </c>
      <c r="HI574" s="27" t="s">
        <v>8</v>
      </c>
      <c r="HJ574" s="27" t="s">
        <v>7</v>
      </c>
      <c r="HT574" s="27" t="s">
        <v>7</v>
      </c>
      <c r="HU574" s="27" t="s">
        <v>8</v>
      </c>
      <c r="HV574" s="27" t="s">
        <v>7</v>
      </c>
      <c r="HW574" s="27" t="s">
        <v>8</v>
      </c>
      <c r="HZ574" s="27" t="s">
        <v>7</v>
      </c>
      <c r="IA574" s="27" t="s">
        <v>8</v>
      </c>
      <c r="IB574" s="27" t="s">
        <v>7</v>
      </c>
    </row>
    <row r="575" spans="1:236" x14ac:dyDescent="0.25">
      <c r="A575" s="7">
        <v>1.2682417945625455</v>
      </c>
      <c r="B575"/>
      <c r="C575"/>
      <c r="D575"/>
      <c r="E575" t="s">
        <v>8</v>
      </c>
      <c r="DF575" s="27" t="s">
        <v>7</v>
      </c>
      <c r="DG575" s="27" t="s">
        <v>8</v>
      </c>
      <c r="DH575" s="27" t="s">
        <v>7</v>
      </c>
      <c r="DI575" s="27" t="s">
        <v>8</v>
      </c>
      <c r="DJ575" s="27" t="s">
        <v>7</v>
      </c>
      <c r="DK575" s="27" t="s">
        <v>8</v>
      </c>
      <c r="DL575" s="27" t="s">
        <v>7</v>
      </c>
      <c r="DN575" s="27" t="s">
        <v>7</v>
      </c>
      <c r="DS575" s="27" t="s">
        <v>8</v>
      </c>
      <c r="DT575" s="27" t="s">
        <v>7</v>
      </c>
      <c r="EE575" s="27" t="s">
        <v>8</v>
      </c>
      <c r="EF575" s="27" t="s">
        <v>7</v>
      </c>
      <c r="ES575" s="27" t="s">
        <v>8</v>
      </c>
      <c r="ET575" s="27" t="s">
        <v>7</v>
      </c>
      <c r="FP575" s="27" t="s">
        <v>7</v>
      </c>
      <c r="FQ575" s="27" t="s">
        <v>8</v>
      </c>
      <c r="GZ575" s="27" t="s">
        <v>7</v>
      </c>
      <c r="HA575" s="27" t="s">
        <v>8</v>
      </c>
      <c r="HB575" s="27" t="s">
        <v>7</v>
      </c>
      <c r="HC575" s="27" t="s">
        <v>8</v>
      </c>
      <c r="HD575" s="27" t="s">
        <v>7</v>
      </c>
      <c r="HE575" s="27" t="s">
        <v>8</v>
      </c>
      <c r="HG575" s="27" t="s">
        <v>8</v>
      </c>
      <c r="HH575" s="27" t="s">
        <v>7</v>
      </c>
      <c r="HT575" s="27" t="s">
        <v>7</v>
      </c>
      <c r="HU575" s="27" t="s">
        <v>8</v>
      </c>
      <c r="HV575" s="27" t="s">
        <v>7</v>
      </c>
      <c r="HW575" s="27" t="s">
        <v>8</v>
      </c>
      <c r="HZ575" s="27" t="s">
        <v>7</v>
      </c>
      <c r="IB575" s="27" t="s">
        <v>7</v>
      </c>
    </row>
    <row r="576" spans="1:236" x14ac:dyDescent="0.25">
      <c r="A576" s="7">
        <v>1.2433743083946525</v>
      </c>
      <c r="B576"/>
      <c r="C576"/>
      <c r="D576"/>
      <c r="E576" t="s">
        <v>8</v>
      </c>
      <c r="DF576" s="27" t="s">
        <v>7</v>
      </c>
      <c r="DG576" s="27" t="s">
        <v>8</v>
      </c>
      <c r="DH576" s="27" t="s">
        <v>7</v>
      </c>
      <c r="DI576" s="27" t="s">
        <v>8</v>
      </c>
      <c r="DJ576" s="27" t="s">
        <v>7</v>
      </c>
      <c r="DK576" s="27" t="s">
        <v>8</v>
      </c>
      <c r="DN576" s="27" t="s">
        <v>7</v>
      </c>
      <c r="DO576" s="27" t="s">
        <v>8</v>
      </c>
      <c r="DS576" s="27" t="s">
        <v>8</v>
      </c>
      <c r="DT576" s="27" t="s">
        <v>7</v>
      </c>
      <c r="EE576" s="27" t="s">
        <v>8</v>
      </c>
      <c r="EF576" s="27" t="s">
        <v>7</v>
      </c>
      <c r="ES576" s="27" t="s">
        <v>8</v>
      </c>
      <c r="FP576" s="27" t="s">
        <v>7</v>
      </c>
      <c r="FQ576" s="27" t="s">
        <v>8</v>
      </c>
      <c r="GZ576" s="27" t="s">
        <v>7</v>
      </c>
      <c r="HA576" s="27" t="s">
        <v>8</v>
      </c>
      <c r="HB576" s="27" t="s">
        <v>7</v>
      </c>
      <c r="HC576" s="27" t="s">
        <v>8</v>
      </c>
      <c r="HD576" s="27" t="s">
        <v>7</v>
      </c>
      <c r="HE576" s="27" t="s">
        <v>8</v>
      </c>
      <c r="HF576" s="27" t="s">
        <v>7</v>
      </c>
      <c r="HG576" s="27" t="s">
        <v>8</v>
      </c>
      <c r="HT576" s="27" t="s">
        <v>7</v>
      </c>
      <c r="HU576" s="27" t="s">
        <v>8</v>
      </c>
      <c r="HV576" s="27" t="s">
        <v>7</v>
      </c>
      <c r="IB576" s="27" t="s">
        <v>7</v>
      </c>
    </row>
    <row r="577" spans="1:240" x14ac:dyDescent="0.25">
      <c r="A577" s="7">
        <v>1.2189944199947573</v>
      </c>
      <c r="B577"/>
      <c r="C577"/>
      <c r="D577"/>
      <c r="E577" t="s">
        <v>8</v>
      </c>
      <c r="DF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N577" s="27" t="s">
        <v>7</v>
      </c>
      <c r="DO577" s="27" t="s">
        <v>8</v>
      </c>
      <c r="DP577" s="27" t="s">
        <v>7</v>
      </c>
      <c r="DS577" s="27" t="s">
        <v>8</v>
      </c>
      <c r="DT577" s="27" t="s">
        <v>7</v>
      </c>
      <c r="EE577" s="27" t="s">
        <v>8</v>
      </c>
      <c r="EF577" s="27" t="s">
        <v>7</v>
      </c>
      <c r="ES577" s="27" t="s">
        <v>8</v>
      </c>
      <c r="FP577" s="27" t="s">
        <v>7</v>
      </c>
      <c r="FQ577" s="27" t="s">
        <v>8</v>
      </c>
      <c r="GZ577" s="27" t="s">
        <v>7</v>
      </c>
      <c r="HA577" s="27" t="s">
        <v>8</v>
      </c>
      <c r="HB577" s="27" t="s">
        <v>7</v>
      </c>
      <c r="HC577" s="27" t="s">
        <v>8</v>
      </c>
      <c r="HD577" s="27" t="s">
        <v>7</v>
      </c>
      <c r="HE577" s="27" t="s">
        <v>8</v>
      </c>
      <c r="HF577" s="27" t="s">
        <v>7</v>
      </c>
      <c r="HG577" s="27" t="s">
        <v>8</v>
      </c>
      <c r="HT577" s="27" t="s">
        <v>7</v>
      </c>
      <c r="HU577" s="27" t="s">
        <v>8</v>
      </c>
      <c r="IB577" s="27" t="s">
        <v>7</v>
      </c>
    </row>
    <row r="578" spans="1:240" x14ac:dyDescent="0.25">
      <c r="A578" s="7">
        <v>1.1950925686223111</v>
      </c>
      <c r="B578"/>
      <c r="C578"/>
      <c r="D578"/>
      <c r="E578" t="s">
        <v>8</v>
      </c>
      <c r="DF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K578" s="27" t="s">
        <v>8</v>
      </c>
      <c r="DN578" s="27" t="s">
        <v>7</v>
      </c>
      <c r="DO578" s="27" t="s">
        <v>8</v>
      </c>
      <c r="DP578" s="27" t="s">
        <v>7</v>
      </c>
      <c r="DS578" s="27" t="s">
        <v>8</v>
      </c>
      <c r="DT578" s="27" t="s">
        <v>7</v>
      </c>
      <c r="EE578" s="27" t="s">
        <v>8</v>
      </c>
      <c r="EF578" s="27" t="s">
        <v>7</v>
      </c>
      <c r="EQ578" s="27" t="s">
        <v>8</v>
      </c>
      <c r="ES578" s="27" t="s">
        <v>8</v>
      </c>
      <c r="FP578" s="27" t="s">
        <v>7</v>
      </c>
      <c r="FQ578" s="27" t="s">
        <v>8</v>
      </c>
      <c r="GZ578" s="27" t="s">
        <v>7</v>
      </c>
      <c r="HA578" s="27" t="s">
        <v>8</v>
      </c>
      <c r="HB578" s="27" t="s">
        <v>7</v>
      </c>
      <c r="HC578" s="27" t="s">
        <v>8</v>
      </c>
      <c r="HD578" s="27" t="s">
        <v>7</v>
      </c>
      <c r="HE578" s="27" t="s">
        <v>8</v>
      </c>
      <c r="HF578" s="27" t="s">
        <v>7</v>
      </c>
      <c r="HG578" s="27" t="s">
        <v>8</v>
      </c>
      <c r="HT578" s="27" t="s">
        <v>7</v>
      </c>
      <c r="HU578" s="27" t="s">
        <v>8</v>
      </c>
      <c r="IB578" s="27" t="s">
        <v>7</v>
      </c>
    </row>
    <row r="579" spans="1:240" x14ac:dyDescent="0.25">
      <c r="A579" s="7">
        <v>1.1716593810022657</v>
      </c>
      <c r="B579"/>
      <c r="C579"/>
      <c r="D579"/>
      <c r="E579" t="s">
        <v>8</v>
      </c>
      <c r="DF579" s="27" t="s">
        <v>7</v>
      </c>
      <c r="DG579" s="27" t="s">
        <v>8</v>
      </c>
      <c r="DH579" s="27" t="s">
        <v>7</v>
      </c>
      <c r="DI579" s="27" t="s">
        <v>8</v>
      </c>
      <c r="DJ579" s="27" t="s">
        <v>7</v>
      </c>
      <c r="DK579" s="27" t="s">
        <v>8</v>
      </c>
      <c r="DN579" s="27" t="s">
        <v>7</v>
      </c>
      <c r="DO579" s="27" t="s">
        <v>8</v>
      </c>
      <c r="DP579" s="27" t="s">
        <v>7</v>
      </c>
      <c r="DQ579" s="27" t="s">
        <v>8</v>
      </c>
      <c r="DS579" s="27" t="s">
        <v>8</v>
      </c>
      <c r="DT579" s="27" t="s">
        <v>7</v>
      </c>
      <c r="EC579" s="27" t="s">
        <v>8</v>
      </c>
      <c r="EE579" s="27" t="s">
        <v>8</v>
      </c>
      <c r="EF579" s="27" t="s">
        <v>7</v>
      </c>
      <c r="EQ579" s="27" t="s">
        <v>8</v>
      </c>
      <c r="ER579" s="27" t="s">
        <v>7</v>
      </c>
      <c r="ES579" s="27" t="s">
        <v>8</v>
      </c>
      <c r="FP579" s="27" t="s">
        <v>7</v>
      </c>
      <c r="FQ579" s="27" t="s">
        <v>8</v>
      </c>
      <c r="GZ579" s="27" t="s">
        <v>7</v>
      </c>
      <c r="HA579" s="27" t="s">
        <v>8</v>
      </c>
      <c r="HB579" s="27" t="s">
        <v>7</v>
      </c>
      <c r="HD579" s="27" t="s">
        <v>7</v>
      </c>
      <c r="HF579" s="27" t="s">
        <v>7</v>
      </c>
      <c r="HG579" s="27" t="s">
        <v>8</v>
      </c>
      <c r="HT579" s="27" t="s">
        <v>7</v>
      </c>
      <c r="IB579" s="27" t="s">
        <v>7</v>
      </c>
    </row>
    <row r="580" spans="1:240" x14ac:dyDescent="0.25">
      <c r="A580" s="7">
        <v>1.14868566764928</v>
      </c>
      <c r="B580"/>
      <c r="C580"/>
      <c r="D580"/>
      <c r="E580" t="s">
        <v>8</v>
      </c>
      <c r="DF580" s="27" t="s">
        <v>7</v>
      </c>
      <c r="DG580" s="27" t="s">
        <v>8</v>
      </c>
      <c r="DH580" s="27" t="s">
        <v>7</v>
      </c>
      <c r="DI580" s="27" t="s">
        <v>8</v>
      </c>
      <c r="DJ580" s="27" t="s">
        <v>7</v>
      </c>
      <c r="DK580" s="27" t="s">
        <v>8</v>
      </c>
      <c r="DN580" s="27" t="s">
        <v>7</v>
      </c>
      <c r="DO580" s="27" t="s">
        <v>8</v>
      </c>
      <c r="DP580" s="27" t="s">
        <v>7</v>
      </c>
      <c r="DQ580" s="27" t="s">
        <v>8</v>
      </c>
      <c r="DR580" s="27" t="s">
        <v>7</v>
      </c>
      <c r="DS580" s="27" t="s">
        <v>8</v>
      </c>
      <c r="DT580" s="27" t="s">
        <v>7</v>
      </c>
      <c r="EC580" s="27" t="s">
        <v>8</v>
      </c>
      <c r="ED580" s="27" t="s">
        <v>7</v>
      </c>
      <c r="EE580" s="27" t="s">
        <v>8</v>
      </c>
      <c r="EF580" s="27" t="s">
        <v>7</v>
      </c>
      <c r="EO580" s="27" t="s">
        <v>8</v>
      </c>
      <c r="EQ580" s="27" t="s">
        <v>8</v>
      </c>
      <c r="ER580" s="27" t="s">
        <v>7</v>
      </c>
      <c r="ES580" s="27" t="s">
        <v>8</v>
      </c>
      <c r="FP580" s="27" t="s">
        <v>7</v>
      </c>
      <c r="FQ580" s="27" t="s">
        <v>8</v>
      </c>
      <c r="GZ580" s="27" t="s">
        <v>7</v>
      </c>
      <c r="HA580" s="27" t="s">
        <v>8</v>
      </c>
      <c r="HF580" s="27" t="s">
        <v>7</v>
      </c>
      <c r="IB580" s="27" t="s">
        <v>7</v>
      </c>
      <c r="IC580" s="27" t="s">
        <v>8</v>
      </c>
      <c r="IE580" s="27" t="s">
        <v>8</v>
      </c>
    </row>
    <row r="581" spans="1:240" x14ac:dyDescent="0.25">
      <c r="A581" s="7">
        <v>1.1261624192640001</v>
      </c>
      <c r="B581"/>
      <c r="C581"/>
      <c r="D581"/>
      <c r="E581" t="s">
        <v>8</v>
      </c>
      <c r="DF581" s="27" t="s">
        <v>7</v>
      </c>
      <c r="DG581" s="27" t="s">
        <v>8</v>
      </c>
      <c r="DH581" s="27" t="s">
        <v>7</v>
      </c>
      <c r="DI581" s="27" t="s">
        <v>8</v>
      </c>
      <c r="DJ581" s="27" t="s">
        <v>7</v>
      </c>
      <c r="DK581" s="27" t="s">
        <v>8</v>
      </c>
      <c r="DN581" s="27" t="s">
        <v>7</v>
      </c>
      <c r="DP581" s="27" t="s">
        <v>7</v>
      </c>
      <c r="DQ581" s="27" t="s">
        <v>8</v>
      </c>
      <c r="DR581" s="27" t="s">
        <v>7</v>
      </c>
      <c r="DS581" s="27" t="s">
        <v>8</v>
      </c>
      <c r="DT581" s="27" t="s">
        <v>7</v>
      </c>
      <c r="EC581" s="27" t="s">
        <v>8</v>
      </c>
      <c r="ED581" s="27" t="s">
        <v>7</v>
      </c>
      <c r="EE581" s="27" t="s">
        <v>8</v>
      </c>
      <c r="EF581" s="27" t="s">
        <v>7</v>
      </c>
      <c r="EO581" s="27" t="s">
        <v>8</v>
      </c>
      <c r="EP581" s="27" t="s">
        <v>7</v>
      </c>
      <c r="EQ581" s="27" t="s">
        <v>8</v>
      </c>
      <c r="ER581" s="27" t="s">
        <v>7</v>
      </c>
      <c r="ES581" s="27" t="s">
        <v>8</v>
      </c>
      <c r="FP581" s="27" t="s">
        <v>7</v>
      </c>
      <c r="GZ581" s="27" t="s">
        <v>7</v>
      </c>
      <c r="HA581" s="27" t="s">
        <v>8</v>
      </c>
      <c r="IB581" s="27" t="s">
        <v>7</v>
      </c>
      <c r="IC581" s="27" t="s">
        <v>8</v>
      </c>
      <c r="ID581" s="27" t="s">
        <v>7</v>
      </c>
      <c r="IE581" s="27" t="s">
        <v>8</v>
      </c>
      <c r="IF581" s="27" t="s">
        <v>7</v>
      </c>
    </row>
    <row r="582" spans="1:240" x14ac:dyDescent="0.25">
      <c r="A582" s="7">
        <v>1.1040808032</v>
      </c>
      <c r="B582"/>
      <c r="C582"/>
      <c r="D582"/>
      <c r="E582" t="s">
        <v>8</v>
      </c>
      <c r="DF582" s="27" t="s">
        <v>7</v>
      </c>
      <c r="DG582" s="27" t="s">
        <v>8</v>
      </c>
      <c r="DH582" s="27" t="s">
        <v>7</v>
      </c>
      <c r="DI582" s="27" t="s">
        <v>8</v>
      </c>
      <c r="DJ582" s="27" t="s">
        <v>7</v>
      </c>
      <c r="DK582" s="27" t="s">
        <v>8</v>
      </c>
      <c r="DP582" s="27" t="s">
        <v>7</v>
      </c>
      <c r="DQ582" s="27" t="s">
        <v>8</v>
      </c>
      <c r="DR582" s="27" t="s">
        <v>7</v>
      </c>
      <c r="DS582" s="27" t="s">
        <v>8</v>
      </c>
      <c r="DT582" s="27" t="s">
        <v>7</v>
      </c>
      <c r="EC582" s="27" t="s">
        <v>8</v>
      </c>
      <c r="ED582" s="27" t="s">
        <v>7</v>
      </c>
      <c r="EE582" s="27" t="s">
        <v>8</v>
      </c>
      <c r="EF582" s="27" t="s">
        <v>7</v>
      </c>
      <c r="EO582" s="27" t="s">
        <v>8</v>
      </c>
      <c r="EP582" s="27" t="s">
        <v>7</v>
      </c>
      <c r="EQ582" s="27" t="s">
        <v>8</v>
      </c>
      <c r="ER582" s="27" t="s">
        <v>7</v>
      </c>
      <c r="ES582" s="27" t="s">
        <v>8</v>
      </c>
      <c r="GZ582" s="27" t="s">
        <v>7</v>
      </c>
      <c r="HA582" s="27" t="s">
        <v>8</v>
      </c>
      <c r="IB582" s="27" t="s">
        <v>7</v>
      </c>
      <c r="IC582" s="27" t="s">
        <v>8</v>
      </c>
      <c r="ID582" s="27" t="s">
        <v>7</v>
      </c>
      <c r="IE582" s="27" t="s">
        <v>8</v>
      </c>
      <c r="IF582" s="27" t="s">
        <v>7</v>
      </c>
    </row>
    <row r="583" spans="1:240" x14ac:dyDescent="0.25">
      <c r="A583" s="7">
        <v>1.08243216</v>
      </c>
      <c r="B583"/>
      <c r="C583"/>
      <c r="D583"/>
      <c r="E583" t="s">
        <v>8</v>
      </c>
      <c r="DF583" s="27" t="s">
        <v>7</v>
      </c>
      <c r="DH583" s="27" t="s">
        <v>7</v>
      </c>
      <c r="DI583" s="27" t="s">
        <v>8</v>
      </c>
      <c r="DJ583" s="27" t="s">
        <v>7</v>
      </c>
      <c r="DP583" s="27" t="s">
        <v>7</v>
      </c>
      <c r="DQ583" s="27" t="s">
        <v>8</v>
      </c>
      <c r="DR583" s="27" t="s">
        <v>7</v>
      </c>
      <c r="DS583" s="27" t="s">
        <v>8</v>
      </c>
      <c r="DT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I583" s="27" t="s">
        <v>8</v>
      </c>
      <c r="EM583" s="27" t="s">
        <v>8</v>
      </c>
      <c r="EO583" s="27" t="s">
        <v>8</v>
      </c>
      <c r="EP583" s="27" t="s">
        <v>7</v>
      </c>
      <c r="EQ583" s="27" t="s">
        <v>8</v>
      </c>
      <c r="ER583" s="27" t="s">
        <v>7</v>
      </c>
      <c r="ES583" s="27" t="s">
        <v>8</v>
      </c>
      <c r="GZ583" s="27" t="s">
        <v>7</v>
      </c>
      <c r="HA583" s="27" t="s">
        <v>8</v>
      </c>
      <c r="IB583" s="27" t="s">
        <v>7</v>
      </c>
      <c r="IC583" s="27" t="s">
        <v>8</v>
      </c>
      <c r="ID583" s="27" t="s">
        <v>7</v>
      </c>
      <c r="IE583" s="27" t="s">
        <v>8</v>
      </c>
      <c r="IF583" s="27" t="s">
        <v>7</v>
      </c>
    </row>
    <row r="584" spans="1:240" x14ac:dyDescent="0.25">
      <c r="A584" s="7">
        <v>1.0612079999999999</v>
      </c>
      <c r="B584"/>
      <c r="C584"/>
      <c r="D584"/>
      <c r="E584" t="s">
        <v>8</v>
      </c>
      <c r="DH584" s="27" t="s">
        <v>7</v>
      </c>
      <c r="DI584" s="27" t="s">
        <v>8</v>
      </c>
      <c r="DP584" s="27" t="s">
        <v>7</v>
      </c>
      <c r="DQ584" s="27" t="s">
        <v>8</v>
      </c>
      <c r="DR584" s="27" t="s">
        <v>7</v>
      </c>
      <c r="DS584" s="27" t="s">
        <v>8</v>
      </c>
      <c r="DT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I584" s="27" t="s">
        <v>8</v>
      </c>
      <c r="EJ584" s="27" t="s">
        <v>7</v>
      </c>
      <c r="EM584" s="27" t="s">
        <v>8</v>
      </c>
      <c r="EN584" s="27" t="s">
        <v>7</v>
      </c>
      <c r="EO584" s="27" t="s">
        <v>8</v>
      </c>
      <c r="EP584" s="27" t="s">
        <v>7</v>
      </c>
      <c r="EQ584" s="27" t="s">
        <v>8</v>
      </c>
      <c r="ER584" s="27" t="s">
        <v>7</v>
      </c>
      <c r="ES584" s="27" t="s">
        <v>8</v>
      </c>
      <c r="GZ584" s="27" t="s">
        <v>7</v>
      </c>
      <c r="HA584" s="27" t="s">
        <v>8</v>
      </c>
      <c r="IB584" s="27" t="s">
        <v>7</v>
      </c>
      <c r="IC584" s="27" t="s">
        <v>8</v>
      </c>
      <c r="ID584" s="27" t="s">
        <v>7</v>
      </c>
      <c r="IE584" s="27" t="s">
        <v>8</v>
      </c>
      <c r="IF584" s="27" t="s">
        <v>7</v>
      </c>
    </row>
    <row r="585" spans="1:240" x14ac:dyDescent="0.25">
      <c r="A585" s="7">
        <v>1.0404</v>
      </c>
      <c r="B585"/>
      <c r="C585"/>
      <c r="D585"/>
      <c r="E585" t="s">
        <v>8</v>
      </c>
      <c r="DH585" s="27" t="s">
        <v>7</v>
      </c>
      <c r="DI585" s="27" t="s">
        <v>8</v>
      </c>
      <c r="DP585" s="27" t="s">
        <v>7</v>
      </c>
      <c r="DQ585" s="27" t="s">
        <v>8</v>
      </c>
      <c r="DR585" s="27" t="s">
        <v>7</v>
      </c>
      <c r="DS585" s="27" t="s">
        <v>8</v>
      </c>
      <c r="DT585" s="27" t="s">
        <v>7</v>
      </c>
      <c r="EC585" s="27" t="s">
        <v>8</v>
      </c>
      <c r="ED585" s="27" t="s">
        <v>7</v>
      </c>
      <c r="EE585" s="27" t="s">
        <v>8</v>
      </c>
      <c r="EF585" s="27" t="s">
        <v>7</v>
      </c>
      <c r="EI585" s="27" t="s">
        <v>8</v>
      </c>
      <c r="EJ585" s="27" t="s">
        <v>7</v>
      </c>
      <c r="EM585" s="27" t="s">
        <v>8</v>
      </c>
      <c r="EN585" s="27" t="s">
        <v>7</v>
      </c>
      <c r="EO585" s="27" t="s">
        <v>8</v>
      </c>
      <c r="EP585" s="27" t="s">
        <v>7</v>
      </c>
      <c r="ER585" s="27" t="s">
        <v>7</v>
      </c>
      <c r="ES585" s="27" t="s">
        <v>8</v>
      </c>
      <c r="GZ585" s="27" t="s">
        <v>7</v>
      </c>
      <c r="IB585" s="27" t="s">
        <v>7</v>
      </c>
      <c r="IC585" s="27" t="s">
        <v>8</v>
      </c>
      <c r="ID585" s="27" t="s">
        <v>7</v>
      </c>
      <c r="IE585" s="27" t="s">
        <v>8</v>
      </c>
    </row>
    <row r="586" spans="1:240" x14ac:dyDescent="0.25">
      <c r="A586" s="7">
        <v>1.02</v>
      </c>
      <c r="B586"/>
      <c r="C586"/>
      <c r="D586"/>
      <c r="E586" t="s">
        <v>8</v>
      </c>
      <c r="DH586" s="27" t="s">
        <v>7</v>
      </c>
      <c r="DI586" s="27" t="s">
        <v>8</v>
      </c>
      <c r="DP586" s="27" t="s">
        <v>7</v>
      </c>
      <c r="DQ586" s="27" t="s">
        <v>8</v>
      </c>
      <c r="DR586" s="27" t="s">
        <v>7</v>
      </c>
      <c r="DS586" s="27" t="s">
        <v>8</v>
      </c>
      <c r="DT586" s="27" t="s">
        <v>7</v>
      </c>
      <c r="EC586" s="27" t="s">
        <v>8</v>
      </c>
      <c r="ED586" s="27" t="s">
        <v>7</v>
      </c>
      <c r="EE586" s="27" t="s">
        <v>8</v>
      </c>
      <c r="EF586" s="27" t="s">
        <v>7</v>
      </c>
      <c r="EG586" s="27" t="s">
        <v>8</v>
      </c>
      <c r="EI586" s="27" t="s">
        <v>8</v>
      </c>
      <c r="EJ586" s="27" t="s">
        <v>7</v>
      </c>
      <c r="EM586" s="27" t="s">
        <v>8</v>
      </c>
      <c r="EN586" s="27" t="s">
        <v>7</v>
      </c>
      <c r="EO586" s="27" t="s">
        <v>8</v>
      </c>
      <c r="ER586" s="27" t="s">
        <v>7</v>
      </c>
      <c r="IB586" s="27" t="s">
        <v>7</v>
      </c>
      <c r="IC586" s="27" t="s">
        <v>8</v>
      </c>
      <c r="ID586" s="27" t="s">
        <v>7</v>
      </c>
      <c r="IE586" s="27" t="s">
        <v>8</v>
      </c>
    </row>
    <row r="587" spans="1:240" x14ac:dyDescent="0.25">
      <c r="A587" s="7">
        <v>1</v>
      </c>
      <c r="B587"/>
      <c r="C587"/>
      <c r="D587"/>
      <c r="E587" s="29" t="s">
        <v>8</v>
      </c>
      <c r="DH587" s="27" t="s">
        <v>7</v>
      </c>
      <c r="DI587" s="27" t="s">
        <v>8</v>
      </c>
      <c r="DP587" s="27" t="s">
        <v>7</v>
      </c>
      <c r="DR587" s="27" t="s">
        <v>7</v>
      </c>
      <c r="DT587" s="27" t="s">
        <v>7</v>
      </c>
      <c r="EC587" s="27" t="s">
        <v>8</v>
      </c>
      <c r="ED587" s="27" t="s">
        <v>7</v>
      </c>
      <c r="EE587" s="27" t="s">
        <v>8</v>
      </c>
      <c r="EF587" s="27" t="s">
        <v>7</v>
      </c>
      <c r="EG587" s="27" t="s">
        <v>8</v>
      </c>
      <c r="EH587" s="27" t="s">
        <v>7</v>
      </c>
      <c r="EI587" s="27" t="s">
        <v>8</v>
      </c>
      <c r="EJ587" s="27" t="s">
        <v>7</v>
      </c>
      <c r="EK587" s="27" t="s">
        <v>8</v>
      </c>
      <c r="EM587" s="27" t="s">
        <v>8</v>
      </c>
      <c r="EN587" s="27" t="s">
        <v>7</v>
      </c>
      <c r="EO587" s="27" t="s">
        <v>8</v>
      </c>
      <c r="IB587" s="27" t="s">
        <v>7</v>
      </c>
      <c r="IC587" s="27" t="s">
        <v>8</v>
      </c>
      <c r="ID587" s="27" t="s">
        <v>7</v>
      </c>
      <c r="IE587" s="27" t="s">
        <v>8</v>
      </c>
    </row>
    <row r="588" spans="1:240" x14ac:dyDescent="0.25">
      <c r="A588" s="7">
        <v>0.98039215686274506</v>
      </c>
      <c r="B588"/>
      <c r="C588"/>
      <c r="D588"/>
      <c r="E588"/>
      <c r="DH588" s="27" t="s">
        <v>7</v>
      </c>
      <c r="DI588" s="27" t="s">
        <v>8</v>
      </c>
      <c r="DT588" s="27" t="s">
        <v>7</v>
      </c>
      <c r="DU588" s="27" t="s">
        <v>8</v>
      </c>
      <c r="EC588" s="27" t="s">
        <v>8</v>
      </c>
      <c r="ED588" s="27" t="s">
        <v>7</v>
      </c>
      <c r="EE588" s="27" t="s">
        <v>8</v>
      </c>
      <c r="EF588" s="27" t="s">
        <v>7</v>
      </c>
      <c r="EG588" s="27" t="s">
        <v>8</v>
      </c>
      <c r="EH588" s="27" t="s">
        <v>7</v>
      </c>
      <c r="EI588" s="27" t="s">
        <v>8</v>
      </c>
      <c r="EJ588" s="27" t="s">
        <v>7</v>
      </c>
      <c r="EK588" s="27" t="s">
        <v>8</v>
      </c>
      <c r="EL588" s="27" t="s">
        <v>7</v>
      </c>
      <c r="EM588" s="27" t="s">
        <v>8</v>
      </c>
      <c r="EN588" s="27" t="s">
        <v>7</v>
      </c>
      <c r="EO588" s="27" t="s">
        <v>8</v>
      </c>
      <c r="IB588" s="27" t="s">
        <v>7</v>
      </c>
      <c r="IC588" s="27" t="s">
        <v>8</v>
      </c>
      <c r="ID588" s="27" t="s">
        <v>7</v>
      </c>
      <c r="IE588" s="27" t="s">
        <v>8</v>
      </c>
    </row>
    <row r="589" spans="1:240" x14ac:dyDescent="0.25">
      <c r="A589" s="7">
        <v>0.96116878123798544</v>
      </c>
      <c r="B589"/>
      <c r="C589"/>
      <c r="D589"/>
      <c r="E589"/>
      <c r="DH589" s="27" t="s">
        <v>7</v>
      </c>
      <c r="DI589" s="27" t="s">
        <v>8</v>
      </c>
      <c r="DT589" s="27" t="s">
        <v>7</v>
      </c>
      <c r="DU589" s="27" t="s">
        <v>8</v>
      </c>
      <c r="DV589" s="27" t="s">
        <v>7</v>
      </c>
      <c r="DW589" s="27" t="s">
        <v>8</v>
      </c>
      <c r="EC589" s="27" t="s">
        <v>8</v>
      </c>
      <c r="ED589" s="27" t="s">
        <v>7</v>
      </c>
      <c r="EE589" s="27" t="s">
        <v>8</v>
      </c>
      <c r="EF589" s="27" t="s">
        <v>7</v>
      </c>
      <c r="EG589" s="27" t="s">
        <v>8</v>
      </c>
      <c r="EH589" s="27" t="s">
        <v>7</v>
      </c>
      <c r="EI589" s="27" t="s">
        <v>8</v>
      </c>
      <c r="EJ589" s="27" t="s">
        <v>7</v>
      </c>
      <c r="EK589" s="27" t="s">
        <v>8</v>
      </c>
      <c r="EL589" s="27" t="s">
        <v>7</v>
      </c>
      <c r="EM589" s="27" t="s">
        <v>8</v>
      </c>
      <c r="EN589" s="27" t="s">
        <v>7</v>
      </c>
      <c r="EO589" s="27" t="s">
        <v>8</v>
      </c>
      <c r="IB589" s="27" t="s">
        <v>7</v>
      </c>
      <c r="IC589" s="27" t="s">
        <v>8</v>
      </c>
      <c r="ID589" s="27" t="s">
        <v>7</v>
      </c>
      <c r="IE589" s="27" t="s">
        <v>8</v>
      </c>
    </row>
    <row r="590" spans="1:240" x14ac:dyDescent="0.25">
      <c r="A590" s="7">
        <v>0.94232233454704462</v>
      </c>
      <c r="B590"/>
      <c r="C590"/>
      <c r="D590"/>
      <c r="E590"/>
      <c r="DH590" s="27" t="s">
        <v>7</v>
      </c>
      <c r="DI590" s="27" t="s">
        <v>8</v>
      </c>
      <c r="DT590" s="27" t="s">
        <v>7</v>
      </c>
      <c r="DU590" s="27" t="s">
        <v>8</v>
      </c>
      <c r="DV590" s="27" t="s">
        <v>7</v>
      </c>
      <c r="DW590" s="27" t="s">
        <v>8</v>
      </c>
      <c r="DX590" s="27" t="s">
        <v>7</v>
      </c>
      <c r="EC590" s="27" t="s">
        <v>8</v>
      </c>
      <c r="ED590" s="27" t="s">
        <v>7</v>
      </c>
      <c r="EE590" s="27" t="s">
        <v>8</v>
      </c>
      <c r="EF590" s="27" t="s">
        <v>7</v>
      </c>
      <c r="EG590" s="27" t="s">
        <v>8</v>
      </c>
      <c r="EH590" s="27" t="s">
        <v>7</v>
      </c>
      <c r="EI590" s="27" t="s">
        <v>8</v>
      </c>
      <c r="EJ590" s="27" t="s">
        <v>7</v>
      </c>
      <c r="EK590" s="27" t="s">
        <v>8</v>
      </c>
      <c r="EL590" s="27" t="s">
        <v>7</v>
      </c>
      <c r="EM590" s="27" t="s">
        <v>8</v>
      </c>
      <c r="EN590" s="27" t="s">
        <v>7</v>
      </c>
      <c r="EO590" s="27" t="s">
        <v>8</v>
      </c>
      <c r="IB590" s="27" t="s">
        <v>7</v>
      </c>
      <c r="ID590" s="27" t="s">
        <v>7</v>
      </c>
    </row>
    <row r="591" spans="1:240" x14ac:dyDescent="0.25">
      <c r="A591" s="7">
        <v>0.92384542602651432</v>
      </c>
      <c r="B591"/>
      <c r="C591"/>
      <c r="D591"/>
      <c r="E591"/>
      <c r="DH591" s="27" t="s">
        <v>7</v>
      </c>
      <c r="DI591" s="27" t="s">
        <v>8</v>
      </c>
      <c r="DT591" s="27" t="s">
        <v>7</v>
      </c>
      <c r="DU591" s="27" t="s">
        <v>8</v>
      </c>
      <c r="DV591" s="27" t="s">
        <v>7</v>
      </c>
      <c r="DW591" s="27" t="s">
        <v>8</v>
      </c>
      <c r="DX591" s="27" t="s">
        <v>7</v>
      </c>
      <c r="EC591" s="27" t="s">
        <v>8</v>
      </c>
      <c r="ED591" s="27" t="s">
        <v>7</v>
      </c>
      <c r="EE591" s="27" t="s">
        <v>8</v>
      </c>
      <c r="EF591" s="27" t="s">
        <v>7</v>
      </c>
      <c r="EH591" s="27" t="s">
        <v>7</v>
      </c>
      <c r="EI591" s="27" t="s">
        <v>8</v>
      </c>
      <c r="EJ591" s="27" t="s">
        <v>7</v>
      </c>
      <c r="EK591" s="27" t="s">
        <v>8</v>
      </c>
      <c r="EL591" s="27" t="s">
        <v>7</v>
      </c>
      <c r="EM591" s="27" t="s">
        <v>8</v>
      </c>
      <c r="EN591" s="27" t="s">
        <v>7</v>
      </c>
      <c r="EO591" s="27" t="s">
        <v>8</v>
      </c>
    </row>
    <row r="592" spans="1:240" x14ac:dyDescent="0.25">
      <c r="A592" s="7">
        <v>0.90573080982991594</v>
      </c>
      <c r="B592"/>
      <c r="C592"/>
      <c r="D592"/>
      <c r="E592"/>
      <c r="DH592" s="27" t="s">
        <v>7</v>
      </c>
      <c r="DI592" s="27" t="s">
        <v>8</v>
      </c>
      <c r="DT592" s="27" t="s">
        <v>7</v>
      </c>
      <c r="DU592" s="27" t="s">
        <v>8</v>
      </c>
      <c r="DV592" s="27" t="s">
        <v>7</v>
      </c>
      <c r="DW592" s="27" t="s">
        <v>8</v>
      </c>
      <c r="DX592" s="27" t="s">
        <v>7</v>
      </c>
      <c r="EC592" s="27" t="s">
        <v>8</v>
      </c>
      <c r="ED592" s="27" t="s">
        <v>7</v>
      </c>
      <c r="EE592" s="27" t="s">
        <v>8</v>
      </c>
      <c r="EH592" s="27" t="s">
        <v>7</v>
      </c>
      <c r="EI592" s="27" t="s">
        <v>8</v>
      </c>
      <c r="EJ592" s="27" t="s">
        <v>7</v>
      </c>
      <c r="EK592" s="27" t="s">
        <v>8</v>
      </c>
      <c r="EL592" s="27" t="s">
        <v>7</v>
      </c>
      <c r="EN592" s="27" t="s">
        <v>7</v>
      </c>
      <c r="EO592" s="27" t="s">
        <v>8</v>
      </c>
    </row>
    <row r="593" spans="1:144" x14ac:dyDescent="0.25">
      <c r="A593" s="7">
        <v>0.8879713821861922</v>
      </c>
      <c r="B593"/>
      <c r="C593"/>
      <c r="D593"/>
      <c r="E593"/>
      <c r="DH593" s="27" t="s">
        <v>7</v>
      </c>
      <c r="DI593" s="27" t="s">
        <v>8</v>
      </c>
      <c r="DT593" s="27" t="s">
        <v>7</v>
      </c>
      <c r="DU593" s="27" t="s">
        <v>8</v>
      </c>
      <c r="DV593" s="27" t="s">
        <v>7</v>
      </c>
      <c r="DW593" s="27" t="s">
        <v>8</v>
      </c>
      <c r="DX593" s="27" t="s">
        <v>7</v>
      </c>
      <c r="DY593" s="27" t="s">
        <v>8</v>
      </c>
      <c r="EA593" s="27" t="s">
        <v>8</v>
      </c>
      <c r="EC593" s="27" t="s">
        <v>8</v>
      </c>
      <c r="ED593" s="27" t="s">
        <v>7</v>
      </c>
      <c r="EE593" s="27" t="s">
        <v>8</v>
      </c>
      <c r="EH593" s="27" t="s">
        <v>7</v>
      </c>
      <c r="EI593" s="27" t="s">
        <v>8</v>
      </c>
      <c r="EJ593" s="27" t="s">
        <v>7</v>
      </c>
      <c r="EK593" s="27" t="s">
        <v>8</v>
      </c>
      <c r="EN593" s="27" t="s">
        <v>7</v>
      </c>
    </row>
    <row r="594" spans="1:144" x14ac:dyDescent="0.25">
      <c r="A594" s="7">
        <v>0.87056017861391399</v>
      </c>
      <c r="B594"/>
      <c r="C594"/>
      <c r="D594"/>
      <c r="E594"/>
      <c r="DH594" s="27" t="s">
        <v>7</v>
      </c>
      <c r="DI594" s="27" t="s">
        <v>8</v>
      </c>
      <c r="DT594" s="27" t="s">
        <v>7</v>
      </c>
      <c r="DU594" s="27" t="s">
        <v>8</v>
      </c>
      <c r="DV594" s="27" t="s">
        <v>7</v>
      </c>
      <c r="DW594" s="27" t="s">
        <v>8</v>
      </c>
      <c r="DX594" s="27" t="s">
        <v>7</v>
      </c>
      <c r="DY594" s="27" t="s">
        <v>8</v>
      </c>
      <c r="DZ594" s="27" t="s">
        <v>7</v>
      </c>
      <c r="EA594" s="27" t="s">
        <v>8</v>
      </c>
      <c r="EB594" s="27" t="s">
        <v>7</v>
      </c>
      <c r="EC594" s="27" t="s">
        <v>8</v>
      </c>
      <c r="ED594" s="27" t="s">
        <v>7</v>
      </c>
      <c r="EE594" s="27" t="s">
        <v>8</v>
      </c>
      <c r="EH594" s="27" t="s">
        <v>7</v>
      </c>
      <c r="EI594" s="27" t="s">
        <v>8</v>
      </c>
      <c r="EJ594" s="27" t="s">
        <v>7</v>
      </c>
      <c r="EK594" s="27" t="s">
        <v>8</v>
      </c>
    </row>
    <row r="595" spans="1:144" x14ac:dyDescent="0.25">
      <c r="A595" s="7">
        <v>0.85349037119011173</v>
      </c>
      <c r="B595"/>
      <c r="C595"/>
      <c r="D595"/>
      <c r="E595"/>
      <c r="DH595" s="27" t="s">
        <v>7</v>
      </c>
      <c r="DI595" s="27" t="s">
        <v>8</v>
      </c>
      <c r="DT595" s="27" t="s">
        <v>7</v>
      </c>
      <c r="DU595" s="27" t="s">
        <v>8</v>
      </c>
      <c r="DV595" s="27" t="s">
        <v>7</v>
      </c>
      <c r="DW595" s="27" t="s">
        <v>8</v>
      </c>
      <c r="DX595" s="27" t="s">
        <v>7</v>
      </c>
      <c r="DY595" s="27" t="s">
        <v>8</v>
      </c>
      <c r="DZ595" s="27" t="s">
        <v>7</v>
      </c>
      <c r="EA595" s="27" t="s">
        <v>8</v>
      </c>
      <c r="EB595" s="27" t="s">
        <v>7</v>
      </c>
      <c r="EC595" s="27" t="s">
        <v>8</v>
      </c>
      <c r="ED595" s="27" t="s">
        <v>7</v>
      </c>
      <c r="EE595" s="27" t="s">
        <v>8</v>
      </c>
      <c r="EH595" s="27" t="s">
        <v>7</v>
      </c>
      <c r="EI595" s="27" t="s">
        <v>8</v>
      </c>
      <c r="EJ595" s="27" t="s">
        <v>7</v>
      </c>
      <c r="EK595" s="27" t="s">
        <v>8</v>
      </c>
    </row>
    <row r="596" spans="1:144" x14ac:dyDescent="0.25">
      <c r="A596" s="7">
        <v>0.83675526587265858</v>
      </c>
      <c r="B596"/>
      <c r="C596"/>
      <c r="D596"/>
      <c r="E596"/>
      <c r="DH596" s="27" t="s">
        <v>7</v>
      </c>
      <c r="DI596" s="27" t="s">
        <v>8</v>
      </c>
      <c r="DT596" s="27" t="s">
        <v>7</v>
      </c>
      <c r="DU596" s="27" t="s">
        <v>8</v>
      </c>
      <c r="DV596" s="27" t="s">
        <v>7</v>
      </c>
      <c r="DW596" s="27" t="s">
        <v>8</v>
      </c>
      <c r="DX596" s="27" t="s">
        <v>7</v>
      </c>
      <c r="DY596" s="27" t="s">
        <v>8</v>
      </c>
      <c r="DZ596" s="27" t="s">
        <v>7</v>
      </c>
      <c r="EA596" s="27" t="s">
        <v>8</v>
      </c>
      <c r="EB596" s="27" t="s">
        <v>7</v>
      </c>
      <c r="EC596" s="27" t="s">
        <v>8</v>
      </c>
      <c r="ED596" s="27" t="s">
        <v>7</v>
      </c>
      <c r="EH596" s="27" t="s">
        <v>7</v>
      </c>
      <c r="EI596" s="27" t="s">
        <v>8</v>
      </c>
      <c r="EJ596" s="27" t="s">
        <v>7</v>
      </c>
      <c r="EK596" s="27" t="s">
        <v>8</v>
      </c>
    </row>
    <row r="597" spans="1:144" x14ac:dyDescent="0.25">
      <c r="A597" s="7">
        <v>0.82034829987515545</v>
      </c>
      <c r="B597"/>
      <c r="C597"/>
      <c r="D597"/>
      <c r="E597"/>
      <c r="DH597" s="27" t="s">
        <v>7</v>
      </c>
      <c r="DI597" s="27" t="s">
        <v>8</v>
      </c>
      <c r="DT597" s="27" t="s">
        <v>7</v>
      </c>
      <c r="DU597" s="27" t="s">
        <v>8</v>
      </c>
      <c r="DV597" s="27" t="s">
        <v>7</v>
      </c>
      <c r="DW597" s="27" t="s">
        <v>8</v>
      </c>
      <c r="DX597" s="27" t="s">
        <v>7</v>
      </c>
      <c r="DY597" s="27" t="s">
        <v>8</v>
      </c>
      <c r="DZ597" s="27" t="s">
        <v>7</v>
      </c>
      <c r="EA597" s="27" t="s">
        <v>8</v>
      </c>
      <c r="EB597" s="27" t="s">
        <v>7</v>
      </c>
      <c r="EH597" s="27" t="s">
        <v>7</v>
      </c>
      <c r="EJ597" s="18" t="s">
        <v>7</v>
      </c>
      <c r="EK597" s="27" t="s">
        <v>8</v>
      </c>
    </row>
    <row r="598" spans="1:144" x14ac:dyDescent="0.25">
      <c r="A598" s="7">
        <v>0.80426303909328967</v>
      </c>
      <c r="B598"/>
      <c r="C598"/>
      <c r="D598"/>
      <c r="E598"/>
      <c r="DH598" s="27" t="s">
        <v>7</v>
      </c>
      <c r="DI598" s="27" t="s">
        <v>8</v>
      </c>
      <c r="DT598" s="27" t="s">
        <v>7</v>
      </c>
      <c r="DV598" s="27" t="s">
        <v>7</v>
      </c>
      <c r="DW598" s="27" t="s">
        <v>8</v>
      </c>
      <c r="DX598" s="27" t="s">
        <v>7</v>
      </c>
      <c r="DY598" s="27" t="s">
        <v>8</v>
      </c>
      <c r="DZ598" s="27" t="s">
        <v>7</v>
      </c>
      <c r="EA598" s="27" t="s">
        <v>8</v>
      </c>
      <c r="EJ598" s="27" t="s">
        <v>7</v>
      </c>
      <c r="EK598" s="27" t="s">
        <v>8</v>
      </c>
    </row>
    <row r="599" spans="1:144" x14ac:dyDescent="0.25">
      <c r="A599" s="7">
        <v>0.78849317558165644</v>
      </c>
      <c r="B599"/>
      <c r="C599"/>
      <c r="D599"/>
      <c r="E599"/>
      <c r="DH599" s="27" t="s">
        <v>7</v>
      </c>
      <c r="DI599" s="27" t="s">
        <v>8</v>
      </c>
      <c r="DV599" s="27" t="s">
        <v>7</v>
      </c>
      <c r="DW599" s="27" t="s">
        <v>8</v>
      </c>
      <c r="DX599" s="27" t="s">
        <v>7</v>
      </c>
      <c r="DZ599" s="27" t="s">
        <v>7</v>
      </c>
      <c r="EA599" s="27" t="s">
        <v>8</v>
      </c>
      <c r="EJ599" s="27" t="s">
        <v>7</v>
      </c>
      <c r="EK599" s="27" t="s">
        <v>8</v>
      </c>
    </row>
    <row r="600" spans="1:144" x14ac:dyDescent="0.25">
      <c r="A600" s="7">
        <v>0.77303252508005538</v>
      </c>
      <c r="B600"/>
      <c r="C600"/>
      <c r="D600"/>
      <c r="E600"/>
      <c r="DH600" s="27" t="s">
        <v>7</v>
      </c>
      <c r="DI600" s="27" t="s">
        <v>8</v>
      </c>
      <c r="DV600" s="27" t="s">
        <v>7</v>
      </c>
      <c r="DW600" s="27" t="s">
        <v>8</v>
      </c>
      <c r="DZ600" s="27" t="s">
        <v>7</v>
      </c>
      <c r="EJ600" s="27" t="s">
        <v>7</v>
      </c>
      <c r="EK600" s="27" t="s">
        <v>8</v>
      </c>
    </row>
    <row r="601" spans="1:144" x14ac:dyDescent="0.25">
      <c r="A601" s="7">
        <v>0.75787502458828959</v>
      </c>
      <c r="B601"/>
      <c r="C601"/>
      <c r="D601"/>
      <c r="E601"/>
      <c r="DH601" s="27" t="s">
        <v>7</v>
      </c>
      <c r="DI601" s="27" t="s">
        <v>8</v>
      </c>
      <c r="DV601" s="27" t="s">
        <v>7</v>
      </c>
      <c r="DW601" s="27" t="s">
        <v>8</v>
      </c>
      <c r="EJ601" s="27" t="s">
        <v>7</v>
      </c>
    </row>
    <row r="602" spans="1:144" x14ac:dyDescent="0.25">
      <c r="A602" s="7">
        <v>0.74301472998851925</v>
      </c>
      <c r="B602"/>
      <c r="C602"/>
      <c r="D602"/>
      <c r="E602"/>
      <c r="DH602" s="27" t="s">
        <v>7</v>
      </c>
      <c r="DI602" s="27" t="s">
        <v>8</v>
      </c>
      <c r="DV602" s="27" t="s">
        <v>7</v>
      </c>
      <c r="DW602" s="27" t="s">
        <v>8</v>
      </c>
    </row>
    <row r="603" spans="1:144" x14ac:dyDescent="0.25">
      <c r="A603" s="7">
        <v>0.72844581371423456</v>
      </c>
      <c r="B603"/>
      <c r="C603"/>
      <c r="D603"/>
      <c r="E603"/>
      <c r="DH603" s="27" t="s">
        <v>7</v>
      </c>
      <c r="DV603" s="27" t="s">
        <v>7</v>
      </c>
      <c r="DW603" s="27" t="s">
        <v>8</v>
      </c>
    </row>
    <row r="604" spans="1:144" x14ac:dyDescent="0.25">
      <c r="A604" s="7">
        <v>0.71416256246493581</v>
      </c>
      <c r="B604"/>
      <c r="C604"/>
      <c r="D604"/>
      <c r="E604"/>
      <c r="DV604" s="27" t="s">
        <v>7</v>
      </c>
    </row>
    <row r="605" spans="1:144" x14ac:dyDescent="0.25">
      <c r="A605" s="7">
        <v>0.7001593749656233</v>
      </c>
      <c r="B605"/>
      <c r="C605"/>
      <c r="D605"/>
      <c r="E605"/>
    </row>
    <row r="606" spans="1:144" x14ac:dyDescent="0.25">
      <c r="A606" s="7">
        <v>0.68643075977021883</v>
      </c>
      <c r="B606"/>
      <c r="C606"/>
      <c r="D606"/>
      <c r="E606"/>
    </row>
    <row r="607" spans="1:144" x14ac:dyDescent="0.25">
      <c r="A607" s="7">
        <v>0.67297133310805768</v>
      </c>
      <c r="B607"/>
      <c r="C607"/>
      <c r="D607"/>
      <c r="E607"/>
    </row>
    <row r="608" spans="1:144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3" operator="equal">
      <formula>$U$1</formula>
    </cfRule>
    <cfRule type="cellIs" dxfId="89" priority="844" operator="equal">
      <formula>$S$1</formula>
    </cfRule>
  </conditionalFormatting>
  <conditionalFormatting sqref="D27">
    <cfRule type="cellIs" dxfId="88" priority="841" operator="equal">
      <formula>$S$1</formula>
    </cfRule>
    <cfRule type="cellIs" dxfId="87" priority="842" operator="equal">
      <formula>$U$1</formula>
    </cfRule>
  </conditionalFormatting>
  <conditionalFormatting sqref="C164">
    <cfRule type="cellIs" dxfId="86" priority="839" operator="equal">
      <formula>$U$1</formula>
    </cfRule>
    <cfRule type="cellIs" dxfId="85" priority="840" operator="equal">
      <formula>$S$1</formula>
    </cfRule>
  </conditionalFormatting>
  <conditionalFormatting sqref="D164">
    <cfRule type="cellIs" dxfId="84" priority="837" operator="equal">
      <formula>$S$1</formula>
    </cfRule>
    <cfRule type="cellIs" dxfId="83" priority="838" operator="equal">
      <formula>$U$1</formula>
    </cfRule>
  </conditionalFormatting>
  <conditionalFormatting sqref="C55">
    <cfRule type="cellIs" dxfId="82" priority="835" operator="equal">
      <formula>$U$1</formula>
    </cfRule>
    <cfRule type="cellIs" dxfId="81" priority="836" operator="equal">
      <formula>$S$1</formula>
    </cfRule>
  </conditionalFormatting>
  <conditionalFormatting sqref="D55">
    <cfRule type="cellIs" dxfId="80" priority="833" operator="equal">
      <formula>$S$1</formula>
    </cfRule>
    <cfRule type="cellIs" dxfId="79" priority="834" operator="equal">
      <formula>$U$1</formula>
    </cfRule>
  </conditionalFormatting>
  <conditionalFormatting sqref="C89">
    <cfRule type="cellIs" dxfId="78" priority="831" operator="equal">
      <formula>$U$1</formula>
    </cfRule>
    <cfRule type="cellIs" dxfId="77" priority="832" operator="equal">
      <formula>$S$1</formula>
    </cfRule>
  </conditionalFormatting>
  <conditionalFormatting sqref="D89">
    <cfRule type="cellIs" dxfId="76" priority="829" operator="equal">
      <formula>$S$1</formula>
    </cfRule>
    <cfRule type="cellIs" dxfId="75" priority="830" operator="equal">
      <formula>$U$1</formula>
    </cfRule>
  </conditionalFormatting>
  <conditionalFormatting sqref="C136">
    <cfRule type="cellIs" dxfId="74" priority="827" operator="equal">
      <formula>$U$1</formula>
    </cfRule>
    <cfRule type="cellIs" dxfId="73" priority="828" operator="equal">
      <formula>$S$1</formula>
    </cfRule>
  </conditionalFormatting>
  <conditionalFormatting sqref="D136">
    <cfRule type="cellIs" dxfId="72" priority="825" operator="equal">
      <formula>$S$1</formula>
    </cfRule>
    <cfRule type="cellIs" dxfId="71" priority="826" operator="equal">
      <formula>$U$1</formula>
    </cfRule>
  </conditionalFormatting>
  <conditionalFormatting sqref="C1">
    <cfRule type="cellIs" dxfId="70" priority="82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M238" sqref="EM23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$A$237</v>
      </c>
      <c r="D111" s="1" t="str">
        <f>ADDRESS(C121-1,D121,1,1)</f>
        <v>$EM$237</v>
      </c>
      <c r="E111"/>
    </row>
    <row r="112" spans="1:5" x14ac:dyDescent="0.25">
      <c r="A112" s="30">
        <v>515.50191262726139</v>
      </c>
      <c r="C112" s="1" t="str">
        <f>ADDRESS(C121,1,1,1)</f>
        <v>$A$238</v>
      </c>
      <c r="D112" s="1" t="str">
        <f>ADDRESS(C121,D121-1,1,1)</f>
        <v>$EL$238</v>
      </c>
      <c r="E112"/>
    </row>
    <row r="113" spans="1:5" x14ac:dyDescent="0.25">
      <c r="A113" s="30">
        <v>490.95420250215363</v>
      </c>
      <c r="C113" s="1" t="str">
        <f>ADDRESS(C121+1,1,1,1)</f>
        <v>$A$239</v>
      </c>
      <c r="D113" s="1" t="str">
        <f>ADDRESS(C121-1,D121+1,1,1)</f>
        <v>$EN$237</v>
      </c>
    </row>
    <row r="114" spans="1:5" x14ac:dyDescent="0.25">
      <c r="A114" s="30">
        <v>467.57543095443202</v>
      </c>
      <c r="C114" s="1" t="str">
        <f>ADDRESS(C121,D121,1,1)</f>
        <v>$EM$238</v>
      </c>
      <c r="D114" s="1" t="str">
        <f>ADDRESS(C121+1,D121+1,1,1)</f>
        <v>$EN$239</v>
      </c>
    </row>
    <row r="115" spans="1:5" x14ac:dyDescent="0.25">
      <c r="A115" s="30">
        <v>445.30993424231622</v>
      </c>
      <c r="C115" s="1" t="str">
        <f>ADDRESS(C121+1,D121,1,1)</f>
        <v>$EM$239</v>
      </c>
    </row>
    <row r="116" spans="1:5" x14ac:dyDescent="0.25">
      <c r="A116" s="30">
        <v>424.10469927839637</v>
      </c>
      <c r="C116" s="1">
        <f>C117-1</f>
        <v>237</v>
      </c>
    </row>
    <row r="117" spans="1:5" x14ac:dyDescent="0.25">
      <c r="A117" s="30">
        <v>403.9092374079965</v>
      </c>
      <c r="C117" s="1">
        <f>C121</f>
        <v>238</v>
      </c>
      <c r="D117" s="1">
        <f>D121</f>
        <v>143</v>
      </c>
    </row>
    <row r="118" spans="1:5" x14ac:dyDescent="0.25">
      <c r="A118" s="30">
        <v>384.6754641980919</v>
      </c>
      <c r="C118" s="1">
        <f>C117+1</f>
        <v>239</v>
      </c>
      <c r="D118" s="1">
        <f>D117+1</f>
        <v>144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238</v>
      </c>
      <c r="D121" s="19">
        <v>143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R238</v>
      </c>
      <c r="D123" s="1" t="str">
        <f>"C"&amp;D121</f>
        <v>C143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1.1025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10" x14ac:dyDescent="0.25">
      <c r="A193" s="30">
        <v>9.9059710923258422</v>
      </c>
      <c r="E193"/>
      <c r="DE193" s="27" t="s">
        <v>8</v>
      </c>
    </row>
    <row r="194" spans="1:110" x14ac:dyDescent="0.25">
      <c r="A194" s="30">
        <v>9.4342581831674686</v>
      </c>
      <c r="E194"/>
      <c r="DE194" s="27" t="s">
        <v>8</v>
      </c>
      <c r="DF194" s="27" t="s">
        <v>7</v>
      </c>
    </row>
    <row r="195" spans="1:110" x14ac:dyDescent="0.25">
      <c r="A195" s="30">
        <v>8.9850077934928265</v>
      </c>
      <c r="E195"/>
      <c r="DE195" s="27" t="s">
        <v>8</v>
      </c>
      <c r="DF195" s="27" t="s">
        <v>7</v>
      </c>
    </row>
    <row r="196" spans="1:110" x14ac:dyDescent="0.25">
      <c r="A196" s="30">
        <v>8.5571502795169767</v>
      </c>
      <c r="E196"/>
      <c r="DE196" s="27" t="s">
        <v>8</v>
      </c>
      <c r="DF196" s="27" t="s">
        <v>7</v>
      </c>
    </row>
    <row r="197" spans="1:110" x14ac:dyDescent="0.25">
      <c r="A197" s="30">
        <v>8.1496669328733109</v>
      </c>
      <c r="E197"/>
      <c r="DE197" s="27" t="s">
        <v>8</v>
      </c>
      <c r="DF197" s="27" t="s">
        <v>7</v>
      </c>
    </row>
    <row r="198" spans="1:110" x14ac:dyDescent="0.25">
      <c r="A198" s="30">
        <v>7.7615875551174378</v>
      </c>
      <c r="E198"/>
      <c r="DE198" s="27" t="s">
        <v>8</v>
      </c>
      <c r="DF198" s="27" t="s">
        <v>7</v>
      </c>
    </row>
    <row r="199" spans="1:110" x14ac:dyDescent="0.25">
      <c r="A199" s="30">
        <v>7.3919881477308929</v>
      </c>
      <c r="E199"/>
      <c r="DE199" s="27" t="s">
        <v>8</v>
      </c>
      <c r="DF199" s="27" t="s">
        <v>7</v>
      </c>
    </row>
    <row r="200" spans="1:110" x14ac:dyDescent="0.25">
      <c r="A200" s="30">
        <v>7.0399887121246598</v>
      </c>
      <c r="E200"/>
      <c r="DE200" s="27" t="s">
        <v>8</v>
      </c>
      <c r="DF200" s="27" t="s">
        <v>7</v>
      </c>
    </row>
    <row r="201" spans="1:110" x14ac:dyDescent="0.25">
      <c r="A201" s="30">
        <v>6.7047511544044376</v>
      </c>
      <c r="E201"/>
      <c r="DE201" s="27" t="s">
        <v>8</v>
      </c>
      <c r="DF201" s="27" t="s">
        <v>7</v>
      </c>
    </row>
    <row r="202" spans="1:110" x14ac:dyDescent="0.25">
      <c r="A202" s="30">
        <v>6.3854772899089882</v>
      </c>
      <c r="E202"/>
      <c r="DE202" s="27" t="s">
        <v>8</v>
      </c>
      <c r="DF202" s="27" t="s">
        <v>7</v>
      </c>
    </row>
    <row r="203" spans="1:110" x14ac:dyDescent="0.25">
      <c r="A203" s="30">
        <v>6.0814069427704647</v>
      </c>
      <c r="C203" s="7"/>
      <c r="D203"/>
      <c r="E203"/>
      <c r="DE203" s="27" t="s">
        <v>8</v>
      </c>
      <c r="DF203" s="27" t="s">
        <v>7</v>
      </c>
    </row>
    <row r="204" spans="1:110" x14ac:dyDescent="0.25">
      <c r="A204" s="30">
        <v>5.7918161359718709</v>
      </c>
      <c r="E204"/>
      <c r="DE204" s="27" t="s">
        <v>8</v>
      </c>
      <c r="DF204" s="27" t="s">
        <v>7</v>
      </c>
    </row>
    <row r="205" spans="1:110" x14ac:dyDescent="0.25">
      <c r="A205" s="30">
        <v>5.5160153675922574</v>
      </c>
      <c r="E205"/>
      <c r="DE205" s="27" t="s">
        <v>8</v>
      </c>
      <c r="DF205" s="27" t="s">
        <v>7</v>
      </c>
    </row>
    <row r="206" spans="1:110" x14ac:dyDescent="0.25">
      <c r="A206" s="30">
        <v>5.2533479691354827</v>
      </c>
      <c r="C206"/>
      <c r="D206"/>
      <c r="E206"/>
      <c r="DE206" s="27" t="s">
        <v>8</v>
      </c>
      <c r="DF206" s="27" t="s">
        <v>7</v>
      </c>
    </row>
    <row r="207" spans="1:110" x14ac:dyDescent="0.25">
      <c r="A207" s="30">
        <v>5.0031885420337927</v>
      </c>
      <c r="E207"/>
      <c r="DE207" s="27" t="s">
        <v>8</v>
      </c>
      <c r="DF207" s="27" t="s">
        <v>7</v>
      </c>
    </row>
    <row r="208" spans="1:110" x14ac:dyDescent="0.25">
      <c r="A208" s="30">
        <v>4.7649414686036122</v>
      </c>
      <c r="E208"/>
      <c r="AM208" s="27" t="s">
        <v>8</v>
      </c>
      <c r="AQ208" s="27" t="s">
        <v>8</v>
      </c>
      <c r="DE208" s="27" t="s">
        <v>8</v>
      </c>
      <c r="DF208" s="27" t="s">
        <v>7</v>
      </c>
    </row>
    <row r="209" spans="1:124" x14ac:dyDescent="0.25">
      <c r="A209" s="30">
        <v>4.5380394939082018</v>
      </c>
      <c r="E209"/>
      <c r="AM209" s="27" t="s">
        <v>8</v>
      </c>
      <c r="AN209" s="27" t="s">
        <v>7</v>
      </c>
      <c r="AQ209" s="27" t="s">
        <v>8</v>
      </c>
      <c r="AR209" s="27" t="s">
        <v>7</v>
      </c>
      <c r="DE209" s="27" t="s">
        <v>8</v>
      </c>
      <c r="DF209" s="27" t="s">
        <v>7</v>
      </c>
    </row>
    <row r="210" spans="1:124" x14ac:dyDescent="0.25">
      <c r="A210" s="30">
        <v>4.3219423751506678</v>
      </c>
      <c r="C210"/>
      <c r="E210"/>
      <c r="AM210" s="27" t="s">
        <v>8</v>
      </c>
      <c r="AN210" s="27" t="s">
        <v>7</v>
      </c>
      <c r="AO210" s="27" t="s">
        <v>8</v>
      </c>
      <c r="AQ210" s="27" t="s">
        <v>8</v>
      </c>
      <c r="AR210" s="27" t="s">
        <v>7</v>
      </c>
      <c r="DE210" s="27" t="s">
        <v>8</v>
      </c>
      <c r="DF210" s="27" t="s">
        <v>7</v>
      </c>
    </row>
    <row r="211" spans="1:124" x14ac:dyDescent="0.25">
      <c r="A211" s="30">
        <v>4.1161355953815884</v>
      </c>
      <c r="E211"/>
      <c r="AM211" s="27" t="s">
        <v>8</v>
      </c>
      <c r="AN211" s="27" t="s">
        <v>7</v>
      </c>
      <c r="AO211" s="27" t="s">
        <v>8</v>
      </c>
      <c r="AP211" s="27" t="s">
        <v>7</v>
      </c>
      <c r="AQ211" s="27" t="s">
        <v>8</v>
      </c>
      <c r="AR211" s="27" t="s">
        <v>7</v>
      </c>
      <c r="BE211" s="27" t="s">
        <v>8</v>
      </c>
      <c r="DE211" s="27" t="s">
        <v>8</v>
      </c>
      <c r="DF211" s="27" t="s">
        <v>7</v>
      </c>
    </row>
    <row r="212" spans="1:124" x14ac:dyDescent="0.25">
      <c r="A212" s="30">
        <v>3.9201291384586554</v>
      </c>
      <c r="E212"/>
      <c r="Q212" s="27" t="s">
        <v>8</v>
      </c>
      <c r="AM212" s="27" t="s">
        <v>8</v>
      </c>
      <c r="AN212" s="27" t="s">
        <v>7</v>
      </c>
      <c r="AO212" s="27" t="s">
        <v>8</v>
      </c>
      <c r="AP212" s="27" t="s">
        <v>7</v>
      </c>
      <c r="AQ212" s="27" t="s">
        <v>8</v>
      </c>
      <c r="AR212" s="27" t="s">
        <v>7</v>
      </c>
      <c r="BC212" s="27" t="s">
        <v>8</v>
      </c>
      <c r="BE212" s="27" t="s">
        <v>8</v>
      </c>
      <c r="BF212" s="27" t="s">
        <v>7</v>
      </c>
      <c r="DE212" s="27" t="s">
        <v>8</v>
      </c>
      <c r="DF212" s="27" t="s">
        <v>7</v>
      </c>
    </row>
    <row r="213" spans="1:124" x14ac:dyDescent="0.25">
      <c r="A213" s="30">
        <v>3.7334563223415764</v>
      </c>
      <c r="E213"/>
      <c r="O213" s="27" t="s">
        <v>8</v>
      </c>
      <c r="Q213" s="27" t="s">
        <v>8</v>
      </c>
      <c r="R213" s="27" t="s">
        <v>7</v>
      </c>
      <c r="AM213" s="27" t="s">
        <v>8</v>
      </c>
      <c r="AN213" s="27" t="s">
        <v>7</v>
      </c>
      <c r="AO213" s="27" t="s">
        <v>8</v>
      </c>
      <c r="AP213" s="27" t="s">
        <v>7</v>
      </c>
      <c r="AQ213" s="27" t="s">
        <v>8</v>
      </c>
      <c r="AR213" s="27" t="s">
        <v>7</v>
      </c>
      <c r="BC213" s="27" t="s">
        <v>8</v>
      </c>
      <c r="BD213" s="27" t="s">
        <v>7</v>
      </c>
      <c r="BE213" s="27" t="s">
        <v>8</v>
      </c>
      <c r="BF213" s="27" t="s">
        <v>7</v>
      </c>
      <c r="DE213" s="27" t="s">
        <v>8</v>
      </c>
      <c r="DF213" s="27" t="s">
        <v>7</v>
      </c>
    </row>
    <row r="214" spans="1:124" x14ac:dyDescent="0.25">
      <c r="A214" s="30">
        <v>3.5556726879443583</v>
      </c>
      <c r="E214"/>
      <c r="M214" s="27" t="s">
        <v>8</v>
      </c>
      <c r="O214" s="27" t="s">
        <v>8</v>
      </c>
      <c r="P214" s="27" t="s">
        <v>7</v>
      </c>
      <c r="Q214" s="27" t="s">
        <v>8</v>
      </c>
      <c r="R214" s="27" t="s">
        <v>7</v>
      </c>
      <c r="AM214" s="27" t="s">
        <v>8</v>
      </c>
      <c r="AN214" s="27" t="s">
        <v>7</v>
      </c>
      <c r="AP214" s="27" t="s">
        <v>7</v>
      </c>
      <c r="AQ214" s="27" t="s">
        <v>8</v>
      </c>
      <c r="AR214" s="27" t="s">
        <v>7</v>
      </c>
      <c r="BC214" s="27" t="s">
        <v>8</v>
      </c>
      <c r="BD214" s="27" t="s">
        <v>7</v>
      </c>
      <c r="BE214" s="27" t="s">
        <v>8</v>
      </c>
      <c r="BF214" s="27" t="s">
        <v>7</v>
      </c>
      <c r="DE214" s="27" t="s">
        <v>8</v>
      </c>
      <c r="DF214" s="27" t="s">
        <v>7</v>
      </c>
    </row>
    <row r="215" spans="1:124" x14ac:dyDescent="0.25">
      <c r="A215" s="30">
        <v>3.3863549408993889</v>
      </c>
      <c r="E215"/>
      <c r="K215" s="27" t="s">
        <v>8</v>
      </c>
      <c r="M215" s="27" t="s">
        <v>8</v>
      </c>
      <c r="N215" s="27" t="s">
        <v>7</v>
      </c>
      <c r="O215" s="27" t="s">
        <v>8</v>
      </c>
      <c r="P215" s="27" t="s">
        <v>7</v>
      </c>
      <c r="Q215" s="27" t="s">
        <v>8</v>
      </c>
      <c r="R215" s="27" t="s">
        <v>7</v>
      </c>
      <c r="AK215" s="27" t="s">
        <v>8</v>
      </c>
      <c r="AM215" s="27" t="s">
        <v>8</v>
      </c>
      <c r="AP215" s="27" t="s">
        <v>7</v>
      </c>
      <c r="AQ215" s="27" t="s">
        <v>8</v>
      </c>
      <c r="AR215" s="27" t="s">
        <v>7</v>
      </c>
      <c r="BC215" s="27" t="s">
        <v>8</v>
      </c>
      <c r="BD215" s="27" t="s">
        <v>7</v>
      </c>
      <c r="BE215" s="27" t="s">
        <v>8</v>
      </c>
      <c r="BF215" s="27" t="s">
        <v>7</v>
      </c>
      <c r="DE215" s="27" t="s">
        <v>8</v>
      </c>
      <c r="DF215" s="27" t="s">
        <v>7</v>
      </c>
    </row>
    <row r="216" spans="1:124" x14ac:dyDescent="0.25">
      <c r="A216" s="30">
        <v>3.2250999437137038</v>
      </c>
      <c r="E216"/>
      <c r="K216" s="27" t="s">
        <v>8</v>
      </c>
      <c r="L216" s="27" t="s">
        <v>7</v>
      </c>
      <c r="M216" s="27" t="s">
        <v>8</v>
      </c>
      <c r="N216" s="27" t="s">
        <v>7</v>
      </c>
      <c r="O216" s="27" t="s">
        <v>8</v>
      </c>
      <c r="P216" s="27" t="s">
        <v>7</v>
      </c>
      <c r="R216" s="27" t="s">
        <v>7</v>
      </c>
      <c r="AG216" s="27" t="s">
        <v>8</v>
      </c>
      <c r="AK216" s="27" t="s">
        <v>8</v>
      </c>
      <c r="AL216" s="27" t="s">
        <v>7</v>
      </c>
      <c r="AM216" s="27" t="s">
        <v>8</v>
      </c>
      <c r="AP216" s="27" t="s">
        <v>7</v>
      </c>
      <c r="AR216" s="27" t="s">
        <v>7</v>
      </c>
      <c r="AY216" s="27" t="s">
        <v>8</v>
      </c>
      <c r="BC216" s="27" t="s">
        <v>8</v>
      </c>
      <c r="BD216" s="27" t="s">
        <v>7</v>
      </c>
      <c r="BF216" s="27" t="s">
        <v>7</v>
      </c>
      <c r="BG216" s="27" t="s">
        <v>8</v>
      </c>
      <c r="DE216" s="27" t="s">
        <v>8</v>
      </c>
      <c r="DF216" s="27" t="s">
        <v>7</v>
      </c>
      <c r="DI216" s="27" t="s">
        <v>8</v>
      </c>
    </row>
    <row r="217" spans="1:124" x14ac:dyDescent="0.25">
      <c r="A217" s="30">
        <v>3.0715237559178128</v>
      </c>
      <c r="E217"/>
      <c r="K217" s="27" t="s">
        <v>8</v>
      </c>
      <c r="L217" s="27" t="s">
        <v>7</v>
      </c>
      <c r="M217" s="27" t="s">
        <v>8</v>
      </c>
      <c r="N217" s="27" t="s">
        <v>7</v>
      </c>
      <c r="O217" s="27" t="s">
        <v>8</v>
      </c>
      <c r="R217" s="27" t="s">
        <v>7</v>
      </c>
      <c r="W217" s="27" t="s">
        <v>8</v>
      </c>
      <c r="AG217" s="27" t="s">
        <v>8</v>
      </c>
      <c r="AH217" s="27" t="s">
        <v>7</v>
      </c>
      <c r="AK217" s="27" t="s">
        <v>8</v>
      </c>
      <c r="AL217" s="27" t="s">
        <v>7</v>
      </c>
      <c r="AM217" s="27" t="s">
        <v>8</v>
      </c>
      <c r="AR217" s="27" t="s">
        <v>7</v>
      </c>
      <c r="AY217" s="27" t="s">
        <v>8</v>
      </c>
      <c r="AZ217" s="27" t="s">
        <v>7</v>
      </c>
      <c r="BA217" s="27" t="s">
        <v>8</v>
      </c>
      <c r="BC217" s="27" t="s">
        <v>8</v>
      </c>
      <c r="BF217" s="27" t="s">
        <v>7</v>
      </c>
      <c r="BG217" s="27" t="s">
        <v>8</v>
      </c>
      <c r="BH217" s="27" t="s">
        <v>7</v>
      </c>
      <c r="BI217" s="27" t="s">
        <v>8</v>
      </c>
      <c r="BK217" s="27" t="s">
        <v>8</v>
      </c>
      <c r="DE217" s="27" t="s">
        <v>8</v>
      </c>
      <c r="DF217" s="27" t="s">
        <v>7</v>
      </c>
      <c r="DI217" s="27" t="s">
        <v>8</v>
      </c>
      <c r="DJ217" s="27" t="s">
        <v>7</v>
      </c>
      <c r="DQ217" s="27" t="s">
        <v>8</v>
      </c>
    </row>
    <row r="218" spans="1:124" x14ac:dyDescent="0.25">
      <c r="A218" s="30">
        <v>2.9252607199217264</v>
      </c>
      <c r="E218"/>
      <c r="G218" s="27" t="s">
        <v>8</v>
      </c>
      <c r="I218" s="27" t="s">
        <v>8</v>
      </c>
      <c r="K218" s="27" t="s">
        <v>8</v>
      </c>
      <c r="L218" s="27" t="s">
        <v>7</v>
      </c>
      <c r="M218" s="27" t="s">
        <v>8</v>
      </c>
      <c r="N218" s="27" t="s">
        <v>7</v>
      </c>
      <c r="R218" s="27" t="s">
        <v>7</v>
      </c>
      <c r="W218" s="27" t="s">
        <v>8</v>
      </c>
      <c r="X218" s="27" t="s">
        <v>7</v>
      </c>
      <c r="AG218" s="27" t="s">
        <v>8</v>
      </c>
      <c r="AH218" s="27" t="s">
        <v>7</v>
      </c>
      <c r="AI218" s="27" t="s">
        <v>8</v>
      </c>
      <c r="AK218" s="27" t="s">
        <v>8</v>
      </c>
      <c r="AL218" s="27" t="s">
        <v>7</v>
      </c>
      <c r="AM218" s="27" t="s">
        <v>8</v>
      </c>
      <c r="AR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C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J218" s="27" t="s">
        <v>7</v>
      </c>
      <c r="BK218" s="27" t="s">
        <v>8</v>
      </c>
      <c r="BL218" s="27" t="s">
        <v>7</v>
      </c>
      <c r="DE218" s="27" t="s">
        <v>8</v>
      </c>
      <c r="DF218" s="27" t="s">
        <v>7</v>
      </c>
      <c r="DI218" s="27" t="s">
        <v>8</v>
      </c>
      <c r="DJ218" s="27" t="s">
        <v>7</v>
      </c>
      <c r="DQ218" s="27" t="s">
        <v>8</v>
      </c>
      <c r="DR218" s="27" t="s">
        <v>7</v>
      </c>
    </row>
    <row r="219" spans="1:124" x14ac:dyDescent="0.25">
      <c r="A219" s="30">
        <v>2.7859625904016441</v>
      </c>
      <c r="E219"/>
      <c r="G219" s="27" t="s">
        <v>8</v>
      </c>
      <c r="H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R219" s="27" t="s">
        <v>7</v>
      </c>
      <c r="S219" s="27" t="s">
        <v>8</v>
      </c>
      <c r="W219" s="27" t="s">
        <v>8</v>
      </c>
      <c r="X219" s="27" t="s">
        <v>7</v>
      </c>
      <c r="AG219" s="27" t="s">
        <v>8</v>
      </c>
      <c r="AH219" s="27" t="s">
        <v>7</v>
      </c>
      <c r="AI219" s="27" t="s">
        <v>8</v>
      </c>
      <c r="AJ219" s="27" t="s">
        <v>7</v>
      </c>
      <c r="AK219" s="27" t="s">
        <v>8</v>
      </c>
      <c r="AL219" s="27" t="s">
        <v>7</v>
      </c>
      <c r="AM219" s="27" t="s">
        <v>8</v>
      </c>
      <c r="AR219" s="27" t="s">
        <v>7</v>
      </c>
      <c r="AS219" s="27" t="s">
        <v>8</v>
      </c>
      <c r="AY219" s="27" t="s">
        <v>8</v>
      </c>
      <c r="AZ219" s="27" t="s">
        <v>7</v>
      </c>
      <c r="BA219" s="27" t="s">
        <v>8</v>
      </c>
      <c r="BB219" s="27" t="s">
        <v>7</v>
      </c>
      <c r="BC219" s="27" t="s">
        <v>8</v>
      </c>
      <c r="BF219" s="27" t="s">
        <v>7</v>
      </c>
      <c r="BH219" s="27" t="s">
        <v>7</v>
      </c>
      <c r="BI219" s="27" t="s">
        <v>8</v>
      </c>
      <c r="BJ219" s="27" t="s">
        <v>7</v>
      </c>
      <c r="BK219" s="27" t="s">
        <v>8</v>
      </c>
      <c r="BL219" s="27" t="s">
        <v>7</v>
      </c>
      <c r="CW219" s="27" t="s">
        <v>8</v>
      </c>
      <c r="DE219" s="27" t="s">
        <v>8</v>
      </c>
      <c r="DF219" s="27" t="s">
        <v>7</v>
      </c>
      <c r="DI219" s="27" t="s">
        <v>8</v>
      </c>
      <c r="DJ219" s="27" t="s">
        <v>7</v>
      </c>
      <c r="DQ219" s="27" t="s">
        <v>8</v>
      </c>
      <c r="DR219" s="27" t="s">
        <v>7</v>
      </c>
    </row>
    <row r="220" spans="1:124" x14ac:dyDescent="0.25">
      <c r="A220" s="30">
        <v>2.6532977051444226</v>
      </c>
      <c r="E220"/>
      <c r="G220" s="27" t="s">
        <v>8</v>
      </c>
      <c r="H220" s="27" t="s">
        <v>7</v>
      </c>
      <c r="I220" s="27" t="s">
        <v>8</v>
      </c>
      <c r="J220" s="27" t="s">
        <v>7</v>
      </c>
      <c r="K220" s="27" t="s">
        <v>8</v>
      </c>
      <c r="L220" s="27" t="s">
        <v>7</v>
      </c>
      <c r="R220" s="27" t="s">
        <v>7</v>
      </c>
      <c r="S220" s="27" t="s">
        <v>8</v>
      </c>
      <c r="T220" s="27" t="s">
        <v>7</v>
      </c>
      <c r="W220" s="27" t="s">
        <v>8</v>
      </c>
      <c r="X220" s="27" t="s">
        <v>7</v>
      </c>
      <c r="Y220" s="27" t="s">
        <v>8</v>
      </c>
      <c r="AE220" s="27" t="s">
        <v>8</v>
      </c>
      <c r="AG220" s="27" t="s">
        <v>8</v>
      </c>
      <c r="AH220" s="27" t="s">
        <v>7</v>
      </c>
      <c r="AI220" s="27" t="s">
        <v>8</v>
      </c>
      <c r="AJ220" s="27" t="s">
        <v>7</v>
      </c>
      <c r="AK220" s="27" t="s">
        <v>8</v>
      </c>
      <c r="AL220" s="27" t="s">
        <v>7</v>
      </c>
      <c r="AR220" s="27" t="s">
        <v>7</v>
      </c>
      <c r="AS220" s="27" t="s">
        <v>8</v>
      </c>
      <c r="AT220" s="27" t="s">
        <v>7</v>
      </c>
      <c r="AY220" s="27" t="s">
        <v>8</v>
      </c>
      <c r="AZ220" s="27" t="s">
        <v>7</v>
      </c>
      <c r="BA220" s="27" t="s">
        <v>8</v>
      </c>
      <c r="BB220" s="27" t="s">
        <v>7</v>
      </c>
      <c r="BC220" s="27" t="s">
        <v>8</v>
      </c>
      <c r="BH220" s="27" t="s">
        <v>7</v>
      </c>
      <c r="BI220" s="27" t="s">
        <v>8</v>
      </c>
      <c r="BJ220" s="27" t="s">
        <v>7</v>
      </c>
      <c r="BL220" s="27" t="s">
        <v>7</v>
      </c>
      <c r="CW220" s="27" t="s">
        <v>8</v>
      </c>
      <c r="CX220" s="27" t="s">
        <v>7</v>
      </c>
      <c r="DE220" s="27" t="s">
        <v>8</v>
      </c>
      <c r="DF220" s="27" t="s">
        <v>7</v>
      </c>
      <c r="DI220" s="27" t="s">
        <v>8</v>
      </c>
      <c r="DJ220" s="27" t="s">
        <v>7</v>
      </c>
      <c r="DQ220" s="27" t="s">
        <v>8</v>
      </c>
      <c r="DR220" s="27" t="s">
        <v>7</v>
      </c>
    </row>
    <row r="221" spans="1:124" x14ac:dyDescent="0.25">
      <c r="A221" s="30">
        <v>2.5269501953756404</v>
      </c>
      <c r="E221"/>
      <c r="G221" s="27" t="s">
        <v>8</v>
      </c>
      <c r="H221" s="27" t="s">
        <v>7</v>
      </c>
      <c r="I221" s="27" t="s">
        <v>8</v>
      </c>
      <c r="J221" s="27" t="s">
        <v>7</v>
      </c>
      <c r="R221" s="27" t="s">
        <v>7</v>
      </c>
      <c r="S221" s="27" t="s">
        <v>8</v>
      </c>
      <c r="T221" s="27" t="s">
        <v>7</v>
      </c>
      <c r="W221" s="27" t="s">
        <v>8</v>
      </c>
      <c r="X221" s="27" t="s">
        <v>7</v>
      </c>
      <c r="Y221" s="27" t="s">
        <v>8</v>
      </c>
      <c r="Z221" s="27" t="s">
        <v>7</v>
      </c>
      <c r="AE221" s="27" t="s">
        <v>8</v>
      </c>
      <c r="AF221" s="27" t="s">
        <v>7</v>
      </c>
      <c r="AG221" s="27" t="s">
        <v>8</v>
      </c>
      <c r="AH221" s="27" t="s">
        <v>7</v>
      </c>
      <c r="AJ221" s="27" t="s">
        <v>7</v>
      </c>
      <c r="AK221" s="27" t="s">
        <v>8</v>
      </c>
      <c r="AR221" s="27" t="s">
        <v>7</v>
      </c>
      <c r="AS221" s="27" t="s">
        <v>8</v>
      </c>
      <c r="AT221" s="27" t="s">
        <v>7</v>
      </c>
      <c r="AW221" s="27" t="s">
        <v>8</v>
      </c>
      <c r="AY221" s="27" t="s">
        <v>8</v>
      </c>
      <c r="AZ221" s="27" t="s">
        <v>7</v>
      </c>
      <c r="BA221" s="27" t="s">
        <v>8</v>
      </c>
      <c r="BB221" s="27" t="s">
        <v>7</v>
      </c>
      <c r="BH221" s="27" t="s">
        <v>7</v>
      </c>
      <c r="BI221" s="27" t="s">
        <v>8</v>
      </c>
      <c r="BL221" s="27" t="s">
        <v>7</v>
      </c>
      <c r="CW221" s="27" t="s">
        <v>8</v>
      </c>
      <c r="CX221" s="27" t="s">
        <v>7</v>
      </c>
      <c r="DE221" s="27" t="s">
        <v>8</v>
      </c>
      <c r="DF221" s="27" t="s">
        <v>7</v>
      </c>
      <c r="DG221" s="27" t="s">
        <v>8</v>
      </c>
      <c r="DI221" s="27" t="s">
        <v>8</v>
      </c>
      <c r="DJ221" s="27" t="s">
        <v>7</v>
      </c>
      <c r="DK221" s="27" t="s">
        <v>8</v>
      </c>
      <c r="DQ221" s="27" t="s">
        <v>8</v>
      </c>
      <c r="DR221" s="27" t="s">
        <v>7</v>
      </c>
    </row>
    <row r="222" spans="1:124" x14ac:dyDescent="0.25">
      <c r="A222" s="30">
        <v>2.4066192336910861</v>
      </c>
      <c r="E222"/>
      <c r="G222" s="27" t="s">
        <v>8</v>
      </c>
      <c r="H222" s="27" t="s">
        <v>7</v>
      </c>
      <c r="I222" s="27" t="s">
        <v>8</v>
      </c>
      <c r="R222" s="27" t="s">
        <v>7</v>
      </c>
      <c r="S222" s="27" t="s">
        <v>8</v>
      </c>
      <c r="T222" s="27" t="s">
        <v>7</v>
      </c>
      <c r="W222" s="27" t="s">
        <v>8</v>
      </c>
      <c r="X222" s="27" t="s">
        <v>7</v>
      </c>
      <c r="Y222" s="27" t="s">
        <v>8</v>
      </c>
      <c r="Z222" s="27" t="s">
        <v>7</v>
      </c>
      <c r="AA222" s="27" t="s">
        <v>8</v>
      </c>
      <c r="AE222" s="27" t="s">
        <v>8</v>
      </c>
      <c r="AF222" s="27" t="s">
        <v>7</v>
      </c>
      <c r="AG222" s="27" t="s">
        <v>8</v>
      </c>
      <c r="AJ222" s="27" t="s">
        <v>7</v>
      </c>
      <c r="AK222" s="27" t="s">
        <v>8</v>
      </c>
      <c r="AR222" s="27" t="s">
        <v>7</v>
      </c>
      <c r="AS222" s="27" t="s">
        <v>8</v>
      </c>
      <c r="AT222" s="27" t="s">
        <v>7</v>
      </c>
      <c r="AU222" s="27" t="s">
        <v>8</v>
      </c>
      <c r="AW222" s="27" t="s">
        <v>8</v>
      </c>
      <c r="AX222" s="27" t="s">
        <v>7</v>
      </c>
      <c r="AY222" s="27" t="s">
        <v>8</v>
      </c>
      <c r="AZ222" s="27" t="s">
        <v>7</v>
      </c>
      <c r="BA222" s="27" t="s">
        <v>8</v>
      </c>
      <c r="BH222" s="27" t="s">
        <v>7</v>
      </c>
      <c r="BI222" s="27" t="s">
        <v>8</v>
      </c>
      <c r="BL222" s="27" t="s">
        <v>7</v>
      </c>
      <c r="CW222" s="27" t="s">
        <v>8</v>
      </c>
      <c r="CX222" s="27" t="s">
        <v>7</v>
      </c>
      <c r="DE222" s="27" t="s">
        <v>8</v>
      </c>
      <c r="DF222" s="27" t="s">
        <v>7</v>
      </c>
      <c r="DG222" s="27" t="s">
        <v>8</v>
      </c>
      <c r="DH222" s="27" t="s">
        <v>7</v>
      </c>
      <c r="DI222" s="27" t="s">
        <v>8</v>
      </c>
      <c r="DJ222" s="27" t="s">
        <v>7</v>
      </c>
      <c r="DK222" s="27" t="s">
        <v>8</v>
      </c>
      <c r="DL222" s="27" t="s">
        <v>7</v>
      </c>
      <c r="DQ222" s="27" t="s">
        <v>8</v>
      </c>
      <c r="DR222" s="27" t="s">
        <v>7</v>
      </c>
    </row>
    <row r="223" spans="1:124" x14ac:dyDescent="0.25">
      <c r="A223" s="30">
        <v>2.2920183178010345</v>
      </c>
      <c r="E223"/>
      <c r="G223" s="27" t="s">
        <v>8</v>
      </c>
      <c r="H223" s="27" t="s">
        <v>7</v>
      </c>
      <c r="I223" s="27" t="s">
        <v>8</v>
      </c>
      <c r="R223" s="27" t="s">
        <v>7</v>
      </c>
      <c r="S223" s="27" t="s">
        <v>8</v>
      </c>
      <c r="T223" s="27" t="s">
        <v>7</v>
      </c>
      <c r="U223" s="27" t="s">
        <v>8</v>
      </c>
      <c r="W223" s="27" t="s">
        <v>8</v>
      </c>
      <c r="X223" s="27" t="s">
        <v>7</v>
      </c>
      <c r="Y223" s="27" t="s">
        <v>8</v>
      </c>
      <c r="Z223" s="27" t="s">
        <v>7</v>
      </c>
      <c r="AA223" s="27" t="s">
        <v>8</v>
      </c>
      <c r="AB223" s="27" t="s">
        <v>7</v>
      </c>
      <c r="AC223" s="27" t="s">
        <v>8</v>
      </c>
      <c r="AE223" s="27" t="s">
        <v>8</v>
      </c>
      <c r="AF223" s="27" t="s">
        <v>7</v>
      </c>
      <c r="AG223" s="27" t="s">
        <v>8</v>
      </c>
      <c r="AJ223" s="27" t="s">
        <v>7</v>
      </c>
      <c r="AK223" s="27" t="s">
        <v>8</v>
      </c>
      <c r="AR223" s="27" t="s">
        <v>7</v>
      </c>
      <c r="AS223" s="27" t="s">
        <v>8</v>
      </c>
      <c r="AT223" s="27" t="s">
        <v>7</v>
      </c>
      <c r="AU223" s="27" t="s">
        <v>8</v>
      </c>
      <c r="AV223" s="27" t="s">
        <v>7</v>
      </c>
      <c r="AW223" s="27" t="s">
        <v>8</v>
      </c>
      <c r="AX223" s="27" t="s">
        <v>7</v>
      </c>
      <c r="AY223" s="27" t="s">
        <v>8</v>
      </c>
      <c r="AZ223" s="27" t="s">
        <v>7</v>
      </c>
      <c r="BA223" s="27" t="s">
        <v>8</v>
      </c>
      <c r="BH223" s="27" t="s">
        <v>7</v>
      </c>
      <c r="BL223" s="27" t="s">
        <v>7</v>
      </c>
      <c r="CW223" s="27" t="s">
        <v>8</v>
      </c>
      <c r="CX223" s="27" t="s">
        <v>7</v>
      </c>
      <c r="DE223" s="27" t="s">
        <v>8</v>
      </c>
      <c r="DF223" s="27" t="s">
        <v>7</v>
      </c>
      <c r="DG223" s="27" t="s">
        <v>8</v>
      </c>
      <c r="DH223" s="27" t="s">
        <v>7</v>
      </c>
      <c r="DI223" s="27" t="s">
        <v>8</v>
      </c>
      <c r="DJ223" s="27" t="s">
        <v>7</v>
      </c>
      <c r="DK223" s="27" t="s">
        <v>8</v>
      </c>
      <c r="DL223" s="27" t="s">
        <v>7</v>
      </c>
      <c r="DM223" s="27" t="s">
        <v>8</v>
      </c>
      <c r="DQ223" s="27" t="s">
        <v>8</v>
      </c>
      <c r="DR223" s="27" t="s">
        <v>7</v>
      </c>
      <c r="DS223" s="27" t="s">
        <v>8</v>
      </c>
    </row>
    <row r="224" spans="1:124" x14ac:dyDescent="0.25">
      <c r="A224" s="30">
        <v>2.1828745883819374</v>
      </c>
      <c r="E224" t="s">
        <v>8</v>
      </c>
      <c r="G224" s="27" t="s">
        <v>8</v>
      </c>
      <c r="H224" s="27" t="s">
        <v>7</v>
      </c>
      <c r="I224" s="27" t="s">
        <v>8</v>
      </c>
      <c r="R224" s="27" t="s">
        <v>7</v>
      </c>
      <c r="T224" s="27" t="s">
        <v>7</v>
      </c>
      <c r="U224" s="27" t="s">
        <v>8</v>
      </c>
      <c r="V224" s="27" t="s">
        <v>7</v>
      </c>
      <c r="W224" s="27" t="s">
        <v>8</v>
      </c>
      <c r="X224" s="27" t="s">
        <v>7</v>
      </c>
      <c r="Z224" s="27" t="s">
        <v>7</v>
      </c>
      <c r="AA224" s="27" t="s">
        <v>8</v>
      </c>
      <c r="AB224" s="27" t="s">
        <v>7</v>
      </c>
      <c r="AC224" s="27" t="s">
        <v>8</v>
      </c>
      <c r="AD224" s="27" t="s">
        <v>7</v>
      </c>
      <c r="AE224" s="27" t="s">
        <v>8</v>
      </c>
      <c r="AF224" s="27" t="s">
        <v>7</v>
      </c>
      <c r="AG224" s="27" t="s">
        <v>8</v>
      </c>
      <c r="AJ224" s="27" t="s">
        <v>7</v>
      </c>
      <c r="AR224" s="27" t="s">
        <v>7</v>
      </c>
      <c r="AS224" s="27" t="s">
        <v>8</v>
      </c>
      <c r="AT224" s="27" t="s">
        <v>7</v>
      </c>
      <c r="AU224" s="27" t="s">
        <v>8</v>
      </c>
      <c r="AV224" s="27" t="s">
        <v>7</v>
      </c>
      <c r="AW224" s="27" t="s">
        <v>8</v>
      </c>
      <c r="AX224" s="27" t="s">
        <v>7</v>
      </c>
      <c r="AZ224" s="27" t="s">
        <v>7</v>
      </c>
      <c r="BL224" s="27" t="s">
        <v>7</v>
      </c>
      <c r="CW224" s="27" t="s">
        <v>8</v>
      </c>
      <c r="CX224" s="27" t="s">
        <v>7</v>
      </c>
      <c r="DE224" s="27" t="s">
        <v>8</v>
      </c>
      <c r="DF224" s="27" t="s">
        <v>7</v>
      </c>
      <c r="DG224" s="27" t="s">
        <v>8</v>
      </c>
      <c r="DH224" s="27" t="s">
        <v>7</v>
      </c>
      <c r="DJ224" s="27" t="s">
        <v>7</v>
      </c>
      <c r="DK224" s="27" t="s">
        <v>8</v>
      </c>
      <c r="DL224" s="27" t="s">
        <v>7</v>
      </c>
      <c r="DM224" s="27" t="s">
        <v>8</v>
      </c>
      <c r="DN224" s="27" t="s">
        <v>7</v>
      </c>
      <c r="DQ224" s="27" t="s">
        <v>8</v>
      </c>
      <c r="DR224" s="27" t="s">
        <v>7</v>
      </c>
      <c r="DS224" s="27" t="s">
        <v>8</v>
      </c>
      <c r="DT224" s="27" t="s">
        <v>7</v>
      </c>
    </row>
    <row r="225" spans="1:143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H225" s="27" t="s">
        <v>7</v>
      </c>
      <c r="I225" s="27" t="s">
        <v>8</v>
      </c>
      <c r="T225" s="27" t="s">
        <v>7</v>
      </c>
      <c r="U225" s="27" t="s">
        <v>8</v>
      </c>
      <c r="V225" s="27" t="s">
        <v>7</v>
      </c>
      <c r="W225" s="27" t="s">
        <v>8</v>
      </c>
      <c r="Z225" s="27" t="s">
        <v>7</v>
      </c>
      <c r="AA225" s="27" t="s">
        <v>8</v>
      </c>
      <c r="AB225" s="27" t="s">
        <v>7</v>
      </c>
      <c r="AC225" s="27" t="s">
        <v>8</v>
      </c>
      <c r="AD225" s="27" t="s">
        <v>7</v>
      </c>
      <c r="AE225" s="27" t="s">
        <v>8</v>
      </c>
      <c r="AF225" s="27" t="s">
        <v>7</v>
      </c>
      <c r="AG225" s="27" t="s">
        <v>8</v>
      </c>
      <c r="AR225" s="27" t="s">
        <v>7</v>
      </c>
      <c r="AT225" s="27" t="s">
        <v>7</v>
      </c>
      <c r="AU225" s="27" t="s">
        <v>8</v>
      </c>
      <c r="AV225" s="27" t="s">
        <v>7</v>
      </c>
      <c r="BL225" s="27" t="s">
        <v>7</v>
      </c>
      <c r="CW225" s="27" t="s">
        <v>8</v>
      </c>
      <c r="CX225" s="27" t="s">
        <v>7</v>
      </c>
      <c r="DC225" s="27" t="s">
        <v>8</v>
      </c>
      <c r="DE225" s="27" t="s">
        <v>8</v>
      </c>
      <c r="DF225" s="27" t="s">
        <v>7</v>
      </c>
      <c r="DJ225" s="27" t="s">
        <v>7</v>
      </c>
      <c r="DL225" s="27" t="s">
        <v>7</v>
      </c>
      <c r="DM225" s="27" t="s">
        <v>8</v>
      </c>
      <c r="DN225" s="27" t="s">
        <v>7</v>
      </c>
      <c r="DO225" s="27" t="s">
        <v>8</v>
      </c>
      <c r="DQ225" s="27" t="s">
        <v>8</v>
      </c>
      <c r="DR225" s="27" t="s">
        <v>7</v>
      </c>
      <c r="DS225" s="27" t="s">
        <v>8</v>
      </c>
      <c r="DT225" s="27" t="s">
        <v>7</v>
      </c>
      <c r="EC225" s="27" t="s">
        <v>8</v>
      </c>
    </row>
    <row r="226" spans="1:143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H226" s="27" t="s">
        <v>7</v>
      </c>
      <c r="I226" s="27" t="s">
        <v>8</v>
      </c>
      <c r="T226" s="27" t="s">
        <v>7</v>
      </c>
      <c r="U226" s="27" t="s">
        <v>8</v>
      </c>
      <c r="V226" s="27" t="s">
        <v>7</v>
      </c>
      <c r="Z226" s="27" t="s">
        <v>7</v>
      </c>
      <c r="AA226" s="27" t="s">
        <v>8</v>
      </c>
      <c r="AB226" s="27" t="s">
        <v>7</v>
      </c>
      <c r="AC226" s="27" t="s">
        <v>8</v>
      </c>
      <c r="AD226" s="27" t="s">
        <v>7</v>
      </c>
      <c r="AF226" s="27" t="s">
        <v>7</v>
      </c>
      <c r="AG226" s="27" t="s">
        <v>8</v>
      </c>
      <c r="AT226" s="27" t="s">
        <v>7</v>
      </c>
      <c r="BL226" s="27" t="s">
        <v>7</v>
      </c>
      <c r="BO226" s="27" t="s">
        <v>8</v>
      </c>
      <c r="CS226" s="27" t="s">
        <v>8</v>
      </c>
      <c r="CW226" s="27" t="s">
        <v>8</v>
      </c>
      <c r="CX226" s="27" t="s">
        <v>7</v>
      </c>
      <c r="DC226" s="27" t="s">
        <v>8</v>
      </c>
      <c r="DD226" s="27" t="s">
        <v>7</v>
      </c>
      <c r="DE226" s="27" t="s">
        <v>8</v>
      </c>
      <c r="DL226" s="27" t="s">
        <v>7</v>
      </c>
      <c r="DN226" s="27" t="s">
        <v>7</v>
      </c>
      <c r="DO226" s="27" t="s">
        <v>8</v>
      </c>
      <c r="DP226" s="27" t="s">
        <v>7</v>
      </c>
      <c r="DQ226" s="27" t="s">
        <v>8</v>
      </c>
      <c r="DR226" s="27" t="s">
        <v>7</v>
      </c>
      <c r="DS226" s="27" t="s">
        <v>8</v>
      </c>
      <c r="DT226" s="27" t="s">
        <v>7</v>
      </c>
      <c r="EA226" s="27" t="s">
        <v>8</v>
      </c>
      <c r="EC226" s="27" t="s">
        <v>8</v>
      </c>
      <c r="ED226" s="27" t="s">
        <v>7</v>
      </c>
    </row>
    <row r="227" spans="1:143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H227" s="27" t="s">
        <v>7</v>
      </c>
      <c r="I227" s="27" t="s">
        <v>8</v>
      </c>
      <c r="T227" s="27" t="s">
        <v>7</v>
      </c>
      <c r="U227" s="27" t="s">
        <v>8</v>
      </c>
      <c r="Z227" s="27" t="s">
        <v>7</v>
      </c>
      <c r="AA227" s="27" t="s">
        <v>8</v>
      </c>
      <c r="AB227" s="27" t="s">
        <v>7</v>
      </c>
      <c r="AF227" s="27" t="s">
        <v>7</v>
      </c>
      <c r="BL227" s="27" t="s">
        <v>7</v>
      </c>
      <c r="BO227" s="27" t="s">
        <v>8</v>
      </c>
      <c r="BP227" s="27" t="s">
        <v>7</v>
      </c>
      <c r="CQ227" s="27" t="s">
        <v>8</v>
      </c>
      <c r="CS227" s="27" t="s">
        <v>8</v>
      </c>
      <c r="CT227" s="27" t="s">
        <v>7</v>
      </c>
      <c r="CU227" s="27" t="s">
        <v>8</v>
      </c>
      <c r="CW227" s="27" t="s">
        <v>8</v>
      </c>
      <c r="CX227" s="27" t="s">
        <v>7</v>
      </c>
      <c r="DC227" s="27" t="s">
        <v>8</v>
      </c>
      <c r="DD227" s="27" t="s">
        <v>7</v>
      </c>
      <c r="DE227" s="27" t="s">
        <v>8</v>
      </c>
      <c r="DN227" s="27" t="s">
        <v>7</v>
      </c>
      <c r="DO227" s="27" t="s">
        <v>8</v>
      </c>
      <c r="DP227" s="27" t="s">
        <v>7</v>
      </c>
      <c r="DQ227" s="27" t="s">
        <v>8</v>
      </c>
      <c r="DR227" s="27" t="s">
        <v>7</v>
      </c>
      <c r="DS227" s="27" t="s">
        <v>8</v>
      </c>
      <c r="DT227" s="27" t="s">
        <v>7</v>
      </c>
      <c r="EA227" s="27" t="s">
        <v>8</v>
      </c>
      <c r="EB227" s="27" t="s">
        <v>7</v>
      </c>
      <c r="EC227" s="27" t="s">
        <v>8</v>
      </c>
      <c r="ED227" s="27" t="s">
        <v>7</v>
      </c>
    </row>
    <row r="228" spans="1:143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H228" s="27" t="s">
        <v>7</v>
      </c>
      <c r="T228" s="27" t="s">
        <v>7</v>
      </c>
      <c r="Z228" s="27" t="s">
        <v>7</v>
      </c>
      <c r="AA228" s="27" t="s">
        <v>8</v>
      </c>
      <c r="BL228" s="27" t="s">
        <v>7</v>
      </c>
      <c r="BO228" s="27" t="s">
        <v>8</v>
      </c>
      <c r="BP228" s="27" t="s">
        <v>7</v>
      </c>
      <c r="CQ228" s="27" t="s">
        <v>8</v>
      </c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X228" s="27" t="s">
        <v>7</v>
      </c>
      <c r="CY228" s="27" t="s">
        <v>8</v>
      </c>
      <c r="DC228" s="27" t="s">
        <v>8</v>
      </c>
      <c r="DD228" s="27" t="s">
        <v>7</v>
      </c>
      <c r="DE228" s="27" t="s">
        <v>8</v>
      </c>
      <c r="DN228" s="27" t="s">
        <v>7</v>
      </c>
      <c r="DO228" s="27" t="s">
        <v>8</v>
      </c>
      <c r="DP228" s="27" t="s">
        <v>7</v>
      </c>
      <c r="DQ228" s="27" t="s">
        <v>8</v>
      </c>
      <c r="DR228" s="27" t="s">
        <v>7</v>
      </c>
      <c r="DS228" s="27" t="s">
        <v>8</v>
      </c>
      <c r="DT228" s="27" t="s">
        <v>7</v>
      </c>
      <c r="EA228" s="27" t="s">
        <v>8</v>
      </c>
      <c r="EB228" s="27" t="s">
        <v>7</v>
      </c>
      <c r="EC228" s="27" t="s">
        <v>8</v>
      </c>
      <c r="ED228" s="27" t="s">
        <v>7</v>
      </c>
    </row>
    <row r="229" spans="1:143" x14ac:dyDescent="0.25">
      <c r="A229" s="30">
        <v>1.7103393581163142</v>
      </c>
      <c r="E229" t="s">
        <v>8</v>
      </c>
      <c r="F229" s="27" t="s">
        <v>7</v>
      </c>
      <c r="Z229" s="27" t="s">
        <v>7</v>
      </c>
      <c r="AA229" s="27" t="s">
        <v>8</v>
      </c>
      <c r="BL229" s="27" t="s">
        <v>7</v>
      </c>
      <c r="BO229" s="27" t="s">
        <v>8</v>
      </c>
      <c r="BP229" s="27" t="s">
        <v>7</v>
      </c>
      <c r="CQ229" s="27" t="s">
        <v>8</v>
      </c>
      <c r="CR229" s="27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  <c r="CW229" s="27" t="s">
        <v>8</v>
      </c>
      <c r="CX229" s="27" t="s">
        <v>7</v>
      </c>
      <c r="CY229" s="27" t="s">
        <v>8</v>
      </c>
      <c r="CZ229" s="27" t="s">
        <v>7</v>
      </c>
      <c r="DA229" s="27" t="s">
        <v>8</v>
      </c>
      <c r="DC229" s="27" t="s">
        <v>8</v>
      </c>
      <c r="DD229" s="27" t="s">
        <v>7</v>
      </c>
      <c r="DE229" s="27" t="s">
        <v>8</v>
      </c>
      <c r="DN229" s="27" t="s">
        <v>7</v>
      </c>
      <c r="DO229" s="27" t="s">
        <v>8</v>
      </c>
      <c r="DP229" s="27" t="s">
        <v>7</v>
      </c>
      <c r="DQ229" s="27" t="s">
        <v>8</v>
      </c>
      <c r="DR229" s="27" t="s">
        <v>7</v>
      </c>
      <c r="DS229" s="27" t="s">
        <v>8</v>
      </c>
      <c r="DT229" s="27" t="s">
        <v>7</v>
      </c>
      <c r="DU229" s="27" t="s">
        <v>8</v>
      </c>
      <c r="DW229" s="27" t="s">
        <v>8</v>
      </c>
      <c r="EA229" s="27" t="s">
        <v>8</v>
      </c>
      <c r="EB229" s="27" t="s">
        <v>7</v>
      </c>
      <c r="EC229" s="27" t="s">
        <v>8</v>
      </c>
      <c r="ED229" s="27" t="s">
        <v>7</v>
      </c>
      <c r="EE229" s="27" t="s">
        <v>8</v>
      </c>
    </row>
    <row r="230" spans="1:143" x14ac:dyDescent="0.25">
      <c r="A230" s="30">
        <v>1.628894626777442</v>
      </c>
      <c r="E230" t="s">
        <v>8</v>
      </c>
      <c r="Z230" s="27" t="s">
        <v>7</v>
      </c>
      <c r="BL230" s="27" t="s">
        <v>7</v>
      </c>
      <c r="BO230" s="27" t="s">
        <v>8</v>
      </c>
      <c r="BP230" s="27" t="s">
        <v>7</v>
      </c>
      <c r="CM230" s="27" t="s">
        <v>8</v>
      </c>
      <c r="CO230" s="27" t="s">
        <v>8</v>
      </c>
      <c r="CQ230" s="27" t="s">
        <v>8</v>
      </c>
      <c r="CR230" s="27" t="s">
        <v>7</v>
      </c>
      <c r="CS230" s="27" t="s">
        <v>8</v>
      </c>
      <c r="CT230" s="27" t="s">
        <v>7</v>
      </c>
      <c r="CU230" s="27" t="s">
        <v>8</v>
      </c>
      <c r="CV230" s="27" t="s">
        <v>7</v>
      </c>
      <c r="CW230" s="27" t="s">
        <v>8</v>
      </c>
      <c r="CX230" s="27" t="s">
        <v>7</v>
      </c>
      <c r="CY230" s="27" t="s">
        <v>8</v>
      </c>
      <c r="CZ230" s="27" t="s">
        <v>7</v>
      </c>
      <c r="DA230" s="27" t="s">
        <v>8</v>
      </c>
      <c r="DB230" s="27" t="s">
        <v>7</v>
      </c>
      <c r="DC230" s="27" t="s">
        <v>8</v>
      </c>
      <c r="DD230" s="27" t="s">
        <v>7</v>
      </c>
      <c r="DE230" s="27" t="s">
        <v>8</v>
      </c>
      <c r="DN230" s="27" t="s">
        <v>7</v>
      </c>
      <c r="DP230" s="27" t="s">
        <v>7</v>
      </c>
      <c r="DQ230" s="27" t="s">
        <v>8</v>
      </c>
      <c r="DR230" s="27" t="s">
        <v>7</v>
      </c>
      <c r="DS230" s="27" t="s">
        <v>8</v>
      </c>
      <c r="DT230" s="27" t="s">
        <v>7</v>
      </c>
      <c r="DU230" s="27" t="s">
        <v>8</v>
      </c>
      <c r="DV230" s="27" t="s">
        <v>7</v>
      </c>
      <c r="DW230" s="27" t="s">
        <v>8</v>
      </c>
      <c r="DX230" s="27" t="s">
        <v>7</v>
      </c>
      <c r="EA230" s="27" t="s">
        <v>8</v>
      </c>
      <c r="EB230" s="27" t="s">
        <v>7</v>
      </c>
      <c r="EC230" s="27" t="s">
        <v>8</v>
      </c>
      <c r="ED230" s="27" t="s">
        <v>7</v>
      </c>
      <c r="EE230" s="27" t="s">
        <v>8</v>
      </c>
      <c r="EF230" s="27" t="s">
        <v>7</v>
      </c>
      <c r="EG230" s="27" t="s">
        <v>8</v>
      </c>
    </row>
    <row r="231" spans="1:143" x14ac:dyDescent="0.25">
      <c r="A231" s="30">
        <v>1.5513282159785162</v>
      </c>
      <c r="C231"/>
      <c r="D231"/>
      <c r="E231" t="s">
        <v>8</v>
      </c>
      <c r="BL231" s="27" t="s">
        <v>7</v>
      </c>
      <c r="BO231" s="27" t="s">
        <v>8</v>
      </c>
      <c r="BP231" s="27" t="s">
        <v>7</v>
      </c>
      <c r="CM231" s="27" t="s">
        <v>8</v>
      </c>
      <c r="CN231" s="27" t="s">
        <v>7</v>
      </c>
      <c r="CO231" s="27" t="s">
        <v>8</v>
      </c>
      <c r="CP231" s="27" t="s">
        <v>7</v>
      </c>
      <c r="CQ231" s="27" t="s">
        <v>8</v>
      </c>
      <c r="CR231" s="27" t="s">
        <v>7</v>
      </c>
      <c r="CS231" s="27" t="s">
        <v>8</v>
      </c>
      <c r="CT231" s="27" t="s">
        <v>7</v>
      </c>
      <c r="CV231" s="27" t="s">
        <v>7</v>
      </c>
      <c r="CW231" s="27" t="s">
        <v>8</v>
      </c>
      <c r="CX231" s="27" t="s">
        <v>7</v>
      </c>
      <c r="CY231" s="27" t="s">
        <v>8</v>
      </c>
      <c r="CZ231" s="27" t="s">
        <v>7</v>
      </c>
      <c r="DA231" s="27" t="s">
        <v>8</v>
      </c>
      <c r="DB231" s="27" t="s">
        <v>7</v>
      </c>
      <c r="DC231" s="27" t="s">
        <v>8</v>
      </c>
      <c r="DD231" s="27" t="s">
        <v>7</v>
      </c>
      <c r="DE231" s="27" t="s">
        <v>8</v>
      </c>
      <c r="DP231" s="27" t="s">
        <v>7</v>
      </c>
      <c r="DR231" s="27" t="s">
        <v>7</v>
      </c>
      <c r="DS231" s="27" t="s">
        <v>8</v>
      </c>
      <c r="DT231" s="27" t="s">
        <v>7</v>
      </c>
      <c r="DU231" s="27" t="s">
        <v>8</v>
      </c>
      <c r="DV231" s="27" t="s">
        <v>7</v>
      </c>
      <c r="DW231" s="27" t="s">
        <v>8</v>
      </c>
      <c r="DX231" s="27" t="s">
        <v>7</v>
      </c>
      <c r="EA231" s="27" t="s">
        <v>8</v>
      </c>
      <c r="EB231" s="27" t="s">
        <v>7</v>
      </c>
      <c r="EC231" s="27" t="s">
        <v>8</v>
      </c>
      <c r="ED231" s="27" t="s">
        <v>7</v>
      </c>
      <c r="EE231" s="27" t="s">
        <v>8</v>
      </c>
      <c r="EF231" s="27" t="s">
        <v>7</v>
      </c>
      <c r="EG231" s="27" t="s">
        <v>8</v>
      </c>
      <c r="EH231" s="27" t="s">
        <v>7</v>
      </c>
      <c r="EI231" s="27" t="s">
        <v>8</v>
      </c>
    </row>
    <row r="232" spans="1:143" x14ac:dyDescent="0.25">
      <c r="A232" s="30">
        <v>1.477455443789063</v>
      </c>
      <c r="E232" t="s">
        <v>8</v>
      </c>
      <c r="BL232" s="27" t="s">
        <v>7</v>
      </c>
      <c r="BM232" s="27" t="s">
        <v>8</v>
      </c>
      <c r="BO232" s="27" t="s">
        <v>8</v>
      </c>
      <c r="BP232" s="27" t="s">
        <v>7</v>
      </c>
      <c r="BQ232" s="27" t="s">
        <v>8</v>
      </c>
      <c r="BS232" s="27" t="s">
        <v>8</v>
      </c>
      <c r="CM232" s="27" t="s">
        <v>8</v>
      </c>
      <c r="CN232" s="27" t="s">
        <v>7</v>
      </c>
      <c r="CO232" s="27" t="s">
        <v>8</v>
      </c>
      <c r="CP232" s="27" t="s">
        <v>7</v>
      </c>
      <c r="CQ232" s="27" t="s">
        <v>8</v>
      </c>
      <c r="CR232" s="27" t="s">
        <v>7</v>
      </c>
      <c r="CS232" s="27" t="s">
        <v>8</v>
      </c>
      <c r="CV232" s="27" t="s">
        <v>7</v>
      </c>
      <c r="CW232" s="27" t="s">
        <v>8</v>
      </c>
      <c r="CX232" s="27" t="s">
        <v>7</v>
      </c>
      <c r="CZ232" s="27" t="s">
        <v>7</v>
      </c>
      <c r="DA232" s="27" t="s">
        <v>8</v>
      </c>
      <c r="DB232" s="27" t="s">
        <v>7</v>
      </c>
      <c r="DC232" s="27" t="s">
        <v>8</v>
      </c>
      <c r="DD232" s="27" t="s">
        <v>7</v>
      </c>
      <c r="DE232" s="27" t="s">
        <v>8</v>
      </c>
      <c r="DR232" s="27" t="s">
        <v>7</v>
      </c>
      <c r="DS232" s="27" t="s">
        <v>8</v>
      </c>
      <c r="DT232" s="27" t="s">
        <v>7</v>
      </c>
      <c r="DU232" s="27" t="s">
        <v>8</v>
      </c>
      <c r="DV232" s="27" t="s">
        <v>7</v>
      </c>
      <c r="DW232" s="27" t="s">
        <v>8</v>
      </c>
      <c r="DX232" s="27" t="s">
        <v>7</v>
      </c>
      <c r="EA232" s="27" t="s">
        <v>8</v>
      </c>
      <c r="EB232" s="27" t="s">
        <v>7</v>
      </c>
      <c r="EC232" s="27" t="s">
        <v>8</v>
      </c>
      <c r="ED232" s="27" t="s">
        <v>7</v>
      </c>
      <c r="EF232" s="27" t="s">
        <v>7</v>
      </c>
      <c r="EG232" s="27" t="s">
        <v>8</v>
      </c>
      <c r="EH232" s="27" t="s">
        <v>7</v>
      </c>
      <c r="EI232" s="27" t="s">
        <v>8</v>
      </c>
      <c r="EJ232" s="27" t="s">
        <v>7</v>
      </c>
    </row>
    <row r="233" spans="1:143" x14ac:dyDescent="0.25">
      <c r="A233" s="30">
        <v>1.4071004226562505</v>
      </c>
      <c r="E233" t="s">
        <v>8</v>
      </c>
      <c r="BL233" s="27" t="s">
        <v>7</v>
      </c>
      <c r="BM233" s="27" t="s">
        <v>8</v>
      </c>
      <c r="BN233" s="27" t="s">
        <v>7</v>
      </c>
      <c r="BO233" s="27" t="s">
        <v>8</v>
      </c>
      <c r="BP233" s="27" t="s">
        <v>7</v>
      </c>
      <c r="BQ233" s="27" t="s">
        <v>8</v>
      </c>
      <c r="BR233" s="27" t="s">
        <v>7</v>
      </c>
      <c r="BS233" s="27" t="s">
        <v>8</v>
      </c>
      <c r="BT233" s="27" t="s">
        <v>7</v>
      </c>
      <c r="CE233" s="27" t="s">
        <v>8</v>
      </c>
      <c r="CM233" s="27" t="s">
        <v>8</v>
      </c>
      <c r="CN233" s="27" t="s">
        <v>7</v>
      </c>
      <c r="CO233" s="27" t="s">
        <v>8</v>
      </c>
      <c r="CP233" s="27" t="s">
        <v>7</v>
      </c>
      <c r="CQ233" s="27" t="s">
        <v>8</v>
      </c>
      <c r="CR233" s="27" t="s">
        <v>7</v>
      </c>
      <c r="CV233" s="27" t="s">
        <v>7</v>
      </c>
      <c r="CW233" s="27" t="s">
        <v>8</v>
      </c>
      <c r="CZ233" s="27" t="s">
        <v>7</v>
      </c>
      <c r="DA233" s="27" t="s">
        <v>8</v>
      </c>
      <c r="DB233" s="27" t="s">
        <v>7</v>
      </c>
      <c r="DC233" s="27" t="s">
        <v>8</v>
      </c>
      <c r="DD233" s="27" t="s">
        <v>7</v>
      </c>
      <c r="DE233" s="27" t="s">
        <v>8</v>
      </c>
      <c r="DR233" s="27" t="s">
        <v>7</v>
      </c>
      <c r="DT233" s="27" t="s">
        <v>7</v>
      </c>
      <c r="DU233" s="27" t="s">
        <v>8</v>
      </c>
      <c r="DV233" s="27" t="s">
        <v>7</v>
      </c>
      <c r="DX233" s="27" t="s">
        <v>7</v>
      </c>
      <c r="DY233" s="27" t="s">
        <v>8</v>
      </c>
      <c r="EA233" s="27" t="s">
        <v>8</v>
      </c>
      <c r="EB233" s="27" t="s">
        <v>7</v>
      </c>
      <c r="EC233" s="27" t="s">
        <v>8</v>
      </c>
      <c r="EF233" s="27" t="s">
        <v>7</v>
      </c>
      <c r="EH233" s="27" t="s">
        <v>7</v>
      </c>
      <c r="EI233" s="27" t="s">
        <v>8</v>
      </c>
      <c r="EJ233" s="27" t="s">
        <v>7</v>
      </c>
    </row>
    <row r="234" spans="1:143" x14ac:dyDescent="0.25">
      <c r="A234" s="30">
        <v>1.3400956406250004</v>
      </c>
      <c r="E234" t="s">
        <v>8</v>
      </c>
      <c r="BL234" s="27" t="s">
        <v>7</v>
      </c>
      <c r="BM234" s="27" t="s">
        <v>8</v>
      </c>
      <c r="BN234" s="27" t="s">
        <v>7</v>
      </c>
      <c r="BO234" s="27" t="s">
        <v>8</v>
      </c>
      <c r="BP234" s="27" t="s">
        <v>7</v>
      </c>
      <c r="BQ234" s="27" t="s">
        <v>8</v>
      </c>
      <c r="BR234" s="27" t="s">
        <v>7</v>
      </c>
      <c r="BS234" s="27" t="s">
        <v>8</v>
      </c>
      <c r="BT234" s="27" t="s">
        <v>7</v>
      </c>
      <c r="BW234" s="27" t="s">
        <v>8</v>
      </c>
      <c r="CE234" s="27" t="s">
        <v>8</v>
      </c>
      <c r="CF234" s="27" t="s">
        <v>7</v>
      </c>
      <c r="CM234" s="27" t="s">
        <v>8</v>
      </c>
      <c r="CN234" s="27" t="s">
        <v>7</v>
      </c>
      <c r="CO234" s="27" t="s">
        <v>8</v>
      </c>
      <c r="CP234" s="27" t="s">
        <v>7</v>
      </c>
      <c r="CV234" s="27" t="s">
        <v>7</v>
      </c>
      <c r="CW234" s="27" t="s">
        <v>8</v>
      </c>
      <c r="CZ234" s="27" t="s">
        <v>7</v>
      </c>
      <c r="DB234" s="27" t="s">
        <v>7</v>
      </c>
      <c r="DC234" s="27" t="s">
        <v>8</v>
      </c>
      <c r="DD234" s="27" t="s">
        <v>7</v>
      </c>
      <c r="DT234" s="27" t="s">
        <v>7</v>
      </c>
      <c r="DX234" s="27" t="s">
        <v>7</v>
      </c>
      <c r="DY234" s="27" t="s">
        <v>8</v>
      </c>
      <c r="DZ234" s="27" t="s">
        <v>7</v>
      </c>
      <c r="EA234" s="27" t="s">
        <v>8</v>
      </c>
      <c r="EB234" s="27" t="s">
        <v>7</v>
      </c>
      <c r="EC234" s="27" t="s">
        <v>8</v>
      </c>
      <c r="EH234" s="27" t="s">
        <v>7</v>
      </c>
      <c r="EI234" s="27" t="s">
        <v>8</v>
      </c>
      <c r="EJ234" s="27" t="s">
        <v>7</v>
      </c>
    </row>
    <row r="235" spans="1:143" x14ac:dyDescent="0.25">
      <c r="A235" s="30">
        <v>1.2762815625000004</v>
      </c>
      <c r="C235"/>
      <c r="E235" t="s">
        <v>8</v>
      </c>
      <c r="BL235" s="27" t="s">
        <v>7</v>
      </c>
      <c r="BM235" s="27" t="s">
        <v>8</v>
      </c>
      <c r="BN235" s="27" t="s">
        <v>7</v>
      </c>
      <c r="BO235" s="27" t="s">
        <v>8</v>
      </c>
      <c r="BP235" s="27" t="s">
        <v>7</v>
      </c>
      <c r="BQ235" s="27" t="s">
        <v>8</v>
      </c>
      <c r="BR235" s="27" t="s">
        <v>7</v>
      </c>
      <c r="BT235" s="27" t="s">
        <v>7</v>
      </c>
      <c r="BW235" s="27" t="s">
        <v>8</v>
      </c>
      <c r="BX235" s="27" t="s">
        <v>7</v>
      </c>
      <c r="CC235" s="27" t="s">
        <v>8</v>
      </c>
      <c r="CE235" s="27" t="s">
        <v>8</v>
      </c>
      <c r="CF235" s="27" t="s">
        <v>7</v>
      </c>
      <c r="CM235" s="27" t="s">
        <v>8</v>
      </c>
      <c r="CN235" s="27" t="s">
        <v>7</v>
      </c>
      <c r="CV235" s="27" t="s">
        <v>7</v>
      </c>
      <c r="CW235" s="27" t="s">
        <v>8</v>
      </c>
      <c r="DB235" s="27" t="s">
        <v>7</v>
      </c>
      <c r="DC235" s="27" t="s">
        <v>8</v>
      </c>
      <c r="DX235" s="27" t="s">
        <v>7</v>
      </c>
      <c r="DY235" s="27" t="s">
        <v>8</v>
      </c>
      <c r="DZ235" s="27" t="s">
        <v>7</v>
      </c>
      <c r="EA235" s="27" t="s">
        <v>8</v>
      </c>
      <c r="EB235" s="27" t="s">
        <v>7</v>
      </c>
      <c r="EH235" s="27" t="s">
        <v>7</v>
      </c>
      <c r="EI235" s="27" t="s">
        <v>8</v>
      </c>
      <c r="EJ235" s="27" t="s">
        <v>7</v>
      </c>
    </row>
    <row r="236" spans="1:143" x14ac:dyDescent="0.25">
      <c r="A236" s="30">
        <v>1.2155062500000002</v>
      </c>
      <c r="E236" t="s">
        <v>8</v>
      </c>
      <c r="BL236" s="27" t="s">
        <v>7</v>
      </c>
      <c r="BM236" s="27" t="s">
        <v>8</v>
      </c>
      <c r="BN236" s="27" t="s">
        <v>7</v>
      </c>
      <c r="BO236" s="27" t="s">
        <v>8</v>
      </c>
      <c r="BP236" s="27" t="s">
        <v>7</v>
      </c>
      <c r="BQ236" s="27" t="s">
        <v>8</v>
      </c>
      <c r="BT236" s="27" t="s">
        <v>7</v>
      </c>
      <c r="BW236" s="27" t="s">
        <v>8</v>
      </c>
      <c r="BX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K236" s="27" t="s">
        <v>8</v>
      </c>
      <c r="CM236" s="27" t="s">
        <v>8</v>
      </c>
      <c r="CV236" s="27" t="s">
        <v>7</v>
      </c>
      <c r="CW236" s="27" t="s">
        <v>8</v>
      </c>
      <c r="DB236" s="27" t="s">
        <v>7</v>
      </c>
      <c r="DC236" s="27" t="s">
        <v>8</v>
      </c>
      <c r="DX236" s="27" t="s">
        <v>7</v>
      </c>
      <c r="DY236" s="27" t="s">
        <v>8</v>
      </c>
      <c r="DZ236" s="27" t="s">
        <v>7</v>
      </c>
      <c r="EA236" s="27" t="s">
        <v>8</v>
      </c>
      <c r="EH236" s="27" t="s">
        <v>7</v>
      </c>
      <c r="EJ236" s="27" t="s">
        <v>7</v>
      </c>
    </row>
    <row r="237" spans="1:14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BL237" s="27" t="s">
        <v>7</v>
      </c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T237" s="27" t="s">
        <v>7</v>
      </c>
      <c r="BU237" s="27" t="s">
        <v>8</v>
      </c>
      <c r="BW237" s="27" t="s">
        <v>8</v>
      </c>
      <c r="BX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K237" s="27" t="s">
        <v>8</v>
      </c>
      <c r="CL237" s="27" t="s">
        <v>7</v>
      </c>
      <c r="CM237" s="27" t="s">
        <v>8</v>
      </c>
      <c r="CV237" s="27" t="s">
        <v>7</v>
      </c>
      <c r="CW237" s="27" t="s">
        <v>8</v>
      </c>
      <c r="DB237" s="27" t="s">
        <v>7</v>
      </c>
      <c r="DX237" s="27" t="s">
        <v>7</v>
      </c>
      <c r="DY237" s="27" t="s">
        <v>8</v>
      </c>
      <c r="DZ237" s="27" t="s">
        <v>7</v>
      </c>
      <c r="EA237" s="27" t="s">
        <v>8</v>
      </c>
      <c r="EJ237" s="27" t="s">
        <v>7</v>
      </c>
      <c r="EK237" s="27" t="s">
        <v>8</v>
      </c>
    </row>
    <row r="238" spans="1:143" x14ac:dyDescent="0.25">
      <c r="A238" s="30">
        <v>1.1025</v>
      </c>
      <c r="E238" t="s">
        <v>8</v>
      </c>
      <c r="BL238" s="27" t="s">
        <v>7</v>
      </c>
      <c r="BN238" s="27" t="s">
        <v>7</v>
      </c>
      <c r="BO238" s="27" t="s">
        <v>8</v>
      </c>
      <c r="BP238" s="27" t="s">
        <v>7</v>
      </c>
      <c r="BT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G238" s="27" t="s">
        <v>8</v>
      </c>
      <c r="CI238" s="27" t="s">
        <v>8</v>
      </c>
      <c r="CK238" s="27" t="s">
        <v>8</v>
      </c>
      <c r="CL238" s="27" t="s">
        <v>7</v>
      </c>
      <c r="CM238" s="27" t="s">
        <v>8</v>
      </c>
      <c r="CV238" s="27" t="s">
        <v>7</v>
      </c>
      <c r="CW238" s="27" t="s">
        <v>8</v>
      </c>
      <c r="DX238" s="27" t="s">
        <v>7</v>
      </c>
      <c r="DY238" s="27" t="s">
        <v>8</v>
      </c>
      <c r="DZ238" s="27" t="s">
        <v>7</v>
      </c>
      <c r="EA238" s="27" t="s">
        <v>8</v>
      </c>
      <c r="EJ238" s="27" t="s">
        <v>7</v>
      </c>
      <c r="EK238" s="27" t="s">
        <v>8</v>
      </c>
      <c r="EL238" s="27" t="s">
        <v>7</v>
      </c>
      <c r="EM238" s="27" t="s">
        <v>8</v>
      </c>
    </row>
    <row r="239" spans="1:143" x14ac:dyDescent="0.25">
      <c r="A239" s="30">
        <v>1.05</v>
      </c>
      <c r="E239" t="s">
        <v>8</v>
      </c>
      <c r="BN239" s="27" t="s">
        <v>7</v>
      </c>
      <c r="BO239" s="27" t="s">
        <v>8</v>
      </c>
      <c r="BT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G239" s="27" t="s">
        <v>8</v>
      </c>
      <c r="CH239" s="27" t="s">
        <v>7</v>
      </c>
      <c r="CI239" s="27" t="s">
        <v>8</v>
      </c>
      <c r="CJ239" s="27" t="s">
        <v>7</v>
      </c>
      <c r="CK239" s="27" t="s">
        <v>8</v>
      </c>
      <c r="CL239" s="27" t="s">
        <v>7</v>
      </c>
      <c r="CV239" s="27" t="s">
        <v>7</v>
      </c>
      <c r="CW239" s="27" t="s">
        <v>8</v>
      </c>
      <c r="DX239" s="27" t="s">
        <v>7</v>
      </c>
      <c r="DZ239" s="27" t="s">
        <v>7</v>
      </c>
      <c r="EJ239" s="27" t="s">
        <v>7</v>
      </c>
      <c r="EK239" s="27" t="s">
        <v>8</v>
      </c>
      <c r="EL239" s="27" t="s">
        <v>7</v>
      </c>
      <c r="EM239" s="27" t="s">
        <v>8</v>
      </c>
    </row>
    <row r="240" spans="1:143" x14ac:dyDescent="0.25">
      <c r="A240" s="30">
        <v>1</v>
      </c>
      <c r="E240" s="29" t="s">
        <v>8</v>
      </c>
      <c r="BN240" s="27" t="s">
        <v>7</v>
      </c>
      <c r="BO240" s="27" t="s">
        <v>8</v>
      </c>
      <c r="BT240" s="27" t="s">
        <v>7</v>
      </c>
      <c r="BV240" s="27" t="s">
        <v>7</v>
      </c>
      <c r="BX240" s="27" t="s">
        <v>7</v>
      </c>
      <c r="CC240" s="27" t="s">
        <v>8</v>
      </c>
      <c r="CD240" s="27" t="s">
        <v>7</v>
      </c>
      <c r="CE240" s="27" t="s">
        <v>8</v>
      </c>
      <c r="CF240" s="27" t="s">
        <v>7</v>
      </c>
      <c r="CG240" s="27" t="s">
        <v>8</v>
      </c>
      <c r="CH240" s="27" t="s">
        <v>7</v>
      </c>
      <c r="CI240" s="27" t="s">
        <v>8</v>
      </c>
      <c r="CJ240" s="27" t="s">
        <v>7</v>
      </c>
      <c r="CK240" s="27" t="s">
        <v>8</v>
      </c>
      <c r="CV240" s="27" t="s">
        <v>7</v>
      </c>
      <c r="CW240" s="27" t="s">
        <v>8</v>
      </c>
      <c r="EJ240" s="27" t="s">
        <v>7</v>
      </c>
      <c r="EK240" s="27" t="s">
        <v>8</v>
      </c>
      <c r="EL240" s="27" t="s">
        <v>7</v>
      </c>
      <c r="EM240" s="27" t="s">
        <v>8</v>
      </c>
    </row>
    <row r="241" spans="1:142" x14ac:dyDescent="0.25">
      <c r="A241" s="30">
        <v>0.952380952380952</v>
      </c>
      <c r="B241"/>
      <c r="C241"/>
      <c r="D241"/>
      <c r="E241"/>
      <c r="BN241" s="27" t="s">
        <v>7</v>
      </c>
      <c r="BO241" s="27" t="s">
        <v>8</v>
      </c>
      <c r="BX241" s="27" t="s">
        <v>7</v>
      </c>
      <c r="BY241" s="27" t="s">
        <v>8</v>
      </c>
      <c r="CA241" s="27" t="s">
        <v>8</v>
      </c>
      <c r="CC241" s="27" t="s">
        <v>8</v>
      </c>
      <c r="CD241" s="27" t="s">
        <v>7</v>
      </c>
      <c r="CE241" s="27" t="s">
        <v>8</v>
      </c>
      <c r="CF241" s="27" t="s">
        <v>7</v>
      </c>
      <c r="CG241" s="27" t="s">
        <v>8</v>
      </c>
      <c r="CH241" s="27" t="s">
        <v>7</v>
      </c>
      <c r="CI241" s="27" t="s">
        <v>8</v>
      </c>
      <c r="CJ241" s="27" t="s">
        <v>7</v>
      </c>
      <c r="CK241" s="27" t="s">
        <v>8</v>
      </c>
      <c r="CV241" s="27" t="s">
        <v>7</v>
      </c>
      <c r="CW241" s="27" t="s">
        <v>8</v>
      </c>
      <c r="EJ241" s="27" t="s">
        <v>7</v>
      </c>
      <c r="EL241" s="27" t="s">
        <v>7</v>
      </c>
    </row>
    <row r="242" spans="1:142" x14ac:dyDescent="0.25">
      <c r="A242" s="30">
        <v>0.90702947845804915</v>
      </c>
      <c r="B242"/>
      <c r="C242"/>
      <c r="D242"/>
      <c r="E242"/>
      <c r="BN242" s="27" t="s">
        <v>7</v>
      </c>
      <c r="BO242" s="27" t="s">
        <v>8</v>
      </c>
      <c r="BX242" s="27" t="s">
        <v>7</v>
      </c>
      <c r="BY242" s="27" t="s">
        <v>8</v>
      </c>
      <c r="BZ242" s="27" t="s">
        <v>7</v>
      </c>
      <c r="CA242" s="27" t="s">
        <v>8</v>
      </c>
      <c r="CB242" s="27" t="s">
        <v>7</v>
      </c>
      <c r="CC242" s="27" t="s">
        <v>8</v>
      </c>
      <c r="CD242" s="27" t="s">
        <v>7</v>
      </c>
      <c r="CE242" s="27" t="s">
        <v>8</v>
      </c>
      <c r="CF242" s="27" t="s">
        <v>7</v>
      </c>
      <c r="CG242" s="27" t="s">
        <v>8</v>
      </c>
      <c r="CH242" s="27" t="s">
        <v>7</v>
      </c>
      <c r="CI242" s="27" t="s">
        <v>8</v>
      </c>
      <c r="CJ242" s="27" t="s">
        <v>7</v>
      </c>
      <c r="CV242" s="27" t="s">
        <v>7</v>
      </c>
    </row>
    <row r="243" spans="1:142" x14ac:dyDescent="0.25">
      <c r="A243" s="30">
        <v>0.86383759853147501</v>
      </c>
      <c r="B243"/>
      <c r="C243"/>
      <c r="D243"/>
      <c r="E243"/>
      <c r="BN243" s="27" t="s">
        <v>7</v>
      </c>
      <c r="BO243" s="27" t="s">
        <v>8</v>
      </c>
      <c r="BX243" s="27" t="s">
        <v>7</v>
      </c>
      <c r="BY243" s="27" t="s">
        <v>8</v>
      </c>
      <c r="BZ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F243" s="27" t="s">
        <v>7</v>
      </c>
      <c r="CG243" s="27" t="s">
        <v>8</v>
      </c>
      <c r="CH243" s="27" t="s">
        <v>7</v>
      </c>
      <c r="CI243" s="27" t="s">
        <v>8</v>
      </c>
    </row>
    <row r="244" spans="1:142" x14ac:dyDescent="0.25">
      <c r="A244" s="30">
        <v>0.82270247479188063</v>
      </c>
      <c r="B244"/>
      <c r="C244"/>
      <c r="D244"/>
      <c r="E244"/>
      <c r="BN244" s="27" t="s">
        <v>7</v>
      </c>
      <c r="BO244" s="27" t="s">
        <v>8</v>
      </c>
      <c r="BX244" s="27" t="s">
        <v>7</v>
      </c>
      <c r="BZ244" s="27" t="s">
        <v>7</v>
      </c>
      <c r="CA244" s="27" t="s">
        <v>8</v>
      </c>
      <c r="CB244" s="27" t="s">
        <v>7</v>
      </c>
      <c r="CC244" s="27" t="s">
        <v>8</v>
      </c>
      <c r="CF244" s="27" t="s">
        <v>7</v>
      </c>
      <c r="CH244" s="18" t="s">
        <v>7</v>
      </c>
      <c r="CI244" s="27" t="s">
        <v>8</v>
      </c>
    </row>
    <row r="245" spans="1:142" x14ac:dyDescent="0.25">
      <c r="A245" s="30">
        <v>0.78352616646845741</v>
      </c>
      <c r="B245"/>
      <c r="C245"/>
      <c r="D245"/>
      <c r="E245"/>
      <c r="BN245" s="27" t="s">
        <v>7</v>
      </c>
      <c r="BO245" s="27" t="s">
        <v>8</v>
      </c>
      <c r="BZ245" s="27" t="s">
        <v>7</v>
      </c>
      <c r="CA245" s="27" t="s">
        <v>8</v>
      </c>
      <c r="CB245" s="27" t="s">
        <v>7</v>
      </c>
      <c r="CH245" s="27" t="s">
        <v>7</v>
      </c>
    </row>
    <row r="246" spans="1:142" x14ac:dyDescent="0.25">
      <c r="A246" s="30">
        <v>0.74621539663662584</v>
      </c>
      <c r="B246"/>
      <c r="C246"/>
      <c r="D246"/>
      <c r="E246"/>
      <c r="BN246" s="27" t="s">
        <v>7</v>
      </c>
      <c r="BZ246" s="27" t="s">
        <v>7</v>
      </c>
      <c r="CA246" s="27" t="s">
        <v>8</v>
      </c>
    </row>
    <row r="247" spans="1:142" x14ac:dyDescent="0.25">
      <c r="A247" s="30">
        <v>0.71068133013011958</v>
      </c>
      <c r="B247"/>
      <c r="C247"/>
      <c r="D247"/>
      <c r="E247"/>
      <c r="BZ247" s="27" t="s">
        <v>7</v>
      </c>
    </row>
    <row r="248" spans="1:142" x14ac:dyDescent="0.25">
      <c r="A248" s="30">
        <v>0.676839362028685</v>
      </c>
      <c r="B248"/>
      <c r="C248"/>
      <c r="D248"/>
      <c r="E248"/>
    </row>
    <row r="249" spans="1:142" x14ac:dyDescent="0.25">
      <c r="A249" s="30">
        <v>0.64460891621779492</v>
      </c>
      <c r="B249"/>
      <c r="C249"/>
      <c r="D249"/>
      <c r="E249"/>
    </row>
    <row r="250" spans="1:142" x14ac:dyDescent="0.25">
      <c r="A250" s="30">
        <v>0.61391325354075688</v>
      </c>
      <c r="B250"/>
      <c r="C250"/>
      <c r="D250"/>
      <c r="E250"/>
    </row>
    <row r="251" spans="1:142" x14ac:dyDescent="0.25">
      <c r="A251" s="30">
        <v>0.58467928908643485</v>
      </c>
      <c r="B251"/>
      <c r="C251"/>
      <c r="D251"/>
      <c r="E251"/>
    </row>
    <row r="252" spans="1:142" x14ac:dyDescent="0.25">
      <c r="A252" s="30">
        <v>0.55683741817755672</v>
      </c>
      <c r="B252"/>
      <c r="C252"/>
      <c r="D252"/>
      <c r="E252"/>
    </row>
    <row r="253" spans="1:142" x14ac:dyDescent="0.25">
      <c r="A253" s="30">
        <v>0.53032135064529184</v>
      </c>
      <c r="B253"/>
      <c r="C253"/>
      <c r="D253"/>
      <c r="E253"/>
    </row>
    <row r="254" spans="1:142" x14ac:dyDescent="0.25">
      <c r="A254" s="30">
        <v>0.50506795299551588</v>
      </c>
      <c r="B254"/>
      <c r="C254"/>
      <c r="D254"/>
      <c r="E254"/>
    </row>
    <row r="255" spans="1:142" x14ac:dyDescent="0.25">
      <c r="A255" s="30">
        <v>0.48101709809096732</v>
      </c>
      <c r="E255"/>
    </row>
    <row r="256" spans="1:142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8" operator="equal">
      <formula>$U$1</formula>
    </cfRule>
    <cfRule type="cellIs" dxfId="67" priority="859" operator="equal">
      <formula>$S$1</formula>
    </cfRule>
  </conditionalFormatting>
  <conditionalFormatting sqref="D136">
    <cfRule type="cellIs" dxfId="66" priority="856" operator="equal">
      <formula>$S$1</formula>
    </cfRule>
    <cfRule type="cellIs" dxfId="65" priority="857" operator="equal">
      <formula>$U$1</formula>
    </cfRule>
  </conditionalFormatting>
  <conditionalFormatting sqref="C162">
    <cfRule type="cellIs" dxfId="64" priority="854" operator="equal">
      <formula>$U$1</formula>
    </cfRule>
    <cfRule type="cellIs" dxfId="63" priority="855" operator="equal">
      <formula>$S$1</formula>
    </cfRule>
  </conditionalFormatting>
  <conditionalFormatting sqref="D162">
    <cfRule type="cellIs" dxfId="62" priority="852" operator="equal">
      <formula>$S$1</formula>
    </cfRule>
    <cfRule type="cellIs" dxfId="61" priority="853" operator="equal">
      <formula>$U$1</formula>
    </cfRule>
  </conditionalFormatting>
  <conditionalFormatting sqref="C187">
    <cfRule type="cellIs" dxfId="60" priority="850" operator="equal">
      <formula>$U$1</formula>
    </cfRule>
    <cfRule type="cellIs" dxfId="59" priority="851" operator="equal">
      <formula>$S$1</formula>
    </cfRule>
  </conditionalFormatting>
  <conditionalFormatting sqref="D187">
    <cfRule type="cellIs" dxfId="58" priority="848" operator="equal">
      <formula>$S$1</formula>
    </cfRule>
    <cfRule type="cellIs" dxfId="57" priority="849" operator="equal">
      <formula>$U$1</formula>
    </cfRule>
  </conditionalFormatting>
  <conditionalFormatting sqref="C212">
    <cfRule type="cellIs" dxfId="56" priority="846" operator="equal">
      <formula>$U$1</formula>
    </cfRule>
    <cfRule type="cellIs" dxfId="55" priority="847" operator="equal">
      <formula>$S$1</formula>
    </cfRule>
  </conditionalFormatting>
  <conditionalFormatting sqref="D212">
    <cfRule type="cellIs" dxfId="54" priority="844" operator="equal">
      <formula>$S$1</formula>
    </cfRule>
    <cfRule type="cellIs" dxfId="53" priority="845" operator="equal">
      <formula>$U$1</formula>
    </cfRule>
  </conditionalFormatting>
  <conditionalFormatting sqref="C237">
    <cfRule type="cellIs" dxfId="52" priority="842" operator="equal">
      <formula>$U$1</formula>
    </cfRule>
    <cfRule type="cellIs" dxfId="51" priority="843" operator="equal">
      <formula>$S$1</formula>
    </cfRule>
  </conditionalFormatting>
  <conditionalFormatting sqref="D237">
    <cfRule type="cellIs" dxfId="50" priority="840" operator="equal">
      <formula>$S$1</formula>
    </cfRule>
    <cfRule type="cellIs" dxfId="49" priority="841" operator="equal">
      <formula>$U$1</formula>
    </cfRule>
  </conditionalFormatting>
  <conditionalFormatting sqref="C106">
    <cfRule type="cellIs" dxfId="48" priority="838" operator="equal">
      <formula>$U$1</formula>
    </cfRule>
    <cfRule type="cellIs" dxfId="47" priority="839" operator="equal">
      <formula>$S$1</formula>
    </cfRule>
  </conditionalFormatting>
  <conditionalFormatting sqref="D106">
    <cfRule type="cellIs" dxfId="46" priority="836" operator="equal">
      <formula>$S$1</formula>
    </cfRule>
    <cfRule type="cellIs" dxfId="45" priority="837" operator="equal">
      <formula>$U$1</formula>
    </cfRule>
  </conditionalFormatting>
  <conditionalFormatting sqref="C81">
    <cfRule type="cellIs" dxfId="44" priority="834" operator="equal">
      <formula>$U$1</formula>
    </cfRule>
    <cfRule type="cellIs" dxfId="43" priority="835" operator="equal">
      <formula>$S$1</formula>
    </cfRule>
  </conditionalFormatting>
  <conditionalFormatting sqref="D81">
    <cfRule type="cellIs" dxfId="42" priority="832" operator="equal">
      <formula>$S$1</formula>
    </cfRule>
    <cfRule type="cellIs" dxfId="41" priority="833" operator="equal">
      <formula>$U$1</formula>
    </cfRule>
  </conditionalFormatting>
  <conditionalFormatting sqref="C56">
    <cfRule type="cellIs" dxfId="40" priority="830" operator="equal">
      <formula>$U$1</formula>
    </cfRule>
    <cfRule type="cellIs" dxfId="39" priority="831" operator="equal">
      <formula>$S$1</formula>
    </cfRule>
  </conditionalFormatting>
  <conditionalFormatting sqref="D56">
    <cfRule type="cellIs" dxfId="38" priority="828" operator="equal">
      <formula>$S$1</formula>
    </cfRule>
    <cfRule type="cellIs" dxfId="37" priority="829" operator="equal">
      <formula>$U$1</formula>
    </cfRule>
  </conditionalFormatting>
  <conditionalFormatting sqref="C31">
    <cfRule type="cellIs" dxfId="36" priority="826" operator="equal">
      <formula>$U$1</formula>
    </cfRule>
    <cfRule type="cellIs" dxfId="35" priority="827" operator="equal">
      <formula>$S$1</formula>
    </cfRule>
  </conditionalFormatting>
  <conditionalFormatting sqref="D31">
    <cfRule type="cellIs" dxfId="34" priority="824" operator="equal">
      <formula>$S$1</formula>
    </cfRule>
    <cfRule type="cellIs" dxfId="33" priority="82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121" sqref="BH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4" x14ac:dyDescent="0.25">
      <c r="A97" s="30">
        <v>9.849732675807628</v>
      </c>
      <c r="E97"/>
      <c r="AW97" s="27" t="s">
        <v>8</v>
      </c>
    </row>
    <row r="98" spans="1:54" x14ac:dyDescent="0.25">
      <c r="A98" s="30">
        <v>8.9543024325523888</v>
      </c>
      <c r="C98" s="1" t="s">
        <v>13</v>
      </c>
      <c r="E98"/>
      <c r="AW98" s="27" t="s">
        <v>8</v>
      </c>
      <c r="AX98" s="27" t="s">
        <v>7</v>
      </c>
    </row>
    <row r="99" spans="1:54" x14ac:dyDescent="0.25">
      <c r="A99" s="30">
        <v>8.140274938683989</v>
      </c>
      <c r="C99" s="1">
        <f>C88</f>
        <v>0</v>
      </c>
      <c r="E99"/>
      <c r="AW99" s="27" t="s">
        <v>8</v>
      </c>
      <c r="AX99" s="27" t="s">
        <v>7</v>
      </c>
    </row>
    <row r="100" spans="1:54" x14ac:dyDescent="0.25">
      <c r="A100" s="30">
        <v>7.4002499442581717</v>
      </c>
      <c r="C100"/>
      <c r="D100"/>
      <c r="E100"/>
      <c r="AW100" s="27" t="s">
        <v>8</v>
      </c>
      <c r="AX100" s="27" t="s">
        <v>7</v>
      </c>
    </row>
    <row r="101" spans="1:54" x14ac:dyDescent="0.25">
      <c r="A101" s="30">
        <v>6.72749994932561</v>
      </c>
      <c r="C101" s="1" t="s">
        <v>14</v>
      </c>
      <c r="E101"/>
      <c r="AW101" s="27" t="s">
        <v>8</v>
      </c>
      <c r="AX101" s="27" t="s">
        <v>7</v>
      </c>
    </row>
    <row r="102" spans="1:5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W102" s="27" t="s">
        <v>8</v>
      </c>
      <c r="AX102" s="27" t="s">
        <v>7</v>
      </c>
    </row>
    <row r="103" spans="1:54" x14ac:dyDescent="0.25">
      <c r="A103" s="30">
        <v>5.5599173134922388</v>
      </c>
      <c r="E103"/>
      <c r="AW103" s="27" t="s">
        <v>8</v>
      </c>
      <c r="AX103" s="27" t="s">
        <v>7</v>
      </c>
    </row>
    <row r="104" spans="1:54" x14ac:dyDescent="0.25">
      <c r="A104" s="30">
        <v>5.0544702849929442</v>
      </c>
      <c r="E104"/>
      <c r="AW104" s="27" t="s">
        <v>8</v>
      </c>
      <c r="AX104" s="27" t="s">
        <v>7</v>
      </c>
    </row>
    <row r="105" spans="1:54" x14ac:dyDescent="0.25">
      <c r="A105" s="30">
        <v>4.594972986357222</v>
      </c>
      <c r="E105"/>
      <c r="Q105" s="27" t="s">
        <v>8</v>
      </c>
      <c r="S105" s="27" t="s">
        <v>8</v>
      </c>
      <c r="AW105" s="27" t="s">
        <v>8</v>
      </c>
      <c r="AX105" s="27" t="s">
        <v>7</v>
      </c>
    </row>
    <row r="106" spans="1:54" x14ac:dyDescent="0.25">
      <c r="A106" s="30">
        <v>4.1772481694156562</v>
      </c>
      <c r="E106"/>
      <c r="Q106" s="27" t="s">
        <v>8</v>
      </c>
      <c r="R106" s="27" t="s">
        <v>7</v>
      </c>
      <c r="S106" s="27" t="s">
        <v>8</v>
      </c>
      <c r="T106" s="27" t="s">
        <v>7</v>
      </c>
      <c r="Y106" s="27" t="s">
        <v>8</v>
      </c>
      <c r="AW106" s="27" t="s">
        <v>8</v>
      </c>
      <c r="AX106" s="27" t="s">
        <v>7</v>
      </c>
    </row>
    <row r="107" spans="1:54" x14ac:dyDescent="0.25">
      <c r="A107" s="30">
        <v>3.7974983358324148</v>
      </c>
      <c r="E107"/>
      <c r="G107" s="27" t="s">
        <v>8</v>
      </c>
      <c r="Q107" s="27" t="s">
        <v>8</v>
      </c>
      <c r="R107" s="27" t="s">
        <v>7</v>
      </c>
      <c r="S107" s="27" t="s">
        <v>8</v>
      </c>
      <c r="T107" s="27" t="s">
        <v>7</v>
      </c>
      <c r="Y107" s="27" t="s">
        <v>8</v>
      </c>
      <c r="Z107" s="27" t="s">
        <v>7</v>
      </c>
      <c r="AW107" s="27" t="s">
        <v>8</v>
      </c>
      <c r="AX107" s="27" t="s">
        <v>7</v>
      </c>
    </row>
    <row r="108" spans="1:54" x14ac:dyDescent="0.25">
      <c r="A108" s="30">
        <v>3.4522712143931042</v>
      </c>
      <c r="E108"/>
      <c r="G108" s="27" t="s">
        <v>8</v>
      </c>
      <c r="H108" s="27" t="s">
        <v>7</v>
      </c>
      <c r="O108" s="27" t="s">
        <v>8</v>
      </c>
      <c r="Q108" s="27" t="s">
        <v>8</v>
      </c>
      <c r="R108" s="27" t="s">
        <v>7</v>
      </c>
      <c r="S108" s="27" t="s">
        <v>8</v>
      </c>
      <c r="T108" s="27" t="s">
        <v>7</v>
      </c>
      <c r="Y108" s="27" t="s">
        <v>8</v>
      </c>
      <c r="Z108" s="27" t="s">
        <v>7</v>
      </c>
      <c r="AW108" s="27" t="s">
        <v>8</v>
      </c>
      <c r="AX108" s="27" t="s">
        <v>7</v>
      </c>
    </row>
    <row r="109" spans="1:54" x14ac:dyDescent="0.25">
      <c r="A109" s="30">
        <v>3.1384283767210035</v>
      </c>
      <c r="E109"/>
      <c r="G109" s="27" t="s">
        <v>8</v>
      </c>
      <c r="H109" s="27" t="s">
        <v>7</v>
      </c>
      <c r="M109" s="27" t="s">
        <v>8</v>
      </c>
      <c r="O109" s="27" t="s">
        <v>8</v>
      </c>
      <c r="P109" s="27" t="s">
        <v>7</v>
      </c>
      <c r="Q109" s="27" t="s">
        <v>8</v>
      </c>
      <c r="R109" s="27" t="s">
        <v>7</v>
      </c>
      <c r="T109" s="27" t="s">
        <v>7</v>
      </c>
      <c r="W109" s="27" t="s">
        <v>8</v>
      </c>
      <c r="Y109" s="27" t="s">
        <v>8</v>
      </c>
      <c r="Z109" s="27" t="s">
        <v>7</v>
      </c>
      <c r="AA109" s="27" t="s">
        <v>8</v>
      </c>
      <c r="AW109" s="27" t="s">
        <v>8</v>
      </c>
      <c r="AX109" s="27" t="s">
        <v>7</v>
      </c>
      <c r="AY109" s="27" t="s">
        <v>8</v>
      </c>
    </row>
    <row r="110" spans="1:54" x14ac:dyDescent="0.25">
      <c r="A110" s="30">
        <v>2.8531167061100029</v>
      </c>
      <c r="E110" t="s">
        <v>8</v>
      </c>
      <c r="G110" s="27" t="s">
        <v>8</v>
      </c>
      <c r="H110" s="27" t="s">
        <v>7</v>
      </c>
      <c r="I110" s="27" t="s">
        <v>8</v>
      </c>
      <c r="M110" s="27" t="s">
        <v>8</v>
      </c>
      <c r="N110" s="27" t="s">
        <v>7</v>
      </c>
      <c r="O110" s="27" t="s">
        <v>8</v>
      </c>
      <c r="P110" s="27" t="s">
        <v>7</v>
      </c>
      <c r="Q110" s="27" t="s">
        <v>8</v>
      </c>
      <c r="T110" s="27" t="s">
        <v>7</v>
      </c>
      <c r="U110" s="27" t="s">
        <v>8</v>
      </c>
      <c r="W110" s="27" t="s">
        <v>8</v>
      </c>
      <c r="X110" s="27" t="s">
        <v>7</v>
      </c>
      <c r="Y110" s="27" t="s">
        <v>8</v>
      </c>
      <c r="Z110" s="27" t="s">
        <v>7</v>
      </c>
      <c r="AA110" s="27" t="s">
        <v>8</v>
      </c>
      <c r="AB110" s="27" t="s">
        <v>7</v>
      </c>
      <c r="AW110" s="27" t="s">
        <v>8</v>
      </c>
      <c r="AX110" s="27" t="s">
        <v>7</v>
      </c>
      <c r="AY110" s="27" t="s">
        <v>8</v>
      </c>
      <c r="AZ110" s="27" t="s">
        <v>7</v>
      </c>
      <c r="BA110" s="27" t="s">
        <v>8</v>
      </c>
    </row>
    <row r="111" spans="1:54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$BH$120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  <c r="K111" s="27" t="s">
        <v>8</v>
      </c>
      <c r="M111" s="27" t="s">
        <v>8</v>
      </c>
      <c r="N111" s="27" t="s">
        <v>7</v>
      </c>
      <c r="O111" s="27" t="s">
        <v>8</v>
      </c>
      <c r="P111" s="27" t="s">
        <v>7</v>
      </c>
      <c r="T111" s="27" t="s">
        <v>7</v>
      </c>
      <c r="U111" s="27" t="s">
        <v>8</v>
      </c>
      <c r="V111" s="27" t="s">
        <v>7</v>
      </c>
      <c r="W111" s="27" t="s">
        <v>8</v>
      </c>
      <c r="X111" s="27" t="s">
        <v>7</v>
      </c>
      <c r="Y111" s="27" t="s">
        <v>8</v>
      </c>
      <c r="Z111" s="27" t="s">
        <v>7</v>
      </c>
      <c r="AA111" s="27" t="s">
        <v>8</v>
      </c>
      <c r="AB111" s="27" t="s">
        <v>7</v>
      </c>
      <c r="AS111" s="27" t="s">
        <v>8</v>
      </c>
      <c r="AW111" s="27" t="s">
        <v>8</v>
      </c>
      <c r="AX111" s="27" t="s">
        <v>7</v>
      </c>
      <c r="AY111" s="27" t="s">
        <v>8</v>
      </c>
      <c r="AZ111" s="27" t="s">
        <v>7</v>
      </c>
      <c r="BA111" s="27" t="s">
        <v>8</v>
      </c>
      <c r="BB111" s="27" t="s">
        <v>7</v>
      </c>
    </row>
    <row r="112" spans="1:54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$BG$121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  <c r="J112" s="27" t="s">
        <v>7</v>
      </c>
      <c r="K112" s="27" t="s">
        <v>8</v>
      </c>
      <c r="L112" s="27" t="s">
        <v>7</v>
      </c>
      <c r="M112" s="27" t="s">
        <v>8</v>
      </c>
      <c r="N112" s="27" t="s">
        <v>7</v>
      </c>
      <c r="O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X112" s="27" t="s">
        <v>7</v>
      </c>
      <c r="Z112" s="27" t="s">
        <v>7</v>
      </c>
      <c r="AB112" s="27" t="s">
        <v>7</v>
      </c>
      <c r="AS112" s="27" t="s">
        <v>8</v>
      </c>
      <c r="AT112" s="27" t="s">
        <v>7</v>
      </c>
      <c r="AW112" s="27" t="s">
        <v>8</v>
      </c>
      <c r="AX112" s="27" t="s">
        <v>7</v>
      </c>
      <c r="AY112" s="27" t="s">
        <v>8</v>
      </c>
      <c r="AZ112" s="27" t="s">
        <v>7</v>
      </c>
      <c r="BA112" s="27" t="s">
        <v>8</v>
      </c>
      <c r="BB112" s="27" t="s">
        <v>7</v>
      </c>
    </row>
    <row r="113" spans="1:60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$BI$120</v>
      </c>
      <c r="E113" s="1" t="s">
        <v>8</v>
      </c>
      <c r="F113" s="27" t="s">
        <v>7</v>
      </c>
      <c r="G113" s="27" t="s">
        <v>8</v>
      </c>
      <c r="H113" s="27" t="s">
        <v>7</v>
      </c>
      <c r="I113" s="27" t="s">
        <v>8</v>
      </c>
      <c r="J113" s="27" t="s">
        <v>7</v>
      </c>
      <c r="K113" s="27" t="s">
        <v>8</v>
      </c>
      <c r="L113" s="27" t="s">
        <v>7</v>
      </c>
      <c r="M113" s="27" t="s">
        <v>8</v>
      </c>
      <c r="N113" s="27" t="s">
        <v>7</v>
      </c>
      <c r="T113" s="27" t="s">
        <v>7</v>
      </c>
      <c r="V113" s="27" t="s">
        <v>7</v>
      </c>
      <c r="W113" s="27" t="s">
        <v>8</v>
      </c>
      <c r="AB113" s="27" t="s">
        <v>7</v>
      </c>
      <c r="AS113" s="27" t="s">
        <v>8</v>
      </c>
      <c r="AT113" s="27" t="s">
        <v>7</v>
      </c>
      <c r="AU113" s="27" t="s">
        <v>8</v>
      </c>
      <c r="AW113" s="27" t="s">
        <v>8</v>
      </c>
      <c r="AX113" s="27" t="s">
        <v>7</v>
      </c>
      <c r="AZ113" s="27" t="s">
        <v>7</v>
      </c>
      <c r="BA113" s="27" t="s">
        <v>8</v>
      </c>
      <c r="BB113" s="27" t="s">
        <v>7</v>
      </c>
      <c r="BC113" s="27" t="s">
        <v>8</v>
      </c>
    </row>
    <row r="114" spans="1:60" x14ac:dyDescent="0.25">
      <c r="A114" s="30">
        <v>1.9487171000000014</v>
      </c>
      <c r="C114" s="1" t="str">
        <f>ADDRESS(C121,D121,1,1)</f>
        <v>$BH$121</v>
      </c>
      <c r="D114" s="1" t="str">
        <f>ADDRESS(C121+1,D121+1,1,1)</f>
        <v>$BI$122</v>
      </c>
      <c r="E114" s="1" t="s">
        <v>8</v>
      </c>
      <c r="F114" s="27" t="s">
        <v>7</v>
      </c>
      <c r="G114" s="27" t="s">
        <v>8</v>
      </c>
      <c r="H114" s="27" t="s">
        <v>7</v>
      </c>
      <c r="I114" s="27" t="s">
        <v>8</v>
      </c>
      <c r="J114" s="27" t="s">
        <v>7</v>
      </c>
      <c r="K114" s="27" t="s">
        <v>8</v>
      </c>
      <c r="L114" s="27" t="s">
        <v>7</v>
      </c>
      <c r="V114" s="27" t="s">
        <v>7</v>
      </c>
      <c r="AB114" s="27" t="s">
        <v>7</v>
      </c>
      <c r="AE114" s="27" t="s">
        <v>8</v>
      </c>
      <c r="AQ114" s="27" t="s">
        <v>8</v>
      </c>
      <c r="AS114" s="27" t="s">
        <v>8</v>
      </c>
      <c r="AT114" s="27" t="s">
        <v>7</v>
      </c>
      <c r="AU114" s="27" t="s">
        <v>8</v>
      </c>
      <c r="AV114" s="27" t="s">
        <v>7</v>
      </c>
      <c r="AW114" s="27" t="s">
        <v>8</v>
      </c>
      <c r="AZ114" s="27" t="s">
        <v>7</v>
      </c>
      <c r="BA114" s="27" t="s">
        <v>8</v>
      </c>
      <c r="BB114" s="27" t="s">
        <v>7</v>
      </c>
      <c r="BC114" s="27" t="s">
        <v>8</v>
      </c>
      <c r="BD114" s="27" t="s">
        <v>7</v>
      </c>
      <c r="BE114" s="27" t="s">
        <v>8</v>
      </c>
      <c r="BG114" s="27" t="s">
        <v>8</v>
      </c>
    </row>
    <row r="115" spans="1:60" x14ac:dyDescent="0.25">
      <c r="A115" s="30">
        <v>1.7715610000000011</v>
      </c>
      <c r="C115" s="1" t="str">
        <f>ADDRESS(C121+1,D121,1,1)</f>
        <v>$BH$122</v>
      </c>
      <c r="E115" s="1" t="s">
        <v>8</v>
      </c>
      <c r="F115" s="27" t="s">
        <v>7</v>
      </c>
      <c r="H115" s="27" t="s">
        <v>7</v>
      </c>
      <c r="J115" s="27" t="s">
        <v>7</v>
      </c>
      <c r="K115" s="27" t="s">
        <v>8</v>
      </c>
      <c r="AB115" s="27" t="s">
        <v>7</v>
      </c>
      <c r="AE115" s="27" t="s">
        <v>8</v>
      </c>
      <c r="AF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  <c r="AU115" s="27" t="s">
        <v>8</v>
      </c>
      <c r="AV115" s="27" t="s">
        <v>7</v>
      </c>
      <c r="AW115" s="27" t="s">
        <v>8</v>
      </c>
      <c r="AZ115" s="27" t="s">
        <v>7</v>
      </c>
      <c r="BA115" s="27" t="s">
        <v>8</v>
      </c>
      <c r="BB115" s="27" t="s">
        <v>7</v>
      </c>
      <c r="BC115" s="27" t="s">
        <v>8</v>
      </c>
      <c r="BD115" s="27" t="s">
        <v>7</v>
      </c>
      <c r="BE115" s="27" t="s">
        <v>8</v>
      </c>
      <c r="BF115" s="27" t="s">
        <v>7</v>
      </c>
      <c r="BG115" s="27" t="s">
        <v>8</v>
      </c>
      <c r="BH115" s="27" t="s">
        <v>7</v>
      </c>
    </row>
    <row r="116" spans="1:60" x14ac:dyDescent="0.25">
      <c r="A116" s="30">
        <v>1.6105100000000008</v>
      </c>
      <c r="C116" s="1">
        <f>C117-1</f>
        <v>120</v>
      </c>
      <c r="E116" s="1" t="s">
        <v>8</v>
      </c>
      <c r="J116" s="27" t="s">
        <v>7</v>
      </c>
      <c r="AB116" s="27" t="s">
        <v>7</v>
      </c>
      <c r="AE116" s="27" t="s">
        <v>8</v>
      </c>
      <c r="AF116" s="27" t="s">
        <v>7</v>
      </c>
      <c r="AI116" s="27" t="s">
        <v>8</v>
      </c>
      <c r="AQ116" s="27" t="s">
        <v>8</v>
      </c>
      <c r="AR116" s="27" t="s">
        <v>7</v>
      </c>
      <c r="AS116" s="27" t="s">
        <v>8</v>
      </c>
      <c r="AT116" s="27" t="s">
        <v>7</v>
      </c>
      <c r="AU116" s="27" t="s">
        <v>8</v>
      </c>
      <c r="AV116" s="27" t="s">
        <v>7</v>
      </c>
      <c r="AW116" s="27" t="s">
        <v>8</v>
      </c>
      <c r="AZ116" s="27" t="s">
        <v>7</v>
      </c>
      <c r="BB116" s="27" t="s">
        <v>7</v>
      </c>
      <c r="BC116" s="27" t="s">
        <v>8</v>
      </c>
      <c r="BD116" s="27" t="s">
        <v>7</v>
      </c>
      <c r="BE116" s="27" t="s">
        <v>8</v>
      </c>
      <c r="BF116" s="27" t="s">
        <v>7</v>
      </c>
      <c r="BG116" s="27" t="s">
        <v>8</v>
      </c>
      <c r="BH116" s="27" t="s">
        <v>7</v>
      </c>
    </row>
    <row r="117" spans="1:60" x14ac:dyDescent="0.25">
      <c r="A117" s="30">
        <v>1.4641000000000006</v>
      </c>
      <c r="C117" s="1">
        <f>C121</f>
        <v>121</v>
      </c>
      <c r="D117" s="1">
        <f>D121</f>
        <v>60</v>
      </c>
      <c r="E117" s="1" t="s">
        <v>8</v>
      </c>
      <c r="AB117" s="27" t="s">
        <v>7</v>
      </c>
      <c r="AC117" s="27" t="s">
        <v>8</v>
      </c>
      <c r="AE117" s="27" t="s">
        <v>8</v>
      </c>
      <c r="AF117" s="27" t="s">
        <v>7</v>
      </c>
      <c r="AG117" s="27" t="s">
        <v>8</v>
      </c>
      <c r="AI117" s="27" t="s">
        <v>8</v>
      </c>
      <c r="AJ117" s="27" t="s">
        <v>7</v>
      </c>
      <c r="AQ117" s="27" t="s">
        <v>8</v>
      </c>
      <c r="AR117" s="27" t="s">
        <v>7</v>
      </c>
      <c r="AS117" s="27" t="s">
        <v>8</v>
      </c>
      <c r="AT117" s="27" t="s">
        <v>7</v>
      </c>
      <c r="AU117" s="27" t="s">
        <v>8</v>
      </c>
      <c r="AV117" s="27" t="s">
        <v>7</v>
      </c>
      <c r="BB117" s="27" t="s">
        <v>7</v>
      </c>
      <c r="BD117" s="27" t="s">
        <v>7</v>
      </c>
      <c r="BE117" s="27" t="s">
        <v>8</v>
      </c>
      <c r="BF117" s="27" t="s">
        <v>7</v>
      </c>
      <c r="BG117" s="27" t="s">
        <v>8</v>
      </c>
      <c r="BH117" s="27" t="s">
        <v>7</v>
      </c>
    </row>
    <row r="118" spans="1:60" x14ac:dyDescent="0.25">
      <c r="A118" s="30">
        <v>1.3310000000000004</v>
      </c>
      <c r="C118" s="1">
        <f>C117+1</f>
        <v>122</v>
      </c>
      <c r="D118" s="1">
        <f>D117+1</f>
        <v>61</v>
      </c>
      <c r="E118" s="1" t="s">
        <v>8</v>
      </c>
      <c r="AB118" s="27" t="s">
        <v>7</v>
      </c>
      <c r="AC118" s="27" t="s">
        <v>8</v>
      </c>
      <c r="AD118" s="27" t="s">
        <v>7</v>
      </c>
      <c r="AE118" s="27" t="s">
        <v>8</v>
      </c>
      <c r="AF118" s="27" t="s">
        <v>7</v>
      </c>
      <c r="AG118" s="27" t="s">
        <v>8</v>
      </c>
      <c r="AH118" s="27" t="s">
        <v>7</v>
      </c>
      <c r="AI118" s="27" t="s">
        <v>8</v>
      </c>
      <c r="AJ118" s="27" t="s">
        <v>7</v>
      </c>
      <c r="AM118" s="27" t="s">
        <v>8</v>
      </c>
      <c r="AQ118" s="27" t="s">
        <v>8</v>
      </c>
      <c r="AR118" s="27" t="s">
        <v>7</v>
      </c>
      <c r="AS118" s="27" t="s">
        <v>8</v>
      </c>
      <c r="AT118" s="27" t="s">
        <v>7</v>
      </c>
      <c r="AU118" s="27" t="s">
        <v>8</v>
      </c>
      <c r="BD118" s="27" t="s">
        <v>7</v>
      </c>
      <c r="BE118" s="27" t="s">
        <v>8</v>
      </c>
      <c r="BF118" s="27" t="s">
        <v>7</v>
      </c>
      <c r="BH118" s="27" t="s">
        <v>7</v>
      </c>
    </row>
    <row r="119" spans="1:60" x14ac:dyDescent="0.25">
      <c r="A119" s="30">
        <v>1.2100000000000002</v>
      </c>
      <c r="E119" s="1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27" t="s">
        <v>8</v>
      </c>
      <c r="AH119" s="27" t="s">
        <v>7</v>
      </c>
      <c r="AI119" s="27" t="s">
        <v>8</v>
      </c>
      <c r="AJ119" s="27" t="s">
        <v>7</v>
      </c>
      <c r="AK119" s="27" t="s">
        <v>8</v>
      </c>
      <c r="AM119" s="27" t="s">
        <v>8</v>
      </c>
      <c r="AN119" s="27" t="s">
        <v>7</v>
      </c>
      <c r="AQ119" s="27" t="s">
        <v>8</v>
      </c>
      <c r="AR119" s="27" t="s">
        <v>7</v>
      </c>
      <c r="AS119" s="27" t="s">
        <v>8</v>
      </c>
      <c r="AT119" s="27" t="s">
        <v>7</v>
      </c>
      <c r="BD119" s="27" t="s">
        <v>7</v>
      </c>
      <c r="BE119" s="27" t="s">
        <v>8</v>
      </c>
      <c r="BH119" s="27" t="s">
        <v>7</v>
      </c>
    </row>
    <row r="120" spans="1:60" x14ac:dyDescent="0.25">
      <c r="A120" s="30">
        <v>1.1000000000000001</v>
      </c>
      <c r="C120" s="1" t="s">
        <v>9</v>
      </c>
      <c r="E120" s="1" t="s">
        <v>8</v>
      </c>
      <c r="AB120" s="27" t="s">
        <v>7</v>
      </c>
      <c r="AD120" s="27" t="s">
        <v>7</v>
      </c>
      <c r="AE120" s="27" t="s">
        <v>8</v>
      </c>
      <c r="AF120" s="27" t="s">
        <v>7</v>
      </c>
      <c r="AH120" s="27" t="s">
        <v>7</v>
      </c>
      <c r="AI120" s="27" t="s">
        <v>8</v>
      </c>
      <c r="AJ120" s="27" t="s">
        <v>7</v>
      </c>
      <c r="AK120" s="27" t="s">
        <v>8</v>
      </c>
      <c r="AL120" s="27" t="s">
        <v>7</v>
      </c>
      <c r="AM120" s="27" t="s">
        <v>8</v>
      </c>
      <c r="AN120" s="27" t="s">
        <v>7</v>
      </c>
      <c r="AO120" s="27" t="s">
        <v>8</v>
      </c>
      <c r="AQ120" s="27" t="s">
        <v>8</v>
      </c>
      <c r="AR120" s="27" t="s">
        <v>7</v>
      </c>
      <c r="AS120" s="27" t="s">
        <v>8</v>
      </c>
      <c r="BD120" s="27" t="s">
        <v>7</v>
      </c>
      <c r="BH120" s="27" t="s">
        <v>7</v>
      </c>
    </row>
    <row r="121" spans="1:60" x14ac:dyDescent="0.25">
      <c r="A121" s="30">
        <v>1</v>
      </c>
      <c r="C121" s="18">
        <v>121</v>
      </c>
      <c r="D121" s="19">
        <v>60</v>
      </c>
      <c r="E121" s="18" t="s">
        <v>8</v>
      </c>
      <c r="AD121" s="27" t="s">
        <v>7</v>
      </c>
      <c r="AE121" s="27" t="s">
        <v>8</v>
      </c>
      <c r="AH121" s="27" t="s">
        <v>7</v>
      </c>
      <c r="AJ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BH121" s="27" t="s">
        <v>7</v>
      </c>
    </row>
    <row r="122" spans="1:60" x14ac:dyDescent="0.25">
      <c r="A122" s="30">
        <v>0.90909090909090895</v>
      </c>
      <c r="C122" s="1" t="str">
        <f>INDEX(1:1048576,C117,D117)</f>
        <v>O</v>
      </c>
      <c r="AD122" s="27" t="s">
        <v>7</v>
      </c>
      <c r="AE122" s="27" t="s">
        <v>8</v>
      </c>
      <c r="AJ122" s="27" t="s">
        <v>7</v>
      </c>
      <c r="AK122" s="27" t="s">
        <v>8</v>
      </c>
      <c r="AL122" s="27" t="s">
        <v>7</v>
      </c>
      <c r="AN122" s="27" t="s">
        <v>7</v>
      </c>
      <c r="AO122" s="27" t="s">
        <v>8</v>
      </c>
      <c r="AP122" s="27" t="s">
        <v>7</v>
      </c>
      <c r="AQ122" s="27" t="s">
        <v>8</v>
      </c>
      <c r="AR122" s="27" t="s">
        <v>7</v>
      </c>
    </row>
    <row r="123" spans="1:60" x14ac:dyDescent="0.25">
      <c r="A123" s="30">
        <v>0.82644628099173523</v>
      </c>
      <c r="C123" s="1" t="str">
        <f>"R"&amp;C121</f>
        <v>R121</v>
      </c>
      <c r="D123" s="1" t="str">
        <f>"C"&amp;D121</f>
        <v>C60</v>
      </c>
      <c r="AD123" s="27" t="s">
        <v>7</v>
      </c>
      <c r="AE123" s="27" t="s">
        <v>8</v>
      </c>
      <c r="AJ123" s="27" t="s">
        <v>7</v>
      </c>
      <c r="AK123" s="27" t="s">
        <v>8</v>
      </c>
      <c r="AN123" s="27" t="s">
        <v>7</v>
      </c>
      <c r="AP123" s="18" t="s">
        <v>7</v>
      </c>
      <c r="AQ123" s="27" t="s">
        <v>8</v>
      </c>
    </row>
    <row r="124" spans="1:60" x14ac:dyDescent="0.25">
      <c r="A124" s="30">
        <v>0.75131480090157732</v>
      </c>
      <c r="C124" s="1">
        <f>SUM(C130:D130)</f>
        <v>0</v>
      </c>
      <c r="D124" s="1">
        <f>IF(C124=0,0,1)</f>
        <v>0</v>
      </c>
      <c r="AD124" s="27" t="s">
        <v>7</v>
      </c>
      <c r="AJ124" s="27" t="s">
        <v>7</v>
      </c>
      <c r="AP124" s="27" t="s">
        <v>7</v>
      </c>
    </row>
    <row r="125" spans="1:60" x14ac:dyDescent="0.25">
      <c r="A125" s="30">
        <v>0.68301345536507019</v>
      </c>
    </row>
    <row r="126" spans="1:60" x14ac:dyDescent="0.25">
      <c r="A126" s="30">
        <v>0.6209213230591546</v>
      </c>
      <c r="C126" s="1" t="s">
        <v>10</v>
      </c>
    </row>
    <row r="127" spans="1:60" x14ac:dyDescent="0.25">
      <c r="A127" s="30">
        <v>0.56447393005377677</v>
      </c>
      <c r="C127" s="30">
        <v>1</v>
      </c>
      <c r="D127"/>
    </row>
    <row r="128" spans="1:60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42" operator="equal">
      <formula>$U$1</formula>
    </cfRule>
    <cfRule type="cellIs" dxfId="30" priority="843" operator="equal">
      <formula>$S$1</formula>
    </cfRule>
  </conditionalFormatting>
  <conditionalFormatting sqref="D136">
    <cfRule type="cellIs" dxfId="29" priority="840" operator="equal">
      <formula>$S$1</formula>
    </cfRule>
    <cfRule type="cellIs" dxfId="28" priority="841" operator="equal">
      <formula>$U$1</formula>
    </cfRule>
  </conditionalFormatting>
  <conditionalFormatting sqref="C102">
    <cfRule type="cellIs" dxfId="27" priority="838" operator="equal">
      <formula>$U$1</formula>
    </cfRule>
    <cfRule type="cellIs" dxfId="26" priority="839" operator="equal">
      <formula>$S$1</formula>
    </cfRule>
  </conditionalFormatting>
  <conditionalFormatting sqref="D102">
    <cfRule type="cellIs" dxfId="25" priority="836" operator="equal">
      <formula>$S$1</formula>
    </cfRule>
    <cfRule type="cellIs" dxfId="24" priority="837" operator="equal">
      <formula>$U$1</formula>
    </cfRule>
  </conditionalFormatting>
  <conditionalFormatting sqref="C77">
    <cfRule type="cellIs" dxfId="23" priority="834" operator="equal">
      <formula>$U$1</formula>
    </cfRule>
    <cfRule type="cellIs" dxfId="22" priority="835" operator="equal">
      <formula>$S$1</formula>
    </cfRule>
  </conditionalFormatting>
  <conditionalFormatting sqref="D77">
    <cfRule type="cellIs" dxfId="21" priority="832" operator="equal">
      <formula>$S$1</formula>
    </cfRule>
    <cfRule type="cellIs" dxfId="20" priority="833" operator="equal">
      <formula>$U$1</formula>
    </cfRule>
  </conditionalFormatting>
  <conditionalFormatting sqref="C52">
    <cfRule type="cellIs" dxfId="19" priority="830" operator="equal">
      <formula>$U$1</formula>
    </cfRule>
    <cfRule type="cellIs" dxfId="18" priority="831" operator="equal">
      <formula>$S$1</formula>
    </cfRule>
  </conditionalFormatting>
  <conditionalFormatting sqref="D52">
    <cfRule type="cellIs" dxfId="17" priority="828" operator="equal">
      <formula>$S$1</formula>
    </cfRule>
    <cfRule type="cellIs" dxfId="16" priority="829" operator="equal">
      <formula>$U$1</formula>
    </cfRule>
  </conditionalFormatting>
  <conditionalFormatting sqref="C26">
    <cfRule type="cellIs" dxfId="15" priority="826" operator="equal">
      <formula>$U$1</formula>
    </cfRule>
    <cfRule type="cellIs" dxfId="14" priority="827" operator="equal">
      <formula>$S$1</formula>
    </cfRule>
  </conditionalFormatting>
  <conditionalFormatting sqref="D26">
    <cfRule type="cellIs" dxfId="13" priority="824" operator="equal">
      <formula>$S$1</formula>
    </cfRule>
    <cfRule type="cellIs" dxfId="12" priority="82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2022-01-28T01:15:28Z</dcterms:modified>
</cp:coreProperties>
</file>