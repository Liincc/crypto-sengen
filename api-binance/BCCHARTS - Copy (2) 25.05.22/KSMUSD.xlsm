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F71EF8E4-3A90-4055-A511-4CCD2502EA6F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5"/>
  <c r="C133" i="5" s="1"/>
  <c r="C136" i="5" s="1"/>
  <c r="C116" i="5"/>
  <c r="C122" i="4"/>
  <c r="C133" i="4" s="1"/>
  <c r="C136" i="4" s="1"/>
  <c r="C122" i="3"/>
  <c r="C133" i="3" s="1"/>
  <c r="D136" i="3" s="1"/>
  <c r="C116" i="4"/>
  <c r="C118" i="4"/>
  <c r="C116" i="3"/>
  <c r="C118" i="3"/>
  <c r="R765" i="1"/>
  <c r="D136" i="5" l="1"/>
  <c r="C138" i="5" s="1"/>
  <c r="D136" i="4"/>
  <c r="C138" i="4" s="1"/>
  <c r="C136" i="3"/>
  <c r="C138" i="3" s="1"/>
  <c r="R764" i="1"/>
  <c r="S765" i="1"/>
  <c r="T765" i="1" s="1"/>
  <c r="R763" i="1" l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S243" i="1" l="1"/>
  <c r="T243" i="1" s="1"/>
  <c r="R242" i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S235" i="1" l="1"/>
  <c r="T235" i="1" s="1"/>
  <c r="R234" i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S211" i="1" l="1"/>
  <c r="T211" i="1" s="1"/>
  <c r="R210" i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S195" i="1" l="1"/>
  <c r="T195" i="1" s="1"/>
  <c r="R194" i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R187" i="1" l="1"/>
  <c r="S188" i="1"/>
  <c r="T188" i="1" s="1"/>
  <c r="S187" i="1" l="1"/>
  <c r="T187" i="1" s="1"/>
  <c r="R186" i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R179" i="1" l="1"/>
  <c r="S180" i="1"/>
  <c r="T180" i="1" s="1"/>
  <c r="R178" i="1" l="1"/>
  <c r="S179" i="1"/>
  <c r="T179" i="1" s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R171" i="1" l="1"/>
  <c r="S172" i="1"/>
  <c r="T172" i="1" s="1"/>
  <c r="S171" i="1" l="1"/>
  <c r="T171" i="1" s="1"/>
  <c r="R170" i="1"/>
  <c r="R169" i="1" l="1"/>
  <c r="S170" i="1"/>
  <c r="T170" i="1" s="1"/>
  <c r="R168" i="1" l="1"/>
  <c r="S169" i="1"/>
  <c r="T169" i="1" s="1"/>
  <c r="R167" i="1" l="1"/>
  <c r="S168" i="1"/>
  <c r="T168" i="1" s="1"/>
  <c r="R166" i="1" l="1"/>
  <c r="S167" i="1"/>
  <c r="T167" i="1" s="1"/>
  <c r="R165" i="1" l="1"/>
  <c r="S166" i="1"/>
  <c r="T166" i="1" s="1"/>
  <c r="R164" i="1" l="1"/>
  <c r="S165" i="1"/>
  <c r="T165" i="1" s="1"/>
  <c r="R163" i="1" l="1"/>
  <c r="S164" i="1"/>
  <c r="T164" i="1" s="1"/>
  <c r="S163" i="1" l="1"/>
  <c r="T163" i="1" s="1"/>
  <c r="R162" i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R155" i="1" l="1"/>
  <c r="S156" i="1"/>
  <c r="T156" i="1" s="1"/>
  <c r="S155" i="1" l="1"/>
  <c r="T155" i="1" s="1"/>
  <c r="R154" i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R147" i="1" l="1"/>
  <c r="S148" i="1"/>
  <c r="T148" i="1" s="1"/>
  <c r="R146" i="1" l="1"/>
  <c r="S147" i="1"/>
  <c r="T147" i="1" s="1"/>
  <c r="R145" i="1" l="1"/>
  <c r="S146" i="1"/>
  <c r="T146" i="1" s="1"/>
  <c r="R144" i="1" l="1"/>
  <c r="S145" i="1"/>
  <c r="T145" i="1" s="1"/>
  <c r="R143" i="1" l="1"/>
  <c r="S144" i="1"/>
  <c r="T144" i="1" s="1"/>
  <c r="R142" i="1" l="1"/>
  <c r="S143" i="1"/>
  <c r="T143" i="1" s="1"/>
  <c r="R141" i="1" l="1"/>
  <c r="S142" i="1"/>
  <c r="T142" i="1" s="1"/>
  <c r="R140" i="1" l="1"/>
  <c r="S141" i="1"/>
  <c r="T141" i="1" s="1"/>
  <c r="R139" i="1" l="1"/>
  <c r="S140" i="1"/>
  <c r="T140" i="1" s="1"/>
  <c r="S139" i="1" l="1"/>
  <c r="T139" i="1" s="1"/>
  <c r="R138" i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R133" i="1" l="1"/>
  <c r="S134" i="1"/>
  <c r="T134" i="1" s="1"/>
  <c r="R132" i="1" l="1"/>
  <c r="S133" i="1"/>
  <c r="T133" i="1" s="1"/>
  <c r="R131" i="1" l="1"/>
  <c r="S132" i="1"/>
  <c r="T132" i="1" s="1"/>
  <c r="R130" i="1" l="1"/>
  <c r="S131" i="1"/>
  <c r="T131" i="1" s="1"/>
  <c r="R129" i="1" l="1"/>
  <c r="S130" i="1"/>
  <c r="T130" i="1" s="1"/>
  <c r="R128" i="1" l="1"/>
  <c r="S129" i="1"/>
  <c r="T129" i="1" s="1"/>
  <c r="R127" i="1" l="1"/>
  <c r="S128" i="1"/>
  <c r="T128" i="1" s="1"/>
  <c r="R126" i="1" l="1"/>
  <c r="S127" i="1"/>
  <c r="T127" i="1" s="1"/>
  <c r="R125" i="1" l="1"/>
  <c r="S126" i="1"/>
  <c r="T126" i="1" s="1"/>
  <c r="R124" i="1" l="1"/>
  <c r="S125" i="1"/>
  <c r="T125" i="1" s="1"/>
  <c r="R123" i="1" l="1"/>
  <c r="S124" i="1"/>
  <c r="T124" i="1" s="1"/>
  <c r="S123" i="1" l="1"/>
  <c r="T123" i="1" s="1"/>
  <c r="R122" i="1"/>
  <c r="R121" i="1" l="1"/>
  <c r="S122" i="1"/>
  <c r="T122" i="1" s="1"/>
  <c r="R120" i="1" l="1"/>
  <c r="S121" i="1"/>
  <c r="T121" i="1" s="1"/>
  <c r="R119" i="1" l="1"/>
  <c r="S120" i="1"/>
  <c r="T120" i="1" s="1"/>
  <c r="R118" i="1" l="1"/>
  <c r="S119" i="1"/>
  <c r="T119" i="1" s="1"/>
  <c r="R117" i="1" l="1"/>
  <c r="S118" i="1"/>
  <c r="T118" i="1" s="1"/>
  <c r="R116" i="1" l="1"/>
  <c r="S117" i="1"/>
  <c r="T117" i="1" s="1"/>
  <c r="R115" i="1" l="1"/>
  <c r="S116" i="1"/>
  <c r="T116" i="1" s="1"/>
  <c r="S115" i="1" l="1"/>
  <c r="T115" i="1" s="1"/>
  <c r="R114" i="1"/>
  <c r="R113" i="1" l="1"/>
  <c r="S114" i="1"/>
  <c r="T114" i="1" s="1"/>
  <c r="S113" i="1" l="1"/>
  <c r="T113" i="1" s="1"/>
  <c r="R112" i="1"/>
  <c r="S112" i="1" l="1"/>
  <c r="T112" i="1" s="1"/>
  <c r="R111" i="1"/>
  <c r="R110" i="1" l="1"/>
  <c r="S111" i="1"/>
  <c r="T111" i="1" s="1"/>
  <c r="R109" i="1" l="1"/>
  <c r="S110" i="1"/>
  <c r="T110" i="1" s="1"/>
  <c r="S109" i="1" l="1"/>
  <c r="T109" i="1" s="1"/>
  <c r="R108" i="1"/>
  <c r="S108" i="1" l="1"/>
  <c r="T108" i="1" s="1"/>
  <c r="R107" i="1"/>
  <c r="R106" i="1" l="1"/>
  <c r="S107" i="1"/>
  <c r="T107" i="1" s="1"/>
  <c r="R105" i="1" l="1"/>
  <c r="S106" i="1"/>
  <c r="T106" i="1" s="1"/>
  <c r="R104" i="1" l="1"/>
  <c r="S105" i="1"/>
  <c r="T105" i="1" s="1"/>
  <c r="R103" i="1" l="1"/>
  <c r="S104" i="1"/>
  <c r="T104" i="1" s="1"/>
  <c r="R102" i="1" l="1"/>
  <c r="S103" i="1"/>
  <c r="T103" i="1" s="1"/>
  <c r="R101" i="1" l="1"/>
  <c r="S102" i="1"/>
  <c r="T102" i="1" s="1"/>
  <c r="S101" i="1" l="1"/>
  <c r="T101" i="1" s="1"/>
  <c r="R100" i="1"/>
  <c r="S100" i="1" l="1"/>
  <c r="T100" i="1" s="1"/>
  <c r="R99" i="1"/>
  <c r="S99" i="1" l="1"/>
  <c r="T99" i="1" s="1"/>
  <c r="R98" i="1"/>
  <c r="R97" i="1" l="1"/>
  <c r="S98" i="1"/>
  <c r="T98" i="1" s="1"/>
  <c r="S97" i="1" l="1"/>
  <c r="T97" i="1" s="1"/>
  <c r="R96" i="1"/>
  <c r="S96" i="1" l="1"/>
  <c r="T96" i="1" s="1"/>
  <c r="R95" i="1"/>
  <c r="R94" i="1" l="1"/>
  <c r="S95" i="1"/>
  <c r="T95" i="1" s="1"/>
  <c r="R93" i="1" l="1"/>
  <c r="S94" i="1"/>
  <c r="T94" i="1" s="1"/>
  <c r="R92" i="1" l="1"/>
  <c r="S93" i="1"/>
  <c r="T93" i="1" s="1"/>
  <c r="R91" i="1" l="1"/>
  <c r="S92" i="1"/>
  <c r="T92" i="1" s="1"/>
  <c r="S91" i="1" l="1"/>
  <c r="T91" i="1" s="1"/>
  <c r="R90" i="1"/>
  <c r="R89" i="1" l="1"/>
  <c r="S90" i="1"/>
  <c r="T90" i="1" s="1"/>
  <c r="S89" i="1" l="1"/>
  <c r="T89" i="1" s="1"/>
  <c r="R88" i="1"/>
  <c r="S88" i="1" l="1"/>
  <c r="T88" i="1" s="1"/>
  <c r="R87" i="1"/>
  <c r="S87" i="1" l="1"/>
  <c r="T87" i="1" s="1"/>
  <c r="R86" i="1"/>
  <c r="S86" i="1" l="1"/>
  <c r="T86" i="1" s="1"/>
  <c r="R85" i="1"/>
  <c r="R84" i="1" l="1"/>
  <c r="S85" i="1"/>
  <c r="T85" i="1" s="1"/>
  <c r="R83" i="1" l="1"/>
  <c r="S84" i="1"/>
  <c r="T84" i="1" s="1"/>
  <c r="R82" i="1" l="1"/>
  <c r="S83" i="1"/>
  <c r="T83" i="1" s="1"/>
  <c r="R81" i="1" l="1"/>
  <c r="S82" i="1"/>
  <c r="T82" i="1" s="1"/>
  <c r="R80" i="1" l="1"/>
  <c r="S81" i="1"/>
  <c r="T81" i="1" s="1"/>
  <c r="R79" i="1" l="1"/>
  <c r="S80" i="1"/>
  <c r="T80" i="1" s="1"/>
  <c r="S79" i="1" l="1"/>
  <c r="T79" i="1" s="1"/>
  <c r="R78" i="1"/>
  <c r="S78" i="1" l="1"/>
  <c r="T78" i="1" s="1"/>
  <c r="R77" i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S72" i="1" l="1"/>
  <c r="T72" i="1" s="1"/>
  <c r="R71" i="1"/>
  <c r="S71" i="1" l="1"/>
  <c r="T71" i="1" s="1"/>
  <c r="R70" i="1"/>
  <c r="S70" i="1" l="1"/>
  <c r="T70" i="1" s="1"/>
  <c r="R69" i="1"/>
  <c r="R68" i="1" l="1"/>
  <c r="S69" i="1"/>
  <c r="T69" i="1" s="1"/>
  <c r="R67" i="1" l="1"/>
  <c r="S68" i="1"/>
  <c r="T68" i="1" s="1"/>
  <c r="S67" i="1" l="1"/>
  <c r="T67" i="1" s="1"/>
  <c r="R66" i="1"/>
  <c r="S66" i="1" l="1"/>
  <c r="T66" i="1" s="1"/>
  <c r="R65" i="1"/>
  <c r="S65" i="1" l="1"/>
  <c r="T65" i="1" s="1"/>
  <c r="R64" i="1"/>
  <c r="S64" i="1" l="1"/>
  <c r="T64" i="1" s="1"/>
  <c r="R63" i="1"/>
  <c r="S63" i="1" l="1"/>
  <c r="T63" i="1" s="1"/>
  <c r="R62" i="1"/>
  <c r="S62" i="1" l="1"/>
  <c r="T62" i="1" s="1"/>
  <c r="R61" i="1"/>
  <c r="R60" i="1" l="1"/>
  <c r="S61" i="1"/>
  <c r="T61" i="1" s="1"/>
  <c r="R59" i="1" l="1"/>
  <c r="S60" i="1"/>
  <c r="T60" i="1" s="1"/>
  <c r="R58" i="1" l="1"/>
  <c r="S59" i="1"/>
  <c r="T59" i="1" s="1"/>
  <c r="R57" i="1" l="1"/>
  <c r="S58" i="1"/>
  <c r="T58" i="1" s="1"/>
  <c r="R56" i="1" l="1"/>
  <c r="S57" i="1"/>
  <c r="T57" i="1" s="1"/>
  <c r="R55" i="1" l="1"/>
  <c r="S56" i="1"/>
  <c r="T56" i="1" s="1"/>
  <c r="S55" i="1" l="1"/>
  <c r="T55" i="1" s="1"/>
  <c r="R54" i="1"/>
  <c r="S54" i="1" l="1"/>
  <c r="T54" i="1" s="1"/>
  <c r="R53" i="1"/>
  <c r="R52" i="1" l="1"/>
  <c r="S53" i="1"/>
  <c r="T53" i="1" s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S48" i="1" l="1"/>
  <c r="T48" i="1" s="1"/>
  <c r="R47" i="1"/>
  <c r="S47" i="1" l="1"/>
  <c r="T47" i="1" s="1"/>
  <c r="R46" i="1"/>
  <c r="S46" i="1" l="1"/>
  <c r="T46" i="1" s="1"/>
  <c r="R45" i="1"/>
  <c r="R44" i="1" l="1"/>
  <c r="S45" i="1"/>
  <c r="T45" i="1" s="1"/>
  <c r="R43" i="1" l="1"/>
  <c r="S44" i="1"/>
  <c r="T44" i="1" s="1"/>
  <c r="R42" i="1" l="1"/>
  <c r="S43" i="1"/>
  <c r="T43" i="1" s="1"/>
  <c r="S42" i="1" l="1"/>
  <c r="T42" i="1" s="1"/>
  <c r="R41" i="1"/>
  <c r="S41" i="1" l="1"/>
  <c r="T41" i="1" s="1"/>
  <c r="R40" i="1"/>
  <c r="S40" i="1" l="1"/>
  <c r="T40" i="1" s="1"/>
  <c r="R39" i="1"/>
  <c r="R38" i="1" l="1"/>
  <c r="S39" i="1"/>
  <c r="T39" i="1" s="1"/>
  <c r="S38" i="1" l="1"/>
  <c r="T38" i="1" s="1"/>
  <c r="R37" i="1"/>
  <c r="R36" i="1" l="1"/>
  <c r="S37" i="1"/>
  <c r="T37" i="1" s="1"/>
  <c r="R35" i="1" l="1"/>
  <c r="S36" i="1"/>
  <c r="T36" i="1" s="1"/>
  <c r="R34" i="1" l="1"/>
  <c r="S35" i="1"/>
  <c r="T35" i="1" s="1"/>
  <c r="R33" i="1" l="1"/>
  <c r="S34" i="1"/>
  <c r="T34" i="1" s="1"/>
  <c r="S33" i="1" l="1"/>
  <c r="T33" i="1" s="1"/>
  <c r="R32" i="1"/>
  <c r="S32" i="1" l="1"/>
  <c r="T32" i="1" s="1"/>
  <c r="R31" i="1"/>
  <c r="S31" i="1" l="1"/>
  <c r="T31" i="1" s="1"/>
  <c r="R30" i="1"/>
  <c r="S30" i="1" l="1"/>
  <c r="T30" i="1" s="1"/>
  <c r="R29" i="1"/>
  <c r="R28" i="1" l="1"/>
  <c r="S29" i="1"/>
  <c r="T29" i="1" s="1"/>
  <c r="S28" i="1" l="1"/>
  <c r="T28" i="1" s="1"/>
  <c r="R27" i="1"/>
  <c r="R26" i="1" l="1"/>
  <c r="S27" i="1"/>
  <c r="T27" i="1" s="1"/>
  <c r="R25" i="1" l="1"/>
  <c r="S26" i="1"/>
  <c r="T26" i="1" s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<sst xmlns="http://schemas.openxmlformats.org/spreadsheetml/2006/main" count="5548" uniqueCount="34">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</sst>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  <font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7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3" fillId="8" borderId="0" xfId="0" applyFont="1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160.5</c:v>
                </c:pt>
                <c:pt idx="1">
                  <c:v>165</c:v>
                </c:pt>
                <c:pt idx="2">
                  <c:v>173.6</c:v>
                </c:pt>
                <c:pt idx="3">
                  <c:v>174.7</c:v>
                </c:pt>
                <c:pt idx="4">
                  <c:v>191.5</c:v>
                </c:pt>
                <c:pt idx="5">
                  <c:v>190.4</c:v>
                </c:pt>
                <c:pt idx="6">
                  <c:v>214.1</c:v>
                </c:pt>
                <c:pt idx="7">
                  <c:v>239.4</c:v>
                </c:pt>
                <c:pt idx="8">
                  <c:v>243.5</c:v>
                </c:pt>
                <c:pt idx="9">
                  <c:v>253.4</c:v>
                </c:pt>
                <c:pt idx="10">
                  <c:v>259.10000000000002</c:v>
                </c:pt>
                <c:pt idx="11">
                  <c:v>277.8</c:v>
                </c:pt>
                <c:pt idx="12">
                  <c:v>289.7</c:v>
                </c:pt>
                <c:pt idx="13">
                  <c:v>281.8</c:v>
                </c:pt>
                <c:pt idx="14">
                  <c:v>266.2</c:v>
                </c:pt>
                <c:pt idx="15">
                  <c:v>275.3</c:v>
                </c:pt>
                <c:pt idx="16">
                  <c:v>260.89999999999998</c:v>
                </c:pt>
                <c:pt idx="17">
                  <c:v>241.3</c:v>
                </c:pt>
                <c:pt idx="18">
                  <c:v>246.9</c:v>
                </c:pt>
                <c:pt idx="19">
                  <c:v>239.9</c:v>
                </c:pt>
                <c:pt idx="20">
                  <c:v>250.8</c:v>
                </c:pt>
                <c:pt idx="21">
                  <c:v>269.60000000000002</c:v>
                </c:pt>
                <c:pt idx="22">
                  <c:v>266.89999999999998</c:v>
                </c:pt>
                <c:pt idx="23">
                  <c:v>295.60000000000002</c:v>
                </c:pt>
                <c:pt idx="24">
                  <c:v>290</c:v>
                </c:pt>
                <c:pt idx="25">
                  <c:v>295.39999999999998</c:v>
                </c:pt>
                <c:pt idx="26">
                  <c:v>288.8</c:v>
                </c:pt>
                <c:pt idx="27">
                  <c:v>276.8</c:v>
                </c:pt>
                <c:pt idx="28">
                  <c:v>279.89999999999998</c:v>
                </c:pt>
                <c:pt idx="29">
                  <c:v>284.3</c:v>
                </c:pt>
                <c:pt idx="30">
                  <c:v>294.7</c:v>
                </c:pt>
                <c:pt idx="31">
                  <c:v>323</c:v>
                </c:pt>
                <c:pt idx="32">
                  <c:v>322.7</c:v>
                </c:pt>
                <c:pt idx="33">
                  <c:v>292.3</c:v>
                </c:pt>
                <c:pt idx="34">
                  <c:v>288.39999999999998</c:v>
                </c:pt>
                <c:pt idx="35">
                  <c:v>291</c:v>
                </c:pt>
                <c:pt idx="36">
                  <c:v>273.3</c:v>
                </c:pt>
                <c:pt idx="37">
                  <c:v>266.39999999999998</c:v>
                </c:pt>
                <c:pt idx="38">
                  <c:v>264.3</c:v>
                </c:pt>
                <c:pt idx="39">
                  <c:v>274.39999999999998</c:v>
                </c:pt>
                <c:pt idx="40">
                  <c:v>279.89999999999998</c:v>
                </c:pt>
                <c:pt idx="41">
                  <c:v>277.2</c:v>
                </c:pt>
                <c:pt idx="42">
                  <c:v>280.39999999999998</c:v>
                </c:pt>
                <c:pt idx="43">
                  <c:v>288.60000000000002</c:v>
                </c:pt>
                <c:pt idx="44">
                  <c:v>279.3</c:v>
                </c:pt>
                <c:pt idx="45">
                  <c:v>272.89999999999998</c:v>
                </c:pt>
                <c:pt idx="46">
                  <c:v>303.60000000000002</c:v>
                </c:pt>
                <c:pt idx="47">
                  <c:v>283.89999999999998</c:v>
                </c:pt>
                <c:pt idx="48">
                  <c:v>282.39999999999998</c:v>
                </c:pt>
                <c:pt idx="49">
                  <c:v>286.8</c:v>
                </c:pt>
                <c:pt idx="50">
                  <c:v>307.5</c:v>
                </c:pt>
                <c:pt idx="51">
                  <c:v>295.8</c:v>
                </c:pt>
                <c:pt idx="52">
                  <c:v>288.3</c:v>
                </c:pt>
                <c:pt idx="53">
                  <c:v>294.7</c:v>
                </c:pt>
                <c:pt idx="54">
                  <c:v>301.7</c:v>
                </c:pt>
                <c:pt idx="55">
                  <c:v>345.7</c:v>
                </c:pt>
                <c:pt idx="56">
                  <c:v>366.5</c:v>
                </c:pt>
                <c:pt idx="57">
                  <c:v>391.3</c:v>
                </c:pt>
                <c:pt idx="58">
                  <c:v>392.9</c:v>
                </c:pt>
                <c:pt idx="59">
                  <c:v>366.5</c:v>
                </c:pt>
                <c:pt idx="60">
                  <c:v>350.4</c:v>
                </c:pt>
                <c:pt idx="61">
                  <c:v>334.4</c:v>
                </c:pt>
                <c:pt idx="62">
                  <c:v>314.60000000000002</c:v>
                </c:pt>
                <c:pt idx="63">
                  <c:v>339.1</c:v>
                </c:pt>
                <c:pt idx="64">
                  <c:v>340.9</c:v>
                </c:pt>
                <c:pt idx="65">
                  <c:v>343.1</c:v>
                </c:pt>
                <c:pt idx="66">
                  <c:v>337.7</c:v>
                </c:pt>
                <c:pt idx="67">
                  <c:v>364.7</c:v>
                </c:pt>
                <c:pt idx="68">
                  <c:v>366.8</c:v>
                </c:pt>
                <c:pt idx="69">
                  <c:v>354.8</c:v>
                </c:pt>
                <c:pt idx="70">
                  <c:v>339.3</c:v>
                </c:pt>
                <c:pt idx="71">
                  <c:v>367.2</c:v>
                </c:pt>
                <c:pt idx="72">
                  <c:v>366.7</c:v>
                </c:pt>
                <c:pt idx="73">
                  <c:v>409.8</c:v>
                </c:pt>
                <c:pt idx="74">
                  <c:v>433.9</c:v>
                </c:pt>
                <c:pt idx="75">
                  <c:v>428.5</c:v>
                </c:pt>
                <c:pt idx="76">
                  <c:v>423</c:v>
                </c:pt>
                <c:pt idx="77">
                  <c:v>440.5</c:v>
                </c:pt>
                <c:pt idx="78">
                  <c:v>427.5</c:v>
                </c:pt>
                <c:pt idx="79">
                  <c:v>452.4</c:v>
                </c:pt>
                <c:pt idx="80">
                  <c:v>482.7</c:v>
                </c:pt>
                <c:pt idx="81">
                  <c:v>512.1</c:v>
                </c:pt>
                <c:pt idx="82">
                  <c:v>445.7</c:v>
                </c:pt>
                <c:pt idx="83">
                  <c:v>448.5</c:v>
                </c:pt>
                <c:pt idx="84">
                  <c:v>441.4</c:v>
                </c:pt>
                <c:pt idx="85">
                  <c:v>455</c:v>
                </c:pt>
                <c:pt idx="86">
                  <c:v>442.2</c:v>
                </c:pt>
                <c:pt idx="87">
                  <c:v>409.6</c:v>
                </c:pt>
                <c:pt idx="88">
                  <c:v>370.5</c:v>
                </c:pt>
                <c:pt idx="89">
                  <c:v>372.7</c:v>
                </c:pt>
                <c:pt idx="90">
                  <c:v>367.2</c:v>
                </c:pt>
                <c:pt idx="91">
                  <c:v>364.6</c:v>
                </c:pt>
                <c:pt idx="92">
                  <c:v>356.8</c:v>
                </c:pt>
                <c:pt idx="93">
                  <c:v>390.7</c:v>
                </c:pt>
                <c:pt idx="94">
                  <c:v>402.2</c:v>
                </c:pt>
                <c:pt idx="95">
                  <c:v>399.6</c:v>
                </c:pt>
                <c:pt idx="96">
                  <c:v>382</c:v>
                </c:pt>
                <c:pt idx="97">
                  <c:v>374.4</c:v>
                </c:pt>
                <c:pt idx="98">
                  <c:v>368.9</c:v>
                </c:pt>
                <c:pt idx="99">
                  <c:v>377.8</c:v>
                </c:pt>
                <c:pt idx="100">
                  <c:v>379.9</c:v>
                </c:pt>
                <c:pt idx="101">
                  <c:v>362.6</c:v>
                </c:pt>
                <c:pt idx="102">
                  <c:v>350.8</c:v>
                </c:pt>
                <c:pt idx="103">
                  <c:v>341.3</c:v>
                </c:pt>
                <c:pt idx="104">
                  <c:v>348.3</c:v>
                </c:pt>
                <c:pt idx="105">
                  <c:v>350.6</c:v>
                </c:pt>
                <c:pt idx="106">
                  <c:v>366.2</c:v>
                </c:pt>
                <c:pt idx="107">
                  <c:v>323.39999999999998</c:v>
                </c:pt>
                <c:pt idx="108">
                  <c:v>330.6</c:v>
                </c:pt>
                <c:pt idx="109">
                  <c:v>334.9</c:v>
                </c:pt>
                <c:pt idx="110">
                  <c:v>353.9</c:v>
                </c:pt>
                <c:pt idx="111">
                  <c:v>344.3</c:v>
                </c:pt>
                <c:pt idx="112">
                  <c:v>355.4</c:v>
                </c:pt>
                <c:pt idx="113">
                  <c:v>333.5</c:v>
                </c:pt>
                <c:pt idx="114">
                  <c:v>337</c:v>
                </c:pt>
                <c:pt idx="115">
                  <c:v>338.2</c:v>
                </c:pt>
                <c:pt idx="116">
                  <c:v>345.9</c:v>
                </c:pt>
                <c:pt idx="117">
                  <c:v>353</c:v>
                </c:pt>
                <c:pt idx="118">
                  <c:v>349</c:v>
                </c:pt>
                <c:pt idx="119">
                  <c:v>331.4</c:v>
                </c:pt>
                <c:pt idx="120">
                  <c:v>322.5</c:v>
                </c:pt>
                <c:pt idx="121">
                  <c:v>317.8</c:v>
                </c:pt>
                <c:pt idx="122">
                  <c:v>315.39999999999998</c:v>
                </c:pt>
                <c:pt idx="123">
                  <c:v>324</c:v>
                </c:pt>
                <c:pt idx="124">
                  <c:v>327</c:v>
                </c:pt>
                <c:pt idx="125">
                  <c:v>332.5</c:v>
                </c:pt>
                <c:pt idx="126">
                  <c:v>357.8</c:v>
                </c:pt>
                <c:pt idx="127">
                  <c:v>348.2</c:v>
                </c:pt>
                <c:pt idx="128">
                  <c:v>306.10000000000002</c:v>
                </c:pt>
                <c:pt idx="129">
                  <c:v>359.4</c:v>
                </c:pt>
                <c:pt idx="130">
                  <c:v>400.6</c:v>
                </c:pt>
                <c:pt idx="131">
                  <c:v>418.6</c:v>
                </c:pt>
                <c:pt idx="132">
                  <c:v>389.9</c:v>
                </c:pt>
                <c:pt idx="133">
                  <c:v>409.4</c:v>
                </c:pt>
                <c:pt idx="134">
                  <c:v>428.7</c:v>
                </c:pt>
                <c:pt idx="135">
                  <c:v>418.1</c:v>
                </c:pt>
                <c:pt idx="136">
                  <c:v>404.8</c:v>
                </c:pt>
                <c:pt idx="137">
                  <c:v>434.4</c:v>
                </c:pt>
                <c:pt idx="138">
                  <c:v>419</c:v>
                </c:pt>
                <c:pt idx="139">
                  <c:v>385.1</c:v>
                </c:pt>
                <c:pt idx="140">
                  <c:v>389.6</c:v>
                </c:pt>
                <c:pt idx="141">
                  <c:v>341.7</c:v>
                </c:pt>
                <c:pt idx="142">
                  <c:v>330.9</c:v>
                </c:pt>
                <c:pt idx="143">
                  <c:v>395.5</c:v>
                </c:pt>
                <c:pt idx="144">
                  <c:v>402.5</c:v>
                </c:pt>
                <c:pt idx="145">
                  <c:v>397.8</c:v>
                </c:pt>
                <c:pt idx="146">
                  <c:v>406.7</c:v>
                </c:pt>
                <c:pt idx="147">
                  <c:v>400.2</c:v>
                </c:pt>
                <c:pt idx="148">
                  <c:v>388.6</c:v>
                </c:pt>
                <c:pt idx="149">
                  <c:v>395.2</c:v>
                </c:pt>
                <c:pt idx="150">
                  <c:v>298.2</c:v>
                </c:pt>
                <c:pt idx="151">
                  <c:v>297.10000000000002</c:v>
                </c:pt>
                <c:pt idx="152">
                  <c:v>305.2</c:v>
                </c:pt>
                <c:pt idx="153">
                  <c:v>305.7</c:v>
                </c:pt>
                <c:pt idx="154">
                  <c:v>277.10000000000002</c:v>
                </c:pt>
                <c:pt idx="155">
                  <c:v>303.7</c:v>
                </c:pt>
                <c:pt idx="156">
                  <c:v>296</c:v>
                </c:pt>
                <c:pt idx="157">
                  <c:v>328.18</c:v>
                </c:pt>
                <c:pt idx="158">
                  <c:v>336.34</c:v>
                </c:pt>
                <c:pt idx="159">
                  <c:v>328.14</c:v>
                </c:pt>
                <c:pt idx="160">
                  <c:v>345.89</c:v>
                </c:pt>
                <c:pt idx="161">
                  <c:v>327.68</c:v>
                </c:pt>
                <c:pt idx="162">
                  <c:v>281.47000000000003</c:v>
                </c:pt>
                <c:pt idx="163">
                  <c:v>277.54000000000002</c:v>
                </c:pt>
                <c:pt idx="164">
                  <c:v>299.58999999999997</c:v>
                </c:pt>
                <c:pt idx="165">
                  <c:v>273.69</c:v>
                </c:pt>
                <c:pt idx="166">
                  <c:v>272.79000000000002</c:v>
                </c:pt>
                <c:pt idx="167">
                  <c:v>281.04000000000002</c:v>
                </c:pt>
                <c:pt idx="168">
                  <c:v>261.69</c:v>
                </c:pt>
                <c:pt idx="169">
                  <c:v>267.61</c:v>
                </c:pt>
                <c:pt idx="170">
                  <c:v>241.08</c:v>
                </c:pt>
                <c:pt idx="171">
                  <c:v>221.5</c:v>
                </c:pt>
                <c:pt idx="172">
                  <c:v>215.73</c:v>
                </c:pt>
                <c:pt idx="173">
                  <c:v>235.08</c:v>
                </c:pt>
                <c:pt idx="174">
                  <c:v>227.46</c:v>
                </c:pt>
                <c:pt idx="175">
                  <c:v>216.02</c:v>
                </c:pt>
                <c:pt idx="176">
                  <c:v>215.18</c:v>
                </c:pt>
                <c:pt idx="177">
                  <c:v>201.96</c:v>
                </c:pt>
                <c:pt idx="178">
                  <c:v>204.81</c:v>
                </c:pt>
                <c:pt idx="179">
                  <c:v>206.7</c:v>
                </c:pt>
                <c:pt idx="180">
                  <c:v>198.34</c:v>
                </c:pt>
                <c:pt idx="181">
                  <c:v>194.41</c:v>
                </c:pt>
                <c:pt idx="182">
                  <c:v>190</c:v>
                </c:pt>
                <c:pt idx="183">
                  <c:v>188.2</c:v>
                </c:pt>
                <c:pt idx="184">
                  <c:v>185.31</c:v>
                </c:pt>
                <c:pt idx="185">
                  <c:v>184.8</c:v>
                </c:pt>
                <c:pt idx="186">
                  <c:v>184.34</c:v>
                </c:pt>
                <c:pt idx="187">
                  <c:v>185.79</c:v>
                </c:pt>
                <c:pt idx="188">
                  <c:v>177.94</c:v>
                </c:pt>
                <c:pt idx="189">
                  <c:v>175.47</c:v>
                </c:pt>
                <c:pt idx="190">
                  <c:v>174.78</c:v>
                </c:pt>
                <c:pt idx="191">
                  <c:v>148.56</c:v>
                </c:pt>
                <c:pt idx="192">
                  <c:v>163.71</c:v>
                </c:pt>
                <c:pt idx="193">
                  <c:v>181.22</c:v>
                </c:pt>
                <c:pt idx="194">
                  <c:v>179</c:v>
                </c:pt>
                <c:pt idx="195">
                  <c:v>180.21</c:v>
                </c:pt>
                <c:pt idx="196">
                  <c:v>202.05</c:v>
                </c:pt>
                <c:pt idx="197">
                  <c:v>187.59</c:v>
                </c:pt>
                <c:pt idx="198">
                  <c:v>192.59</c:v>
                </c:pt>
                <c:pt idx="199">
                  <c:v>200.57</c:v>
                </c:pt>
                <c:pt idx="200">
                  <c:v>210.88</c:v>
                </c:pt>
                <c:pt idx="201">
                  <c:v>207.75</c:v>
                </c:pt>
                <c:pt idx="202">
                  <c:v>213.26</c:v>
                </c:pt>
                <c:pt idx="203">
                  <c:v>212.46</c:v>
                </c:pt>
                <c:pt idx="204">
                  <c:v>236.86</c:v>
                </c:pt>
                <c:pt idx="205">
                  <c:v>224.27</c:v>
                </c:pt>
                <c:pt idx="206">
                  <c:v>198.13</c:v>
                </c:pt>
                <c:pt idx="207">
                  <c:v>209.92</c:v>
                </c:pt>
                <c:pt idx="208">
                  <c:v>206.67</c:v>
                </c:pt>
                <c:pt idx="209">
                  <c:v>203.92</c:v>
                </c:pt>
                <c:pt idx="210">
                  <c:v>198.64</c:v>
                </c:pt>
                <c:pt idx="211">
                  <c:v>215.05</c:v>
                </c:pt>
                <c:pt idx="212">
                  <c:v>213.61</c:v>
                </c:pt>
                <c:pt idx="213">
                  <c:v>219.94</c:v>
                </c:pt>
                <c:pt idx="214">
                  <c:v>179.4</c:v>
                </c:pt>
                <c:pt idx="215">
                  <c:v>173.49</c:v>
                </c:pt>
                <c:pt idx="216">
                  <c:v>174</c:v>
                </c:pt>
                <c:pt idx="217">
                  <c:v>205.75</c:v>
                </c:pt>
                <c:pt idx="218">
                  <c:v>204.07</c:v>
                </c:pt>
                <c:pt idx="219">
                  <c:v>182.82</c:v>
                </c:pt>
                <c:pt idx="220">
                  <c:v>211.72</c:v>
                </c:pt>
                <c:pt idx="221">
                  <c:v>300.05</c:v>
                </c:pt>
                <c:pt idx="222">
                  <c:v>300.48</c:v>
                </c:pt>
                <c:pt idx="223">
                  <c:v>315.54000000000002</c:v>
                </c:pt>
                <c:pt idx="224">
                  <c:v>347.23</c:v>
                </c:pt>
                <c:pt idx="225">
                  <c:v>366.92</c:v>
                </c:pt>
                <c:pt idx="226">
                  <c:v>380</c:v>
                </c:pt>
                <c:pt idx="227">
                  <c:v>427</c:v>
                </c:pt>
                <c:pt idx="228">
                  <c:v>434.1</c:v>
                </c:pt>
                <c:pt idx="229">
                  <c:v>399.56</c:v>
                </c:pt>
                <c:pt idx="230">
                  <c:v>415.93</c:v>
                </c:pt>
                <c:pt idx="231">
                  <c:v>474.3</c:v>
                </c:pt>
                <c:pt idx="232">
                  <c:v>510.21</c:v>
                </c:pt>
                <c:pt idx="233">
                  <c:v>411.21</c:v>
                </c:pt>
                <c:pt idx="234">
                  <c:v>378.28</c:v>
                </c:pt>
                <c:pt idx="235">
                  <c:v>422.47</c:v>
                </c:pt>
                <c:pt idx="236">
                  <c:v>401.98</c:v>
                </c:pt>
                <c:pt idx="237">
                  <c:v>419.04</c:v>
                </c:pt>
                <c:pt idx="238">
                  <c:v>463.53</c:v>
                </c:pt>
                <c:pt idx="239">
                  <c:v>446.53</c:v>
                </c:pt>
                <c:pt idx="240">
                  <c:v>367.28</c:v>
                </c:pt>
                <c:pt idx="241">
                  <c:v>371</c:v>
                </c:pt>
                <c:pt idx="242">
                  <c:v>309.12</c:v>
                </c:pt>
                <c:pt idx="243">
                  <c:v>296.5</c:v>
                </c:pt>
                <c:pt idx="244">
                  <c:v>289.37</c:v>
                </c:pt>
                <c:pt idx="245">
                  <c:v>315.86</c:v>
                </c:pt>
                <c:pt idx="246">
                  <c:v>343.15</c:v>
                </c:pt>
                <c:pt idx="247">
                  <c:v>322.20999999999998</c:v>
                </c:pt>
                <c:pt idx="248">
                  <c:v>348.66</c:v>
                </c:pt>
                <c:pt idx="249">
                  <c:v>260.83999999999997</c:v>
                </c:pt>
                <c:pt idx="250">
                  <c:v>314.73</c:v>
                </c:pt>
                <c:pt idx="251">
                  <c:v>337.39</c:v>
                </c:pt>
                <c:pt idx="252">
                  <c:v>388.34</c:v>
                </c:pt>
                <c:pt idx="253">
                  <c:v>337.65</c:v>
                </c:pt>
                <c:pt idx="254">
                  <c:v>592.29</c:v>
                </c:pt>
                <c:pt idx="255">
                  <c:v>571.70000000000005</c:v>
                </c:pt>
                <c:pt idx="256">
                  <c:v>541.47</c:v>
                </c:pt>
                <c:pt idx="257">
                  <c:v>545.27</c:v>
                </c:pt>
                <c:pt idx="258">
                  <c:v>597.33000000000004</c:v>
                </c:pt>
                <c:pt idx="259">
                  <c:v>527.91</c:v>
                </c:pt>
                <c:pt idx="260">
                  <c:v>465.37</c:v>
                </c:pt>
                <c:pt idx="261">
                  <c:v>440.58</c:v>
                </c:pt>
                <c:pt idx="262">
                  <c:v>408.03</c:v>
                </c:pt>
                <c:pt idx="263">
                  <c:v>450.58</c:v>
                </c:pt>
                <c:pt idx="264">
                  <c:v>433.45</c:v>
                </c:pt>
                <c:pt idx="265">
                  <c:v>431</c:v>
                </c:pt>
                <c:pt idx="266">
                  <c:v>446.76</c:v>
                </c:pt>
                <c:pt idx="267">
                  <c:v>428.5</c:v>
                </c:pt>
                <c:pt idx="268">
                  <c:v>389.49</c:v>
                </c:pt>
                <c:pt idx="269">
                  <c:v>424.24</c:v>
                </c:pt>
                <c:pt idx="270">
                  <c:v>413.75</c:v>
                </c:pt>
                <c:pt idx="271">
                  <c:v>421.52</c:v>
                </c:pt>
                <c:pt idx="272">
                  <c:v>406.11</c:v>
                </c:pt>
                <c:pt idx="273">
                  <c:v>387.07</c:v>
                </c:pt>
                <c:pt idx="274">
                  <c:v>393.85</c:v>
                </c:pt>
                <c:pt idx="275">
                  <c:v>397.09</c:v>
                </c:pt>
                <c:pt idx="276">
                  <c:v>395.41</c:v>
                </c:pt>
                <c:pt idx="277">
                  <c:v>318.23</c:v>
                </c:pt>
                <c:pt idx="278">
                  <c:v>303.31599999999997</c:v>
                </c:pt>
                <c:pt idx="279">
                  <c:v>336.7</c:v>
                </c:pt>
                <c:pt idx="280">
                  <c:v>347.935</c:v>
                </c:pt>
                <c:pt idx="281">
                  <c:v>349.42899999999997</c:v>
                </c:pt>
                <c:pt idx="282">
                  <c:v>383.63299999999998</c:v>
                </c:pt>
                <c:pt idx="283">
                  <c:v>368.09199999999998</c:v>
                </c:pt>
                <c:pt idx="284">
                  <c:v>405.803</c:v>
                </c:pt>
                <c:pt idx="285">
                  <c:v>456.31599999999997</c:v>
                </c:pt>
                <c:pt idx="286">
                  <c:v>446.53899999999999</c:v>
                </c:pt>
                <c:pt idx="287">
                  <c:v>475.88900000000001</c:v>
                </c:pt>
                <c:pt idx="288">
                  <c:v>455.125</c:v>
                </c:pt>
                <c:pt idx="289">
                  <c:v>431.88099999999997</c:v>
                </c:pt>
                <c:pt idx="290">
                  <c:v>422.16800000000001</c:v>
                </c:pt>
                <c:pt idx="291">
                  <c:v>438.22699999999998</c:v>
                </c:pt>
                <c:pt idx="292">
                  <c:v>448.4</c:v>
                </c:pt>
                <c:pt idx="293">
                  <c:v>451.77699999999999</c:v>
                </c:pt>
                <c:pt idx="294">
                  <c:v>460.82499999999999</c:v>
                </c:pt>
                <c:pt idx="295">
                  <c:v>427.22899999999998</c:v>
                </c:pt>
                <c:pt idx="296">
                  <c:v>440.61700000000002</c:v>
                </c:pt>
                <c:pt idx="297">
                  <c:v>461.41399999999999</c:v>
                </c:pt>
                <c:pt idx="298">
                  <c:v>444.75900000000001</c:v>
                </c:pt>
                <c:pt idx="299">
                  <c:v>439.601</c:v>
                </c:pt>
                <c:pt idx="300">
                  <c:v>448.89299999999997</c:v>
                </c:pt>
                <c:pt idx="301">
                  <c:v>463.01100000000002</c:v>
                </c:pt>
                <c:pt idx="302">
                  <c:v>495.49700000000001</c:v>
                </c:pt>
                <c:pt idx="303">
                  <c:v>539.59</c:v>
                </c:pt>
                <c:pt idx="304">
                  <c:v>546.90099999999995</c:v>
                </c:pt>
                <c:pt idx="305">
                  <c:v>511.00400000000002</c:v>
                </c:pt>
                <c:pt idx="306">
                  <c:v>468.755</c:v>
                </c:pt>
                <c:pt idx="307">
                  <c:v>454.79199999999997</c:v>
                </c:pt>
                <c:pt idx="308">
                  <c:v>410.45100000000002</c:v>
                </c:pt>
                <c:pt idx="309">
                  <c:v>422.48899999999998</c:v>
                </c:pt>
                <c:pt idx="310">
                  <c:v>421.46499999999997</c:v>
                </c:pt>
                <c:pt idx="311">
                  <c:v>437.48</c:v>
                </c:pt>
                <c:pt idx="312">
                  <c:v>399.495</c:v>
                </c:pt>
                <c:pt idx="313">
                  <c:v>389.37799999999999</c:v>
                </c:pt>
                <c:pt idx="314">
                  <c:v>384.04199999999997</c:v>
                </c:pt>
                <c:pt idx="315">
                  <c:v>367.37299999999999</c:v>
                </c:pt>
                <c:pt idx="316">
                  <c:v>345.17</c:v>
                </c:pt>
                <c:pt idx="317">
                  <c:v>318.24900000000002</c:v>
                </c:pt>
                <c:pt idx="318">
                  <c:v>310.238</c:v>
                </c:pt>
                <c:pt idx="319">
                  <c:v>300.488</c:v>
                </c:pt>
                <c:pt idx="320">
                  <c:v>313.548</c:v>
                </c:pt>
                <c:pt idx="321">
                  <c:v>314.44200000000001</c:v>
                </c:pt>
                <c:pt idx="322">
                  <c:v>329.899</c:v>
                </c:pt>
                <c:pt idx="323">
                  <c:v>303.23399999999998</c:v>
                </c:pt>
                <c:pt idx="324">
                  <c:v>290.16699999999997</c:v>
                </c:pt>
                <c:pt idx="325">
                  <c:v>244.16900000000001</c:v>
                </c:pt>
                <c:pt idx="326">
                  <c:v>233.49100000000001</c:v>
                </c:pt>
                <c:pt idx="327">
                  <c:v>229.25899999999999</c:v>
                </c:pt>
                <c:pt idx="328">
                  <c:v>228.45699999999999</c:v>
                </c:pt>
                <c:pt idx="329">
                  <c:v>234.34800000000001</c:v>
                </c:pt>
                <c:pt idx="330">
                  <c:v>244.23500000000001</c:v>
                </c:pt>
                <c:pt idx="331">
                  <c:v>240.95500000000001</c:v>
                </c:pt>
                <c:pt idx="332">
                  <c:v>227.80799999999999</c:v>
                </c:pt>
                <c:pt idx="333">
                  <c:v>212.58799999999999</c:v>
                </c:pt>
                <c:pt idx="334">
                  <c:v>229.66800000000001</c:v>
                </c:pt>
                <c:pt idx="335">
                  <c:v>215.97399999999999</c:v>
                </c:pt>
                <c:pt idx="336">
                  <c:v>224.99100000000001</c:v>
                </c:pt>
                <c:pt idx="337">
                  <c:v>242.60499999999999</c:v>
                </c:pt>
                <c:pt idx="338">
                  <c:v>241</c:v>
                </c:pt>
                <c:pt idx="339">
                  <c:v>271.01499999999999</c:v>
                </c:pt>
                <c:pt idx="340">
                  <c:v>223.637</c:v>
                </c:pt>
                <c:pt idx="341">
                  <c:v>221.66800000000001</c:v>
                </c:pt>
                <c:pt idx="342">
                  <c:v>223.886</c:v>
                </c:pt>
                <c:pt idx="343">
                  <c:v>222.786</c:v>
                </c:pt>
                <c:pt idx="344">
                  <c:v>240.441</c:v>
                </c:pt>
                <c:pt idx="345">
                  <c:v>209.36</c:v>
                </c:pt>
                <c:pt idx="346">
                  <c:v>189.99700000000001</c:v>
                </c:pt>
                <c:pt idx="347">
                  <c:v>157.63</c:v>
                </c:pt>
                <c:pt idx="348">
                  <c:v>161.511</c:v>
                </c:pt>
                <c:pt idx="349">
                  <c:v>154.28299999999999</c:v>
                </c:pt>
                <c:pt idx="350">
                  <c:v>142.34299999999999</c:v>
                </c:pt>
                <c:pt idx="351">
                  <c:v>129.43700000000001</c:v>
                </c:pt>
                <c:pt idx="352">
                  <c:v>130.88</c:v>
                </c:pt>
                <c:pt idx="353">
                  <c:v>132.947</c:v>
                </c:pt>
                <c:pt idx="354">
                  <c:v>115.998</c:v>
                </c:pt>
                <c:pt idx="355">
                  <c:v>112.857</c:v>
                </c:pt>
                <c:pt idx="356">
                  <c:v>121.325</c:v>
                </c:pt>
                <c:pt idx="357">
                  <c:v>115.714</c:v>
                </c:pt>
                <c:pt idx="358">
                  <c:v>119.124</c:v>
                </c:pt>
                <c:pt idx="359">
                  <c:v>104.99299999999999</c:v>
                </c:pt>
                <c:pt idx="360">
                  <c:v>100.867</c:v>
                </c:pt>
                <c:pt idx="361">
                  <c:v>97.716999999999999</c:v>
                </c:pt>
                <c:pt idx="362">
                  <c:v>100.96299999999999</c:v>
                </c:pt>
                <c:pt idx="363">
                  <c:v>106.64400000000001</c:v>
                </c:pt>
                <c:pt idx="364">
                  <c:v>113.93300000000001</c:v>
                </c:pt>
                <c:pt idx="365">
                  <c:v>95.302000000000007</c:v>
                </c:pt>
                <c:pt idx="366">
                  <c:v>101.999</c:v>
                </c:pt>
                <c:pt idx="367">
                  <c:v>98.751999999999995</c:v>
                </c:pt>
                <c:pt idx="368">
                  <c:v>103.973</c:v>
                </c:pt>
                <c:pt idx="369">
                  <c:v>107.65300000000001</c:v>
                </c:pt>
                <c:pt idx="370">
                  <c:v>103.91800000000001</c:v>
                </c:pt>
                <c:pt idx="371">
                  <c:v>92.856999999999999</c:v>
                </c:pt>
                <c:pt idx="372">
                  <c:v>106</c:v>
                </c:pt>
                <c:pt idx="373">
                  <c:v>101.01900000000001</c:v>
                </c:pt>
                <c:pt idx="374">
                  <c:v>109.092</c:v>
                </c:pt>
                <c:pt idx="375">
                  <c:v>102.55800000000001</c:v>
                </c:pt>
                <c:pt idx="376">
                  <c:v>102.624</c:v>
                </c:pt>
                <c:pt idx="377">
                  <c:v>83.706999999999994</c:v>
                </c:pt>
                <c:pt idx="378">
                  <c:v>88.685000000000002</c:v>
                </c:pt>
                <c:pt idx="379">
                  <c:v>76.965000000000003</c:v>
                </c:pt>
                <c:pt idx="380">
                  <c:v>62.786000000000001</c:v>
                </c:pt>
                <c:pt idx="381">
                  <c:v>64.328999999999994</c:v>
                </c:pt>
                <c:pt idx="382">
                  <c:v>71.069999999999993</c:v>
                </c:pt>
                <c:pt idx="383">
                  <c:v>68.930000000000007</c:v>
                </c:pt>
                <c:pt idx="384">
                  <c:v>68.787000000000006</c:v>
                </c:pt>
                <c:pt idx="385">
                  <c:v>68.947000000000003</c:v>
                </c:pt>
                <c:pt idx="386">
                  <c:v>75.325000000000003</c:v>
                </c:pt>
                <c:pt idx="387">
                  <c:v>67.796999999999997</c:v>
                </c:pt>
                <c:pt idx="388">
                  <c:v>68.504999999999995</c:v>
                </c:pt>
                <c:pt idx="389">
                  <c:v>72.983000000000004</c:v>
                </c:pt>
                <c:pt idx="390">
                  <c:v>69.254000000000005</c:v>
                </c:pt>
                <c:pt idx="391">
                  <c:v>69.692999999999998</c:v>
                </c:pt>
                <c:pt idx="392">
                  <c:v>71.908000000000001</c:v>
                </c:pt>
                <c:pt idx="393">
                  <c:v>61.948</c:v>
                </c:pt>
                <c:pt idx="394">
                  <c:v>61.948</c:v>
                </c:pt>
                <c:pt idx="395">
                  <c:v>58.256999999999998</c:v>
                </c:pt>
                <c:pt idx="396">
                  <c:v>50.226999999999997</c:v>
                </c:pt>
                <c:pt idx="397">
                  <c:v>47.716000000000001</c:v>
                </c:pt>
                <c:pt idx="398">
                  <c:v>50.066000000000003</c:v>
                </c:pt>
                <c:pt idx="399">
                  <c:v>52.304000000000002</c:v>
                </c:pt>
                <c:pt idx="400">
                  <c:v>47.442999999999998</c:v>
                </c:pt>
                <c:pt idx="401">
                  <c:v>54.131</c:v>
                </c:pt>
                <c:pt idx="402">
                  <c:v>49.472999999999999</c:v>
                </c:pt>
                <c:pt idx="403">
                  <c:v>53.606999999999999</c:v>
                </c:pt>
                <c:pt idx="404">
                  <c:v>55.886000000000003</c:v>
                </c:pt>
                <c:pt idx="405">
                  <c:v>57.47</c:v>
                </c:pt>
                <c:pt idx="406">
                  <c:v>58.128</c:v>
                </c:pt>
                <c:pt idx="407">
                  <c:v>57.219000000000001</c:v>
                </c:pt>
                <c:pt idx="408">
                  <c:v>56.832999999999998</c:v>
                </c:pt>
                <c:pt idx="409">
                  <c:v>50.396000000000001</c:v>
                </c:pt>
                <c:pt idx="410">
                  <c:v>50.832999999999998</c:v>
                </c:pt>
                <c:pt idx="411">
                  <c:v>48.177999999999997</c:v>
                </c:pt>
                <c:pt idx="412">
                  <c:v>44.874000000000002</c:v>
                </c:pt>
                <c:pt idx="413">
                  <c:v>47.051000000000002</c:v>
                </c:pt>
                <c:pt idx="414">
                  <c:v>48.95</c:v>
                </c:pt>
                <c:pt idx="415">
                  <c:v>46.375999999999998</c:v>
                </c:pt>
                <c:pt idx="416">
                  <c:v>53.423999999999999</c:v>
                </c:pt>
                <c:pt idx="417">
                  <c:v>52.360999999999997</c:v>
                </c:pt>
                <c:pt idx="418">
                  <c:v>55.829000000000001</c:v>
                </c:pt>
                <c:pt idx="419">
                  <c:v>50.655999999999999</c:v>
                </c:pt>
                <c:pt idx="420">
                  <c:v>59.151000000000003</c:v>
                </c:pt>
                <c:pt idx="421">
                  <c:v>61.698</c:v>
                </c:pt>
                <c:pt idx="422">
                  <c:v>54.165999999999997</c:v>
                </c:pt>
                <c:pt idx="423">
                  <c:v>52.122999999999998</c:v>
                </c:pt>
                <c:pt idx="424">
                  <c:v>53.07</c:v>
                </c:pt>
                <c:pt idx="425">
                  <c:v>45.23</c:v>
                </c:pt>
                <c:pt idx="426">
                  <c:v>45.378</c:v>
                </c:pt>
                <c:pt idx="427">
                  <c:v>48.936999999999998</c:v>
                </c:pt>
                <c:pt idx="428">
                  <c:v>42.177999999999997</c:v>
                </c:pt>
                <c:pt idx="429">
                  <c:v>48.392000000000003</c:v>
                </c:pt>
                <c:pt idx="430">
                  <c:v>40.414999999999999</c:v>
                </c:pt>
                <c:pt idx="431">
                  <c:v>38.579000000000001</c:v>
                </c:pt>
                <c:pt idx="432">
                  <c:v>40.631</c:v>
                </c:pt>
                <c:pt idx="433">
                  <c:v>37.753</c:v>
                </c:pt>
                <c:pt idx="434">
                  <c:v>35.314</c:v>
                </c:pt>
                <c:pt idx="435">
                  <c:v>35.642000000000003</c:v>
                </c:pt>
                <c:pt idx="436">
                  <c:v>38.146000000000001</c:v>
                </c:pt>
                <c:pt idx="437">
                  <c:v>36.183</c:v>
                </c:pt>
                <c:pt idx="438">
                  <c:v>35.411000000000001</c:v>
                </c:pt>
                <c:pt idx="439">
                  <c:v>36.954000000000001</c:v>
                </c:pt>
                <c:pt idx="440">
                  <c:v>38.564999999999998</c:v>
                </c:pt>
                <c:pt idx="441">
                  <c:v>38.152999999999999</c:v>
                </c:pt>
                <c:pt idx="442">
                  <c:v>35.606999999999999</c:v>
                </c:pt>
                <c:pt idx="443">
                  <c:v>35.192</c:v>
                </c:pt>
                <c:pt idx="444">
                  <c:v>33.015000000000001</c:v>
                </c:pt>
                <c:pt idx="445">
                  <c:v>32.895000000000003</c:v>
                </c:pt>
                <c:pt idx="446">
                  <c:v>31.314</c:v>
                </c:pt>
                <c:pt idx="447">
                  <c:v>32.890999999999998</c:v>
                </c:pt>
                <c:pt idx="448">
                  <c:v>30.132999999999999</c:v>
                </c:pt>
                <c:pt idx="449">
                  <c:v>28.654</c:v>
                </c:pt>
                <c:pt idx="450">
                  <c:v>29.012</c:v>
                </c:pt>
                <c:pt idx="451">
                  <c:v>29.99</c:v>
                </c:pt>
                <c:pt idx="452">
                  <c:v>32.215000000000003</c:v>
                </c:pt>
                <c:pt idx="453">
                  <c:v>30.46</c:v>
                </c:pt>
                <c:pt idx="454">
                  <c:v>29.64</c:v>
                </c:pt>
                <c:pt idx="455">
                  <c:v>29.946000000000002</c:v>
                </c:pt>
                <c:pt idx="456">
                  <c:v>31.658000000000001</c:v>
                </c:pt>
                <c:pt idx="457">
                  <c:v>34.204999999999998</c:v>
                </c:pt>
                <c:pt idx="458">
                  <c:v>35.450000000000003</c:v>
                </c:pt>
                <c:pt idx="459">
                  <c:v>26.733000000000001</c:v>
                </c:pt>
                <c:pt idx="460">
                  <c:v>27.145</c:v>
                </c:pt>
                <c:pt idx="461">
                  <c:v>28.024999999999999</c:v>
                </c:pt>
                <c:pt idx="462">
                  <c:v>28.155999999999999</c:v>
                </c:pt>
                <c:pt idx="463">
                  <c:v>27.827999999999999</c:v>
                </c:pt>
                <c:pt idx="464">
                  <c:v>27.818999999999999</c:v>
                </c:pt>
                <c:pt idx="465">
                  <c:v>29.074000000000002</c:v>
                </c:pt>
                <c:pt idx="466">
                  <c:v>31.055</c:v>
                </c:pt>
                <c:pt idx="467">
                  <c:v>29.373000000000001</c:v>
                </c:pt>
                <c:pt idx="468">
                  <c:v>28.033999999999999</c:v>
                </c:pt>
                <c:pt idx="469">
                  <c:v>29.437000000000001</c:v>
                </c:pt>
                <c:pt idx="470">
                  <c:v>31.167000000000002</c:v>
                </c:pt>
                <c:pt idx="471">
                  <c:v>30.641999999999999</c:v>
                </c:pt>
                <c:pt idx="472">
                  <c:v>32.198999999999998</c:v>
                </c:pt>
                <c:pt idx="473">
                  <c:v>29.111999999999998</c:v>
                </c:pt>
                <c:pt idx="474">
                  <c:v>29.678000000000001</c:v>
                </c:pt>
                <c:pt idx="475">
                  <c:v>29.741</c:v>
                </c:pt>
                <c:pt idx="476">
                  <c:v>27.754000000000001</c:v>
                </c:pt>
                <c:pt idx="477">
                  <c:v>26.475999999999999</c:v>
                </c:pt>
                <c:pt idx="478">
                  <c:v>27.646999999999998</c:v>
                </c:pt>
                <c:pt idx="479">
                  <c:v>31.728000000000002</c:v>
                </c:pt>
                <c:pt idx="480">
                  <c:v>31.995999999999999</c:v>
                </c:pt>
                <c:pt idx="481">
                  <c:v>32.350999999999999</c:v>
                </c:pt>
                <c:pt idx="482">
                  <c:v>32.26</c:v>
                </c:pt>
                <c:pt idx="483">
                  <c:v>34.134</c:v>
                </c:pt>
                <c:pt idx="484">
                  <c:v>33.799999999999997</c:v>
                </c:pt>
                <c:pt idx="485">
                  <c:v>35.512</c:v>
                </c:pt>
                <c:pt idx="486">
                  <c:v>33.713000000000001</c:v>
                </c:pt>
                <c:pt idx="487">
                  <c:v>34.28</c:v>
                </c:pt>
                <c:pt idx="488">
                  <c:v>35.878999999999998</c:v>
                </c:pt>
                <c:pt idx="489">
                  <c:v>36.847999999999999</c:v>
                </c:pt>
                <c:pt idx="490">
                  <c:v>36.613</c:v>
                </c:pt>
                <c:pt idx="491">
                  <c:v>32.465000000000003</c:v>
                </c:pt>
                <c:pt idx="492">
                  <c:v>33.192</c:v>
                </c:pt>
                <c:pt idx="493">
                  <c:v>31.663</c:v>
                </c:pt>
                <c:pt idx="494">
                  <c:v>39.734999999999999</c:v>
                </c:pt>
                <c:pt idx="495">
                  <c:v>43.755000000000003</c:v>
                </c:pt>
                <c:pt idx="496">
                  <c:v>44.69</c:v>
                </c:pt>
                <c:pt idx="497">
                  <c:v>47.151000000000003</c:v>
                </c:pt>
                <c:pt idx="498">
                  <c:v>42.35</c:v>
                </c:pt>
                <c:pt idx="499">
                  <c:v>39.332999999999998</c:v>
                </c:pt>
                <c:pt idx="500">
                  <c:v>40</c:v>
                </c:pt>
                <c:pt idx="501">
                  <c:v>39.328000000000003</c:v>
                </c:pt>
                <c:pt idx="502">
                  <c:v>35.158999999999999</c:v>
                </c:pt>
                <c:pt idx="503">
                  <c:v>31.768999999999998</c:v>
                </c:pt>
                <c:pt idx="504">
                  <c:v>33.101999999999997</c:v>
                </c:pt>
                <c:pt idx="505">
                  <c:v>33.805999999999997</c:v>
                </c:pt>
                <c:pt idx="506">
                  <c:v>31.337</c:v>
                </c:pt>
                <c:pt idx="507">
                  <c:v>35.203000000000003</c:v>
                </c:pt>
                <c:pt idx="508">
                  <c:v>38.036999999999999</c:v>
                </c:pt>
                <c:pt idx="509">
                  <c:v>32.49</c:v>
                </c:pt>
                <c:pt idx="510">
                  <c:v>42.167000000000002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EA-48C4-AFA2-0D9B765CFD3C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4.5487893373481178E-2</c:v>
                </c:pt>
                <c:pt idx="1">
                  <c:v>4.5526522604996331E-2</c:v>
                </c:pt>
                <c:pt idx="2">
                  <c:v>4.5978813553182854E-2</c:v>
                </c:pt>
                <c:pt idx="3">
                  <c:v>4.6094201241020691E-2</c:v>
                </c:pt>
                <c:pt idx="4">
                  <c:v>4.6205819485209881E-2</c:v>
                </c:pt>
                <c:pt idx="5">
                  <c:v>4.6120393216964269E-2</c:v>
                </c:pt>
                <c:pt idx="6">
                  <c:v>4.6283697514261569E-2</c:v>
                </c:pt>
                <c:pt idx="7">
                  <c:v>4.6652284328310749E-2</c:v>
                </c:pt>
                <c:pt idx="8">
                  <c:v>4.6839230035267271E-2</c:v>
                </c:pt>
                <c:pt idx="9">
                  <c:v>4.6925192017356822E-2</c:v>
                </c:pt>
                <c:pt idx="10">
                  <c:v>4.6944804748378713E-2</c:v>
                </c:pt>
                <c:pt idx="11">
                  <c:v>4.7096273179509145E-2</c:v>
                </c:pt>
                <c:pt idx="12">
                  <c:v>4.7275296896175815E-2</c:v>
                </c:pt>
                <c:pt idx="13">
                  <c:v>4.709093167495132E-2</c:v>
                </c:pt>
                <c:pt idx="14">
                  <c:v>4.695593348873086E-2</c:v>
                </c:pt>
                <c:pt idx="15">
                  <c:v>4.7191665929436737E-2</c:v>
                </c:pt>
                <c:pt idx="16">
                  <c:v>4.6950722205562394E-2</c:v>
                </c:pt>
                <c:pt idx="17">
                  <c:v>4.6666249166286387E-2</c:v>
                </c:pt>
                <c:pt idx="18">
                  <c:v>4.6620936985295437E-2</c:v>
                </c:pt>
                <c:pt idx="19">
                  <c:v>4.6583730281739878E-2</c:v>
                </c:pt>
                <c:pt idx="20">
                  <c:v>4.6678837696106965E-2</c:v>
                </c:pt>
                <c:pt idx="21">
                  <c:v>4.6932837470035023E-2</c:v>
                </c:pt>
                <c:pt idx="22">
                  <c:v>4.678390446746359E-2</c:v>
                </c:pt>
                <c:pt idx="23">
                  <c:v>4.7071342945316702E-2</c:v>
                </c:pt>
                <c:pt idx="24">
                  <c:v>4.7094169383778244E-2</c:v>
                </c:pt>
                <c:pt idx="25">
                  <c:v>4.7177029322134419E-2</c:v>
                </c:pt>
                <c:pt idx="26">
                  <c:v>4.7078031148134414E-2</c:v>
                </c:pt>
                <c:pt idx="27">
                  <c:v>4.6933487742252061E-2</c:v>
                </c:pt>
                <c:pt idx="28">
                  <c:v>4.7010527335665235E-2</c:v>
                </c:pt>
                <c:pt idx="29">
                  <c:v>4.7101422166746315E-2</c:v>
                </c:pt>
                <c:pt idx="30">
                  <c:v>4.7274858617549528E-2</c:v>
                </c:pt>
                <c:pt idx="31">
                  <c:v>4.7969246387232066E-2</c:v>
                </c:pt>
                <c:pt idx="32">
                  <c:v>4.8096418503717084E-2</c:v>
                </c:pt>
                <c:pt idx="33">
                  <c:v>4.7691514310867343E-2</c:v>
                </c:pt>
                <c:pt idx="34">
                  <c:v>4.7638646638916114E-2</c:v>
                </c:pt>
                <c:pt idx="35">
                  <c:v>4.784485073146931E-2</c:v>
                </c:pt>
                <c:pt idx="36">
                  <c:v>4.7539241147476909E-2</c:v>
                </c:pt>
                <c:pt idx="37">
                  <c:v>4.7625264707027472E-2</c:v>
                </c:pt>
                <c:pt idx="38">
                  <c:v>4.7613133130813869E-2</c:v>
                </c:pt>
                <c:pt idx="39">
                  <c:v>4.7711819421290068E-2</c:v>
                </c:pt>
                <c:pt idx="40">
                  <c:v>4.7787234528279314E-2</c:v>
                </c:pt>
                <c:pt idx="41">
                  <c:v>4.7673652449658627E-2</c:v>
                </c:pt>
                <c:pt idx="42">
                  <c:v>4.764404736188884E-2</c:v>
                </c:pt>
                <c:pt idx="43">
                  <c:v>4.7819318018155504E-2</c:v>
                </c:pt>
                <c:pt idx="44">
                  <c:v>4.7659830490086839E-2</c:v>
                </c:pt>
                <c:pt idx="45">
                  <c:v>4.7667053965209996E-2</c:v>
                </c:pt>
                <c:pt idx="46">
                  <c:v>4.7998905961107424E-2</c:v>
                </c:pt>
                <c:pt idx="47">
                  <c:v>4.7801599951107429E-2</c:v>
                </c:pt>
                <c:pt idx="48">
                  <c:v>4.7782415942307428E-2</c:v>
                </c:pt>
                <c:pt idx="49">
                  <c:v>4.8220467948882781E-2</c:v>
                </c:pt>
                <c:pt idx="50">
                  <c:v>4.8448631671171929E-2</c:v>
                </c:pt>
                <c:pt idx="51">
                  <c:v>4.8250458335301623E-2</c:v>
                </c:pt>
                <c:pt idx="52">
                  <c:v>4.8447263308389436E-2</c:v>
                </c:pt>
                <c:pt idx="53">
                  <c:v>4.8091438621180128E-2</c:v>
                </c:pt>
                <c:pt idx="54">
                  <c:v>4.8007363092162594E-2</c:v>
                </c:pt>
                <c:pt idx="55">
                  <c:v>4.7952066781949819E-2</c:v>
                </c:pt>
                <c:pt idx="56">
                  <c:v>4.8141726519290245E-2</c:v>
                </c:pt>
                <c:pt idx="57">
                  <c:v>4.8394064620653883E-2</c:v>
                </c:pt>
                <c:pt idx="58">
                  <c:v>4.8490009836038503E-2</c:v>
                </c:pt>
                <c:pt idx="59">
                  <c:v>4.775504343149304E-2</c:v>
                </c:pt>
                <c:pt idx="60">
                  <c:v>4.7495440335221857E-2</c:v>
                </c:pt>
                <c:pt idx="61">
                  <c:v>4.6906930384485013E-2</c:v>
                </c:pt>
                <c:pt idx="62">
                  <c:v>4.6821103875249882E-2</c:v>
                </c:pt>
                <c:pt idx="63">
                  <c:v>4.7001775337767872E-2</c:v>
                </c:pt>
                <c:pt idx="64">
                  <c:v>4.696599664028888E-2</c:v>
                </c:pt>
                <c:pt idx="65">
                  <c:v>4.6981114941099682E-2</c:v>
                </c:pt>
                <c:pt idx="66">
                  <c:v>4.6800698931212047E-2</c:v>
                </c:pt>
                <c:pt idx="67">
                  <c:v>4.7244821234819642E-2</c:v>
                </c:pt>
                <c:pt idx="68">
                  <c:v>4.7260014679819634E-2</c:v>
                </c:pt>
                <c:pt idx="69">
                  <c:v>4.6844233443302782E-2</c:v>
                </c:pt>
                <c:pt idx="70">
                  <c:v>4.6562629864712705E-2</c:v>
                </c:pt>
                <c:pt idx="71">
                  <c:v>4.6991354795250594E-2</c:v>
                </c:pt>
                <c:pt idx="72">
                  <c:v>4.6854442223798316E-2</c:v>
                </c:pt>
                <c:pt idx="73">
                  <c:v>4.7299788688722942E-2</c:v>
                </c:pt>
                <c:pt idx="74">
                  <c:v>4.7743601184462588E-2</c:v>
                </c:pt>
                <c:pt idx="75">
                  <c:v>4.7545426996280775E-2</c:v>
                </c:pt>
                <c:pt idx="76">
                  <c:v>4.7381293445063387E-2</c:v>
                </c:pt>
                <c:pt idx="77">
                  <c:v>4.748110935835978E-2</c:v>
                </c:pt>
                <c:pt idx="78">
                  <c:v>4.7238060000547283E-2</c:v>
                </c:pt>
                <c:pt idx="79">
                  <c:v>4.7228324481755957E-2</c:v>
                </c:pt>
                <c:pt idx="80">
                  <c:v>4.7746985584880955E-2</c:v>
                </c:pt>
                <c:pt idx="81">
                  <c:v>4.8281517887012099E-2</c:v>
                </c:pt>
                <c:pt idx="82">
                  <c:v>4.734686961914325E-2</c:v>
                </c:pt>
                <c:pt idx="83">
                  <c:v>4.7395666431423955E-2</c:v>
                </c:pt>
                <c:pt idx="84">
                  <c:v>4.7078927179677925E-2</c:v>
                </c:pt>
                <c:pt idx="85">
                  <c:v>4.7283067408438989E-2</c:v>
                </c:pt>
                <c:pt idx="86">
                  <c:v>4.6656324250754909E-2</c:v>
                </c:pt>
                <c:pt idx="87">
                  <c:v>4.5693692566266174E-2</c:v>
                </c:pt>
                <c:pt idx="88">
                  <c:v>4.4646245032235757E-2</c:v>
                </c:pt>
                <c:pt idx="89">
                  <c:v>4.4467530676143799E-2</c:v>
                </c:pt>
                <c:pt idx="90">
                  <c:v>4.4392704037753E-2</c:v>
                </c:pt>
                <c:pt idx="91">
                  <c:v>4.4392704037753E-2</c:v>
                </c:pt>
                <c:pt idx="92">
                  <c:v>4.4539315914473646E-2</c:v>
                </c:pt>
                <c:pt idx="93">
                  <c:v>4.5419090294057995E-2</c:v>
                </c:pt>
                <c:pt idx="94">
                  <c:v>4.5705351003488603E-2</c:v>
                </c:pt>
                <c:pt idx="95">
                  <c:v>4.5938610081277545E-2</c:v>
                </c:pt>
                <c:pt idx="96">
                  <c:v>4.5508844065001684E-2</c:v>
                </c:pt>
                <c:pt idx="97">
                  <c:v>4.528395887766834E-2</c:v>
                </c:pt>
                <c:pt idx="98">
                  <c:v>4.5522637745304712E-2</c:v>
                </c:pt>
                <c:pt idx="99">
                  <c:v>4.5749609266849435E-2</c:v>
                </c:pt>
                <c:pt idx="100">
                  <c:v>4.5508181666550032E-2</c:v>
                </c:pt>
                <c:pt idx="101">
                  <c:v>4.4510766681784074E-2</c:v>
                </c:pt>
                <c:pt idx="102">
                  <c:v>4.3862345103659071E-2</c:v>
                </c:pt>
                <c:pt idx="103">
                  <c:v>4.3271988621548983E-2</c:v>
                </c:pt>
                <c:pt idx="104">
                  <c:v>4.3574433877575182E-2</c:v>
                </c:pt>
                <c:pt idx="105">
                  <c:v>4.390928101831592E-2</c:v>
                </c:pt>
                <c:pt idx="106">
                  <c:v>4.4707579135815918E-2</c:v>
                </c:pt>
                <c:pt idx="107">
                  <c:v>4.3505532441449724E-2</c:v>
                </c:pt>
                <c:pt idx="108">
                  <c:v>4.3329933478296188E-2</c:v>
                </c:pt>
                <c:pt idx="109">
                  <c:v>4.3433035668337013E-2</c:v>
                </c:pt>
                <c:pt idx="110">
                  <c:v>4.4177701405130901E-2</c:v>
                </c:pt>
                <c:pt idx="111">
                  <c:v>4.4153335064373925E-2</c:v>
                </c:pt>
                <c:pt idx="112">
                  <c:v>4.4443680033305968E-2</c:v>
                </c:pt>
                <c:pt idx="113">
                  <c:v>4.4120499405379703E-2</c:v>
                </c:pt>
                <c:pt idx="114">
                  <c:v>4.3887209017336233E-2</c:v>
                </c:pt>
                <c:pt idx="115">
                  <c:v>4.3854694954515716E-2</c:v>
                </c:pt>
                <c:pt idx="116">
                  <c:v>4.3727099840480628E-2</c:v>
                </c:pt>
                <c:pt idx="117">
                  <c:v>4.3916322685096015E-2</c:v>
                </c:pt>
                <c:pt idx="118">
                  <c:v>4.3909276882855348E-2</c:v>
                </c:pt>
                <c:pt idx="119">
                  <c:v>4.3377966214041122E-2</c:v>
                </c:pt>
                <c:pt idx="120">
                  <c:v>4.3182461192374462E-2</c:v>
                </c:pt>
                <c:pt idx="121">
                  <c:v>4.3485486378258942E-2</c:v>
                </c:pt>
                <c:pt idx="122">
                  <c:v>4.4121654526716236E-2</c:v>
                </c:pt>
                <c:pt idx="123">
                  <c:v>4.4873247699560276E-2</c:v>
                </c:pt>
                <c:pt idx="124">
                  <c:v>4.4548201953486653E-2</c:v>
                </c:pt>
                <c:pt idx="125">
                  <c:v>4.4720729829208578E-2</c:v>
                </c:pt>
                <c:pt idx="126">
                  <c:v>4.4759765669208577E-2</c:v>
                </c:pt>
                <c:pt idx="127">
                  <c:v>4.4053633989208571E-2</c:v>
                </c:pt>
                <c:pt idx="128">
                  <c:v>4.2942297281447384E-2</c:v>
                </c:pt>
                <c:pt idx="129">
                  <c:v>4.3872306081447376E-2</c:v>
                </c:pt>
                <c:pt idx="130">
                  <c:v>4.4379341073046523E-2</c:v>
                </c:pt>
                <c:pt idx="131">
                  <c:v>4.4718875471529279E-2</c:v>
                </c:pt>
                <c:pt idx="132">
                  <c:v>4.4079239859343491E-2</c:v>
                </c:pt>
                <c:pt idx="133">
                  <c:v>4.460719472450865E-2</c:v>
                </c:pt>
                <c:pt idx="134">
                  <c:v>4.5271281445319465E-2</c:v>
                </c:pt>
                <c:pt idx="135">
                  <c:v>4.4724003676519464E-2</c:v>
                </c:pt>
                <c:pt idx="136">
                  <c:v>4.4683864992012434E-2</c:v>
                </c:pt>
                <c:pt idx="137">
                  <c:v>4.5142768610246041E-2</c:v>
                </c:pt>
                <c:pt idx="138">
                  <c:v>4.4274536042924084E-2</c:v>
                </c:pt>
                <c:pt idx="139">
                  <c:v>4.2794866176257419E-2</c:v>
                </c:pt>
                <c:pt idx="140">
                  <c:v>4.3299683567657427E-2</c:v>
                </c:pt>
                <c:pt idx="141">
                  <c:v>4.1193890592270556E-2</c:v>
                </c:pt>
                <c:pt idx="142">
                  <c:v>4.0338038899815833E-2</c:v>
                </c:pt>
                <c:pt idx="143">
                  <c:v>4.0694918796130332E-2</c:v>
                </c:pt>
                <c:pt idx="144">
                  <c:v>4.0261167655867167E-2</c:v>
                </c:pt>
                <c:pt idx="145">
                  <c:v>3.9765892378094247E-2</c:v>
                </c:pt>
                <c:pt idx="146">
                  <c:v>4.0717301178989189E-2</c:v>
                </c:pt>
                <c:pt idx="147">
                  <c:v>4.140094294095744E-2</c:v>
                </c:pt>
                <c:pt idx="148">
                  <c:v>4.136904864409028E-2</c:v>
                </c:pt>
                <c:pt idx="149">
                  <c:v>4.2255552494807253E-2</c:v>
                </c:pt>
                <c:pt idx="150">
                  <c:v>3.7654157265669889E-2</c:v>
                </c:pt>
                <c:pt idx="151">
                  <c:v>3.885730467566989E-2</c:v>
                </c:pt>
                <c:pt idx="152">
                  <c:v>4.0419885060160393E-2</c:v>
                </c:pt>
                <c:pt idx="153">
                  <c:v>4.0756640057867714E-2</c:v>
                </c:pt>
                <c:pt idx="154">
                  <c:v>3.9094660842471651E-2</c:v>
                </c:pt>
                <c:pt idx="155">
                  <c:v>4.0286441120488958E-2</c:v>
                </c:pt>
                <c:pt idx="156">
                  <c:v>3.9588822279845337E-2</c:v>
                </c:pt>
                <c:pt idx="157">
                  <c:v>4.0451855556185176E-2</c:v>
                </c:pt>
                <c:pt idx="158">
                  <c:v>4.0751606653833081E-2</c:v>
                </c:pt>
                <c:pt idx="159">
                  <c:v>4.0693835281494527E-2</c:v>
                </c:pt>
                <c:pt idx="160">
                  <c:v>4.1808315462752856E-2</c:v>
                </c:pt>
                <c:pt idx="161">
                  <c:v>3.994571684328569E-2</c:v>
                </c:pt>
                <c:pt idx="162">
                  <c:v>3.7063082185104908E-2</c:v>
                </c:pt>
                <c:pt idx="163">
                  <c:v>3.7177299622624102E-2</c:v>
                </c:pt>
                <c:pt idx="164">
                  <c:v>3.9045689853506454E-2</c:v>
                </c:pt>
                <c:pt idx="165">
                  <c:v>3.8322579295932489E-2</c:v>
                </c:pt>
                <c:pt idx="166">
                  <c:v>3.7746171629725808E-2</c:v>
                </c:pt>
                <c:pt idx="167">
                  <c:v>3.7935103848681054E-2</c:v>
                </c:pt>
                <c:pt idx="168">
                  <c:v>3.6787590754104302E-2</c:v>
                </c:pt>
                <c:pt idx="169">
                  <c:v>3.6982967932740939E-2</c:v>
                </c:pt>
                <c:pt idx="170">
                  <c:v>3.7298896293132683E-2</c:v>
                </c:pt>
                <c:pt idx="171">
                  <c:v>3.6499165762460005E-2</c:v>
                </c:pt>
                <c:pt idx="172">
                  <c:v>3.6089498272723348E-2</c:v>
                </c:pt>
                <c:pt idx="173">
                  <c:v>3.6889390667047391E-2</c:v>
                </c:pt>
                <c:pt idx="174">
                  <c:v>3.6602956043513532E-2</c:v>
                </c:pt>
                <c:pt idx="175">
                  <c:v>3.6117823615156974E-2</c:v>
                </c:pt>
                <c:pt idx="176">
                  <c:v>3.5489220107222164E-2</c:v>
                </c:pt>
                <c:pt idx="177">
                  <c:v>3.4809572090447653E-2</c:v>
                </c:pt>
                <c:pt idx="178">
                  <c:v>3.4673382574236113E-2</c:v>
                </c:pt>
                <c:pt idx="179">
                  <c:v>3.4923773800141229E-2</c:v>
                </c:pt>
                <c:pt idx="180">
                  <c:v>3.5525620481924716E-2</c:v>
                </c:pt>
                <c:pt idx="181">
                  <c:v>3.5356612767007793E-2</c:v>
                </c:pt>
                <c:pt idx="182">
                  <c:v>3.4798625348269697E-2</c:v>
                </c:pt>
                <c:pt idx="183">
                  <c:v>3.455368053928641E-2</c:v>
                </c:pt>
                <c:pt idx="184">
                  <c:v>3.4365787795990789E-2</c:v>
                </c:pt>
                <c:pt idx="185">
                  <c:v>3.3898527601192885E-2</c:v>
                </c:pt>
                <c:pt idx="186">
                  <c:v>3.6089330390047872E-2</c:v>
                </c:pt>
                <c:pt idx="187">
                  <c:v>3.5695693632524457E-2</c:v>
                </c:pt>
                <c:pt idx="188">
                  <c:v>3.4838820768329927E-2</c:v>
                </c:pt>
                <c:pt idx="189">
                  <c:v>3.3762740862003572E-2</c:v>
                </c:pt>
                <c:pt idx="190">
                  <c:v>3.3154166721242703E-2</c:v>
                </c:pt>
                <c:pt idx="191">
                  <c:v>3.2037869699380897E-2</c:v>
                </c:pt>
                <c:pt idx="192">
                  <c:v>3.2890301942630096E-2</c:v>
                </c:pt>
                <c:pt idx="193">
                  <c:v>3.3817226434568429E-2</c:v>
                </c:pt>
                <c:pt idx="194">
                  <c:v>3.4035928298191756E-2</c:v>
                </c:pt>
                <c:pt idx="195">
                  <c:v>3.4535340077828561E-2</c:v>
                </c:pt>
                <c:pt idx="196">
                  <c:v>3.5672130546532808E-2</c:v>
                </c:pt>
                <c:pt idx="197">
                  <c:v>3.4720439267392808E-2</c:v>
                </c:pt>
                <c:pt idx="198">
                  <c:v>3.4596824114168312E-2</c:v>
                </c:pt>
                <c:pt idx="199">
                  <c:v>3.5033325610472336E-2</c:v>
                </c:pt>
                <c:pt idx="200">
                  <c:v>3.5336596086842816E-2</c:v>
                </c:pt>
                <c:pt idx="201">
                  <c:v>3.5183598809600002E-2</c:v>
                </c:pt>
                <c:pt idx="202">
                  <c:v>3.543950143263784E-2</c:v>
                </c:pt>
                <c:pt idx="203">
                  <c:v>3.4724954887052441E-2</c:v>
                </c:pt>
                <c:pt idx="204">
                  <c:v>3.5780444211667831E-2</c:v>
                </c:pt>
                <c:pt idx="205">
                  <c:v>3.4876528327860958E-2</c:v>
                </c:pt>
                <c:pt idx="206">
                  <c:v>3.2900201899006838E-2</c:v>
                </c:pt>
                <c:pt idx="207">
                  <c:v>3.3427149169731246E-2</c:v>
                </c:pt>
                <c:pt idx="208">
                  <c:v>3.3294919325179369E-2</c:v>
                </c:pt>
                <c:pt idx="209">
                  <c:v>3.3128201793903043E-2</c:v>
                </c:pt>
                <c:pt idx="210">
                  <c:v>3.1926769022886207E-2</c:v>
                </c:pt>
                <c:pt idx="211">
                  <c:v>3.331006900687427E-2</c:v>
                </c:pt>
                <c:pt idx="212">
                  <c:v>2.9863736041021376E-2</c:v>
                </c:pt>
                <c:pt idx="213">
                  <c:v>3.2702816851332653E-2</c:v>
                </c:pt>
                <c:pt idx="214">
                  <c:v>2.9136476942789171E-2</c:v>
                </c:pt>
                <c:pt idx="215">
                  <c:v>2.6996251213295953E-2</c:v>
                </c:pt>
                <c:pt idx="216">
                  <c:v>2.588144815558726E-2</c:v>
                </c:pt>
                <c:pt idx="217">
                  <c:v>2.8877784433603306E-2</c:v>
                </c:pt>
                <c:pt idx="218">
                  <c:v>2.8165656031916373E-2</c:v>
                </c:pt>
                <c:pt idx="219">
                  <c:v>2.7267470588801707E-2</c:v>
                </c:pt>
                <c:pt idx="220">
                  <c:v>3.0675076771146365E-2</c:v>
                </c:pt>
                <c:pt idx="221">
                  <c:v>3.4784751725230059E-2</c:v>
                </c:pt>
                <c:pt idx="222">
                  <c:v>3.4108074494868398E-2</c:v>
                </c:pt>
                <c:pt idx="223">
                  <c:v>3.5501216286858289E-2</c:v>
                </c:pt>
                <c:pt idx="224">
                  <c:v>3.6249189171074864E-2</c:v>
                </c:pt>
                <c:pt idx="225">
                  <c:v>3.7060612385645855E-2</c:v>
                </c:pt>
                <c:pt idx="226">
                  <c:v>3.770543959063246E-2</c:v>
                </c:pt>
                <c:pt idx="227">
                  <c:v>4.007135401363246E-2</c:v>
                </c:pt>
                <c:pt idx="228">
                  <c:v>3.9104422381045924E-2</c:v>
                </c:pt>
                <c:pt idx="229">
                  <c:v>3.8026996908750298E-2</c:v>
                </c:pt>
                <c:pt idx="230">
                  <c:v>3.8828142893696078E-2</c:v>
                </c:pt>
                <c:pt idx="231">
                  <c:v>4.1139853802798866E-2</c:v>
                </c:pt>
                <c:pt idx="232">
                  <c:v>4.4175860822626714E-2</c:v>
                </c:pt>
                <c:pt idx="233">
                  <c:v>4.0090887258735448E-2</c:v>
                </c:pt>
                <c:pt idx="234">
                  <c:v>3.6312883897908543E-2</c:v>
                </c:pt>
                <c:pt idx="235">
                  <c:v>3.7806354744160629E-2</c:v>
                </c:pt>
                <c:pt idx="236">
                  <c:v>3.6938382201605315E-2</c:v>
                </c:pt>
                <c:pt idx="237">
                  <c:v>3.7971331412993345E-2</c:v>
                </c:pt>
                <c:pt idx="238">
                  <c:v>3.8261291358632571E-2</c:v>
                </c:pt>
                <c:pt idx="239">
                  <c:v>3.8593550596622256E-2</c:v>
                </c:pt>
                <c:pt idx="240">
                  <c:v>3.7165928560675757E-2</c:v>
                </c:pt>
                <c:pt idx="241">
                  <c:v>3.6516056279649489E-2</c:v>
                </c:pt>
                <c:pt idx="242">
                  <c:v>3.4902125265565652E-2</c:v>
                </c:pt>
                <c:pt idx="243">
                  <c:v>3.4044302096347859E-2</c:v>
                </c:pt>
                <c:pt idx="244">
                  <c:v>3.2994040053164066E-2</c:v>
                </c:pt>
                <c:pt idx="245">
                  <c:v>3.4192658699889349E-2</c:v>
                </c:pt>
                <c:pt idx="246">
                  <c:v>3.4731443954369549E-2</c:v>
                </c:pt>
                <c:pt idx="247">
                  <c:v>3.3985574408435935E-2</c:v>
                </c:pt>
                <c:pt idx="248">
                  <c:v>3.438204877476541E-2</c:v>
                </c:pt>
                <c:pt idx="249">
                  <c:v>3.0989311715035311E-2</c:v>
                </c:pt>
                <c:pt idx="250">
                  <c:v>3.1526810848709619E-2</c:v>
                </c:pt>
                <c:pt idx="251">
                  <c:v>3.173329674768903E-2</c:v>
                </c:pt>
                <c:pt idx="252">
                  <c:v>3.2519587393411667E-2</c:v>
                </c:pt>
                <c:pt idx="253">
                  <c:v>3.1232200265442888E-2</c:v>
                </c:pt>
                <c:pt idx="254">
                  <c:v>3.2576327617682671E-2</c:v>
                </c:pt>
                <c:pt idx="255">
                  <c:v>3.2592563390832829E-2</c:v>
                </c:pt>
                <c:pt idx="256">
                  <c:v>3.1137576973008542E-2</c:v>
                </c:pt>
                <c:pt idx="257">
                  <c:v>3.1512747688955588E-2</c:v>
                </c:pt>
                <c:pt idx="258">
                  <c:v>3.3301648573465528E-2</c:v>
                </c:pt>
                <c:pt idx="259">
                  <c:v>3.0592766430267489E-2</c:v>
                </c:pt>
                <c:pt idx="260">
                  <c:v>2.9167008024159825E-2</c:v>
                </c:pt>
                <c:pt idx="261">
                  <c:v>3.0381093608650191E-2</c:v>
                </c:pt>
                <c:pt idx="262">
                  <c:v>2.9633674232843101E-2</c:v>
                </c:pt>
                <c:pt idx="263">
                  <c:v>2.989794362677441E-2</c:v>
                </c:pt>
                <c:pt idx="264">
                  <c:v>2.9584288029559189E-2</c:v>
                </c:pt>
                <c:pt idx="265">
                  <c:v>3.010100862517151E-2</c:v>
                </c:pt>
                <c:pt idx="266">
                  <c:v>3.0544429916986655E-2</c:v>
                </c:pt>
                <c:pt idx="267">
                  <c:v>2.9790667996101486E-2</c:v>
                </c:pt>
                <c:pt idx="268">
                  <c:v>2.9305335763655731E-2</c:v>
                </c:pt>
                <c:pt idx="269">
                  <c:v>3.0131611680323207E-2</c:v>
                </c:pt>
                <c:pt idx="270">
                  <c:v>2.9932320849291861E-2</c:v>
                </c:pt>
                <c:pt idx="271">
                  <c:v>3.0185333275881077E-2</c:v>
                </c:pt>
                <c:pt idx="272">
                  <c:v>2.9894247681200043E-2</c:v>
                </c:pt>
                <c:pt idx="273">
                  <c:v>2.9549598964155054E-2</c:v>
                </c:pt>
                <c:pt idx="274">
                  <c:v>2.9364157530197121E-2</c:v>
                </c:pt>
                <c:pt idx="275">
                  <c:v>2.9101466101102574E-2</c:v>
                </c:pt>
                <c:pt idx="276">
                  <c:v>2.9269766385326725E-2</c:v>
                </c:pt>
                <c:pt idx="277">
                  <c:v>2.8287704894663507E-2</c:v>
                </c:pt>
                <c:pt idx="278">
                  <c:v>2.8216305342484815E-2</c:v>
                </c:pt>
                <c:pt idx="279">
                  <c:v>2.8710944042068864E-2</c:v>
                </c:pt>
                <c:pt idx="280">
                  <c:v>2.7986987566510028E-2</c:v>
                </c:pt>
                <c:pt idx="281">
                  <c:v>2.871022750074775E-2</c:v>
                </c:pt>
                <c:pt idx="282">
                  <c:v>2.912649009664571E-2</c:v>
                </c:pt>
                <c:pt idx="283">
                  <c:v>2.7392656748229709E-2</c:v>
                </c:pt>
                <c:pt idx="284">
                  <c:v>2.8236201928963606E-2</c:v>
                </c:pt>
                <c:pt idx="285">
                  <c:v>2.8803077886904168E-2</c:v>
                </c:pt>
                <c:pt idx="286">
                  <c:v>2.9204516726625114E-2</c:v>
                </c:pt>
                <c:pt idx="287">
                  <c:v>2.9407164563325074E-2</c:v>
                </c:pt>
                <c:pt idx="288">
                  <c:v>2.898603588139563E-2</c:v>
                </c:pt>
                <c:pt idx="289">
                  <c:v>2.8715426855900242E-2</c:v>
                </c:pt>
                <c:pt idx="290">
                  <c:v>2.8372592449219976E-2</c:v>
                </c:pt>
                <c:pt idx="291">
                  <c:v>2.8502487766316691E-2</c:v>
                </c:pt>
                <c:pt idx="292">
                  <c:v>2.8665312705542453E-2</c:v>
                </c:pt>
                <c:pt idx="293">
                  <c:v>2.8834256629024078E-2</c:v>
                </c:pt>
                <c:pt idx="294">
                  <c:v>2.8969724579874328E-2</c:v>
                </c:pt>
                <c:pt idx="295">
                  <c:v>2.8329453887148155E-2</c:v>
                </c:pt>
                <c:pt idx="296">
                  <c:v>2.826471880347568E-2</c:v>
                </c:pt>
                <c:pt idx="297">
                  <c:v>2.8865140192100087E-2</c:v>
                </c:pt>
                <c:pt idx="298">
                  <c:v>2.8481062914583556E-2</c:v>
                </c:pt>
                <c:pt idx="299">
                  <c:v>2.8341350296873208E-2</c:v>
                </c:pt>
                <c:pt idx="300">
                  <c:v>2.9355947546833724E-2</c:v>
                </c:pt>
                <c:pt idx="301">
                  <c:v>2.8762629553506908E-2</c:v>
                </c:pt>
                <c:pt idx="302">
                  <c:v>2.9807600289011787E-2</c:v>
                </c:pt>
                <c:pt idx="303">
                  <c:v>3.053588127346742E-2</c:v>
                </c:pt>
                <c:pt idx="304">
                  <c:v>3.0452733149802843E-2</c:v>
                </c:pt>
                <c:pt idx="305">
                  <c:v>2.9910095452426327E-2</c:v>
                </c:pt>
                <c:pt idx="306">
                  <c:v>2.9156100211572996E-2</c:v>
                </c:pt>
                <c:pt idx="307">
                  <c:v>2.9611619982893082E-2</c:v>
                </c:pt>
                <c:pt idx="308">
                  <c:v>2.8601857275203313E-2</c:v>
                </c:pt>
                <c:pt idx="309">
                  <c:v>2.8166114132110627E-2</c:v>
                </c:pt>
                <c:pt idx="310">
                  <c:v>2.9421034745150093E-2</c:v>
                </c:pt>
                <c:pt idx="311">
                  <c:v>3.010309955743996E-2</c:v>
                </c:pt>
                <c:pt idx="312">
                  <c:v>2.9753319151767869E-2</c:v>
                </c:pt>
                <c:pt idx="313">
                  <c:v>2.9735831196791653E-2</c:v>
                </c:pt>
                <c:pt idx="314">
                  <c:v>2.9930330021174713E-2</c:v>
                </c:pt>
                <c:pt idx="315">
                  <c:v>3.0129212588616432E-2</c:v>
                </c:pt>
                <c:pt idx="316">
                  <c:v>3.0051491596542346E-2</c:v>
                </c:pt>
                <c:pt idx="317">
                  <c:v>2.9424099276413641E-2</c:v>
                </c:pt>
                <c:pt idx="318">
                  <c:v>2.9158989096150695E-2</c:v>
                </c:pt>
                <c:pt idx="319">
                  <c:v>2.873225506797045E-2</c:v>
                </c:pt>
                <c:pt idx="320">
                  <c:v>2.9300511391459151E-2</c:v>
                </c:pt>
                <c:pt idx="321">
                  <c:v>2.9237299368391929E-2</c:v>
                </c:pt>
                <c:pt idx="322">
                  <c:v>2.9450519595955484E-2</c:v>
                </c:pt>
                <c:pt idx="323">
                  <c:v>2.8755881720504268E-2</c:v>
                </c:pt>
                <c:pt idx="324">
                  <c:v>2.7992726637165066E-2</c:v>
                </c:pt>
                <c:pt idx="325">
                  <c:v>2.689341435655716E-2</c:v>
                </c:pt>
                <c:pt idx="326">
                  <c:v>2.6242888109732406E-2</c:v>
                </c:pt>
                <c:pt idx="327">
                  <c:v>2.6195073628623427E-2</c:v>
                </c:pt>
                <c:pt idx="328">
                  <c:v>2.605345585869295E-2</c:v>
                </c:pt>
                <c:pt idx="329">
                  <c:v>2.5631258958958323E-2</c:v>
                </c:pt>
                <c:pt idx="330">
                  <c:v>2.6303723212453587E-2</c:v>
                </c:pt>
                <c:pt idx="331">
                  <c:v>2.6699662826185057E-2</c:v>
                </c:pt>
                <c:pt idx="332">
                  <c:v>2.6070083777095153E-2</c:v>
                </c:pt>
                <c:pt idx="333">
                  <c:v>2.5427038707495662E-2</c:v>
                </c:pt>
                <c:pt idx="334">
                  <c:v>2.5592769283725662E-2</c:v>
                </c:pt>
                <c:pt idx="335">
                  <c:v>2.5417057059109092E-2</c:v>
                </c:pt>
                <c:pt idx="336">
                  <c:v>2.5318007131948386E-2</c:v>
                </c:pt>
                <c:pt idx="337">
                  <c:v>2.6302245348937763E-2</c:v>
                </c:pt>
                <c:pt idx="338">
                  <c:v>2.6657597712433548E-2</c:v>
                </c:pt>
                <c:pt idx="339">
                  <c:v>2.7529442592114164E-2</c:v>
                </c:pt>
                <c:pt idx="340">
                  <c:v>2.5339835144213719E-2</c:v>
                </c:pt>
                <c:pt idx="341">
                  <c:v>2.5528069883456062E-2</c:v>
                </c:pt>
                <c:pt idx="342">
                  <c:v>2.617393568807606E-2</c:v>
                </c:pt>
                <c:pt idx="343">
                  <c:v>2.5930577914530347E-2</c:v>
                </c:pt>
                <c:pt idx="344">
                  <c:v>2.631765054154207E-2</c:v>
                </c:pt>
                <c:pt idx="345">
                  <c:v>2.4369268772121394E-2</c:v>
                </c:pt>
                <c:pt idx="346">
                  <c:v>2.3851605930531119E-2</c:v>
                </c:pt>
                <c:pt idx="347">
                  <c:v>2.2747875335708261E-2</c:v>
                </c:pt>
                <c:pt idx="348">
                  <c:v>2.2434397271895699E-2</c:v>
                </c:pt>
                <c:pt idx="349">
                  <c:v>2.2384872299051312E-2</c:v>
                </c:pt>
                <c:pt idx="350">
                  <c:v>2.2012732705811736E-2</c:v>
                </c:pt>
                <c:pt idx="351">
                  <c:v>2.1328543015177382E-2</c:v>
                </c:pt>
                <c:pt idx="352">
                  <c:v>2.1241227769181525E-2</c:v>
                </c:pt>
                <c:pt idx="353">
                  <c:v>2.1523582366024134E-2</c:v>
                </c:pt>
                <c:pt idx="354">
                  <c:v>2.045402021471689E-2</c:v>
                </c:pt>
                <c:pt idx="355">
                  <c:v>1.9390090027461542E-2</c:v>
                </c:pt>
                <c:pt idx="356">
                  <c:v>2.0082141468489311E-2</c:v>
                </c:pt>
                <c:pt idx="357">
                  <c:v>1.909858822906188E-2</c:v>
                </c:pt>
                <c:pt idx="358">
                  <c:v>1.9183335775987215E-2</c:v>
                </c:pt>
                <c:pt idx="359">
                  <c:v>1.8208887489129428E-2</c:v>
                </c:pt>
                <c:pt idx="360">
                  <c:v>1.7739240019018526E-2</c:v>
                </c:pt>
                <c:pt idx="361">
                  <c:v>1.7158832045201942E-2</c:v>
                </c:pt>
                <c:pt idx="362">
                  <c:v>1.7516302959466604E-2</c:v>
                </c:pt>
                <c:pt idx="363">
                  <c:v>1.7804424248892576E-2</c:v>
                </c:pt>
                <c:pt idx="364">
                  <c:v>1.7958284457608911E-2</c:v>
                </c:pt>
                <c:pt idx="365">
                  <c:v>1.72271950629602E-2</c:v>
                </c:pt>
                <c:pt idx="366">
                  <c:v>1.7305414039607749E-2</c:v>
                </c:pt>
                <c:pt idx="367">
                  <c:v>1.6884382627936942E-2</c:v>
                </c:pt>
                <c:pt idx="368">
                  <c:v>1.7581984418634022E-2</c:v>
                </c:pt>
                <c:pt idx="369">
                  <c:v>1.7875809934219729E-2</c:v>
                </c:pt>
                <c:pt idx="370">
                  <c:v>1.7757203599461903E-2</c:v>
                </c:pt>
                <c:pt idx="371">
                  <c:v>1.6546049397131442E-2</c:v>
                </c:pt>
                <c:pt idx="372">
                  <c:v>1.7928377220154602E-2</c:v>
                </c:pt>
                <c:pt idx="373">
                  <c:v>1.6680927576824801E-2</c:v>
                </c:pt>
                <c:pt idx="374">
                  <c:v>1.7374566284791611E-2</c:v>
                </c:pt>
                <c:pt idx="375">
                  <c:v>1.8079487674879297E-2</c:v>
                </c:pt>
                <c:pt idx="376">
                  <c:v>1.7551079456224736E-2</c:v>
                </c:pt>
                <c:pt idx="377">
                  <c:v>1.635265982773371E-2</c:v>
                </c:pt>
                <c:pt idx="378">
                  <c:v>1.5843425307541788E-2</c:v>
                </c:pt>
                <c:pt idx="379">
                  <c:v>1.3786248220509029E-2</c:v>
                </c:pt>
                <c:pt idx="380">
                  <c:v>1.1549537360300718E-2</c:v>
                </c:pt>
                <c:pt idx="381">
                  <c:v>1.2050283137010337E-2</c:v>
                </c:pt>
                <c:pt idx="382">
                  <c:v>1.2120017118597334E-2</c:v>
                </c:pt>
                <c:pt idx="383">
                  <c:v>1.1738566145841605E-2</c:v>
                </c:pt>
                <c:pt idx="384">
                  <c:v>1.1501384921435575E-2</c:v>
                </c:pt>
                <c:pt idx="385">
                  <c:v>1.1233838377186641E-2</c:v>
                </c:pt>
                <c:pt idx="386">
                  <c:v>1.209518470697842E-2</c:v>
                </c:pt>
                <c:pt idx="387">
                  <c:v>1.0556706900925234E-2</c:v>
                </c:pt>
                <c:pt idx="388">
                  <c:v>1.0143810411697443E-2</c:v>
                </c:pt>
                <c:pt idx="389">
                  <c:v>9.5825889597968682E-3</c:v>
                </c:pt>
                <c:pt idx="390">
                  <c:v>8.4409067306305072E-3</c:v>
                </c:pt>
                <c:pt idx="391">
                  <c:v>8.4015591763699771E-3</c:v>
                </c:pt>
                <c:pt idx="392">
                  <c:v>8.3396934859303069E-3</c:v>
                </c:pt>
                <c:pt idx="393">
                  <c:v>6.2911704592750117E-3</c:v>
                </c:pt>
                <c:pt idx="394">
                  <c:v>6.6342518918625949E-3</c:v>
                </c:pt>
                <c:pt idx="395">
                  <c:v>5.152430760867301E-3</c:v>
                </c:pt>
                <c:pt idx="396">
                  <c:v>3.9255482265216548E-3</c:v>
                </c:pt>
                <c:pt idx="397">
                  <c:v>3.4172646795735295E-3</c:v>
                </c:pt>
                <c:pt idx="398">
                  <c:v>3.8200437927582609E-3</c:v>
                </c:pt>
                <c:pt idx="399">
                  <c:v>3.9208404229582597E-3</c:v>
                </c:pt>
                <c:pt idx="400">
                  <c:v>3.2346790375442831E-3</c:v>
                </c:pt>
                <c:pt idx="401">
                  <c:v>3.5575271422549925E-3</c:v>
                </c:pt>
                <c:pt idx="402">
                  <c:v>2.9553161151705939E-3</c:v>
                </c:pt>
                <c:pt idx="403">
                  <c:v>3.664256533862183E-3</c:v>
                </c:pt>
                <c:pt idx="404">
                  <c:v>4.1352834062128949E-3</c:v>
                </c:pt>
                <c:pt idx="405">
                  <c:v>4.7142491901296544E-3</c:v>
                </c:pt>
                <c:pt idx="406">
                  <c:v>4.8391558987919032E-3</c:v>
                </c:pt>
                <c:pt idx="407">
                  <c:v>5.1423644388363474E-3</c:v>
                </c:pt>
                <c:pt idx="408">
                  <c:v>4.6396428660196902E-3</c:v>
                </c:pt>
                <c:pt idx="409">
                  <c:v>3.700817257001983E-3</c:v>
                </c:pt>
                <c:pt idx="410">
                  <c:v>3.681030519428453E-3</c:v>
                </c:pt>
                <c:pt idx="411">
                  <c:v>3.4579427217548537E-3</c:v>
                </c:pt>
                <c:pt idx="412">
                  <c:v>3.0670334585532724E-3</c:v>
                </c:pt>
                <c:pt idx="413">
                  <c:v>3.1774287803907637E-3</c:v>
                </c:pt>
                <c:pt idx="414">
                  <c:v>3.6255631217515399E-3</c:v>
                </c:pt>
                <c:pt idx="415">
                  <c:v>3.1454203753321251E-3</c:v>
                </c:pt>
                <c:pt idx="416">
                  <c:v>4.1918882610510362E-3</c:v>
                </c:pt>
                <c:pt idx="417">
                  <c:v>4.0703286279388786E-3</c:v>
                </c:pt>
                <c:pt idx="418">
                  <c:v>4.4165243277340307E-3</c:v>
                </c:pt>
                <c:pt idx="419">
                  <c:v>3.4488556347112799E-3</c:v>
                </c:pt>
                <c:pt idx="420">
                  <c:v>5.2907422768016027E-3</c:v>
                </c:pt>
                <c:pt idx="421">
                  <c:v>5.8997412707574503E-3</c:v>
                </c:pt>
                <c:pt idx="422">
                  <c:v>5.0430711530376647E-3</c:v>
                </c:pt>
                <c:pt idx="423">
                  <c:v>4.720617998347428E-3</c:v>
                </c:pt>
                <c:pt idx="424">
                  <c:v>4.8529926986708343E-3</c:v>
                </c:pt>
                <c:pt idx="425">
                  <c:v>3.3375609724626346E-3</c:v>
                </c:pt>
                <c:pt idx="426">
                  <c:v>3.2312810007130385E-3</c:v>
                </c:pt>
                <c:pt idx="427">
                  <c:v>3.5369004954636097E-3</c:v>
                </c:pt>
                <c:pt idx="428">
                  <c:v>9.365566738479404E-4</c:v>
                </c:pt>
                <c:pt idx="429">
                  <c:v>1.7894219353102568E-3</c:v>
                </c:pt>
                <c:pt idx="430">
                  <c:v>7.0078523069634191E-4</c:v>
                </c:pt>
                <c:pt idx="431">
                  <c:v>3.4636169890219312E-4</c:v>
                </c:pt>
                <c:pt idx="432">
                  <c:v>7.5749513493984322E-4</c:v>
                </c:pt>
                <c:pt idx="433">
                  <c:v>4.2316681965929379E-5</c:v>
                </c:pt>
                <c:pt idx="434">
                  <c:v>-2.9155468152180966E-4</c:v>
                </c:pt>
                <c:pt idx="435">
                  <c:v>3.7009630805572888E-5</c:v>
                </c:pt>
                <c:pt idx="436">
                  <c:v>2.4528848820493825E-4</c:v>
                </c:pt>
                <c:pt idx="437">
                  <c:v>-2.7018607149492527E-4</c:v>
                </c:pt>
                <c:pt idx="438">
                  <c:v>-5.2039169843778204E-4</c:v>
                </c:pt>
                <c:pt idx="439">
                  <c:v>-2.9835668219113361E-4</c:v>
                </c:pt>
                <c:pt idx="440">
                  <c:v>-2.2558892697800947E-4</c:v>
                </c:pt>
                <c:pt idx="441">
                  <c:v>-3.6874174144505727E-4</c:v>
                </c:pt>
                <c:pt idx="442">
                  <c:v>-6.848582965298032E-4</c:v>
                </c:pt>
                <c:pt idx="443">
                  <c:v>-9.7513231361263426E-5</c:v>
                </c:pt>
                <c:pt idx="444">
                  <c:v>-3.4775606002922601E-4</c:v>
                </c:pt>
                <c:pt idx="445">
                  <c:v>-2.6775256127594083E-4</c:v>
                </c:pt>
                <c:pt idx="446">
                  <c:v>-5.0084443927656778E-4</c:v>
                </c:pt>
                <c:pt idx="447">
                  <c:v>-3.7186667071361229E-5</c:v>
                </c:pt>
                <c:pt idx="448">
                  <c:v>-5.8213801073548114E-4</c:v>
                </c:pt>
                <c:pt idx="449">
                  <c:v>-6.3547249451908539E-4</c:v>
                </c:pt>
                <c:pt idx="450">
                  <c:v>-6.6271500906992897E-4</c:v>
                </c:pt>
                <c:pt idx="451">
                  <c:v>-5.7906944956528505E-4</c:v>
                </c:pt>
                <c:pt idx="452">
                  <c:v>-2.4740409582834564E-4</c:v>
                </c:pt>
                <c:pt idx="453">
                  <c:v>-4.6950082835279632E-4</c:v>
                </c:pt>
                <c:pt idx="454">
                  <c:v>-5.1826700813118994E-4</c:v>
                </c:pt>
                <c:pt idx="455">
                  <c:v>-6.9195011333936652E-4</c:v>
                </c:pt>
                <c:pt idx="456">
                  <c:v>-3.6824491799372167E-4</c:v>
                </c:pt>
                <c:pt idx="457">
                  <c:v>9.6968278933019027E-5</c:v>
                </c:pt>
                <c:pt idx="458">
                  <c:v>7.9835253829506109E-4</c:v>
                </c:pt>
                <c:pt idx="459">
                  <c:v>-2.2964295720587077E-3</c:v>
                </c:pt>
                <c:pt idx="460">
                  <c:v>-2.0667136627035344E-3</c:v>
                </c:pt>
                <c:pt idx="461">
                  <c:v>-1.9951253668060985E-3</c:v>
                </c:pt>
                <c:pt idx="462">
                  <c:v>-1.6673262547544389E-3</c:v>
                </c:pt>
                <c:pt idx="463">
                  <c:v>-1.4013919298995574E-3</c:v>
                </c:pt>
                <c:pt idx="464">
                  <c:v>-1.2019100481502855E-3</c:v>
                </c:pt>
                <c:pt idx="465">
                  <c:v>-9.4052641815971845E-4</c:v>
                </c:pt>
                <c:pt idx="466">
                  <c:v>-7.3098230192762171E-4</c:v>
                </c:pt>
                <c:pt idx="467">
                  <c:v>-8.6422664633414999E-4</c:v>
                </c:pt>
                <c:pt idx="468">
                  <c:v>-9.8780218884615017E-4</c:v>
                </c:pt>
                <c:pt idx="469">
                  <c:v>-8.7475742324151539E-4</c:v>
                </c:pt>
                <c:pt idx="470">
                  <c:v>-7.0789527659200684E-4</c:v>
                </c:pt>
                <c:pt idx="471">
                  <c:v>-8.4008248121578339E-4</c:v>
                </c:pt>
                <c:pt idx="472">
                  <c:v>-6.8483826595047736E-4</c:v>
                </c:pt>
                <c:pt idx="473">
                  <c:v>-9.381780025052006E-4</c:v>
                </c:pt>
                <c:pt idx="474">
                  <c:v>-8.662887323753303E-4</c:v>
                </c:pt>
                <c:pt idx="475">
                  <c:v>-5.4174058698373709E-4</c:v>
                </c:pt>
                <c:pt idx="476">
                  <c:v>-7.6724378330261128E-4</c:v>
                </c:pt>
                <c:pt idx="477">
                  <c:v>-1.1548966227664188E-3</c:v>
                </c:pt>
                <c:pt idx="478">
                  <c:v>-1.2854733862611555E-3</c:v>
                </c:pt>
                <c:pt idx="479">
                  <c:v>-1.0205234712406968E-3</c:v>
                </c:pt>
                <c:pt idx="480">
                  <c:v>-9.3470838218225559E-4</c:v>
                </c:pt>
                <c:pt idx="481">
                  <c:v>-9.1801608713852341E-4</c:v>
                </c:pt>
                <c:pt idx="482">
                  <c:v>-9.0100865825568956E-4</c:v>
                </c:pt>
                <c:pt idx="483">
                  <c:v>-8.6950354270824346E-4</c:v>
                </c:pt>
                <c:pt idx="484">
                  <c:v>-8.3541890130199407E-4</c:v>
                </c:pt>
                <c:pt idx="485">
                  <c:v>-6.9355038107129249E-4</c:v>
                </c:pt>
                <c:pt idx="486">
                  <c:v>-8.7937038809758443E-4</c:v>
                </c:pt>
                <c:pt idx="487">
                  <c:v>-7.366165151841983E-4</c:v>
                </c:pt>
                <c:pt idx="488">
                  <c:v>-7.1303002912098787E-4</c:v>
                </c:pt>
                <c:pt idx="489">
                  <c:v>-6.7932134103504968E-4</c:v>
                </c:pt>
                <c:pt idx="490">
                  <c:v>-7.9729836786814371E-4</c:v>
                </c:pt>
                <c:pt idx="491">
                  <c:v>-1.2157969106167486E-3</c:v>
                </c:pt>
                <c:pt idx="492">
                  <c:v>-9.3211661215521137E-4</c:v>
                </c:pt>
                <c:pt idx="493">
                  <c:v>-1.1923048223094533E-3</c:v>
                </c:pt>
                <c:pt idx="494">
                  <c:v>-3.9907903852647443E-4</c:v>
                </c:pt>
                <c:pt idx="495">
                  <c:v>-2.3649132819305747E-4</c:v>
                </c:pt>
                <c:pt idx="496">
                  <c:v>3.2109279576501278E-4</c:v>
                </c:pt>
                <c:pt idx="497">
                  <c:v>4.3595278492030478E-4</c:v>
                </c:pt>
                <c:pt idx="498">
                  <c:v>1.3815480769718974E-4</c:v>
                </c:pt>
                <c:pt idx="499">
                  <c:v>-5.4877157701118458E-4</c:v>
                </c:pt>
                <c:pt idx="500">
                  <c:v>-2.5765838101118508E-4</c:v>
                </c:pt>
                <c:pt idx="501">
                  <c:v>4.9914508231323342E-5</c:v>
                </c:pt>
                <c:pt idx="502">
                  <c:v>-3.5763446120244338E-4</c:v>
                </c:pt>
                <c:pt idx="503">
                  <c:v>-6.4542733242097916E-4</c:v>
                </c:pt>
                <c:pt idx="504">
                  <c:v>-5.9066343131275337E-4</c:v>
                </c:pt>
                <c:pt idx="505">
                  <c:v>-3.5337690352864949E-4</c:v>
                </c:pt>
                <c:pt idx="506">
                  <c:v>-3.9716989794902374E-4</c:v>
                </c:pt>
                <c:pt idx="507">
                  <c:v>3.0534658418309284E-5</c:v>
                </c:pt>
                <c:pt idx="508">
                  <c:v>-7.9463419875674371E-5</c:v>
                </c:pt>
                <c:pt idx="509">
                  <c:v>-4.8448597831419918E-4</c:v>
                </c:pt>
                <c:pt idx="510">
                  <c:v>2.0829382944827666E-5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EA-48C4-AFA2-0D9B765CFD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6693712"/>
        <c:axId val="616686640"/>
      </c:lineChart>
      <c:dateAx>
        <c:axId val="6166937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6686640"/>
        <c:crosses val="autoZero"/>
        <c:auto val="1"/>
        <c:lblOffset val="100"/>
        <c:baseTimeUnit val="days"/>
      </c:dateAx>
      <c:valAx>
        <c:axId val="616686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6693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C366ECC-6413-4B4D-AFED-1007017693AF}">
  <sheetPr codeName="Chart1"/>
  <sheetViews>
    <sheetView zoomScale="7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9408" cy="607845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4541DDE-0508-488A-86AD-A11279BE6CC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625</v>
      </c>
      <c r="D2" s="4">
        <f>MIN(D3:D1912)</f>
        <v>23.158000000000001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7</v>
      </c>
      <c r="N4" t="s">
        <v>7</v>
      </c>
    </row>
    <row r="5" spans="1:20" x14ac:dyDescent="0.25">
      <c r="A5" s="5">
        <v>44588</v>
      </c>
      <c r="B5">
        <v>165.3</v>
      </c>
      <c r="C5">
        <v>166.9</v>
      </c>
      <c r="D5">
        <v>160.30000000000001</v>
      </c>
      <c r="E5">
        <v>160.5</v>
      </c>
      <c r="F5">
        <v>4112.1440000000002</v>
      </c>
      <c r="G5">
        <v>160.5</v>
      </c>
      <c r="L5" t="s">
        <v>7</v>
      </c>
      <c r="M5" t="s">
        <v>7</v>
      </c>
      <c r="N5" t="s">
        <v>7</v>
      </c>
      <c r="P5">
        <f t="shared" ref="P5" si="0">IF(C5=D5,0,((E5-D5)-(C5-E5))/(C5-D5))</f>
        <v>-0.93939393939394278</v>
      </c>
      <c r="Q5">
        <f t="shared" ref="Q5" si="1">F5*P5</f>
        <v>-3862.9231515151655</v>
      </c>
      <c r="R5">
        <f t="shared" ref="R5" si="2">R6+Q5</f>
        <v>4548789.3373481175</v>
      </c>
      <c r="S5">
        <f t="shared" ref="S5" si="3">R5/100000</f>
        <v>45.487893373481178</v>
      </c>
      <c r="T5">
        <f t="shared" ref="T5" si="4">S5/1000</f>
        <v>4.5487893373481178E-2</v>
      </c>
    </row>
    <row r="6" spans="1:20" x14ac:dyDescent="0.25">
      <c r="A6" s="5">
        <v>44587</v>
      </c>
      <c r="B6">
        <v>173.7</v>
      </c>
      <c r="C6">
        <v>181.5</v>
      </c>
      <c r="D6">
        <v>162.19999999999999</v>
      </c>
      <c r="E6">
        <v>165</v>
      </c>
      <c r="F6">
        <v>63716.9</v>
      </c>
      <c r="G6">
        <v>165</v>
      </c>
      <c r="L6" t="s">
        <v>7</v>
      </c>
      <c r="M6" t="s">
        <v>7</v>
      </c>
      <c r="N6" t="s">
        <v>7</v>
      </c>
      <c r="P6">
        <f t="shared" ref="P6" si="5">IF(C6=D6,0,((E6-D6)-(C6-E6))/(C6-D6))</f>
        <v>-0.7098445595854912</v>
      </c>
      <c r="Q6">
        <f t="shared" ref="Q6" si="6">F6*P6</f>
        <v>-45229.094818652782</v>
      </c>
      <c r="R6">
        <f t="shared" ref="R6" si="7">R7+Q6</f>
        <v>4552652.2604996329</v>
      </c>
      <c r="S6">
        <f t="shared" ref="S6" si="8">R6/100000</f>
        <v>45.52652260499633</v>
      </c>
      <c r="T6">
        <f t="shared" ref="T6" si="9">S6/1000</f>
        <v>4.5526522604996331E-2</v>
      </c>
    </row>
    <row r="7" spans="1:20" x14ac:dyDescent="0.25">
      <c r="A7" s="5">
        <v>44586</v>
      </c>
      <c r="B7">
        <v>174.9</v>
      </c>
      <c r="C7">
        <v>180.9</v>
      </c>
      <c r="D7">
        <v>169.8</v>
      </c>
      <c r="E7">
        <v>173.6</v>
      </c>
      <c r="F7">
        <v>36594.381000000001</v>
      </c>
      <c r="G7">
        <v>173.6</v>
      </c>
      <c r="L7" t="s">
        <v>8</v>
      </c>
      <c r="M7" t="s">
        <v>7</v>
      </c>
      <c r="N7" t="s">
        <v>7</v>
      </c>
      <c r="P7">
        <f t="shared" ref="P7" si="10">IF(C7=D7,0,((E7-D7)-(C7-E7))/(C7-D7))</f>
        <v>-0.31531531531531803</v>
      </c>
      <c r="Q7">
        <f t="shared" ref="Q7" si="11">F7*P7</f>
        <v>-11538.768783783884</v>
      </c>
      <c r="R7">
        <f t="shared" ref="R7" si="12">R8+Q7</f>
        <v>4597881.3553182855</v>
      </c>
      <c r="S7">
        <f t="shared" ref="S7" si="13">R7/100000</f>
        <v>45.978813553182853</v>
      </c>
      <c r="T7">
        <f t="shared" ref="T7" si="14">S7/1000</f>
        <v>4.5978813553182854E-2</v>
      </c>
    </row>
    <row r="8" spans="1:20" x14ac:dyDescent="0.25">
      <c r="A8" s="5">
        <v>44585</v>
      </c>
      <c r="B8">
        <v>191.5</v>
      </c>
      <c r="C8">
        <v>191.5</v>
      </c>
      <c r="D8">
        <v>161.9</v>
      </c>
      <c r="E8">
        <v>174.7</v>
      </c>
      <c r="F8">
        <v>82597.500700000004</v>
      </c>
      <c r="G8">
        <v>174.7</v>
      </c>
      <c r="L8" t="s">
        <v>7</v>
      </c>
      <c r="M8" t="s">
        <v>7</v>
      </c>
      <c r="N8" t="s">
        <v>7</v>
      </c>
      <c r="P8">
        <f t="shared" ref="P8" si="15">IF(C8=D8,0,((E8-D8)-(C8-E8))/(C8-D8))</f>
        <v>-0.13513513513513611</v>
      </c>
      <c r="Q8">
        <f t="shared" ref="Q8" si="16">F8*P8</f>
        <v>-11161.824418919001</v>
      </c>
      <c r="R8">
        <f t="shared" ref="R8" si="17">R9+Q8</f>
        <v>4609420.1241020691</v>
      </c>
      <c r="S8">
        <f t="shared" ref="S8" si="18">R8/100000</f>
        <v>46.094201241020691</v>
      </c>
      <c r="T8">
        <f t="shared" ref="T8" si="19">S8/1000</f>
        <v>4.6094201241020691E-2</v>
      </c>
    </row>
    <row r="9" spans="1:20" x14ac:dyDescent="0.25">
      <c r="A9" s="5">
        <v>44584</v>
      </c>
      <c r="B9">
        <v>190.4</v>
      </c>
      <c r="C9">
        <v>198.1</v>
      </c>
      <c r="D9">
        <v>181</v>
      </c>
      <c r="E9">
        <v>191.5</v>
      </c>
      <c r="F9">
        <v>37456.133000000002</v>
      </c>
      <c r="G9">
        <v>191.5</v>
      </c>
      <c r="L9" t="s">
        <v>8</v>
      </c>
      <c r="M9" t="s">
        <v>7</v>
      </c>
      <c r="N9" t="s">
        <v>7</v>
      </c>
      <c r="P9">
        <f t="shared" ref="P9" si="20">IF(C9=D9,0,((E9-D9)-(C9-E9))/(C9-D9))</f>
        <v>0.22807017543859689</v>
      </c>
      <c r="Q9">
        <f t="shared" ref="Q9" si="21">F9*P9</f>
        <v>8542.6268245614192</v>
      </c>
      <c r="R9">
        <f t="shared" ref="R9" si="22">R10+Q9</f>
        <v>4620581.9485209882</v>
      </c>
      <c r="S9">
        <f t="shared" ref="S9" si="23">R9/100000</f>
        <v>46.205819485209879</v>
      </c>
      <c r="T9">
        <f t="shared" ref="T9" si="24">S9/1000</f>
        <v>4.6205819485209881E-2</v>
      </c>
    </row>
    <row r="10" spans="1:20" x14ac:dyDescent="0.25">
      <c r="A10" s="5">
        <v>44583</v>
      </c>
      <c r="B10">
        <v>214</v>
      </c>
      <c r="C10">
        <v>217.6</v>
      </c>
      <c r="D10">
        <v>173.2</v>
      </c>
      <c r="E10">
        <v>190.4</v>
      </c>
      <c r="F10">
        <v>72507.107999999993</v>
      </c>
      <c r="G10">
        <v>190.4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-0.22522522522522456</v>
      </c>
      <c r="Q10">
        <f t="shared" ref="Q10" si="26">F10*P10</f>
        <v>-16330.42972972968</v>
      </c>
      <c r="R10">
        <f t="shared" ref="R10" si="27">R11+Q10</f>
        <v>4612039.3216964267</v>
      </c>
      <c r="S10">
        <f t="shared" ref="S10" si="28">R10/100000</f>
        <v>46.120393216964267</v>
      </c>
      <c r="T10">
        <f t="shared" ref="T10" si="29">S10/1000</f>
        <v>4.6120393216964269E-2</v>
      </c>
    </row>
    <row r="11" spans="1:20" x14ac:dyDescent="0.25">
      <c r="A11" s="5">
        <v>44582</v>
      </c>
      <c r="B11">
        <v>239.3</v>
      </c>
      <c r="C11">
        <v>241.1</v>
      </c>
      <c r="D11">
        <v>210.6</v>
      </c>
      <c r="E11">
        <v>214.1</v>
      </c>
      <c r="F11">
        <v>47837.863100000002</v>
      </c>
      <c r="G11">
        <v>214.1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-0.77049180327868849</v>
      </c>
      <c r="Q11">
        <f t="shared" ref="Q11" si="31">F11*P11</f>
        <v>-36858.681404918032</v>
      </c>
      <c r="R11">
        <f t="shared" ref="R11" si="32">R12+Q11</f>
        <v>4628369.7514261566</v>
      </c>
      <c r="S11">
        <f t="shared" ref="S11" si="33">R11/100000</f>
        <v>46.283697514261569</v>
      </c>
      <c r="T11">
        <f t="shared" ref="T11" si="34">S11/1000</f>
        <v>4.6283697514261569E-2</v>
      </c>
    </row>
    <row r="12" spans="1:20" x14ac:dyDescent="0.25">
      <c r="A12" s="5">
        <v>44581</v>
      </c>
      <c r="B12">
        <v>243.5</v>
      </c>
      <c r="C12">
        <v>257</v>
      </c>
      <c r="D12">
        <v>238.6</v>
      </c>
      <c r="E12">
        <v>239.4</v>
      </c>
      <c r="F12">
        <v>20475.006000000001</v>
      </c>
      <c r="G12">
        <v>239.4</v>
      </c>
      <c r="L12" t="s">
        <v>8</v>
      </c>
      <c r="M12" t="s">
        <v>7</v>
      </c>
      <c r="N12" t="s">
        <v>7</v>
      </c>
      <c r="P12">
        <f t="shared" ref="P12" si="35">IF(C12=D12,0,((E12-D12)-(C12-E12))/(C12-D12))</f>
        <v>-0.9130434782608684</v>
      </c>
      <c r="Q12">
        <f t="shared" ref="Q12" si="36">F12*P12</f>
        <v>-18694.57069565215</v>
      </c>
      <c r="R12">
        <f t="shared" ref="R12" si="37">R13+Q12</f>
        <v>4665228.432831075</v>
      </c>
      <c r="S12">
        <f t="shared" ref="S12" si="38">R12/100000</f>
        <v>46.652284328310749</v>
      </c>
      <c r="T12">
        <f t="shared" ref="T12" si="39">S12/1000</f>
        <v>4.6652284328310749E-2</v>
      </c>
    </row>
    <row r="13" spans="1:20" x14ac:dyDescent="0.25">
      <c r="A13" s="5">
        <v>44580</v>
      </c>
      <c r="B13">
        <v>253.4</v>
      </c>
      <c r="C13">
        <v>254.2</v>
      </c>
      <c r="D13">
        <v>240.8</v>
      </c>
      <c r="E13">
        <v>243.5</v>
      </c>
      <c r="F13">
        <v>14398.632</v>
      </c>
      <c r="G13">
        <v>243.5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-0.59701492537313539</v>
      </c>
      <c r="Q13">
        <f t="shared" ref="Q13" si="41">F13*P13</f>
        <v>-8596.1982089552384</v>
      </c>
      <c r="R13">
        <f t="shared" ref="R13" si="42">R14+Q13</f>
        <v>4683923.0035267267</v>
      </c>
      <c r="S13">
        <f t="shared" ref="S13" si="43">R13/100000</f>
        <v>46.839230035267271</v>
      </c>
      <c r="T13">
        <f t="shared" ref="T13" si="44">S13/1000</f>
        <v>4.6839230035267271E-2</v>
      </c>
    </row>
    <row r="14" spans="1:20" x14ac:dyDescent="0.25">
      <c r="A14" s="5">
        <v>44579</v>
      </c>
      <c r="B14">
        <v>259</v>
      </c>
      <c r="C14">
        <v>261</v>
      </c>
      <c r="D14">
        <v>247.3</v>
      </c>
      <c r="E14">
        <v>253.4</v>
      </c>
      <c r="F14">
        <v>17912.960999999999</v>
      </c>
      <c r="G14">
        <v>253.4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-0.1094890510948906</v>
      </c>
      <c r="Q14">
        <f t="shared" ref="Q14" si="46">F14*P14</f>
        <v>-1961.2731021897825</v>
      </c>
      <c r="R14">
        <f t="shared" ref="R14" si="47">R15+Q14</f>
        <v>4692519.2017356819</v>
      </c>
      <c r="S14">
        <f t="shared" ref="S14" si="48">R14/100000</f>
        <v>46.925192017356821</v>
      </c>
      <c r="T14">
        <f t="shared" ref="T14" si="49">S14/1000</f>
        <v>4.6925192017356822E-2</v>
      </c>
    </row>
    <row r="15" spans="1:20" x14ac:dyDescent="0.25">
      <c r="A15" s="5">
        <v>44578</v>
      </c>
      <c r="B15">
        <v>277.8</v>
      </c>
      <c r="C15">
        <v>278.5</v>
      </c>
      <c r="D15">
        <v>255.5</v>
      </c>
      <c r="E15">
        <v>259.10000000000002</v>
      </c>
      <c r="F15">
        <v>22049.202000000001</v>
      </c>
      <c r="G15">
        <v>259.10000000000002</v>
      </c>
      <c r="L15" t="s">
        <v>7</v>
      </c>
      <c r="M15" t="s">
        <v>8</v>
      </c>
      <c r="N15" t="s">
        <v>7</v>
      </c>
      <c r="P15">
        <f t="shared" ref="P15" si="50">IF(C15=D15,0,((E15-D15)-(C15-E15))/(C15-D15))</f>
        <v>-0.68695652173912847</v>
      </c>
      <c r="Q15">
        <f t="shared" ref="Q15" si="51">F15*P15</f>
        <v>-15146.843113043436</v>
      </c>
      <c r="R15">
        <f t="shared" ref="R15" si="52">R16+Q15</f>
        <v>4694480.4748378713</v>
      </c>
      <c r="S15">
        <f t="shared" ref="S15" si="53">R15/100000</f>
        <v>46.944804748378715</v>
      </c>
      <c r="T15">
        <f t="shared" ref="T15" si="54">S15/1000</f>
        <v>4.6944804748378713E-2</v>
      </c>
    </row>
    <row r="16" spans="1:20" x14ac:dyDescent="0.25">
      <c r="A16" s="5">
        <v>44577</v>
      </c>
      <c r="B16">
        <v>289.89999999999998</v>
      </c>
      <c r="C16">
        <v>293</v>
      </c>
      <c r="D16">
        <v>273.8</v>
      </c>
      <c r="E16">
        <v>277.8</v>
      </c>
      <c r="F16">
        <v>30689.78</v>
      </c>
      <c r="G16">
        <v>277.8</v>
      </c>
      <c r="L16" t="s">
        <v>8</v>
      </c>
      <c r="M16" t="s">
        <v>8</v>
      </c>
      <c r="N16" t="s">
        <v>7</v>
      </c>
      <c r="P16">
        <f t="shared" ref="P16" si="55">IF(C16=D16,0,((E16-D16)-(C16-E16))/(C16-D16))</f>
        <v>-0.58333333333333304</v>
      </c>
      <c r="Q16">
        <f t="shared" ref="Q16" si="56">F16*P16</f>
        <v>-17902.371666666659</v>
      </c>
      <c r="R16">
        <f t="shared" ref="R16" si="57">R17+Q16</f>
        <v>4709627.3179509146</v>
      </c>
      <c r="S16">
        <f t="shared" ref="S16" si="58">R16/100000</f>
        <v>47.096273179509147</v>
      </c>
      <c r="T16">
        <f t="shared" ref="T16" si="59">S16/1000</f>
        <v>4.7096273179509145E-2</v>
      </c>
    </row>
    <row r="17" spans="1:20" x14ac:dyDescent="0.25">
      <c r="A17" s="5">
        <v>44576</v>
      </c>
      <c r="B17">
        <v>281.60000000000002</v>
      </c>
      <c r="C17">
        <v>290</v>
      </c>
      <c r="D17">
        <v>280.2</v>
      </c>
      <c r="E17">
        <v>289.7</v>
      </c>
      <c r="F17">
        <v>19638.903999999999</v>
      </c>
      <c r="G17">
        <v>289.7</v>
      </c>
      <c r="L17" t="s">
        <v>8</v>
      </c>
      <c r="M17" t="s">
        <v>8</v>
      </c>
      <c r="N17" t="s">
        <v>7</v>
      </c>
      <c r="P17">
        <f t="shared" ref="P17" si="60">IF(C17=D17,0,((E17-D17)-(C17-E17))/(C17-D17))</f>
        <v>0.93877551020407934</v>
      </c>
      <c r="Q17">
        <f t="shared" ref="Q17" si="61">F17*P17</f>
        <v>18436.522122448932</v>
      </c>
      <c r="R17">
        <f t="shared" ref="R17" si="62">R18+Q17</f>
        <v>4727529.6896175817</v>
      </c>
      <c r="S17">
        <f t="shared" ref="S17" si="63">R17/100000</f>
        <v>47.275296896175817</v>
      </c>
      <c r="T17">
        <f t="shared" ref="T17" si="64">S17/1000</f>
        <v>4.7275296896175815E-2</v>
      </c>
    </row>
    <row r="18" spans="1:20" x14ac:dyDescent="0.25">
      <c r="A18" s="5">
        <v>44575</v>
      </c>
      <c r="B18">
        <v>266.2</v>
      </c>
      <c r="C18">
        <v>289.5</v>
      </c>
      <c r="D18">
        <v>264.10000000000002</v>
      </c>
      <c r="E18">
        <v>281.8</v>
      </c>
      <c r="F18">
        <v>34289.539299999997</v>
      </c>
      <c r="G18">
        <v>281.8</v>
      </c>
      <c r="L18" t="s">
        <v>8</v>
      </c>
      <c r="M18" t="s">
        <v>8</v>
      </c>
      <c r="N18" t="s">
        <v>7</v>
      </c>
      <c r="P18">
        <f t="shared" ref="P18" si="65">IF(C18=D18,0,((E18-D18)-(C18-E18))/(C18-D18))</f>
        <v>0.39370078740157516</v>
      </c>
      <c r="Q18">
        <f t="shared" ref="Q18" si="66">F18*P18</f>
        <v>13499.818622047254</v>
      </c>
      <c r="R18">
        <f t="shared" ref="R18" si="67">R19+Q18</f>
        <v>4709093.1674951324</v>
      </c>
      <c r="S18">
        <f t="shared" ref="S18" si="68">R18/100000</f>
        <v>47.090931674951321</v>
      </c>
      <c r="T18">
        <f t="shared" ref="T18" si="69">S18/1000</f>
        <v>4.709093167495132E-2</v>
      </c>
    </row>
    <row r="19" spans="1:20" x14ac:dyDescent="0.25">
      <c r="A19" s="5">
        <v>44574</v>
      </c>
      <c r="B19">
        <v>275</v>
      </c>
      <c r="C19">
        <v>281.3</v>
      </c>
      <c r="D19">
        <v>264.3</v>
      </c>
      <c r="E19">
        <v>266.2</v>
      </c>
      <c r="F19">
        <v>30359.481</v>
      </c>
      <c r="G19">
        <v>266.2</v>
      </c>
      <c r="L19" t="s">
        <v>8</v>
      </c>
      <c r="M19" t="s">
        <v>8</v>
      </c>
      <c r="N19" t="s">
        <v>7</v>
      </c>
      <c r="P19">
        <f t="shared" ref="P19" si="70">IF(C19=D19,0,((E19-D19)-(C19-E19))/(C19-D19))</f>
        <v>-0.7764705882352968</v>
      </c>
      <c r="Q19">
        <f t="shared" ref="Q19" si="71">F19*P19</f>
        <v>-23573.244070588316</v>
      </c>
      <c r="R19">
        <f t="shared" ref="R19" si="72">R20+Q19</f>
        <v>4695593.3488730853</v>
      </c>
      <c r="S19">
        <f t="shared" ref="S19" si="73">R19/100000</f>
        <v>46.955933488730857</v>
      </c>
      <c r="T19">
        <f t="shared" ref="T19" si="74">S19/1000</f>
        <v>4.695593348873086E-2</v>
      </c>
    </row>
    <row r="20" spans="1:20" x14ac:dyDescent="0.25">
      <c r="A20" s="5">
        <v>44573</v>
      </c>
      <c r="B20">
        <v>260.60000000000002</v>
      </c>
      <c r="C20">
        <v>279.39999999999998</v>
      </c>
      <c r="D20">
        <v>260.3</v>
      </c>
      <c r="E20">
        <v>275.3</v>
      </c>
      <c r="F20">
        <v>42220.413999999997</v>
      </c>
      <c r="G20">
        <v>275.3</v>
      </c>
      <c r="L20" t="s">
        <v>8</v>
      </c>
      <c r="M20" t="s">
        <v>8</v>
      </c>
      <c r="N20" t="s">
        <v>7</v>
      </c>
      <c r="P20">
        <f t="shared" ref="P20" si="75">IF(C20=D20,0,((E20-D20)-(C20-E20))/(C20-D20))</f>
        <v>0.57068062827225408</v>
      </c>
      <c r="Q20">
        <f t="shared" ref="Q20" si="76">F20*P20</f>
        <v>24094.372387434669</v>
      </c>
      <c r="R20">
        <f t="shared" ref="R20" si="77">R21+Q20</f>
        <v>4719166.592943674</v>
      </c>
      <c r="S20">
        <f t="shared" ref="S20" si="78">R20/100000</f>
        <v>47.191665929436738</v>
      </c>
      <c r="T20">
        <f t="shared" ref="T20" si="79">S20/1000</f>
        <v>4.7191665929436737E-2</v>
      </c>
    </row>
    <row r="21" spans="1:20" x14ac:dyDescent="0.25">
      <c r="A21" s="5">
        <v>44572</v>
      </c>
      <c r="B21">
        <v>241.3</v>
      </c>
      <c r="C21">
        <v>262</v>
      </c>
      <c r="D21">
        <v>239.9</v>
      </c>
      <c r="E21">
        <v>260.89999999999998</v>
      </c>
      <c r="F21">
        <v>31592.232</v>
      </c>
      <c r="G21">
        <v>260.89999999999998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0.90045248868778072</v>
      </c>
      <c r="Q21">
        <f t="shared" ref="Q21" si="81">F21*P21</f>
        <v>28447.303927601744</v>
      </c>
      <c r="R21">
        <f t="shared" ref="R21" si="82">R22+Q21</f>
        <v>4695072.2205562396</v>
      </c>
      <c r="S21">
        <f t="shared" ref="S21" si="83">R21/100000</f>
        <v>46.950722205562393</v>
      </c>
      <c r="T21">
        <f t="shared" ref="T21" si="84">S21/1000</f>
        <v>4.6950722205562394E-2</v>
      </c>
    </row>
    <row r="22" spans="1:20" x14ac:dyDescent="0.25">
      <c r="A22" s="5">
        <v>44571</v>
      </c>
      <c r="B22">
        <v>246.8</v>
      </c>
      <c r="C22">
        <v>250.7</v>
      </c>
      <c r="D22">
        <v>228.6</v>
      </c>
      <c r="E22">
        <v>241.3</v>
      </c>
      <c r="F22">
        <v>30345.4303</v>
      </c>
      <c r="G22">
        <v>241.3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0.14932126696832762</v>
      </c>
      <c r="Q22">
        <f t="shared" ref="Q22" si="86">F22*P22</f>
        <v>4531.2180990950783</v>
      </c>
      <c r="R22">
        <f t="shared" ref="R22" si="87">R23+Q22</f>
        <v>4666624.9166286383</v>
      </c>
      <c r="S22">
        <f t="shared" ref="S22" si="88">R22/100000</f>
        <v>46.666249166286384</v>
      </c>
      <c r="T22">
        <f t="shared" ref="T22" si="89">S22/1000</f>
        <v>4.6666249166286387E-2</v>
      </c>
    </row>
    <row r="23" spans="1:20" x14ac:dyDescent="0.25">
      <c r="A23" s="5">
        <v>44570</v>
      </c>
      <c r="B23">
        <v>240.2</v>
      </c>
      <c r="C23">
        <v>252.2</v>
      </c>
      <c r="D23">
        <v>238.7</v>
      </c>
      <c r="E23">
        <v>246.9</v>
      </c>
      <c r="F23">
        <v>17320.362000000001</v>
      </c>
      <c r="G23">
        <v>246.9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0.21481481481481735</v>
      </c>
      <c r="Q23">
        <f t="shared" ref="Q23" si="91">F23*P23</f>
        <v>3720.6703555555996</v>
      </c>
      <c r="R23">
        <f t="shared" ref="R23" si="92">R24+Q23</f>
        <v>4662093.6985295434</v>
      </c>
      <c r="S23">
        <f t="shared" ref="S23" si="93">R23/100000</f>
        <v>46.620936985295437</v>
      </c>
      <c r="T23">
        <f t="shared" ref="T23" si="94">S23/1000</f>
        <v>4.6620936985295437E-2</v>
      </c>
    </row>
    <row r="24" spans="1:20" x14ac:dyDescent="0.25">
      <c r="A24" s="5">
        <v>44569</v>
      </c>
      <c r="B24">
        <v>250.8</v>
      </c>
      <c r="C24">
        <v>254.9</v>
      </c>
      <c r="D24">
        <v>231.2</v>
      </c>
      <c r="E24">
        <v>239.9</v>
      </c>
      <c r="F24">
        <v>35778.503499999999</v>
      </c>
      <c r="G24">
        <v>239.9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-0.26582278481012567</v>
      </c>
      <c r="Q24">
        <f t="shared" ref="Q24" si="96">F24*P24</f>
        <v>-9510.7414367088277</v>
      </c>
      <c r="R24">
        <f t="shared" ref="R24" si="97">R25+Q24</f>
        <v>4658373.0281739878</v>
      </c>
      <c r="S24">
        <f t="shared" ref="S24" si="98">R24/100000</f>
        <v>46.583730281739875</v>
      </c>
      <c r="T24">
        <f t="shared" ref="T24" si="99">S24/1000</f>
        <v>4.6583730281739878E-2</v>
      </c>
    </row>
    <row r="25" spans="1:20" x14ac:dyDescent="0.25">
      <c r="A25" s="5">
        <v>44568</v>
      </c>
      <c r="B25">
        <v>269.5</v>
      </c>
      <c r="C25">
        <v>274.3</v>
      </c>
      <c r="D25">
        <v>246.5</v>
      </c>
      <c r="E25">
        <v>250.8</v>
      </c>
      <c r="F25">
        <v>36777.050600000002</v>
      </c>
      <c r="G25">
        <v>250.8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-0.69064748201438775</v>
      </c>
      <c r="Q25">
        <f t="shared" ref="Q25" si="101">F25*P25</f>
        <v>-25399.977392805729</v>
      </c>
      <c r="R25">
        <f t="shared" ref="R25" si="102">R26+Q25</f>
        <v>4667883.7696106965</v>
      </c>
      <c r="S25">
        <f t="shared" ref="S25" si="103">R25/100000</f>
        <v>46.678837696106967</v>
      </c>
      <c r="T25">
        <f t="shared" ref="T25" si="104">S25/1000</f>
        <v>4.6678837696106965E-2</v>
      </c>
    </row>
    <row r="26" spans="1:20" x14ac:dyDescent="0.25">
      <c r="A26" s="5">
        <v>44567</v>
      </c>
      <c r="B26">
        <v>267</v>
      </c>
      <c r="C26">
        <v>272.89999999999998</v>
      </c>
      <c r="D26">
        <v>258.89999999999998</v>
      </c>
      <c r="E26">
        <v>269.60000000000002</v>
      </c>
      <c r="F26">
        <v>28176.513999999999</v>
      </c>
      <c r="G26">
        <v>269.60000000000002</v>
      </c>
      <c r="L26" t="s">
        <v>8</v>
      </c>
      <c r="M26" t="s">
        <v>7</v>
      </c>
      <c r="N26" t="s">
        <v>7</v>
      </c>
      <c r="P26">
        <f t="shared" ref="P26" si="105">IF(C26=D26,0,((E26-D26)-(C26-E26))/(C26-D26))</f>
        <v>0.52857142857143502</v>
      </c>
      <c r="Q26">
        <f t="shared" ref="Q26" si="106">F26*P26</f>
        <v>14893.300257143039</v>
      </c>
      <c r="R26">
        <f t="shared" ref="R26" si="107">R27+Q26</f>
        <v>4693283.7470035022</v>
      </c>
      <c r="S26">
        <f t="shared" ref="S26" si="108">R26/100000</f>
        <v>46.932837470035025</v>
      </c>
      <c r="T26">
        <f t="shared" ref="T26" si="109">S26/1000</f>
        <v>4.6932837470035023E-2</v>
      </c>
    </row>
    <row r="27" spans="1:20" x14ac:dyDescent="0.25">
      <c r="A27" s="5">
        <v>44566</v>
      </c>
      <c r="B27">
        <v>295.7</v>
      </c>
      <c r="C27">
        <v>308</v>
      </c>
      <c r="D27">
        <v>254.9</v>
      </c>
      <c r="E27">
        <v>266.89999999999998</v>
      </c>
      <c r="F27">
        <v>52450.114000000001</v>
      </c>
      <c r="G27">
        <v>266.89999999999998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-0.54802259887005755</v>
      </c>
      <c r="Q27">
        <f t="shared" ref="Q27" si="111">F27*P27</f>
        <v>-28743.847785310791</v>
      </c>
      <c r="R27">
        <f t="shared" ref="R27" si="112">R28+Q27</f>
        <v>4678390.4467463596</v>
      </c>
      <c r="S27">
        <f t="shared" ref="S27" si="113">R27/100000</f>
        <v>46.783904467463593</v>
      </c>
      <c r="T27">
        <f t="shared" ref="T27" si="114">S27/1000</f>
        <v>4.678390446746359E-2</v>
      </c>
    </row>
    <row r="28" spans="1:20" x14ac:dyDescent="0.25">
      <c r="A28" s="5">
        <v>44565</v>
      </c>
      <c r="B28">
        <v>290.2</v>
      </c>
      <c r="C28">
        <v>310</v>
      </c>
      <c r="D28">
        <v>282.7</v>
      </c>
      <c r="E28">
        <v>295.60000000000002</v>
      </c>
      <c r="F28">
        <v>41544.118000000002</v>
      </c>
      <c r="G28">
        <v>295.60000000000002</v>
      </c>
      <c r="L28" t="s">
        <v>8</v>
      </c>
      <c r="M28" t="s">
        <v>7</v>
      </c>
      <c r="N28" t="s">
        <v>7</v>
      </c>
      <c r="P28">
        <f t="shared" ref="P28" si="115">IF(C28=D28,0,((E28-D28)-(C28-E28))/(C28-D28))</f>
        <v>-5.4945054945052842E-2</v>
      </c>
      <c r="Q28">
        <f t="shared" ref="Q28" si="116">F28*P28</f>
        <v>-2282.6438461537591</v>
      </c>
      <c r="R28">
        <f t="shared" ref="R28" si="117">R29+Q28</f>
        <v>4707134.2945316704</v>
      </c>
      <c r="S28">
        <f t="shared" ref="S28" si="118">R28/100000</f>
        <v>47.071342945316701</v>
      </c>
      <c r="T28">
        <f t="shared" ref="T28" si="119">S28/1000</f>
        <v>4.7071342945316702E-2</v>
      </c>
    </row>
    <row r="29" spans="1:20" x14ac:dyDescent="0.25">
      <c r="A29" s="5">
        <v>44564</v>
      </c>
      <c r="B29">
        <v>295.39999999999998</v>
      </c>
      <c r="C29">
        <v>299.8</v>
      </c>
      <c r="D29">
        <v>285.2</v>
      </c>
      <c r="E29">
        <v>290</v>
      </c>
      <c r="F29">
        <v>24195.101999999999</v>
      </c>
      <c r="G29">
        <v>290</v>
      </c>
      <c r="L29" t="s">
        <v>8</v>
      </c>
      <c r="M29" t="s">
        <v>7</v>
      </c>
      <c r="N29" t="s">
        <v>7</v>
      </c>
      <c r="P29">
        <f t="shared" ref="P29" si="120">IF(C29=D29,0,((E29-D29)-(C29-E29))/(C29-D29))</f>
        <v>-0.34246575342465702</v>
      </c>
      <c r="Q29">
        <f t="shared" ref="Q29" si="121">F29*P29</f>
        <v>-8285.9938356164257</v>
      </c>
      <c r="R29">
        <f t="shared" ref="R29" si="122">R30+Q29</f>
        <v>4709416.9383778246</v>
      </c>
      <c r="S29">
        <f t="shared" ref="S29" si="123">R29/100000</f>
        <v>47.094169383778244</v>
      </c>
      <c r="T29">
        <f t="shared" ref="T29" si="124">S29/1000</f>
        <v>4.7094169383778244E-2</v>
      </c>
    </row>
    <row r="30" spans="1:20" x14ac:dyDescent="0.25">
      <c r="A30" s="5">
        <v>44563</v>
      </c>
      <c r="B30">
        <v>288.8</v>
      </c>
      <c r="C30">
        <v>299</v>
      </c>
      <c r="D30">
        <v>283</v>
      </c>
      <c r="E30">
        <v>295.39999999999998</v>
      </c>
      <c r="F30">
        <v>17999.668000000001</v>
      </c>
      <c r="G30">
        <v>295.39999999999998</v>
      </c>
      <c r="L30" t="s">
        <v>8</v>
      </c>
      <c r="M30" t="s">
        <v>7</v>
      </c>
      <c r="N30" t="s">
        <v>7</v>
      </c>
      <c r="P30">
        <f t="shared" ref="P30" si="125">IF(C30=D30,0,((E30-D30)-(C30-E30))/(C30-D30))</f>
        <v>0.54999999999999716</v>
      </c>
      <c r="Q30">
        <f t="shared" ref="Q30" si="126">F30*P30</f>
        <v>9899.817399999949</v>
      </c>
      <c r="R30">
        <f t="shared" ref="R30" si="127">R31+Q30</f>
        <v>4717702.9322134415</v>
      </c>
      <c r="S30">
        <f t="shared" ref="S30" si="128">R30/100000</f>
        <v>47.177029322134416</v>
      </c>
      <c r="T30">
        <f t="shared" ref="T30" si="129">S30/1000</f>
        <v>4.7177029322134419E-2</v>
      </c>
    </row>
    <row r="31" spans="1:20" x14ac:dyDescent="0.25">
      <c r="A31" s="5">
        <v>44562</v>
      </c>
      <c r="B31">
        <v>276.60000000000002</v>
      </c>
      <c r="C31">
        <v>289.10000000000002</v>
      </c>
      <c r="D31">
        <v>275.5</v>
      </c>
      <c r="E31">
        <v>288.8</v>
      </c>
      <c r="F31">
        <v>15121.464</v>
      </c>
      <c r="G31">
        <v>288.8</v>
      </c>
      <c r="L31" t="s">
        <v>8</v>
      </c>
      <c r="M31" t="s">
        <v>7</v>
      </c>
      <c r="N31" t="s">
        <v>7</v>
      </c>
      <c r="P31">
        <f t="shared" ref="P31" si="130">IF(C31=D31,0,((E31-D31)-(C31-E31))/(C31-D31))</f>
        <v>0.95588235294117485</v>
      </c>
      <c r="Q31">
        <f t="shared" ref="Q31" si="131">F31*P31</f>
        <v>14454.340588235269</v>
      </c>
      <c r="R31">
        <f t="shared" ref="R31" si="132">R32+Q31</f>
        <v>4707803.1148134414</v>
      </c>
      <c r="S31">
        <f t="shared" ref="S31" si="133">R31/100000</f>
        <v>47.078031148134414</v>
      </c>
      <c r="T31">
        <f t="shared" ref="T31" si="134">S31/1000</f>
        <v>4.7078031148134414E-2</v>
      </c>
    </row>
    <row r="32" spans="1:20" x14ac:dyDescent="0.25">
      <c r="A32" s="5">
        <v>44561</v>
      </c>
      <c r="B32">
        <v>279.89999999999998</v>
      </c>
      <c r="C32">
        <v>287.89999999999998</v>
      </c>
      <c r="D32">
        <v>271.2</v>
      </c>
      <c r="E32">
        <v>276.8</v>
      </c>
      <c r="F32">
        <v>23392.022000000001</v>
      </c>
      <c r="G32">
        <v>276.8</v>
      </c>
      <c r="L32" t="s">
        <v>7</v>
      </c>
      <c r="M32" t="s">
        <v>7</v>
      </c>
      <c r="N32" t="s">
        <v>7</v>
      </c>
      <c r="P32">
        <f t="shared" ref="P32" si="135">IF(C32=D32,0,((E32-D32)-(C32-E32))/(C32-D32))</f>
        <v>-0.32934131736526628</v>
      </c>
      <c r="Q32">
        <f t="shared" ref="Q32" si="136">F32*P32</f>
        <v>-7703.9593413172915</v>
      </c>
      <c r="R32">
        <f t="shared" ref="R32" si="137">R33+Q32</f>
        <v>4693348.7742252061</v>
      </c>
      <c r="S32">
        <f t="shared" ref="S32" si="138">R32/100000</f>
        <v>46.933487742252062</v>
      </c>
      <c r="T32">
        <f t="shared" ref="T32" si="139">S32/1000</f>
        <v>4.6933487742252061E-2</v>
      </c>
    </row>
    <row r="33" spans="1:20" x14ac:dyDescent="0.25">
      <c r="A33" s="5">
        <v>44560</v>
      </c>
      <c r="B33">
        <v>284.10000000000002</v>
      </c>
      <c r="C33">
        <v>287.7</v>
      </c>
      <c r="D33">
        <v>276.60000000000002</v>
      </c>
      <c r="E33">
        <v>279.89999999999998</v>
      </c>
      <c r="F33">
        <v>22420.724999999999</v>
      </c>
      <c r="G33">
        <v>279.89999999999998</v>
      </c>
      <c r="L33" t="s">
        <v>7</v>
      </c>
      <c r="M33" t="s">
        <v>7</v>
      </c>
      <c r="N33" t="s">
        <v>7</v>
      </c>
      <c r="P33">
        <f t="shared" ref="P33" si="140">IF(C33=D33,0,((E33-D33)-(C33-E33))/(C33-D33))</f>
        <v>-0.40540540540541176</v>
      </c>
      <c r="Q33">
        <f t="shared" ref="Q33" si="141">F33*P33</f>
        <v>-9089.4831081082502</v>
      </c>
      <c r="R33">
        <f t="shared" ref="R33" si="142">R34+Q33</f>
        <v>4701052.7335665235</v>
      </c>
      <c r="S33">
        <f t="shared" ref="S33" si="143">R33/100000</f>
        <v>47.010527335665238</v>
      </c>
      <c r="T33">
        <f t="shared" ref="T33" si="144">S33/1000</f>
        <v>4.7010527335665235E-2</v>
      </c>
    </row>
    <row r="34" spans="1:20" x14ac:dyDescent="0.25">
      <c r="A34" s="5">
        <v>44559</v>
      </c>
      <c r="B34">
        <v>294.8</v>
      </c>
      <c r="C34">
        <v>304</v>
      </c>
      <c r="D34">
        <v>279.10000000000002</v>
      </c>
      <c r="E34">
        <v>284.3</v>
      </c>
      <c r="F34">
        <v>29783.224999999999</v>
      </c>
      <c r="G34">
        <v>284.3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-0.58232931726907688</v>
      </c>
      <c r="Q34">
        <f t="shared" ref="Q34" si="146">F34*P34</f>
        <v>-17343.645080321301</v>
      </c>
      <c r="R34">
        <f t="shared" ref="R34" si="147">R35+Q34</f>
        <v>4710142.2166746315</v>
      </c>
      <c r="S34">
        <f t="shared" ref="S34" si="148">R34/100000</f>
        <v>47.101422166746318</v>
      </c>
      <c r="T34">
        <f t="shared" ref="T34" si="149">S34/1000</f>
        <v>4.7101422166746315E-2</v>
      </c>
    </row>
    <row r="35" spans="1:20" x14ac:dyDescent="0.25">
      <c r="A35" s="5">
        <v>44558</v>
      </c>
      <c r="B35">
        <v>323.10000000000002</v>
      </c>
      <c r="C35">
        <v>335.3</v>
      </c>
      <c r="D35">
        <v>291.2</v>
      </c>
      <c r="E35">
        <v>294.7</v>
      </c>
      <c r="F35">
        <v>82540.433000000005</v>
      </c>
      <c r="G35">
        <v>294.7</v>
      </c>
      <c r="L35" t="s">
        <v>7</v>
      </c>
      <c r="M35" t="s">
        <v>8</v>
      </c>
      <c r="N35" t="s">
        <v>7</v>
      </c>
      <c r="P35">
        <f t="shared" ref="P35" si="150">IF(C35=D35,0,((E35-D35)-(C35-E35))/(C35-D35))</f>
        <v>-0.84126984126984139</v>
      </c>
      <c r="Q35">
        <f t="shared" ref="Q35" si="151">F35*P35</f>
        <v>-69438.77696825398</v>
      </c>
      <c r="R35">
        <f t="shared" ref="R35" si="152">R36+Q35</f>
        <v>4727485.8617549529</v>
      </c>
      <c r="S35">
        <f t="shared" ref="S35" si="153">R35/100000</f>
        <v>47.274858617549526</v>
      </c>
      <c r="T35">
        <f t="shared" ref="T35" si="154">S35/1000</f>
        <v>4.7274858617549528E-2</v>
      </c>
    </row>
    <row r="36" spans="1:20" x14ac:dyDescent="0.25">
      <c r="A36" s="5">
        <v>44557</v>
      </c>
      <c r="B36">
        <v>322.8</v>
      </c>
      <c r="C36">
        <v>345</v>
      </c>
      <c r="D36">
        <v>308.3</v>
      </c>
      <c r="E36">
        <v>323</v>
      </c>
      <c r="F36">
        <v>63934.474999999999</v>
      </c>
      <c r="G36">
        <v>323</v>
      </c>
      <c r="L36" t="s">
        <v>8</v>
      </c>
      <c r="M36" t="s">
        <v>8</v>
      </c>
      <c r="N36" t="s">
        <v>7</v>
      </c>
      <c r="P36">
        <f t="shared" ref="P36" si="155">IF(C36=D36,0,((E36-D36)-(C36-E36))/(C36-D36))</f>
        <v>-0.19891008174386959</v>
      </c>
      <c r="Q36">
        <f t="shared" ref="Q36" si="156">F36*P36</f>
        <v>-12717.211648501387</v>
      </c>
      <c r="R36">
        <f t="shared" ref="R36" si="157">R37+Q36</f>
        <v>4796924.6387232067</v>
      </c>
      <c r="S36">
        <f t="shared" ref="S36" si="158">R36/100000</f>
        <v>47.969246387232069</v>
      </c>
      <c r="T36">
        <f t="shared" ref="T36" si="159">S36/1000</f>
        <v>4.7969246387232066E-2</v>
      </c>
    </row>
    <row r="37" spans="1:20" x14ac:dyDescent="0.25">
      <c r="A37" s="5">
        <v>44556</v>
      </c>
      <c r="B37">
        <v>292.3</v>
      </c>
      <c r="C37">
        <v>325.10000000000002</v>
      </c>
      <c r="D37">
        <v>286.5</v>
      </c>
      <c r="E37">
        <v>322.7</v>
      </c>
      <c r="F37">
        <v>46240.538</v>
      </c>
      <c r="G37">
        <v>322.7</v>
      </c>
      <c r="L37" t="s">
        <v>8</v>
      </c>
      <c r="M37" t="s">
        <v>8</v>
      </c>
      <c r="N37" t="s">
        <v>7</v>
      </c>
      <c r="P37">
        <f t="shared" ref="P37" si="160">IF(C37=D37,0,((E37-D37)-(C37-E37))/(C37-D37))</f>
        <v>0.87564766839378072</v>
      </c>
      <c r="Q37">
        <f t="shared" ref="Q37" si="161">F37*P37</f>
        <v>40490.419284974014</v>
      </c>
      <c r="R37">
        <f t="shared" ref="R37" si="162">R38+Q37</f>
        <v>4809641.8503717082</v>
      </c>
      <c r="S37">
        <f t="shared" ref="S37" si="163">R37/100000</f>
        <v>48.096418503717082</v>
      </c>
      <c r="T37">
        <f t="shared" ref="T37" si="164">S37/1000</f>
        <v>4.8096418503717084E-2</v>
      </c>
    </row>
    <row r="38" spans="1:20" x14ac:dyDescent="0.25">
      <c r="A38" s="5">
        <v>44555</v>
      </c>
      <c r="B38">
        <v>288.2</v>
      </c>
      <c r="C38">
        <v>294.89999999999998</v>
      </c>
      <c r="D38">
        <v>286.7</v>
      </c>
      <c r="E38">
        <v>292.3</v>
      </c>
      <c r="F38">
        <v>14450.496999999999</v>
      </c>
      <c r="G38">
        <v>292.3</v>
      </c>
      <c r="L38" t="s">
        <v>8</v>
      </c>
      <c r="M38" t="s">
        <v>8</v>
      </c>
      <c r="N38" t="s">
        <v>7</v>
      </c>
      <c r="P38">
        <f t="shared" ref="P38" si="165">IF(C38=D38,0,((E38-D38)-(C38-E38))/(C38-D38))</f>
        <v>0.3658536585365928</v>
      </c>
      <c r="Q38">
        <f t="shared" ref="Q38" si="166">F38*P38</f>
        <v>5286.7671951220582</v>
      </c>
      <c r="R38">
        <f t="shared" ref="R38" si="167">R39+Q38</f>
        <v>4769151.4310867339</v>
      </c>
      <c r="S38">
        <f t="shared" ref="S38" si="168">R38/100000</f>
        <v>47.69151431086734</v>
      </c>
      <c r="T38">
        <f t="shared" ref="T38" si="169">S38/1000</f>
        <v>4.7691514310867343E-2</v>
      </c>
    </row>
    <row r="39" spans="1:20" x14ac:dyDescent="0.25">
      <c r="A39" s="5">
        <v>44554</v>
      </c>
      <c r="B39">
        <v>291.10000000000002</v>
      </c>
      <c r="C39">
        <v>303.3</v>
      </c>
      <c r="D39">
        <v>284.5</v>
      </c>
      <c r="E39">
        <v>288.39999999999998</v>
      </c>
      <c r="F39">
        <v>35242.154000000002</v>
      </c>
      <c r="G39">
        <v>288.39999999999998</v>
      </c>
      <c r="L39" t="s">
        <v>8</v>
      </c>
      <c r="M39" t="s">
        <v>8</v>
      </c>
      <c r="N39" t="s">
        <v>7</v>
      </c>
      <c r="P39">
        <f t="shared" ref="P39" si="170">IF(C39=D39,0,((E39-D39)-(C39-E39))/(C39-D39))</f>
        <v>-0.58510638297872608</v>
      </c>
      <c r="Q39">
        <f t="shared" ref="Q39" si="171">F39*P39</f>
        <v>-20620.409255319246</v>
      </c>
      <c r="R39">
        <f t="shared" ref="R39" si="172">R40+Q39</f>
        <v>4763864.6638916116</v>
      </c>
      <c r="S39">
        <f t="shared" ref="S39" si="173">R39/100000</f>
        <v>47.638646638916114</v>
      </c>
      <c r="T39">
        <f t="shared" ref="T39" si="174">S39/1000</f>
        <v>4.7638646638916114E-2</v>
      </c>
    </row>
    <row r="40" spans="1:20" x14ac:dyDescent="0.25">
      <c r="A40" s="5">
        <v>44553</v>
      </c>
      <c r="B40">
        <v>273.2</v>
      </c>
      <c r="C40">
        <v>293.60000000000002</v>
      </c>
      <c r="D40">
        <v>267.3</v>
      </c>
      <c r="E40">
        <v>291</v>
      </c>
      <c r="F40">
        <v>38092.569000000003</v>
      </c>
      <c r="G40">
        <v>291</v>
      </c>
      <c r="L40" t="s">
        <v>8</v>
      </c>
      <c r="M40" t="s">
        <v>7</v>
      </c>
      <c r="N40" t="s">
        <v>7</v>
      </c>
      <c r="P40">
        <f t="shared" ref="P40" si="175">IF(C40=D40,0,((E40-D40)-(C40-E40))/(C40-D40))</f>
        <v>0.80228136882129109</v>
      </c>
      <c r="Q40">
        <f t="shared" ref="Q40" si="176">F40*P40</f>
        <v>30560.95839923948</v>
      </c>
      <c r="R40">
        <f t="shared" ref="R40" si="177">R41+Q40</f>
        <v>4784485.0731469309</v>
      </c>
      <c r="S40">
        <f t="shared" ref="S40" si="178">R40/100000</f>
        <v>47.844850731469307</v>
      </c>
      <c r="T40">
        <f t="shared" ref="T40" si="179">S40/1000</f>
        <v>4.784485073146931E-2</v>
      </c>
    </row>
    <row r="41" spans="1:20" x14ac:dyDescent="0.25">
      <c r="A41" s="5">
        <v>44552</v>
      </c>
      <c r="B41">
        <v>266.39999999999998</v>
      </c>
      <c r="C41">
        <v>284.2</v>
      </c>
      <c r="D41">
        <v>266.39999999999998</v>
      </c>
      <c r="E41">
        <v>273.3</v>
      </c>
      <c r="F41">
        <v>38280.483999999997</v>
      </c>
      <c r="G41">
        <v>273.3</v>
      </c>
      <c r="L41" t="s">
        <v>8</v>
      </c>
      <c r="M41" t="s">
        <v>7</v>
      </c>
      <c r="N41" t="s">
        <v>7</v>
      </c>
      <c r="P41">
        <f t="shared" ref="P41" si="180">IF(C41=D41,0,((E41-D41)-(C41-E41))/(C41-D41))</f>
        <v>-0.22471910112359217</v>
      </c>
      <c r="Q41">
        <f t="shared" ref="Q41" si="181">F41*P41</f>
        <v>-8602.3559550560512</v>
      </c>
      <c r="R41">
        <f t="shared" ref="R41" si="182">R42+Q41</f>
        <v>4753924.114747691</v>
      </c>
      <c r="S41">
        <f t="shared" ref="S41" si="183">R41/100000</f>
        <v>47.539241147476908</v>
      </c>
      <c r="T41">
        <f t="shared" ref="T41" si="184">S41/1000</f>
        <v>4.7539241147476909E-2</v>
      </c>
    </row>
    <row r="42" spans="1:20" x14ac:dyDescent="0.25">
      <c r="A42" s="5">
        <v>44551</v>
      </c>
      <c r="B42">
        <v>264.39999999999998</v>
      </c>
      <c r="C42">
        <v>271.3</v>
      </c>
      <c r="D42">
        <v>261</v>
      </c>
      <c r="E42">
        <v>266.39999999999998</v>
      </c>
      <c r="F42">
        <v>24991.046999999999</v>
      </c>
      <c r="G42">
        <v>266.39999999999998</v>
      </c>
      <c r="L42" t="s">
        <v>7</v>
      </c>
      <c r="M42" t="s">
        <v>7</v>
      </c>
      <c r="N42" t="s">
        <v>7</v>
      </c>
      <c r="P42">
        <f t="shared" ref="P42" si="185">IF(C42=D42,0,((E42-D42)-(C42-E42))/(C42-D42))</f>
        <v>4.8543689320382777E-2</v>
      </c>
      <c r="Q42">
        <f t="shared" ref="Q42" si="186">F42*P42</f>
        <v>1213.157621359084</v>
      </c>
      <c r="R42">
        <f t="shared" ref="R42" si="187">R43+Q42</f>
        <v>4762526.4707027469</v>
      </c>
      <c r="S42">
        <f t="shared" ref="S42" si="188">R42/100000</f>
        <v>47.625264707027469</v>
      </c>
      <c r="T42">
        <f t="shared" ref="T42" si="189">S42/1000</f>
        <v>4.7625264707027472E-2</v>
      </c>
    </row>
    <row r="43" spans="1:20" x14ac:dyDescent="0.25">
      <c r="A43" s="5">
        <v>44550</v>
      </c>
      <c r="B43">
        <v>274.39999999999998</v>
      </c>
      <c r="C43">
        <v>277.10000000000002</v>
      </c>
      <c r="D43">
        <v>260.3</v>
      </c>
      <c r="E43">
        <v>264.3</v>
      </c>
      <c r="F43">
        <v>18840.11</v>
      </c>
      <c r="G43">
        <v>264.3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-0.52380952380952417</v>
      </c>
      <c r="Q43">
        <f t="shared" ref="Q43" si="191">F43*P43</f>
        <v>-9868.6290476190552</v>
      </c>
      <c r="R43">
        <f t="shared" ref="R43" si="192">R44+Q43</f>
        <v>4761313.3130813874</v>
      </c>
      <c r="S43">
        <f t="shared" ref="S43" si="193">R43/100000</f>
        <v>47.613133130813871</v>
      </c>
      <c r="T43">
        <f t="shared" ref="T43" si="194">S43/1000</f>
        <v>4.7613133130813869E-2</v>
      </c>
    </row>
    <row r="44" spans="1:20" x14ac:dyDescent="0.25">
      <c r="A44" s="5">
        <v>44549</v>
      </c>
      <c r="B44">
        <v>279.8</v>
      </c>
      <c r="C44">
        <v>281.8</v>
      </c>
      <c r="D44">
        <v>272.5</v>
      </c>
      <c r="E44">
        <v>274.39999999999998</v>
      </c>
      <c r="F44">
        <v>12752.009</v>
      </c>
      <c r="G44">
        <v>274.39999999999998</v>
      </c>
      <c r="L44" t="s">
        <v>7</v>
      </c>
      <c r="M44" t="s">
        <v>7</v>
      </c>
      <c r="N44" t="s">
        <v>7</v>
      </c>
      <c r="P44">
        <f t="shared" ref="P44" si="195">IF(C44=D44,0,((E44-D44)-(C44-E44))/(C44-D44))</f>
        <v>-0.59139784946237095</v>
      </c>
      <c r="Q44">
        <f t="shared" ref="Q44" si="196">F44*P44</f>
        <v>-7541.5106989247997</v>
      </c>
      <c r="R44">
        <f t="shared" ref="R44" si="197">R45+Q44</f>
        <v>4771181.9421290066</v>
      </c>
      <c r="S44">
        <f t="shared" ref="S44" si="198">R44/100000</f>
        <v>47.711819421290066</v>
      </c>
      <c r="T44">
        <f t="shared" ref="T44" si="199">S44/1000</f>
        <v>4.7711819421290068E-2</v>
      </c>
    </row>
    <row r="45" spans="1:20" x14ac:dyDescent="0.25">
      <c r="A45" s="5">
        <v>44548</v>
      </c>
      <c r="B45">
        <v>277.2</v>
      </c>
      <c r="C45">
        <v>281.89999999999998</v>
      </c>
      <c r="D45">
        <v>270.3</v>
      </c>
      <c r="E45">
        <v>279.89999999999998</v>
      </c>
      <c r="F45">
        <v>17336.212</v>
      </c>
      <c r="G45">
        <v>279.89999999999998</v>
      </c>
      <c r="L45" t="s">
        <v>7</v>
      </c>
      <c r="M45" t="s">
        <v>7</v>
      </c>
      <c r="N45" t="s">
        <v>7</v>
      </c>
      <c r="P45">
        <f t="shared" ref="P45" si="200">IF(C45=D45,0,((E45-D45)-(C45-E45))/(C45-D45))</f>
        <v>0.65517241379310243</v>
      </c>
      <c r="Q45">
        <f t="shared" ref="Q45" si="201">F45*P45</f>
        <v>11358.207862068948</v>
      </c>
      <c r="R45">
        <f t="shared" ref="R45" si="202">R46+Q45</f>
        <v>4778723.4528279314</v>
      </c>
      <c r="S45">
        <f t="shared" ref="S45" si="203">R45/100000</f>
        <v>47.787234528279313</v>
      </c>
      <c r="T45">
        <f t="shared" ref="T45" si="204">S45/1000</f>
        <v>4.7787234528279314E-2</v>
      </c>
    </row>
    <row r="46" spans="1:20" x14ac:dyDescent="0.25">
      <c r="A46" s="5">
        <v>44547</v>
      </c>
      <c r="B46">
        <v>280.2</v>
      </c>
      <c r="C46">
        <v>283.39999999999998</v>
      </c>
      <c r="D46">
        <v>269.5</v>
      </c>
      <c r="E46">
        <v>277.2</v>
      </c>
      <c r="F46">
        <v>27434.047999999999</v>
      </c>
      <c r="G46">
        <v>277.2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0.10791366906474838</v>
      </c>
      <c r="Q46">
        <f t="shared" ref="Q46" si="206">F46*P46</f>
        <v>2960.5087769784218</v>
      </c>
      <c r="R46">
        <f t="shared" ref="R46" si="207">R47+Q46</f>
        <v>4767365.2449658625</v>
      </c>
      <c r="S46">
        <f t="shared" ref="S46" si="208">R46/100000</f>
        <v>47.673652449658626</v>
      </c>
      <c r="T46">
        <f t="shared" ref="T46" si="209">S46/1000</f>
        <v>4.7673652449658627E-2</v>
      </c>
    </row>
    <row r="47" spans="1:20" x14ac:dyDescent="0.25">
      <c r="A47" s="5">
        <v>44546</v>
      </c>
      <c r="B47">
        <v>288.60000000000002</v>
      </c>
      <c r="C47">
        <v>293.7</v>
      </c>
      <c r="D47">
        <v>278.7</v>
      </c>
      <c r="E47">
        <v>280.39999999999998</v>
      </c>
      <c r="F47">
        <v>22664.309000000001</v>
      </c>
      <c r="G47">
        <v>280.39999999999998</v>
      </c>
      <c r="L47" t="s">
        <v>8</v>
      </c>
      <c r="M47" t="s">
        <v>7</v>
      </c>
      <c r="N47" t="s">
        <v>7</v>
      </c>
      <c r="P47">
        <f t="shared" ref="P47" si="210">IF(C47=D47,0,((E47-D47)-(C47-E47))/(C47-D47))</f>
        <v>-0.77333333333333487</v>
      </c>
      <c r="Q47">
        <f t="shared" ref="Q47" si="211">F47*P47</f>
        <v>-17527.065626666703</v>
      </c>
      <c r="R47">
        <f t="shared" ref="R47" si="212">R48+Q47</f>
        <v>4764404.7361888839</v>
      </c>
      <c r="S47">
        <f t="shared" ref="S47" si="213">R47/100000</f>
        <v>47.644047361888838</v>
      </c>
      <c r="T47">
        <f t="shared" ref="T47" si="214">S47/1000</f>
        <v>4.764404736188884E-2</v>
      </c>
    </row>
    <row r="48" spans="1:20" x14ac:dyDescent="0.25">
      <c r="A48" s="5">
        <v>44545</v>
      </c>
      <c r="B48">
        <v>279.3</v>
      </c>
      <c r="C48">
        <v>292.8</v>
      </c>
      <c r="D48">
        <v>269.5</v>
      </c>
      <c r="E48">
        <v>288.60000000000002</v>
      </c>
      <c r="F48">
        <v>24939.995999999999</v>
      </c>
      <c r="G48">
        <v>288.60000000000002</v>
      </c>
      <c r="L48" t="s">
        <v>8</v>
      </c>
      <c r="M48" t="s">
        <v>7</v>
      </c>
      <c r="N48" t="s">
        <v>7</v>
      </c>
      <c r="P48">
        <f t="shared" ref="P48" si="215">IF(C48=D48,0,((E48-D48)-(C48-E48))/(C48-D48))</f>
        <v>0.63948497854077369</v>
      </c>
      <c r="Q48">
        <f t="shared" ref="Q48" si="216">F48*P48</f>
        <v>15948.752806866982</v>
      </c>
      <c r="R48">
        <f t="shared" ref="R48" si="217">R49+Q48</f>
        <v>4781931.8018155508</v>
      </c>
      <c r="S48">
        <f t="shared" ref="S48" si="218">R48/100000</f>
        <v>47.819318018155506</v>
      </c>
      <c r="T48">
        <f t="shared" ref="T48" si="219">S48/1000</f>
        <v>4.7819318018155504E-2</v>
      </c>
    </row>
    <row r="49" spans="1:20" x14ac:dyDescent="0.25">
      <c r="A49" s="5">
        <v>44544</v>
      </c>
      <c r="B49">
        <v>272.89999999999998</v>
      </c>
      <c r="C49">
        <v>289.7</v>
      </c>
      <c r="D49">
        <v>269.39999999999998</v>
      </c>
      <c r="E49">
        <v>279.3</v>
      </c>
      <c r="F49">
        <v>29327.309000000001</v>
      </c>
      <c r="G49">
        <v>279.3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-2.463054187191837E-2</v>
      </c>
      <c r="Q49">
        <f t="shared" ref="Q49" si="221">F49*P49</f>
        <v>-722.34751231518851</v>
      </c>
      <c r="R49">
        <f t="shared" ref="R49" si="222">R50+Q49</f>
        <v>4765983.0490086842</v>
      </c>
      <c r="S49">
        <f t="shared" ref="S49" si="223">R49/100000</f>
        <v>47.65983049008684</v>
      </c>
      <c r="T49">
        <f t="shared" ref="T49" si="224">S49/1000</f>
        <v>4.7659830490086839E-2</v>
      </c>
    </row>
    <row r="50" spans="1:20" x14ac:dyDescent="0.25">
      <c r="A50" s="5">
        <v>44543</v>
      </c>
      <c r="B50">
        <v>303.39999999999998</v>
      </c>
      <c r="C50">
        <v>308.39999999999998</v>
      </c>
      <c r="D50">
        <v>269.39999999999998</v>
      </c>
      <c r="E50">
        <v>272.89999999999998</v>
      </c>
      <c r="F50">
        <v>40444.462</v>
      </c>
      <c r="G50">
        <v>272.89999999999998</v>
      </c>
      <c r="L50" t="s">
        <v>8</v>
      </c>
      <c r="M50" t="s">
        <v>7</v>
      </c>
      <c r="N50" t="s">
        <v>7</v>
      </c>
      <c r="P50">
        <f t="shared" ref="P50" si="225">IF(C50=D50,0,((E50-D50)-(C50-E50))/(C50-D50))</f>
        <v>-0.82051282051282048</v>
      </c>
      <c r="Q50">
        <f t="shared" ref="Q50" si="226">F50*P50</f>
        <v>-33185.199589743592</v>
      </c>
      <c r="R50">
        <f t="shared" ref="R50" si="227">R51+Q50</f>
        <v>4766705.3965209993</v>
      </c>
      <c r="S50">
        <f t="shared" ref="S50" si="228">R50/100000</f>
        <v>47.667053965209995</v>
      </c>
      <c r="T50">
        <f t="shared" ref="T50" si="229">S50/1000</f>
        <v>4.7667053965209996E-2</v>
      </c>
    </row>
    <row r="51" spans="1:20" x14ac:dyDescent="0.25">
      <c r="A51" s="5">
        <v>44542</v>
      </c>
      <c r="B51">
        <v>296</v>
      </c>
      <c r="C51">
        <v>305.5</v>
      </c>
      <c r="D51">
        <v>292.39999999999998</v>
      </c>
      <c r="E51">
        <v>303.60000000000002</v>
      </c>
      <c r="F51">
        <v>27792.566999999999</v>
      </c>
      <c r="G51">
        <v>303.60000000000002</v>
      </c>
      <c r="L51" t="s">
        <v>8</v>
      </c>
      <c r="M51" t="s">
        <v>8</v>
      </c>
      <c r="N51" t="s">
        <v>7</v>
      </c>
      <c r="P51">
        <f t="shared" ref="P51" si="230">IF(C51=D51,0,((E51-D51)-(C51-E51))/(C51-D51))</f>
        <v>0.70992366412214136</v>
      </c>
      <c r="Q51">
        <f t="shared" ref="Q51" si="231">F51*P51</f>
        <v>19730.601000000108</v>
      </c>
      <c r="R51">
        <f t="shared" ref="R51" si="232">R52+Q51</f>
        <v>4799890.5961107425</v>
      </c>
      <c r="S51">
        <f t="shared" ref="S51" si="233">R51/100000</f>
        <v>47.998905961107425</v>
      </c>
      <c r="T51">
        <f t="shared" ref="T51" si="234">S51/1000</f>
        <v>4.7998905961107424E-2</v>
      </c>
    </row>
    <row r="52" spans="1:20" x14ac:dyDescent="0.25">
      <c r="A52" s="5">
        <v>44541</v>
      </c>
      <c r="B52">
        <v>282.10000000000002</v>
      </c>
      <c r="C52">
        <v>285.60000000000002</v>
      </c>
      <c r="D52">
        <v>275.60000000000002</v>
      </c>
      <c r="E52">
        <v>283.89999999999998</v>
      </c>
      <c r="F52">
        <v>2906.6680000000001</v>
      </c>
      <c r="G52">
        <v>283.89999999999998</v>
      </c>
      <c r="L52" t="s">
        <v>7</v>
      </c>
      <c r="M52" t="s">
        <v>8</v>
      </c>
      <c r="N52" t="s">
        <v>7</v>
      </c>
      <c r="P52">
        <f t="shared" ref="P52" si="235">IF(C52=D52,0,((E52-D52)-(C52-E52))/(C52-D52))</f>
        <v>0.65999999999999093</v>
      </c>
      <c r="Q52">
        <f t="shared" ref="Q52" si="236">F52*P52</f>
        <v>1918.4008799999738</v>
      </c>
      <c r="R52">
        <f t="shared" ref="R52" si="237">R53+Q52</f>
        <v>4780159.9951107427</v>
      </c>
      <c r="S52">
        <f t="shared" ref="S52" si="238">R52/100000</f>
        <v>47.801599951107427</v>
      </c>
      <c r="T52">
        <f t="shared" ref="T52" si="239">S52/1000</f>
        <v>4.7801599951107429E-2</v>
      </c>
    </row>
    <row r="53" spans="1:20" x14ac:dyDescent="0.25">
      <c r="A53" s="5">
        <v>44540</v>
      </c>
      <c r="B53">
        <v>286.7</v>
      </c>
      <c r="C53">
        <v>309.8</v>
      </c>
      <c r="D53">
        <v>280.60000000000002</v>
      </c>
      <c r="E53">
        <v>282.39999999999998</v>
      </c>
      <c r="F53">
        <v>49965.307000000001</v>
      </c>
      <c r="G53">
        <v>282.39999999999998</v>
      </c>
      <c r="L53" t="s">
        <v>7</v>
      </c>
      <c r="M53" t="s">
        <v>8</v>
      </c>
      <c r="N53" t="s">
        <v>7</v>
      </c>
      <c r="P53">
        <f t="shared" ref="P53" si="240">IF(C53=D53,0,((E53-D53)-(C53-E53))/(C53-D53))</f>
        <v>-0.87671232876712635</v>
      </c>
      <c r="Q53">
        <f t="shared" ref="Q53" si="241">F53*P53</f>
        <v>-43805.200657534398</v>
      </c>
      <c r="R53">
        <f t="shared" ref="R53" si="242">R54+Q53</f>
        <v>4778241.5942307431</v>
      </c>
      <c r="S53">
        <f t="shared" ref="S53" si="243">R53/100000</f>
        <v>47.782415942307431</v>
      </c>
      <c r="T53">
        <f t="shared" ref="T53" si="244">S53/1000</f>
        <v>4.7782415942307428E-2</v>
      </c>
    </row>
    <row r="54" spans="1:20" x14ac:dyDescent="0.25">
      <c r="A54" s="5">
        <v>44539</v>
      </c>
      <c r="B54">
        <v>307.5</v>
      </c>
      <c r="C54">
        <v>308.7</v>
      </c>
      <c r="D54">
        <v>283.8</v>
      </c>
      <c r="E54">
        <v>286.8</v>
      </c>
      <c r="F54">
        <v>30059.665000000001</v>
      </c>
      <c r="G54">
        <v>286.8</v>
      </c>
      <c r="L54" t="s">
        <v>8</v>
      </c>
      <c r="M54" t="s">
        <v>8</v>
      </c>
      <c r="N54" t="s">
        <v>7</v>
      </c>
      <c r="P54">
        <f t="shared" ref="P54" si="245">IF(C54=D54,0,((E54-D54)-(C54-E54))/(C54-D54))</f>
        <v>-0.75903614457831303</v>
      </c>
      <c r="Q54">
        <f t="shared" ref="Q54" si="246">F54*P54</f>
        <v>-22816.372228915658</v>
      </c>
      <c r="R54">
        <f t="shared" ref="R54" si="247">R55+Q54</f>
        <v>4822046.7948882775</v>
      </c>
      <c r="S54">
        <f t="shared" ref="S54" si="248">R54/100000</f>
        <v>48.220467948882778</v>
      </c>
      <c r="T54">
        <f t="shared" ref="T54" si="249">S54/1000</f>
        <v>4.8220467948882781E-2</v>
      </c>
    </row>
    <row r="55" spans="1:20" x14ac:dyDescent="0.25">
      <c r="A55" s="5">
        <v>44538</v>
      </c>
      <c r="B55">
        <v>295.5</v>
      </c>
      <c r="C55">
        <v>316.2</v>
      </c>
      <c r="D55">
        <v>286.89999999999998</v>
      </c>
      <c r="E55">
        <v>307.5</v>
      </c>
      <c r="F55">
        <v>48793.938999999998</v>
      </c>
      <c r="G55">
        <v>307.5</v>
      </c>
      <c r="L55" t="s">
        <v>7</v>
      </c>
      <c r="M55" t="s">
        <v>8</v>
      </c>
      <c r="N55" t="s">
        <v>7</v>
      </c>
      <c r="P55">
        <f t="shared" ref="P55" si="250">IF(C55=D55,0,((E55-D55)-(C55-E55))/(C55-D55))</f>
        <v>0.4061433447098986</v>
      </c>
      <c r="Q55">
        <f t="shared" ref="Q55" si="251">F55*P55</f>
        <v>19817.333587030764</v>
      </c>
      <c r="R55">
        <f t="shared" ref="R55" si="252">R56+Q55</f>
        <v>4844863.1671171933</v>
      </c>
      <c r="S55">
        <f t="shared" ref="S55" si="253">R55/100000</f>
        <v>48.448631671171931</v>
      </c>
      <c r="T55">
        <f t="shared" ref="T55" si="254">S55/1000</f>
        <v>4.8448631671171929E-2</v>
      </c>
    </row>
    <row r="56" spans="1:20" x14ac:dyDescent="0.25">
      <c r="A56" s="5">
        <v>44537</v>
      </c>
      <c r="B56">
        <v>288.10000000000002</v>
      </c>
      <c r="C56">
        <v>319.2</v>
      </c>
      <c r="D56">
        <v>283.89999999999998</v>
      </c>
      <c r="E56">
        <v>295.8</v>
      </c>
      <c r="F56">
        <v>60410.57</v>
      </c>
      <c r="G56">
        <v>295.8</v>
      </c>
      <c r="L56" t="s">
        <v>8</v>
      </c>
      <c r="M56" t="s">
        <v>8</v>
      </c>
      <c r="N56" t="s">
        <v>7</v>
      </c>
      <c r="P56">
        <f t="shared" ref="P56" si="255">IF(C56=D56,0,((E56-D56)-(C56-E56))/(C56-D56))</f>
        <v>-0.32577903682719378</v>
      </c>
      <c r="Q56">
        <f t="shared" ref="Q56" si="256">F56*P56</f>
        <v>-19680.497308781767</v>
      </c>
      <c r="R56">
        <f t="shared" ref="R56" si="257">R57+Q56</f>
        <v>4825045.8335301625</v>
      </c>
      <c r="S56">
        <f t="shared" ref="S56" si="258">R56/100000</f>
        <v>48.250458335301623</v>
      </c>
      <c r="T56">
        <f t="shared" ref="T56" si="259">S56/1000</f>
        <v>4.8250458335301623E-2</v>
      </c>
    </row>
    <row r="57" spans="1:20" x14ac:dyDescent="0.25">
      <c r="A57" s="5">
        <v>44536</v>
      </c>
      <c r="B57">
        <v>294.7</v>
      </c>
      <c r="C57">
        <v>294.89999999999998</v>
      </c>
      <c r="D57">
        <v>256.2</v>
      </c>
      <c r="E57">
        <v>288.3</v>
      </c>
      <c r="F57">
        <v>54001.629000000001</v>
      </c>
      <c r="G57">
        <v>288.3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0.65891472868217216</v>
      </c>
      <c r="Q57">
        <f t="shared" ref="Q57" si="261">F57*P57</f>
        <v>35582.468720930323</v>
      </c>
      <c r="R57">
        <f t="shared" ref="R57" si="262">R58+Q57</f>
        <v>4844726.3308389438</v>
      </c>
      <c r="S57">
        <f t="shared" ref="S57" si="263">R57/100000</f>
        <v>48.447263308389438</v>
      </c>
      <c r="T57">
        <f t="shared" ref="T57" si="264">S57/1000</f>
        <v>4.8447263308389436E-2</v>
      </c>
    </row>
    <row r="58" spans="1:20" x14ac:dyDescent="0.25">
      <c r="A58" s="5">
        <v>44535</v>
      </c>
      <c r="B58">
        <v>301.89999999999998</v>
      </c>
      <c r="C58">
        <v>306.5</v>
      </c>
      <c r="D58">
        <v>278</v>
      </c>
      <c r="E58">
        <v>294.7</v>
      </c>
      <c r="F58">
        <v>48901.072999999997</v>
      </c>
      <c r="G58">
        <v>294.7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0.17192982456140271</v>
      </c>
      <c r="Q58">
        <f t="shared" ref="Q58" si="266">F58*P58</f>
        <v>8407.5529017543467</v>
      </c>
      <c r="R58">
        <f t="shared" ref="R58" si="267">R59+Q58</f>
        <v>4809143.8621180132</v>
      </c>
      <c r="S58">
        <f t="shared" ref="S58" si="268">R58/100000</f>
        <v>48.091438621180131</v>
      </c>
      <c r="T58">
        <f t="shared" ref="T58" si="269">S58/1000</f>
        <v>4.8091438621180128E-2</v>
      </c>
    </row>
    <row r="59" spans="1:20" x14ac:dyDescent="0.25">
      <c r="A59" s="5">
        <v>44534</v>
      </c>
      <c r="B59">
        <v>346.2</v>
      </c>
      <c r="C59">
        <v>346.2</v>
      </c>
      <c r="D59">
        <v>252.2</v>
      </c>
      <c r="E59">
        <v>301.7</v>
      </c>
      <c r="F59">
        <v>103957.0632</v>
      </c>
      <c r="G59">
        <v>301.7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5.3191489361702128E-2</v>
      </c>
      <c r="Q59">
        <f t="shared" ref="Q59" si="271">F59*P59</f>
        <v>5529.6310212765957</v>
      </c>
      <c r="R59">
        <f t="shared" ref="R59" si="272">R60+Q59</f>
        <v>4800736.309216259</v>
      </c>
      <c r="S59">
        <f t="shared" ref="S59" si="273">R59/100000</f>
        <v>48.007363092162592</v>
      </c>
      <c r="T59">
        <f t="shared" ref="T59" si="274">S59/1000</f>
        <v>4.8007363092162594E-2</v>
      </c>
    </row>
    <row r="60" spans="1:20" x14ac:dyDescent="0.25">
      <c r="A60" s="5">
        <v>44533</v>
      </c>
      <c r="B60">
        <v>366.4</v>
      </c>
      <c r="C60">
        <v>370.8</v>
      </c>
      <c r="D60">
        <v>333.2</v>
      </c>
      <c r="E60">
        <v>345.7</v>
      </c>
      <c r="F60">
        <v>56596.874000000003</v>
      </c>
      <c r="G60">
        <v>345.7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-0.3351063829787238</v>
      </c>
      <c r="Q60">
        <f t="shared" ref="Q60" si="276">F60*P60</f>
        <v>-18965.973734042578</v>
      </c>
      <c r="R60">
        <f t="shared" ref="R60" si="277">R61+Q60</f>
        <v>4795206.678194982</v>
      </c>
      <c r="S60">
        <f t="shared" ref="S60" si="278">R60/100000</f>
        <v>47.952066781949817</v>
      </c>
      <c r="T60">
        <f t="shared" ref="T60" si="279">S60/1000</f>
        <v>4.7952066781949819E-2</v>
      </c>
    </row>
    <row r="61" spans="1:20" x14ac:dyDescent="0.25">
      <c r="A61" s="5">
        <v>44532</v>
      </c>
      <c r="B61">
        <v>391.3</v>
      </c>
      <c r="C61">
        <v>391.4</v>
      </c>
      <c r="D61">
        <v>365</v>
      </c>
      <c r="E61">
        <v>366.5</v>
      </c>
      <c r="F61">
        <v>28468.914000000001</v>
      </c>
      <c r="G61">
        <v>366.5</v>
      </c>
      <c r="L61" t="s">
        <v>7</v>
      </c>
      <c r="M61" t="s">
        <v>8</v>
      </c>
      <c r="N61" t="s">
        <v>7</v>
      </c>
      <c r="P61">
        <f t="shared" ref="P61" si="280">IF(C61=D61,0,((E61-D61)-(C61-E61))/(C61-D61))</f>
        <v>-0.88636363636363624</v>
      </c>
      <c r="Q61">
        <f t="shared" ref="Q61" si="281">F61*P61</f>
        <v>-25233.810136363634</v>
      </c>
      <c r="R61">
        <f t="shared" ref="R61" si="282">R62+Q61</f>
        <v>4814172.6519290246</v>
      </c>
      <c r="S61">
        <f t="shared" ref="S61" si="283">R61/100000</f>
        <v>48.141726519290245</v>
      </c>
      <c r="T61">
        <f t="shared" ref="T61" si="284">S61/1000</f>
        <v>4.8141726519290245E-2</v>
      </c>
    </row>
    <row r="62" spans="1:20" x14ac:dyDescent="0.25">
      <c r="A62" s="5">
        <v>44531</v>
      </c>
      <c r="B62">
        <v>392.7</v>
      </c>
      <c r="C62">
        <v>405</v>
      </c>
      <c r="D62">
        <v>381.6</v>
      </c>
      <c r="E62">
        <v>391.3</v>
      </c>
      <c r="F62">
        <v>56127.951000000001</v>
      </c>
      <c r="G62">
        <v>391.3</v>
      </c>
      <c r="L62" t="s">
        <v>8</v>
      </c>
      <c r="M62" t="s">
        <v>8</v>
      </c>
      <c r="N62" t="s">
        <v>7</v>
      </c>
      <c r="P62">
        <f t="shared" ref="P62" si="285">IF(C62=D62,0,((E62-D62)-(C62-E62))/(C62-D62))</f>
        <v>-0.17094017094017111</v>
      </c>
      <c r="Q62">
        <f t="shared" ref="Q62" si="286">F62*P62</f>
        <v>-9594.5215384615476</v>
      </c>
      <c r="R62">
        <f t="shared" ref="R62" si="287">R63+Q62</f>
        <v>4839406.4620653884</v>
      </c>
      <c r="S62">
        <f t="shared" ref="S62" si="288">R62/100000</f>
        <v>48.394064620653886</v>
      </c>
      <c r="T62">
        <f t="shared" ref="T62" si="289">S62/1000</f>
        <v>4.8394064620653883E-2</v>
      </c>
    </row>
    <row r="63" spans="1:20" x14ac:dyDescent="0.25">
      <c r="A63" s="5">
        <v>44530</v>
      </c>
      <c r="B63">
        <v>366.3</v>
      </c>
      <c r="C63">
        <v>394.7</v>
      </c>
      <c r="D63">
        <v>357.3</v>
      </c>
      <c r="E63">
        <v>392.9</v>
      </c>
      <c r="F63">
        <v>81324.684999999998</v>
      </c>
      <c r="G63">
        <v>392.9</v>
      </c>
      <c r="L63" t="s">
        <v>8</v>
      </c>
      <c r="M63" t="s">
        <v>8</v>
      </c>
      <c r="N63" t="s">
        <v>7</v>
      </c>
      <c r="P63">
        <f t="shared" ref="P63" si="290">IF(C63=D63,0,((E63-D63)-(C63-E63))/(C63-D63))</f>
        <v>0.90374331550802067</v>
      </c>
      <c r="Q63">
        <f t="shared" ref="Q63" si="291">F63*P63</f>
        <v>73496.640454545399</v>
      </c>
      <c r="R63">
        <f t="shared" ref="R63" si="292">R64+Q63</f>
        <v>4849000.98360385</v>
      </c>
      <c r="S63">
        <f t="shared" ref="S63" si="293">R63/100000</f>
        <v>48.490009836038503</v>
      </c>
      <c r="T63">
        <f t="shared" ref="T63" si="294">S63/1000</f>
        <v>4.8490009836038503E-2</v>
      </c>
    </row>
    <row r="64" spans="1:20" x14ac:dyDescent="0.25">
      <c r="A64" s="5">
        <v>44529</v>
      </c>
      <c r="B64">
        <v>350.1</v>
      </c>
      <c r="C64">
        <v>372.7</v>
      </c>
      <c r="D64">
        <v>349.1</v>
      </c>
      <c r="E64">
        <v>366.5</v>
      </c>
      <c r="F64">
        <v>54702.080999999998</v>
      </c>
      <c r="G64">
        <v>366.5</v>
      </c>
      <c r="L64" t="s">
        <v>8</v>
      </c>
      <c r="M64" t="s">
        <v>8</v>
      </c>
      <c r="N64" t="s">
        <v>7</v>
      </c>
      <c r="P64">
        <f t="shared" ref="P64" si="295">IF(C64=D64,0,((E64-D64)-(C64-E64))/(C64-D64))</f>
        <v>0.47457627118644086</v>
      </c>
      <c r="Q64">
        <f t="shared" ref="Q64" si="296">F64*P64</f>
        <v>25960.309627118651</v>
      </c>
      <c r="R64">
        <f t="shared" ref="R64" si="297">R65+Q64</f>
        <v>4775504.3431493044</v>
      </c>
      <c r="S64">
        <f t="shared" ref="S64" si="298">R64/100000</f>
        <v>47.755043431493043</v>
      </c>
      <c r="T64">
        <f t="shared" ref="T64" si="299">S64/1000</f>
        <v>4.775504343149304E-2</v>
      </c>
    </row>
    <row r="65" spans="1:20" x14ac:dyDescent="0.25">
      <c r="A65" s="5">
        <v>44528</v>
      </c>
      <c r="B65">
        <v>334.4</v>
      </c>
      <c r="C65">
        <v>357.7</v>
      </c>
      <c r="D65">
        <v>319.7</v>
      </c>
      <c r="E65">
        <v>350.4</v>
      </c>
      <c r="F65">
        <v>95569.991999999998</v>
      </c>
      <c r="G65">
        <v>350.4</v>
      </c>
      <c r="L65" t="s">
        <v>8</v>
      </c>
      <c r="M65" t="s">
        <v>8</v>
      </c>
      <c r="N65" t="s">
        <v>7</v>
      </c>
      <c r="P65">
        <f t="shared" ref="P65" si="300">IF(C65=D65,0,((E65-D65)-(C65-E65))/(C65-D65))</f>
        <v>0.61578947368420989</v>
      </c>
      <c r="Q65">
        <f t="shared" ref="Q65" si="301">F65*P65</f>
        <v>58850.995073684149</v>
      </c>
      <c r="R65">
        <f t="shared" ref="R65" si="302">R66+Q65</f>
        <v>4749544.0335221859</v>
      </c>
      <c r="S65">
        <f t="shared" ref="S65" si="303">R65/100000</f>
        <v>47.495440335221858</v>
      </c>
      <c r="T65">
        <f t="shared" ref="T65" si="304">S65/1000</f>
        <v>4.7495440335221857E-2</v>
      </c>
    </row>
    <row r="66" spans="1:20" x14ac:dyDescent="0.25">
      <c r="A66" s="5">
        <v>44527</v>
      </c>
      <c r="B66">
        <v>314.5</v>
      </c>
      <c r="C66">
        <v>349</v>
      </c>
      <c r="D66">
        <v>313.7</v>
      </c>
      <c r="E66">
        <v>334.4</v>
      </c>
      <c r="F66">
        <v>49666.815999999999</v>
      </c>
      <c r="G66">
        <v>334.4</v>
      </c>
      <c r="L66" t="s">
        <v>8</v>
      </c>
      <c r="M66" t="s">
        <v>8</v>
      </c>
      <c r="N66" t="s">
        <v>7</v>
      </c>
      <c r="P66">
        <f t="shared" ref="P66" si="305">IF(C66=D66,0,((E66-D66)-(C66-E66))/(C66-D66))</f>
        <v>0.17280453257790265</v>
      </c>
      <c r="Q66">
        <f t="shared" ref="Q66" si="306">F66*P66</f>
        <v>8582.650923512696</v>
      </c>
      <c r="R66">
        <f t="shared" ref="R66" si="307">R67+Q66</f>
        <v>4690693.0384485014</v>
      </c>
      <c r="S66">
        <f t="shared" ref="S66" si="308">R66/100000</f>
        <v>46.906930384485015</v>
      </c>
      <c r="T66">
        <f t="shared" ref="T66" si="309">S66/1000</f>
        <v>4.6906930384485013E-2</v>
      </c>
    </row>
    <row r="67" spans="1:20" x14ac:dyDescent="0.25">
      <c r="A67" s="5">
        <v>44526</v>
      </c>
      <c r="B67">
        <v>339</v>
      </c>
      <c r="C67">
        <v>339.8</v>
      </c>
      <c r="D67">
        <v>298.10000000000002</v>
      </c>
      <c r="E67">
        <v>314.60000000000002</v>
      </c>
      <c r="F67">
        <v>86597.701000000001</v>
      </c>
      <c r="G67">
        <v>314.60000000000002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-0.20863309352517964</v>
      </c>
      <c r="Q67">
        <f t="shared" ref="Q67" si="311">F67*P67</f>
        <v>-18067.146251798542</v>
      </c>
      <c r="R67">
        <f t="shared" ref="R67" si="312">R68+Q67</f>
        <v>4682110.3875249885</v>
      </c>
      <c r="S67">
        <f t="shared" ref="S67" si="313">R67/100000</f>
        <v>46.821103875249882</v>
      </c>
      <c r="T67">
        <f t="shared" ref="T67" si="314">S67/1000</f>
        <v>4.6821103875249882E-2</v>
      </c>
    </row>
    <row r="68" spans="1:20" x14ac:dyDescent="0.25">
      <c r="A68" s="5">
        <v>44525</v>
      </c>
      <c r="B68">
        <v>327.8</v>
      </c>
      <c r="C68">
        <v>350</v>
      </c>
      <c r="D68">
        <v>326.2</v>
      </c>
      <c r="E68">
        <v>339.1</v>
      </c>
      <c r="F68">
        <v>42576.65</v>
      </c>
      <c r="G68">
        <v>339.1</v>
      </c>
      <c r="L68" t="s">
        <v>7</v>
      </c>
      <c r="M68" t="s">
        <v>7</v>
      </c>
      <c r="N68" t="s">
        <v>7</v>
      </c>
      <c r="P68">
        <f t="shared" ref="P68" si="315">IF(C68=D68,0,((E68-D68)-(C68-E68))/(C68-D68))</f>
        <v>8.4033613445380503E-2</v>
      </c>
      <c r="Q68">
        <f t="shared" ref="Q68" si="316">F68*P68</f>
        <v>3577.8697478992599</v>
      </c>
      <c r="R68">
        <f t="shared" ref="R68" si="317">R69+Q68</f>
        <v>4700177.5337767871</v>
      </c>
      <c r="S68">
        <f t="shared" ref="S68" si="318">R68/100000</f>
        <v>47.001775337767874</v>
      </c>
      <c r="T68">
        <f t="shared" ref="T68" si="319">S68/1000</f>
        <v>4.7001775337767872E-2</v>
      </c>
    </row>
    <row r="69" spans="1:20" x14ac:dyDescent="0.25">
      <c r="A69" s="5">
        <v>44524</v>
      </c>
      <c r="B69">
        <v>343.2</v>
      </c>
      <c r="C69">
        <v>347.1</v>
      </c>
      <c r="D69">
        <v>336</v>
      </c>
      <c r="E69">
        <v>340.9</v>
      </c>
      <c r="F69">
        <v>12908.703</v>
      </c>
      <c r="G69">
        <v>340.9</v>
      </c>
      <c r="L69" t="s">
        <v>7</v>
      </c>
      <c r="M69" t="s">
        <v>7</v>
      </c>
      <c r="N69" t="s">
        <v>7</v>
      </c>
      <c r="P69">
        <f t="shared" ref="P69" si="320">IF(C69=D69,0,((E69-D69)-(C69-E69))/(C69-D69))</f>
        <v>-0.11711711711712303</v>
      </c>
      <c r="Q69">
        <f t="shared" ref="Q69" si="321">F69*P69</f>
        <v>-1511.8300810811572</v>
      </c>
      <c r="R69">
        <f t="shared" ref="R69" si="322">R70+Q69</f>
        <v>4696599.6640288876</v>
      </c>
      <c r="S69">
        <f t="shared" ref="S69" si="323">R69/100000</f>
        <v>46.965996640288878</v>
      </c>
      <c r="T69">
        <f t="shared" ref="T69" si="324">S69/1000</f>
        <v>4.696599664028888E-2</v>
      </c>
    </row>
    <row r="70" spans="1:20" x14ac:dyDescent="0.25">
      <c r="A70" s="5">
        <v>44523</v>
      </c>
      <c r="B70">
        <v>337.7</v>
      </c>
      <c r="C70">
        <v>352.9</v>
      </c>
      <c r="D70">
        <v>326.2</v>
      </c>
      <c r="E70">
        <v>343.1</v>
      </c>
      <c r="F70">
        <v>67846.584000000003</v>
      </c>
      <c r="G70">
        <v>343.1</v>
      </c>
      <c r="L70" t="s">
        <v>7</v>
      </c>
      <c r="M70" t="s">
        <v>7</v>
      </c>
      <c r="N70" t="s">
        <v>7</v>
      </c>
      <c r="P70">
        <f t="shared" ref="P70" si="325">IF(C70=D70,0,((E70-D70)-(C70-E70))/(C70-D70))</f>
        <v>0.26591760299625777</v>
      </c>
      <c r="Q70">
        <f t="shared" ref="Q70" si="326">F70*P70</f>
        <v>18041.600988764254</v>
      </c>
      <c r="R70">
        <f t="shared" ref="R70" si="327">R71+Q70</f>
        <v>4698111.4941099687</v>
      </c>
      <c r="S70">
        <f t="shared" ref="S70" si="328">R70/100000</f>
        <v>46.981114941099683</v>
      </c>
      <c r="T70">
        <f t="shared" ref="T70" si="329">S70/1000</f>
        <v>4.6981114941099682E-2</v>
      </c>
    </row>
    <row r="71" spans="1:20" x14ac:dyDescent="0.25">
      <c r="A71" s="5">
        <v>44522</v>
      </c>
      <c r="B71">
        <v>365</v>
      </c>
      <c r="C71">
        <v>366.2</v>
      </c>
      <c r="D71">
        <v>334.6</v>
      </c>
      <c r="E71">
        <v>337.7</v>
      </c>
      <c r="F71">
        <v>55253.010999999999</v>
      </c>
      <c r="G71">
        <v>337.7</v>
      </c>
      <c r="L71" t="s">
        <v>7</v>
      </c>
      <c r="M71" t="s">
        <v>7</v>
      </c>
      <c r="N71" t="s">
        <v>7</v>
      </c>
      <c r="P71">
        <f t="shared" ref="P71" si="330">IF(C71=D71,0,((E71-D71)-(C71-E71))/(C71-D71))</f>
        <v>-0.80379746835443233</v>
      </c>
      <c r="Q71">
        <f t="shared" ref="Q71" si="331">F71*P71</f>
        <v>-44412.230360759597</v>
      </c>
      <c r="R71">
        <f t="shared" ref="R71" si="332">R72+Q71</f>
        <v>4680069.8931212043</v>
      </c>
      <c r="S71">
        <f t="shared" ref="S71" si="333">R71/100000</f>
        <v>46.800698931212047</v>
      </c>
      <c r="T71">
        <f t="shared" ref="T71" si="334">S71/1000</f>
        <v>4.6800698931212047E-2</v>
      </c>
    </row>
    <row r="72" spans="1:20" x14ac:dyDescent="0.25">
      <c r="A72" s="5">
        <v>44521</v>
      </c>
      <c r="B72">
        <v>367</v>
      </c>
      <c r="C72">
        <v>371.6</v>
      </c>
      <c r="D72">
        <v>358.4</v>
      </c>
      <c r="E72">
        <v>364.7</v>
      </c>
      <c r="F72">
        <v>33425.578999999998</v>
      </c>
      <c r="G72">
        <v>364.7</v>
      </c>
      <c r="L72" t="s">
        <v>8</v>
      </c>
      <c r="M72" t="s">
        <v>7</v>
      </c>
      <c r="N72" t="s">
        <v>7</v>
      </c>
      <c r="P72">
        <f t="shared" ref="P72" si="335">IF(C72=D72,0,((E72-D72)-(C72-E72))/(C72-D72))</f>
        <v>-4.5454545454547017E-2</v>
      </c>
      <c r="Q72">
        <f t="shared" ref="Q72" si="336">F72*P72</f>
        <v>-1519.3445000000522</v>
      </c>
      <c r="R72">
        <f t="shared" ref="R72" si="337">R73+Q72</f>
        <v>4724482.1234819638</v>
      </c>
      <c r="S72">
        <f t="shared" ref="S72" si="338">R72/100000</f>
        <v>47.244821234819639</v>
      </c>
      <c r="T72">
        <f t="shared" ref="T72" si="339">S72/1000</f>
        <v>4.7244821234819642E-2</v>
      </c>
    </row>
    <row r="73" spans="1:20" x14ac:dyDescent="0.25">
      <c r="A73" s="5">
        <v>44520</v>
      </c>
      <c r="B73">
        <v>354.6</v>
      </c>
      <c r="C73">
        <v>368</v>
      </c>
      <c r="D73">
        <v>341.3</v>
      </c>
      <c r="E73">
        <v>366.8</v>
      </c>
      <c r="F73">
        <v>45684.605000000003</v>
      </c>
      <c r="G73">
        <v>366.8</v>
      </c>
      <c r="L73" t="s">
        <v>8</v>
      </c>
      <c r="M73" t="s">
        <v>7</v>
      </c>
      <c r="N73" t="s">
        <v>7</v>
      </c>
      <c r="P73">
        <f t="shared" ref="P73" si="340">IF(C73=D73,0,((E73-D73)-(C73-E73))/(C73-D73))</f>
        <v>0.91011235955056258</v>
      </c>
      <c r="Q73">
        <f t="shared" ref="Q73" si="341">F73*P73</f>
        <v>41578.123651685433</v>
      </c>
      <c r="R73">
        <f t="shared" ref="R73" si="342">R74+Q73</f>
        <v>4726001.4679819634</v>
      </c>
      <c r="S73">
        <f t="shared" ref="S73" si="343">R73/100000</f>
        <v>47.260014679819633</v>
      </c>
      <c r="T73">
        <f t="shared" ref="T73" si="344">S73/1000</f>
        <v>4.7260014679819634E-2</v>
      </c>
    </row>
    <row r="74" spans="1:20" x14ac:dyDescent="0.25">
      <c r="A74" s="5">
        <v>44519</v>
      </c>
      <c r="B74">
        <v>339.1</v>
      </c>
      <c r="C74">
        <v>365.7</v>
      </c>
      <c r="D74">
        <v>327.39999999999998</v>
      </c>
      <c r="E74">
        <v>354.8</v>
      </c>
      <c r="F74">
        <v>65366.163999999997</v>
      </c>
      <c r="G74">
        <v>354.8</v>
      </c>
      <c r="L74" t="s">
        <v>7</v>
      </c>
      <c r="M74" t="s">
        <v>7</v>
      </c>
      <c r="N74" t="s">
        <v>7</v>
      </c>
      <c r="P74">
        <f t="shared" ref="P74" si="345">IF(C74=D74,0,((E74-D74)-(C74-E74))/(C74-D74))</f>
        <v>0.43080939947780816</v>
      </c>
      <c r="Q74">
        <f t="shared" ref="Q74" si="346">F74*P74</f>
        <v>28160.357859007923</v>
      </c>
      <c r="R74">
        <f t="shared" ref="R74" si="347">R75+Q74</f>
        <v>4684423.3443302782</v>
      </c>
      <c r="S74">
        <f t="shared" ref="S74" si="348">R74/100000</f>
        <v>46.844233443302784</v>
      </c>
      <c r="T74">
        <f t="shared" ref="T74" si="349">S74/1000</f>
        <v>4.6844233443302782E-2</v>
      </c>
    </row>
    <row r="75" spans="1:20" x14ac:dyDescent="0.25">
      <c r="A75" s="5">
        <v>44518</v>
      </c>
      <c r="B75">
        <v>367.3</v>
      </c>
      <c r="C75">
        <v>372.6</v>
      </c>
      <c r="D75">
        <v>331.7</v>
      </c>
      <c r="E75">
        <v>339.3</v>
      </c>
      <c r="F75">
        <v>68228.986999999994</v>
      </c>
      <c r="G75">
        <v>339.3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-0.62836185819070822</v>
      </c>
      <c r="Q75">
        <f t="shared" ref="Q75" si="351">F75*P75</f>
        <v>-42872.493053789673</v>
      </c>
      <c r="R75">
        <f t="shared" ref="R75" si="352">R76+Q75</f>
        <v>4656262.9864712702</v>
      </c>
      <c r="S75">
        <f t="shared" ref="S75" si="353">R75/100000</f>
        <v>46.562629864712704</v>
      </c>
      <c r="T75">
        <f t="shared" ref="T75" si="354">S75/1000</f>
        <v>4.6562629864712705E-2</v>
      </c>
    </row>
    <row r="76" spans="1:20" x14ac:dyDescent="0.25">
      <c r="A76" s="5">
        <v>44517</v>
      </c>
      <c r="B76">
        <v>366.6</v>
      </c>
      <c r="C76">
        <v>376.4</v>
      </c>
      <c r="D76">
        <v>352.3</v>
      </c>
      <c r="E76">
        <v>367.2</v>
      </c>
      <c r="F76">
        <v>57887.595999999998</v>
      </c>
      <c r="G76">
        <v>367.2</v>
      </c>
      <c r="L76" t="s">
        <v>8</v>
      </c>
      <c r="M76" t="s">
        <v>7</v>
      </c>
      <c r="N76" t="s">
        <v>7</v>
      </c>
      <c r="P76">
        <f t="shared" ref="P76" si="355">IF(C76=D76,0,((E76-D76)-(C76-E76))/(C76-D76))</f>
        <v>0.23651452282157662</v>
      </c>
      <c r="Q76">
        <f t="shared" ref="Q76" si="356">F76*P76</f>
        <v>13691.257145228206</v>
      </c>
      <c r="R76">
        <f t="shared" ref="R76" si="357">R77+Q76</f>
        <v>4699135.4795250595</v>
      </c>
      <c r="S76">
        <f t="shared" ref="S76" si="358">R76/100000</f>
        <v>46.991354795250594</v>
      </c>
      <c r="T76">
        <f t="shared" ref="T76" si="359">S76/1000</f>
        <v>4.6991354795250594E-2</v>
      </c>
    </row>
    <row r="77" spans="1:20" x14ac:dyDescent="0.25">
      <c r="A77" s="5">
        <v>44516</v>
      </c>
      <c r="B77">
        <v>409.8</v>
      </c>
      <c r="C77">
        <v>409.9</v>
      </c>
      <c r="D77">
        <v>350.2</v>
      </c>
      <c r="E77">
        <v>366.7</v>
      </c>
      <c r="F77">
        <v>99577.467999999993</v>
      </c>
      <c r="G77">
        <v>366.7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-0.4472361809045225</v>
      </c>
      <c r="Q77">
        <f t="shared" ref="Q77" si="361">F77*P77</f>
        <v>-44534.6464924623</v>
      </c>
      <c r="R77">
        <f t="shared" ref="R77" si="362">R78+Q77</f>
        <v>4685444.2223798316</v>
      </c>
      <c r="S77">
        <f t="shared" ref="S77" si="363">R77/100000</f>
        <v>46.854442223798316</v>
      </c>
      <c r="T77">
        <f t="shared" ref="T77" si="364">S77/1000</f>
        <v>4.6854442223798316E-2</v>
      </c>
    </row>
    <row r="78" spans="1:20" x14ac:dyDescent="0.25">
      <c r="A78" s="5">
        <v>44515</v>
      </c>
      <c r="B78">
        <v>433.9</v>
      </c>
      <c r="C78">
        <v>442</v>
      </c>
      <c r="D78">
        <v>408.2</v>
      </c>
      <c r="E78">
        <v>409.8</v>
      </c>
      <c r="F78">
        <v>49022.425999999999</v>
      </c>
      <c r="G78">
        <v>409.8</v>
      </c>
      <c r="L78" t="s">
        <v>8</v>
      </c>
      <c r="M78" t="s">
        <v>8</v>
      </c>
      <c r="N78" t="s">
        <v>8</v>
      </c>
      <c r="P78">
        <f t="shared" ref="P78" si="365">IF(C78=D78,0,((E78-D78)-(C78-E78))/(C78-D78))</f>
        <v>-0.90532544378698099</v>
      </c>
      <c r="Q78">
        <f t="shared" ref="Q78" si="366">F78*P78</f>
        <v>-44381.249573964436</v>
      </c>
      <c r="R78">
        <f t="shared" ref="R78" si="367">R79+Q78</f>
        <v>4729978.8688722942</v>
      </c>
      <c r="S78">
        <f t="shared" ref="S78" si="368">R78/100000</f>
        <v>47.299788688722941</v>
      </c>
      <c r="T78">
        <f t="shared" ref="T78" si="369">S78/1000</f>
        <v>4.7299788688722942E-2</v>
      </c>
    </row>
    <row r="79" spans="1:20" x14ac:dyDescent="0.25">
      <c r="A79" s="5">
        <v>44514</v>
      </c>
      <c r="B79">
        <v>428.6</v>
      </c>
      <c r="C79">
        <v>435.7</v>
      </c>
      <c r="D79">
        <v>420.3</v>
      </c>
      <c r="E79">
        <v>433.9</v>
      </c>
      <c r="F79">
        <v>25863.411</v>
      </c>
      <c r="G79">
        <v>433.9</v>
      </c>
      <c r="L79" t="s">
        <v>7</v>
      </c>
      <c r="M79" t="s">
        <v>8</v>
      </c>
      <c r="N79" t="s">
        <v>8</v>
      </c>
      <c r="P79">
        <f t="shared" ref="P79" si="370">IF(C79=D79,0,((E79-D79)-(C79-E79))/(C79-D79))</f>
        <v>0.76623376623376438</v>
      </c>
      <c r="Q79">
        <f t="shared" ref="Q79" si="371">F79*P79</f>
        <v>19817.41881818177</v>
      </c>
      <c r="R79">
        <f t="shared" ref="R79" si="372">R80+Q79</f>
        <v>4774360.1184462588</v>
      </c>
      <c r="S79">
        <f t="shared" ref="S79" si="373">R79/100000</f>
        <v>47.743601184462591</v>
      </c>
      <c r="T79">
        <f t="shared" ref="T79" si="374">S79/1000</f>
        <v>4.7743601184462588E-2</v>
      </c>
    </row>
    <row r="80" spans="1:20" x14ac:dyDescent="0.25">
      <c r="A80" s="5">
        <v>44513</v>
      </c>
      <c r="B80">
        <v>423.2</v>
      </c>
      <c r="C80">
        <v>435.3</v>
      </c>
      <c r="D80">
        <v>412.3</v>
      </c>
      <c r="E80">
        <v>428.5</v>
      </c>
      <c r="F80">
        <v>40160.337</v>
      </c>
      <c r="G80">
        <v>428.5</v>
      </c>
      <c r="L80" t="s">
        <v>7</v>
      </c>
      <c r="M80" t="s">
        <v>8</v>
      </c>
      <c r="N80" t="s">
        <v>8</v>
      </c>
      <c r="P80">
        <f t="shared" ref="P80" si="375">IF(C80=D80,0,((E80-D80)-(C80-E80))/(C80-D80))</f>
        <v>0.40869565217391207</v>
      </c>
      <c r="Q80">
        <f t="shared" ref="Q80" si="376">F80*P80</f>
        <v>16413.355121739092</v>
      </c>
      <c r="R80">
        <f t="shared" ref="R80" si="377">R81+Q80</f>
        <v>4754542.6996280774</v>
      </c>
      <c r="S80">
        <f t="shared" ref="S80" si="378">R80/100000</f>
        <v>47.545426996280774</v>
      </c>
      <c r="T80">
        <f t="shared" ref="T80" si="379">S80/1000</f>
        <v>4.7545426996280775E-2</v>
      </c>
    </row>
    <row r="81" spans="1:20" x14ac:dyDescent="0.25">
      <c r="A81" s="5">
        <v>44512</v>
      </c>
      <c r="B81">
        <v>440.4</v>
      </c>
      <c r="C81">
        <v>444.4</v>
      </c>
      <c r="D81">
        <v>408.3</v>
      </c>
      <c r="E81">
        <v>423</v>
      </c>
      <c r="F81">
        <v>53781.41</v>
      </c>
      <c r="G81">
        <v>423</v>
      </c>
      <c r="L81" t="s">
        <v>7</v>
      </c>
      <c r="M81" t="s">
        <v>8</v>
      </c>
      <c r="N81" t="s">
        <v>8</v>
      </c>
      <c r="P81">
        <f t="shared" ref="P81" si="380">IF(C81=D81,0,((E81-D81)-(C81-E81))/(C81-D81))</f>
        <v>-0.18559556786703588</v>
      </c>
      <c r="Q81">
        <f t="shared" ref="Q81" si="381">F81*P81</f>
        <v>-9981.591329639883</v>
      </c>
      <c r="R81">
        <f t="shared" ref="R81" si="382">R82+Q81</f>
        <v>4738129.3445063382</v>
      </c>
      <c r="S81">
        <f t="shared" ref="S81" si="383">R81/100000</f>
        <v>47.381293445063385</v>
      </c>
      <c r="T81">
        <f t="shared" ref="T81" si="384">S81/1000</f>
        <v>4.7381293445063387E-2</v>
      </c>
    </row>
    <row r="82" spans="1:20" x14ac:dyDescent="0.25">
      <c r="A82" s="5">
        <v>44511</v>
      </c>
      <c r="B82">
        <v>427.3</v>
      </c>
      <c r="C82">
        <v>452.3</v>
      </c>
      <c r="D82">
        <v>413.9</v>
      </c>
      <c r="E82">
        <v>440.5</v>
      </c>
      <c r="F82">
        <v>63061.455000000002</v>
      </c>
      <c r="G82">
        <v>440.5</v>
      </c>
      <c r="L82" t="s">
        <v>8</v>
      </c>
      <c r="M82" t="s">
        <v>8</v>
      </c>
      <c r="N82" t="s">
        <v>8</v>
      </c>
      <c r="P82">
        <f t="shared" ref="P82" si="385">IF(C82=D82,0,((E82-D82)-(C82-E82))/(C82-D82))</f>
        <v>0.38541666666666663</v>
      </c>
      <c r="Q82">
        <f t="shared" ref="Q82" si="386">F82*P82</f>
        <v>24304.935781249998</v>
      </c>
      <c r="R82">
        <f t="shared" ref="R82" si="387">R83+Q82</f>
        <v>4748110.935835978</v>
      </c>
      <c r="S82">
        <f t="shared" ref="S82" si="388">R82/100000</f>
        <v>47.481109358359781</v>
      </c>
      <c r="T82">
        <f t="shared" ref="T82" si="389">S82/1000</f>
        <v>4.748110935835978E-2</v>
      </c>
    </row>
    <row r="83" spans="1:20" x14ac:dyDescent="0.25">
      <c r="A83" s="5">
        <v>44510</v>
      </c>
      <c r="B83">
        <v>452.5</v>
      </c>
      <c r="C83">
        <v>470.9</v>
      </c>
      <c r="D83">
        <v>383.2</v>
      </c>
      <c r="E83">
        <v>427.5</v>
      </c>
      <c r="F83">
        <v>94867.221999999994</v>
      </c>
      <c r="G83">
        <v>427.5</v>
      </c>
      <c r="L83" t="s">
        <v>7</v>
      </c>
      <c r="M83" t="s">
        <v>7</v>
      </c>
      <c r="N83" t="s">
        <v>8</v>
      </c>
      <c r="P83">
        <f t="shared" ref="P83" si="390">IF(C83=D83,0,((E83-D83)-(C83-E83))/(C83-D83))</f>
        <v>1.0262257696693663E-2</v>
      </c>
      <c r="Q83">
        <f t="shared" ref="Q83" si="391">F83*P83</f>
        <v>973.55187913344639</v>
      </c>
      <c r="R83">
        <f t="shared" ref="R83" si="392">R84+Q83</f>
        <v>4723806.0000547282</v>
      </c>
      <c r="S83">
        <f t="shared" ref="S83" si="393">R83/100000</f>
        <v>47.238060000547286</v>
      </c>
      <c r="T83">
        <f t="shared" ref="T83" si="394">S83/1000</f>
        <v>4.7238060000547283E-2</v>
      </c>
    </row>
    <row r="84" spans="1:20" x14ac:dyDescent="0.25">
      <c r="A84" s="5">
        <v>44509</v>
      </c>
      <c r="B84">
        <v>482.6</v>
      </c>
      <c r="C84">
        <v>484.5</v>
      </c>
      <c r="D84">
        <v>449.3</v>
      </c>
      <c r="E84">
        <v>452.4</v>
      </c>
      <c r="F84">
        <v>62954.726999999999</v>
      </c>
      <c r="G84">
        <v>452.4</v>
      </c>
      <c r="L84" t="s">
        <v>7</v>
      </c>
      <c r="M84" t="s">
        <v>8</v>
      </c>
      <c r="N84" t="s">
        <v>8</v>
      </c>
      <c r="P84">
        <f t="shared" ref="P84" si="395">IF(C84=D84,0,((E84-D84)-(C84-E84))/(C84-D84))</f>
        <v>-0.82386363636363824</v>
      </c>
      <c r="Q84">
        <f t="shared" ref="Q84" si="396">F84*P84</f>
        <v>-51866.110312500117</v>
      </c>
      <c r="R84">
        <f t="shared" ref="R84" si="397">R85+Q84</f>
        <v>4722832.4481755951</v>
      </c>
      <c r="S84">
        <f t="shared" ref="S84" si="398">R84/100000</f>
        <v>47.228324481755955</v>
      </c>
      <c r="T84">
        <f t="shared" ref="T84" si="399">S84/1000</f>
        <v>4.7228324481755957E-2</v>
      </c>
    </row>
    <row r="85" spans="1:20" x14ac:dyDescent="0.25">
      <c r="A85" s="5">
        <v>44508</v>
      </c>
      <c r="B85">
        <v>511.9</v>
      </c>
      <c r="C85">
        <v>519.1</v>
      </c>
      <c r="D85">
        <v>476.4</v>
      </c>
      <c r="E85">
        <v>482.7</v>
      </c>
      <c r="F85">
        <v>75829.001000000004</v>
      </c>
      <c r="G85">
        <v>482.7</v>
      </c>
      <c r="L85" t="s">
        <v>7</v>
      </c>
      <c r="M85" t="s">
        <v>8</v>
      </c>
      <c r="N85" t="s">
        <v>8</v>
      </c>
      <c r="P85">
        <f t="shared" ref="P85" si="400">IF(C85=D85,0,((E85-D85)-(C85-E85))/(C85-D85))</f>
        <v>-0.70491803278688503</v>
      </c>
      <c r="Q85">
        <f t="shared" ref="Q85" si="401">F85*P85</f>
        <v>-53453.230213114737</v>
      </c>
      <c r="R85">
        <f t="shared" ref="R85" si="402">R86+Q85</f>
        <v>4774698.5584880952</v>
      </c>
      <c r="S85">
        <f t="shared" ref="S85" si="403">R85/100000</f>
        <v>47.746985584880953</v>
      </c>
      <c r="T85">
        <f t="shared" ref="T85" si="404">S85/1000</f>
        <v>4.7746985584880955E-2</v>
      </c>
    </row>
    <row r="86" spans="1:20" x14ac:dyDescent="0.25">
      <c r="A86" s="5">
        <v>44507</v>
      </c>
      <c r="B86">
        <v>445.4</v>
      </c>
      <c r="C86">
        <v>514.29999999999995</v>
      </c>
      <c r="D86">
        <v>441.1</v>
      </c>
      <c r="E86">
        <v>512.1</v>
      </c>
      <c r="F86">
        <v>99442.228499999997</v>
      </c>
      <c r="G86">
        <v>512.1</v>
      </c>
      <c r="L86" t="s">
        <v>8</v>
      </c>
      <c r="M86" t="s">
        <v>8</v>
      </c>
      <c r="N86" t="s">
        <v>8</v>
      </c>
      <c r="P86">
        <f t="shared" ref="P86" si="405">IF(C86=D86,0,((E86-D86)-(C86-E86))/(C86-D86))</f>
        <v>0.93989071038251548</v>
      </c>
      <c r="Q86">
        <f t="shared" ref="Q86" si="406">F86*P86</f>
        <v>93464.826786885431</v>
      </c>
      <c r="R86">
        <f t="shared" ref="R86" si="407">R87+Q86</f>
        <v>4828151.7887012102</v>
      </c>
      <c r="S86">
        <f t="shared" ref="S86" si="408">R86/100000</f>
        <v>48.2815178870121</v>
      </c>
      <c r="T86">
        <f t="shared" ref="T86" si="409">S86/1000</f>
        <v>4.8281517887012099E-2</v>
      </c>
    </row>
    <row r="87" spans="1:20" x14ac:dyDescent="0.25">
      <c r="A87" s="5">
        <v>44506</v>
      </c>
      <c r="B87">
        <v>448.5</v>
      </c>
      <c r="C87">
        <v>461.2</v>
      </c>
      <c r="D87">
        <v>432.7</v>
      </c>
      <c r="E87">
        <v>445.7</v>
      </c>
      <c r="F87">
        <v>55628.366000000002</v>
      </c>
      <c r="G87">
        <v>445.7</v>
      </c>
      <c r="L87" t="s">
        <v>7</v>
      </c>
      <c r="M87" t="s">
        <v>8</v>
      </c>
      <c r="N87" t="s">
        <v>8</v>
      </c>
      <c r="P87">
        <f t="shared" ref="P87" si="410">IF(C87=D87,0,((E87-D87)-(C87-E87))/(C87-D87))</f>
        <v>-8.771929824561403E-2</v>
      </c>
      <c r="Q87">
        <f t="shared" ref="Q87" si="411">F87*P87</f>
        <v>-4879.6812280701752</v>
      </c>
      <c r="R87">
        <f t="shared" ref="R87" si="412">R88+Q87</f>
        <v>4734686.9619143251</v>
      </c>
      <c r="S87">
        <f t="shared" ref="S87" si="413">R87/100000</f>
        <v>47.346869619143249</v>
      </c>
      <c r="T87">
        <f t="shared" ref="T87" si="414">S87/1000</f>
        <v>4.734686961914325E-2</v>
      </c>
    </row>
    <row r="88" spans="1:20" x14ac:dyDescent="0.25">
      <c r="A88" s="5">
        <v>44505</v>
      </c>
      <c r="B88">
        <v>441.7</v>
      </c>
      <c r="C88">
        <v>453.7</v>
      </c>
      <c r="D88">
        <v>428.5</v>
      </c>
      <c r="E88">
        <v>448.5</v>
      </c>
      <c r="F88">
        <v>53931.277999999998</v>
      </c>
      <c r="G88">
        <v>448.5</v>
      </c>
      <c r="L88" t="s">
        <v>7</v>
      </c>
      <c r="M88" t="s">
        <v>8</v>
      </c>
      <c r="N88" t="s">
        <v>8</v>
      </c>
      <c r="P88">
        <f t="shared" ref="P88" si="415">IF(C88=D88,0,((E88-D88)-(C88-E88))/(C88-D88))</f>
        <v>0.58730158730158799</v>
      </c>
      <c r="Q88">
        <f t="shared" ref="Q88" si="416">F88*P88</f>
        <v>31673.92517460321</v>
      </c>
      <c r="R88">
        <f t="shared" ref="R88" si="417">R89+Q88</f>
        <v>4739566.6431423957</v>
      </c>
      <c r="S88">
        <f t="shared" ref="S88" si="418">R88/100000</f>
        <v>47.395666431423955</v>
      </c>
      <c r="T88">
        <f t="shared" ref="T88" si="419">S88/1000</f>
        <v>4.7395666431423955E-2</v>
      </c>
    </row>
    <row r="89" spans="1:20" x14ac:dyDescent="0.25">
      <c r="A89" s="5">
        <v>44504</v>
      </c>
      <c r="B89">
        <v>454.3</v>
      </c>
      <c r="C89">
        <v>465</v>
      </c>
      <c r="D89">
        <v>431.1</v>
      </c>
      <c r="E89">
        <v>441.4</v>
      </c>
      <c r="F89">
        <v>52032.735000000001</v>
      </c>
      <c r="G89">
        <v>441.4</v>
      </c>
      <c r="L89" t="s">
        <v>8</v>
      </c>
      <c r="M89" t="s">
        <v>8</v>
      </c>
      <c r="N89" t="s">
        <v>8</v>
      </c>
      <c r="P89">
        <f t="shared" ref="P89" si="420">IF(C89=D89,0,((E89-D89)-(C89-E89))/(C89-D89))</f>
        <v>-0.39233038348082822</v>
      </c>
      <c r="Q89">
        <f t="shared" ref="Q89" si="421">F89*P89</f>
        <v>-20414.022876106312</v>
      </c>
      <c r="R89">
        <f t="shared" ref="R89" si="422">R90+Q89</f>
        <v>4707892.7179677924</v>
      </c>
      <c r="S89">
        <f t="shared" ref="S89" si="423">R89/100000</f>
        <v>47.078927179677926</v>
      </c>
      <c r="T89">
        <f t="shared" ref="T89" si="424">S89/1000</f>
        <v>4.7078927179677925E-2</v>
      </c>
    </row>
    <row r="90" spans="1:20" x14ac:dyDescent="0.25">
      <c r="A90" s="5">
        <v>44503</v>
      </c>
      <c r="B90">
        <v>442.6</v>
      </c>
      <c r="C90">
        <v>460</v>
      </c>
      <c r="D90">
        <v>421.7</v>
      </c>
      <c r="E90">
        <v>455</v>
      </c>
      <c r="F90">
        <v>84820.717099999994</v>
      </c>
      <c r="G90">
        <v>455</v>
      </c>
      <c r="L90" t="s">
        <v>7</v>
      </c>
      <c r="M90" t="s">
        <v>8</v>
      </c>
      <c r="N90" t="s">
        <v>8</v>
      </c>
      <c r="P90">
        <f t="shared" ref="P90" si="425">IF(C90=D90,0,((E90-D90)-(C90-E90))/(C90-D90))</f>
        <v>0.7389033942558747</v>
      </c>
      <c r="Q90">
        <f t="shared" ref="Q90" si="426">F90*P90</f>
        <v>62674.315768407308</v>
      </c>
      <c r="R90">
        <f t="shared" ref="R90" si="427">R91+Q90</f>
        <v>4728306.7408438986</v>
      </c>
      <c r="S90">
        <f t="shared" ref="S90" si="428">R90/100000</f>
        <v>47.283067408438988</v>
      </c>
      <c r="T90">
        <f t="shared" ref="T90" si="429">S90/1000</f>
        <v>4.7283067408438989E-2</v>
      </c>
    </row>
    <row r="91" spans="1:20" x14ac:dyDescent="0.25">
      <c r="A91" s="5">
        <v>44502</v>
      </c>
      <c r="B91">
        <v>409.8</v>
      </c>
      <c r="C91">
        <v>455</v>
      </c>
      <c r="D91">
        <v>397.3</v>
      </c>
      <c r="E91">
        <v>442.2</v>
      </c>
      <c r="F91">
        <v>173033.79500000001</v>
      </c>
      <c r="G91">
        <v>442.2</v>
      </c>
      <c r="L91" t="s">
        <v>8</v>
      </c>
      <c r="M91" t="s">
        <v>8</v>
      </c>
      <c r="N91" t="s">
        <v>8</v>
      </c>
      <c r="P91">
        <f t="shared" ref="P91" si="430">IF(C91=D91,0,((E91-D91)-(C91-E91))/(C91-D91))</f>
        <v>0.55632582322356972</v>
      </c>
      <c r="Q91">
        <f t="shared" ref="Q91" si="431">F91*P91</f>
        <v>96263.168448873403</v>
      </c>
      <c r="R91">
        <f t="shared" ref="R91" si="432">R92+Q91</f>
        <v>4665632.425075491</v>
      </c>
      <c r="S91">
        <f t="shared" ref="S91" si="433">R91/100000</f>
        <v>46.656324250754906</v>
      </c>
      <c r="T91">
        <f t="shared" ref="T91" si="434">S91/1000</f>
        <v>4.6656324250754909E-2</v>
      </c>
    </row>
    <row r="92" spans="1:20" x14ac:dyDescent="0.25">
      <c r="A92" s="5">
        <v>44501</v>
      </c>
      <c r="B92">
        <v>370.5</v>
      </c>
      <c r="C92">
        <v>412</v>
      </c>
      <c r="D92">
        <v>359.4</v>
      </c>
      <c r="E92">
        <v>409.6</v>
      </c>
      <c r="F92">
        <v>115263.05499999999</v>
      </c>
      <c r="G92">
        <v>409.6</v>
      </c>
      <c r="L92" t="s">
        <v>8</v>
      </c>
      <c r="M92" t="s">
        <v>8</v>
      </c>
      <c r="N92" t="s">
        <v>8</v>
      </c>
      <c r="P92">
        <f t="shared" ref="P92" si="435">IF(C92=D92,0,((E92-D92)-(C92-E92))/(C92-D92))</f>
        <v>0.90874524714828986</v>
      </c>
      <c r="Q92">
        <f t="shared" ref="Q92" si="436">F92*P92</f>
        <v>104744.75340304192</v>
      </c>
      <c r="R92">
        <f t="shared" ref="R92" si="437">R93+Q92</f>
        <v>4569369.2566266172</v>
      </c>
      <c r="S92">
        <f t="shared" ref="S92" si="438">R92/100000</f>
        <v>45.693692566266172</v>
      </c>
      <c r="T92">
        <f t="shared" ref="T92" si="439">S92/1000</f>
        <v>4.5693692566266174E-2</v>
      </c>
    </row>
    <row r="93" spans="1:20" x14ac:dyDescent="0.25">
      <c r="A93" s="5">
        <v>44500</v>
      </c>
      <c r="B93">
        <v>372.9</v>
      </c>
      <c r="C93">
        <v>379</v>
      </c>
      <c r="D93">
        <v>352.9</v>
      </c>
      <c r="E93">
        <v>370.5</v>
      </c>
      <c r="F93">
        <v>51257.633999999998</v>
      </c>
      <c r="G93">
        <v>370.5</v>
      </c>
      <c r="L93" t="s">
        <v>7</v>
      </c>
      <c r="M93" t="s">
        <v>8</v>
      </c>
      <c r="N93" t="s">
        <v>8</v>
      </c>
      <c r="P93">
        <f t="shared" ref="P93" si="440">IF(C93=D93,0,((E93-D93)-(C93-E93))/(C93-D93))</f>
        <v>0.34865900383141818</v>
      </c>
      <c r="Q93">
        <f t="shared" ref="Q93" si="441">F93*P93</f>
        <v>17871.435609195429</v>
      </c>
      <c r="R93">
        <f t="shared" ref="R93" si="442">R94+Q93</f>
        <v>4464624.5032235757</v>
      </c>
      <c r="S93">
        <f t="shared" ref="S93" si="443">R93/100000</f>
        <v>44.646245032235754</v>
      </c>
      <c r="T93">
        <f t="shared" ref="T93" si="444">S93/1000</f>
        <v>4.4646245032235757E-2</v>
      </c>
    </row>
    <row r="94" spans="1:20" x14ac:dyDescent="0.25">
      <c r="A94" s="5">
        <v>44499</v>
      </c>
      <c r="B94">
        <v>367.2</v>
      </c>
      <c r="C94">
        <v>380</v>
      </c>
      <c r="D94">
        <v>362.6</v>
      </c>
      <c r="E94">
        <v>372.7</v>
      </c>
      <c r="F94">
        <v>46499.411</v>
      </c>
      <c r="G94">
        <v>372.7</v>
      </c>
      <c r="L94" t="s">
        <v>7</v>
      </c>
      <c r="M94" t="s">
        <v>8</v>
      </c>
      <c r="N94" t="s">
        <v>8</v>
      </c>
      <c r="P94">
        <f t="shared" ref="P94" si="445">IF(C94=D94,0,((E94-D94)-(C94-E94))/(C94-D94))</f>
        <v>0.16091954022988264</v>
      </c>
      <c r="Q94">
        <f t="shared" ref="Q94" si="446">F94*P94</f>
        <v>7482.6638390803473</v>
      </c>
      <c r="R94">
        <f t="shared" ref="R94" si="447">R95+Q94</f>
        <v>4446753.0676143803</v>
      </c>
      <c r="S94">
        <f t="shared" ref="S94" si="448">R94/100000</f>
        <v>44.467530676143802</v>
      </c>
      <c r="T94">
        <f t="shared" ref="T94" si="449">S94/1000</f>
        <v>4.4467530676143799E-2</v>
      </c>
    </row>
    <row r="95" spans="1:20" x14ac:dyDescent="0.25">
      <c r="A95" s="5">
        <v>44498</v>
      </c>
      <c r="B95">
        <v>364.7</v>
      </c>
      <c r="C95">
        <v>372.9</v>
      </c>
      <c r="D95">
        <v>361.5</v>
      </c>
      <c r="E95">
        <v>367.2</v>
      </c>
      <c r="F95">
        <v>51046.192000000003</v>
      </c>
      <c r="G95">
        <v>367.2</v>
      </c>
      <c r="L95" t="s">
        <v>7</v>
      </c>
      <c r="M95" t="s">
        <v>8</v>
      </c>
      <c r="N95" t="s">
        <v>8</v>
      </c>
      <c r="P95">
        <f t="shared" ref="P95" si="450">IF(C95=D95,0,((E95-D95)-(C95-E95))/(C95-D95))</f>
        <v>0</v>
      </c>
      <c r="Q95">
        <f t="shared" ref="Q95" si="451">F95*P95</f>
        <v>0</v>
      </c>
      <c r="R95">
        <f t="shared" ref="R95" si="452">R96+Q95</f>
        <v>4439270.4037752999</v>
      </c>
      <c r="S95">
        <f t="shared" ref="S95" si="453">R95/100000</f>
        <v>44.392704037752999</v>
      </c>
      <c r="T95">
        <f t="shared" ref="T95" si="454">S95/1000</f>
        <v>4.4392704037753E-2</v>
      </c>
    </row>
    <row r="96" spans="1:20" x14ac:dyDescent="0.25">
      <c r="A96" s="5">
        <v>44497</v>
      </c>
      <c r="B96">
        <v>357</v>
      </c>
      <c r="C96">
        <v>379.7</v>
      </c>
      <c r="D96">
        <v>355</v>
      </c>
      <c r="E96">
        <v>364.6</v>
      </c>
      <c r="F96">
        <v>65842.061000000002</v>
      </c>
      <c r="G96">
        <v>364.6</v>
      </c>
      <c r="L96" t="s">
        <v>7</v>
      </c>
      <c r="M96" t="s">
        <v>8</v>
      </c>
      <c r="N96" t="s">
        <v>8</v>
      </c>
      <c r="P96">
        <f t="shared" ref="P96" si="455">IF(C96=D96,0,((E96-D96)-(C96-E96))/(C96-D96))</f>
        <v>-0.22267206477732573</v>
      </c>
      <c r="Q96">
        <f t="shared" ref="Q96" si="456">F96*P96</f>
        <v>-14661.187672064632</v>
      </c>
      <c r="R96">
        <f t="shared" ref="R96" si="457">R97+Q96</f>
        <v>4439270.4037752999</v>
      </c>
      <c r="S96">
        <f t="shared" ref="S96" si="458">R96/100000</f>
        <v>44.392704037752999</v>
      </c>
      <c r="T96">
        <f t="shared" ref="T96" si="459">S96/1000</f>
        <v>4.4392704037753E-2</v>
      </c>
    </row>
    <row r="97" spans="1:20" x14ac:dyDescent="0.25">
      <c r="A97" s="5">
        <v>44496</v>
      </c>
      <c r="B97">
        <v>390.8</v>
      </c>
      <c r="C97">
        <v>396</v>
      </c>
      <c r="D97">
        <v>355.1</v>
      </c>
      <c r="E97">
        <v>356.8</v>
      </c>
      <c r="F97">
        <v>95954.058999999994</v>
      </c>
      <c r="G97">
        <v>356.8</v>
      </c>
      <c r="L97" t="s">
        <v>7</v>
      </c>
      <c r="M97" t="s">
        <v>8</v>
      </c>
      <c r="N97" t="s">
        <v>8</v>
      </c>
      <c r="P97">
        <f t="shared" ref="P97" si="460">IF(C97=D97,0,((E97-D97)-(C97-E97))/(C97-D97))</f>
        <v>-0.91687041564792227</v>
      </c>
      <c r="Q97">
        <f t="shared" ref="Q97" si="461">F97*P97</f>
        <v>-87977.437958435257</v>
      </c>
      <c r="R97">
        <f t="shared" ref="R97" si="462">R98+Q97</f>
        <v>4453931.5914473645</v>
      </c>
      <c r="S97">
        <f t="shared" ref="S97" si="463">R97/100000</f>
        <v>44.539315914473647</v>
      </c>
      <c r="T97">
        <f t="shared" ref="T97" si="464">S97/1000</f>
        <v>4.4539315914473646E-2</v>
      </c>
    </row>
    <row r="98" spans="1:20" x14ac:dyDescent="0.25">
      <c r="A98" s="5">
        <v>44495</v>
      </c>
      <c r="B98">
        <v>402.2</v>
      </c>
      <c r="C98">
        <v>411.2</v>
      </c>
      <c r="D98">
        <v>383.1</v>
      </c>
      <c r="E98">
        <v>390.7</v>
      </c>
      <c r="F98">
        <v>62356.014999999999</v>
      </c>
      <c r="G98">
        <v>390.7</v>
      </c>
      <c r="L98" t="s">
        <v>7</v>
      </c>
      <c r="M98" t="s">
        <v>8</v>
      </c>
      <c r="N98" t="s">
        <v>8</v>
      </c>
      <c r="P98">
        <f t="shared" ref="P98" si="465">IF(C98=D98,0,((E98-D98)-(C98-E98))/(C98-D98))</f>
        <v>-0.45907473309608721</v>
      </c>
      <c r="Q98">
        <f t="shared" ref="Q98" si="466">F98*P98</f>
        <v>-28626.070943060611</v>
      </c>
      <c r="R98">
        <f t="shared" ref="R98" si="467">R99+Q98</f>
        <v>4541909.0294057997</v>
      </c>
      <c r="S98">
        <f t="shared" ref="S98" si="468">R98/100000</f>
        <v>45.419090294057995</v>
      </c>
      <c r="T98">
        <f t="shared" ref="T98" si="469">S98/1000</f>
        <v>4.5419090294057995E-2</v>
      </c>
    </row>
    <row r="99" spans="1:20" x14ac:dyDescent="0.25">
      <c r="A99" s="5">
        <v>44494</v>
      </c>
      <c r="B99">
        <v>399.4</v>
      </c>
      <c r="C99">
        <v>415</v>
      </c>
      <c r="D99">
        <v>395.1</v>
      </c>
      <c r="E99">
        <v>402.2</v>
      </c>
      <c r="F99">
        <v>81436.063999999998</v>
      </c>
      <c r="G99">
        <v>402.2</v>
      </c>
      <c r="L99" t="s">
        <v>8</v>
      </c>
      <c r="M99" t="s">
        <v>8</v>
      </c>
      <c r="N99" t="s">
        <v>8</v>
      </c>
      <c r="P99">
        <f t="shared" ref="P99" si="470">IF(C99=D99,0,((E99-D99)-(C99-E99))/(C99-D99))</f>
        <v>-0.28643216080402273</v>
      </c>
      <c r="Q99">
        <f t="shared" ref="Q99" si="471">F99*P99</f>
        <v>-23325.907778894685</v>
      </c>
      <c r="R99">
        <f t="shared" ref="R99" si="472">R100+Q99</f>
        <v>4570535.10034886</v>
      </c>
      <c r="S99">
        <f t="shared" ref="S99" si="473">R99/100000</f>
        <v>45.705351003488602</v>
      </c>
      <c r="T99">
        <f t="shared" ref="T99" si="474">S99/1000</f>
        <v>4.5705351003488603E-2</v>
      </c>
    </row>
    <row r="100" spans="1:20" x14ac:dyDescent="0.25">
      <c r="A100" s="5">
        <v>44493</v>
      </c>
      <c r="B100">
        <v>381.9</v>
      </c>
      <c r="C100">
        <v>407</v>
      </c>
      <c r="D100">
        <v>378</v>
      </c>
      <c r="E100">
        <v>399.6</v>
      </c>
      <c r="F100">
        <v>87769.115999999995</v>
      </c>
      <c r="G100">
        <v>399.6</v>
      </c>
      <c r="L100" t="s">
        <v>8</v>
      </c>
      <c r="M100" t="s">
        <v>8</v>
      </c>
      <c r="N100" t="s">
        <v>8</v>
      </c>
      <c r="P100">
        <f t="shared" ref="P100" si="475">IF(C100=D100,0,((E100-D100)-(C100-E100))/(C100-D100))</f>
        <v>0.48965517241379469</v>
      </c>
      <c r="Q100">
        <f t="shared" ref="Q100" si="476">F100*P100</f>
        <v>42976.601627586344</v>
      </c>
      <c r="R100">
        <f t="shared" ref="R100" si="477">R101+Q100</f>
        <v>4593861.0081277546</v>
      </c>
      <c r="S100">
        <f t="shared" ref="S100" si="478">R100/100000</f>
        <v>45.938610081277545</v>
      </c>
      <c r="T100">
        <f t="shared" ref="T100" si="479">S100/1000</f>
        <v>4.5938610081277545E-2</v>
      </c>
    </row>
    <row r="101" spans="1:20" x14ac:dyDescent="0.25">
      <c r="A101" s="5">
        <v>44492</v>
      </c>
      <c r="B101">
        <v>374.7</v>
      </c>
      <c r="C101">
        <v>386.4</v>
      </c>
      <c r="D101">
        <v>369.9</v>
      </c>
      <c r="E101">
        <v>382</v>
      </c>
      <c r="F101">
        <v>48189.682999999997</v>
      </c>
      <c r="G101">
        <v>382</v>
      </c>
      <c r="L101" t="s">
        <v>8</v>
      </c>
      <c r="M101" t="s">
        <v>8</v>
      </c>
      <c r="N101" t="s">
        <v>7</v>
      </c>
      <c r="P101">
        <f t="shared" ref="P101" si="480">IF(C101=D101,0,((E101-D101)-(C101-E101))/(C101-D101))</f>
        <v>0.46666666666666945</v>
      </c>
      <c r="Q101">
        <f t="shared" ref="Q101" si="481">F101*P101</f>
        <v>22488.518733333465</v>
      </c>
      <c r="R101">
        <f t="shared" ref="R101" si="482">R102+Q101</f>
        <v>4550884.4065001681</v>
      </c>
      <c r="S101">
        <f t="shared" ref="S101" si="483">R101/100000</f>
        <v>45.508844065001682</v>
      </c>
      <c r="T101">
        <f t="shared" ref="T101" si="484">S101/1000</f>
        <v>4.5508844065001684E-2</v>
      </c>
    </row>
    <row r="102" spans="1:20" x14ac:dyDescent="0.25">
      <c r="A102" s="5">
        <v>44491</v>
      </c>
      <c r="B102">
        <v>368.7</v>
      </c>
      <c r="C102">
        <v>389</v>
      </c>
      <c r="D102">
        <v>367</v>
      </c>
      <c r="E102">
        <v>374.4</v>
      </c>
      <c r="F102">
        <v>72929.653999999995</v>
      </c>
      <c r="G102">
        <v>374.4</v>
      </c>
      <c r="L102" t="s">
        <v>8</v>
      </c>
      <c r="M102" t="s">
        <v>8</v>
      </c>
      <c r="N102" t="s">
        <v>7</v>
      </c>
      <c r="P102">
        <f t="shared" ref="P102" si="485">IF(C102=D102,0,((E102-D102)-(C102-E102))/(C102-D102))</f>
        <v>-0.32727272727272932</v>
      </c>
      <c r="Q102">
        <f t="shared" ref="Q102" si="486">F102*P102</f>
        <v>-23867.88676363651</v>
      </c>
      <c r="R102">
        <f t="shared" ref="R102" si="487">R103+Q102</f>
        <v>4528395.8877668343</v>
      </c>
      <c r="S102">
        <f t="shared" ref="S102" si="488">R102/100000</f>
        <v>45.28395887766834</v>
      </c>
      <c r="T102">
        <f t="shared" ref="T102" si="489">S102/1000</f>
        <v>4.528395887766834E-2</v>
      </c>
    </row>
    <row r="103" spans="1:20" x14ac:dyDescent="0.25">
      <c r="A103" s="5">
        <v>44490</v>
      </c>
      <c r="B103">
        <v>378</v>
      </c>
      <c r="C103">
        <v>384.9</v>
      </c>
      <c r="D103">
        <v>360.3</v>
      </c>
      <c r="E103">
        <v>368.9</v>
      </c>
      <c r="F103">
        <v>75452.695000000007</v>
      </c>
      <c r="G103">
        <v>368.9</v>
      </c>
      <c r="L103" t="s">
        <v>8</v>
      </c>
      <c r="M103" t="s">
        <v>8</v>
      </c>
      <c r="N103" t="s">
        <v>7</v>
      </c>
      <c r="P103">
        <f t="shared" ref="P103" si="490">IF(C103=D103,0,((E103-D103)-(C103-E103))/(C103-D103))</f>
        <v>-0.3008130081300831</v>
      </c>
      <c r="Q103">
        <f t="shared" ref="Q103" si="491">F103*P103</f>
        <v>-22697.152154471682</v>
      </c>
      <c r="R103">
        <f t="shared" ref="R103" si="492">R104+Q103</f>
        <v>4552263.7745304713</v>
      </c>
      <c r="S103">
        <f t="shared" ref="S103" si="493">R103/100000</f>
        <v>45.522637745304714</v>
      </c>
      <c r="T103">
        <f t="shared" ref="T103" si="494">S103/1000</f>
        <v>4.5522637745304712E-2</v>
      </c>
    </row>
    <row r="104" spans="1:20" x14ac:dyDescent="0.25">
      <c r="A104" s="5">
        <v>44489</v>
      </c>
      <c r="B104">
        <v>380.2</v>
      </c>
      <c r="C104">
        <v>383</v>
      </c>
      <c r="D104">
        <v>366.3</v>
      </c>
      <c r="E104">
        <v>377.8</v>
      </c>
      <c r="F104">
        <v>63997.474999999999</v>
      </c>
      <c r="G104">
        <v>377.8</v>
      </c>
      <c r="L104" t="s">
        <v>8</v>
      </c>
      <c r="M104" t="s">
        <v>8</v>
      </c>
      <c r="N104" t="s">
        <v>7</v>
      </c>
      <c r="P104">
        <f t="shared" ref="P104" si="495">IF(C104=D104,0,((E104-D104)-(C104-E104))/(C104-D104))</f>
        <v>0.37724550898203685</v>
      </c>
      <c r="Q104">
        <f t="shared" ref="Q104" si="496">F104*P104</f>
        <v>24142.760029940178</v>
      </c>
      <c r="R104">
        <f t="shared" ref="R104" si="497">R105+Q104</f>
        <v>4574960.926684943</v>
      </c>
      <c r="S104">
        <f t="shared" ref="S104" si="498">R104/100000</f>
        <v>45.749609266849433</v>
      </c>
      <c r="T104">
        <f t="shared" ref="T104" si="499">S104/1000</f>
        <v>4.5749609266849435E-2</v>
      </c>
    </row>
    <row r="105" spans="1:20" x14ac:dyDescent="0.25">
      <c r="A105" s="5">
        <v>44488</v>
      </c>
      <c r="B105">
        <v>362.6</v>
      </c>
      <c r="C105">
        <v>380.5</v>
      </c>
      <c r="D105">
        <v>357</v>
      </c>
      <c r="E105">
        <v>379.9</v>
      </c>
      <c r="F105">
        <v>105108.754</v>
      </c>
      <c r="G105">
        <v>379.9</v>
      </c>
      <c r="L105" t="s">
        <v>8</v>
      </c>
      <c r="M105" t="s">
        <v>8</v>
      </c>
      <c r="N105" t="s">
        <v>7</v>
      </c>
      <c r="P105">
        <f t="shared" ref="P105" si="500">IF(C105=D105,0,((E105-D105)-(C105-E105))/(C105-D105))</f>
        <v>0.948936170212764</v>
      </c>
      <c r="Q105">
        <f t="shared" ref="Q105" si="501">F105*P105</f>
        <v>99741.498476595545</v>
      </c>
      <c r="R105">
        <f t="shared" ref="R105" si="502">R106+Q105</f>
        <v>4550818.1666550031</v>
      </c>
      <c r="S105">
        <f t="shared" ref="S105" si="503">R105/100000</f>
        <v>45.50818166655003</v>
      </c>
      <c r="T105">
        <f t="shared" ref="T105" si="504">S105/1000</f>
        <v>4.5508181666550032E-2</v>
      </c>
    </row>
    <row r="106" spans="1:20" x14ac:dyDescent="0.25">
      <c r="A106" s="5">
        <v>44487</v>
      </c>
      <c r="B106">
        <v>350.9</v>
      </c>
      <c r="C106">
        <v>365.3</v>
      </c>
      <c r="D106">
        <v>339.7</v>
      </c>
      <c r="E106">
        <v>362.6</v>
      </c>
      <c r="F106">
        <v>82176.2</v>
      </c>
      <c r="G106">
        <v>362.6</v>
      </c>
      <c r="L106" t="s">
        <v>8</v>
      </c>
      <c r="M106" t="s">
        <v>8</v>
      </c>
      <c r="N106" t="s">
        <v>7</v>
      </c>
      <c r="P106">
        <f t="shared" ref="P106" si="505">IF(C106=D106,0,((E106-D106)-(C106-E106))/(C106-D106))</f>
        <v>0.78906250000000111</v>
      </c>
      <c r="Q106">
        <f t="shared" ref="Q106" si="506">F106*P106</f>
        <v>64842.157812500089</v>
      </c>
      <c r="R106">
        <f t="shared" ref="R106" si="507">R107+Q106</f>
        <v>4451076.6681784075</v>
      </c>
      <c r="S106">
        <f t="shared" ref="S106" si="508">R106/100000</f>
        <v>44.510766681784077</v>
      </c>
      <c r="T106">
        <f t="shared" ref="T106" si="509">S106/1000</f>
        <v>4.4510766681784074E-2</v>
      </c>
    </row>
    <row r="107" spans="1:20" x14ac:dyDescent="0.25">
      <c r="A107" s="5">
        <v>44486</v>
      </c>
      <c r="B107">
        <v>341.3</v>
      </c>
      <c r="C107">
        <v>351.8</v>
      </c>
      <c r="D107">
        <v>330</v>
      </c>
      <c r="E107">
        <v>350.8</v>
      </c>
      <c r="F107">
        <v>64998.845000000001</v>
      </c>
      <c r="G107">
        <v>350.8</v>
      </c>
      <c r="L107" t="s">
        <v>7</v>
      </c>
      <c r="M107" t="s">
        <v>8</v>
      </c>
      <c r="N107" t="s">
        <v>7</v>
      </c>
      <c r="P107">
        <f t="shared" ref="P107" si="510">IF(C107=D107,0,((E107-D107)-(C107-E107))/(C107-D107))</f>
        <v>0.90825688073394495</v>
      </c>
      <c r="Q107">
        <f t="shared" ref="Q107" si="511">F107*P107</f>
        <v>59035.648211009175</v>
      </c>
      <c r="R107">
        <f t="shared" ref="R107" si="512">R108+Q107</f>
        <v>4386234.5103659071</v>
      </c>
      <c r="S107">
        <f t="shared" ref="S107" si="513">R107/100000</f>
        <v>43.862345103659074</v>
      </c>
      <c r="T107">
        <f t="shared" ref="T107" si="514">S107/1000</f>
        <v>4.3862345103659071E-2</v>
      </c>
    </row>
    <row r="108" spans="1:20" x14ac:dyDescent="0.25">
      <c r="A108" s="5">
        <v>44485</v>
      </c>
      <c r="B108">
        <v>348.1</v>
      </c>
      <c r="C108">
        <v>359.9</v>
      </c>
      <c r="D108">
        <v>337</v>
      </c>
      <c r="E108">
        <v>341.3</v>
      </c>
      <c r="F108">
        <v>48433.540999999997</v>
      </c>
      <c r="G108">
        <v>341.3</v>
      </c>
      <c r="L108" t="s">
        <v>8</v>
      </c>
      <c r="M108" t="s">
        <v>8</v>
      </c>
      <c r="N108" t="s">
        <v>7</v>
      </c>
      <c r="P108">
        <f t="shared" ref="P108" si="515">IF(C108=D108,0,((E108-D108)-(C108-E108))/(C108-D108))</f>
        <v>-0.6244541484716144</v>
      </c>
      <c r="Q108">
        <f t="shared" ref="Q108" si="516">F108*P108</f>
        <v>-30244.525602620022</v>
      </c>
      <c r="R108">
        <f t="shared" ref="R108" si="517">R109+Q108</f>
        <v>4327198.8621548982</v>
      </c>
      <c r="S108">
        <f t="shared" ref="S108" si="518">R108/100000</f>
        <v>43.271988621548985</v>
      </c>
      <c r="T108">
        <f t="shared" ref="T108" si="519">S108/1000</f>
        <v>4.3271988621548983E-2</v>
      </c>
    </row>
    <row r="109" spans="1:20" x14ac:dyDescent="0.25">
      <c r="A109" s="5">
        <v>44484</v>
      </c>
      <c r="B109">
        <v>350.3</v>
      </c>
      <c r="C109">
        <v>372.8</v>
      </c>
      <c r="D109">
        <v>335</v>
      </c>
      <c r="E109">
        <v>348.3</v>
      </c>
      <c r="F109">
        <v>113010.91</v>
      </c>
      <c r="G109">
        <v>348.3</v>
      </c>
      <c r="L109" t="s">
        <v>7</v>
      </c>
      <c r="M109" t="s">
        <v>8</v>
      </c>
      <c r="N109" t="s">
        <v>7</v>
      </c>
      <c r="P109">
        <f t="shared" ref="P109" si="520">IF(C109=D109,0,((E109-D109)-(C109-E109))/(C109-D109))</f>
        <v>-0.29629629629629589</v>
      </c>
      <c r="Q109">
        <f t="shared" ref="Q109" si="521">F109*P109</f>
        <v>-33484.714074074029</v>
      </c>
      <c r="R109">
        <f t="shared" ref="R109" si="522">R110+Q109</f>
        <v>4357443.3877575183</v>
      </c>
      <c r="S109">
        <f t="shared" ref="S109" si="523">R109/100000</f>
        <v>43.574433877575181</v>
      </c>
      <c r="T109">
        <f t="shared" ref="T109" si="524">S109/1000</f>
        <v>4.3574433877575182E-2</v>
      </c>
    </row>
    <row r="110" spans="1:20" x14ac:dyDescent="0.25">
      <c r="A110" s="5">
        <v>44483</v>
      </c>
      <c r="B110">
        <v>366.3</v>
      </c>
      <c r="C110">
        <v>377.9</v>
      </c>
      <c r="D110">
        <v>346.7</v>
      </c>
      <c r="E110">
        <v>350.6</v>
      </c>
      <c r="F110">
        <v>106439.749</v>
      </c>
      <c r="G110">
        <v>350.6</v>
      </c>
      <c r="L110" t="s">
        <v>8</v>
      </c>
      <c r="M110" t="s">
        <v>8</v>
      </c>
      <c r="N110" t="s">
        <v>7</v>
      </c>
      <c r="P110">
        <f t="shared" ref="P110" si="525">IF(C110=D110,0,((E110-D110)-(C110-E110))/(C110-D110))</f>
        <v>-0.74999999999999767</v>
      </c>
      <c r="Q110">
        <f t="shared" ref="Q110" si="526">F110*P110</f>
        <v>-79829.811749999746</v>
      </c>
      <c r="R110">
        <f t="shared" ref="R110" si="527">R111+Q110</f>
        <v>4390928.1018315926</v>
      </c>
      <c r="S110">
        <f t="shared" ref="S110" si="528">R110/100000</f>
        <v>43.909281018315923</v>
      </c>
      <c r="T110">
        <f t="shared" ref="T110" si="529">S110/1000</f>
        <v>4.390928101831592E-2</v>
      </c>
    </row>
    <row r="111" spans="1:20" x14ac:dyDescent="0.25">
      <c r="A111" s="5">
        <v>44482</v>
      </c>
      <c r="B111">
        <v>323.3</v>
      </c>
      <c r="C111">
        <v>368</v>
      </c>
      <c r="D111">
        <v>311.2</v>
      </c>
      <c r="E111">
        <v>366.2</v>
      </c>
      <c r="F111">
        <v>128338.82</v>
      </c>
      <c r="G111">
        <v>366.2</v>
      </c>
      <c r="L111" t="s">
        <v>8</v>
      </c>
      <c r="M111" t="s">
        <v>8</v>
      </c>
      <c r="N111" t="s">
        <v>7</v>
      </c>
      <c r="P111">
        <f t="shared" ref="P111" si="530">IF(C111=D111,0,((E111-D111)-(C111-E111))/(C111-D111))</f>
        <v>0.9366197183098588</v>
      </c>
      <c r="Q111">
        <f t="shared" ref="Q111" si="531">F111*P111</f>
        <v>120204.66943661968</v>
      </c>
      <c r="R111">
        <f t="shared" ref="R111" si="532">R112+Q111</f>
        <v>4470757.913581592</v>
      </c>
      <c r="S111">
        <f t="shared" ref="S111" si="533">R111/100000</f>
        <v>44.707579135815919</v>
      </c>
      <c r="T111">
        <f t="shared" ref="T111" si="534">S111/1000</f>
        <v>4.4707579135815918E-2</v>
      </c>
    </row>
    <row r="112" spans="1:20" x14ac:dyDescent="0.25">
      <c r="A112" s="5">
        <v>44481</v>
      </c>
      <c r="B112">
        <v>330.6</v>
      </c>
      <c r="C112">
        <v>330.6</v>
      </c>
      <c r="D112">
        <v>306.5</v>
      </c>
      <c r="E112">
        <v>323.39999999999998</v>
      </c>
      <c r="F112">
        <v>43628.196000000004</v>
      </c>
      <c r="G112">
        <v>323.39999999999998</v>
      </c>
      <c r="L112" t="s">
        <v>7</v>
      </c>
      <c r="M112" t="s">
        <v>7</v>
      </c>
      <c r="N112" t="s">
        <v>7</v>
      </c>
      <c r="P112">
        <f t="shared" ref="P112" si="535">IF(C112=D112,0,((E112-D112)-(C112-E112))/(C112-D112))</f>
        <v>0.40248962655601339</v>
      </c>
      <c r="Q112">
        <f t="shared" ref="Q112" si="536">F112*P112</f>
        <v>17559.896315352558</v>
      </c>
      <c r="R112">
        <f t="shared" ref="R112" si="537">R113+Q112</f>
        <v>4350553.2441449724</v>
      </c>
      <c r="S112">
        <f t="shared" ref="S112" si="538">R112/100000</f>
        <v>43.505532441449724</v>
      </c>
      <c r="T112">
        <f t="shared" ref="T112" si="539">S112/1000</f>
        <v>4.3505532441449724E-2</v>
      </c>
    </row>
    <row r="113" spans="1:20" x14ac:dyDescent="0.25">
      <c r="A113" s="5">
        <v>44480</v>
      </c>
      <c r="B113">
        <v>334.6</v>
      </c>
      <c r="C113">
        <v>345.9</v>
      </c>
      <c r="D113">
        <v>321.39999999999998</v>
      </c>
      <c r="E113">
        <v>330.6</v>
      </c>
      <c r="F113">
        <v>41409.896000000001</v>
      </c>
      <c r="G113">
        <v>330.6</v>
      </c>
      <c r="L113" t="s">
        <v>7</v>
      </c>
      <c r="M113" t="s">
        <v>8</v>
      </c>
      <c r="N113" t="s">
        <v>7</v>
      </c>
      <c r="P113">
        <f t="shared" ref="P113" si="540">IF(C113=D113,0,((E113-D113)-(C113-E113))/(C113-D113))</f>
        <v>-0.24897959183673099</v>
      </c>
      <c r="Q113">
        <f t="shared" ref="Q113" si="541">F113*P113</f>
        <v>-10310.21900408148</v>
      </c>
      <c r="R113">
        <f t="shared" ref="R113" si="542">R114+Q113</f>
        <v>4332993.3478296194</v>
      </c>
      <c r="S113">
        <f t="shared" ref="S113" si="543">R113/100000</f>
        <v>43.329933478296191</v>
      </c>
      <c r="T113">
        <f t="shared" ref="T113" si="544">S113/1000</f>
        <v>4.3329933478296188E-2</v>
      </c>
    </row>
    <row r="114" spans="1:20" x14ac:dyDescent="0.25">
      <c r="A114" s="5">
        <v>44479</v>
      </c>
      <c r="B114">
        <v>353.9</v>
      </c>
      <c r="C114">
        <v>372.4</v>
      </c>
      <c r="D114">
        <v>333.1</v>
      </c>
      <c r="E114">
        <v>334.9</v>
      </c>
      <c r="F114">
        <v>81975.808000000005</v>
      </c>
      <c r="G114">
        <v>334.9</v>
      </c>
      <c r="L114" t="s">
        <v>7</v>
      </c>
      <c r="M114" t="s">
        <v>8</v>
      </c>
      <c r="N114" t="s">
        <v>7</v>
      </c>
      <c r="P114">
        <f t="shared" ref="P114" si="545">IF(C114=D114,0,((E114-D114)-(C114-E114))/(C114-D114))</f>
        <v>-0.90839694656488768</v>
      </c>
      <c r="Q114">
        <f t="shared" ref="Q114" si="546">F114*P114</f>
        <v>-74466.57367938949</v>
      </c>
      <c r="R114">
        <f t="shared" ref="R114" si="547">R115+Q114</f>
        <v>4343303.566833701</v>
      </c>
      <c r="S114">
        <f t="shared" ref="S114" si="548">R114/100000</f>
        <v>43.433035668337013</v>
      </c>
      <c r="T114">
        <f t="shared" ref="T114" si="549">S114/1000</f>
        <v>4.3433035668337013E-2</v>
      </c>
    </row>
    <row r="115" spans="1:20" x14ac:dyDescent="0.25">
      <c r="A115" s="5">
        <v>44478</v>
      </c>
      <c r="B115">
        <v>344.2</v>
      </c>
      <c r="C115">
        <v>365.8</v>
      </c>
      <c r="D115">
        <v>340.7</v>
      </c>
      <c r="E115">
        <v>353.9</v>
      </c>
      <c r="F115">
        <v>47045.781000000003</v>
      </c>
      <c r="G115">
        <v>353.9</v>
      </c>
      <c r="L115" t="s">
        <v>8</v>
      </c>
      <c r="M115" t="s">
        <v>8</v>
      </c>
      <c r="N115" t="s">
        <v>7</v>
      </c>
      <c r="P115">
        <f t="shared" ref="P115" si="550">IF(C115=D115,0,((E115-D115)-(C115-E115))/(C115-D115))</f>
        <v>5.1792828685257107E-2</v>
      </c>
      <c r="Q115">
        <f t="shared" ref="Q115" si="551">F115*P115</f>
        <v>2436.634075697124</v>
      </c>
      <c r="R115">
        <f t="shared" ref="R115" si="552">R116+Q115</f>
        <v>4417770.1405130904</v>
      </c>
      <c r="S115">
        <f t="shared" ref="S115" si="553">R115/100000</f>
        <v>44.177701405130904</v>
      </c>
      <c r="T115">
        <f t="shared" ref="T115" si="554">S115/1000</f>
        <v>4.4177701405130901E-2</v>
      </c>
    </row>
    <row r="116" spans="1:20" x14ac:dyDescent="0.25">
      <c r="A116" s="5">
        <v>44477</v>
      </c>
      <c r="B116">
        <v>355.4</v>
      </c>
      <c r="C116">
        <v>360.6</v>
      </c>
      <c r="D116">
        <v>340</v>
      </c>
      <c r="E116">
        <v>344.3</v>
      </c>
      <c r="F116">
        <v>49842.553</v>
      </c>
      <c r="G116">
        <v>344.3</v>
      </c>
      <c r="L116" t="s">
        <v>7</v>
      </c>
      <c r="M116" t="s">
        <v>8</v>
      </c>
      <c r="N116" t="s">
        <v>7</v>
      </c>
      <c r="P116">
        <f t="shared" ref="P116" si="555">IF(C116=D116,0,((E116-D116)-(C116-E116))/(C116-D116))</f>
        <v>-0.5825242718446596</v>
      </c>
      <c r="Q116">
        <f t="shared" ref="Q116" si="556">F116*P116</f>
        <v>-29034.496893203854</v>
      </c>
      <c r="R116">
        <f t="shared" ref="R116" si="557">R117+Q116</f>
        <v>4415333.5064373929</v>
      </c>
      <c r="S116">
        <f t="shared" ref="S116" si="558">R116/100000</f>
        <v>44.153335064373927</v>
      </c>
      <c r="T116">
        <f t="shared" ref="T116" si="559">S116/1000</f>
        <v>4.4153335064373925E-2</v>
      </c>
    </row>
    <row r="117" spans="1:20" x14ac:dyDescent="0.25">
      <c r="A117" s="5">
        <v>44476</v>
      </c>
      <c r="B117">
        <v>333.5</v>
      </c>
      <c r="C117">
        <v>369.8</v>
      </c>
      <c r="D117">
        <v>326.39999999999998</v>
      </c>
      <c r="E117">
        <v>355.4</v>
      </c>
      <c r="F117">
        <v>96068.762000000002</v>
      </c>
      <c r="G117">
        <v>355.4</v>
      </c>
      <c r="L117" t="s">
        <v>8</v>
      </c>
      <c r="M117" t="s">
        <v>8</v>
      </c>
      <c r="N117" t="s">
        <v>7</v>
      </c>
      <c r="P117">
        <f t="shared" ref="P117" si="560">IF(C117=D117,0,((E117-D117)-(C117-E117))/(C117-D117))</f>
        <v>0.33640552995391598</v>
      </c>
      <c r="Q117">
        <f t="shared" ref="Q117" si="561">F117*P117</f>
        <v>32318.062792626628</v>
      </c>
      <c r="R117">
        <f t="shared" ref="R117" si="562">R118+Q117</f>
        <v>4444368.0033305967</v>
      </c>
      <c r="S117">
        <f t="shared" ref="S117" si="563">R117/100000</f>
        <v>44.443680033305967</v>
      </c>
      <c r="T117">
        <f t="shared" ref="T117" si="564">S117/1000</f>
        <v>4.4443680033305968E-2</v>
      </c>
    </row>
    <row r="118" spans="1:20" x14ac:dyDescent="0.25">
      <c r="A118" s="5">
        <v>44475</v>
      </c>
      <c r="B118">
        <v>337.1</v>
      </c>
      <c r="C118">
        <v>342</v>
      </c>
      <c r="D118">
        <v>314.39999999999998</v>
      </c>
      <c r="E118">
        <v>333.5</v>
      </c>
      <c r="F118">
        <v>60743.535000000003</v>
      </c>
      <c r="G118">
        <v>333.5</v>
      </c>
      <c r="L118" t="s">
        <v>7</v>
      </c>
      <c r="M118" t="s">
        <v>8</v>
      </c>
      <c r="N118" t="s">
        <v>7</v>
      </c>
      <c r="P118">
        <f t="shared" ref="P118" si="565">IF(C118=D118,0,((E118-D118)-(C118-E118))/(C118-D118))</f>
        <v>0.38405797101449324</v>
      </c>
      <c r="Q118">
        <f t="shared" ref="Q118" si="566">F118*P118</f>
        <v>23329.038804347856</v>
      </c>
      <c r="R118">
        <f t="shared" ref="R118" si="567">R119+Q118</f>
        <v>4412049.9405379705</v>
      </c>
      <c r="S118">
        <f t="shared" ref="S118" si="568">R118/100000</f>
        <v>44.120499405379704</v>
      </c>
      <c r="T118">
        <f t="shared" ref="T118" si="569">S118/1000</f>
        <v>4.4120499405379703E-2</v>
      </c>
    </row>
    <row r="119" spans="1:20" x14ac:dyDescent="0.25">
      <c r="A119" s="5">
        <v>44474</v>
      </c>
      <c r="B119">
        <v>339.2</v>
      </c>
      <c r="C119">
        <v>344.3</v>
      </c>
      <c r="D119">
        <v>328.7</v>
      </c>
      <c r="E119">
        <v>337</v>
      </c>
      <c r="F119">
        <v>50721.938000000002</v>
      </c>
      <c r="G119">
        <v>337</v>
      </c>
      <c r="L119" t="s">
        <v>7</v>
      </c>
      <c r="M119" t="s">
        <v>8</v>
      </c>
      <c r="N119" t="s">
        <v>7</v>
      </c>
      <c r="P119">
        <f t="shared" ref="P119" si="570">IF(C119=D119,0,((E119-D119)-(C119-E119))/(C119-D119))</f>
        <v>6.4102564102564014E-2</v>
      </c>
      <c r="Q119">
        <f t="shared" ref="Q119" si="571">F119*P119</f>
        <v>3251.4062820512777</v>
      </c>
      <c r="R119">
        <f t="shared" ref="R119" si="572">R120+Q119</f>
        <v>4388720.9017336229</v>
      </c>
      <c r="S119">
        <f t="shared" ref="S119" si="573">R119/100000</f>
        <v>43.887209017336232</v>
      </c>
      <c r="T119">
        <f t="shared" ref="T119" si="574">S119/1000</f>
        <v>4.3887209017336233E-2</v>
      </c>
    </row>
    <row r="120" spans="1:20" x14ac:dyDescent="0.25">
      <c r="A120" s="5">
        <v>44473</v>
      </c>
      <c r="B120">
        <v>346.1</v>
      </c>
      <c r="C120">
        <v>347.1</v>
      </c>
      <c r="D120">
        <v>324.3</v>
      </c>
      <c r="E120">
        <v>338.2</v>
      </c>
      <c r="F120">
        <v>58183.372000000003</v>
      </c>
      <c r="G120">
        <v>338.2</v>
      </c>
      <c r="L120" t="s">
        <v>7</v>
      </c>
      <c r="M120" t="s">
        <v>8</v>
      </c>
      <c r="N120" t="s">
        <v>7</v>
      </c>
      <c r="P120">
        <f t="shared" ref="P120" si="575">IF(C120=D120,0,((E120-D120)-(C120-E120))/(C120-D120))</f>
        <v>0.21929824561403249</v>
      </c>
      <c r="Q120">
        <f t="shared" ref="Q120" si="576">F120*P120</f>
        <v>12759.511403508623</v>
      </c>
      <c r="R120">
        <f t="shared" ref="R120" si="577">R121+Q120</f>
        <v>4385469.4954515714</v>
      </c>
      <c r="S120">
        <f t="shared" ref="S120" si="578">R120/100000</f>
        <v>43.854694954515715</v>
      </c>
      <c r="T120">
        <f t="shared" ref="T120" si="579">S120/1000</f>
        <v>4.3854694954515716E-2</v>
      </c>
    </row>
    <row r="121" spans="1:20" x14ac:dyDescent="0.25">
      <c r="A121" s="5">
        <v>44472</v>
      </c>
      <c r="B121">
        <v>352.9</v>
      </c>
      <c r="C121">
        <v>357.3</v>
      </c>
      <c r="D121">
        <v>341.7</v>
      </c>
      <c r="E121">
        <v>345.9</v>
      </c>
      <c r="F121">
        <v>40998.283000000003</v>
      </c>
      <c r="G121">
        <v>345.9</v>
      </c>
      <c r="L121" t="s">
        <v>8</v>
      </c>
      <c r="M121" t="s">
        <v>8</v>
      </c>
      <c r="N121" t="s">
        <v>7</v>
      </c>
      <c r="P121">
        <f t="shared" ref="P121" si="580">IF(C121=D121,0,((E121-D121)-(C121-E121))/(C121-D121))</f>
        <v>-0.46153846153846378</v>
      </c>
      <c r="Q121">
        <f t="shared" ref="Q121" si="581">F121*P121</f>
        <v>-18922.284461538555</v>
      </c>
      <c r="R121">
        <f t="shared" ref="R121" si="582">R122+Q121</f>
        <v>4372709.9840480629</v>
      </c>
      <c r="S121">
        <f t="shared" ref="S121" si="583">R121/100000</f>
        <v>43.727099840480626</v>
      </c>
      <c r="T121">
        <f t="shared" ref="T121" si="584">S121/1000</f>
        <v>4.3727099840480628E-2</v>
      </c>
    </row>
    <row r="122" spans="1:20" x14ac:dyDescent="0.25">
      <c r="A122" s="5">
        <v>44471</v>
      </c>
      <c r="B122">
        <v>348.9</v>
      </c>
      <c r="C122">
        <v>364.9</v>
      </c>
      <c r="D122">
        <v>340.8</v>
      </c>
      <c r="E122">
        <v>353</v>
      </c>
      <c r="F122">
        <v>56601.277999999998</v>
      </c>
      <c r="G122">
        <v>353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1.2448132780083478E-2</v>
      </c>
      <c r="Q122">
        <f t="shared" ref="Q122" si="586">F122*P122</f>
        <v>704.58022406641771</v>
      </c>
      <c r="R122">
        <f t="shared" ref="R122" si="587">R123+Q122</f>
        <v>4391632.2685096012</v>
      </c>
      <c r="S122">
        <f t="shared" ref="S122" si="588">R122/100000</f>
        <v>43.916322685096013</v>
      </c>
      <c r="T122">
        <f t="shared" ref="T122" si="589">S122/1000</f>
        <v>4.3916322685096015E-2</v>
      </c>
    </row>
    <row r="123" spans="1:20" x14ac:dyDescent="0.25">
      <c r="A123" s="5">
        <v>44470</v>
      </c>
      <c r="B123">
        <v>331.3</v>
      </c>
      <c r="C123">
        <v>353.8</v>
      </c>
      <c r="D123">
        <v>328.5</v>
      </c>
      <c r="E123">
        <v>349</v>
      </c>
      <c r="F123">
        <v>85618.853000000003</v>
      </c>
      <c r="G123">
        <v>349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0.62055335968379377</v>
      </c>
      <c r="Q123">
        <f t="shared" ref="Q123" si="591">F123*P123</f>
        <v>53131.06688142287</v>
      </c>
      <c r="R123">
        <f t="shared" ref="R123" si="592">R124+Q123</f>
        <v>4390927.6882855352</v>
      </c>
      <c r="S123">
        <f t="shared" ref="S123" si="593">R123/100000</f>
        <v>43.909276882855352</v>
      </c>
      <c r="T123">
        <f t="shared" ref="T123" si="594">S123/1000</f>
        <v>4.3909276882855348E-2</v>
      </c>
    </row>
    <row r="124" spans="1:20" x14ac:dyDescent="0.25">
      <c r="A124" s="5">
        <v>44469</v>
      </c>
      <c r="B124">
        <v>322.5</v>
      </c>
      <c r="C124">
        <v>337.5</v>
      </c>
      <c r="D124">
        <v>320.7</v>
      </c>
      <c r="E124">
        <v>331.4</v>
      </c>
      <c r="F124">
        <v>71401.834000000003</v>
      </c>
      <c r="G124">
        <v>331.4</v>
      </c>
      <c r="L124" t="s">
        <v>8</v>
      </c>
      <c r="M124" t="s">
        <v>7</v>
      </c>
      <c r="N124" t="s">
        <v>7</v>
      </c>
      <c r="P124">
        <f t="shared" ref="P124" si="595">IF(C124=D124,0,((E124-D124)-(C124-E124))/(C124-D124))</f>
        <v>0.27380952380952162</v>
      </c>
      <c r="Q124">
        <f t="shared" ref="Q124" si="596">F124*P124</f>
        <v>19550.502166666512</v>
      </c>
      <c r="R124">
        <f t="shared" ref="R124" si="597">R125+Q124</f>
        <v>4337796.6214041123</v>
      </c>
      <c r="S124">
        <f t="shared" ref="S124" si="598">R124/100000</f>
        <v>43.377966214041123</v>
      </c>
      <c r="T124">
        <f t="shared" ref="T124" si="599">S124/1000</f>
        <v>4.3377966214041122E-2</v>
      </c>
    </row>
    <row r="125" spans="1:20" x14ac:dyDescent="0.25">
      <c r="A125" s="5">
        <v>44468</v>
      </c>
      <c r="B125">
        <v>318</v>
      </c>
      <c r="C125">
        <v>341.7</v>
      </c>
      <c r="D125">
        <v>314</v>
      </c>
      <c r="E125">
        <v>322.5</v>
      </c>
      <c r="F125">
        <v>78446.706999999995</v>
      </c>
      <c r="G125">
        <v>322.5</v>
      </c>
      <c r="L125" t="s">
        <v>8</v>
      </c>
      <c r="M125" t="s">
        <v>7</v>
      </c>
      <c r="N125" t="s">
        <v>7</v>
      </c>
      <c r="P125">
        <f t="shared" ref="P125" si="600">IF(C125=D125,0,((E125-D125)-(C125-E125))/(C125-D125))</f>
        <v>-0.3862815884476532</v>
      </c>
      <c r="Q125">
        <f t="shared" ref="Q125" si="601">F125*P125</f>
        <v>-30302.518588447634</v>
      </c>
      <c r="R125">
        <f t="shared" ref="R125" si="602">R126+Q125</f>
        <v>4318246.1192374462</v>
      </c>
      <c r="S125">
        <f t="shared" ref="S125" si="603">R125/100000</f>
        <v>43.182461192374461</v>
      </c>
      <c r="T125">
        <f t="shared" ref="T125" si="604">S125/1000</f>
        <v>4.3182461192374462E-2</v>
      </c>
    </row>
    <row r="126" spans="1:20" x14ac:dyDescent="0.25">
      <c r="A126" s="5">
        <v>44467</v>
      </c>
      <c r="B126">
        <v>315.60000000000002</v>
      </c>
      <c r="C126">
        <v>344.6</v>
      </c>
      <c r="D126">
        <v>308.3</v>
      </c>
      <c r="E126">
        <v>317.8</v>
      </c>
      <c r="F126">
        <v>133484.99299999999</v>
      </c>
      <c r="G126">
        <v>317.8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-0.47658402203856765</v>
      </c>
      <c r="Q126">
        <f t="shared" ref="Q126" si="606">F126*P126</f>
        <v>-63616.814845730041</v>
      </c>
      <c r="R126">
        <f t="shared" ref="R126" si="607">R127+Q126</f>
        <v>4348548.6378258942</v>
      </c>
      <c r="S126">
        <f t="shared" ref="S126" si="608">R126/100000</f>
        <v>43.48548637825894</v>
      </c>
      <c r="T126">
        <f t="shared" ref="T126" si="609">S126/1000</f>
        <v>4.3485486378258942E-2</v>
      </c>
    </row>
    <row r="127" spans="1:20" x14ac:dyDescent="0.25">
      <c r="A127" s="5">
        <v>44466</v>
      </c>
      <c r="B127">
        <v>323.89999999999998</v>
      </c>
      <c r="C127">
        <v>346.7</v>
      </c>
      <c r="D127">
        <v>314</v>
      </c>
      <c r="E127">
        <v>315.39999999999998</v>
      </c>
      <c r="F127">
        <v>82197.648000000001</v>
      </c>
      <c r="G127">
        <v>315.39999999999998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-0.91437308868501666</v>
      </c>
      <c r="Q127">
        <f t="shared" ref="Q127" si="611">F127*P127</f>
        <v>-75159.317284403776</v>
      </c>
      <c r="R127">
        <f t="shared" ref="R127" si="612">R128+Q127</f>
        <v>4412165.4526716238</v>
      </c>
      <c r="S127">
        <f t="shared" ref="S127" si="613">R127/100000</f>
        <v>44.121654526716235</v>
      </c>
      <c r="T127">
        <f t="shared" ref="T127" si="614">S127/1000</f>
        <v>4.4121654526716236E-2</v>
      </c>
    </row>
    <row r="128" spans="1:20" x14ac:dyDescent="0.25">
      <c r="A128" s="5">
        <v>44465</v>
      </c>
      <c r="B128">
        <v>326.8</v>
      </c>
      <c r="C128">
        <v>333.4</v>
      </c>
      <c r="D128">
        <v>300.8</v>
      </c>
      <c r="E128">
        <v>324</v>
      </c>
      <c r="F128">
        <v>76786.168999999994</v>
      </c>
      <c r="G128">
        <v>324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0.4233128834355836</v>
      </c>
      <c r="Q128">
        <f t="shared" ref="Q128" si="616">F128*P128</f>
        <v>32504.574607362021</v>
      </c>
      <c r="R128">
        <f t="shared" ref="R128" si="617">R129+Q128</f>
        <v>4487324.7699560272</v>
      </c>
      <c r="S128">
        <f t="shared" ref="S128" si="618">R128/100000</f>
        <v>44.873247699560274</v>
      </c>
      <c r="T128">
        <f t="shared" ref="T128" si="619">S128/1000</f>
        <v>4.4873247699560276E-2</v>
      </c>
    </row>
    <row r="129" spans="1:20" x14ac:dyDescent="0.25">
      <c r="A129" s="5">
        <v>44464</v>
      </c>
      <c r="B129">
        <v>332.4</v>
      </c>
      <c r="C129">
        <v>339.3</v>
      </c>
      <c r="D129">
        <v>320.60000000000002</v>
      </c>
      <c r="E129">
        <v>327</v>
      </c>
      <c r="F129">
        <v>54682.563999999998</v>
      </c>
      <c r="G129">
        <v>327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-0.31550802139037637</v>
      </c>
      <c r="Q129">
        <f t="shared" ref="Q129" si="621">F129*P129</f>
        <v>-17252.787572192625</v>
      </c>
      <c r="R129">
        <f t="shared" ref="R129" si="622">R130+Q129</f>
        <v>4454820.1953486651</v>
      </c>
      <c r="S129">
        <f t="shared" ref="S129" si="623">R129/100000</f>
        <v>44.548201953486654</v>
      </c>
      <c r="T129">
        <f t="shared" ref="T129" si="624">S129/1000</f>
        <v>4.4548201953486653E-2</v>
      </c>
    </row>
    <row r="130" spans="1:20" x14ac:dyDescent="0.25">
      <c r="A130" s="5">
        <v>44463</v>
      </c>
      <c r="B130">
        <v>358</v>
      </c>
      <c r="C130">
        <v>365.4</v>
      </c>
      <c r="D130">
        <v>301.2</v>
      </c>
      <c r="E130">
        <v>332.5</v>
      </c>
      <c r="F130">
        <v>156631.30799999999</v>
      </c>
      <c r="G130">
        <v>332.5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-2.4922118380061777E-2</v>
      </c>
      <c r="Q130">
        <f t="shared" ref="Q130" si="626">F130*P130</f>
        <v>-3903.5839999999171</v>
      </c>
      <c r="R130">
        <f t="shared" ref="R130" si="627">R131+Q130</f>
        <v>4472072.9829208581</v>
      </c>
      <c r="S130">
        <f t="shared" ref="S130" si="628">R130/100000</f>
        <v>44.72072982920858</v>
      </c>
      <c r="T130">
        <f t="shared" ref="T130" si="629">S130/1000</f>
        <v>4.4720729829208578E-2</v>
      </c>
    </row>
    <row r="131" spans="1:20" x14ac:dyDescent="0.25">
      <c r="A131" s="5">
        <v>44462</v>
      </c>
      <c r="B131">
        <v>348.3</v>
      </c>
      <c r="C131">
        <v>359</v>
      </c>
      <c r="D131">
        <v>337.4</v>
      </c>
      <c r="E131">
        <v>357.8</v>
      </c>
      <c r="F131">
        <v>79439.813999999998</v>
      </c>
      <c r="G131">
        <v>357.8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0.88888888888889006</v>
      </c>
      <c r="Q131">
        <f t="shared" ref="Q131" si="631">F131*P131</f>
        <v>70613.168000000092</v>
      </c>
      <c r="R131">
        <f t="shared" ref="R131" si="632">R132+Q131</f>
        <v>4475976.5669208579</v>
      </c>
      <c r="S131">
        <f t="shared" ref="S131" si="633">R131/100000</f>
        <v>44.759765669208576</v>
      </c>
      <c r="T131">
        <f t="shared" ref="T131" si="634">S131/1000</f>
        <v>4.4759765669208577E-2</v>
      </c>
    </row>
    <row r="132" spans="1:20" x14ac:dyDescent="0.25">
      <c r="A132" s="5">
        <v>44461</v>
      </c>
      <c r="B132">
        <v>306.3</v>
      </c>
      <c r="C132">
        <v>352.2</v>
      </c>
      <c r="D132">
        <v>298.60000000000002</v>
      </c>
      <c r="E132">
        <v>348.2</v>
      </c>
      <c r="F132">
        <v>130630.806</v>
      </c>
      <c r="G132">
        <v>348.2</v>
      </c>
      <c r="L132" t="s">
        <v>8</v>
      </c>
      <c r="M132" t="s">
        <v>8</v>
      </c>
      <c r="N132" t="s">
        <v>7</v>
      </c>
      <c r="P132">
        <f t="shared" ref="P132" si="635">IF(C132=D132,0,((E132-D132)-(C132-E132))/(C132-D132))</f>
        <v>0.85074626865671632</v>
      </c>
      <c r="Q132">
        <f t="shared" ref="Q132" si="636">F132*P132</f>
        <v>111133.67077611938</v>
      </c>
      <c r="R132">
        <f t="shared" ref="R132" si="637">R133+Q132</f>
        <v>4405363.3989208573</v>
      </c>
      <c r="S132">
        <f t="shared" ref="S132" si="638">R132/100000</f>
        <v>44.053633989208571</v>
      </c>
      <c r="T132">
        <f t="shared" ref="T132" si="639">S132/1000</f>
        <v>4.4053633989208571E-2</v>
      </c>
    </row>
    <row r="133" spans="1:20" x14ac:dyDescent="0.25">
      <c r="A133" s="5">
        <v>44460</v>
      </c>
      <c r="B133">
        <v>332.8</v>
      </c>
      <c r="C133">
        <v>349.4</v>
      </c>
      <c r="D133">
        <v>296.8</v>
      </c>
      <c r="E133">
        <v>306.10000000000002</v>
      </c>
      <c r="F133">
        <v>143877.83199999999</v>
      </c>
      <c r="G133">
        <v>306.10000000000002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-0.64638783269961908</v>
      </c>
      <c r="Q133">
        <f t="shared" ref="Q133" si="641">F133*P133</f>
        <v>-93000.879999999903</v>
      </c>
      <c r="R133">
        <f t="shared" ref="R133" si="642">R134+Q133</f>
        <v>4294229.7281447379</v>
      </c>
      <c r="S133">
        <f t="shared" ref="S133" si="643">R133/100000</f>
        <v>42.942297281447381</v>
      </c>
      <c r="T133">
        <f t="shared" ref="T133" si="644">S133/1000</f>
        <v>4.2942297281447384E-2</v>
      </c>
    </row>
    <row r="134" spans="1:20" x14ac:dyDescent="0.25">
      <c r="A134" s="5">
        <v>44459</v>
      </c>
      <c r="B134">
        <v>400.7</v>
      </c>
      <c r="C134">
        <v>402.3</v>
      </c>
      <c r="D134">
        <v>355.4</v>
      </c>
      <c r="E134">
        <v>359.4</v>
      </c>
      <c r="F134">
        <v>61130.953999999998</v>
      </c>
      <c r="G134">
        <v>359.4</v>
      </c>
      <c r="L134" t="s">
        <v>7</v>
      </c>
      <c r="M134" t="s">
        <v>7</v>
      </c>
      <c r="N134" t="s">
        <v>8</v>
      </c>
      <c r="P134">
        <f t="shared" ref="P134" si="645">IF(C134=D134,0,((E134-D134)-(C134-E134))/(C134-D134))</f>
        <v>-0.82942430703624748</v>
      </c>
      <c r="Q134">
        <f t="shared" ref="Q134" si="646">F134*P134</f>
        <v>-50703.499159914718</v>
      </c>
      <c r="R134">
        <f t="shared" ref="R134" si="647">R135+Q134</f>
        <v>4387230.6081447378</v>
      </c>
      <c r="S134">
        <f t="shared" ref="S134" si="648">R134/100000</f>
        <v>43.872306081447377</v>
      </c>
      <c r="T134">
        <f t="shared" ref="T134" si="649">S134/1000</f>
        <v>4.3872306081447376E-2</v>
      </c>
    </row>
    <row r="135" spans="1:20" x14ac:dyDescent="0.25">
      <c r="A135" s="5">
        <v>44458</v>
      </c>
      <c r="B135">
        <v>418.6</v>
      </c>
      <c r="C135">
        <v>424</v>
      </c>
      <c r="D135">
        <v>395</v>
      </c>
      <c r="E135">
        <v>400.6</v>
      </c>
      <c r="F135">
        <v>55317.402000000002</v>
      </c>
      <c r="G135">
        <v>400.6</v>
      </c>
      <c r="L135" t="s">
        <v>7</v>
      </c>
      <c r="M135" t="s">
        <v>7</v>
      </c>
      <c r="N135" t="s">
        <v>8</v>
      </c>
      <c r="P135">
        <f t="shared" ref="P135" si="650">IF(C135=D135,0,((E135-D135)-(C135-E135))/(C135-D135))</f>
        <v>-0.61379310344827431</v>
      </c>
      <c r="Q135">
        <f t="shared" ref="Q135" si="651">F135*P135</f>
        <v>-33953.439848275775</v>
      </c>
      <c r="R135">
        <f t="shared" ref="R135" si="652">R136+Q135</f>
        <v>4437934.1073046522</v>
      </c>
      <c r="S135">
        <f t="shared" ref="S135" si="653">R135/100000</f>
        <v>44.379341073046525</v>
      </c>
      <c r="T135">
        <f t="shared" ref="T135" si="654">S135/1000</f>
        <v>4.4379341073046523E-2</v>
      </c>
    </row>
    <row r="136" spans="1:20" x14ac:dyDescent="0.25">
      <c r="A136" s="5">
        <v>44457</v>
      </c>
      <c r="B136">
        <v>389.9</v>
      </c>
      <c r="C136">
        <v>421.8</v>
      </c>
      <c r="D136">
        <v>385.2</v>
      </c>
      <c r="E136">
        <v>418.6</v>
      </c>
      <c r="F136">
        <v>77518.752999999997</v>
      </c>
      <c r="G136">
        <v>418.6</v>
      </c>
      <c r="L136" t="s">
        <v>8</v>
      </c>
      <c r="M136" t="s">
        <v>7</v>
      </c>
      <c r="N136" t="s">
        <v>8</v>
      </c>
      <c r="P136">
        <f t="shared" ref="P136" si="655">IF(C136=D136,0,((E136-D136)-(C136-E136))/(C136-D136))</f>
        <v>0.82513661202185862</v>
      </c>
      <c r="Q136">
        <f t="shared" ref="Q136" si="656">F136*P136</f>
        <v>63963.561218579285</v>
      </c>
      <c r="R136">
        <f t="shared" ref="R136" si="657">R137+Q136</f>
        <v>4471887.5471529281</v>
      </c>
      <c r="S136">
        <f t="shared" ref="S136" si="658">R136/100000</f>
        <v>44.71887547152928</v>
      </c>
      <c r="T136">
        <f t="shared" ref="T136" si="659">S136/1000</f>
        <v>4.4718875471529279E-2</v>
      </c>
    </row>
    <row r="137" spans="1:20" x14ac:dyDescent="0.25">
      <c r="A137" s="5">
        <v>44456</v>
      </c>
      <c r="B137">
        <v>409.3</v>
      </c>
      <c r="C137">
        <v>417.3</v>
      </c>
      <c r="D137">
        <v>384</v>
      </c>
      <c r="E137">
        <v>389.9</v>
      </c>
      <c r="F137">
        <v>81771.614000000001</v>
      </c>
      <c r="G137">
        <v>389.9</v>
      </c>
      <c r="L137" t="s">
        <v>7</v>
      </c>
      <c r="M137" t="s">
        <v>7</v>
      </c>
      <c r="N137" t="s">
        <v>8</v>
      </c>
      <c r="P137">
        <f t="shared" ref="P137" si="660">IF(C137=D137,0,((E137-D137)-(C137-E137))/(C137-D137))</f>
        <v>-0.64564564564564708</v>
      </c>
      <c r="Q137">
        <f t="shared" ref="Q137" si="661">F137*P137</f>
        <v>-52795.486516516634</v>
      </c>
      <c r="R137">
        <f t="shared" ref="R137" si="662">R138+Q137</f>
        <v>4407923.9859343488</v>
      </c>
      <c r="S137">
        <f t="shared" ref="S137" si="663">R137/100000</f>
        <v>44.079239859343488</v>
      </c>
      <c r="T137">
        <f t="shared" ref="T137" si="664">S137/1000</f>
        <v>4.4079239859343491E-2</v>
      </c>
    </row>
    <row r="138" spans="1:20" x14ac:dyDescent="0.25">
      <c r="A138" s="5">
        <v>44455</v>
      </c>
      <c r="B138">
        <v>428.9</v>
      </c>
      <c r="C138">
        <v>441.1</v>
      </c>
      <c r="D138">
        <v>400.4</v>
      </c>
      <c r="E138">
        <v>409.4</v>
      </c>
      <c r="F138">
        <v>119067.531</v>
      </c>
      <c r="G138">
        <v>409.4</v>
      </c>
      <c r="L138" t="s">
        <v>7</v>
      </c>
      <c r="M138" t="s">
        <v>7</v>
      </c>
      <c r="N138" t="s">
        <v>8</v>
      </c>
      <c r="P138">
        <f t="shared" ref="P138" si="665">IF(C138=D138,0,((E138-D138)-(C138-E138))/(C138-D138))</f>
        <v>-0.55773955773955819</v>
      </c>
      <c r="Q138">
        <f t="shared" ref="Q138" si="666">F138*P138</f>
        <v>-66408.672081081138</v>
      </c>
      <c r="R138">
        <f t="shared" ref="R138" si="667">R139+Q138</f>
        <v>4460719.4724508654</v>
      </c>
      <c r="S138">
        <f t="shared" ref="S138" si="668">R138/100000</f>
        <v>44.607194724508652</v>
      </c>
      <c r="T138">
        <f t="shared" ref="T138" si="669">S138/1000</f>
        <v>4.460719472450865E-2</v>
      </c>
    </row>
    <row r="139" spans="1:20" x14ac:dyDescent="0.25">
      <c r="A139" s="5">
        <v>44454</v>
      </c>
      <c r="B139">
        <v>418.2</v>
      </c>
      <c r="C139">
        <v>435</v>
      </c>
      <c r="D139">
        <v>405</v>
      </c>
      <c r="E139">
        <v>428.7</v>
      </c>
      <c r="F139">
        <v>94358.236000000004</v>
      </c>
      <c r="G139">
        <v>428.7</v>
      </c>
      <c r="L139" t="s">
        <v>7</v>
      </c>
      <c r="M139" t="s">
        <v>7</v>
      </c>
      <c r="N139" t="s">
        <v>8</v>
      </c>
      <c r="P139">
        <f t="shared" ref="P139" si="670">IF(C139=D139,0,((E139-D139)-(C139-E139))/(C139-D139))</f>
        <v>0.57999999999999929</v>
      </c>
      <c r="Q139">
        <f t="shared" ref="Q139" si="671">F139*P139</f>
        <v>54727.776879999939</v>
      </c>
      <c r="R139">
        <f t="shared" ref="R139" si="672">R140+Q139</f>
        <v>4527128.1445319466</v>
      </c>
      <c r="S139">
        <f t="shared" ref="S139" si="673">R139/100000</f>
        <v>45.271281445319467</v>
      </c>
      <c r="T139">
        <f t="shared" ref="T139" si="674">S139/1000</f>
        <v>4.5271281445319465E-2</v>
      </c>
    </row>
    <row r="140" spans="1:20" x14ac:dyDescent="0.25">
      <c r="A140" s="5">
        <v>44453</v>
      </c>
      <c r="B140">
        <v>404.6</v>
      </c>
      <c r="C140">
        <v>438.8</v>
      </c>
      <c r="D140">
        <v>396.2</v>
      </c>
      <c r="E140">
        <v>418.1</v>
      </c>
      <c r="F140">
        <v>142492.32999999999</v>
      </c>
      <c r="G140">
        <v>418.1</v>
      </c>
      <c r="L140" t="s">
        <v>8</v>
      </c>
      <c r="M140" t="s">
        <v>7</v>
      </c>
      <c r="N140" t="s">
        <v>8</v>
      </c>
      <c r="P140">
        <f t="shared" ref="P140" si="675">IF(C140=D140,0,((E140-D140)-(C140-E140))/(C140-D140))</f>
        <v>2.8169014084508094E-2</v>
      </c>
      <c r="Q140">
        <f t="shared" ref="Q140" si="676">F140*P140</f>
        <v>4013.8684507043749</v>
      </c>
      <c r="R140">
        <f t="shared" ref="R140" si="677">R141+Q140</f>
        <v>4472400.3676519468</v>
      </c>
      <c r="S140">
        <f t="shared" ref="S140" si="678">R140/100000</f>
        <v>44.724003676519466</v>
      </c>
      <c r="T140">
        <f t="shared" ref="T140" si="679">S140/1000</f>
        <v>4.4724003676519464E-2</v>
      </c>
    </row>
    <row r="141" spans="1:20" x14ac:dyDescent="0.25">
      <c r="A141" s="5">
        <v>44452</v>
      </c>
      <c r="B141">
        <v>434.3</v>
      </c>
      <c r="C141">
        <v>446.7</v>
      </c>
      <c r="D141">
        <v>376.5</v>
      </c>
      <c r="E141">
        <v>404.8</v>
      </c>
      <c r="F141">
        <v>236875.25</v>
      </c>
      <c r="G141">
        <v>404.8</v>
      </c>
      <c r="L141" t="s">
        <v>7</v>
      </c>
      <c r="M141" t="s">
        <v>7</v>
      </c>
      <c r="N141" t="s">
        <v>8</v>
      </c>
      <c r="P141">
        <f t="shared" ref="P141" si="680">IF(C141=D141,0,((E141-D141)-(C141-E141))/(C141-D141))</f>
        <v>-0.19373219373219328</v>
      </c>
      <c r="Q141">
        <f t="shared" ref="Q141" si="681">F141*P141</f>
        <v>-45890.361823361716</v>
      </c>
      <c r="R141">
        <f t="shared" ref="R141" si="682">R142+Q141</f>
        <v>4468386.4992012428</v>
      </c>
      <c r="S141">
        <f t="shared" ref="S141" si="683">R141/100000</f>
        <v>44.683864992012431</v>
      </c>
      <c r="T141">
        <f t="shared" ref="T141" si="684">S141/1000</f>
        <v>4.4683864992012434E-2</v>
      </c>
    </row>
    <row r="142" spans="1:20" x14ac:dyDescent="0.25">
      <c r="A142" s="5">
        <v>44451</v>
      </c>
      <c r="B142">
        <v>419</v>
      </c>
      <c r="C142">
        <v>451.7</v>
      </c>
      <c r="D142">
        <v>404.8</v>
      </c>
      <c r="E142">
        <v>434.4</v>
      </c>
      <c r="F142">
        <v>331057.78379999998</v>
      </c>
      <c r="G142">
        <v>434.4</v>
      </c>
      <c r="L142" t="s">
        <v>8</v>
      </c>
      <c r="M142" t="s">
        <v>8</v>
      </c>
      <c r="N142" t="s">
        <v>8</v>
      </c>
      <c r="P142">
        <f t="shared" ref="P142" si="685">IF(C142=D142,0,((E142-D142)-(C142-E142))/(C142-D142))</f>
        <v>0.26226012793176889</v>
      </c>
      <c r="Q142">
        <f t="shared" ref="Q142" si="686">F142*P142</f>
        <v>86823.256732195878</v>
      </c>
      <c r="R142">
        <f t="shared" ref="R142" si="687">R143+Q142</f>
        <v>4514276.8610246042</v>
      </c>
      <c r="S142">
        <f t="shared" ref="S142" si="688">R142/100000</f>
        <v>45.142768610246044</v>
      </c>
      <c r="T142">
        <f t="shared" ref="T142" si="689">S142/1000</f>
        <v>4.5142768610246041E-2</v>
      </c>
    </row>
    <row r="143" spans="1:20" x14ac:dyDescent="0.25">
      <c r="A143" s="5">
        <v>44450</v>
      </c>
      <c r="B143">
        <v>385.1</v>
      </c>
      <c r="C143">
        <v>425</v>
      </c>
      <c r="D143">
        <v>374.6</v>
      </c>
      <c r="E143">
        <v>419</v>
      </c>
      <c r="F143">
        <v>194206.67</v>
      </c>
      <c r="G143">
        <v>419</v>
      </c>
      <c r="L143" t="s">
        <v>7</v>
      </c>
      <c r="M143" t="s">
        <v>8</v>
      </c>
      <c r="N143" t="s">
        <v>8</v>
      </c>
      <c r="P143">
        <f t="shared" ref="P143" si="690">IF(C143=D143,0,((E143-D143)-(C143-E143))/(C143-D143))</f>
        <v>0.76190476190476175</v>
      </c>
      <c r="Q143">
        <f t="shared" ref="Q143" si="691">F143*P143</f>
        <v>147966.98666666663</v>
      </c>
      <c r="R143">
        <f t="shared" ref="R143" si="692">R144+Q143</f>
        <v>4427453.6042924086</v>
      </c>
      <c r="S143">
        <f t="shared" ref="S143" si="693">R143/100000</f>
        <v>44.274536042924083</v>
      </c>
      <c r="T143">
        <f t="shared" ref="T143" si="694">S143/1000</f>
        <v>4.4274536042924084E-2</v>
      </c>
    </row>
    <row r="144" spans="1:20" x14ac:dyDescent="0.25">
      <c r="A144" s="5">
        <v>44449</v>
      </c>
      <c r="B144">
        <v>389.7</v>
      </c>
      <c r="C144">
        <v>425</v>
      </c>
      <c r="D144">
        <v>355</v>
      </c>
      <c r="E144">
        <v>385.1</v>
      </c>
      <c r="F144">
        <v>360583.85100000002</v>
      </c>
      <c r="G144">
        <v>385.1</v>
      </c>
      <c r="L144" t="s">
        <v>8</v>
      </c>
      <c r="M144" t="s">
        <v>8</v>
      </c>
      <c r="N144" t="s">
        <v>8</v>
      </c>
      <c r="P144">
        <f t="shared" ref="P144" si="695">IF(C144=D144,0,((E144-D144)-(C144-E144))/(C144-D144))</f>
        <v>-0.13999999999999935</v>
      </c>
      <c r="Q144">
        <f t="shared" ref="Q144" si="696">F144*P144</f>
        <v>-50481.739139999765</v>
      </c>
      <c r="R144">
        <f t="shared" ref="R144" si="697">R145+Q144</f>
        <v>4279486.6176257422</v>
      </c>
      <c r="S144">
        <f t="shared" ref="S144" si="698">R144/100000</f>
        <v>42.794866176257422</v>
      </c>
      <c r="T144">
        <f t="shared" ref="T144" si="699">S144/1000</f>
        <v>4.2794866176257419E-2</v>
      </c>
    </row>
    <row r="145" spans="1:20" x14ac:dyDescent="0.25">
      <c r="A145" s="5">
        <v>44448</v>
      </c>
      <c r="B145">
        <v>341.5</v>
      </c>
      <c r="C145">
        <v>394</v>
      </c>
      <c r="D145">
        <v>325.5</v>
      </c>
      <c r="E145">
        <v>389.6</v>
      </c>
      <c r="F145">
        <v>241619.462</v>
      </c>
      <c r="G145">
        <v>389.6</v>
      </c>
      <c r="L145" t="s">
        <v>8</v>
      </c>
      <c r="M145" t="s">
        <v>8</v>
      </c>
      <c r="N145" t="s">
        <v>8</v>
      </c>
      <c r="P145">
        <f t="shared" ref="P145" si="700">IF(C145=D145,0,((E145-D145)-(C145-E145))/(C145-D145))</f>
        <v>0.87153284671532916</v>
      </c>
      <c r="Q145">
        <f t="shared" ref="Q145" si="701">F145*P145</f>
        <v>210579.29753868631</v>
      </c>
      <c r="R145">
        <f t="shared" ref="R145" si="702">R146+Q145</f>
        <v>4329968.3567657424</v>
      </c>
      <c r="S145">
        <f t="shared" ref="S145" si="703">R145/100000</f>
        <v>43.299683567657425</v>
      </c>
      <c r="T145">
        <f t="shared" ref="T145" si="704">S145/1000</f>
        <v>4.3299683567657427E-2</v>
      </c>
    </row>
    <row r="146" spans="1:20" x14ac:dyDescent="0.25">
      <c r="A146" s="5">
        <v>44447</v>
      </c>
      <c r="B146">
        <v>331.2</v>
      </c>
      <c r="C146">
        <v>356.8</v>
      </c>
      <c r="D146">
        <v>307.10000000000002</v>
      </c>
      <c r="E146">
        <v>341.7</v>
      </c>
      <c r="F146">
        <v>218132.45699999999</v>
      </c>
      <c r="G146">
        <v>341.7</v>
      </c>
      <c r="L146" t="s">
        <v>8</v>
      </c>
      <c r="M146" t="s">
        <v>8</v>
      </c>
      <c r="N146" t="s">
        <v>7</v>
      </c>
      <c r="P146">
        <f t="shared" ref="P146" si="705">IF(C146=D146,0,((E146-D146)-(C146-E146))/(C146-D146))</f>
        <v>0.39235412474848991</v>
      </c>
      <c r="Q146">
        <f t="shared" ref="Q146" si="706">F146*P146</f>
        <v>85585.169245472614</v>
      </c>
      <c r="R146">
        <f t="shared" ref="R146" si="707">R147+Q146</f>
        <v>4119389.0592270559</v>
      </c>
      <c r="S146">
        <f t="shared" ref="S146" si="708">R146/100000</f>
        <v>41.193890592270556</v>
      </c>
      <c r="T146">
        <f t="shared" ref="T146" si="709">S146/1000</f>
        <v>4.1193890592270556E-2</v>
      </c>
    </row>
    <row r="147" spans="1:20" x14ac:dyDescent="0.25">
      <c r="A147" s="5">
        <v>44446</v>
      </c>
      <c r="B147">
        <v>395.5</v>
      </c>
      <c r="C147">
        <v>398.1</v>
      </c>
      <c r="D147">
        <v>276</v>
      </c>
      <c r="E147">
        <v>330.9</v>
      </c>
      <c r="F147">
        <v>354268.58</v>
      </c>
      <c r="G147">
        <v>330.9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-0.10073710073710128</v>
      </c>
      <c r="Q147">
        <f t="shared" ref="Q147" si="711">F147*P147</f>
        <v>-35687.989631449826</v>
      </c>
      <c r="R147">
        <f t="shared" ref="R147" si="712">R148+Q147</f>
        <v>4033803.8899815832</v>
      </c>
      <c r="S147">
        <f t="shared" ref="S147" si="713">R147/100000</f>
        <v>40.338038899815835</v>
      </c>
      <c r="T147">
        <f t="shared" ref="T147" si="714">S147/1000</f>
        <v>4.0338038899815833E-2</v>
      </c>
    </row>
    <row r="148" spans="1:20" x14ac:dyDescent="0.25">
      <c r="A148" s="5">
        <v>44445</v>
      </c>
      <c r="B148">
        <v>402.7</v>
      </c>
      <c r="C148">
        <v>409</v>
      </c>
      <c r="D148">
        <v>371</v>
      </c>
      <c r="E148">
        <v>395.5</v>
      </c>
      <c r="F148">
        <v>149841.30300000001</v>
      </c>
      <c r="G148">
        <v>395.5</v>
      </c>
      <c r="L148" t="s">
        <v>7</v>
      </c>
      <c r="M148" t="s">
        <v>8</v>
      </c>
      <c r="N148" t="s">
        <v>8</v>
      </c>
      <c r="P148">
        <f t="shared" ref="P148" si="715">IF(C148=D148,0,((E148-D148)-(C148-E148))/(C148-D148))</f>
        <v>0.28947368421052633</v>
      </c>
      <c r="Q148">
        <f t="shared" ref="Q148" si="716">F148*P148</f>
        <v>43375.114026315794</v>
      </c>
      <c r="R148">
        <f t="shared" ref="R148" si="717">R149+Q148</f>
        <v>4069491.879613033</v>
      </c>
      <c r="S148">
        <f t="shared" ref="S148" si="718">R148/100000</f>
        <v>40.694918796130331</v>
      </c>
      <c r="T148">
        <f t="shared" ref="T148" si="719">S148/1000</f>
        <v>4.0694918796130332E-2</v>
      </c>
    </row>
    <row r="149" spans="1:20" x14ac:dyDescent="0.25">
      <c r="A149" s="5">
        <v>44444</v>
      </c>
      <c r="B149">
        <v>398</v>
      </c>
      <c r="C149">
        <v>409.1</v>
      </c>
      <c r="D149">
        <v>386.2</v>
      </c>
      <c r="E149">
        <v>402.5</v>
      </c>
      <c r="F149">
        <v>116925.81299999999</v>
      </c>
      <c r="G149">
        <v>402.5</v>
      </c>
      <c r="L149" t="s">
        <v>7</v>
      </c>
      <c r="M149" t="s">
        <v>8</v>
      </c>
      <c r="N149" t="s">
        <v>8</v>
      </c>
      <c r="P149">
        <f t="shared" ref="P149" si="720">IF(C149=D149,0,((E149-D149)-(C149-E149))/(C149-D149))</f>
        <v>0.42358078602619975</v>
      </c>
      <c r="Q149">
        <f t="shared" ref="Q149" si="721">F149*P149</f>
        <v>49527.527777292446</v>
      </c>
      <c r="R149">
        <f t="shared" ref="R149" si="722">R150+Q149</f>
        <v>4026116.7655867171</v>
      </c>
      <c r="S149">
        <f t="shared" ref="S149" si="723">R149/100000</f>
        <v>40.261167655867169</v>
      </c>
      <c r="T149">
        <f t="shared" ref="T149" si="724">S149/1000</f>
        <v>4.0261167655867167E-2</v>
      </c>
    </row>
    <row r="150" spans="1:20" x14ac:dyDescent="0.25">
      <c r="A150" s="5">
        <v>44443</v>
      </c>
      <c r="B150">
        <v>406.8</v>
      </c>
      <c r="C150">
        <v>421</v>
      </c>
      <c r="D150">
        <v>395.3</v>
      </c>
      <c r="E150">
        <v>397.8</v>
      </c>
      <c r="F150">
        <v>118121.769</v>
      </c>
      <c r="G150">
        <v>397.8</v>
      </c>
      <c r="L150" t="s">
        <v>7</v>
      </c>
      <c r="M150" t="s">
        <v>8</v>
      </c>
      <c r="N150" t="s">
        <v>8</v>
      </c>
      <c r="P150">
        <f t="shared" ref="P150" si="725">IF(C150=D150,0,((E150-D150)-(C150-E150))/(C150-D150))</f>
        <v>-0.80544747081712054</v>
      </c>
      <c r="Q150">
        <f t="shared" ref="Q150" si="726">F150*P150</f>
        <v>-95140.880089494152</v>
      </c>
      <c r="R150">
        <f t="shared" ref="R150" si="727">R151+Q150</f>
        <v>3976589.2378094248</v>
      </c>
      <c r="S150">
        <f t="shared" ref="S150" si="728">R150/100000</f>
        <v>39.76589237809425</v>
      </c>
      <c r="T150">
        <f t="shared" ref="T150" si="729">S150/1000</f>
        <v>3.9765892378094247E-2</v>
      </c>
    </row>
    <row r="151" spans="1:20" x14ac:dyDescent="0.25">
      <c r="A151" s="5">
        <v>44442</v>
      </c>
      <c r="B151">
        <v>400.4</v>
      </c>
      <c r="C151">
        <v>431.8</v>
      </c>
      <c r="D151">
        <v>394</v>
      </c>
      <c r="E151">
        <v>406.7</v>
      </c>
      <c r="F151">
        <v>208400.47260000001</v>
      </c>
      <c r="G151">
        <v>406.7</v>
      </c>
      <c r="L151" t="s">
        <v>8</v>
      </c>
      <c r="M151" t="s">
        <v>8</v>
      </c>
      <c r="N151" t="s">
        <v>8</v>
      </c>
      <c r="P151">
        <f t="shared" ref="P151" si="730">IF(C151=D151,0,((E151-D151)-(C151-E151))/(C151-D151))</f>
        <v>-0.32804232804232886</v>
      </c>
      <c r="Q151">
        <f t="shared" ref="Q151" si="731">F151*P151</f>
        <v>-68364.176196825574</v>
      </c>
      <c r="R151">
        <f t="shared" ref="R151" si="732">R152+Q151</f>
        <v>4071730.1178989187</v>
      </c>
      <c r="S151">
        <f t="shared" ref="S151" si="733">R151/100000</f>
        <v>40.717301178989189</v>
      </c>
      <c r="T151">
        <f t="shared" ref="T151" si="734">S151/1000</f>
        <v>4.0717301178989189E-2</v>
      </c>
    </row>
    <row r="152" spans="1:20" x14ac:dyDescent="0.25">
      <c r="A152" s="5">
        <v>44441</v>
      </c>
      <c r="B152">
        <v>388.6</v>
      </c>
      <c r="C152">
        <v>419.9</v>
      </c>
      <c r="D152">
        <v>380</v>
      </c>
      <c r="E152">
        <v>400.2</v>
      </c>
      <c r="F152">
        <v>254516.489</v>
      </c>
      <c r="G152">
        <v>400.2</v>
      </c>
      <c r="L152" t="s">
        <v>8</v>
      </c>
      <c r="M152" t="s">
        <v>8</v>
      </c>
      <c r="N152" t="s">
        <v>8</v>
      </c>
      <c r="P152">
        <f t="shared" ref="P152" si="735">IF(C152=D152,0,((E152-D152)-(C152-E152))/(C152-D152))</f>
        <v>1.2531328320802013E-2</v>
      </c>
      <c r="Q152">
        <f t="shared" ref="Q152" si="736">F152*P152</f>
        <v>3189.4296867167941</v>
      </c>
      <c r="R152">
        <f t="shared" ref="R152" si="737">R153+Q152</f>
        <v>4140094.2940957444</v>
      </c>
      <c r="S152">
        <f t="shared" ref="S152" si="738">R152/100000</f>
        <v>41.400942940957442</v>
      </c>
      <c r="T152">
        <f t="shared" ref="T152" si="739">S152/1000</f>
        <v>4.140094294095744E-2</v>
      </c>
    </row>
    <row r="153" spans="1:20" x14ac:dyDescent="0.25">
      <c r="A153" s="5">
        <v>44440</v>
      </c>
      <c r="B153">
        <v>395.1</v>
      </c>
      <c r="C153">
        <v>420</v>
      </c>
      <c r="D153">
        <v>367</v>
      </c>
      <c r="E153">
        <v>388.6</v>
      </c>
      <c r="F153">
        <v>479435.75599999999</v>
      </c>
      <c r="G153">
        <v>388.6</v>
      </c>
      <c r="L153" t="s">
        <v>7</v>
      </c>
      <c r="M153" t="s">
        <v>8</v>
      </c>
      <c r="N153" t="s">
        <v>8</v>
      </c>
      <c r="P153">
        <f t="shared" ref="P153" si="740">IF(C153=D153,0,((E153-D153)-(C153-E153))/(C153-D153))</f>
        <v>-0.18490566037735764</v>
      </c>
      <c r="Q153">
        <f t="shared" ref="Q153" si="741">F153*P153</f>
        <v>-88650.385071697703</v>
      </c>
      <c r="R153">
        <f t="shared" ref="R153" si="742">R154+Q153</f>
        <v>4136904.8644090276</v>
      </c>
      <c r="S153">
        <f t="shared" ref="S153" si="743">R153/100000</f>
        <v>41.369048644090277</v>
      </c>
      <c r="T153">
        <f t="shared" ref="T153" si="744">S153/1000</f>
        <v>4.136904864409028E-2</v>
      </c>
    </row>
    <row r="154" spans="1:20" x14ac:dyDescent="0.25">
      <c r="A154" s="5">
        <v>44439</v>
      </c>
      <c r="B154">
        <v>298.2</v>
      </c>
      <c r="C154">
        <v>421.32</v>
      </c>
      <c r="D154">
        <v>296.39999999999998</v>
      </c>
      <c r="E154">
        <v>395.2</v>
      </c>
      <c r="F154">
        <v>790872.71880000003</v>
      </c>
      <c r="G154">
        <v>395.2</v>
      </c>
      <c r="L154" t="s">
        <v>8</v>
      </c>
      <c r="M154" t="s">
        <v>8</v>
      </c>
      <c r="N154" t="s">
        <v>8</v>
      </c>
      <c r="P154">
        <f t="shared" ref="P154" si="745">IF(C154=D154,0,((E154-D154)-(C154-E154))/(C154-D154))</f>
        <v>0.58181235991034264</v>
      </c>
      <c r="Q154">
        <f t="shared" ref="Q154" si="746">F154*P154</f>
        <v>460139.52291373682</v>
      </c>
      <c r="R154">
        <f t="shared" ref="R154" si="747">R155+Q154</f>
        <v>4225555.2494807253</v>
      </c>
      <c r="S154">
        <f t="shared" ref="S154" si="748">R154/100000</f>
        <v>42.255552494807255</v>
      </c>
      <c r="T154">
        <f t="shared" ref="T154" si="749">S154/1000</f>
        <v>4.2255552494807253E-2</v>
      </c>
    </row>
    <row r="155" spans="1:20" x14ac:dyDescent="0.25">
      <c r="A155" s="5">
        <v>44438</v>
      </c>
      <c r="B155">
        <v>296.89999999999998</v>
      </c>
      <c r="C155">
        <v>323.2</v>
      </c>
      <c r="D155">
        <v>285.7</v>
      </c>
      <c r="E155">
        <v>298.2</v>
      </c>
      <c r="F155">
        <v>360944.223</v>
      </c>
      <c r="G155">
        <v>298.2</v>
      </c>
      <c r="L155" t="s">
        <v>7</v>
      </c>
      <c r="M155" t="s">
        <v>8</v>
      </c>
      <c r="N155" t="s">
        <v>8</v>
      </c>
      <c r="P155">
        <f t="shared" ref="P155" si="750">IF(C155=D155,0,((E155-D155)-(C155-E155))/(C155-D155))</f>
        <v>-0.33333333333333331</v>
      </c>
      <c r="Q155">
        <f t="shared" ref="Q155" si="751">F155*P155</f>
        <v>-120314.74099999999</v>
      </c>
      <c r="R155">
        <f t="shared" ref="R155" si="752">R156+Q155</f>
        <v>3765415.7265669885</v>
      </c>
      <c r="S155">
        <f t="shared" ref="S155" si="753">R155/100000</f>
        <v>37.654157265669888</v>
      </c>
      <c r="T155">
        <f t="shared" ref="T155" si="754">S155/1000</f>
        <v>3.7654157265669889E-2</v>
      </c>
    </row>
    <row r="156" spans="1:20" x14ac:dyDescent="0.25">
      <c r="A156" s="5">
        <v>44437</v>
      </c>
      <c r="B156">
        <v>305.2</v>
      </c>
      <c r="C156">
        <v>327.60000000000002</v>
      </c>
      <c r="D156">
        <v>290.7</v>
      </c>
      <c r="E156">
        <v>297.10000000000002</v>
      </c>
      <c r="F156">
        <v>239249.8597</v>
      </c>
      <c r="G156">
        <v>297.10000000000002</v>
      </c>
      <c r="L156" t="s">
        <v>8</v>
      </c>
      <c r="M156" t="s">
        <v>8</v>
      </c>
      <c r="N156" t="s">
        <v>8</v>
      </c>
      <c r="P156">
        <f t="shared" ref="P156" si="755">IF(C156=D156,0,((E156-D156)-(C156-E156))/(C156-D156))</f>
        <v>-0.6531165311653101</v>
      </c>
      <c r="Q156">
        <f t="shared" ref="Q156" si="756">F156*P156</f>
        <v>-156258.03844905112</v>
      </c>
      <c r="R156">
        <f t="shared" ref="R156" si="757">R157+Q156</f>
        <v>3885730.4675669884</v>
      </c>
      <c r="S156">
        <f t="shared" ref="S156" si="758">R156/100000</f>
        <v>38.857304675669887</v>
      </c>
      <c r="T156">
        <f t="shared" ref="T156" si="759">S156/1000</f>
        <v>3.885730467566989E-2</v>
      </c>
    </row>
    <row r="157" spans="1:20" x14ac:dyDescent="0.25">
      <c r="A157" s="5">
        <v>44436</v>
      </c>
      <c r="B157">
        <v>305.60000000000002</v>
      </c>
      <c r="C157">
        <v>320.89999999999998</v>
      </c>
      <c r="D157">
        <v>296.3</v>
      </c>
      <c r="E157">
        <v>305.2</v>
      </c>
      <c r="F157">
        <v>121826.0727</v>
      </c>
      <c r="G157">
        <v>305.2</v>
      </c>
      <c r="L157" t="s">
        <v>8</v>
      </c>
      <c r="M157" t="s">
        <v>8</v>
      </c>
      <c r="N157" t="s">
        <v>8</v>
      </c>
      <c r="P157">
        <f t="shared" ref="P157" si="760">IF(C157=D157,0,((E157-D157)-(C157-E157))/(C157-D157))</f>
        <v>-0.27642276422764311</v>
      </c>
      <c r="Q157">
        <f t="shared" ref="Q157" si="761">F157*P157</f>
        <v>-33675.499770731811</v>
      </c>
      <c r="R157">
        <f t="shared" ref="R157" si="762">R158+Q157</f>
        <v>4041988.5060160398</v>
      </c>
      <c r="S157">
        <f t="shared" ref="S157" si="763">R157/100000</f>
        <v>40.419885060160397</v>
      </c>
      <c r="T157">
        <f t="shared" ref="T157" si="764">S157/1000</f>
        <v>4.0419885060160393E-2</v>
      </c>
    </row>
    <row r="158" spans="1:20" x14ac:dyDescent="0.25">
      <c r="A158" s="5">
        <v>44435</v>
      </c>
      <c r="B158">
        <v>277.10000000000002</v>
      </c>
      <c r="C158">
        <v>312</v>
      </c>
      <c r="D158">
        <v>266.3</v>
      </c>
      <c r="E158">
        <v>305.7</v>
      </c>
      <c r="F158">
        <v>229463.5956</v>
      </c>
      <c r="G158">
        <v>305.7</v>
      </c>
      <c r="L158" t="s">
        <v>7</v>
      </c>
      <c r="M158" t="s">
        <v>7</v>
      </c>
      <c r="N158" t="s">
        <v>8</v>
      </c>
      <c r="P158">
        <f t="shared" ref="P158" si="765">IF(C158=D158,0,((E158-D158)-(C158-E158))/(C158-D158))</f>
        <v>0.72428884026258145</v>
      </c>
      <c r="Q158">
        <f t="shared" ref="Q158" si="766">F158*P158</f>
        <v>166197.92153960597</v>
      </c>
      <c r="R158">
        <f t="shared" ref="R158" si="767">R159+Q158</f>
        <v>4075664.0057867714</v>
      </c>
      <c r="S158">
        <f t="shared" ref="S158" si="768">R158/100000</f>
        <v>40.756640057867713</v>
      </c>
      <c r="T158">
        <f t="shared" ref="T158" si="769">S158/1000</f>
        <v>4.0756640057867714E-2</v>
      </c>
    </row>
    <row r="159" spans="1:20" x14ac:dyDescent="0.25">
      <c r="A159" s="5">
        <v>44434</v>
      </c>
      <c r="B159">
        <v>303.52999999999997</v>
      </c>
      <c r="C159">
        <v>310.95</v>
      </c>
      <c r="D159">
        <v>273.39999999999998</v>
      </c>
      <c r="E159">
        <v>277.10000000000002</v>
      </c>
      <c r="F159">
        <v>148429.0197</v>
      </c>
      <c r="G159">
        <v>277.10000000000002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-0.80292942743009088</v>
      </c>
      <c r="Q159">
        <f t="shared" ref="Q159" si="771">F159*P159</f>
        <v>-119178.02780173068</v>
      </c>
      <c r="R159">
        <f t="shared" ref="R159" si="772">R160+Q159</f>
        <v>3909466.0842471654</v>
      </c>
      <c r="S159">
        <f t="shared" ref="S159" si="773">R159/100000</f>
        <v>39.094660842471654</v>
      </c>
      <c r="T159">
        <f t="shared" ref="T159" si="774">S159/1000</f>
        <v>3.9094660842471651E-2</v>
      </c>
    </row>
    <row r="160" spans="1:20" x14ac:dyDescent="0.25">
      <c r="A160" s="5">
        <v>44433</v>
      </c>
      <c r="B160">
        <v>296.07</v>
      </c>
      <c r="C160">
        <v>309.33</v>
      </c>
      <c r="D160">
        <v>283.01</v>
      </c>
      <c r="E160">
        <v>303.7</v>
      </c>
      <c r="F160">
        <v>121921.1679</v>
      </c>
      <c r="G160">
        <v>303.7</v>
      </c>
      <c r="L160" t="s">
        <v>8</v>
      </c>
      <c r="M160" t="s">
        <v>7</v>
      </c>
      <c r="N160" t="s">
        <v>8</v>
      </c>
      <c r="P160">
        <f t="shared" ref="P160" si="775">IF(C160=D160,0,((E160-D160)-(C160-E160))/(C160-D160))</f>
        <v>0.57218844984802453</v>
      </c>
      <c r="Q160">
        <f t="shared" ref="Q160" si="776">F160*P160</f>
        <v>69761.88406436173</v>
      </c>
      <c r="R160">
        <f t="shared" ref="R160" si="777">R161+Q160</f>
        <v>4028644.112048896</v>
      </c>
      <c r="S160">
        <f t="shared" ref="S160" si="778">R160/100000</f>
        <v>40.286441120488959</v>
      </c>
      <c r="T160">
        <f t="shared" ref="T160" si="779">S160/1000</f>
        <v>4.0286441120488958E-2</v>
      </c>
    </row>
    <row r="161" spans="1:20" x14ac:dyDescent="0.25">
      <c r="A161" s="5">
        <v>44432</v>
      </c>
      <c r="B161">
        <v>328.11</v>
      </c>
      <c r="C161">
        <v>332.47</v>
      </c>
      <c r="D161">
        <v>285.3</v>
      </c>
      <c r="E161">
        <v>296</v>
      </c>
      <c r="F161">
        <v>157971.59349999999</v>
      </c>
      <c r="G161">
        <v>296</v>
      </c>
      <c r="L161" t="s">
        <v>7</v>
      </c>
      <c r="M161" t="s">
        <v>7</v>
      </c>
      <c r="N161" t="s">
        <v>8</v>
      </c>
      <c r="P161">
        <f t="shared" ref="P161" si="780">IF(C161=D161,0,((E161-D161)-(C161-E161))/(C161-D161))</f>
        <v>-0.54632181471274177</v>
      </c>
      <c r="Q161">
        <f t="shared" ref="Q161" si="781">F161*P161</f>
        <v>-86303.327633983557</v>
      </c>
      <c r="R161">
        <f t="shared" ref="R161" si="782">R162+Q161</f>
        <v>3958882.2279845341</v>
      </c>
      <c r="S161">
        <f t="shared" ref="S161" si="783">R161/100000</f>
        <v>39.588822279845338</v>
      </c>
      <c r="T161">
        <f t="shared" ref="T161" si="784">S161/1000</f>
        <v>3.9588822279845337E-2</v>
      </c>
    </row>
    <row r="162" spans="1:20" x14ac:dyDescent="0.25">
      <c r="A162" s="5">
        <v>44431</v>
      </c>
      <c r="B162">
        <v>330.79</v>
      </c>
      <c r="C162">
        <v>341</v>
      </c>
      <c r="D162">
        <v>320.75</v>
      </c>
      <c r="E162">
        <v>328.18</v>
      </c>
      <c r="F162">
        <v>112615.2083</v>
      </c>
      <c r="G162">
        <v>328.18</v>
      </c>
      <c r="L162" t="s">
        <v>7</v>
      </c>
      <c r="M162" t="s">
        <v>8</v>
      </c>
      <c r="N162" t="s">
        <v>8</v>
      </c>
      <c r="P162">
        <f t="shared" ref="P162" si="785">IF(C162=D162,0,((E162-D162)-(C162-E162))/(C162-D162))</f>
        <v>-0.26617283950617215</v>
      </c>
      <c r="Q162">
        <f t="shared" ref="Q162" si="786">F162*P162</f>
        <v>-29975.109764790046</v>
      </c>
      <c r="R162">
        <f t="shared" ref="R162" si="787">R163+Q162</f>
        <v>4045185.5556185176</v>
      </c>
      <c r="S162">
        <f t="shared" ref="S162" si="788">R162/100000</f>
        <v>40.451855556185173</v>
      </c>
      <c r="T162">
        <f t="shared" ref="T162" si="789">S162/1000</f>
        <v>4.0451855556185176E-2</v>
      </c>
    </row>
    <row r="163" spans="1:20" x14ac:dyDescent="0.25">
      <c r="A163" s="5">
        <v>44430</v>
      </c>
      <c r="B163">
        <v>328.25</v>
      </c>
      <c r="C163">
        <v>343.58</v>
      </c>
      <c r="D163">
        <v>325.68</v>
      </c>
      <c r="E163">
        <v>336.34</v>
      </c>
      <c r="F163">
        <v>30237.063300000002</v>
      </c>
      <c r="G163">
        <v>336.34</v>
      </c>
      <c r="L163" t="s">
        <v>7</v>
      </c>
      <c r="M163" t="s">
        <v>8</v>
      </c>
      <c r="N163" t="s">
        <v>8</v>
      </c>
      <c r="P163">
        <f t="shared" ref="P163" si="790">IF(C163=D163,0,((E163-D163)-(C163-E163))/(C163-D163))</f>
        <v>0.19106145251396445</v>
      </c>
      <c r="Q163">
        <f t="shared" ref="Q163" si="791">F163*P163</f>
        <v>5777.1372338546871</v>
      </c>
      <c r="R163">
        <f t="shared" ref="R163" si="792">R164+Q163</f>
        <v>4075160.6653833077</v>
      </c>
      <c r="S163">
        <f t="shared" ref="S163" si="793">R163/100000</f>
        <v>40.751606653833079</v>
      </c>
      <c r="T163">
        <f t="shared" ref="T163" si="794">S163/1000</f>
        <v>4.0751606653833081E-2</v>
      </c>
    </row>
    <row r="164" spans="1:20" x14ac:dyDescent="0.25">
      <c r="A164" s="5">
        <v>44429</v>
      </c>
      <c r="B164">
        <v>345.63</v>
      </c>
      <c r="C164">
        <v>353</v>
      </c>
      <c r="D164">
        <v>325.98</v>
      </c>
      <c r="E164">
        <v>328.14</v>
      </c>
      <c r="F164">
        <v>132657.50880000001</v>
      </c>
      <c r="G164">
        <v>328.14</v>
      </c>
      <c r="L164" t="s">
        <v>8</v>
      </c>
      <c r="M164" t="s">
        <v>8</v>
      </c>
      <c r="N164" t="s">
        <v>8</v>
      </c>
      <c r="P164">
        <f t="shared" ref="P164" si="795">IF(C164=D164,0,((E164-D164)-(C164-E164))/(C164-D164))</f>
        <v>-0.84011843079200821</v>
      </c>
      <c r="Q164">
        <f t="shared" ref="Q164" si="796">F164*P164</f>
        <v>-111448.01812583303</v>
      </c>
      <c r="R164">
        <f t="shared" ref="R164" si="797">R165+Q164</f>
        <v>4069383.528149453</v>
      </c>
      <c r="S164">
        <f t="shared" ref="S164" si="798">R164/100000</f>
        <v>40.693835281494529</v>
      </c>
      <c r="T164">
        <f t="shared" ref="T164" si="799">S164/1000</f>
        <v>4.0693835281494527E-2</v>
      </c>
    </row>
    <row r="165" spans="1:20" x14ac:dyDescent="0.25">
      <c r="A165" s="5">
        <v>44428</v>
      </c>
      <c r="B165">
        <v>327.64</v>
      </c>
      <c r="C165">
        <v>350.33</v>
      </c>
      <c r="D165">
        <v>313.17</v>
      </c>
      <c r="E165">
        <v>345.89</v>
      </c>
      <c r="F165">
        <v>244745.98550000001</v>
      </c>
      <c r="G165">
        <v>345.89</v>
      </c>
      <c r="L165" t="s">
        <v>8</v>
      </c>
      <c r="M165" t="s">
        <v>8</v>
      </c>
      <c r="N165" t="s">
        <v>8</v>
      </c>
      <c r="P165">
        <f t="shared" ref="P165" si="800">IF(C165=D165,0,((E165-D165)-(C165-E165))/(C165-D165))</f>
        <v>0.76103336921420872</v>
      </c>
      <c r="Q165">
        <f t="shared" ref="Q165" si="801">F165*P165</f>
        <v>186259.86194671688</v>
      </c>
      <c r="R165">
        <f t="shared" ref="R165" si="802">R166+Q165</f>
        <v>4180831.546275286</v>
      </c>
      <c r="S165">
        <f t="shared" ref="S165" si="803">R165/100000</f>
        <v>41.808315462752859</v>
      </c>
      <c r="T165">
        <f t="shared" ref="T165" si="804">S165/1000</f>
        <v>4.1808315462752856E-2</v>
      </c>
    </row>
    <row r="166" spans="1:20" x14ac:dyDescent="0.25">
      <c r="A166" s="5">
        <v>44427</v>
      </c>
      <c r="B166">
        <v>281.5</v>
      </c>
      <c r="C166">
        <v>334.4</v>
      </c>
      <c r="D166">
        <v>275.10000000000002</v>
      </c>
      <c r="E166">
        <v>327.68</v>
      </c>
      <c r="F166">
        <v>372743.64419999998</v>
      </c>
      <c r="G166">
        <v>327.68</v>
      </c>
      <c r="L166" t="s">
        <v>8</v>
      </c>
      <c r="M166" t="s">
        <v>8</v>
      </c>
      <c r="N166" t="s">
        <v>8</v>
      </c>
      <c r="P166">
        <f t="shared" ref="P166" si="805">IF(C166=D166,0,((E166-D166)-(C166-E166))/(C166-D166))</f>
        <v>0.77335581787521157</v>
      </c>
      <c r="Q166">
        <f t="shared" ref="Q166" si="806">F166*P166</f>
        <v>288263.46581807785</v>
      </c>
      <c r="R166">
        <f t="shared" ref="R166" si="807">R167+Q166</f>
        <v>3994571.6843285691</v>
      </c>
      <c r="S166">
        <f t="shared" ref="S166" si="808">R166/100000</f>
        <v>39.945716843285688</v>
      </c>
      <c r="T166">
        <f t="shared" ref="T166" si="809">S166/1000</f>
        <v>3.994571684328569E-2</v>
      </c>
    </row>
    <row r="167" spans="1:20" x14ac:dyDescent="0.25">
      <c r="A167" s="5">
        <v>44426</v>
      </c>
      <c r="B167">
        <v>277.66000000000003</v>
      </c>
      <c r="C167">
        <v>304</v>
      </c>
      <c r="D167">
        <v>261.01</v>
      </c>
      <c r="E167">
        <v>281.47000000000003</v>
      </c>
      <c r="F167">
        <v>237208.09849999999</v>
      </c>
      <c r="G167">
        <v>281.47000000000003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-4.8150732728540029E-2</v>
      </c>
      <c r="Q167">
        <f t="shared" ref="Q167" si="811">F167*P167</f>
        <v>-11421.743751918697</v>
      </c>
      <c r="R167">
        <f t="shared" ref="R167" si="812">R168+Q167</f>
        <v>3706308.2185104913</v>
      </c>
      <c r="S167">
        <f t="shared" ref="S167" si="813">R167/100000</f>
        <v>37.063082185104911</v>
      </c>
      <c r="T167">
        <f t="shared" ref="T167" si="814">S167/1000</f>
        <v>3.7063082185104908E-2</v>
      </c>
    </row>
    <row r="168" spans="1:20" x14ac:dyDescent="0.25">
      <c r="A168" s="5">
        <v>44425</v>
      </c>
      <c r="B168">
        <v>299.58999999999997</v>
      </c>
      <c r="C168">
        <v>325</v>
      </c>
      <c r="D168">
        <v>267.37</v>
      </c>
      <c r="E168">
        <v>277.54000000000002</v>
      </c>
      <c r="F168">
        <v>288751.21750000003</v>
      </c>
      <c r="G168">
        <v>277.54000000000002</v>
      </c>
      <c r="L168" t="s">
        <v>8</v>
      </c>
      <c r="M168" t="s">
        <v>7</v>
      </c>
      <c r="N168" t="s">
        <v>8</v>
      </c>
      <c r="P168">
        <f t="shared" ref="P168" si="815">IF(C168=D168,0,((E168-D168)-(C168-E168))/(C168-D168))</f>
        <v>-0.64705882352941113</v>
      </c>
      <c r="Q168">
        <f t="shared" ref="Q168" si="816">F168*P168</f>
        <v>-186839.02308823512</v>
      </c>
      <c r="R168">
        <f t="shared" ref="R168" si="817">R169+Q168</f>
        <v>3717729.9622624102</v>
      </c>
      <c r="S168">
        <f t="shared" ref="S168" si="818">R168/100000</f>
        <v>37.177299622624105</v>
      </c>
      <c r="T168">
        <f t="shared" ref="T168" si="819">S168/1000</f>
        <v>3.7177299622624102E-2</v>
      </c>
    </row>
    <row r="169" spans="1:20" x14ac:dyDescent="0.25">
      <c r="A169" s="5">
        <v>44424</v>
      </c>
      <c r="B169">
        <v>273.83</v>
      </c>
      <c r="C169">
        <v>318.5</v>
      </c>
      <c r="D169">
        <v>269.95999999999998</v>
      </c>
      <c r="E169">
        <v>299.58999999999997</v>
      </c>
      <c r="F169">
        <v>327423.3812</v>
      </c>
      <c r="G169">
        <v>299.58999999999997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0.22084878450762188</v>
      </c>
      <c r="Q169">
        <f t="shared" ref="Q169" si="821">F169*P169</f>
        <v>72311.055757395734</v>
      </c>
      <c r="R169">
        <f t="shared" ref="R169" si="822">R170+Q169</f>
        <v>3904568.9853506451</v>
      </c>
      <c r="S169">
        <f t="shared" ref="S169" si="823">R169/100000</f>
        <v>39.045689853506452</v>
      </c>
      <c r="T169">
        <f t="shared" ref="T169" si="824">S169/1000</f>
        <v>3.9045689853506454E-2</v>
      </c>
    </row>
    <row r="170" spans="1:20" x14ac:dyDescent="0.25">
      <c r="A170" s="5">
        <v>44423</v>
      </c>
      <c r="B170">
        <v>272.91000000000003</v>
      </c>
      <c r="C170">
        <v>277.95</v>
      </c>
      <c r="D170">
        <v>260</v>
      </c>
      <c r="E170">
        <v>273.69</v>
      </c>
      <c r="F170">
        <v>109719.16869999999</v>
      </c>
      <c r="G170">
        <v>273.69</v>
      </c>
      <c r="L170" t="s">
        <v>7</v>
      </c>
      <c r="M170" t="s">
        <v>7</v>
      </c>
      <c r="N170" t="s">
        <v>8</v>
      </c>
      <c r="P170">
        <f t="shared" ref="P170" si="825">IF(C170=D170,0,((E170-D170)-(C170-E170))/(C170-D170))</f>
        <v>0.52534818941504247</v>
      </c>
      <c r="Q170">
        <f t="shared" ref="Q170" si="826">F170*P170</f>
        <v>57640.766620668597</v>
      </c>
      <c r="R170">
        <f t="shared" ref="R170" si="827">R171+Q170</f>
        <v>3832257.9295932492</v>
      </c>
      <c r="S170">
        <f t="shared" ref="S170" si="828">R170/100000</f>
        <v>38.322579295932492</v>
      </c>
      <c r="T170">
        <f t="shared" ref="T170" si="829">S170/1000</f>
        <v>3.8322579295932489E-2</v>
      </c>
    </row>
    <row r="171" spans="1:20" x14ac:dyDescent="0.25">
      <c r="A171" s="5">
        <v>44422</v>
      </c>
      <c r="B171">
        <v>281.04000000000002</v>
      </c>
      <c r="C171">
        <v>285.83999999999997</v>
      </c>
      <c r="D171">
        <v>263.05</v>
      </c>
      <c r="E171">
        <v>272.79000000000002</v>
      </c>
      <c r="F171">
        <v>130083.5429</v>
      </c>
      <c r="G171">
        <v>272.79000000000002</v>
      </c>
      <c r="L171" t="s">
        <v>7</v>
      </c>
      <c r="M171" t="s">
        <v>7</v>
      </c>
      <c r="N171" t="s">
        <v>8</v>
      </c>
      <c r="P171">
        <f t="shared" ref="P171" si="830">IF(C171=D171,0,((E171-D171)-(C171-E171))/(C171-D171))</f>
        <v>-0.14523913997367049</v>
      </c>
      <c r="Q171">
        <f t="shared" ref="Q171" si="831">F171*P171</f>
        <v>-18893.221895524071</v>
      </c>
      <c r="R171">
        <f t="shared" ref="R171" si="832">R172+Q171</f>
        <v>3774617.1629725806</v>
      </c>
      <c r="S171">
        <f t="shared" ref="S171" si="833">R171/100000</f>
        <v>37.746171629725808</v>
      </c>
      <c r="T171">
        <f t="shared" ref="T171" si="834">S171/1000</f>
        <v>3.7746171629725808E-2</v>
      </c>
    </row>
    <row r="172" spans="1:20" x14ac:dyDescent="0.25">
      <c r="A172" s="5">
        <v>44421</v>
      </c>
      <c r="B172">
        <v>261.5</v>
      </c>
      <c r="C172">
        <v>283.70999999999998</v>
      </c>
      <c r="D172">
        <v>260.32</v>
      </c>
      <c r="E172">
        <v>281.04000000000002</v>
      </c>
      <c r="F172">
        <v>148699.89629999999</v>
      </c>
      <c r="G172">
        <v>281.04000000000002</v>
      </c>
      <c r="L172" t="s">
        <v>8</v>
      </c>
      <c r="M172" t="s">
        <v>7</v>
      </c>
      <c r="N172" t="s">
        <v>8</v>
      </c>
      <c r="P172">
        <f t="shared" ref="P172" si="835">IF(C172=D172,0,((E172-D172)-(C172-E172))/(C172-D172))</f>
        <v>0.77169730654126034</v>
      </c>
      <c r="Q172">
        <f t="shared" ref="Q172" si="836">F172*P172</f>
        <v>114751.30945767472</v>
      </c>
      <c r="R172">
        <f t="shared" ref="R172" si="837">R173+Q172</f>
        <v>3793510.3848681049</v>
      </c>
      <c r="S172">
        <f t="shared" ref="S172" si="838">R172/100000</f>
        <v>37.935103848681052</v>
      </c>
      <c r="T172">
        <f t="shared" ref="T172" si="839">S172/1000</f>
        <v>3.7935103848681054E-2</v>
      </c>
    </row>
    <row r="173" spans="1:20" x14ac:dyDescent="0.25">
      <c r="A173" s="5">
        <v>44420</v>
      </c>
      <c r="B173">
        <v>267.60000000000002</v>
      </c>
      <c r="C173">
        <v>279.89999999999998</v>
      </c>
      <c r="D173">
        <v>246.71</v>
      </c>
      <c r="E173">
        <v>261.69</v>
      </c>
      <c r="F173">
        <v>200760.63649999999</v>
      </c>
      <c r="G173">
        <v>261.69</v>
      </c>
      <c r="L173" t="s">
        <v>7</v>
      </c>
      <c r="M173" t="s">
        <v>7</v>
      </c>
      <c r="N173" t="s">
        <v>8</v>
      </c>
      <c r="P173">
        <f t="shared" ref="P173" si="840">IF(C173=D173,0,((E173-D173)-(C173-E173))/(C173-D173))</f>
        <v>-9.7318469418499323E-2</v>
      </c>
      <c r="Q173">
        <f t="shared" ref="Q173" si="841">F173*P173</f>
        <v>-19537.717863663707</v>
      </c>
      <c r="R173">
        <f t="shared" ref="R173" si="842">R174+Q173</f>
        <v>3678759.0754104303</v>
      </c>
      <c r="S173">
        <f t="shared" ref="S173" si="843">R173/100000</f>
        <v>36.787590754104301</v>
      </c>
      <c r="T173">
        <f t="shared" ref="T173" si="844">S173/1000</f>
        <v>3.6787590754104302E-2</v>
      </c>
    </row>
    <row r="174" spans="1:20" x14ac:dyDescent="0.25">
      <c r="A174" s="5">
        <v>44419</v>
      </c>
      <c r="B174">
        <v>241.37</v>
      </c>
      <c r="C174">
        <v>300</v>
      </c>
      <c r="D174">
        <v>241.11</v>
      </c>
      <c r="E174">
        <v>267.61</v>
      </c>
      <c r="F174">
        <v>315874.72230000002</v>
      </c>
      <c r="G174">
        <v>267.61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-0.10001698081168259</v>
      </c>
      <c r="Q174">
        <f t="shared" ref="Q174" si="846">F174*P174</f>
        <v>-31592.836039174668</v>
      </c>
      <c r="R174">
        <f t="shared" ref="R174" si="847">R175+Q174</f>
        <v>3698296.7932740939</v>
      </c>
      <c r="S174">
        <f t="shared" ref="S174" si="848">R174/100000</f>
        <v>36.982967932740941</v>
      </c>
      <c r="T174">
        <f t="shared" ref="T174" si="849">S174/1000</f>
        <v>3.6982967932740939E-2</v>
      </c>
    </row>
    <row r="175" spans="1:20" x14ac:dyDescent="0.25">
      <c r="A175" s="5">
        <v>44418</v>
      </c>
      <c r="B175">
        <v>221.66</v>
      </c>
      <c r="C175">
        <v>254.12</v>
      </c>
      <c r="D175">
        <v>217.03</v>
      </c>
      <c r="E175">
        <v>241.08</v>
      </c>
      <c r="F175">
        <v>269409.6765</v>
      </c>
      <c r="G175">
        <v>241.08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0.29684551091938577</v>
      </c>
      <c r="Q175">
        <f t="shared" ref="Q175" si="851">F175*P175</f>
        <v>79973.053067268935</v>
      </c>
      <c r="R175">
        <f t="shared" ref="R175" si="852">R176+Q175</f>
        <v>3729889.6293132687</v>
      </c>
      <c r="S175">
        <f t="shared" ref="S175" si="853">R175/100000</f>
        <v>37.298896293132685</v>
      </c>
      <c r="T175">
        <f t="shared" ref="T175" si="854">S175/1000</f>
        <v>3.7298896293132683E-2</v>
      </c>
    </row>
    <row r="176" spans="1:20" x14ac:dyDescent="0.25">
      <c r="A176" s="5">
        <v>44417</v>
      </c>
      <c r="B176">
        <v>215.78</v>
      </c>
      <c r="C176">
        <v>229.58</v>
      </c>
      <c r="D176">
        <v>207.1</v>
      </c>
      <c r="E176">
        <v>221.5</v>
      </c>
      <c r="F176">
        <v>145717.1704</v>
      </c>
      <c r="G176">
        <v>221.5</v>
      </c>
      <c r="L176" t="s">
        <v>7</v>
      </c>
      <c r="M176" t="s">
        <v>8</v>
      </c>
      <c r="N176" t="s">
        <v>8</v>
      </c>
      <c r="P176">
        <f t="shared" ref="P176" si="855">IF(C176=D176,0,((E176-D176)-(C176-E176))/(C176-D176))</f>
        <v>0.28113879003558667</v>
      </c>
      <c r="Q176">
        <f t="shared" ref="Q176" si="856">F176*P176</f>
        <v>40966.748973665402</v>
      </c>
      <c r="R176">
        <f t="shared" ref="R176" si="857">R177+Q176</f>
        <v>3649916.5762459999</v>
      </c>
      <c r="S176">
        <f t="shared" ref="S176" si="858">R176/100000</f>
        <v>36.499165762460002</v>
      </c>
      <c r="T176">
        <f t="shared" ref="T176" si="859">S176/1000</f>
        <v>3.6499165762460005E-2</v>
      </c>
    </row>
    <row r="177" spans="1:20" x14ac:dyDescent="0.25">
      <c r="A177" s="5">
        <v>44416</v>
      </c>
      <c r="B177">
        <v>235.08</v>
      </c>
      <c r="C177">
        <v>235.71</v>
      </c>
      <c r="D177">
        <v>211.3</v>
      </c>
      <c r="E177">
        <v>215.73</v>
      </c>
      <c r="F177">
        <v>125565.10189999999</v>
      </c>
      <c r="G177">
        <v>215.73</v>
      </c>
      <c r="L177" t="s">
        <v>7</v>
      </c>
      <c r="M177" t="s">
        <v>8</v>
      </c>
      <c r="N177" t="s">
        <v>8</v>
      </c>
      <c r="P177">
        <f t="shared" ref="P177" si="860">IF(C177=D177,0,((E177-D177)-(C177-E177))/(C177-D177))</f>
        <v>-0.63703400245801078</v>
      </c>
      <c r="Q177">
        <f t="shared" ref="Q177" si="861">F177*P177</f>
        <v>-79989.239432404967</v>
      </c>
      <c r="R177">
        <f t="shared" ref="R177" si="862">R178+Q177</f>
        <v>3608949.8272723346</v>
      </c>
      <c r="S177">
        <f t="shared" ref="S177" si="863">R177/100000</f>
        <v>36.089498272723347</v>
      </c>
      <c r="T177">
        <f t="shared" ref="T177" si="864">S177/1000</f>
        <v>3.6089498272723348E-2</v>
      </c>
    </row>
    <row r="178" spans="1:20" x14ac:dyDescent="0.25">
      <c r="A178" s="5">
        <v>44415</v>
      </c>
      <c r="B178">
        <v>227.58</v>
      </c>
      <c r="C178">
        <v>243.4</v>
      </c>
      <c r="D178">
        <v>223.32</v>
      </c>
      <c r="E178">
        <v>235.08</v>
      </c>
      <c r="F178">
        <v>167197.8849</v>
      </c>
      <c r="G178">
        <v>235.08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0.17131474103585778</v>
      </c>
      <c r="Q178">
        <f t="shared" ref="Q178" si="866">F178*P178</f>
        <v>28643.462353386658</v>
      </c>
      <c r="R178">
        <f t="shared" ref="R178" si="867">R179+Q178</f>
        <v>3688939.0667047394</v>
      </c>
      <c r="S178">
        <f t="shared" ref="S178" si="868">R178/100000</f>
        <v>36.889390667047394</v>
      </c>
      <c r="T178">
        <f t="shared" ref="T178" si="869">S178/1000</f>
        <v>3.6889390667047391E-2</v>
      </c>
    </row>
    <row r="179" spans="1:20" x14ac:dyDescent="0.25">
      <c r="A179" s="5">
        <v>44414</v>
      </c>
      <c r="B179">
        <v>215.93</v>
      </c>
      <c r="C179">
        <v>236.61</v>
      </c>
      <c r="D179">
        <v>211.2</v>
      </c>
      <c r="E179">
        <v>227.46</v>
      </c>
      <c r="F179">
        <v>173378.5514</v>
      </c>
      <c r="G179">
        <v>227.46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0.27981109799291642</v>
      </c>
      <c r="Q179">
        <f t="shared" ref="Q179" si="871">F179*P179</f>
        <v>48513.242835655299</v>
      </c>
      <c r="R179">
        <f t="shared" ref="R179" si="872">R180+Q179</f>
        <v>3660295.6043513529</v>
      </c>
      <c r="S179">
        <f t="shared" ref="S179" si="873">R179/100000</f>
        <v>36.602956043513529</v>
      </c>
      <c r="T179">
        <f t="shared" ref="T179" si="874">S179/1000</f>
        <v>3.6602956043513532E-2</v>
      </c>
    </row>
    <row r="180" spans="1:20" x14ac:dyDescent="0.25">
      <c r="A180" s="5">
        <v>44413</v>
      </c>
      <c r="B180">
        <v>215.25</v>
      </c>
      <c r="C180">
        <v>219.7</v>
      </c>
      <c r="D180">
        <v>202.52</v>
      </c>
      <c r="E180">
        <v>216.02</v>
      </c>
      <c r="F180">
        <v>109973.6076</v>
      </c>
      <c r="G180">
        <v>216.02</v>
      </c>
      <c r="L180" t="s">
        <v>7</v>
      </c>
      <c r="M180" t="s">
        <v>8</v>
      </c>
      <c r="N180" t="s">
        <v>8</v>
      </c>
      <c r="P180">
        <f t="shared" ref="P180" si="875">IF(C180=D180,0,((E180-D180)-(C180-E180))/(C180-D180))</f>
        <v>0.57159487776484486</v>
      </c>
      <c r="Q180">
        <f t="shared" ref="Q180" si="876">F180*P180</f>
        <v>62860.350793481011</v>
      </c>
      <c r="R180">
        <f t="shared" ref="R180" si="877">R181+Q180</f>
        <v>3611782.3615156976</v>
      </c>
      <c r="S180">
        <f t="shared" ref="S180" si="878">R180/100000</f>
        <v>36.117823615156972</v>
      </c>
      <c r="T180">
        <f t="shared" ref="T180" si="879">S180/1000</f>
        <v>3.6117823615156974E-2</v>
      </c>
    </row>
    <row r="181" spans="1:20" x14ac:dyDescent="0.25">
      <c r="A181" s="5">
        <v>44412</v>
      </c>
      <c r="B181">
        <v>201.99</v>
      </c>
      <c r="C181">
        <v>218.6</v>
      </c>
      <c r="D181">
        <v>198.51</v>
      </c>
      <c r="E181">
        <v>215.18</v>
      </c>
      <c r="F181">
        <v>103050.0276</v>
      </c>
      <c r="G181">
        <v>215.18</v>
      </c>
      <c r="L181" t="s">
        <v>8</v>
      </c>
      <c r="M181" t="s">
        <v>8</v>
      </c>
      <c r="N181" t="s">
        <v>8</v>
      </c>
      <c r="P181">
        <f t="shared" ref="P181" si="880">IF(C181=D181,0,((E181-D181)-(C181-E181))/(C181-D181))</f>
        <v>0.65953210552513819</v>
      </c>
      <c r="Q181">
        <f t="shared" ref="Q181" si="881">F181*P181</f>
        <v>67964.8016774516</v>
      </c>
      <c r="R181">
        <f t="shared" ref="R181" si="882">R182+Q181</f>
        <v>3548922.0107222167</v>
      </c>
      <c r="S181">
        <f t="shared" ref="S181" si="883">R181/100000</f>
        <v>35.489220107222167</v>
      </c>
      <c r="T181">
        <f t="shared" ref="T181" si="884">S181/1000</f>
        <v>3.5489220107222164E-2</v>
      </c>
    </row>
    <row r="182" spans="1:20" x14ac:dyDescent="0.25">
      <c r="A182" s="5">
        <v>44411</v>
      </c>
      <c r="B182">
        <v>204.85</v>
      </c>
      <c r="C182">
        <v>209.16</v>
      </c>
      <c r="D182">
        <v>192.52</v>
      </c>
      <c r="E182">
        <v>201.96</v>
      </c>
      <c r="F182">
        <v>101169.35490000001</v>
      </c>
      <c r="G182">
        <v>201.96</v>
      </c>
      <c r="L182" t="s">
        <v>7</v>
      </c>
      <c r="M182" t="s">
        <v>8</v>
      </c>
      <c r="N182" t="s">
        <v>8</v>
      </c>
      <c r="P182">
        <f t="shared" ref="P182" si="885">IF(C182=D182,0,((E182-D182)-(C182-E182))/(C182-D182))</f>
        <v>0.13461538461538528</v>
      </c>
      <c r="Q182">
        <f t="shared" ref="Q182" si="886">F182*P182</f>
        <v>13618.951621153914</v>
      </c>
      <c r="R182">
        <f t="shared" ref="R182" si="887">R183+Q182</f>
        <v>3480957.2090447652</v>
      </c>
      <c r="S182">
        <f t="shared" ref="S182" si="888">R182/100000</f>
        <v>34.809572090447652</v>
      </c>
      <c r="T182">
        <f t="shared" ref="T182" si="889">S182/1000</f>
        <v>3.4809572090447653E-2</v>
      </c>
    </row>
    <row r="183" spans="1:20" x14ac:dyDescent="0.25">
      <c r="A183" s="5">
        <v>44410</v>
      </c>
      <c r="B183">
        <v>206.69</v>
      </c>
      <c r="C183">
        <v>211.42</v>
      </c>
      <c r="D183">
        <v>200.67</v>
      </c>
      <c r="E183">
        <v>204.81</v>
      </c>
      <c r="F183">
        <v>108975.9384</v>
      </c>
      <c r="G183">
        <v>204.81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-0.22976744186046236</v>
      </c>
      <c r="Q183">
        <f t="shared" ref="Q183" si="891">F183*P183</f>
        <v>-25039.122590511328</v>
      </c>
      <c r="R183">
        <f t="shared" ref="R183" si="892">R184+Q183</f>
        <v>3467338.2574236114</v>
      </c>
      <c r="S183">
        <f t="shared" ref="S183" si="893">R183/100000</f>
        <v>34.673382574236115</v>
      </c>
      <c r="T183">
        <f t="shared" ref="T183" si="894">S183/1000</f>
        <v>3.4673382574236113E-2</v>
      </c>
    </row>
    <row r="184" spans="1:20" x14ac:dyDescent="0.25">
      <c r="A184" s="5">
        <v>44409</v>
      </c>
      <c r="B184">
        <v>198.79</v>
      </c>
      <c r="C184">
        <v>223.3</v>
      </c>
      <c r="D184">
        <v>195.68</v>
      </c>
      <c r="E184">
        <v>206.7</v>
      </c>
      <c r="F184">
        <v>297903.32169999997</v>
      </c>
      <c r="G184">
        <v>206.7</v>
      </c>
      <c r="L184" t="s">
        <v>8</v>
      </c>
      <c r="M184" t="s">
        <v>8</v>
      </c>
      <c r="N184" t="s">
        <v>8</v>
      </c>
      <c r="P184">
        <f t="shared" ref="P184" si="895">IF(C184=D184,0,((E184-D184)-(C184-E184))/(C184-D184))</f>
        <v>-0.20202751629254309</v>
      </c>
      <c r="Q184">
        <f t="shared" ref="Q184" si="896">F184*P184</f>
        <v>-60184.66817834945</v>
      </c>
      <c r="R184">
        <f t="shared" ref="R184" si="897">R185+Q184</f>
        <v>3492377.3800141225</v>
      </c>
      <c r="S184">
        <f t="shared" ref="S184" si="898">R184/100000</f>
        <v>34.923773800141227</v>
      </c>
      <c r="T184">
        <f t="shared" ref="T184" si="899">S184/1000</f>
        <v>3.4923773800141229E-2</v>
      </c>
    </row>
    <row r="185" spans="1:20" x14ac:dyDescent="0.25">
      <c r="A185" s="5">
        <v>44408</v>
      </c>
      <c r="B185">
        <v>194.53</v>
      </c>
      <c r="C185">
        <v>204</v>
      </c>
      <c r="D185">
        <v>191</v>
      </c>
      <c r="E185">
        <v>198.34</v>
      </c>
      <c r="F185">
        <v>130779.7794</v>
      </c>
      <c r="G185">
        <v>198.34</v>
      </c>
      <c r="L185" t="s">
        <v>8</v>
      </c>
      <c r="M185" t="s">
        <v>7</v>
      </c>
      <c r="N185" t="s">
        <v>8</v>
      </c>
      <c r="P185">
        <f t="shared" ref="P185" si="900">IF(C185=D185,0,((E185-D185)-(C185-E185))/(C185-D185))</f>
        <v>0.12923076923076976</v>
      </c>
      <c r="Q185">
        <f t="shared" ref="Q185" si="901">F185*P185</f>
        <v>16900.771491692376</v>
      </c>
      <c r="R185">
        <f t="shared" ref="R185" si="902">R186+Q185</f>
        <v>3552562.0481924717</v>
      </c>
      <c r="S185">
        <f t="shared" ref="S185" si="903">R185/100000</f>
        <v>35.525620481924719</v>
      </c>
      <c r="T185">
        <f t="shared" ref="T185" si="904">S185/1000</f>
        <v>3.5525620481924716E-2</v>
      </c>
    </row>
    <row r="186" spans="1:20" x14ac:dyDescent="0.25">
      <c r="A186" s="5">
        <v>44407</v>
      </c>
      <c r="B186">
        <v>190</v>
      </c>
      <c r="C186">
        <v>198.63</v>
      </c>
      <c r="D186">
        <v>181.83</v>
      </c>
      <c r="E186">
        <v>194.41</v>
      </c>
      <c r="F186">
        <v>112131.443</v>
      </c>
      <c r="G186">
        <v>194.41</v>
      </c>
      <c r="L186" t="s">
        <v>8</v>
      </c>
      <c r="M186" t="s">
        <v>7</v>
      </c>
      <c r="N186" t="s">
        <v>8</v>
      </c>
      <c r="P186">
        <f t="shared" ref="P186" si="905">IF(C186=D186,0,((E186-D186)-(C186-E186))/(C186-D186))</f>
        <v>0.49761904761904724</v>
      </c>
      <c r="Q186">
        <f t="shared" ref="Q186" si="906">F186*P186</f>
        <v>55798.741873809478</v>
      </c>
      <c r="R186">
        <f t="shared" ref="R186" si="907">R187+Q186</f>
        <v>3535661.2767007793</v>
      </c>
      <c r="S186">
        <f t="shared" ref="S186" si="908">R186/100000</f>
        <v>35.356612767007796</v>
      </c>
      <c r="T186">
        <f t="shared" ref="T186" si="909">S186/1000</f>
        <v>3.5356612767007793E-2</v>
      </c>
    </row>
    <row r="187" spans="1:20" x14ac:dyDescent="0.25">
      <c r="A187" s="5">
        <v>44406</v>
      </c>
      <c r="B187">
        <v>187.95</v>
      </c>
      <c r="C187">
        <v>195.48</v>
      </c>
      <c r="D187">
        <v>181.12</v>
      </c>
      <c r="E187">
        <v>190</v>
      </c>
      <c r="F187">
        <v>103453.1605</v>
      </c>
      <c r="G187">
        <v>190</v>
      </c>
      <c r="L187" t="s">
        <v>8</v>
      </c>
      <c r="M187" t="s">
        <v>7</v>
      </c>
      <c r="N187" t="s">
        <v>8</v>
      </c>
      <c r="P187">
        <f t="shared" ref="P187" si="910">IF(C187=D187,0,((E187-D187)-(C187-E187))/(C187-D187))</f>
        <v>0.2367688022284129</v>
      </c>
      <c r="Q187">
        <f t="shared" ref="Q187" si="911">F187*P187</f>
        <v>24494.480898328758</v>
      </c>
      <c r="R187">
        <f t="shared" ref="R187" si="912">R188+Q187</f>
        <v>3479862.5348269697</v>
      </c>
      <c r="S187">
        <f t="shared" ref="S187" si="913">R187/100000</f>
        <v>34.798625348269695</v>
      </c>
      <c r="T187">
        <f t="shared" ref="T187" si="914">S187/1000</f>
        <v>3.4798625348269697E-2</v>
      </c>
    </row>
    <row r="188" spans="1:20" x14ac:dyDescent="0.25">
      <c r="A188" s="5">
        <v>44405</v>
      </c>
      <c r="B188">
        <v>185.37</v>
      </c>
      <c r="C188">
        <v>193.22</v>
      </c>
      <c r="D188">
        <v>181.11</v>
      </c>
      <c r="E188">
        <v>188.2</v>
      </c>
      <c r="F188">
        <v>109921.7933</v>
      </c>
      <c r="G188">
        <v>188.2</v>
      </c>
      <c r="L188" t="s">
        <v>8</v>
      </c>
      <c r="M188" t="s">
        <v>7</v>
      </c>
      <c r="N188" t="s">
        <v>8</v>
      </c>
      <c r="P188">
        <f t="shared" ref="P188" si="915">IF(C188=D188,0,((E188-D188)-(C188-E188))/(C188-D188))</f>
        <v>0.17093311312964221</v>
      </c>
      <c r="Q188">
        <f t="shared" ref="Q188" si="916">F188*P188</f>
        <v>18789.274329562049</v>
      </c>
      <c r="R188">
        <f t="shared" ref="R188" si="917">R189+Q188</f>
        <v>3455368.0539286411</v>
      </c>
      <c r="S188">
        <f t="shared" ref="S188" si="918">R188/100000</f>
        <v>34.553680539286411</v>
      </c>
      <c r="T188">
        <f t="shared" ref="T188" si="919">S188/1000</f>
        <v>3.455368053928641E-2</v>
      </c>
    </row>
    <row r="189" spans="1:20" x14ac:dyDescent="0.25">
      <c r="A189" s="5">
        <v>44404</v>
      </c>
      <c r="B189">
        <v>185.02</v>
      </c>
      <c r="C189">
        <v>189.54</v>
      </c>
      <c r="D189">
        <v>176.18</v>
      </c>
      <c r="E189">
        <v>185.31</v>
      </c>
      <c r="F189">
        <v>127399.9225</v>
      </c>
      <c r="G189">
        <v>185.31</v>
      </c>
      <c r="L189" t="s">
        <v>7</v>
      </c>
      <c r="M189" t="s">
        <v>7</v>
      </c>
      <c r="N189" t="s">
        <v>8</v>
      </c>
      <c r="P189">
        <f t="shared" ref="P189" si="920">IF(C189=D189,0,((E189-D189)-(C189-E189))/(C189-D189))</f>
        <v>0.36676646706586907</v>
      </c>
      <c r="Q189">
        <f t="shared" ref="Q189" si="921">F189*P189</f>
        <v>46726.019479790521</v>
      </c>
      <c r="R189">
        <f t="shared" ref="R189" si="922">R190+Q189</f>
        <v>3436578.7795990789</v>
      </c>
      <c r="S189">
        <f t="shared" ref="S189" si="923">R189/100000</f>
        <v>34.365787795990791</v>
      </c>
      <c r="T189">
        <f t="shared" ref="T189" si="924">S189/1000</f>
        <v>3.4365787795990789E-2</v>
      </c>
    </row>
    <row r="190" spans="1:20" x14ac:dyDescent="0.25">
      <c r="A190" s="5">
        <v>44403</v>
      </c>
      <c r="B190">
        <v>184.31</v>
      </c>
      <c r="C190">
        <v>206.69</v>
      </c>
      <c r="D190">
        <v>182.83</v>
      </c>
      <c r="E190">
        <v>184.8</v>
      </c>
      <c r="F190">
        <v>262412.42239999998</v>
      </c>
      <c r="G190">
        <v>184.8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-0.83487007544006708</v>
      </c>
      <c r="Q190">
        <f t="shared" ref="Q190" si="926">F190*P190</f>
        <v>-219080.27888549873</v>
      </c>
      <c r="R190">
        <f t="shared" ref="R190" si="927">R191+Q190</f>
        <v>3389852.7601192882</v>
      </c>
      <c r="S190">
        <f t="shared" ref="S190" si="928">R190/100000</f>
        <v>33.898527601192882</v>
      </c>
      <c r="T190">
        <f t="shared" ref="T190" si="929">S190/1000</f>
        <v>3.3898527601192885E-2</v>
      </c>
    </row>
    <row r="191" spans="1:20" x14ac:dyDescent="0.25">
      <c r="A191" s="5">
        <v>44402</v>
      </c>
      <c r="B191">
        <v>185.83</v>
      </c>
      <c r="C191">
        <v>189.7</v>
      </c>
      <c r="D191">
        <v>175.6</v>
      </c>
      <c r="E191">
        <v>184.34</v>
      </c>
      <c r="F191">
        <v>164209.4166</v>
      </c>
      <c r="G191">
        <v>184.34</v>
      </c>
      <c r="L191" t="s">
        <v>7</v>
      </c>
      <c r="M191" t="s">
        <v>8</v>
      </c>
      <c r="N191" t="s">
        <v>8</v>
      </c>
      <c r="P191">
        <f t="shared" ref="P191" si="930">IF(C191=D191,0,((E191-D191)-(C191-E191))/(C191-D191))</f>
        <v>0.23971631205673938</v>
      </c>
      <c r="Q191">
        <f t="shared" ref="Q191" si="931">F191*P191</f>
        <v>39363.675752340721</v>
      </c>
      <c r="R191">
        <f t="shared" ref="R191" si="932">R192+Q191</f>
        <v>3608933.0390047869</v>
      </c>
      <c r="S191">
        <f t="shared" ref="S191" si="933">R191/100000</f>
        <v>36.08933039004787</v>
      </c>
      <c r="T191">
        <f t="shared" ref="T191:T197" si="934">S191/1000</f>
        <v>3.6089330390047872E-2</v>
      </c>
    </row>
    <row r="192" spans="1:20" x14ac:dyDescent="0.25">
      <c r="A192" s="5">
        <v>44401</v>
      </c>
      <c r="B192">
        <v>178.06</v>
      </c>
      <c r="C192">
        <v>189</v>
      </c>
      <c r="D192">
        <v>173.99</v>
      </c>
      <c r="E192">
        <v>185.79</v>
      </c>
      <c r="F192">
        <v>149728.30840000001</v>
      </c>
      <c r="G192">
        <v>185.79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0.57228514323784008</v>
      </c>
      <c r="Q192">
        <f t="shared" ref="Q192" si="936">F192*P192</f>
        <v>85687.286419453492</v>
      </c>
      <c r="R192">
        <f t="shared" ref="R192" si="937">R193+Q192</f>
        <v>3569569.3632524461</v>
      </c>
      <c r="S192">
        <f t="shared" ref="S192" si="938">R192/100000</f>
        <v>35.69569363252446</v>
      </c>
      <c r="T192">
        <f t="shared" si="934"/>
        <v>3.5695693632524457E-2</v>
      </c>
    </row>
    <row r="193" spans="1:20" x14ac:dyDescent="0.25">
      <c r="A193" s="5">
        <v>44400</v>
      </c>
      <c r="B193">
        <v>175.31</v>
      </c>
      <c r="C193">
        <v>179.91</v>
      </c>
      <c r="D193">
        <v>162.72</v>
      </c>
      <c r="E193">
        <v>177.94</v>
      </c>
      <c r="F193">
        <v>139606.1403</v>
      </c>
      <c r="G193">
        <v>177.94</v>
      </c>
      <c r="L193" t="s">
        <v>8</v>
      </c>
      <c r="M193" t="s">
        <v>8</v>
      </c>
      <c r="N193" t="s">
        <v>7</v>
      </c>
      <c r="P193">
        <f t="shared" ref="P193" si="939">IF(C193=D193,0,((E193-D193)-(C193-E193))/(C193-D193))</f>
        <v>0.77079697498545674</v>
      </c>
      <c r="Q193">
        <f t="shared" ref="Q193" si="940">F193*P193</f>
        <v>107607.99063263526</v>
      </c>
      <c r="R193">
        <f t="shared" ref="R193" si="941">R194+Q193</f>
        <v>3483882.0768329925</v>
      </c>
      <c r="S193">
        <f t="shared" ref="S193" si="942">R193/100000</f>
        <v>34.838820768329924</v>
      </c>
      <c r="T193">
        <f t="shared" si="934"/>
        <v>3.4838820768329927E-2</v>
      </c>
    </row>
    <row r="194" spans="1:20" x14ac:dyDescent="0.25">
      <c r="A194" s="5">
        <v>44399</v>
      </c>
      <c r="B194">
        <v>174.98</v>
      </c>
      <c r="C194">
        <v>179.79</v>
      </c>
      <c r="D194">
        <v>165.07</v>
      </c>
      <c r="E194">
        <v>175.47</v>
      </c>
      <c r="F194">
        <v>147339.0025</v>
      </c>
      <c r="G194">
        <v>175.47</v>
      </c>
      <c r="L194" t="s">
        <v>7</v>
      </c>
      <c r="M194" t="s">
        <v>8</v>
      </c>
      <c r="N194" t="s">
        <v>7</v>
      </c>
      <c r="P194">
        <f t="shared" ref="P194" si="943">IF(C194=D194,0,((E194-D194)-(C194-E194))/(C194-D194))</f>
        <v>0.41304347826087046</v>
      </c>
      <c r="Q194">
        <f t="shared" ref="Q194" si="944">F194*P194</f>
        <v>60857.414076087087</v>
      </c>
      <c r="R194">
        <f t="shared" ref="R194" si="945">R195+Q194</f>
        <v>3376274.0862003574</v>
      </c>
      <c r="S194">
        <f t="shared" ref="S194" si="946">R194/100000</f>
        <v>33.762740862003575</v>
      </c>
      <c r="T194">
        <f t="shared" si="934"/>
        <v>3.3762740862003572E-2</v>
      </c>
    </row>
    <row r="195" spans="1:20" x14ac:dyDescent="0.25">
      <c r="A195" s="5">
        <v>44398</v>
      </c>
      <c r="B195">
        <v>148.54</v>
      </c>
      <c r="C195">
        <v>182.65</v>
      </c>
      <c r="D195">
        <v>144.08000000000001</v>
      </c>
      <c r="E195">
        <v>174.78</v>
      </c>
      <c r="F195">
        <v>188592.0987</v>
      </c>
      <c r="G195">
        <v>174.78</v>
      </c>
      <c r="L195" t="s">
        <v>8</v>
      </c>
      <c r="M195" t="s">
        <v>8</v>
      </c>
      <c r="N195" t="s">
        <v>7</v>
      </c>
      <c r="P195">
        <f t="shared" ref="P195" si="947">IF(C195=D195,0,((E195-D195)-(C195-E195))/(C195-D195))</f>
        <v>0.59191081151153713</v>
      </c>
      <c r="Q195">
        <f t="shared" ref="Q195" si="948">F195*P195</f>
        <v>111629.7021861809</v>
      </c>
      <c r="R195">
        <f t="shared" ref="R195" si="949">R196+Q195</f>
        <v>3315416.6721242703</v>
      </c>
      <c r="S195">
        <f t="shared" ref="S195" si="950">R195/100000</f>
        <v>33.154166721242703</v>
      </c>
      <c r="T195">
        <f t="shared" si="934"/>
        <v>3.3154166721242703E-2</v>
      </c>
    </row>
    <row r="196" spans="1:20" x14ac:dyDescent="0.25">
      <c r="A196" s="5">
        <v>44397</v>
      </c>
      <c r="B196">
        <v>163.80000000000001</v>
      </c>
      <c r="C196">
        <v>167.04</v>
      </c>
      <c r="D196">
        <v>142</v>
      </c>
      <c r="E196">
        <v>148.56</v>
      </c>
      <c r="F196">
        <v>179067.98130000001</v>
      </c>
      <c r="G196">
        <v>148.56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-0.4760383386581466</v>
      </c>
      <c r="Q196">
        <f t="shared" ref="Q196" si="952">F196*P196</f>
        <v>-85243.224324920069</v>
      </c>
      <c r="R196">
        <f t="shared" ref="R196" si="953">R197+Q196</f>
        <v>3203786.9699380896</v>
      </c>
      <c r="S196">
        <f t="shared" ref="S196" si="954">R196/100000</f>
        <v>32.037869699380899</v>
      </c>
      <c r="T196">
        <f t="shared" si="934"/>
        <v>3.2037869699380897E-2</v>
      </c>
    </row>
    <row r="197" spans="1:20" x14ac:dyDescent="0.25">
      <c r="A197" s="5">
        <v>44396</v>
      </c>
      <c r="B197">
        <v>181.36</v>
      </c>
      <c r="C197">
        <v>182.44</v>
      </c>
      <c r="D197">
        <v>161.36000000000001</v>
      </c>
      <c r="E197">
        <v>163.71</v>
      </c>
      <c r="F197">
        <v>119289.18369999999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-0.77703984819734384</v>
      </c>
      <c r="Q197">
        <f t="shared" ref="Q197" si="956">F197*P197</f>
        <v>-92692.449193833061</v>
      </c>
      <c r="R197">
        <f t="shared" ref="R197" si="957">R198+Q197</f>
        <v>3289030.1942630098</v>
      </c>
      <c r="S197">
        <f t="shared" ref="S197" si="958">R197/100000</f>
        <v>32.890301942630096</v>
      </c>
      <c r="T197">
        <f t="shared" si="934"/>
        <v>3.2890301942630096E-2</v>
      </c>
    </row>
    <row r="198" spans="1:20" x14ac:dyDescent="0.25">
      <c r="A198" s="5">
        <v>44395</v>
      </c>
      <c r="B198">
        <v>178.77</v>
      </c>
      <c r="C198">
        <v>188.2</v>
      </c>
      <c r="D198">
        <v>177.74</v>
      </c>
      <c r="E198">
        <v>181.22</v>
      </c>
      <c r="F198">
        <v>65360.614099999999</v>
      </c>
      <c r="G198">
        <v>0</v>
      </c>
      <c r="L198" t="s">
        <v>8</v>
      </c>
      <c r="M198" t="s">
        <v>7</v>
      </c>
      <c r="N198" t="s">
        <v>8</v>
      </c>
      <c r="P198">
        <f t="shared" ref="P198:P261" si="959">IF(C198=D198,0,((E198-D198)-(C198-E198))/(C198-D198))</f>
        <v>-0.33460803059273486</v>
      </c>
      <c r="Q198">
        <f t="shared" ref="Q198:Q261" si="960">F198*P198</f>
        <v>-21870.186362332737</v>
      </c>
      <c r="R198">
        <f t="shared" ref="R198:R261" si="961">R199+Q198</f>
        <v>3381722.6434568428</v>
      </c>
      <c r="S198">
        <f t="shared" ref="S198:S261" si="962">R198/100000</f>
        <v>33.817226434568425</v>
      </c>
      <c r="T198">
        <f t="shared" ref="T198:T261" si="963">S198/1000</f>
        <v>3.3817226434568429E-2</v>
      </c>
    </row>
    <row r="199" spans="1:20" x14ac:dyDescent="0.25">
      <c r="A199" s="5">
        <v>44394</v>
      </c>
      <c r="B199">
        <v>180.06</v>
      </c>
      <c r="C199">
        <v>187.97</v>
      </c>
      <c r="D199">
        <v>175.58</v>
      </c>
      <c r="E199">
        <v>179</v>
      </c>
      <c r="F199">
        <v>111490.3054</v>
      </c>
      <c r="G199">
        <v>0</v>
      </c>
      <c r="L199" t="s">
        <v>7</v>
      </c>
      <c r="M199" t="s">
        <v>7</v>
      </c>
      <c r="N199" t="s">
        <v>8</v>
      </c>
      <c r="P199">
        <f t="shared" si="959"/>
        <v>-0.44794188861985612</v>
      </c>
      <c r="Q199">
        <f t="shared" si="960"/>
        <v>-49941.177963680544</v>
      </c>
      <c r="R199">
        <f t="shared" si="961"/>
        <v>3403592.8298191754</v>
      </c>
      <c r="S199">
        <f t="shared" si="962"/>
        <v>34.035928298191756</v>
      </c>
      <c r="T199">
        <f t="shared" si="963"/>
        <v>3.4035928298191756E-2</v>
      </c>
    </row>
    <row r="200" spans="1:20" x14ac:dyDescent="0.25">
      <c r="A200" s="5">
        <v>44393</v>
      </c>
      <c r="B200">
        <v>201.92</v>
      </c>
      <c r="C200">
        <v>202.5</v>
      </c>
      <c r="D200">
        <v>179.44</v>
      </c>
      <c r="E200">
        <v>180.21</v>
      </c>
      <c r="F200">
        <v>121814.0716</v>
      </c>
      <c r="G200">
        <v>0</v>
      </c>
      <c r="L200" t="s">
        <v>7</v>
      </c>
      <c r="M200" t="s">
        <v>7</v>
      </c>
      <c r="N200" t="s">
        <v>8</v>
      </c>
      <c r="P200">
        <f t="shared" si="959"/>
        <v>-0.93321769297484736</v>
      </c>
      <c r="Q200">
        <f t="shared" si="960"/>
        <v>-113679.04687042486</v>
      </c>
      <c r="R200">
        <f t="shared" si="961"/>
        <v>3453534.007782856</v>
      </c>
      <c r="S200">
        <f t="shared" si="962"/>
        <v>34.535340077828558</v>
      </c>
      <c r="T200">
        <f t="shared" si="963"/>
        <v>3.4535340077828561E-2</v>
      </c>
    </row>
    <row r="201" spans="1:20" x14ac:dyDescent="0.25">
      <c r="A201" s="5">
        <v>44392</v>
      </c>
      <c r="B201">
        <v>187.66</v>
      </c>
      <c r="C201">
        <v>210</v>
      </c>
      <c r="D201">
        <v>180</v>
      </c>
      <c r="E201">
        <v>202.05</v>
      </c>
      <c r="F201">
        <v>202487.5062</v>
      </c>
      <c r="G201">
        <v>0</v>
      </c>
      <c r="L201" t="s">
        <v>8</v>
      </c>
      <c r="M201" t="s">
        <v>7</v>
      </c>
      <c r="N201" t="s">
        <v>8</v>
      </c>
      <c r="P201">
        <f t="shared" si="959"/>
        <v>0.47000000000000075</v>
      </c>
      <c r="Q201">
        <f t="shared" si="960"/>
        <v>95169.127914000157</v>
      </c>
      <c r="R201">
        <f t="shared" si="961"/>
        <v>3567213.0546532809</v>
      </c>
      <c r="S201">
        <f t="shared" si="962"/>
        <v>35.672130546532806</v>
      </c>
      <c r="T201">
        <f t="shared" si="963"/>
        <v>3.5672130546532808E-2</v>
      </c>
    </row>
    <row r="202" spans="1:20" x14ac:dyDescent="0.25">
      <c r="A202" s="5">
        <v>44391</v>
      </c>
      <c r="B202">
        <v>192.37</v>
      </c>
      <c r="C202">
        <v>196.87</v>
      </c>
      <c r="D202">
        <v>176.29</v>
      </c>
      <c r="E202">
        <v>187.59</v>
      </c>
      <c r="F202">
        <v>125940.5868</v>
      </c>
      <c r="G202">
        <v>0</v>
      </c>
      <c r="L202" t="s">
        <v>7</v>
      </c>
      <c r="M202" t="s">
        <v>7</v>
      </c>
      <c r="N202" t="s">
        <v>8</v>
      </c>
      <c r="P202">
        <f t="shared" si="959"/>
        <v>9.815354713313941E-2</v>
      </c>
      <c r="Q202">
        <f t="shared" si="960"/>
        <v>12361.515322449035</v>
      </c>
      <c r="R202">
        <f t="shared" si="961"/>
        <v>3472043.9267392806</v>
      </c>
      <c r="S202">
        <f t="shared" si="962"/>
        <v>34.720439267392806</v>
      </c>
      <c r="T202">
        <f t="shared" si="963"/>
        <v>3.4720439267392808E-2</v>
      </c>
    </row>
    <row r="203" spans="1:20" x14ac:dyDescent="0.25">
      <c r="A203" s="5">
        <v>44390</v>
      </c>
      <c r="B203">
        <v>200.46</v>
      </c>
      <c r="C203">
        <v>203.89</v>
      </c>
      <c r="D203">
        <v>189.22</v>
      </c>
      <c r="E203">
        <v>192.59</v>
      </c>
      <c r="F203">
        <v>80750.024600000004</v>
      </c>
      <c r="G203">
        <v>0</v>
      </c>
      <c r="L203" t="s">
        <v>7</v>
      </c>
      <c r="M203" t="s">
        <v>7</v>
      </c>
      <c r="N203" t="s">
        <v>8</v>
      </c>
      <c r="P203">
        <f t="shared" si="959"/>
        <v>-0.54055896387184632</v>
      </c>
      <c r="Q203">
        <f t="shared" si="960"/>
        <v>-43650.149630402106</v>
      </c>
      <c r="R203">
        <f t="shared" si="961"/>
        <v>3459682.4114168314</v>
      </c>
      <c r="S203">
        <f t="shared" si="962"/>
        <v>34.596824114168314</v>
      </c>
      <c r="T203">
        <f t="shared" si="963"/>
        <v>3.4596824114168312E-2</v>
      </c>
    </row>
    <row r="204" spans="1:20" x14ac:dyDescent="0.25">
      <c r="A204" s="5">
        <v>44389</v>
      </c>
      <c r="B204">
        <v>210.98</v>
      </c>
      <c r="C204">
        <v>213.43</v>
      </c>
      <c r="D204">
        <v>193.24</v>
      </c>
      <c r="E204">
        <v>200.57</v>
      </c>
      <c r="F204">
        <v>110723.8864</v>
      </c>
      <c r="G204">
        <v>0</v>
      </c>
      <c r="L204" t="s">
        <v>7</v>
      </c>
      <c r="M204" t="s">
        <v>7</v>
      </c>
      <c r="N204" t="s">
        <v>8</v>
      </c>
      <c r="P204">
        <f t="shared" si="959"/>
        <v>-0.27389796929173005</v>
      </c>
      <c r="Q204">
        <f t="shared" si="960"/>
        <v>-30327.047637048207</v>
      </c>
      <c r="R204">
        <f t="shared" si="961"/>
        <v>3503332.5610472336</v>
      </c>
      <c r="S204">
        <f t="shared" si="962"/>
        <v>35.033325610472339</v>
      </c>
      <c r="T204">
        <f t="shared" si="963"/>
        <v>3.5033325610472336E-2</v>
      </c>
    </row>
    <row r="205" spans="1:20" x14ac:dyDescent="0.25">
      <c r="A205" s="5">
        <v>44388</v>
      </c>
      <c r="B205">
        <v>207.86</v>
      </c>
      <c r="C205">
        <v>215</v>
      </c>
      <c r="D205">
        <v>204.21</v>
      </c>
      <c r="E205">
        <v>210.88</v>
      </c>
      <c r="F205">
        <v>64738.847900000001</v>
      </c>
      <c r="G205">
        <v>0</v>
      </c>
      <c r="L205" t="s">
        <v>7</v>
      </c>
      <c r="M205" t="s">
        <v>7</v>
      </c>
      <c r="N205" t="s">
        <v>8</v>
      </c>
      <c r="P205">
        <f t="shared" si="959"/>
        <v>0.23632993512511444</v>
      </c>
      <c r="Q205">
        <f t="shared" si="960"/>
        <v>15299.727724281651</v>
      </c>
      <c r="R205">
        <f t="shared" si="961"/>
        <v>3533659.6086842818</v>
      </c>
      <c r="S205">
        <f t="shared" si="962"/>
        <v>35.336596086842817</v>
      </c>
      <c r="T205">
        <f t="shared" si="963"/>
        <v>3.5336596086842816E-2</v>
      </c>
    </row>
    <row r="206" spans="1:20" x14ac:dyDescent="0.25">
      <c r="A206" s="5">
        <v>44387</v>
      </c>
      <c r="B206">
        <v>213.35</v>
      </c>
      <c r="C206">
        <v>219.03</v>
      </c>
      <c r="D206">
        <v>202.38</v>
      </c>
      <c r="E206">
        <v>207.75</v>
      </c>
      <c r="F206">
        <v>72094.393800000005</v>
      </c>
      <c r="G206">
        <v>0</v>
      </c>
      <c r="L206" t="s">
        <v>8</v>
      </c>
      <c r="M206" t="s">
        <v>7</v>
      </c>
      <c r="N206" t="s">
        <v>8</v>
      </c>
      <c r="P206">
        <f t="shared" si="959"/>
        <v>-0.3549549549549546</v>
      </c>
      <c r="Q206">
        <f t="shared" si="960"/>
        <v>-25590.262303783762</v>
      </c>
      <c r="R206">
        <f t="shared" si="961"/>
        <v>3518359.8809600002</v>
      </c>
      <c r="S206">
        <f t="shared" si="962"/>
        <v>35.183598809599999</v>
      </c>
      <c r="T206">
        <f t="shared" si="963"/>
        <v>3.5183598809600002E-2</v>
      </c>
    </row>
    <row r="207" spans="1:20" x14ac:dyDescent="0.25">
      <c r="A207" s="5">
        <v>44386</v>
      </c>
      <c r="B207">
        <v>212.58</v>
      </c>
      <c r="C207">
        <v>216.57</v>
      </c>
      <c r="D207">
        <v>200</v>
      </c>
      <c r="E207">
        <v>213.26</v>
      </c>
      <c r="F207">
        <v>118995.33930000001</v>
      </c>
      <c r="G207">
        <v>0</v>
      </c>
      <c r="L207" t="s">
        <v>7</v>
      </c>
      <c r="M207" t="s">
        <v>7</v>
      </c>
      <c r="N207" t="s">
        <v>8</v>
      </c>
      <c r="P207">
        <f t="shared" si="959"/>
        <v>0.60048280024139966</v>
      </c>
      <c r="Q207">
        <f t="shared" si="960"/>
        <v>71454.654558539478</v>
      </c>
      <c r="R207">
        <f t="shared" si="961"/>
        <v>3543950.1432637838</v>
      </c>
      <c r="S207">
        <f t="shared" si="962"/>
        <v>35.43950143263784</v>
      </c>
      <c r="T207">
        <f t="shared" si="963"/>
        <v>3.543950143263784E-2</v>
      </c>
    </row>
    <row r="208" spans="1:20" x14ac:dyDescent="0.25">
      <c r="A208" s="5">
        <v>44385</v>
      </c>
      <c r="B208">
        <v>236.84</v>
      </c>
      <c r="C208">
        <v>237.98</v>
      </c>
      <c r="D208">
        <v>202.62</v>
      </c>
      <c r="E208">
        <v>212.46</v>
      </c>
      <c r="F208">
        <v>238023.61300000001</v>
      </c>
      <c r="G208">
        <v>0</v>
      </c>
      <c r="L208" t="s">
        <v>7</v>
      </c>
      <c r="M208" t="s">
        <v>7</v>
      </c>
      <c r="N208" t="s">
        <v>8</v>
      </c>
      <c r="P208">
        <f t="shared" si="959"/>
        <v>-0.44343891402714891</v>
      </c>
      <c r="Q208">
        <f t="shared" si="960"/>
        <v>-105548.93246153837</v>
      </c>
      <c r="R208">
        <f t="shared" si="961"/>
        <v>3472495.4887052444</v>
      </c>
      <c r="S208">
        <f t="shared" si="962"/>
        <v>34.724954887052441</v>
      </c>
      <c r="T208">
        <f t="shared" si="963"/>
        <v>3.4724954887052441E-2</v>
      </c>
    </row>
    <row r="209" spans="1:20" x14ac:dyDescent="0.25">
      <c r="A209" s="5">
        <v>44384</v>
      </c>
      <c r="B209">
        <v>224.1</v>
      </c>
      <c r="C209">
        <v>244.72</v>
      </c>
      <c r="D209">
        <v>224.01</v>
      </c>
      <c r="E209">
        <v>236.86</v>
      </c>
      <c r="F209">
        <v>375152.26360000001</v>
      </c>
      <c r="G209">
        <v>0</v>
      </c>
      <c r="L209" t="s">
        <v>8</v>
      </c>
      <c r="M209" t="s">
        <v>8</v>
      </c>
      <c r="N209" t="s">
        <v>8</v>
      </c>
      <c r="P209">
        <f t="shared" si="959"/>
        <v>0.24094640270400944</v>
      </c>
      <c r="Q209">
        <f t="shared" si="960"/>
        <v>90391.588380686298</v>
      </c>
      <c r="R209">
        <f t="shared" si="961"/>
        <v>3578044.4211667827</v>
      </c>
      <c r="S209">
        <f t="shared" si="962"/>
        <v>35.780444211667827</v>
      </c>
      <c r="T209">
        <f t="shared" si="963"/>
        <v>3.5780444211667831E-2</v>
      </c>
    </row>
    <row r="210" spans="1:20" x14ac:dyDescent="0.25">
      <c r="A210" s="5">
        <v>44383</v>
      </c>
      <c r="B210">
        <v>198.24</v>
      </c>
      <c r="C210">
        <v>225.84</v>
      </c>
      <c r="D210">
        <v>197.46</v>
      </c>
      <c r="E210">
        <v>224.27</v>
      </c>
      <c r="F210">
        <v>222219.27119999999</v>
      </c>
      <c r="G210">
        <v>0</v>
      </c>
      <c r="L210" t="s">
        <v>8</v>
      </c>
      <c r="M210" t="s">
        <v>8</v>
      </c>
      <c r="N210" t="s">
        <v>8</v>
      </c>
      <c r="P210">
        <f t="shared" si="959"/>
        <v>0.88935870331219213</v>
      </c>
      <c r="Q210">
        <f t="shared" si="960"/>
        <v>197632.64288541235</v>
      </c>
      <c r="R210">
        <f t="shared" si="961"/>
        <v>3487652.8327860963</v>
      </c>
      <c r="S210">
        <f t="shared" si="962"/>
        <v>34.87652832786096</v>
      </c>
      <c r="T210">
        <f t="shared" si="963"/>
        <v>3.4876528327860958E-2</v>
      </c>
    </row>
    <row r="211" spans="1:20" x14ac:dyDescent="0.25">
      <c r="A211" s="5">
        <v>44382</v>
      </c>
      <c r="B211">
        <v>209.89</v>
      </c>
      <c r="C211">
        <v>209.89</v>
      </c>
      <c r="D211">
        <v>192.11</v>
      </c>
      <c r="E211">
        <v>198.13</v>
      </c>
      <c r="F211">
        <v>163225.13020000001</v>
      </c>
      <c r="G211">
        <v>0</v>
      </c>
      <c r="L211" t="s">
        <v>7</v>
      </c>
      <c r="M211" t="s">
        <v>7</v>
      </c>
      <c r="N211" t="s">
        <v>8</v>
      </c>
      <c r="P211">
        <f t="shared" si="959"/>
        <v>-0.32283464566929232</v>
      </c>
      <c r="Q211">
        <f t="shared" si="960"/>
        <v>-52694.727072441106</v>
      </c>
      <c r="R211">
        <f t="shared" si="961"/>
        <v>3290020.1899006837</v>
      </c>
      <c r="S211">
        <f t="shared" si="962"/>
        <v>32.900201899006838</v>
      </c>
      <c r="T211">
        <f t="shared" si="963"/>
        <v>3.2900201899006838E-2</v>
      </c>
    </row>
    <row r="212" spans="1:20" x14ac:dyDescent="0.25">
      <c r="A212" s="5">
        <v>44381</v>
      </c>
      <c r="B212">
        <v>206.67</v>
      </c>
      <c r="C212">
        <v>218</v>
      </c>
      <c r="D212">
        <v>200.46</v>
      </c>
      <c r="E212">
        <v>209.92</v>
      </c>
      <c r="F212">
        <v>168066.04879999999</v>
      </c>
      <c r="G212">
        <v>0</v>
      </c>
      <c r="L212" t="s">
        <v>8</v>
      </c>
      <c r="M212" t="s">
        <v>7</v>
      </c>
      <c r="N212" t="s">
        <v>8</v>
      </c>
      <c r="P212">
        <f t="shared" si="959"/>
        <v>7.8677309007979909E-2</v>
      </c>
      <c r="Q212">
        <f t="shared" si="960"/>
        <v>13222.98445518783</v>
      </c>
      <c r="R212">
        <f t="shared" si="961"/>
        <v>3342714.9169731247</v>
      </c>
      <c r="S212">
        <f t="shared" si="962"/>
        <v>33.427149169731244</v>
      </c>
      <c r="T212">
        <f t="shared" si="963"/>
        <v>3.3427149169731246E-2</v>
      </c>
    </row>
    <row r="213" spans="1:20" x14ac:dyDescent="0.25">
      <c r="A213" s="5">
        <v>44380</v>
      </c>
      <c r="B213">
        <v>204.05</v>
      </c>
      <c r="C213">
        <v>213.67</v>
      </c>
      <c r="D213">
        <v>198</v>
      </c>
      <c r="E213">
        <v>206.67</v>
      </c>
      <c r="F213">
        <v>156434.95300000001</v>
      </c>
      <c r="G213">
        <v>0</v>
      </c>
      <c r="L213" t="s">
        <v>8</v>
      </c>
      <c r="M213" t="s">
        <v>7</v>
      </c>
      <c r="N213" t="s">
        <v>8</v>
      </c>
      <c r="P213">
        <f t="shared" si="959"/>
        <v>0.10657306955966744</v>
      </c>
      <c r="Q213">
        <f t="shared" si="960"/>
        <v>16671.75312763231</v>
      </c>
      <c r="R213">
        <f t="shared" si="961"/>
        <v>3329491.9325179369</v>
      </c>
      <c r="S213">
        <f t="shared" si="962"/>
        <v>33.294919325179372</v>
      </c>
      <c r="T213">
        <f t="shared" si="963"/>
        <v>3.3294919325179369E-2</v>
      </c>
    </row>
    <row r="214" spans="1:20" x14ac:dyDescent="0.25">
      <c r="A214" s="5">
        <v>44379</v>
      </c>
      <c r="B214">
        <v>198.66</v>
      </c>
      <c r="C214">
        <v>207</v>
      </c>
      <c r="D214">
        <v>190.38</v>
      </c>
      <c r="E214">
        <v>203.92</v>
      </c>
      <c r="F214">
        <v>190896.87049999999</v>
      </c>
      <c r="G214">
        <v>0</v>
      </c>
      <c r="L214" t="s">
        <v>7</v>
      </c>
      <c r="M214" t="s">
        <v>7</v>
      </c>
      <c r="N214" t="s">
        <v>8</v>
      </c>
      <c r="P214">
        <f t="shared" si="959"/>
        <v>0.62936221419975791</v>
      </c>
      <c r="Q214">
        <f t="shared" si="960"/>
        <v>120143.27710168443</v>
      </c>
      <c r="R214">
        <f t="shared" si="961"/>
        <v>3312820.1793903047</v>
      </c>
      <c r="S214">
        <f t="shared" si="962"/>
        <v>33.128201793903045</v>
      </c>
      <c r="T214">
        <f t="shared" si="963"/>
        <v>3.3128201793903043E-2</v>
      </c>
    </row>
    <row r="215" spans="1:20" x14ac:dyDescent="0.25">
      <c r="A215" s="5">
        <v>44378</v>
      </c>
      <c r="B215">
        <v>214.79</v>
      </c>
      <c r="C215">
        <v>214.99</v>
      </c>
      <c r="D215">
        <v>193.2</v>
      </c>
      <c r="E215">
        <v>198.64</v>
      </c>
      <c r="F215">
        <v>276279.62099999998</v>
      </c>
      <c r="G215">
        <v>0</v>
      </c>
      <c r="L215" t="s">
        <v>8</v>
      </c>
      <c r="M215" t="s">
        <v>7</v>
      </c>
      <c r="N215" t="s">
        <v>8</v>
      </c>
      <c r="P215">
        <f t="shared" si="959"/>
        <v>-0.50068838916934444</v>
      </c>
      <c r="Q215">
        <f t="shared" si="960"/>
        <v>-138329.99839880699</v>
      </c>
      <c r="R215">
        <f t="shared" si="961"/>
        <v>3192676.9022886204</v>
      </c>
      <c r="S215">
        <f t="shared" si="962"/>
        <v>31.926769022886205</v>
      </c>
      <c r="T215">
        <f t="shared" si="963"/>
        <v>3.1926769022886207E-2</v>
      </c>
    </row>
    <row r="216" spans="1:20" x14ac:dyDescent="0.25">
      <c r="A216" s="5">
        <v>44377</v>
      </c>
      <c r="B216">
        <v>214.33</v>
      </c>
      <c r="C216">
        <v>216.68</v>
      </c>
      <c r="D216">
        <v>191.12</v>
      </c>
      <c r="E216">
        <v>215.05</v>
      </c>
      <c r="F216">
        <v>395014.66639999999</v>
      </c>
      <c r="G216">
        <v>0</v>
      </c>
      <c r="L216" t="s">
        <v>7</v>
      </c>
      <c r="M216" t="s">
        <v>7</v>
      </c>
      <c r="N216" t="s">
        <v>8</v>
      </c>
      <c r="P216">
        <f t="shared" si="959"/>
        <v>0.87245696400626016</v>
      </c>
      <c r="Q216">
        <f t="shared" si="960"/>
        <v>344633.29658528965</v>
      </c>
      <c r="R216">
        <f t="shared" si="961"/>
        <v>3331006.9006874273</v>
      </c>
      <c r="S216">
        <f t="shared" si="962"/>
        <v>33.310069006874272</v>
      </c>
      <c r="T216">
        <f t="shared" si="963"/>
        <v>3.331006900687427E-2</v>
      </c>
    </row>
    <row r="217" spans="1:20" x14ac:dyDescent="0.25">
      <c r="A217" s="5">
        <v>44376</v>
      </c>
      <c r="B217">
        <v>219.95</v>
      </c>
      <c r="C217">
        <v>238.45</v>
      </c>
      <c r="D217">
        <v>206.1</v>
      </c>
      <c r="E217">
        <v>213.61</v>
      </c>
      <c r="F217">
        <v>529972.67290000001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-0.53570324574961237</v>
      </c>
      <c r="Q217">
        <f t="shared" si="960"/>
        <v>-283908.08103112766</v>
      </c>
      <c r="R217">
        <f t="shared" si="961"/>
        <v>2986373.6041021375</v>
      </c>
      <c r="S217">
        <f t="shared" si="962"/>
        <v>29.863736041021376</v>
      </c>
      <c r="T217">
        <f t="shared" si="963"/>
        <v>2.9863736041021376E-2</v>
      </c>
    </row>
    <row r="218" spans="1:20" x14ac:dyDescent="0.25">
      <c r="A218" s="5">
        <v>44375</v>
      </c>
      <c r="B218">
        <v>179.39</v>
      </c>
      <c r="C218">
        <v>230</v>
      </c>
      <c r="D218">
        <v>175.5</v>
      </c>
      <c r="E218">
        <v>219.94</v>
      </c>
      <c r="F218">
        <v>565344.74990000005</v>
      </c>
      <c r="G218">
        <v>0</v>
      </c>
      <c r="L218" t="s">
        <v>8</v>
      </c>
      <c r="M218" t="s">
        <v>8</v>
      </c>
      <c r="N218" t="s">
        <v>8</v>
      </c>
      <c r="P218">
        <f t="shared" si="959"/>
        <v>0.63082568807339445</v>
      </c>
      <c r="Q218">
        <f t="shared" si="960"/>
        <v>356633.99085434864</v>
      </c>
      <c r="R218">
        <f t="shared" si="961"/>
        <v>3270281.6851332653</v>
      </c>
      <c r="S218">
        <f t="shared" si="962"/>
        <v>32.702816851332656</v>
      </c>
      <c r="T218">
        <f t="shared" si="963"/>
        <v>3.2702816851332653E-2</v>
      </c>
    </row>
    <row r="219" spans="1:20" x14ac:dyDescent="0.25">
      <c r="A219" s="5">
        <v>44374</v>
      </c>
      <c r="B219">
        <v>173.01</v>
      </c>
      <c r="C219">
        <v>179.51</v>
      </c>
      <c r="D219">
        <v>161.83000000000001</v>
      </c>
      <c r="E219">
        <v>179.4</v>
      </c>
      <c r="F219">
        <v>216719.3064</v>
      </c>
      <c r="G219">
        <v>0</v>
      </c>
      <c r="L219" t="s">
        <v>8</v>
      </c>
      <c r="M219" t="s">
        <v>7</v>
      </c>
      <c r="N219" t="s">
        <v>7</v>
      </c>
      <c r="P219">
        <f t="shared" si="959"/>
        <v>0.98755656108597456</v>
      </c>
      <c r="Q219">
        <f t="shared" si="960"/>
        <v>214022.57294932165</v>
      </c>
      <c r="R219">
        <f t="shared" si="961"/>
        <v>2913647.6942789168</v>
      </c>
      <c r="S219">
        <f t="shared" si="962"/>
        <v>29.136476942789169</v>
      </c>
      <c r="T219">
        <f t="shared" si="963"/>
        <v>2.9136476942789171E-2</v>
      </c>
    </row>
    <row r="220" spans="1:20" x14ac:dyDescent="0.25">
      <c r="A220" s="5">
        <v>44373</v>
      </c>
      <c r="B220">
        <v>174</v>
      </c>
      <c r="C220">
        <v>181.2</v>
      </c>
      <c r="D220">
        <v>156.69</v>
      </c>
      <c r="E220">
        <v>173.49</v>
      </c>
      <c r="F220">
        <v>300592.1116</v>
      </c>
      <c r="G220">
        <v>0</v>
      </c>
      <c r="L220" t="s">
        <v>7</v>
      </c>
      <c r="M220" t="s">
        <v>7</v>
      </c>
      <c r="N220" t="s">
        <v>7</v>
      </c>
      <c r="P220">
        <f t="shared" si="959"/>
        <v>0.37086903304773705</v>
      </c>
      <c r="Q220">
        <f t="shared" si="960"/>
        <v>111480.30577086947</v>
      </c>
      <c r="R220">
        <f t="shared" si="961"/>
        <v>2699625.1213295953</v>
      </c>
      <c r="S220">
        <f t="shared" si="962"/>
        <v>26.996251213295952</v>
      </c>
      <c r="T220">
        <f t="shared" si="963"/>
        <v>2.6996251213295953E-2</v>
      </c>
    </row>
    <row r="221" spans="1:20" x14ac:dyDescent="0.25">
      <c r="A221" s="5">
        <v>44372</v>
      </c>
      <c r="B221">
        <v>205.76</v>
      </c>
      <c r="C221">
        <v>213.3</v>
      </c>
      <c r="D221">
        <v>172.17</v>
      </c>
      <c r="E221">
        <v>174</v>
      </c>
      <c r="F221">
        <v>328901.28399999999</v>
      </c>
      <c r="G221">
        <v>0</v>
      </c>
      <c r="L221" t="s">
        <v>7</v>
      </c>
      <c r="M221" t="s">
        <v>7</v>
      </c>
      <c r="N221" t="s">
        <v>7</v>
      </c>
      <c r="P221">
        <f t="shared" si="959"/>
        <v>-0.91101385849744654</v>
      </c>
      <c r="Q221">
        <f t="shared" si="960"/>
        <v>-299633.62780160445</v>
      </c>
      <c r="R221">
        <f t="shared" si="961"/>
        <v>2588144.815558726</v>
      </c>
      <c r="S221">
        <f t="shared" si="962"/>
        <v>25.881448155587261</v>
      </c>
      <c r="T221">
        <f t="shared" si="963"/>
        <v>2.588144815558726E-2</v>
      </c>
    </row>
    <row r="222" spans="1:20" x14ac:dyDescent="0.25">
      <c r="A222" s="5">
        <v>44371</v>
      </c>
      <c r="B222">
        <v>204.11</v>
      </c>
      <c r="C222">
        <v>217.27</v>
      </c>
      <c r="D222">
        <v>186.35</v>
      </c>
      <c r="E222">
        <v>205.75</v>
      </c>
      <c r="F222">
        <v>279429.06319999998</v>
      </c>
      <c r="G222">
        <v>0</v>
      </c>
      <c r="L222" t="s">
        <v>7</v>
      </c>
      <c r="M222" t="s">
        <v>7</v>
      </c>
      <c r="N222" t="s">
        <v>7</v>
      </c>
      <c r="P222">
        <f t="shared" si="959"/>
        <v>0.25485122897800749</v>
      </c>
      <c r="Q222">
        <f t="shared" si="960"/>
        <v>71212.840168693321</v>
      </c>
      <c r="R222">
        <f t="shared" si="961"/>
        <v>2887778.4433603305</v>
      </c>
      <c r="S222">
        <f t="shared" si="962"/>
        <v>28.877784433603306</v>
      </c>
      <c r="T222">
        <f t="shared" si="963"/>
        <v>2.8877784433603306E-2</v>
      </c>
    </row>
    <row r="223" spans="1:20" x14ac:dyDescent="0.25">
      <c r="A223" s="5">
        <v>44370</v>
      </c>
      <c r="B223">
        <v>182.84</v>
      </c>
      <c r="C223">
        <v>225</v>
      </c>
      <c r="D223">
        <v>172.5</v>
      </c>
      <c r="E223">
        <v>204.07</v>
      </c>
      <c r="F223">
        <v>443183.60680000001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0.20266666666666641</v>
      </c>
      <c r="Q223">
        <f t="shared" si="960"/>
        <v>89818.544311466554</v>
      </c>
      <c r="R223">
        <f t="shared" si="961"/>
        <v>2816565.6031916374</v>
      </c>
      <c r="S223">
        <f t="shared" si="962"/>
        <v>28.165656031916374</v>
      </c>
      <c r="T223">
        <f t="shared" si="963"/>
        <v>2.8165656031916373E-2</v>
      </c>
    </row>
    <row r="224" spans="1:20" x14ac:dyDescent="0.25">
      <c r="A224" s="5">
        <v>44369</v>
      </c>
      <c r="B224">
        <v>211.63</v>
      </c>
      <c r="C224">
        <v>235.33</v>
      </c>
      <c r="D224">
        <v>163.49</v>
      </c>
      <c r="E224">
        <v>182.82</v>
      </c>
      <c r="F224">
        <v>737801.16980000003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-0.46185968819599155</v>
      </c>
      <c r="Q224">
        <f t="shared" si="960"/>
        <v>-340760.61823446583</v>
      </c>
      <c r="R224">
        <f t="shared" si="961"/>
        <v>2726747.0588801708</v>
      </c>
      <c r="S224">
        <f t="shared" si="962"/>
        <v>27.267470588801707</v>
      </c>
      <c r="T224">
        <f t="shared" si="963"/>
        <v>2.7267470588801707E-2</v>
      </c>
    </row>
    <row r="225" spans="1:20" x14ac:dyDescent="0.25">
      <c r="A225" s="5">
        <v>44368</v>
      </c>
      <c r="B225">
        <v>300.25</v>
      </c>
      <c r="C225">
        <v>302.77</v>
      </c>
      <c r="D225">
        <v>207.66</v>
      </c>
      <c r="E225">
        <v>211.72</v>
      </c>
      <c r="F225">
        <v>449328.87099999998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-0.91462517085479966</v>
      </c>
      <c r="Q225">
        <f t="shared" si="960"/>
        <v>-410967.49540836923</v>
      </c>
      <c r="R225">
        <f t="shared" si="961"/>
        <v>3067507.6771146366</v>
      </c>
      <c r="S225">
        <f t="shared" si="962"/>
        <v>30.675076771146365</v>
      </c>
      <c r="T225">
        <f t="shared" si="963"/>
        <v>3.0675076771146365E-2</v>
      </c>
    </row>
    <row r="226" spans="1:20" x14ac:dyDescent="0.25">
      <c r="A226" s="5">
        <v>44367</v>
      </c>
      <c r="B226">
        <v>300.5</v>
      </c>
      <c r="C226">
        <v>315</v>
      </c>
      <c r="D226">
        <v>271.81</v>
      </c>
      <c r="E226">
        <v>300.05</v>
      </c>
      <c r="F226">
        <v>219907.3708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0.30771011808289006</v>
      </c>
      <c r="Q226">
        <f t="shared" si="960"/>
        <v>67667.723036165888</v>
      </c>
      <c r="R226">
        <f t="shared" si="961"/>
        <v>3478475.1725230059</v>
      </c>
      <c r="S226">
        <f t="shared" si="962"/>
        <v>34.784751725230059</v>
      </c>
      <c r="T226">
        <f t="shared" si="963"/>
        <v>3.4784751725230059E-2</v>
      </c>
    </row>
    <row r="227" spans="1:20" x14ac:dyDescent="0.25">
      <c r="A227" s="5">
        <v>44366</v>
      </c>
      <c r="B227">
        <v>315.52999999999997</v>
      </c>
      <c r="C227">
        <v>327.8</v>
      </c>
      <c r="D227">
        <v>300.11</v>
      </c>
      <c r="E227">
        <v>300.48</v>
      </c>
      <c r="F227">
        <v>143139.5036</v>
      </c>
      <c r="G227">
        <v>0</v>
      </c>
      <c r="L227" t="s">
        <v>8</v>
      </c>
      <c r="M227" t="s">
        <v>7</v>
      </c>
      <c r="N227" t="s">
        <v>7</v>
      </c>
      <c r="P227">
        <f t="shared" si="959"/>
        <v>-0.97327555074033911</v>
      </c>
      <c r="Q227">
        <f t="shared" si="960"/>
        <v>-139314.17919898874</v>
      </c>
      <c r="R227">
        <f t="shared" si="961"/>
        <v>3410807.4494868401</v>
      </c>
      <c r="S227">
        <f t="shared" si="962"/>
        <v>34.108074494868397</v>
      </c>
      <c r="T227">
        <f t="shared" si="963"/>
        <v>3.4108074494868398E-2</v>
      </c>
    </row>
    <row r="228" spans="1:20" x14ac:dyDescent="0.25">
      <c r="A228" s="5">
        <v>44365</v>
      </c>
      <c r="B228">
        <v>347.48</v>
      </c>
      <c r="C228">
        <v>347.58</v>
      </c>
      <c r="D228">
        <v>299.56</v>
      </c>
      <c r="E228">
        <v>315.54000000000002</v>
      </c>
      <c r="F228">
        <v>223646.6868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-0.33444398167430134</v>
      </c>
      <c r="Q228">
        <f t="shared" si="960"/>
        <v>-74797.288421657417</v>
      </c>
      <c r="R228">
        <f t="shared" si="961"/>
        <v>3550121.6286858288</v>
      </c>
      <c r="S228">
        <f t="shared" si="962"/>
        <v>35.501216286858288</v>
      </c>
      <c r="T228">
        <f t="shared" si="963"/>
        <v>3.5501216286858289E-2</v>
      </c>
    </row>
    <row r="229" spans="1:20" x14ac:dyDescent="0.25">
      <c r="A229" s="5">
        <v>44364</v>
      </c>
      <c r="B229">
        <v>366.66</v>
      </c>
      <c r="C229">
        <v>377.4</v>
      </c>
      <c r="D229">
        <v>338.1</v>
      </c>
      <c r="E229">
        <v>347.23</v>
      </c>
      <c r="F229">
        <v>151563.36660000001</v>
      </c>
      <c r="G229">
        <v>0</v>
      </c>
      <c r="L229" t="s">
        <v>7</v>
      </c>
      <c r="M229" t="s">
        <v>7</v>
      </c>
      <c r="N229" t="s">
        <v>7</v>
      </c>
      <c r="P229">
        <f t="shared" si="959"/>
        <v>-0.53536895674300222</v>
      </c>
      <c r="Q229">
        <f t="shared" si="960"/>
        <v>-81142.321457099199</v>
      </c>
      <c r="R229">
        <f t="shared" si="961"/>
        <v>3624918.9171074862</v>
      </c>
      <c r="S229">
        <f t="shared" si="962"/>
        <v>36.24918917107486</v>
      </c>
      <c r="T229">
        <f t="shared" si="963"/>
        <v>3.6249189171074864E-2</v>
      </c>
    </row>
    <row r="230" spans="1:20" x14ac:dyDescent="0.25">
      <c r="A230" s="5">
        <v>44363</v>
      </c>
      <c r="B230">
        <v>380</v>
      </c>
      <c r="C230">
        <v>389.77</v>
      </c>
      <c r="D230">
        <v>353.93</v>
      </c>
      <c r="E230">
        <v>366.92</v>
      </c>
      <c r="F230">
        <v>234387.4952</v>
      </c>
      <c r="G230">
        <v>0</v>
      </c>
      <c r="L230" t="s">
        <v>7</v>
      </c>
      <c r="M230" t="s">
        <v>7</v>
      </c>
      <c r="N230" t="s">
        <v>7</v>
      </c>
      <c r="P230">
        <f t="shared" si="959"/>
        <v>-0.27511160714285615</v>
      </c>
      <c r="Q230">
        <f t="shared" si="960"/>
        <v>-64482.720498660485</v>
      </c>
      <c r="R230">
        <f t="shared" si="961"/>
        <v>3706061.2385645853</v>
      </c>
      <c r="S230">
        <f t="shared" si="962"/>
        <v>37.060612385645854</v>
      </c>
      <c r="T230">
        <f t="shared" si="963"/>
        <v>3.7060612385645855E-2</v>
      </c>
    </row>
    <row r="231" spans="1:20" x14ac:dyDescent="0.25">
      <c r="A231" s="5">
        <v>44362</v>
      </c>
      <c r="B231">
        <v>427.01</v>
      </c>
      <c r="C231">
        <v>429.16</v>
      </c>
      <c r="D231">
        <v>380</v>
      </c>
      <c r="E231">
        <v>380</v>
      </c>
      <c r="F231">
        <v>236591.4423</v>
      </c>
      <c r="G231">
        <v>0</v>
      </c>
      <c r="L231" t="s">
        <v>7</v>
      </c>
      <c r="M231" t="s">
        <v>7</v>
      </c>
      <c r="N231" t="s">
        <v>8</v>
      </c>
      <c r="P231">
        <f t="shared" si="959"/>
        <v>-1</v>
      </c>
      <c r="Q231">
        <f t="shared" si="960"/>
        <v>-236591.4423</v>
      </c>
      <c r="R231">
        <f t="shared" si="961"/>
        <v>3770543.9590632459</v>
      </c>
      <c r="S231">
        <f t="shared" si="962"/>
        <v>37.705439590632459</v>
      </c>
      <c r="T231">
        <f t="shared" si="963"/>
        <v>3.770543959063246E-2</v>
      </c>
    </row>
    <row r="232" spans="1:20" x14ac:dyDescent="0.25">
      <c r="A232" s="5">
        <v>44361</v>
      </c>
      <c r="B232">
        <v>434.09</v>
      </c>
      <c r="C232">
        <v>439.6</v>
      </c>
      <c r="D232">
        <v>398</v>
      </c>
      <c r="E232">
        <v>427</v>
      </c>
      <c r="F232">
        <v>245270.46290000001</v>
      </c>
      <c r="G232">
        <v>0</v>
      </c>
      <c r="L232" t="s">
        <v>7</v>
      </c>
      <c r="M232" t="s">
        <v>8</v>
      </c>
      <c r="N232" t="s">
        <v>8</v>
      </c>
      <c r="P232">
        <f t="shared" si="959"/>
        <v>0.3942307692307685</v>
      </c>
      <c r="Q232">
        <f t="shared" si="960"/>
        <v>96693.163258653673</v>
      </c>
      <c r="R232">
        <f t="shared" si="961"/>
        <v>4007135.4013632457</v>
      </c>
      <c r="S232">
        <f t="shared" si="962"/>
        <v>40.071354013632458</v>
      </c>
      <c r="T232">
        <f t="shared" si="963"/>
        <v>4.007135401363246E-2</v>
      </c>
    </row>
    <row r="233" spans="1:20" x14ac:dyDescent="0.25">
      <c r="A233" s="5">
        <v>44360</v>
      </c>
      <c r="B233">
        <v>399.58</v>
      </c>
      <c r="C233">
        <v>449.62</v>
      </c>
      <c r="D233">
        <v>385.28</v>
      </c>
      <c r="E233">
        <v>434.1</v>
      </c>
      <c r="F233">
        <v>208172.83749999999</v>
      </c>
      <c r="G233">
        <v>0</v>
      </c>
      <c r="L233" t="s">
        <v>8</v>
      </c>
      <c r="M233" t="s">
        <v>8</v>
      </c>
      <c r="N233" t="s">
        <v>8</v>
      </c>
      <c r="P233">
        <f t="shared" si="959"/>
        <v>0.51756294684488735</v>
      </c>
      <c r="Q233">
        <f t="shared" si="960"/>
        <v>107742.54722956187</v>
      </c>
      <c r="R233">
        <f t="shared" si="961"/>
        <v>3910442.2381045921</v>
      </c>
      <c r="S233">
        <f t="shared" si="962"/>
        <v>39.104422381045921</v>
      </c>
      <c r="T233">
        <f t="shared" si="963"/>
        <v>3.9104422381045924E-2</v>
      </c>
    </row>
    <row r="234" spans="1:20" x14ac:dyDescent="0.25">
      <c r="A234" s="5">
        <v>44359</v>
      </c>
      <c r="B234">
        <v>415.65</v>
      </c>
      <c r="C234">
        <v>428.34</v>
      </c>
      <c r="D234">
        <v>383.34</v>
      </c>
      <c r="E234">
        <v>399.56</v>
      </c>
      <c r="F234">
        <v>287034.78759999998</v>
      </c>
      <c r="G234">
        <v>0</v>
      </c>
      <c r="L234" t="s">
        <v>7</v>
      </c>
      <c r="M234" t="s">
        <v>7</v>
      </c>
      <c r="N234" t="s">
        <v>8</v>
      </c>
      <c r="P234">
        <f t="shared" si="959"/>
        <v>-0.27911111111110992</v>
      </c>
      <c r="Q234">
        <f t="shared" si="960"/>
        <v>-80114.598494577425</v>
      </c>
      <c r="R234">
        <f t="shared" si="961"/>
        <v>3802699.6908750301</v>
      </c>
      <c r="S234">
        <f t="shared" si="962"/>
        <v>38.026996908750299</v>
      </c>
      <c r="T234">
        <f t="shared" si="963"/>
        <v>3.8026996908750298E-2</v>
      </c>
    </row>
    <row r="235" spans="1:20" x14ac:dyDescent="0.25">
      <c r="A235" s="5">
        <v>44358</v>
      </c>
      <c r="B235">
        <v>474.42</v>
      </c>
      <c r="C235">
        <v>493.62</v>
      </c>
      <c r="D235">
        <v>404.32</v>
      </c>
      <c r="E235">
        <v>415.93</v>
      </c>
      <c r="F235">
        <v>312402.8211</v>
      </c>
      <c r="G235">
        <v>0</v>
      </c>
      <c r="L235" t="s">
        <v>7</v>
      </c>
      <c r="M235" t="s">
        <v>7</v>
      </c>
      <c r="N235" t="s">
        <v>8</v>
      </c>
      <c r="P235">
        <f t="shared" si="959"/>
        <v>-0.73997760358342635</v>
      </c>
      <c r="Q235">
        <f t="shared" si="960"/>
        <v>-231171.09091027986</v>
      </c>
      <c r="R235">
        <f t="shared" si="961"/>
        <v>3882814.2893696073</v>
      </c>
      <c r="S235">
        <f t="shared" si="962"/>
        <v>38.828142893696075</v>
      </c>
      <c r="T235">
        <f t="shared" si="963"/>
        <v>3.8828142893696078E-2</v>
      </c>
    </row>
    <row r="236" spans="1:20" x14ac:dyDescent="0.25">
      <c r="A236" s="5">
        <v>44357</v>
      </c>
      <c r="B236">
        <v>510.47</v>
      </c>
      <c r="C236">
        <v>537</v>
      </c>
      <c r="D236">
        <v>458</v>
      </c>
      <c r="E236">
        <v>474.3</v>
      </c>
      <c r="F236">
        <v>516906.3676</v>
      </c>
      <c r="G236">
        <v>0</v>
      </c>
      <c r="L236" t="s">
        <v>8</v>
      </c>
      <c r="M236" t="s">
        <v>8</v>
      </c>
      <c r="N236" t="s">
        <v>8</v>
      </c>
      <c r="P236">
        <f t="shared" si="959"/>
        <v>-0.58734177215189842</v>
      </c>
      <c r="Q236">
        <f t="shared" si="960"/>
        <v>-303600.70198278467</v>
      </c>
      <c r="R236">
        <f t="shared" si="961"/>
        <v>4113985.380279887</v>
      </c>
      <c r="S236">
        <f t="shared" si="962"/>
        <v>41.139853802798868</v>
      </c>
      <c r="T236">
        <f t="shared" si="963"/>
        <v>4.1139853802798866E-2</v>
      </c>
    </row>
    <row r="237" spans="1:20" x14ac:dyDescent="0.25">
      <c r="A237" s="5">
        <v>44356</v>
      </c>
      <c r="B237">
        <v>411.78</v>
      </c>
      <c r="C237">
        <v>518.57000000000005</v>
      </c>
      <c r="D237">
        <v>388.16</v>
      </c>
      <c r="E237">
        <v>510.21</v>
      </c>
      <c r="F237">
        <v>468573.66739999998</v>
      </c>
      <c r="G237">
        <v>0</v>
      </c>
      <c r="L237" t="s">
        <v>8</v>
      </c>
      <c r="M237" t="s">
        <v>8</v>
      </c>
      <c r="N237" t="s">
        <v>8</v>
      </c>
      <c r="P237">
        <f t="shared" si="959"/>
        <v>0.87178897323824756</v>
      </c>
      <c r="Q237">
        <f t="shared" si="960"/>
        <v>408497.3563891261</v>
      </c>
      <c r="R237">
        <f t="shared" si="961"/>
        <v>4417586.0822626716</v>
      </c>
      <c r="S237">
        <f t="shared" si="962"/>
        <v>44.175860822626717</v>
      </c>
      <c r="T237">
        <f t="shared" si="963"/>
        <v>4.4175860822626714E-2</v>
      </c>
    </row>
    <row r="238" spans="1:20" x14ac:dyDescent="0.25">
      <c r="A238" s="5">
        <v>44355</v>
      </c>
      <c r="B238">
        <v>378.6</v>
      </c>
      <c r="C238">
        <v>420</v>
      </c>
      <c r="D238">
        <v>342.35</v>
      </c>
      <c r="E238">
        <v>411.21</v>
      </c>
      <c r="F238">
        <v>488366.84029999998</v>
      </c>
      <c r="G238">
        <v>0</v>
      </c>
      <c r="L238" t="s">
        <v>7</v>
      </c>
      <c r="M238" t="s">
        <v>7</v>
      </c>
      <c r="N238" t="s">
        <v>8</v>
      </c>
      <c r="P238">
        <f t="shared" si="959"/>
        <v>0.77359948486799679</v>
      </c>
      <c r="Q238">
        <f t="shared" si="960"/>
        <v>377800.33608269127</v>
      </c>
      <c r="R238">
        <f t="shared" si="961"/>
        <v>4009088.7258735453</v>
      </c>
      <c r="S238">
        <f t="shared" si="962"/>
        <v>40.090887258735449</v>
      </c>
      <c r="T238">
        <f t="shared" si="963"/>
        <v>4.0090887258735448E-2</v>
      </c>
    </row>
    <row r="239" spans="1:20" x14ac:dyDescent="0.25">
      <c r="A239" s="5">
        <v>44354</v>
      </c>
      <c r="B239">
        <v>422.59</v>
      </c>
      <c r="C239">
        <v>446.59</v>
      </c>
      <c r="D239">
        <v>367.41</v>
      </c>
      <c r="E239">
        <v>378.28</v>
      </c>
      <c r="F239">
        <v>205872.25210000001</v>
      </c>
      <c r="G239">
        <v>0</v>
      </c>
      <c r="L239" t="s">
        <v>7</v>
      </c>
      <c r="M239" t="s">
        <v>7</v>
      </c>
      <c r="N239" t="s">
        <v>8</v>
      </c>
      <c r="P239">
        <f t="shared" si="959"/>
        <v>-0.72543571608992286</v>
      </c>
      <c r="Q239">
        <f t="shared" si="960"/>
        <v>-149347.08462520863</v>
      </c>
      <c r="R239">
        <f t="shared" si="961"/>
        <v>3631288.389790854</v>
      </c>
      <c r="S239">
        <f t="shared" si="962"/>
        <v>36.312883897908542</v>
      </c>
      <c r="T239">
        <f t="shared" si="963"/>
        <v>3.6312883897908543E-2</v>
      </c>
    </row>
    <row r="240" spans="1:20" x14ac:dyDescent="0.25">
      <c r="A240" s="5">
        <v>44353</v>
      </c>
      <c r="B240">
        <v>402.6</v>
      </c>
      <c r="C240">
        <v>423.18</v>
      </c>
      <c r="D240">
        <v>395.88</v>
      </c>
      <c r="E240">
        <v>422.47</v>
      </c>
      <c r="F240">
        <v>91559.700200000007</v>
      </c>
      <c r="G240">
        <v>0</v>
      </c>
      <c r="L240" t="s">
        <v>7</v>
      </c>
      <c r="M240" t="s">
        <v>8</v>
      </c>
      <c r="N240" t="s">
        <v>8</v>
      </c>
      <c r="P240">
        <f t="shared" si="959"/>
        <v>0.9479853479853495</v>
      </c>
      <c r="Q240">
        <f t="shared" si="960"/>
        <v>86797.254255531283</v>
      </c>
      <c r="R240">
        <f t="shared" si="961"/>
        <v>3780635.4744160627</v>
      </c>
      <c r="S240">
        <f t="shared" si="962"/>
        <v>37.806354744160629</v>
      </c>
      <c r="T240">
        <f t="shared" si="963"/>
        <v>3.7806354744160629E-2</v>
      </c>
    </row>
    <row r="241" spans="1:20" x14ac:dyDescent="0.25">
      <c r="A241" s="5">
        <v>44352</v>
      </c>
      <c r="B241">
        <v>418.06</v>
      </c>
      <c r="C241">
        <v>454.19</v>
      </c>
      <c r="D241">
        <v>383.01</v>
      </c>
      <c r="E241">
        <v>401.98</v>
      </c>
      <c r="F241">
        <v>221195.32149999999</v>
      </c>
      <c r="G241">
        <v>0</v>
      </c>
      <c r="L241" t="s">
        <v>8</v>
      </c>
      <c r="M241" t="s">
        <v>8</v>
      </c>
      <c r="N241" t="s">
        <v>8</v>
      </c>
      <c r="P241">
        <f t="shared" si="959"/>
        <v>-0.46698510817645333</v>
      </c>
      <c r="Q241">
        <f t="shared" si="960"/>
        <v>-103294.92113880286</v>
      </c>
      <c r="R241">
        <f t="shared" si="961"/>
        <v>3693838.2201605313</v>
      </c>
      <c r="S241">
        <f t="shared" si="962"/>
        <v>36.938382201605314</v>
      </c>
      <c r="T241">
        <f t="shared" si="963"/>
        <v>3.6938382201605315E-2</v>
      </c>
    </row>
    <row r="242" spans="1:20" x14ac:dyDescent="0.25">
      <c r="A242" s="5">
        <v>44351</v>
      </c>
      <c r="B242">
        <v>463.72</v>
      </c>
      <c r="C242">
        <v>464.13</v>
      </c>
      <c r="D242">
        <v>380.2</v>
      </c>
      <c r="E242">
        <v>419.04</v>
      </c>
      <c r="F242">
        <v>389381.4118</v>
      </c>
      <c r="G242">
        <v>0</v>
      </c>
      <c r="L242" t="s">
        <v>7</v>
      </c>
      <c r="M242" t="s">
        <v>7</v>
      </c>
      <c r="N242" t="s">
        <v>8</v>
      </c>
      <c r="P242">
        <f t="shared" si="959"/>
        <v>-7.4466817586082965E-2</v>
      </c>
      <c r="Q242">
        <f t="shared" si="960"/>
        <v>-28995.994563922053</v>
      </c>
      <c r="R242">
        <f t="shared" si="961"/>
        <v>3797133.1412993344</v>
      </c>
      <c r="S242">
        <f t="shared" si="962"/>
        <v>37.971331412993344</v>
      </c>
      <c r="T242">
        <f t="shared" si="963"/>
        <v>3.7971331412993345E-2</v>
      </c>
    </row>
    <row r="243" spans="1:20" x14ac:dyDescent="0.25">
      <c r="A243" s="5">
        <v>44350</v>
      </c>
      <c r="B243">
        <v>446.63</v>
      </c>
      <c r="C243">
        <v>487.77</v>
      </c>
      <c r="D243">
        <v>445.09</v>
      </c>
      <c r="E243">
        <v>463.53</v>
      </c>
      <c r="F243">
        <v>244496.97029999999</v>
      </c>
      <c r="G243">
        <v>0</v>
      </c>
      <c r="L243" t="s">
        <v>8</v>
      </c>
      <c r="M243" t="s">
        <v>8</v>
      </c>
      <c r="N243" t="s">
        <v>8</v>
      </c>
      <c r="P243">
        <f t="shared" si="959"/>
        <v>-0.13589503280224954</v>
      </c>
      <c r="Q243">
        <f t="shared" si="960"/>
        <v>-33225.923798969132</v>
      </c>
      <c r="R243">
        <f t="shared" si="961"/>
        <v>3826129.1358632566</v>
      </c>
      <c r="S243">
        <f t="shared" si="962"/>
        <v>38.261291358632569</v>
      </c>
      <c r="T243">
        <f t="shared" si="963"/>
        <v>3.8261291358632571E-2</v>
      </c>
    </row>
    <row r="244" spans="1:20" x14ac:dyDescent="0.25">
      <c r="A244" s="5">
        <v>44349</v>
      </c>
      <c r="B244">
        <v>367.69</v>
      </c>
      <c r="C244">
        <v>477</v>
      </c>
      <c r="D244">
        <v>361.12</v>
      </c>
      <c r="E244">
        <v>446.53</v>
      </c>
      <c r="F244">
        <v>301115.4742</v>
      </c>
      <c r="G244">
        <v>0</v>
      </c>
      <c r="L244" t="s">
        <v>8</v>
      </c>
      <c r="M244" t="s">
        <v>8</v>
      </c>
      <c r="N244" t="s">
        <v>8</v>
      </c>
      <c r="P244">
        <f t="shared" si="959"/>
        <v>0.47411114946496324</v>
      </c>
      <c r="Q244">
        <f t="shared" si="960"/>
        <v>142762.20359464947</v>
      </c>
      <c r="R244">
        <f t="shared" si="961"/>
        <v>3859355.0596622257</v>
      </c>
      <c r="S244">
        <f t="shared" si="962"/>
        <v>38.593550596622258</v>
      </c>
      <c r="T244">
        <f t="shared" si="963"/>
        <v>3.8593550596622256E-2</v>
      </c>
    </row>
    <row r="245" spans="1:20" x14ac:dyDescent="0.25">
      <c r="A245" s="5">
        <v>44348</v>
      </c>
      <c r="B245">
        <v>371.09</v>
      </c>
      <c r="C245">
        <v>377.21</v>
      </c>
      <c r="D245">
        <v>347.14</v>
      </c>
      <c r="E245">
        <v>367.28</v>
      </c>
      <c r="F245">
        <v>191397.25260000001</v>
      </c>
      <c r="G245">
        <v>0</v>
      </c>
      <c r="L245" t="s">
        <v>7</v>
      </c>
      <c r="M245" t="s">
        <v>8</v>
      </c>
      <c r="N245" t="s">
        <v>8</v>
      </c>
      <c r="P245">
        <f t="shared" si="959"/>
        <v>0.33954107083471841</v>
      </c>
      <c r="Q245">
        <f t="shared" si="960"/>
        <v>64987.228102627094</v>
      </c>
      <c r="R245">
        <f t="shared" si="961"/>
        <v>3716592.856067576</v>
      </c>
      <c r="S245">
        <f t="shared" si="962"/>
        <v>37.165928560675759</v>
      </c>
      <c r="T245">
        <f t="shared" si="963"/>
        <v>3.7165928560675757E-2</v>
      </c>
    </row>
    <row r="246" spans="1:20" x14ac:dyDescent="0.25">
      <c r="A246" s="5">
        <v>44347</v>
      </c>
      <c r="B246">
        <v>308.87</v>
      </c>
      <c r="C246">
        <v>379.87</v>
      </c>
      <c r="D246">
        <v>289.69</v>
      </c>
      <c r="E246">
        <v>371</v>
      </c>
      <c r="F246">
        <v>200917.03320000001</v>
      </c>
      <c r="G246">
        <v>0</v>
      </c>
      <c r="L246" t="s">
        <v>8</v>
      </c>
      <c r="M246" t="s">
        <v>8</v>
      </c>
      <c r="N246" t="s">
        <v>8</v>
      </c>
      <c r="P246">
        <f t="shared" si="959"/>
        <v>0.80328232424040802</v>
      </c>
      <c r="Q246">
        <f t="shared" si="960"/>
        <v>161393.10140838323</v>
      </c>
      <c r="R246">
        <f t="shared" si="961"/>
        <v>3651605.6279649488</v>
      </c>
      <c r="S246">
        <f t="shared" si="962"/>
        <v>36.51605627964949</v>
      </c>
      <c r="T246">
        <f t="shared" si="963"/>
        <v>3.6516056279649489E-2</v>
      </c>
    </row>
    <row r="247" spans="1:20" x14ac:dyDescent="0.25">
      <c r="A247" s="5">
        <v>44346</v>
      </c>
      <c r="B247">
        <v>296.17</v>
      </c>
      <c r="C247">
        <v>320.75</v>
      </c>
      <c r="D247">
        <v>274.01</v>
      </c>
      <c r="E247">
        <v>309.12</v>
      </c>
      <c r="F247">
        <v>170760.88130000001</v>
      </c>
      <c r="G247">
        <v>0</v>
      </c>
      <c r="L247" t="s">
        <v>8</v>
      </c>
      <c r="M247" t="s">
        <v>8</v>
      </c>
      <c r="N247" t="s">
        <v>7</v>
      </c>
      <c r="P247">
        <f t="shared" si="959"/>
        <v>0.50235344458707776</v>
      </c>
      <c r="Q247">
        <f t="shared" si="960"/>
        <v>85782.316921780119</v>
      </c>
      <c r="R247">
        <f t="shared" si="961"/>
        <v>3490212.5265565654</v>
      </c>
      <c r="S247">
        <f t="shared" si="962"/>
        <v>34.902125265565651</v>
      </c>
      <c r="T247">
        <f t="shared" si="963"/>
        <v>3.4902125265565652E-2</v>
      </c>
    </row>
    <row r="248" spans="1:20" x14ac:dyDescent="0.25">
      <c r="A248" s="5">
        <v>44345</v>
      </c>
      <c r="B248">
        <v>289.38</v>
      </c>
      <c r="C248">
        <v>302.18</v>
      </c>
      <c r="D248">
        <v>258</v>
      </c>
      <c r="E248">
        <v>296.5</v>
      </c>
      <c r="F248">
        <v>141378.96729999999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0.74287007695789919</v>
      </c>
      <c r="Q248">
        <f t="shared" si="960"/>
        <v>105026.2043183793</v>
      </c>
      <c r="R248">
        <f t="shared" si="961"/>
        <v>3404430.2096347855</v>
      </c>
      <c r="S248">
        <f t="shared" si="962"/>
        <v>34.044302096347856</v>
      </c>
      <c r="T248">
        <f t="shared" si="963"/>
        <v>3.4044302096347859E-2</v>
      </c>
    </row>
    <row r="249" spans="1:20" x14ac:dyDescent="0.25">
      <c r="A249" s="5">
        <v>44344</v>
      </c>
      <c r="B249">
        <v>316.14</v>
      </c>
      <c r="C249">
        <v>343.45</v>
      </c>
      <c r="D249">
        <v>270.5</v>
      </c>
      <c r="E249">
        <v>289.37</v>
      </c>
      <c r="F249">
        <v>248336.3541</v>
      </c>
      <c r="G249">
        <v>0</v>
      </c>
      <c r="L249" t="s">
        <v>7</v>
      </c>
      <c r="M249" t="s">
        <v>7</v>
      </c>
      <c r="N249" t="s">
        <v>7</v>
      </c>
      <c r="P249">
        <f t="shared" si="959"/>
        <v>-0.48265935572309782</v>
      </c>
      <c r="Q249">
        <f t="shared" si="960"/>
        <v>-119861.86467252907</v>
      </c>
      <c r="R249">
        <f t="shared" si="961"/>
        <v>3299404.005316406</v>
      </c>
      <c r="S249">
        <f t="shared" si="962"/>
        <v>32.994040053164063</v>
      </c>
      <c r="T249">
        <f t="shared" si="963"/>
        <v>3.2994040053164066E-2</v>
      </c>
    </row>
    <row r="250" spans="1:20" x14ac:dyDescent="0.25">
      <c r="A250" s="5">
        <v>44343</v>
      </c>
      <c r="B250">
        <v>343</v>
      </c>
      <c r="C250">
        <v>343.82</v>
      </c>
      <c r="D250">
        <v>300.88</v>
      </c>
      <c r="E250">
        <v>315.86</v>
      </c>
      <c r="F250">
        <v>178239.1281</v>
      </c>
      <c r="G250">
        <v>0</v>
      </c>
      <c r="L250" t="s">
        <v>7</v>
      </c>
      <c r="M250" t="s">
        <v>7</v>
      </c>
      <c r="N250" t="s">
        <v>8</v>
      </c>
      <c r="P250">
        <f t="shared" si="959"/>
        <v>-0.30228225430833633</v>
      </c>
      <c r="Q250">
        <f t="shared" si="960"/>
        <v>-53878.525448020337</v>
      </c>
      <c r="R250">
        <f t="shared" si="961"/>
        <v>3419265.8699889351</v>
      </c>
      <c r="S250">
        <f t="shared" si="962"/>
        <v>34.19265869988935</v>
      </c>
      <c r="T250">
        <f t="shared" si="963"/>
        <v>3.4192658699889349E-2</v>
      </c>
    </row>
    <row r="251" spans="1:20" x14ac:dyDescent="0.25">
      <c r="A251" s="5">
        <v>44342</v>
      </c>
      <c r="B251">
        <v>321.69</v>
      </c>
      <c r="C251">
        <v>361</v>
      </c>
      <c r="D251">
        <v>309.77999999999997</v>
      </c>
      <c r="E251">
        <v>343.15</v>
      </c>
      <c r="F251">
        <v>246156.17360000001</v>
      </c>
      <c r="G251">
        <v>0</v>
      </c>
      <c r="L251" t="s">
        <v>7</v>
      </c>
      <c r="M251" t="s">
        <v>7</v>
      </c>
      <c r="N251" t="s">
        <v>8</v>
      </c>
      <c r="P251">
        <f t="shared" si="959"/>
        <v>0.30300663803201822</v>
      </c>
      <c r="Q251">
        <f t="shared" si="960"/>
        <v>74586.954593361836</v>
      </c>
      <c r="R251">
        <f t="shared" si="961"/>
        <v>3473144.3954369556</v>
      </c>
      <c r="S251">
        <f t="shared" si="962"/>
        <v>34.731443954369553</v>
      </c>
      <c r="T251">
        <f t="shared" si="963"/>
        <v>3.4731443954369549E-2</v>
      </c>
    </row>
    <row r="252" spans="1:20" x14ac:dyDescent="0.25">
      <c r="A252" s="5">
        <v>44341</v>
      </c>
      <c r="B252">
        <v>348.9</v>
      </c>
      <c r="C252">
        <v>372.98</v>
      </c>
      <c r="D252">
        <v>281.56</v>
      </c>
      <c r="E252">
        <v>322.20999999999998</v>
      </c>
      <c r="F252">
        <v>358158.95819999999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-0.11069787792605622</v>
      </c>
      <c r="Q252">
        <f t="shared" si="960"/>
        <v>-39647.436632947072</v>
      </c>
      <c r="R252">
        <f t="shared" si="961"/>
        <v>3398557.4408435938</v>
      </c>
      <c r="S252">
        <f t="shared" si="962"/>
        <v>33.985574408435937</v>
      </c>
      <c r="T252">
        <f t="shared" si="963"/>
        <v>3.3985574408435935E-2</v>
      </c>
    </row>
    <row r="253" spans="1:20" x14ac:dyDescent="0.25">
      <c r="A253" s="5">
        <v>44340</v>
      </c>
      <c r="B253">
        <v>260.61</v>
      </c>
      <c r="C253">
        <v>349</v>
      </c>
      <c r="D253">
        <v>251.78</v>
      </c>
      <c r="E253">
        <v>348.66</v>
      </c>
      <c r="F253">
        <v>341663.45240000001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0.9930055544126728</v>
      </c>
      <c r="Q253">
        <f t="shared" si="960"/>
        <v>339273.70597300987</v>
      </c>
      <c r="R253">
        <f t="shared" si="961"/>
        <v>3438204.8774765409</v>
      </c>
      <c r="S253">
        <f t="shared" si="962"/>
        <v>34.382048774765408</v>
      </c>
      <c r="T253">
        <f t="shared" si="963"/>
        <v>3.438204877476541E-2</v>
      </c>
    </row>
    <row r="254" spans="1:20" x14ac:dyDescent="0.25">
      <c r="A254" s="5">
        <v>44339</v>
      </c>
      <c r="B254">
        <v>314.41000000000003</v>
      </c>
      <c r="C254">
        <v>337.08</v>
      </c>
      <c r="D254">
        <v>201</v>
      </c>
      <c r="E254">
        <v>260.83999999999997</v>
      </c>
      <c r="F254">
        <v>445993.18359999999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-0.12051734273956523</v>
      </c>
      <c r="Q254">
        <f t="shared" si="960"/>
        <v>-53749.913367431043</v>
      </c>
      <c r="R254">
        <f t="shared" si="961"/>
        <v>3098931.1715035308</v>
      </c>
      <c r="S254">
        <f t="shared" si="962"/>
        <v>30.98931171503531</v>
      </c>
      <c r="T254">
        <f t="shared" si="963"/>
        <v>3.0989311715035311E-2</v>
      </c>
    </row>
    <row r="255" spans="1:20" x14ac:dyDescent="0.25">
      <c r="A255" s="5">
        <v>44338</v>
      </c>
      <c r="B255">
        <v>337.39</v>
      </c>
      <c r="C255">
        <v>353.99</v>
      </c>
      <c r="D255">
        <v>282.11</v>
      </c>
      <c r="E255">
        <v>314.73</v>
      </c>
      <c r="F255">
        <v>223527.20509999999</v>
      </c>
      <c r="G255">
        <v>0</v>
      </c>
      <c r="L255" t="s">
        <v>8</v>
      </c>
      <c r="M255" t="s">
        <v>8</v>
      </c>
      <c r="N255" t="s">
        <v>7</v>
      </c>
      <c r="P255">
        <f t="shared" si="959"/>
        <v>-9.237618252643276E-2</v>
      </c>
      <c r="Q255">
        <f t="shared" si="960"/>
        <v>-20648.589897940972</v>
      </c>
      <c r="R255">
        <f t="shared" si="961"/>
        <v>3152681.084870962</v>
      </c>
      <c r="S255">
        <f t="shared" si="962"/>
        <v>31.526810848709619</v>
      </c>
      <c r="T255">
        <f t="shared" si="963"/>
        <v>3.1526810848709619E-2</v>
      </c>
    </row>
    <row r="256" spans="1:20" x14ac:dyDescent="0.25">
      <c r="A256" s="5">
        <v>44337</v>
      </c>
      <c r="B256">
        <v>388.71</v>
      </c>
      <c r="C256">
        <v>438.83</v>
      </c>
      <c r="D256">
        <v>264.22000000000003</v>
      </c>
      <c r="E256">
        <v>337.39</v>
      </c>
      <c r="F256">
        <v>485653.37689999997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-0.16190367103831421</v>
      </c>
      <c r="Q256">
        <f t="shared" si="960"/>
        <v>-78629.064572264018</v>
      </c>
      <c r="R256">
        <f t="shared" si="961"/>
        <v>3173329.6747689028</v>
      </c>
      <c r="S256">
        <f t="shared" si="962"/>
        <v>31.733296747689028</v>
      </c>
      <c r="T256">
        <f t="shared" si="963"/>
        <v>3.173329674768903E-2</v>
      </c>
    </row>
    <row r="257" spans="1:20" x14ac:dyDescent="0.25">
      <c r="A257" s="5">
        <v>44336</v>
      </c>
      <c r="B257">
        <v>337</v>
      </c>
      <c r="C257">
        <v>449.94</v>
      </c>
      <c r="D257">
        <v>284</v>
      </c>
      <c r="E257">
        <v>388.34</v>
      </c>
      <c r="F257">
        <v>499833.92609999998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0.25756297456912108</v>
      </c>
      <c r="Q257">
        <f t="shared" si="960"/>
        <v>128738.71279687824</v>
      </c>
      <c r="R257">
        <f t="shared" si="961"/>
        <v>3251958.7393411668</v>
      </c>
      <c r="S257">
        <f t="shared" si="962"/>
        <v>32.519587393411669</v>
      </c>
      <c r="T257">
        <f t="shared" si="963"/>
        <v>3.2519587393411667E-2</v>
      </c>
    </row>
    <row r="258" spans="1:20" x14ac:dyDescent="0.25">
      <c r="A258" s="5">
        <v>44335</v>
      </c>
      <c r="B258">
        <v>592.54</v>
      </c>
      <c r="C258">
        <v>620</v>
      </c>
      <c r="D258">
        <v>158.75</v>
      </c>
      <c r="E258">
        <v>337.65</v>
      </c>
      <c r="F258">
        <v>599302.79480000003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-0.22428184281842828</v>
      </c>
      <c r="Q258">
        <f t="shared" si="960"/>
        <v>-134412.73522397838</v>
      </c>
      <c r="R258">
        <f t="shared" si="961"/>
        <v>3123220.0265442887</v>
      </c>
      <c r="S258">
        <f t="shared" si="962"/>
        <v>31.232200265442888</v>
      </c>
      <c r="T258">
        <f t="shared" si="963"/>
        <v>3.1232200265442888E-2</v>
      </c>
    </row>
    <row r="259" spans="1:20" x14ac:dyDescent="0.25">
      <c r="A259" s="5">
        <v>44334</v>
      </c>
      <c r="B259">
        <v>572.01</v>
      </c>
      <c r="C259">
        <v>625</v>
      </c>
      <c r="D259">
        <v>560</v>
      </c>
      <c r="E259">
        <v>592.29</v>
      </c>
      <c r="F259">
        <v>251267.9178</v>
      </c>
      <c r="G259">
        <v>0</v>
      </c>
      <c r="L259" t="s">
        <v>8</v>
      </c>
      <c r="M259" t="s">
        <v>8</v>
      </c>
      <c r="N259" t="s">
        <v>8</v>
      </c>
      <c r="P259">
        <f t="shared" si="959"/>
        <v>-6.461538461539581E-3</v>
      </c>
      <c r="Q259">
        <f t="shared" si="960"/>
        <v>-1623.5773150156658</v>
      </c>
      <c r="R259">
        <f t="shared" si="961"/>
        <v>3257632.761768267</v>
      </c>
      <c r="S259">
        <f t="shared" si="962"/>
        <v>32.576327617682672</v>
      </c>
      <c r="T259">
        <f t="shared" si="963"/>
        <v>3.2576327617682671E-2</v>
      </c>
    </row>
    <row r="260" spans="1:20" x14ac:dyDescent="0.25">
      <c r="A260" s="5">
        <v>44333</v>
      </c>
      <c r="B260">
        <v>541.22</v>
      </c>
      <c r="C260">
        <v>607.48</v>
      </c>
      <c r="D260">
        <v>480</v>
      </c>
      <c r="E260">
        <v>571.70000000000005</v>
      </c>
      <c r="F260">
        <v>331691.10969999997</v>
      </c>
      <c r="G260">
        <v>0</v>
      </c>
      <c r="L260" t="s">
        <v>7</v>
      </c>
      <c r="M260" t="s">
        <v>7</v>
      </c>
      <c r="N260" t="s">
        <v>8</v>
      </c>
      <c r="P260">
        <f t="shared" si="959"/>
        <v>0.43865704424223456</v>
      </c>
      <c r="Q260">
        <f t="shared" si="960"/>
        <v>145498.64178242878</v>
      </c>
      <c r="R260">
        <f t="shared" si="961"/>
        <v>3259256.3390832827</v>
      </c>
      <c r="S260">
        <f t="shared" si="962"/>
        <v>32.592563390832829</v>
      </c>
      <c r="T260">
        <f t="shared" si="963"/>
        <v>3.2592563390832829E-2</v>
      </c>
    </row>
    <row r="261" spans="1:20" x14ac:dyDescent="0.25">
      <c r="A261" s="5">
        <v>44332</v>
      </c>
      <c r="B261">
        <v>546.22</v>
      </c>
      <c r="C261">
        <v>609</v>
      </c>
      <c r="D261">
        <v>494.56</v>
      </c>
      <c r="E261">
        <v>541.47</v>
      </c>
      <c r="F261">
        <v>208217.92790000001</v>
      </c>
      <c r="G261">
        <v>0</v>
      </c>
      <c r="L261" t="s">
        <v>7</v>
      </c>
      <c r="M261" t="s">
        <v>7</v>
      </c>
      <c r="N261" t="s">
        <v>8</v>
      </c>
      <c r="P261">
        <f t="shared" si="959"/>
        <v>-0.18018175463124736</v>
      </c>
      <c r="Q261">
        <f t="shared" si="960"/>
        <v>-37517.071594704554</v>
      </c>
      <c r="R261">
        <f t="shared" si="961"/>
        <v>3113757.6973008541</v>
      </c>
      <c r="S261">
        <f t="shared" si="962"/>
        <v>31.137576973008542</v>
      </c>
      <c r="T261">
        <f t="shared" si="963"/>
        <v>3.1137576973008542E-2</v>
      </c>
    </row>
    <row r="262" spans="1:20" x14ac:dyDescent="0.25">
      <c r="A262" s="5">
        <v>44331</v>
      </c>
      <c r="B262">
        <v>597.36</v>
      </c>
      <c r="C262">
        <v>620</v>
      </c>
      <c r="D262">
        <v>535.52</v>
      </c>
      <c r="E262">
        <v>545.27</v>
      </c>
      <c r="F262">
        <v>232573.633</v>
      </c>
      <c r="G262">
        <v>0</v>
      </c>
      <c r="L262" t="s">
        <v>8</v>
      </c>
      <c r="M262" t="s">
        <v>8</v>
      </c>
      <c r="N262" t="s">
        <v>8</v>
      </c>
      <c r="P262">
        <f t="shared" ref="P262:P325" si="964">IF(C262=D262,0,((E262-D262)-(C262-E262))/(C262-D262))</f>
        <v>-0.76917613636363646</v>
      </c>
      <c r="Q262">
        <f t="shared" ref="Q262:Q325" si="965">F262*P262</f>
        <v>-178890.08845099434</v>
      </c>
      <c r="R262">
        <f t="shared" ref="R262:R325" si="966">R263+Q262</f>
        <v>3151274.7688955585</v>
      </c>
      <c r="S262">
        <f t="shared" ref="S262:S325" si="967">R262/100000</f>
        <v>31.512747688955585</v>
      </c>
      <c r="T262">
        <f t="shared" ref="T262:T325" si="968">S262/1000</f>
        <v>3.1512747688955588E-2</v>
      </c>
    </row>
    <row r="263" spans="1:20" x14ac:dyDescent="0.25">
      <c r="A263" s="5">
        <v>44330</v>
      </c>
      <c r="B263">
        <v>528.34</v>
      </c>
      <c r="C263">
        <v>597.92999999999995</v>
      </c>
      <c r="D263">
        <v>504.16</v>
      </c>
      <c r="E263">
        <v>597.33000000000004</v>
      </c>
      <c r="F263">
        <v>274399.78240000003</v>
      </c>
      <c r="G263">
        <v>0</v>
      </c>
      <c r="L263" t="s">
        <v>7</v>
      </c>
      <c r="M263" t="s">
        <v>8</v>
      </c>
      <c r="N263" t="s">
        <v>8</v>
      </c>
      <c r="P263">
        <f t="shared" si="964"/>
        <v>0.98720273008425063</v>
      </c>
      <c r="Q263">
        <f t="shared" si="965"/>
        <v>270888.21431980433</v>
      </c>
      <c r="R263">
        <f t="shared" si="966"/>
        <v>3330164.8573465529</v>
      </c>
      <c r="S263">
        <f t="shared" si="967"/>
        <v>33.301648573465528</v>
      </c>
      <c r="T263">
        <f t="shared" si="968"/>
        <v>3.3301648573465528E-2</v>
      </c>
    </row>
    <row r="264" spans="1:20" x14ac:dyDescent="0.25">
      <c r="A264" s="5">
        <v>44329</v>
      </c>
      <c r="B264">
        <v>461.27</v>
      </c>
      <c r="C264">
        <v>588.88</v>
      </c>
      <c r="D264">
        <v>429.5</v>
      </c>
      <c r="E264">
        <v>527.91</v>
      </c>
      <c r="F264">
        <v>606937.43259999994</v>
      </c>
      <c r="G264">
        <v>0</v>
      </c>
      <c r="L264" t="s">
        <v>8</v>
      </c>
      <c r="M264" t="s">
        <v>8</v>
      </c>
      <c r="N264" t="s">
        <v>8</v>
      </c>
      <c r="P264">
        <f t="shared" si="964"/>
        <v>0.2349102773246326</v>
      </c>
      <c r="Q264">
        <f t="shared" si="965"/>
        <v>142575.84061076649</v>
      </c>
      <c r="R264">
        <f t="shared" si="966"/>
        <v>3059276.6430267487</v>
      </c>
      <c r="S264">
        <f t="shared" si="967"/>
        <v>30.592766430267488</v>
      </c>
      <c r="T264">
        <f t="shared" si="968"/>
        <v>3.0592766430267489E-2</v>
      </c>
    </row>
    <row r="265" spans="1:20" x14ac:dyDescent="0.25">
      <c r="A265" s="5">
        <v>44328</v>
      </c>
      <c r="B265">
        <v>439.86</v>
      </c>
      <c r="C265">
        <v>535</v>
      </c>
      <c r="D265">
        <v>434.34</v>
      </c>
      <c r="E265">
        <v>465.37</v>
      </c>
      <c r="F265">
        <v>316605.84179999999</v>
      </c>
      <c r="G265">
        <v>0</v>
      </c>
      <c r="L265" t="s">
        <v>8</v>
      </c>
      <c r="M265" t="s">
        <v>8</v>
      </c>
      <c r="N265" t="s">
        <v>8</v>
      </c>
      <c r="P265">
        <f t="shared" si="964"/>
        <v>-0.38346910391416605</v>
      </c>
      <c r="Q265">
        <f t="shared" si="965"/>
        <v>-121408.55844903622</v>
      </c>
      <c r="R265">
        <f t="shared" si="966"/>
        <v>2916700.8024159824</v>
      </c>
      <c r="S265">
        <f t="shared" si="967"/>
        <v>29.167008024159824</v>
      </c>
      <c r="T265">
        <f t="shared" si="968"/>
        <v>2.9167008024159825E-2</v>
      </c>
    </row>
    <row r="266" spans="1:20" x14ac:dyDescent="0.25">
      <c r="A266" s="5">
        <v>44327</v>
      </c>
      <c r="B266">
        <v>408.73</v>
      </c>
      <c r="C266">
        <v>440.64</v>
      </c>
      <c r="D266">
        <v>388.7</v>
      </c>
      <c r="E266">
        <v>440.58</v>
      </c>
      <c r="F266">
        <v>74915.018100000001</v>
      </c>
      <c r="G266">
        <v>0</v>
      </c>
      <c r="L266" t="s">
        <v>8</v>
      </c>
      <c r="M266" t="s">
        <v>7</v>
      </c>
      <c r="N266" t="s">
        <v>8</v>
      </c>
      <c r="P266">
        <f t="shared" si="964"/>
        <v>0.99768964189449361</v>
      </c>
      <c r="Q266">
        <f t="shared" si="965"/>
        <v>74741.937580708502</v>
      </c>
      <c r="R266">
        <f t="shared" si="966"/>
        <v>3038109.3608650188</v>
      </c>
      <c r="S266">
        <f t="shared" si="967"/>
        <v>30.38109360865019</v>
      </c>
      <c r="T266">
        <f t="shared" si="968"/>
        <v>3.0381093608650191E-2</v>
      </c>
    </row>
    <row r="267" spans="1:20" x14ac:dyDescent="0.25">
      <c r="A267" s="5">
        <v>44326</v>
      </c>
      <c r="B267">
        <v>451.01</v>
      </c>
      <c r="C267">
        <v>459.88</v>
      </c>
      <c r="D267">
        <v>378.65</v>
      </c>
      <c r="E267">
        <v>408.03</v>
      </c>
      <c r="F267">
        <v>95534.503200000006</v>
      </c>
      <c r="G267">
        <v>0</v>
      </c>
      <c r="L267" t="s">
        <v>7</v>
      </c>
      <c r="M267" t="s">
        <v>7</v>
      </c>
      <c r="N267" t="s">
        <v>8</v>
      </c>
      <c r="P267">
        <f t="shared" si="964"/>
        <v>-0.27662193770774374</v>
      </c>
      <c r="Q267">
        <f t="shared" si="965"/>
        <v>-26426.939393130648</v>
      </c>
      <c r="R267">
        <f t="shared" si="966"/>
        <v>2963367.4232843104</v>
      </c>
      <c r="S267">
        <f t="shared" si="967"/>
        <v>29.633674232843102</v>
      </c>
      <c r="T267">
        <f t="shared" si="968"/>
        <v>2.9633674232843101E-2</v>
      </c>
    </row>
    <row r="268" spans="1:20" x14ac:dyDescent="0.25">
      <c r="A268" s="5">
        <v>44325</v>
      </c>
      <c r="B268">
        <v>434.19</v>
      </c>
      <c r="C268">
        <v>458.64</v>
      </c>
      <c r="D268">
        <v>425</v>
      </c>
      <c r="E268">
        <v>450.58</v>
      </c>
      <c r="F268">
        <v>60224.739099999999</v>
      </c>
      <c r="G268">
        <v>0</v>
      </c>
      <c r="L268" t="s">
        <v>7</v>
      </c>
      <c r="M268" t="s">
        <v>8</v>
      </c>
      <c r="N268" t="s">
        <v>8</v>
      </c>
      <c r="P268">
        <f t="shared" si="964"/>
        <v>0.52080856123662278</v>
      </c>
      <c r="Q268">
        <f t="shared" si="965"/>
        <v>31365.559721521979</v>
      </c>
      <c r="R268">
        <f t="shared" si="966"/>
        <v>2989794.362677441</v>
      </c>
      <c r="S268">
        <f t="shared" si="967"/>
        <v>29.89794362677441</v>
      </c>
      <c r="T268">
        <f t="shared" si="968"/>
        <v>2.989794362677441E-2</v>
      </c>
    </row>
    <row r="269" spans="1:20" x14ac:dyDescent="0.25">
      <c r="A269" s="5">
        <v>44324</v>
      </c>
      <c r="B269">
        <v>431.17</v>
      </c>
      <c r="C269">
        <v>476</v>
      </c>
      <c r="D269">
        <v>426.01</v>
      </c>
      <c r="E269">
        <v>433.45</v>
      </c>
      <c r="F269">
        <v>73571.240600000005</v>
      </c>
      <c r="G269">
        <v>0</v>
      </c>
      <c r="L269" t="s">
        <v>8</v>
      </c>
      <c r="M269" t="s">
        <v>8</v>
      </c>
      <c r="N269" t="s">
        <v>8</v>
      </c>
      <c r="P269">
        <f t="shared" si="964"/>
        <v>-0.70234046809361883</v>
      </c>
      <c r="Q269">
        <f t="shared" si="965"/>
        <v>-51672.059561232258</v>
      </c>
      <c r="R269">
        <f t="shared" si="966"/>
        <v>2958428.8029559189</v>
      </c>
      <c r="S269">
        <f t="shared" si="967"/>
        <v>29.58428802955919</v>
      </c>
      <c r="T269">
        <f t="shared" si="968"/>
        <v>2.9584288029559189E-2</v>
      </c>
    </row>
    <row r="270" spans="1:20" x14ac:dyDescent="0.25">
      <c r="A270" s="5">
        <v>44323</v>
      </c>
      <c r="B270">
        <v>446.85</v>
      </c>
      <c r="C270">
        <v>458.26</v>
      </c>
      <c r="D270">
        <v>422.34</v>
      </c>
      <c r="E270">
        <v>431</v>
      </c>
      <c r="F270">
        <v>85632.756999999998</v>
      </c>
      <c r="G270">
        <v>0</v>
      </c>
      <c r="L270" t="s">
        <v>8</v>
      </c>
      <c r="M270" t="s">
        <v>8</v>
      </c>
      <c r="N270" t="s">
        <v>8</v>
      </c>
      <c r="P270">
        <f t="shared" si="964"/>
        <v>-0.51781737193763799</v>
      </c>
      <c r="Q270">
        <f t="shared" si="965"/>
        <v>-44342.12918151437</v>
      </c>
      <c r="R270">
        <f t="shared" si="966"/>
        <v>3010100.8625171511</v>
      </c>
      <c r="S270">
        <f t="shared" si="967"/>
        <v>30.101008625171509</v>
      </c>
      <c r="T270">
        <f t="shared" si="968"/>
        <v>3.010100862517151E-2</v>
      </c>
    </row>
    <row r="271" spans="1:20" x14ac:dyDescent="0.25">
      <c r="A271" s="5">
        <v>44322</v>
      </c>
      <c r="B271">
        <v>428.49</v>
      </c>
      <c r="C271">
        <v>454</v>
      </c>
      <c r="D271">
        <v>412.2</v>
      </c>
      <c r="E271">
        <v>446.76</v>
      </c>
      <c r="F271">
        <v>115326.67750000001</v>
      </c>
      <c r="G271">
        <v>0</v>
      </c>
      <c r="L271" t="s">
        <v>8</v>
      </c>
      <c r="M271" t="s">
        <v>8</v>
      </c>
      <c r="N271" t="s">
        <v>8</v>
      </c>
      <c r="P271">
        <f t="shared" si="964"/>
        <v>0.65358851674641116</v>
      </c>
      <c r="Q271">
        <f t="shared" si="965"/>
        <v>75376.19208851672</v>
      </c>
      <c r="R271">
        <f t="shared" si="966"/>
        <v>3054442.9916986655</v>
      </c>
      <c r="S271">
        <f t="shared" si="967"/>
        <v>30.544429916986655</v>
      </c>
      <c r="T271">
        <f t="shared" si="968"/>
        <v>3.0544429916986655E-2</v>
      </c>
    </row>
    <row r="272" spans="1:20" x14ac:dyDescent="0.25">
      <c r="A272" s="5">
        <v>44321</v>
      </c>
      <c r="B272">
        <v>389.03</v>
      </c>
      <c r="C272">
        <v>431.38</v>
      </c>
      <c r="D272">
        <v>385.75</v>
      </c>
      <c r="E272">
        <v>428.5</v>
      </c>
      <c r="F272">
        <v>55544.794999999998</v>
      </c>
      <c r="G272">
        <v>0</v>
      </c>
      <c r="L272" t="s">
        <v>8</v>
      </c>
      <c r="M272" t="s">
        <v>8</v>
      </c>
      <c r="N272" t="s">
        <v>8</v>
      </c>
      <c r="P272">
        <f t="shared" si="964"/>
        <v>0.87376725838264313</v>
      </c>
      <c r="Q272">
        <f t="shared" si="965"/>
        <v>48533.223244575944</v>
      </c>
      <c r="R272">
        <f t="shared" si="966"/>
        <v>2979066.7996101486</v>
      </c>
      <c r="S272">
        <f t="shared" si="967"/>
        <v>29.790667996101487</v>
      </c>
      <c r="T272">
        <f t="shared" si="968"/>
        <v>2.9790667996101486E-2</v>
      </c>
    </row>
    <row r="273" spans="1:20" x14ac:dyDescent="0.25">
      <c r="A273" s="5">
        <v>44320</v>
      </c>
      <c r="B273">
        <v>424.23</v>
      </c>
      <c r="C273">
        <v>439.2</v>
      </c>
      <c r="D273">
        <v>381.64</v>
      </c>
      <c r="E273">
        <v>389.49</v>
      </c>
      <c r="F273">
        <v>113617.87330000001</v>
      </c>
      <c r="G273">
        <v>0</v>
      </c>
      <c r="L273" t="s">
        <v>7</v>
      </c>
      <c r="M273" t="s">
        <v>8</v>
      </c>
      <c r="N273" t="s">
        <v>8</v>
      </c>
      <c r="P273">
        <f t="shared" si="964"/>
        <v>-0.72724113968033277</v>
      </c>
      <c r="Q273">
        <f t="shared" si="965"/>
        <v>-82627.591666747656</v>
      </c>
      <c r="R273">
        <f t="shared" si="966"/>
        <v>2930533.5763655729</v>
      </c>
      <c r="S273">
        <f t="shared" si="967"/>
        <v>29.30533576365573</v>
      </c>
      <c r="T273">
        <f t="shared" si="968"/>
        <v>2.9305335763655731E-2</v>
      </c>
    </row>
    <row r="274" spans="1:20" x14ac:dyDescent="0.25">
      <c r="A274" s="5">
        <v>44319</v>
      </c>
      <c r="B274">
        <v>413.67</v>
      </c>
      <c r="C274">
        <v>432.7</v>
      </c>
      <c r="D274">
        <v>408.77</v>
      </c>
      <c r="E274">
        <v>424.24</v>
      </c>
      <c r="F274">
        <v>68031.805800000002</v>
      </c>
      <c r="G274">
        <v>0</v>
      </c>
      <c r="L274" t="s">
        <v>7</v>
      </c>
      <c r="M274" t="s">
        <v>8</v>
      </c>
      <c r="N274" t="s">
        <v>8</v>
      </c>
      <c r="P274">
        <f t="shared" si="964"/>
        <v>0.29293773506059528</v>
      </c>
      <c r="Q274">
        <f t="shared" si="965"/>
        <v>19929.083103134271</v>
      </c>
      <c r="R274">
        <f t="shared" si="966"/>
        <v>3013161.1680323207</v>
      </c>
      <c r="S274">
        <f t="shared" si="967"/>
        <v>30.131611680323207</v>
      </c>
      <c r="T274">
        <f t="shared" si="968"/>
        <v>3.0131611680323207E-2</v>
      </c>
    </row>
    <row r="275" spans="1:20" x14ac:dyDescent="0.25">
      <c r="A275" s="5">
        <v>44318</v>
      </c>
      <c r="B275">
        <v>421.69</v>
      </c>
      <c r="C275">
        <v>442</v>
      </c>
      <c r="D275">
        <v>398.79</v>
      </c>
      <c r="E275">
        <v>413.75</v>
      </c>
      <c r="F275">
        <v>82262.354800000001</v>
      </c>
      <c r="G275">
        <v>0</v>
      </c>
      <c r="L275" t="s">
        <v>8</v>
      </c>
      <c r="M275" t="s">
        <v>8</v>
      </c>
      <c r="N275" t="s">
        <v>8</v>
      </c>
      <c r="P275">
        <f t="shared" si="964"/>
        <v>-0.30756769266373585</v>
      </c>
      <c r="Q275">
        <f t="shared" si="965"/>
        <v>-25301.242658921597</v>
      </c>
      <c r="R275">
        <f t="shared" si="966"/>
        <v>2993232.0849291864</v>
      </c>
      <c r="S275">
        <f t="shared" si="967"/>
        <v>29.932320849291862</v>
      </c>
      <c r="T275">
        <f t="shared" si="968"/>
        <v>2.9932320849291861E-2</v>
      </c>
    </row>
    <row r="276" spans="1:20" x14ac:dyDescent="0.25">
      <c r="A276" s="5">
        <v>44317</v>
      </c>
      <c r="B276">
        <v>406.68</v>
      </c>
      <c r="C276">
        <v>428.01</v>
      </c>
      <c r="D276">
        <v>402.49</v>
      </c>
      <c r="E276">
        <v>421.52</v>
      </c>
      <c r="F276">
        <v>59238.471899999997</v>
      </c>
      <c r="G276">
        <v>0</v>
      </c>
      <c r="L276" t="s">
        <v>8</v>
      </c>
      <c r="M276" t="s">
        <v>8</v>
      </c>
      <c r="N276" t="s">
        <v>8</v>
      </c>
      <c r="P276">
        <f t="shared" si="964"/>
        <v>0.49137931034482651</v>
      </c>
      <c r="Q276">
        <f t="shared" si="965"/>
        <v>29108.559468103384</v>
      </c>
      <c r="R276">
        <f t="shared" si="966"/>
        <v>3018533.3275881079</v>
      </c>
      <c r="S276">
        <f t="shared" si="967"/>
        <v>30.185333275881078</v>
      </c>
      <c r="T276">
        <f t="shared" si="968"/>
        <v>3.0185333275881077E-2</v>
      </c>
    </row>
    <row r="277" spans="1:20" x14ac:dyDescent="0.25">
      <c r="A277" s="5">
        <v>44316</v>
      </c>
      <c r="B277">
        <v>386.71</v>
      </c>
      <c r="C277">
        <v>415</v>
      </c>
      <c r="D277">
        <v>378.1</v>
      </c>
      <c r="E277">
        <v>406.11</v>
      </c>
      <c r="F277">
        <v>66514.318299999999</v>
      </c>
      <c r="G277">
        <v>0</v>
      </c>
      <c r="L277" t="s">
        <v>8</v>
      </c>
      <c r="M277" t="s">
        <v>8</v>
      </c>
      <c r="N277" t="s">
        <v>8</v>
      </c>
      <c r="P277">
        <f t="shared" si="964"/>
        <v>0.51815718157181612</v>
      </c>
      <c r="Q277">
        <f t="shared" si="965"/>
        <v>34464.87170449867</v>
      </c>
      <c r="R277">
        <f t="shared" si="966"/>
        <v>2989424.7681200043</v>
      </c>
      <c r="S277">
        <f t="shared" si="967"/>
        <v>29.894247681200042</v>
      </c>
      <c r="T277">
        <f t="shared" si="968"/>
        <v>2.9894247681200043E-2</v>
      </c>
    </row>
    <row r="278" spans="1:20" x14ac:dyDescent="0.25">
      <c r="A278" s="5">
        <v>44315</v>
      </c>
      <c r="B278">
        <v>393.6</v>
      </c>
      <c r="C278">
        <v>397.75</v>
      </c>
      <c r="D278">
        <v>367.56</v>
      </c>
      <c r="E278">
        <v>387.07</v>
      </c>
      <c r="F278">
        <v>63402.909299999999</v>
      </c>
      <c r="G278">
        <v>0</v>
      </c>
      <c r="L278" t="s">
        <v>8</v>
      </c>
      <c r="M278" t="s">
        <v>8</v>
      </c>
      <c r="N278" t="s">
        <v>8</v>
      </c>
      <c r="P278">
        <f t="shared" si="964"/>
        <v>0.29248095395826385</v>
      </c>
      <c r="Q278">
        <f t="shared" si="965"/>
        <v>18544.143395793279</v>
      </c>
      <c r="R278">
        <f t="shared" si="966"/>
        <v>2954959.8964155056</v>
      </c>
      <c r="S278">
        <f t="shared" si="967"/>
        <v>29.549598964155056</v>
      </c>
      <c r="T278">
        <f t="shared" si="968"/>
        <v>2.9549598964155054E-2</v>
      </c>
    </row>
    <row r="279" spans="1:20" x14ac:dyDescent="0.25">
      <c r="A279" s="5">
        <v>44314</v>
      </c>
      <c r="B279">
        <v>397.18</v>
      </c>
      <c r="C279">
        <v>407.43</v>
      </c>
      <c r="D279">
        <v>364.49</v>
      </c>
      <c r="E279">
        <v>393.85</v>
      </c>
      <c r="F279">
        <v>71482.699399999998</v>
      </c>
      <c r="G279">
        <v>0</v>
      </c>
      <c r="L279" t="s">
        <v>7</v>
      </c>
      <c r="M279" t="s">
        <v>8</v>
      </c>
      <c r="N279" t="s">
        <v>8</v>
      </c>
      <c r="P279">
        <f t="shared" si="964"/>
        <v>0.36748952026082976</v>
      </c>
      <c r="Q279">
        <f t="shared" si="965"/>
        <v>26269.142909455102</v>
      </c>
      <c r="R279">
        <f t="shared" si="966"/>
        <v>2936415.7530197124</v>
      </c>
      <c r="S279">
        <f t="shared" si="967"/>
        <v>29.364157530197122</v>
      </c>
      <c r="T279">
        <f t="shared" si="968"/>
        <v>2.9364157530197121E-2</v>
      </c>
    </row>
    <row r="280" spans="1:20" x14ac:dyDescent="0.25">
      <c r="A280" s="5">
        <v>44313</v>
      </c>
      <c r="B280">
        <v>395.37</v>
      </c>
      <c r="C280">
        <v>419.85</v>
      </c>
      <c r="D280">
        <v>381.26</v>
      </c>
      <c r="E280">
        <v>397.09</v>
      </c>
      <c r="F280">
        <v>93718.729699999996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-0.17958020212490433</v>
      </c>
      <c r="Q280">
        <f t="shared" si="965"/>
        <v>-16830.028422415275</v>
      </c>
      <c r="R280">
        <f t="shared" si="966"/>
        <v>2910146.6101102573</v>
      </c>
      <c r="S280">
        <f t="shared" si="967"/>
        <v>29.101466101102574</v>
      </c>
      <c r="T280">
        <f t="shared" si="968"/>
        <v>2.9101466101102574E-2</v>
      </c>
    </row>
    <row r="281" spans="1:20" x14ac:dyDescent="0.25">
      <c r="A281" s="5">
        <v>44312</v>
      </c>
      <c r="B281">
        <v>318.23</v>
      </c>
      <c r="C281">
        <v>400</v>
      </c>
      <c r="D281">
        <v>314.95999999999998</v>
      </c>
      <c r="E281">
        <v>395.41</v>
      </c>
      <c r="F281">
        <v>110090.31</v>
      </c>
      <c r="G281">
        <v>0</v>
      </c>
      <c r="L281" t="s">
        <v>8</v>
      </c>
      <c r="M281" t="s">
        <v>8</v>
      </c>
      <c r="N281" t="s">
        <v>7</v>
      </c>
      <c r="P281">
        <f t="shared" si="964"/>
        <v>0.89205079962370715</v>
      </c>
      <c r="Q281">
        <f t="shared" si="965"/>
        <v>98206.149066321799</v>
      </c>
      <c r="R281">
        <f t="shared" si="966"/>
        <v>2926976.6385326725</v>
      </c>
      <c r="S281">
        <f t="shared" si="967"/>
        <v>29.269766385326726</v>
      </c>
      <c r="T281">
        <f t="shared" si="968"/>
        <v>2.9269766385326725E-2</v>
      </c>
    </row>
    <row r="282" spans="1:20" x14ac:dyDescent="0.25">
      <c r="A282" s="5">
        <v>44311</v>
      </c>
      <c r="B282">
        <v>303.31599999999997</v>
      </c>
      <c r="C282">
        <v>332.71</v>
      </c>
      <c r="D282">
        <v>299.92099999999999</v>
      </c>
      <c r="E282">
        <v>318.23</v>
      </c>
      <c r="F282">
        <v>61141.810299999997</v>
      </c>
      <c r="G282">
        <v>0</v>
      </c>
      <c r="L282" t="s">
        <v>7</v>
      </c>
      <c r="M282" t="s">
        <v>8</v>
      </c>
      <c r="N282" t="s">
        <v>7</v>
      </c>
      <c r="P282">
        <f t="shared" si="964"/>
        <v>0.1167769678855734</v>
      </c>
      <c r="Q282">
        <f t="shared" si="965"/>
        <v>7139.955217868921</v>
      </c>
      <c r="R282">
        <f t="shared" si="966"/>
        <v>2828770.4894663505</v>
      </c>
      <c r="S282">
        <f t="shared" si="967"/>
        <v>28.287704894663506</v>
      </c>
      <c r="T282">
        <f t="shared" si="968"/>
        <v>2.8287704894663507E-2</v>
      </c>
    </row>
    <row r="283" spans="1:20" x14ac:dyDescent="0.25">
      <c r="A283" s="5">
        <v>44310</v>
      </c>
      <c r="B283">
        <v>336.721</v>
      </c>
      <c r="C283">
        <v>337.2</v>
      </c>
      <c r="D283">
        <v>297.48399999999998</v>
      </c>
      <c r="E283">
        <v>303.31599999999997</v>
      </c>
      <c r="F283">
        <v>70030.909</v>
      </c>
      <c r="G283">
        <v>0</v>
      </c>
      <c r="L283" t="s">
        <v>8</v>
      </c>
      <c r="M283" t="s">
        <v>8</v>
      </c>
      <c r="N283" t="s">
        <v>7</v>
      </c>
      <c r="P283">
        <f t="shared" si="964"/>
        <v>-0.70631483533084938</v>
      </c>
      <c r="Q283">
        <f t="shared" si="965"/>
        <v>-49463.869958404699</v>
      </c>
      <c r="R283">
        <f t="shared" si="966"/>
        <v>2821630.5342484815</v>
      </c>
      <c r="S283">
        <f t="shared" si="967"/>
        <v>28.216305342484816</v>
      </c>
      <c r="T283">
        <f t="shared" si="968"/>
        <v>2.8216305342484815E-2</v>
      </c>
    </row>
    <row r="284" spans="1:20" x14ac:dyDescent="0.25">
      <c r="A284" s="5">
        <v>44309</v>
      </c>
      <c r="B284">
        <v>347.50099999999998</v>
      </c>
      <c r="C284">
        <v>359.89400000000001</v>
      </c>
      <c r="D284">
        <v>282</v>
      </c>
      <c r="E284">
        <v>336.7</v>
      </c>
      <c r="F284">
        <v>178987.70300000001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0.40447274501245245</v>
      </c>
      <c r="Q284">
        <f t="shared" si="965"/>
        <v>72395.647555883581</v>
      </c>
      <c r="R284">
        <f t="shared" si="966"/>
        <v>2871094.4042068864</v>
      </c>
      <c r="S284">
        <f t="shared" si="967"/>
        <v>28.710944042068864</v>
      </c>
      <c r="T284">
        <f t="shared" si="968"/>
        <v>2.8710944042068864E-2</v>
      </c>
    </row>
    <row r="285" spans="1:20" x14ac:dyDescent="0.25">
      <c r="A285" s="5">
        <v>44308</v>
      </c>
      <c r="B285">
        <v>349.053</v>
      </c>
      <c r="C285">
        <v>388.58800000000002</v>
      </c>
      <c r="D285">
        <v>339</v>
      </c>
      <c r="E285">
        <v>347.935</v>
      </c>
      <c r="F285">
        <v>113071.511</v>
      </c>
      <c r="G285">
        <v>0</v>
      </c>
      <c r="L285" t="s">
        <v>8</v>
      </c>
      <c r="M285" t="s">
        <v>8</v>
      </c>
      <c r="N285" t="s">
        <v>7</v>
      </c>
      <c r="P285">
        <f t="shared" si="964"/>
        <v>-0.63963055577962413</v>
      </c>
      <c r="Q285">
        <f t="shared" si="965"/>
        <v>-72323.993423771884</v>
      </c>
      <c r="R285">
        <f t="shared" si="966"/>
        <v>2798698.7566510029</v>
      </c>
      <c r="S285">
        <f t="shared" si="967"/>
        <v>27.986987566510027</v>
      </c>
      <c r="T285">
        <f t="shared" si="968"/>
        <v>2.7986987566510028E-2</v>
      </c>
    </row>
    <row r="286" spans="1:20" x14ac:dyDescent="0.25">
      <c r="A286" s="5">
        <v>44307</v>
      </c>
      <c r="B286">
        <v>383.03100000000001</v>
      </c>
      <c r="C286">
        <v>385</v>
      </c>
      <c r="D286">
        <v>336</v>
      </c>
      <c r="E286">
        <v>349.42899999999997</v>
      </c>
      <c r="F286">
        <v>92118.45</v>
      </c>
      <c r="G286">
        <v>0</v>
      </c>
      <c r="L286" t="s">
        <v>8</v>
      </c>
      <c r="M286" t="s">
        <v>8</v>
      </c>
      <c r="N286" t="s">
        <v>7</v>
      </c>
      <c r="P286">
        <f t="shared" si="964"/>
        <v>-0.45187755102040922</v>
      </c>
      <c r="Q286">
        <f t="shared" si="965"/>
        <v>-41626.259589796013</v>
      </c>
      <c r="R286">
        <f t="shared" si="966"/>
        <v>2871022.750074775</v>
      </c>
      <c r="S286">
        <f t="shared" si="967"/>
        <v>28.710227500747749</v>
      </c>
      <c r="T286">
        <f t="shared" si="968"/>
        <v>2.871022750074775E-2</v>
      </c>
    </row>
    <row r="287" spans="1:20" x14ac:dyDescent="0.25">
      <c r="A287" s="5">
        <v>44306</v>
      </c>
      <c r="B287">
        <v>368.363</v>
      </c>
      <c r="C287">
        <v>385</v>
      </c>
      <c r="D287">
        <v>315</v>
      </c>
      <c r="E287">
        <v>383.63299999999998</v>
      </c>
      <c r="F287">
        <v>180430.432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0.96094285714285665</v>
      </c>
      <c r="Q287">
        <f t="shared" si="965"/>
        <v>173383.33484159992</v>
      </c>
      <c r="R287">
        <f t="shared" si="966"/>
        <v>2912649.0096645709</v>
      </c>
      <c r="S287">
        <f t="shared" si="967"/>
        <v>29.126490096645711</v>
      </c>
      <c r="T287">
        <f t="shared" si="968"/>
        <v>2.912649009664571E-2</v>
      </c>
    </row>
    <row r="288" spans="1:20" x14ac:dyDescent="0.25">
      <c r="A288" s="5">
        <v>44305</v>
      </c>
      <c r="B288">
        <v>406.04599999999999</v>
      </c>
      <c r="C288">
        <v>423.70299999999997</v>
      </c>
      <c r="D288">
        <v>360.00200000000001</v>
      </c>
      <c r="E288">
        <v>368.09199999999998</v>
      </c>
      <c r="F288">
        <v>113075.633</v>
      </c>
      <c r="G288">
        <v>0</v>
      </c>
      <c r="L288" t="s">
        <v>7</v>
      </c>
      <c r="M288" t="s">
        <v>7</v>
      </c>
      <c r="N288" t="s">
        <v>7</v>
      </c>
      <c r="P288">
        <f t="shared" si="964"/>
        <v>-0.74600084771039765</v>
      </c>
      <c r="Q288">
        <f t="shared" si="965"/>
        <v>-84354.518073389816</v>
      </c>
      <c r="R288">
        <f t="shared" si="966"/>
        <v>2739265.6748229708</v>
      </c>
      <c r="S288">
        <f t="shared" si="967"/>
        <v>27.392656748229708</v>
      </c>
      <c r="T288">
        <f t="shared" si="968"/>
        <v>2.7392656748229709E-2</v>
      </c>
    </row>
    <row r="289" spans="1:20" x14ac:dyDescent="0.25">
      <c r="A289" s="5">
        <v>44304</v>
      </c>
      <c r="B289">
        <v>456.55799999999999</v>
      </c>
      <c r="C289">
        <v>474.85399999999998</v>
      </c>
      <c r="D289">
        <v>371.952</v>
      </c>
      <c r="E289">
        <v>405.803</v>
      </c>
      <c r="F289">
        <v>165717.81200000001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-0.34207304036850589</v>
      </c>
      <c r="Q289">
        <f t="shared" si="965"/>
        <v>-56687.595794056469</v>
      </c>
      <c r="R289">
        <f t="shared" si="966"/>
        <v>2823620.1928963605</v>
      </c>
      <c r="S289">
        <f t="shared" si="967"/>
        <v>28.236201928963606</v>
      </c>
      <c r="T289">
        <f t="shared" si="968"/>
        <v>2.8236201928963606E-2</v>
      </c>
    </row>
    <row r="290" spans="1:20" x14ac:dyDescent="0.25">
      <c r="A290" s="5">
        <v>44303</v>
      </c>
      <c r="B290">
        <v>446.76100000000002</v>
      </c>
      <c r="C290">
        <v>483.995</v>
      </c>
      <c r="D290">
        <v>445.18599999999998</v>
      </c>
      <c r="E290">
        <v>456.31599999999997</v>
      </c>
      <c r="F290">
        <v>94141.277000000002</v>
      </c>
      <c r="G290">
        <v>0</v>
      </c>
      <c r="L290" t="s">
        <v>8</v>
      </c>
      <c r="M290" t="s">
        <v>8</v>
      </c>
      <c r="N290" t="s">
        <v>7</v>
      </c>
      <c r="P290">
        <f t="shared" si="964"/>
        <v>-0.42642170630523907</v>
      </c>
      <c r="Q290">
        <f t="shared" si="965"/>
        <v>-40143.883972094161</v>
      </c>
      <c r="R290">
        <f t="shared" si="966"/>
        <v>2880307.7886904171</v>
      </c>
      <c r="S290">
        <f t="shared" si="967"/>
        <v>28.80307788690417</v>
      </c>
      <c r="T290">
        <f t="shared" si="968"/>
        <v>2.8803077886904168E-2</v>
      </c>
    </row>
    <row r="291" spans="1:20" x14ac:dyDescent="0.25">
      <c r="A291" s="5">
        <v>44302</v>
      </c>
      <c r="B291">
        <v>477.06</v>
      </c>
      <c r="C291">
        <v>481.65899999999999</v>
      </c>
      <c r="D291">
        <v>423.19299999999998</v>
      </c>
      <c r="E291">
        <v>446.53899999999999</v>
      </c>
      <c r="F291">
        <v>100628.575</v>
      </c>
      <c r="G291">
        <v>0</v>
      </c>
      <c r="L291" t="s">
        <v>7</v>
      </c>
      <c r="M291" t="s">
        <v>8</v>
      </c>
      <c r="N291" t="s">
        <v>7</v>
      </c>
      <c r="P291">
        <f t="shared" si="964"/>
        <v>-0.20138199979475249</v>
      </c>
      <c r="Q291">
        <f t="shared" si="965"/>
        <v>-20264.783669996235</v>
      </c>
      <c r="R291">
        <f t="shared" si="966"/>
        <v>2920451.6726625115</v>
      </c>
      <c r="S291">
        <f t="shared" si="967"/>
        <v>29.204516726625116</v>
      </c>
      <c r="T291">
        <f t="shared" si="968"/>
        <v>2.9204516726625114E-2</v>
      </c>
    </row>
    <row r="292" spans="1:20" x14ac:dyDescent="0.25">
      <c r="A292" s="5">
        <v>44301</v>
      </c>
      <c r="B292">
        <v>455.60300000000001</v>
      </c>
      <c r="C292">
        <v>485.54199999999997</v>
      </c>
      <c r="D292">
        <v>452.20600000000002</v>
      </c>
      <c r="E292">
        <v>475.88900000000001</v>
      </c>
      <c r="F292">
        <v>100062.336</v>
      </c>
      <c r="G292">
        <v>0</v>
      </c>
      <c r="L292" t="s">
        <v>8</v>
      </c>
      <c r="M292" t="s">
        <v>8</v>
      </c>
      <c r="N292" t="s">
        <v>7</v>
      </c>
      <c r="P292">
        <f t="shared" si="964"/>
        <v>0.42086633069354595</v>
      </c>
      <c r="Q292">
        <f t="shared" si="965"/>
        <v>42112.868192944705</v>
      </c>
      <c r="R292">
        <f t="shared" si="966"/>
        <v>2940716.4563325075</v>
      </c>
      <c r="S292">
        <f t="shared" si="967"/>
        <v>29.407164563325075</v>
      </c>
      <c r="T292">
        <f t="shared" si="968"/>
        <v>2.9407164563325074E-2</v>
      </c>
    </row>
    <row r="293" spans="1:20" x14ac:dyDescent="0.25">
      <c r="A293" s="5">
        <v>44300</v>
      </c>
      <c r="B293">
        <v>431.88099999999997</v>
      </c>
      <c r="C293">
        <v>480</v>
      </c>
      <c r="D293">
        <v>420.46100000000001</v>
      </c>
      <c r="E293">
        <v>455.125</v>
      </c>
      <c r="F293">
        <v>164590.77299999999</v>
      </c>
      <c r="G293">
        <v>0</v>
      </c>
      <c r="L293" t="s">
        <v>8</v>
      </c>
      <c r="M293" t="s">
        <v>8</v>
      </c>
      <c r="N293" t="s">
        <v>7</v>
      </c>
      <c r="P293">
        <f t="shared" si="964"/>
        <v>0.16441324174070759</v>
      </c>
      <c r="Q293">
        <f t="shared" si="965"/>
        <v>27060.902549538925</v>
      </c>
      <c r="R293">
        <f t="shared" si="966"/>
        <v>2898603.5881395629</v>
      </c>
      <c r="S293">
        <f t="shared" si="967"/>
        <v>28.98603588139563</v>
      </c>
      <c r="T293">
        <f t="shared" si="968"/>
        <v>2.898603588139563E-2</v>
      </c>
    </row>
    <row r="294" spans="1:20" x14ac:dyDescent="0.25">
      <c r="A294" s="5">
        <v>44299</v>
      </c>
      <c r="B294">
        <v>422.40699999999998</v>
      </c>
      <c r="C294">
        <v>438.58</v>
      </c>
      <c r="D294">
        <v>411.62</v>
      </c>
      <c r="E294">
        <v>431.88099999999997</v>
      </c>
      <c r="F294">
        <v>68152.304999999993</v>
      </c>
      <c r="G294">
        <v>0</v>
      </c>
      <c r="L294" t="s">
        <v>8</v>
      </c>
      <c r="M294" t="s">
        <v>8</v>
      </c>
      <c r="N294" t="s">
        <v>7</v>
      </c>
      <c r="P294">
        <f t="shared" si="964"/>
        <v>0.5030415430267049</v>
      </c>
      <c r="Q294">
        <f t="shared" si="965"/>
        <v>34283.440668026611</v>
      </c>
      <c r="R294">
        <f t="shared" si="966"/>
        <v>2871542.6855900241</v>
      </c>
      <c r="S294">
        <f t="shared" si="967"/>
        <v>28.71542685590024</v>
      </c>
      <c r="T294">
        <f t="shared" si="968"/>
        <v>2.8715426855900242E-2</v>
      </c>
    </row>
    <row r="295" spans="1:20" x14ac:dyDescent="0.25">
      <c r="A295" s="5">
        <v>44298</v>
      </c>
      <c r="B295">
        <v>438.22699999999998</v>
      </c>
      <c r="C295">
        <v>440.00900000000001</v>
      </c>
      <c r="D295">
        <v>408.92700000000002</v>
      </c>
      <c r="E295">
        <v>422.16800000000001</v>
      </c>
      <c r="F295">
        <v>87769.701000000001</v>
      </c>
      <c r="G295">
        <v>0</v>
      </c>
      <c r="L295" t="s">
        <v>7</v>
      </c>
      <c r="M295" t="s">
        <v>8</v>
      </c>
      <c r="N295" t="s">
        <v>7</v>
      </c>
      <c r="P295">
        <f t="shared" si="964"/>
        <v>-0.14799562447719014</v>
      </c>
      <c r="Q295">
        <f t="shared" si="965"/>
        <v>-12989.531709671261</v>
      </c>
      <c r="R295">
        <f t="shared" si="966"/>
        <v>2837259.2449219977</v>
      </c>
      <c r="S295">
        <f t="shared" si="967"/>
        <v>28.372592449219976</v>
      </c>
      <c r="T295">
        <f t="shared" si="968"/>
        <v>2.8372592449219976E-2</v>
      </c>
    </row>
    <row r="296" spans="1:20" x14ac:dyDescent="0.25">
      <c r="A296" s="5">
        <v>44297</v>
      </c>
      <c r="B296">
        <v>448.399</v>
      </c>
      <c r="C296">
        <v>450.61200000000002</v>
      </c>
      <c r="D296">
        <v>432.65899999999999</v>
      </c>
      <c r="E296">
        <v>438.22699999999998</v>
      </c>
      <c r="F296">
        <v>42880.976000000002</v>
      </c>
      <c r="G296">
        <v>0</v>
      </c>
      <c r="L296" t="s">
        <v>7</v>
      </c>
      <c r="M296" t="s">
        <v>8</v>
      </c>
      <c r="N296" t="s">
        <v>7</v>
      </c>
      <c r="P296">
        <f t="shared" si="964"/>
        <v>-0.37971369687517698</v>
      </c>
      <c r="Q296">
        <f t="shared" si="965"/>
        <v>-16282.493922575739</v>
      </c>
      <c r="R296">
        <f t="shared" si="966"/>
        <v>2850248.7766316691</v>
      </c>
      <c r="S296">
        <f t="shared" si="967"/>
        <v>28.50248776631669</v>
      </c>
      <c r="T296">
        <f t="shared" si="968"/>
        <v>2.8502487766316691E-2</v>
      </c>
    </row>
    <row r="297" spans="1:20" x14ac:dyDescent="0.25">
      <c r="A297" s="5">
        <v>44296</v>
      </c>
      <c r="B297">
        <v>451.80399999999997</v>
      </c>
      <c r="C297">
        <v>461.9</v>
      </c>
      <c r="D297">
        <v>441.22</v>
      </c>
      <c r="E297">
        <v>448.4</v>
      </c>
      <c r="F297">
        <v>55281.017999999996</v>
      </c>
      <c r="G297">
        <v>0</v>
      </c>
      <c r="L297" t="s">
        <v>8</v>
      </c>
      <c r="M297" t="s">
        <v>8</v>
      </c>
      <c r="N297" t="s">
        <v>7</v>
      </c>
      <c r="P297">
        <f t="shared" si="964"/>
        <v>-0.30560928433269174</v>
      </c>
      <c r="Q297">
        <f t="shared" si="965"/>
        <v>-16894.392348162648</v>
      </c>
      <c r="R297">
        <f t="shared" si="966"/>
        <v>2866531.270554245</v>
      </c>
      <c r="S297">
        <f t="shared" si="967"/>
        <v>28.665312705542451</v>
      </c>
      <c r="T297">
        <f t="shared" si="968"/>
        <v>2.8665312705542453E-2</v>
      </c>
    </row>
    <row r="298" spans="1:20" x14ac:dyDescent="0.25">
      <c r="A298" s="5">
        <v>44295</v>
      </c>
      <c r="B298">
        <v>460.6</v>
      </c>
      <c r="C298">
        <v>467.23899999999998</v>
      </c>
      <c r="D298">
        <v>442.07</v>
      </c>
      <c r="E298">
        <v>451.77699999999999</v>
      </c>
      <c r="F298">
        <v>59245.749000000003</v>
      </c>
      <c r="G298">
        <v>0</v>
      </c>
      <c r="L298" t="s">
        <v>8</v>
      </c>
      <c r="M298" t="s">
        <v>8</v>
      </c>
      <c r="N298" t="s">
        <v>7</v>
      </c>
      <c r="P298">
        <f t="shared" si="964"/>
        <v>-0.22865429695260039</v>
      </c>
      <c r="Q298">
        <f t="shared" si="965"/>
        <v>-13546.795085025229</v>
      </c>
      <c r="R298">
        <f t="shared" si="966"/>
        <v>2883425.6629024078</v>
      </c>
      <c r="S298">
        <f t="shared" si="967"/>
        <v>28.834256629024079</v>
      </c>
      <c r="T298">
        <f t="shared" si="968"/>
        <v>2.8834256629024078E-2</v>
      </c>
    </row>
    <row r="299" spans="1:20" x14ac:dyDescent="0.25">
      <c r="A299" s="5">
        <v>44294</v>
      </c>
      <c r="B299">
        <v>427.36099999999999</v>
      </c>
      <c r="C299">
        <v>468</v>
      </c>
      <c r="D299">
        <v>423.267</v>
      </c>
      <c r="E299">
        <v>460.82499999999999</v>
      </c>
      <c r="F299">
        <v>94267.284</v>
      </c>
      <c r="G299">
        <v>0</v>
      </c>
      <c r="L299" t="s">
        <v>8</v>
      </c>
      <c r="M299" t="s">
        <v>8</v>
      </c>
      <c r="N299" t="s">
        <v>7</v>
      </c>
      <c r="P299">
        <f t="shared" si="964"/>
        <v>0.67920774372387227</v>
      </c>
      <c r="Q299">
        <f t="shared" si="965"/>
        <v>64027.069272617482</v>
      </c>
      <c r="R299">
        <f t="shared" si="966"/>
        <v>2896972.4579874328</v>
      </c>
      <c r="S299">
        <f t="shared" si="967"/>
        <v>28.969724579874327</v>
      </c>
      <c r="T299">
        <f t="shared" si="968"/>
        <v>2.8969724579874328E-2</v>
      </c>
    </row>
    <row r="300" spans="1:20" x14ac:dyDescent="0.25">
      <c r="A300" s="5">
        <v>44293</v>
      </c>
      <c r="B300">
        <v>440.00099999999998</v>
      </c>
      <c r="C300">
        <v>472</v>
      </c>
      <c r="D300">
        <v>378.82299999999998</v>
      </c>
      <c r="E300">
        <v>427.22899999999998</v>
      </c>
      <c r="F300">
        <v>165937.30100000001</v>
      </c>
      <c r="G300">
        <v>0</v>
      </c>
      <c r="L300" t="s">
        <v>7</v>
      </c>
      <c r="M300" t="s">
        <v>7</v>
      </c>
      <c r="N300" t="s">
        <v>7</v>
      </c>
      <c r="P300">
        <f t="shared" si="964"/>
        <v>3.9011773291692052E-2</v>
      </c>
      <c r="Q300">
        <f t="shared" si="965"/>
        <v>6473.5083672472647</v>
      </c>
      <c r="R300">
        <f t="shared" si="966"/>
        <v>2832945.3887148155</v>
      </c>
      <c r="S300">
        <f t="shared" si="967"/>
        <v>28.329453887148155</v>
      </c>
      <c r="T300">
        <f t="shared" si="968"/>
        <v>2.8329453887148155E-2</v>
      </c>
    </row>
    <row r="301" spans="1:20" x14ac:dyDescent="0.25">
      <c r="A301" s="5">
        <v>44292</v>
      </c>
      <c r="B301">
        <v>461.75099999999998</v>
      </c>
      <c r="C301">
        <v>470</v>
      </c>
      <c r="D301">
        <v>430.09</v>
      </c>
      <c r="E301">
        <v>440.61700000000002</v>
      </c>
      <c r="F301">
        <v>127083.25</v>
      </c>
      <c r="G301">
        <v>0</v>
      </c>
      <c r="L301" t="s">
        <v>8</v>
      </c>
      <c r="M301" t="s">
        <v>8</v>
      </c>
      <c r="N301" t="s">
        <v>8</v>
      </c>
      <c r="P301">
        <f t="shared" si="964"/>
        <v>-0.4724630418441475</v>
      </c>
      <c r="Q301">
        <f t="shared" si="965"/>
        <v>-60042.138862440261</v>
      </c>
      <c r="R301">
        <f t="shared" si="966"/>
        <v>2826471.8803475681</v>
      </c>
      <c r="S301">
        <f t="shared" si="967"/>
        <v>28.264718803475681</v>
      </c>
      <c r="T301">
        <f t="shared" si="968"/>
        <v>2.826471880347568E-2</v>
      </c>
    </row>
    <row r="302" spans="1:20" x14ac:dyDescent="0.25">
      <c r="A302" s="5">
        <v>44291</v>
      </c>
      <c r="B302">
        <v>444.464</v>
      </c>
      <c r="C302">
        <v>478.6</v>
      </c>
      <c r="D302">
        <v>426.41899999999998</v>
      </c>
      <c r="E302">
        <v>461.41399999999999</v>
      </c>
      <c r="F302">
        <v>112536.001</v>
      </c>
      <c r="G302">
        <v>0</v>
      </c>
      <c r="L302" t="s">
        <v>7</v>
      </c>
      <c r="M302" t="s">
        <v>8</v>
      </c>
      <c r="N302" t="s">
        <v>8</v>
      </c>
      <c r="P302">
        <f t="shared" si="964"/>
        <v>0.34129280772694959</v>
      </c>
      <c r="Q302">
        <f t="shared" si="965"/>
        <v>38407.727751652805</v>
      </c>
      <c r="R302">
        <f t="shared" si="966"/>
        <v>2886514.0192100084</v>
      </c>
      <c r="S302">
        <f t="shared" si="967"/>
        <v>28.865140192100085</v>
      </c>
      <c r="T302">
        <f t="shared" si="968"/>
        <v>2.8865140192100087E-2</v>
      </c>
    </row>
    <row r="303" spans="1:20" x14ac:dyDescent="0.25">
      <c r="A303" s="5">
        <v>44290</v>
      </c>
      <c r="B303">
        <v>439.601</v>
      </c>
      <c r="C303">
        <v>455.75299999999999</v>
      </c>
      <c r="D303">
        <v>428.976</v>
      </c>
      <c r="E303">
        <v>444.75900000000001</v>
      </c>
      <c r="F303">
        <v>78118.286999999997</v>
      </c>
      <c r="G303">
        <v>0</v>
      </c>
      <c r="L303" t="s">
        <v>7</v>
      </c>
      <c r="M303" t="s">
        <v>8</v>
      </c>
      <c r="N303" t="s">
        <v>8</v>
      </c>
      <c r="P303">
        <f t="shared" si="964"/>
        <v>0.17884751839265214</v>
      </c>
      <c r="Q303">
        <f t="shared" si="965"/>
        <v>13971.261771034979</v>
      </c>
      <c r="R303">
        <f t="shared" si="966"/>
        <v>2848106.2914583557</v>
      </c>
      <c r="S303">
        <f t="shared" si="967"/>
        <v>28.481062914583557</v>
      </c>
      <c r="T303">
        <f t="shared" si="968"/>
        <v>2.8481062914583556E-2</v>
      </c>
    </row>
    <row r="304" spans="1:20" x14ac:dyDescent="0.25">
      <c r="A304" s="5">
        <v>44289</v>
      </c>
      <c r="B304">
        <v>448.86</v>
      </c>
      <c r="C304">
        <v>498.13499999999999</v>
      </c>
      <c r="D304">
        <v>422.41</v>
      </c>
      <c r="E304">
        <v>439.601</v>
      </c>
      <c r="F304">
        <v>185836.48199999999</v>
      </c>
      <c r="G304">
        <v>0</v>
      </c>
      <c r="L304" t="s">
        <v>8</v>
      </c>
      <c r="M304" t="s">
        <v>8</v>
      </c>
      <c r="N304" t="s">
        <v>8</v>
      </c>
      <c r="P304">
        <f t="shared" si="964"/>
        <v>-0.54596236381644159</v>
      </c>
      <c r="Q304">
        <f t="shared" si="965"/>
        <v>-101459.72499605159</v>
      </c>
      <c r="R304">
        <f t="shared" si="966"/>
        <v>2834135.0296873208</v>
      </c>
      <c r="S304">
        <f t="shared" si="967"/>
        <v>28.341350296873209</v>
      </c>
      <c r="T304">
        <f t="shared" si="968"/>
        <v>2.8341350296873208E-2</v>
      </c>
    </row>
    <row r="305" spans="1:20" x14ac:dyDescent="0.25">
      <c r="A305" s="5">
        <v>44288</v>
      </c>
      <c r="B305">
        <v>462.98</v>
      </c>
      <c r="C305">
        <v>465.024</v>
      </c>
      <c r="D305">
        <v>418.971</v>
      </c>
      <c r="E305">
        <v>448.89299999999997</v>
      </c>
      <c r="F305">
        <v>198129.74799999999</v>
      </c>
      <c r="G305">
        <v>0</v>
      </c>
      <c r="L305" t="s">
        <v>7</v>
      </c>
      <c r="M305" t="s">
        <v>7</v>
      </c>
      <c r="N305" t="s">
        <v>8</v>
      </c>
      <c r="P305">
        <f t="shared" si="964"/>
        <v>0.29945931861116409</v>
      </c>
      <c r="Q305">
        <f t="shared" si="965"/>
        <v>59331.79933268165</v>
      </c>
      <c r="R305">
        <f t="shared" si="966"/>
        <v>2935594.7546833726</v>
      </c>
      <c r="S305">
        <f t="shared" si="967"/>
        <v>29.355947546833725</v>
      </c>
      <c r="T305">
        <f t="shared" si="968"/>
        <v>2.9355947546833724E-2</v>
      </c>
    </row>
    <row r="306" spans="1:20" x14ac:dyDescent="0.25">
      <c r="A306" s="5">
        <v>44287</v>
      </c>
      <c r="B306">
        <v>495.49</v>
      </c>
      <c r="C306">
        <v>507.43200000000002</v>
      </c>
      <c r="D306">
        <v>449.24</v>
      </c>
      <c r="E306">
        <v>463.01100000000002</v>
      </c>
      <c r="F306">
        <v>198397.837</v>
      </c>
      <c r="G306">
        <v>0</v>
      </c>
      <c r="L306" t="s">
        <v>7</v>
      </c>
      <c r="M306" t="s">
        <v>7</v>
      </c>
      <c r="N306" t="s">
        <v>8</v>
      </c>
      <c r="P306">
        <f t="shared" si="964"/>
        <v>-0.52670470167720607</v>
      </c>
      <c r="Q306">
        <f t="shared" si="965"/>
        <v>-104497.07355048796</v>
      </c>
      <c r="R306">
        <f t="shared" si="966"/>
        <v>2876262.955350691</v>
      </c>
      <c r="S306">
        <f t="shared" si="967"/>
        <v>28.762629553506908</v>
      </c>
      <c r="T306">
        <f t="shared" si="968"/>
        <v>2.8762629553506908E-2</v>
      </c>
    </row>
    <row r="307" spans="1:20" x14ac:dyDescent="0.25">
      <c r="A307" s="5">
        <v>44286</v>
      </c>
      <c r="B307">
        <v>539.21600000000001</v>
      </c>
      <c r="C307">
        <v>560</v>
      </c>
      <c r="D307">
        <v>474.58</v>
      </c>
      <c r="E307">
        <v>495.49700000000001</v>
      </c>
      <c r="F307">
        <v>142728.76999999999</v>
      </c>
      <c r="G307">
        <v>0</v>
      </c>
      <c r="L307" t="s">
        <v>7</v>
      </c>
      <c r="M307" t="s">
        <v>8</v>
      </c>
      <c r="N307" t="s">
        <v>8</v>
      </c>
      <c r="P307">
        <f t="shared" si="964"/>
        <v>-0.51025520955279735</v>
      </c>
      <c r="Q307">
        <f t="shared" si="965"/>
        <v>-72828.09844556301</v>
      </c>
      <c r="R307">
        <f t="shared" si="966"/>
        <v>2980760.0289011789</v>
      </c>
      <c r="S307">
        <f t="shared" si="967"/>
        <v>29.807600289011788</v>
      </c>
      <c r="T307">
        <f t="shared" si="968"/>
        <v>2.9807600289011787E-2</v>
      </c>
    </row>
    <row r="308" spans="1:20" x14ac:dyDescent="0.25">
      <c r="A308" s="5">
        <v>44285</v>
      </c>
      <c r="B308">
        <v>546.90099999999995</v>
      </c>
      <c r="C308">
        <v>558.97</v>
      </c>
      <c r="D308">
        <v>516.11099999999999</v>
      </c>
      <c r="E308">
        <v>539.59</v>
      </c>
      <c r="F308">
        <v>86939.385999999999</v>
      </c>
      <c r="G308">
        <v>0</v>
      </c>
      <c r="L308" t="s">
        <v>7</v>
      </c>
      <c r="M308" t="s">
        <v>8</v>
      </c>
      <c r="N308" t="s">
        <v>8</v>
      </c>
      <c r="P308">
        <f t="shared" si="964"/>
        <v>9.5639188968479033E-2</v>
      </c>
      <c r="Q308">
        <f t="shared" si="965"/>
        <v>8314.8123664575396</v>
      </c>
      <c r="R308">
        <f t="shared" si="966"/>
        <v>3053588.127346742</v>
      </c>
      <c r="S308">
        <f t="shared" si="967"/>
        <v>30.535881273467421</v>
      </c>
      <c r="T308">
        <f t="shared" si="968"/>
        <v>3.053588127346742E-2</v>
      </c>
    </row>
    <row r="309" spans="1:20" x14ac:dyDescent="0.25">
      <c r="A309" s="5">
        <v>44284</v>
      </c>
      <c r="B309">
        <v>511.16699999999997</v>
      </c>
      <c r="C309">
        <v>567.32000000000005</v>
      </c>
      <c r="D309">
        <v>506.35899999999998</v>
      </c>
      <c r="E309">
        <v>546.90099999999995</v>
      </c>
      <c r="F309">
        <v>164387.69899999999</v>
      </c>
      <c r="G309">
        <v>0</v>
      </c>
      <c r="L309" t="s">
        <v>8</v>
      </c>
      <c r="M309" t="s">
        <v>8</v>
      </c>
      <c r="N309" t="s">
        <v>8</v>
      </c>
      <c r="P309">
        <f t="shared" si="964"/>
        <v>0.33009629107133831</v>
      </c>
      <c r="Q309">
        <f t="shared" si="965"/>
        <v>54263.76973765155</v>
      </c>
      <c r="R309">
        <f t="shared" si="966"/>
        <v>3045273.3149802843</v>
      </c>
      <c r="S309">
        <f t="shared" si="967"/>
        <v>30.452733149802842</v>
      </c>
      <c r="T309">
        <f t="shared" si="968"/>
        <v>3.0452733149802843E-2</v>
      </c>
    </row>
    <row r="310" spans="1:20" x14ac:dyDescent="0.25">
      <c r="A310" s="5">
        <v>44283</v>
      </c>
      <c r="B310">
        <v>468.39600000000002</v>
      </c>
      <c r="C310">
        <v>520</v>
      </c>
      <c r="D310">
        <v>467.78100000000001</v>
      </c>
      <c r="E310">
        <v>511.00400000000002</v>
      </c>
      <c r="F310">
        <v>115034.556</v>
      </c>
      <c r="G310">
        <v>0</v>
      </c>
      <c r="L310" t="s">
        <v>8</v>
      </c>
      <c r="M310" t="s">
        <v>8</v>
      </c>
      <c r="N310" t="s">
        <v>8</v>
      </c>
      <c r="P310">
        <f t="shared" si="964"/>
        <v>0.65545108102414895</v>
      </c>
      <c r="Q310">
        <f t="shared" si="965"/>
        <v>75399.524085333003</v>
      </c>
      <c r="R310">
        <f t="shared" si="966"/>
        <v>2991009.5452426327</v>
      </c>
      <c r="S310">
        <f t="shared" si="967"/>
        <v>29.910095452426326</v>
      </c>
      <c r="T310">
        <f t="shared" si="968"/>
        <v>2.9910095452426327E-2</v>
      </c>
    </row>
    <row r="311" spans="1:20" x14ac:dyDescent="0.25">
      <c r="A311" s="5">
        <v>44282</v>
      </c>
      <c r="B311">
        <v>454.79199999999997</v>
      </c>
      <c r="C311">
        <v>505.33499999999998</v>
      </c>
      <c r="D311">
        <v>447.36900000000003</v>
      </c>
      <c r="E311">
        <v>468.755</v>
      </c>
      <c r="F311">
        <v>173783.46100000001</v>
      </c>
      <c r="G311">
        <v>0</v>
      </c>
      <c r="L311" t="s">
        <v>8</v>
      </c>
      <c r="M311" t="s">
        <v>8</v>
      </c>
      <c r="N311" t="s">
        <v>8</v>
      </c>
      <c r="P311">
        <f t="shared" si="964"/>
        <v>-0.26211917330849172</v>
      </c>
      <c r="Q311">
        <f t="shared" si="965"/>
        <v>-45551.977132008513</v>
      </c>
      <c r="R311">
        <f t="shared" si="966"/>
        <v>2915610.0211572996</v>
      </c>
      <c r="S311">
        <f t="shared" si="967"/>
        <v>29.156100211572998</v>
      </c>
      <c r="T311">
        <f t="shared" si="968"/>
        <v>2.9156100211572996E-2</v>
      </c>
    </row>
    <row r="312" spans="1:20" x14ac:dyDescent="0.25">
      <c r="A312" s="5">
        <v>44281</v>
      </c>
      <c r="B312">
        <v>410.67700000000002</v>
      </c>
      <c r="C312">
        <v>455</v>
      </c>
      <c r="D312">
        <v>404.096</v>
      </c>
      <c r="E312">
        <v>454.79199999999997</v>
      </c>
      <c r="F312">
        <v>101808.273</v>
      </c>
      <c r="G312">
        <v>0</v>
      </c>
      <c r="L312" t="s">
        <v>8</v>
      </c>
      <c r="M312" t="s">
        <v>8</v>
      </c>
      <c r="N312" t="s">
        <v>8</v>
      </c>
      <c r="P312">
        <f t="shared" si="964"/>
        <v>0.99182775420399072</v>
      </c>
      <c r="Q312">
        <f t="shared" si="965"/>
        <v>100976.27076897678</v>
      </c>
      <c r="R312">
        <f t="shared" si="966"/>
        <v>2961161.998289308</v>
      </c>
      <c r="S312">
        <f t="shared" si="967"/>
        <v>29.611619982893082</v>
      </c>
      <c r="T312">
        <f t="shared" si="968"/>
        <v>2.9611619982893082E-2</v>
      </c>
    </row>
    <row r="313" spans="1:20" x14ac:dyDescent="0.25">
      <c r="A313" s="5">
        <v>44280</v>
      </c>
      <c r="B313">
        <v>422.48899999999998</v>
      </c>
      <c r="C313">
        <v>437.178</v>
      </c>
      <c r="D313">
        <v>370</v>
      </c>
      <c r="E313">
        <v>410.45100000000002</v>
      </c>
      <c r="F313">
        <v>213293.15700000001</v>
      </c>
      <c r="G313">
        <v>0</v>
      </c>
      <c r="L313" t="s">
        <v>7</v>
      </c>
      <c r="M313" t="s">
        <v>7</v>
      </c>
      <c r="N313" t="s">
        <v>8</v>
      </c>
      <c r="P313">
        <f t="shared" si="964"/>
        <v>0.20429307213671213</v>
      </c>
      <c r="Q313">
        <f t="shared" si="965"/>
        <v>43574.314309268069</v>
      </c>
      <c r="R313">
        <f t="shared" si="966"/>
        <v>2860185.7275203313</v>
      </c>
      <c r="S313">
        <f t="shared" si="967"/>
        <v>28.601857275203312</v>
      </c>
      <c r="T313">
        <f t="shared" si="968"/>
        <v>2.8601857275203313E-2</v>
      </c>
    </row>
    <row r="314" spans="1:20" x14ac:dyDescent="0.25">
      <c r="A314" s="5">
        <v>44279</v>
      </c>
      <c r="B314">
        <v>422.24900000000002</v>
      </c>
      <c r="C314">
        <v>490</v>
      </c>
      <c r="D314">
        <v>416</v>
      </c>
      <c r="E314">
        <v>422.48899999999998</v>
      </c>
      <c r="F314">
        <v>152181.386</v>
      </c>
      <c r="G314">
        <v>0</v>
      </c>
      <c r="L314" t="s">
        <v>8</v>
      </c>
      <c r="M314" t="s">
        <v>8</v>
      </c>
      <c r="N314" t="s">
        <v>8</v>
      </c>
      <c r="P314">
        <f t="shared" si="964"/>
        <v>-0.82462162162162223</v>
      </c>
      <c r="Q314">
        <f t="shared" si="965"/>
        <v>-125492.06130394603</v>
      </c>
      <c r="R314">
        <f t="shared" si="966"/>
        <v>2816611.413211063</v>
      </c>
      <c r="S314">
        <f t="shared" si="967"/>
        <v>28.166114132110629</v>
      </c>
      <c r="T314">
        <f t="shared" si="968"/>
        <v>2.8166114132110627E-2</v>
      </c>
    </row>
    <row r="315" spans="1:20" x14ac:dyDescent="0.25">
      <c r="A315" s="5">
        <v>44278</v>
      </c>
      <c r="B315">
        <v>437.47899999999998</v>
      </c>
      <c r="C315">
        <v>454.60899999999998</v>
      </c>
      <c r="D315">
        <v>414.99099999999999</v>
      </c>
      <c r="E315">
        <v>421.46499999999997</v>
      </c>
      <c r="F315">
        <v>101319.999</v>
      </c>
      <c r="G315">
        <v>0</v>
      </c>
      <c r="L315" t="s">
        <v>7</v>
      </c>
      <c r="M315" t="s">
        <v>8</v>
      </c>
      <c r="N315" t="s">
        <v>8</v>
      </c>
      <c r="P315">
        <f t="shared" si="964"/>
        <v>-0.67317885809480593</v>
      </c>
      <c r="Q315">
        <f t="shared" si="965"/>
        <v>-68206.481228986871</v>
      </c>
      <c r="R315">
        <f t="shared" si="966"/>
        <v>2942103.4745150092</v>
      </c>
      <c r="S315">
        <f t="shared" si="967"/>
        <v>29.421034745150092</v>
      </c>
      <c r="T315">
        <f t="shared" si="968"/>
        <v>2.9421034745150093E-2</v>
      </c>
    </row>
    <row r="316" spans="1:20" x14ac:dyDescent="0.25">
      <c r="A316" s="5">
        <v>44277</v>
      </c>
      <c r="B316">
        <v>398.88299999999998</v>
      </c>
      <c r="C316">
        <v>460.53899999999999</v>
      </c>
      <c r="D316">
        <v>397.363</v>
      </c>
      <c r="E316">
        <v>437.48</v>
      </c>
      <c r="F316">
        <v>129544.65300000001</v>
      </c>
      <c r="G316">
        <v>0</v>
      </c>
      <c r="L316" t="s">
        <v>8</v>
      </c>
      <c r="M316" t="s">
        <v>8</v>
      </c>
      <c r="N316" t="s">
        <v>8</v>
      </c>
      <c r="P316">
        <f t="shared" si="964"/>
        <v>0.27000759782195854</v>
      </c>
      <c r="Q316">
        <f t="shared" si="965"/>
        <v>34978.04056720918</v>
      </c>
      <c r="R316">
        <f t="shared" si="966"/>
        <v>3010309.955743996</v>
      </c>
      <c r="S316">
        <f t="shared" si="967"/>
        <v>30.103099557439961</v>
      </c>
      <c r="T316">
        <f t="shared" si="968"/>
        <v>3.010309955743996E-2</v>
      </c>
    </row>
    <row r="317" spans="1:20" x14ac:dyDescent="0.25">
      <c r="A317" s="5">
        <v>44276</v>
      </c>
      <c r="B317">
        <v>389.03</v>
      </c>
      <c r="C317">
        <v>416.26299999999998</v>
      </c>
      <c r="D317">
        <v>382</v>
      </c>
      <c r="E317">
        <v>399.495</v>
      </c>
      <c r="F317">
        <v>82419.505000000005</v>
      </c>
      <c r="G317">
        <v>0</v>
      </c>
      <c r="L317" t="s">
        <v>8</v>
      </c>
      <c r="M317" t="s">
        <v>8</v>
      </c>
      <c r="N317" t="s">
        <v>8</v>
      </c>
      <c r="P317">
        <f t="shared" si="964"/>
        <v>2.1218223739895303E-2</v>
      </c>
      <c r="Q317">
        <f t="shared" si="965"/>
        <v>1748.7954976214196</v>
      </c>
      <c r="R317">
        <f t="shared" si="966"/>
        <v>2975331.9151767869</v>
      </c>
      <c r="S317">
        <f t="shared" si="967"/>
        <v>29.753319151767869</v>
      </c>
      <c r="T317">
        <f t="shared" si="968"/>
        <v>2.9753319151767869E-2</v>
      </c>
    </row>
    <row r="318" spans="1:20" x14ac:dyDescent="0.25">
      <c r="A318" s="5">
        <v>44275</v>
      </c>
      <c r="B318">
        <v>383.68599999999998</v>
      </c>
      <c r="C318">
        <v>411.33</v>
      </c>
      <c r="D318">
        <v>376.57799999999997</v>
      </c>
      <c r="E318">
        <v>389.37799999999999</v>
      </c>
      <c r="F318">
        <v>73855.148000000001</v>
      </c>
      <c r="G318">
        <v>0</v>
      </c>
      <c r="L318" t="s">
        <v>7</v>
      </c>
      <c r="M318" t="s">
        <v>8</v>
      </c>
      <c r="N318" t="s">
        <v>8</v>
      </c>
      <c r="P318">
        <f t="shared" si="964"/>
        <v>-0.26335174953959439</v>
      </c>
      <c r="Q318">
        <f t="shared" si="965"/>
        <v>-19449.882438305674</v>
      </c>
      <c r="R318">
        <f t="shared" si="966"/>
        <v>2973583.1196791655</v>
      </c>
      <c r="S318">
        <f t="shared" si="967"/>
        <v>29.735831196791654</v>
      </c>
      <c r="T318">
        <f t="shared" si="968"/>
        <v>2.9735831196791653E-2</v>
      </c>
    </row>
    <row r="319" spans="1:20" x14ac:dyDescent="0.25">
      <c r="A319" s="5">
        <v>44274</v>
      </c>
      <c r="B319">
        <v>367.47399999999999</v>
      </c>
      <c r="C319">
        <v>423.04</v>
      </c>
      <c r="D319">
        <v>355.22500000000002</v>
      </c>
      <c r="E319">
        <v>384.04199999999997</v>
      </c>
      <c r="F319">
        <v>132474.42600000001</v>
      </c>
      <c r="G319">
        <v>0</v>
      </c>
      <c r="L319" t="s">
        <v>8</v>
      </c>
      <c r="M319" t="s">
        <v>8</v>
      </c>
      <c r="N319" t="s">
        <v>8</v>
      </c>
      <c r="P319">
        <f t="shared" si="964"/>
        <v>-0.1501290275012917</v>
      </c>
      <c r="Q319">
        <f t="shared" si="965"/>
        <v>-19888.256744171835</v>
      </c>
      <c r="R319">
        <f t="shared" si="966"/>
        <v>2993033.0021174713</v>
      </c>
      <c r="S319">
        <f t="shared" si="967"/>
        <v>29.930330021174711</v>
      </c>
      <c r="T319">
        <f t="shared" si="968"/>
        <v>2.9930330021174713E-2</v>
      </c>
    </row>
    <row r="320" spans="1:20" x14ac:dyDescent="0.25">
      <c r="A320" s="5">
        <v>44273</v>
      </c>
      <c r="B320">
        <v>345.18599999999998</v>
      </c>
      <c r="C320">
        <v>390</v>
      </c>
      <c r="D320">
        <v>342.49</v>
      </c>
      <c r="E320">
        <v>367.37299999999999</v>
      </c>
      <c r="F320">
        <v>163675.72399999999</v>
      </c>
      <c r="G320">
        <v>0</v>
      </c>
      <c r="L320" t="s">
        <v>8</v>
      </c>
      <c r="M320" t="s">
        <v>8</v>
      </c>
      <c r="N320" t="s">
        <v>8</v>
      </c>
      <c r="P320">
        <f t="shared" si="964"/>
        <v>4.7484740054724736E-2</v>
      </c>
      <c r="Q320">
        <f t="shared" si="965"/>
        <v>7772.0992074088699</v>
      </c>
      <c r="R320">
        <f t="shared" si="966"/>
        <v>3012921.2588616433</v>
      </c>
      <c r="S320">
        <f t="shared" si="967"/>
        <v>30.129212588616433</v>
      </c>
      <c r="T320">
        <f t="shared" si="968"/>
        <v>3.0129212588616432E-2</v>
      </c>
    </row>
    <row r="321" spans="1:20" x14ac:dyDescent="0.25">
      <c r="A321" s="5">
        <v>44272</v>
      </c>
      <c r="B321">
        <v>318.75599999999997</v>
      </c>
      <c r="C321">
        <v>348.77100000000002</v>
      </c>
      <c r="D321">
        <v>310</v>
      </c>
      <c r="E321">
        <v>345.17</v>
      </c>
      <c r="F321">
        <v>77052.259000000005</v>
      </c>
      <c r="G321">
        <v>0</v>
      </c>
      <c r="L321" t="s">
        <v>8</v>
      </c>
      <c r="M321" t="s">
        <v>8</v>
      </c>
      <c r="N321" t="s">
        <v>8</v>
      </c>
      <c r="P321">
        <f t="shared" si="964"/>
        <v>0.81424260400815052</v>
      </c>
      <c r="Q321">
        <f t="shared" si="965"/>
        <v>62739.23201287046</v>
      </c>
      <c r="R321">
        <f t="shared" si="966"/>
        <v>3005149.1596542345</v>
      </c>
      <c r="S321">
        <f t="shared" si="967"/>
        <v>30.051491596542345</v>
      </c>
      <c r="T321">
        <f t="shared" si="968"/>
        <v>3.0051491596542346E-2</v>
      </c>
    </row>
    <row r="322" spans="1:20" x14ac:dyDescent="0.25">
      <c r="A322" s="5">
        <v>44271</v>
      </c>
      <c r="B322">
        <v>310.93400000000003</v>
      </c>
      <c r="C322">
        <v>334.303</v>
      </c>
      <c r="D322">
        <v>291.10000000000002</v>
      </c>
      <c r="E322">
        <v>318.24900000000002</v>
      </c>
      <c r="F322">
        <v>103231.682</v>
      </c>
      <c r="G322">
        <v>0</v>
      </c>
      <c r="L322" t="s">
        <v>8</v>
      </c>
      <c r="M322" t="s">
        <v>8</v>
      </c>
      <c r="N322" t="s">
        <v>8</v>
      </c>
      <c r="P322">
        <f t="shared" si="964"/>
        <v>0.25681086961553673</v>
      </c>
      <c r="Q322">
        <f t="shared" si="965"/>
        <v>26511.018026294551</v>
      </c>
      <c r="R322">
        <f t="shared" si="966"/>
        <v>2942409.9276413643</v>
      </c>
      <c r="S322">
        <f t="shared" si="967"/>
        <v>29.424099276413642</v>
      </c>
      <c r="T322">
        <f t="shared" si="968"/>
        <v>2.9424099276413641E-2</v>
      </c>
    </row>
    <row r="323" spans="1:20" x14ac:dyDescent="0.25">
      <c r="A323" s="5">
        <v>44270</v>
      </c>
      <c r="B323">
        <v>300.66399999999999</v>
      </c>
      <c r="C323">
        <v>324.93400000000003</v>
      </c>
      <c r="D323">
        <v>277.53199999999998</v>
      </c>
      <c r="E323">
        <v>310.238</v>
      </c>
      <c r="F323">
        <v>112315.63800000001</v>
      </c>
      <c r="G323">
        <v>0</v>
      </c>
      <c r="L323" t="s">
        <v>7</v>
      </c>
      <c r="M323" t="s">
        <v>7</v>
      </c>
      <c r="N323" t="s">
        <v>8</v>
      </c>
      <c r="P323">
        <f t="shared" si="964"/>
        <v>0.37994177460866574</v>
      </c>
      <c r="Q323">
        <f t="shared" si="965"/>
        <v>42673.402818024493</v>
      </c>
      <c r="R323">
        <f t="shared" si="966"/>
        <v>2915898.9096150696</v>
      </c>
      <c r="S323">
        <f t="shared" si="967"/>
        <v>29.158989096150695</v>
      </c>
      <c r="T323">
        <f t="shared" si="968"/>
        <v>2.9158989096150695E-2</v>
      </c>
    </row>
    <row r="324" spans="1:20" x14ac:dyDescent="0.25">
      <c r="A324" s="5">
        <v>44269</v>
      </c>
      <c r="B324">
        <v>313.548</v>
      </c>
      <c r="C324">
        <v>321.5</v>
      </c>
      <c r="D324">
        <v>300.00200000000001</v>
      </c>
      <c r="E324">
        <v>300.488</v>
      </c>
      <c r="F324">
        <v>59516.586000000003</v>
      </c>
      <c r="G324">
        <v>0</v>
      </c>
      <c r="L324" t="s">
        <v>7</v>
      </c>
      <c r="M324" t="s">
        <v>8</v>
      </c>
      <c r="N324" t="s">
        <v>8</v>
      </c>
      <c r="P324">
        <f t="shared" si="964"/>
        <v>-0.95478649176667685</v>
      </c>
      <c r="Q324">
        <f t="shared" si="965"/>
        <v>-56825.632348869716</v>
      </c>
      <c r="R324">
        <f t="shared" si="966"/>
        <v>2873225.506797045</v>
      </c>
      <c r="S324">
        <f t="shared" si="967"/>
        <v>28.732255067970449</v>
      </c>
      <c r="T324">
        <f t="shared" si="968"/>
        <v>2.873225506797045E-2</v>
      </c>
    </row>
    <row r="325" spans="1:20" x14ac:dyDescent="0.25">
      <c r="A325" s="5">
        <v>44268</v>
      </c>
      <c r="B325">
        <v>314.05599999999998</v>
      </c>
      <c r="C325">
        <v>323.74599999999998</v>
      </c>
      <c r="D325">
        <v>301.55</v>
      </c>
      <c r="E325">
        <v>313.548</v>
      </c>
      <c r="F325">
        <v>77947.448000000004</v>
      </c>
      <c r="G325">
        <v>0</v>
      </c>
      <c r="L325" t="s">
        <v>7</v>
      </c>
      <c r="M325" t="s">
        <v>8</v>
      </c>
      <c r="N325" t="s">
        <v>8</v>
      </c>
      <c r="P325">
        <f t="shared" si="964"/>
        <v>8.1095692917643444E-2</v>
      </c>
      <c r="Q325">
        <f t="shared" si="965"/>
        <v>6321.2023067219807</v>
      </c>
      <c r="R325">
        <f t="shared" si="966"/>
        <v>2930051.1391459149</v>
      </c>
      <c r="S325">
        <f t="shared" si="967"/>
        <v>29.30051139145915</v>
      </c>
      <c r="T325">
        <f t="shared" si="968"/>
        <v>2.9300511391459151E-2</v>
      </c>
    </row>
    <row r="326" spans="1:20" x14ac:dyDescent="0.25">
      <c r="A326" s="5">
        <v>44267</v>
      </c>
      <c r="B326">
        <v>330.03</v>
      </c>
      <c r="C326">
        <v>336</v>
      </c>
      <c r="D326">
        <v>300.834</v>
      </c>
      <c r="E326">
        <v>314.44200000000001</v>
      </c>
      <c r="F326">
        <v>94315.755000000005</v>
      </c>
      <c r="G326">
        <v>0</v>
      </c>
      <c r="L326" t="s">
        <v>7</v>
      </c>
      <c r="M326" t="s">
        <v>8</v>
      </c>
      <c r="N326" t="s">
        <v>8</v>
      </c>
      <c r="P326">
        <f t="shared" ref="P326:P389" si="969">IF(C326=D326,0,((E326-D326)-(C326-E326))/(C326-D326))</f>
        <v>-0.22607063641016861</v>
      </c>
      <c r="Q326">
        <f t="shared" ref="Q326:Q389" si="970">F326*P326</f>
        <v>-21322.022756355542</v>
      </c>
      <c r="R326">
        <f t="shared" ref="R326:R389" si="971">R327+Q326</f>
        <v>2923729.9368391931</v>
      </c>
      <c r="S326">
        <f t="shared" ref="S326:S389" si="972">R326/100000</f>
        <v>29.23729936839193</v>
      </c>
      <c r="T326">
        <f t="shared" ref="T326:T389" si="973">S326/1000</f>
        <v>2.9237299368391929E-2</v>
      </c>
    </row>
    <row r="327" spans="1:20" x14ac:dyDescent="0.25">
      <c r="A327" s="5">
        <v>44266</v>
      </c>
      <c r="B327">
        <v>303.94099999999997</v>
      </c>
      <c r="C327">
        <v>344.70800000000003</v>
      </c>
      <c r="D327">
        <v>278</v>
      </c>
      <c r="E327">
        <v>329.899</v>
      </c>
      <c r="F327">
        <v>124933.68399999999</v>
      </c>
      <c r="G327">
        <v>0</v>
      </c>
      <c r="L327" t="s">
        <v>8</v>
      </c>
      <c r="M327" t="s">
        <v>8</v>
      </c>
      <c r="N327" t="s">
        <v>8</v>
      </c>
      <c r="P327">
        <f t="shared" si="969"/>
        <v>0.55600527672842781</v>
      </c>
      <c r="Q327">
        <f t="shared" si="970"/>
        <v>69463.787545121944</v>
      </c>
      <c r="R327">
        <f t="shared" si="971"/>
        <v>2945051.9595955485</v>
      </c>
      <c r="S327">
        <f t="shared" si="972"/>
        <v>29.450519595955484</v>
      </c>
      <c r="T327">
        <f t="shared" si="973"/>
        <v>2.9450519595955484E-2</v>
      </c>
    </row>
    <row r="328" spans="1:20" x14ac:dyDescent="0.25">
      <c r="A328" s="5">
        <v>44265</v>
      </c>
      <c r="B328">
        <v>289.48399999999998</v>
      </c>
      <c r="C328">
        <v>318.22699999999998</v>
      </c>
      <c r="D328">
        <v>267.101</v>
      </c>
      <c r="E328">
        <v>303.23399999999998</v>
      </c>
      <c r="F328">
        <v>184565.122</v>
      </c>
      <c r="G328">
        <v>0</v>
      </c>
      <c r="L328" t="s">
        <v>8</v>
      </c>
      <c r="M328" t="s">
        <v>8</v>
      </c>
      <c r="N328" t="s">
        <v>8</v>
      </c>
      <c r="P328">
        <f t="shared" si="969"/>
        <v>0.41348824472870938</v>
      </c>
      <c r="Q328">
        <f t="shared" si="970"/>
        <v>76315.508333920108</v>
      </c>
      <c r="R328">
        <f t="shared" si="971"/>
        <v>2875588.1720504267</v>
      </c>
      <c r="S328">
        <f t="shared" si="972"/>
        <v>28.755881720504266</v>
      </c>
      <c r="T328">
        <f t="shared" si="973"/>
        <v>2.8755881720504268E-2</v>
      </c>
    </row>
    <row r="329" spans="1:20" x14ac:dyDescent="0.25">
      <c r="A329" s="5">
        <v>44264</v>
      </c>
      <c r="B329">
        <v>244.178</v>
      </c>
      <c r="C329">
        <v>296.96800000000002</v>
      </c>
      <c r="D329">
        <v>238.67</v>
      </c>
      <c r="E329">
        <v>290.16699999999997</v>
      </c>
      <c r="F329">
        <v>143385.77799999999</v>
      </c>
      <c r="G329">
        <v>0</v>
      </c>
      <c r="L329" t="s">
        <v>8</v>
      </c>
      <c r="M329" t="s">
        <v>8</v>
      </c>
      <c r="N329" t="s">
        <v>8</v>
      </c>
      <c r="P329">
        <f t="shared" si="969"/>
        <v>0.76668153281416029</v>
      </c>
      <c r="Q329">
        <f t="shared" si="970"/>
        <v>109931.22806079089</v>
      </c>
      <c r="R329">
        <f t="shared" si="971"/>
        <v>2799272.6637165067</v>
      </c>
      <c r="S329">
        <f t="shared" si="972"/>
        <v>27.992726637165067</v>
      </c>
      <c r="T329">
        <f t="shared" si="973"/>
        <v>2.7992726637165066E-2</v>
      </c>
    </row>
    <row r="330" spans="1:20" x14ac:dyDescent="0.25">
      <c r="A330" s="5">
        <v>44263</v>
      </c>
      <c r="B330">
        <v>233.82300000000001</v>
      </c>
      <c r="C330">
        <v>244.17</v>
      </c>
      <c r="D330">
        <v>223</v>
      </c>
      <c r="E330">
        <v>244.16900000000001</v>
      </c>
      <c r="F330">
        <v>65058.771000000001</v>
      </c>
      <c r="G330">
        <v>0</v>
      </c>
      <c r="L330" t="s">
        <v>8</v>
      </c>
      <c r="M330" t="s">
        <v>7</v>
      </c>
      <c r="N330" t="s">
        <v>7</v>
      </c>
      <c r="P330">
        <f t="shared" si="969"/>
        <v>0.99990552668871269</v>
      </c>
      <c r="Q330">
        <f t="shared" si="970"/>
        <v>65052.624682475347</v>
      </c>
      <c r="R330">
        <f t="shared" si="971"/>
        <v>2689341.4356557159</v>
      </c>
      <c r="S330">
        <f t="shared" si="972"/>
        <v>26.893414356557159</v>
      </c>
      <c r="T330">
        <f t="shared" si="973"/>
        <v>2.689341435655716E-2</v>
      </c>
    </row>
    <row r="331" spans="1:20" x14ac:dyDescent="0.25">
      <c r="A331" s="5">
        <v>44262</v>
      </c>
      <c r="B331">
        <v>229.30500000000001</v>
      </c>
      <c r="C331">
        <v>240</v>
      </c>
      <c r="D331">
        <v>225.41900000000001</v>
      </c>
      <c r="E331">
        <v>233.49100000000001</v>
      </c>
      <c r="F331">
        <v>44605.434999999998</v>
      </c>
      <c r="G331">
        <v>0</v>
      </c>
      <c r="L331" t="s">
        <v>8</v>
      </c>
      <c r="M331" t="s">
        <v>7</v>
      </c>
      <c r="N331" t="s">
        <v>7</v>
      </c>
      <c r="P331">
        <f t="shared" si="969"/>
        <v>0.10719429394417515</v>
      </c>
      <c r="Q331">
        <f t="shared" si="970"/>
        <v>4781.448110897798</v>
      </c>
      <c r="R331">
        <f t="shared" si="971"/>
        <v>2624288.8109732405</v>
      </c>
      <c r="S331">
        <f t="shared" si="972"/>
        <v>26.242888109732405</v>
      </c>
      <c r="T331">
        <f t="shared" si="973"/>
        <v>2.6242888109732406E-2</v>
      </c>
    </row>
    <row r="332" spans="1:20" x14ac:dyDescent="0.25">
      <c r="A332" s="5">
        <v>44261</v>
      </c>
      <c r="B332">
        <v>227.852</v>
      </c>
      <c r="C332">
        <v>237</v>
      </c>
      <c r="D332">
        <v>216</v>
      </c>
      <c r="E332">
        <v>229.25899999999999</v>
      </c>
      <c r="F332">
        <v>53895.853000000003</v>
      </c>
      <c r="G332">
        <v>0</v>
      </c>
      <c r="L332" t="s">
        <v>8</v>
      </c>
      <c r="M332" t="s">
        <v>7</v>
      </c>
      <c r="N332" t="s">
        <v>7</v>
      </c>
      <c r="P332">
        <f t="shared" si="969"/>
        <v>0.26276190476190342</v>
      </c>
      <c r="Q332">
        <f t="shared" si="970"/>
        <v>14161.776993047548</v>
      </c>
      <c r="R332">
        <f t="shared" si="971"/>
        <v>2619507.3628623425</v>
      </c>
      <c r="S332">
        <f t="shared" si="972"/>
        <v>26.195073628623426</v>
      </c>
      <c r="T332">
        <f t="shared" si="973"/>
        <v>2.6195073628623427E-2</v>
      </c>
    </row>
    <row r="333" spans="1:20" x14ac:dyDescent="0.25">
      <c r="A333" s="5">
        <v>44260</v>
      </c>
      <c r="B333">
        <v>234.346</v>
      </c>
      <c r="C333">
        <v>234.66</v>
      </c>
      <c r="D333">
        <v>211.71100000000001</v>
      </c>
      <c r="E333">
        <v>228.45699999999999</v>
      </c>
      <c r="F333">
        <v>91899.807000000001</v>
      </c>
      <c r="G333">
        <v>0</v>
      </c>
      <c r="L333" t="s">
        <v>7</v>
      </c>
      <c r="M333" t="s">
        <v>7</v>
      </c>
      <c r="N333" t="s">
        <v>7</v>
      </c>
      <c r="P333">
        <f t="shared" si="969"/>
        <v>0.45940999607825983</v>
      </c>
      <c r="Q333">
        <f t="shared" si="970"/>
        <v>42219.689973462839</v>
      </c>
      <c r="R333">
        <f t="shared" si="971"/>
        <v>2605345.5858692951</v>
      </c>
      <c r="S333">
        <f t="shared" si="972"/>
        <v>26.053455858692949</v>
      </c>
      <c r="T333">
        <f t="shared" si="973"/>
        <v>2.605345585869295E-2</v>
      </c>
    </row>
    <row r="334" spans="1:20" x14ac:dyDescent="0.25">
      <c r="A334" s="5">
        <v>44259</v>
      </c>
      <c r="B334">
        <v>244.196</v>
      </c>
      <c r="C334">
        <v>254.65799999999999</v>
      </c>
      <c r="D334">
        <v>230.88300000000001</v>
      </c>
      <c r="E334">
        <v>234.34800000000001</v>
      </c>
      <c r="F334">
        <v>94911.472999999998</v>
      </c>
      <c r="G334">
        <v>0</v>
      </c>
      <c r="L334" t="s">
        <v>7</v>
      </c>
      <c r="M334" t="s">
        <v>8</v>
      </c>
      <c r="N334" t="s">
        <v>7</v>
      </c>
      <c r="P334">
        <f t="shared" si="969"/>
        <v>-0.7085173501577281</v>
      </c>
      <c r="Q334">
        <f t="shared" si="970"/>
        <v>-67246.425349526748</v>
      </c>
      <c r="R334">
        <f t="shared" si="971"/>
        <v>2563125.8958958322</v>
      </c>
      <c r="S334">
        <f t="shared" si="972"/>
        <v>25.631258958958323</v>
      </c>
      <c r="T334">
        <f t="shared" si="973"/>
        <v>2.5631258958958323E-2</v>
      </c>
    </row>
    <row r="335" spans="1:20" x14ac:dyDescent="0.25">
      <c r="A335" s="5">
        <v>44258</v>
      </c>
      <c r="B335">
        <v>240.761</v>
      </c>
      <c r="C335">
        <v>259.23599999999999</v>
      </c>
      <c r="D335">
        <v>238.18799999999999</v>
      </c>
      <c r="E335">
        <v>244.23500000000001</v>
      </c>
      <c r="F335">
        <v>93072.782999999996</v>
      </c>
      <c r="G335">
        <v>0</v>
      </c>
      <c r="L335" t="s">
        <v>8</v>
      </c>
      <c r="M335" t="s">
        <v>8</v>
      </c>
      <c r="N335" t="s">
        <v>7</v>
      </c>
      <c r="P335">
        <f t="shared" si="969"/>
        <v>-0.42540858988977337</v>
      </c>
      <c r="Q335">
        <f t="shared" si="970"/>
        <v>-39593.961373146871</v>
      </c>
      <c r="R335">
        <f t="shared" si="971"/>
        <v>2630372.3212453588</v>
      </c>
      <c r="S335">
        <f t="shared" si="972"/>
        <v>26.303723212453587</v>
      </c>
      <c r="T335">
        <f t="shared" si="973"/>
        <v>2.6303723212453587E-2</v>
      </c>
    </row>
    <row r="336" spans="1:20" x14ac:dyDescent="0.25">
      <c r="A336" s="5">
        <v>44257</v>
      </c>
      <c r="B336">
        <v>227.80799999999999</v>
      </c>
      <c r="C336">
        <v>245.73099999999999</v>
      </c>
      <c r="D336">
        <v>218.602</v>
      </c>
      <c r="E336">
        <v>240.95500000000001</v>
      </c>
      <c r="F336">
        <v>97171.588000000003</v>
      </c>
      <c r="G336">
        <v>0</v>
      </c>
      <c r="L336" t="s">
        <v>8</v>
      </c>
      <c r="M336" t="s">
        <v>8</v>
      </c>
      <c r="N336" t="s">
        <v>7</v>
      </c>
      <c r="P336">
        <f t="shared" si="969"/>
        <v>0.64790445648568074</v>
      </c>
      <c r="Q336">
        <f t="shared" si="970"/>
        <v>62957.904908990502</v>
      </c>
      <c r="R336">
        <f t="shared" si="971"/>
        <v>2669966.2826185059</v>
      </c>
      <c r="S336">
        <f t="shared" si="972"/>
        <v>26.699662826185058</v>
      </c>
      <c r="T336">
        <f t="shared" si="973"/>
        <v>2.6699662826185057E-2</v>
      </c>
    </row>
    <row r="337" spans="1:20" x14ac:dyDescent="0.25">
      <c r="A337" s="5">
        <v>44256</v>
      </c>
      <c r="B337">
        <v>212.58199999999999</v>
      </c>
      <c r="C337">
        <v>231</v>
      </c>
      <c r="D337">
        <v>208.97800000000001</v>
      </c>
      <c r="E337">
        <v>227.80799999999999</v>
      </c>
      <c r="F337">
        <v>90555.944000000003</v>
      </c>
      <c r="G337">
        <v>0</v>
      </c>
      <c r="L337" t="s">
        <v>8</v>
      </c>
      <c r="M337" t="s">
        <v>7</v>
      </c>
      <c r="N337" t="s">
        <v>7</v>
      </c>
      <c r="P337">
        <f t="shared" si="969"/>
        <v>0.71010807374443663</v>
      </c>
      <c r="Q337">
        <f t="shared" si="970"/>
        <v>64304.506959949074</v>
      </c>
      <c r="R337">
        <f t="shared" si="971"/>
        <v>2607008.3777095154</v>
      </c>
      <c r="S337">
        <f t="shared" si="972"/>
        <v>26.070083777095153</v>
      </c>
      <c r="T337">
        <f t="shared" si="973"/>
        <v>2.6070083777095153E-2</v>
      </c>
    </row>
    <row r="338" spans="1:20" x14ac:dyDescent="0.25">
      <c r="A338" s="5">
        <v>44255</v>
      </c>
      <c r="B338">
        <v>229.66800000000001</v>
      </c>
      <c r="C338">
        <v>235</v>
      </c>
      <c r="D338">
        <v>195</v>
      </c>
      <c r="E338">
        <v>212.58799999999999</v>
      </c>
      <c r="F338">
        <v>137421.70499999999</v>
      </c>
      <c r="G338">
        <v>0</v>
      </c>
      <c r="L338" t="s">
        <v>7</v>
      </c>
      <c r="M338" t="s">
        <v>7</v>
      </c>
      <c r="N338" t="s">
        <v>7</v>
      </c>
      <c r="P338">
        <f t="shared" si="969"/>
        <v>-0.1206000000000003</v>
      </c>
      <c r="Q338">
        <f t="shared" si="970"/>
        <v>-16573.057623000041</v>
      </c>
      <c r="R338">
        <f t="shared" si="971"/>
        <v>2542703.8707495662</v>
      </c>
      <c r="S338">
        <f t="shared" si="972"/>
        <v>25.427038707495662</v>
      </c>
      <c r="T338">
        <f t="shared" si="973"/>
        <v>2.5427038707495662E-2</v>
      </c>
    </row>
    <row r="339" spans="1:20" x14ac:dyDescent="0.25">
      <c r="A339" s="5">
        <v>44254</v>
      </c>
      <c r="B339">
        <v>216.39099999999999</v>
      </c>
      <c r="C339">
        <v>238.99799999999999</v>
      </c>
      <c r="D339">
        <v>215.63</v>
      </c>
      <c r="E339">
        <v>229.66800000000001</v>
      </c>
      <c r="F339">
        <v>87214.172999999995</v>
      </c>
      <c r="G339">
        <v>0</v>
      </c>
      <c r="L339" t="s">
        <v>8</v>
      </c>
      <c r="M339" t="s">
        <v>8</v>
      </c>
      <c r="N339" t="s">
        <v>7</v>
      </c>
      <c r="P339">
        <f t="shared" si="969"/>
        <v>0.2014720985963723</v>
      </c>
      <c r="Q339">
        <f t="shared" si="970"/>
        <v>17571.222461657071</v>
      </c>
      <c r="R339">
        <f t="shared" si="971"/>
        <v>2559276.9283725661</v>
      </c>
      <c r="S339">
        <f t="shared" si="972"/>
        <v>25.592769283725662</v>
      </c>
      <c r="T339">
        <f t="shared" si="973"/>
        <v>2.5592769283725662E-2</v>
      </c>
    </row>
    <row r="340" spans="1:20" x14ac:dyDescent="0.25">
      <c r="A340" s="5">
        <v>44253</v>
      </c>
      <c r="B340">
        <v>224.38800000000001</v>
      </c>
      <c r="C340">
        <v>231</v>
      </c>
      <c r="D340">
        <v>198.82300000000001</v>
      </c>
      <c r="E340">
        <v>215.97399999999999</v>
      </c>
      <c r="F340">
        <v>149982.565</v>
      </c>
      <c r="G340">
        <v>0</v>
      </c>
      <c r="L340" t="s">
        <v>7</v>
      </c>
      <c r="M340" t="s">
        <v>7</v>
      </c>
      <c r="N340" t="s">
        <v>7</v>
      </c>
      <c r="P340">
        <f t="shared" si="969"/>
        <v>6.6040960934828363E-2</v>
      </c>
      <c r="Q340">
        <f t="shared" si="970"/>
        <v>9904.9927160703555</v>
      </c>
      <c r="R340">
        <f t="shared" si="971"/>
        <v>2541705.705910909</v>
      </c>
      <c r="S340">
        <f t="shared" si="972"/>
        <v>25.417057059109091</v>
      </c>
      <c r="T340">
        <f t="shared" si="973"/>
        <v>2.5417057059109092E-2</v>
      </c>
    </row>
    <row r="341" spans="1:20" x14ac:dyDescent="0.25">
      <c r="A341" s="5">
        <v>44252</v>
      </c>
      <c r="B341">
        <v>242.53200000000001</v>
      </c>
      <c r="C341">
        <v>258.27999999999997</v>
      </c>
      <c r="D341">
        <v>221.19800000000001</v>
      </c>
      <c r="E341">
        <v>224.99100000000001</v>
      </c>
      <c r="F341">
        <v>123737.19</v>
      </c>
      <c r="G341">
        <v>0</v>
      </c>
      <c r="L341" t="s">
        <v>7</v>
      </c>
      <c r="M341" t="s">
        <v>7</v>
      </c>
      <c r="N341" t="s">
        <v>8</v>
      </c>
      <c r="P341">
        <f t="shared" si="969"/>
        <v>-0.79542635240817594</v>
      </c>
      <c r="Q341">
        <f t="shared" si="970"/>
        <v>-98423.82169893742</v>
      </c>
      <c r="R341">
        <f t="shared" si="971"/>
        <v>2531800.7131948387</v>
      </c>
      <c r="S341">
        <f t="shared" si="972"/>
        <v>25.318007131948388</v>
      </c>
      <c r="T341">
        <f t="shared" si="973"/>
        <v>2.5318007131948386E-2</v>
      </c>
    </row>
    <row r="342" spans="1:20" x14ac:dyDescent="0.25">
      <c r="A342" s="5">
        <v>44251</v>
      </c>
      <c r="B342">
        <v>241</v>
      </c>
      <c r="C342">
        <v>269.76</v>
      </c>
      <c r="D342">
        <v>224.351</v>
      </c>
      <c r="E342">
        <v>242.60499999999999</v>
      </c>
      <c r="F342">
        <v>181285.198</v>
      </c>
      <c r="G342">
        <v>0</v>
      </c>
      <c r="L342" t="s">
        <v>7</v>
      </c>
      <c r="M342" t="s">
        <v>8</v>
      </c>
      <c r="N342" t="s">
        <v>8</v>
      </c>
      <c r="P342">
        <f t="shared" si="969"/>
        <v>-0.19601841044726842</v>
      </c>
      <c r="Q342">
        <f t="shared" si="970"/>
        <v>-35535.236349578328</v>
      </c>
      <c r="R342">
        <f t="shared" si="971"/>
        <v>2630224.5348937763</v>
      </c>
      <c r="S342">
        <f t="shared" si="972"/>
        <v>26.302245348937763</v>
      </c>
      <c r="T342">
        <f t="shared" si="973"/>
        <v>2.6302245348937763E-2</v>
      </c>
    </row>
    <row r="343" spans="1:20" x14ac:dyDescent="0.25">
      <c r="A343" s="5">
        <v>44250</v>
      </c>
      <c r="B343">
        <v>271.11799999999999</v>
      </c>
      <c r="C343">
        <v>289.93900000000002</v>
      </c>
      <c r="D343">
        <v>208.47</v>
      </c>
      <c r="E343">
        <v>241</v>
      </c>
      <c r="F343">
        <v>432862.03</v>
      </c>
      <c r="G343">
        <v>0</v>
      </c>
      <c r="L343" t="s">
        <v>8</v>
      </c>
      <c r="M343" t="s">
        <v>7</v>
      </c>
      <c r="N343" t="s">
        <v>8</v>
      </c>
      <c r="P343">
        <f t="shared" si="969"/>
        <v>-0.2014140347862379</v>
      </c>
      <c r="Q343">
        <f t="shared" si="970"/>
        <v>-87184.487968061556</v>
      </c>
      <c r="R343">
        <f t="shared" si="971"/>
        <v>2665759.7712433548</v>
      </c>
      <c r="S343">
        <f t="shared" si="972"/>
        <v>26.657597712433549</v>
      </c>
      <c r="T343">
        <f t="shared" si="973"/>
        <v>2.6657597712433548E-2</v>
      </c>
    </row>
    <row r="344" spans="1:20" x14ac:dyDescent="0.25">
      <c r="A344" s="5">
        <v>44249</v>
      </c>
      <c r="B344">
        <v>224.09700000000001</v>
      </c>
      <c r="C344">
        <v>299.88</v>
      </c>
      <c r="D344">
        <v>192</v>
      </c>
      <c r="E344">
        <v>271.01499999999999</v>
      </c>
      <c r="F344">
        <v>471016.65299999999</v>
      </c>
      <c r="G344">
        <v>0</v>
      </c>
      <c r="L344" t="s">
        <v>7</v>
      </c>
      <c r="M344" t="s">
        <v>8</v>
      </c>
      <c r="N344" t="s">
        <v>8</v>
      </c>
      <c r="P344">
        <f t="shared" si="969"/>
        <v>0.46486837226547995</v>
      </c>
      <c r="Q344">
        <f t="shared" si="970"/>
        <v>218960.74479004438</v>
      </c>
      <c r="R344">
        <f t="shared" si="971"/>
        <v>2752944.2592114164</v>
      </c>
      <c r="S344">
        <f t="shared" si="972"/>
        <v>27.529442592114165</v>
      </c>
      <c r="T344">
        <f t="shared" si="973"/>
        <v>2.7529442592114164E-2</v>
      </c>
    </row>
    <row r="345" spans="1:20" x14ac:dyDescent="0.25">
      <c r="A345" s="5">
        <v>44248</v>
      </c>
      <c r="B345">
        <v>221.68</v>
      </c>
      <c r="C345">
        <v>237.36099999999999</v>
      </c>
      <c r="D345">
        <v>215.9</v>
      </c>
      <c r="E345">
        <v>223.637</v>
      </c>
      <c r="F345">
        <v>67474.623999999996</v>
      </c>
      <c r="G345">
        <v>0</v>
      </c>
      <c r="L345" t="s">
        <v>7</v>
      </c>
      <c r="M345" t="s">
        <v>8</v>
      </c>
      <c r="N345" t="s">
        <v>8</v>
      </c>
      <c r="P345">
        <f t="shared" si="969"/>
        <v>-0.27897115698243319</v>
      </c>
      <c r="Q345">
        <f t="shared" si="970"/>
        <v>-18823.473924234651</v>
      </c>
      <c r="R345">
        <f t="shared" si="971"/>
        <v>2533983.5144213717</v>
      </c>
      <c r="S345">
        <f t="shared" si="972"/>
        <v>25.339835144213719</v>
      </c>
      <c r="T345">
        <f t="shared" si="973"/>
        <v>2.5339835144213719E-2</v>
      </c>
    </row>
    <row r="346" spans="1:20" x14ac:dyDescent="0.25">
      <c r="A346" s="5">
        <v>44247</v>
      </c>
      <c r="B346">
        <v>224.15799999999999</v>
      </c>
      <c r="C346">
        <v>248</v>
      </c>
      <c r="D346">
        <v>208</v>
      </c>
      <c r="E346">
        <v>221.66800000000001</v>
      </c>
      <c r="F346">
        <v>204000.57</v>
      </c>
      <c r="G346">
        <v>0</v>
      </c>
      <c r="L346" t="s">
        <v>8</v>
      </c>
      <c r="M346" t="s">
        <v>8</v>
      </c>
      <c r="N346" t="s">
        <v>8</v>
      </c>
      <c r="P346">
        <f t="shared" si="969"/>
        <v>-0.31659999999999966</v>
      </c>
      <c r="Q346">
        <f t="shared" si="970"/>
        <v>-64586.580461999933</v>
      </c>
      <c r="R346">
        <f t="shared" si="971"/>
        <v>2552806.9883456063</v>
      </c>
      <c r="S346">
        <f t="shared" si="972"/>
        <v>25.528069883456062</v>
      </c>
      <c r="T346">
        <f t="shared" si="973"/>
        <v>2.5528069883456062E-2</v>
      </c>
    </row>
    <row r="347" spans="1:20" x14ac:dyDescent="0.25">
      <c r="A347" s="5">
        <v>44246</v>
      </c>
      <c r="B347">
        <v>222.90600000000001</v>
      </c>
      <c r="C347">
        <v>242</v>
      </c>
      <c r="D347">
        <v>200</v>
      </c>
      <c r="E347">
        <v>223.886</v>
      </c>
      <c r="F347">
        <v>177079.46100000001</v>
      </c>
      <c r="G347">
        <v>0</v>
      </c>
      <c r="L347" t="s">
        <v>7</v>
      </c>
      <c r="M347" t="s">
        <v>7</v>
      </c>
      <c r="N347" t="s">
        <v>8</v>
      </c>
      <c r="P347">
        <f t="shared" si="969"/>
        <v>0.13742857142857123</v>
      </c>
      <c r="Q347">
        <f t="shared" si="970"/>
        <v>24335.777354571397</v>
      </c>
      <c r="R347">
        <f t="shared" si="971"/>
        <v>2617393.5688076061</v>
      </c>
      <c r="S347">
        <f t="shared" si="972"/>
        <v>26.17393568807606</v>
      </c>
      <c r="T347">
        <f t="shared" si="973"/>
        <v>2.617393568807606E-2</v>
      </c>
    </row>
    <row r="348" spans="1:20" x14ac:dyDescent="0.25">
      <c r="A348" s="5">
        <v>44245</v>
      </c>
      <c r="B348">
        <v>240.4</v>
      </c>
      <c r="C348">
        <v>240.98</v>
      </c>
      <c r="D348">
        <v>213.77699999999999</v>
      </c>
      <c r="E348">
        <v>222.786</v>
      </c>
      <c r="F348">
        <v>114638.39599999999</v>
      </c>
      <c r="G348">
        <v>0</v>
      </c>
      <c r="L348" t="s">
        <v>7</v>
      </c>
      <c r="M348" t="s">
        <v>8</v>
      </c>
      <c r="N348" t="s">
        <v>8</v>
      </c>
      <c r="P348">
        <f t="shared" si="969"/>
        <v>-0.33764658309745149</v>
      </c>
      <c r="Q348">
        <f t="shared" si="970"/>
        <v>-38707.262701172549</v>
      </c>
      <c r="R348">
        <f t="shared" si="971"/>
        <v>2593057.7914530346</v>
      </c>
      <c r="S348">
        <f t="shared" si="972"/>
        <v>25.930577914530346</v>
      </c>
      <c r="T348">
        <f t="shared" si="973"/>
        <v>2.5930577914530347E-2</v>
      </c>
    </row>
    <row r="349" spans="1:20" x14ac:dyDescent="0.25">
      <c r="A349" s="5">
        <v>44244</v>
      </c>
      <c r="B349">
        <v>209.31299999999999</v>
      </c>
      <c r="C349">
        <v>243</v>
      </c>
      <c r="D349">
        <v>194.15</v>
      </c>
      <c r="E349">
        <v>240.441</v>
      </c>
      <c r="F349">
        <v>217640.285</v>
      </c>
      <c r="G349">
        <v>0</v>
      </c>
      <c r="L349" t="s">
        <v>8</v>
      </c>
      <c r="M349" t="s">
        <v>8</v>
      </c>
      <c r="N349" t="s">
        <v>8</v>
      </c>
      <c r="P349">
        <f t="shared" si="969"/>
        <v>0.8952302968270216</v>
      </c>
      <c r="Q349">
        <f t="shared" si="970"/>
        <v>194838.17694206757</v>
      </c>
      <c r="R349">
        <f t="shared" si="971"/>
        <v>2631765.054154207</v>
      </c>
      <c r="S349">
        <f t="shared" si="972"/>
        <v>26.317650541542069</v>
      </c>
      <c r="T349">
        <f t="shared" si="973"/>
        <v>2.631765054154207E-2</v>
      </c>
    </row>
    <row r="350" spans="1:20" x14ac:dyDescent="0.25">
      <c r="A350" s="5">
        <v>44243</v>
      </c>
      <c r="B350">
        <v>189.97300000000001</v>
      </c>
      <c r="C350">
        <v>228</v>
      </c>
      <c r="D350">
        <v>183.38499999999999</v>
      </c>
      <c r="E350">
        <v>209.36</v>
      </c>
      <c r="F350">
        <v>314867.45299999998</v>
      </c>
      <c r="G350">
        <v>0</v>
      </c>
      <c r="L350" t="s">
        <v>8</v>
      </c>
      <c r="M350" t="s">
        <v>7</v>
      </c>
      <c r="N350" t="s">
        <v>8</v>
      </c>
      <c r="P350">
        <f t="shared" si="969"/>
        <v>0.16440658971198105</v>
      </c>
      <c r="Q350">
        <f t="shared" si="970"/>
        <v>51766.284159027477</v>
      </c>
      <c r="R350">
        <f t="shared" si="971"/>
        <v>2436926.8772121393</v>
      </c>
      <c r="S350">
        <f t="shared" si="972"/>
        <v>24.369268772121394</v>
      </c>
      <c r="T350">
        <f t="shared" si="973"/>
        <v>2.4369268772121394E-2</v>
      </c>
    </row>
    <row r="351" spans="1:20" x14ac:dyDescent="0.25">
      <c r="A351" s="5">
        <v>44242</v>
      </c>
      <c r="B351">
        <v>157.501</v>
      </c>
      <c r="C351">
        <v>226</v>
      </c>
      <c r="D351">
        <v>135</v>
      </c>
      <c r="E351">
        <v>189.99700000000001</v>
      </c>
      <c r="F351">
        <v>528795.85199999996</v>
      </c>
      <c r="G351">
        <v>0</v>
      </c>
      <c r="L351" t="s">
        <v>7</v>
      </c>
      <c r="M351" t="s">
        <v>8</v>
      </c>
      <c r="N351" t="s">
        <v>8</v>
      </c>
      <c r="P351">
        <f t="shared" si="969"/>
        <v>0.20872527472527502</v>
      </c>
      <c r="Q351">
        <f t="shared" si="970"/>
        <v>110373.05948228587</v>
      </c>
      <c r="R351">
        <f t="shared" si="971"/>
        <v>2385160.5930531118</v>
      </c>
      <c r="S351">
        <f t="shared" si="972"/>
        <v>23.851605930531118</v>
      </c>
      <c r="T351">
        <f t="shared" si="973"/>
        <v>2.3851605930531119E-2</v>
      </c>
    </row>
    <row r="352" spans="1:20" x14ac:dyDescent="0.25">
      <c r="A352" s="5">
        <v>44241</v>
      </c>
      <c r="B352">
        <v>161.446</v>
      </c>
      <c r="C352">
        <v>163</v>
      </c>
      <c r="D352">
        <v>146.23699999999999</v>
      </c>
      <c r="E352">
        <v>157.63</v>
      </c>
      <c r="F352">
        <v>87246.103000000003</v>
      </c>
      <c r="G352">
        <v>0</v>
      </c>
      <c r="L352" t="s">
        <v>7</v>
      </c>
      <c r="M352" t="s">
        <v>8</v>
      </c>
      <c r="N352" t="s">
        <v>8</v>
      </c>
      <c r="P352">
        <f t="shared" si="969"/>
        <v>0.35930322734594011</v>
      </c>
      <c r="Q352">
        <f t="shared" si="970"/>
        <v>31347.806381256309</v>
      </c>
      <c r="R352">
        <f t="shared" si="971"/>
        <v>2274787.5335708261</v>
      </c>
      <c r="S352">
        <f t="shared" si="972"/>
        <v>22.747875335708262</v>
      </c>
      <c r="T352">
        <f t="shared" si="973"/>
        <v>2.2747875335708261E-2</v>
      </c>
    </row>
    <row r="353" spans="1:20" x14ac:dyDescent="0.25">
      <c r="A353" s="5">
        <v>44240</v>
      </c>
      <c r="B353">
        <v>154.29499999999999</v>
      </c>
      <c r="C353">
        <v>169.578</v>
      </c>
      <c r="D353">
        <v>152.78</v>
      </c>
      <c r="E353">
        <v>161.511</v>
      </c>
      <c r="F353">
        <v>125289.231</v>
      </c>
      <c r="G353">
        <v>0</v>
      </c>
      <c r="L353" t="s">
        <v>8</v>
      </c>
      <c r="M353" t="s">
        <v>8</v>
      </c>
      <c r="N353" t="s">
        <v>8</v>
      </c>
      <c r="P353">
        <f t="shared" si="969"/>
        <v>3.9528515299439647E-2</v>
      </c>
      <c r="Q353">
        <f t="shared" si="970"/>
        <v>4952.4972844385284</v>
      </c>
      <c r="R353">
        <f t="shared" si="971"/>
        <v>2243439.7271895697</v>
      </c>
      <c r="S353">
        <f t="shared" si="972"/>
        <v>22.434397271895698</v>
      </c>
      <c r="T353">
        <f t="shared" si="973"/>
        <v>2.2434397271895699E-2</v>
      </c>
    </row>
    <row r="354" spans="1:20" x14ac:dyDescent="0.25">
      <c r="A354" s="5">
        <v>44239</v>
      </c>
      <c r="B354">
        <v>142.34800000000001</v>
      </c>
      <c r="C354">
        <v>161.33000000000001</v>
      </c>
      <c r="D354">
        <v>137.58000000000001</v>
      </c>
      <c r="E354">
        <v>154.28299999999999</v>
      </c>
      <c r="F354">
        <v>91531.849000000002</v>
      </c>
      <c r="G354">
        <v>0</v>
      </c>
      <c r="L354" t="s">
        <v>8</v>
      </c>
      <c r="M354" t="s">
        <v>8</v>
      </c>
      <c r="N354" t="s">
        <v>8</v>
      </c>
      <c r="P354">
        <f t="shared" si="969"/>
        <v>0.40656842105262941</v>
      </c>
      <c r="Q354">
        <f t="shared" si="970"/>
        <v>37213.959323957701</v>
      </c>
      <c r="R354">
        <f t="shared" si="971"/>
        <v>2238487.2299051313</v>
      </c>
      <c r="S354">
        <f t="shared" si="972"/>
        <v>22.384872299051313</v>
      </c>
      <c r="T354">
        <f t="shared" si="973"/>
        <v>2.2384872299051312E-2</v>
      </c>
    </row>
    <row r="355" spans="1:20" x14ac:dyDescent="0.25">
      <c r="A355" s="5">
        <v>44238</v>
      </c>
      <c r="B355">
        <v>129.142</v>
      </c>
      <c r="C355">
        <v>147</v>
      </c>
      <c r="D355">
        <v>126.36499999999999</v>
      </c>
      <c r="E355">
        <v>142.34299999999999</v>
      </c>
      <c r="F355">
        <v>124708.54399999999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0.54863096680397294</v>
      </c>
      <c r="Q355">
        <f t="shared" si="970"/>
        <v>68418.969063435798</v>
      </c>
      <c r="R355">
        <f t="shared" si="971"/>
        <v>2201273.2705811737</v>
      </c>
      <c r="S355">
        <f t="shared" si="972"/>
        <v>22.012732705811736</v>
      </c>
      <c r="T355">
        <f t="shared" si="973"/>
        <v>2.2012732705811736E-2</v>
      </c>
    </row>
    <row r="356" spans="1:20" x14ac:dyDescent="0.25">
      <c r="A356" s="5">
        <v>44237</v>
      </c>
      <c r="B356">
        <v>130.88</v>
      </c>
      <c r="C356">
        <v>137.37700000000001</v>
      </c>
      <c r="D356">
        <v>120</v>
      </c>
      <c r="E356">
        <v>129.43700000000001</v>
      </c>
      <c r="F356">
        <v>101354.511</v>
      </c>
      <c r="G356">
        <v>0</v>
      </c>
      <c r="L356" t="s">
        <v>7</v>
      </c>
      <c r="M356" t="s">
        <v>8</v>
      </c>
      <c r="N356" t="s">
        <v>8</v>
      </c>
      <c r="P356">
        <f t="shared" si="969"/>
        <v>8.6148357023652714E-2</v>
      </c>
      <c r="Q356">
        <f t="shared" si="970"/>
        <v>8731.5245995857367</v>
      </c>
      <c r="R356">
        <f t="shared" si="971"/>
        <v>2132854.301517738</v>
      </c>
      <c r="S356">
        <f t="shared" si="972"/>
        <v>21.328543015177381</v>
      </c>
      <c r="T356">
        <f t="shared" si="973"/>
        <v>2.1328543015177382E-2</v>
      </c>
    </row>
    <row r="357" spans="1:20" x14ac:dyDescent="0.25">
      <c r="A357" s="5">
        <v>44236</v>
      </c>
      <c r="B357">
        <v>133.203</v>
      </c>
      <c r="C357">
        <v>138.654</v>
      </c>
      <c r="D357">
        <v>126.15</v>
      </c>
      <c r="E357">
        <v>130.88</v>
      </c>
      <c r="F357">
        <v>115984.29300000001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-0.24344209852847196</v>
      </c>
      <c r="Q357">
        <f t="shared" si="970"/>
        <v>-28235.459684261161</v>
      </c>
      <c r="R357">
        <f t="shared" si="971"/>
        <v>2124122.7769181523</v>
      </c>
      <c r="S357">
        <f t="shared" si="972"/>
        <v>21.241227769181524</v>
      </c>
      <c r="T357">
        <f t="shared" si="973"/>
        <v>2.1241227769181525E-2</v>
      </c>
    </row>
    <row r="358" spans="1:20" x14ac:dyDescent="0.25">
      <c r="A358" s="5">
        <v>44235</v>
      </c>
      <c r="B358">
        <v>115.88200000000001</v>
      </c>
      <c r="C358">
        <v>136.851</v>
      </c>
      <c r="D358">
        <v>111.5</v>
      </c>
      <c r="E358">
        <v>132.947</v>
      </c>
      <c r="F358">
        <v>154560.05300000001</v>
      </c>
      <c r="G358">
        <v>0</v>
      </c>
      <c r="L358" t="s">
        <v>8</v>
      </c>
      <c r="M358" t="s">
        <v>8</v>
      </c>
      <c r="N358" t="s">
        <v>8</v>
      </c>
      <c r="P358">
        <f t="shared" si="969"/>
        <v>0.69200426018697514</v>
      </c>
      <c r="Q358">
        <f t="shared" si="970"/>
        <v>106956.21513072468</v>
      </c>
      <c r="R358">
        <f t="shared" si="971"/>
        <v>2152358.2366024135</v>
      </c>
      <c r="S358">
        <f t="shared" si="972"/>
        <v>21.523582366024133</v>
      </c>
      <c r="T358">
        <f t="shared" si="973"/>
        <v>2.1523582366024134E-2</v>
      </c>
    </row>
    <row r="359" spans="1:20" x14ac:dyDescent="0.25">
      <c r="A359" s="5">
        <v>44234</v>
      </c>
      <c r="B359">
        <v>112.85599999999999</v>
      </c>
      <c r="C359">
        <v>116</v>
      </c>
      <c r="D359">
        <v>100.1</v>
      </c>
      <c r="E359">
        <v>115.998</v>
      </c>
      <c r="F359">
        <v>106419.791</v>
      </c>
      <c r="G359">
        <v>0</v>
      </c>
      <c r="L359" t="s">
        <v>7</v>
      </c>
      <c r="M359" t="s">
        <v>7</v>
      </c>
      <c r="N359" t="s">
        <v>8</v>
      </c>
      <c r="P359">
        <f t="shared" si="969"/>
        <v>0.99974842767295657</v>
      </c>
      <c r="Q359">
        <f t="shared" si="970"/>
        <v>106393.01872553465</v>
      </c>
      <c r="R359">
        <f t="shared" si="971"/>
        <v>2045402.021471689</v>
      </c>
      <c r="S359">
        <f t="shared" si="972"/>
        <v>20.454020214716891</v>
      </c>
      <c r="T359">
        <f t="shared" si="973"/>
        <v>2.045402021471689E-2</v>
      </c>
    </row>
    <row r="360" spans="1:20" x14ac:dyDescent="0.25">
      <c r="A360" s="5">
        <v>44233</v>
      </c>
      <c r="B360">
        <v>121.123</v>
      </c>
      <c r="C360">
        <v>124.038</v>
      </c>
      <c r="D360">
        <v>110.786</v>
      </c>
      <c r="E360">
        <v>112.857</v>
      </c>
      <c r="F360">
        <v>100670.315</v>
      </c>
      <c r="G360">
        <v>0</v>
      </c>
      <c r="L360" t="s">
        <v>7</v>
      </c>
      <c r="M360" t="s">
        <v>8</v>
      </c>
      <c r="N360" t="s">
        <v>8</v>
      </c>
      <c r="P360">
        <f t="shared" si="969"/>
        <v>-0.6874434047690916</v>
      </c>
      <c r="Q360">
        <f t="shared" si="970"/>
        <v>-69205.144102776962</v>
      </c>
      <c r="R360">
        <f t="shared" si="971"/>
        <v>1939009.0027461543</v>
      </c>
      <c r="S360">
        <f t="shared" si="972"/>
        <v>19.390090027461543</v>
      </c>
      <c r="T360">
        <f t="shared" si="973"/>
        <v>1.9390090027461542E-2</v>
      </c>
    </row>
    <row r="361" spans="1:20" x14ac:dyDescent="0.25">
      <c r="A361" s="5">
        <v>44232</v>
      </c>
      <c r="B361">
        <v>115.648</v>
      </c>
      <c r="C361">
        <v>123.265</v>
      </c>
      <c r="D361">
        <v>112</v>
      </c>
      <c r="E361">
        <v>121.325</v>
      </c>
      <c r="F361">
        <v>150030.15900000001</v>
      </c>
      <c r="G361">
        <v>0</v>
      </c>
      <c r="L361" t="s">
        <v>7</v>
      </c>
      <c r="M361" t="s">
        <v>8</v>
      </c>
      <c r="N361" t="s">
        <v>8</v>
      </c>
      <c r="P361">
        <f t="shared" si="969"/>
        <v>0.65557035064358671</v>
      </c>
      <c r="Q361">
        <f t="shared" si="970"/>
        <v>98355.323942743082</v>
      </c>
      <c r="R361">
        <f t="shared" si="971"/>
        <v>2008214.1468489312</v>
      </c>
      <c r="S361">
        <f t="shared" si="972"/>
        <v>20.082141468489311</v>
      </c>
      <c r="T361">
        <f t="shared" si="973"/>
        <v>2.0082141468489311E-2</v>
      </c>
    </row>
    <row r="362" spans="1:20" x14ac:dyDescent="0.25">
      <c r="A362" s="5">
        <v>44231</v>
      </c>
      <c r="B362">
        <v>119.02800000000001</v>
      </c>
      <c r="C362">
        <v>124</v>
      </c>
      <c r="D362">
        <v>108.31699999999999</v>
      </c>
      <c r="E362">
        <v>115.714</v>
      </c>
      <c r="F362">
        <v>149504.587</v>
      </c>
      <c r="G362">
        <v>0</v>
      </c>
      <c r="L362" t="s">
        <v>8</v>
      </c>
      <c r="M362" t="s">
        <v>8</v>
      </c>
      <c r="N362" t="s">
        <v>8</v>
      </c>
      <c r="P362">
        <f t="shared" si="969"/>
        <v>-5.6685583115475065E-2</v>
      </c>
      <c r="Q362">
        <f t="shared" si="970"/>
        <v>-8474.7546925332736</v>
      </c>
      <c r="R362">
        <f t="shared" si="971"/>
        <v>1909858.8229061882</v>
      </c>
      <c r="S362">
        <f t="shared" si="972"/>
        <v>19.098588229061882</v>
      </c>
      <c r="T362">
        <f t="shared" si="973"/>
        <v>1.909858822906188E-2</v>
      </c>
    </row>
    <row r="363" spans="1:20" x14ac:dyDescent="0.25">
      <c r="A363" s="5">
        <v>44230</v>
      </c>
      <c r="B363">
        <v>104.764</v>
      </c>
      <c r="C363">
        <v>122.929</v>
      </c>
      <c r="D363">
        <v>104.738</v>
      </c>
      <c r="E363">
        <v>119.124</v>
      </c>
      <c r="F363">
        <v>167528.48300000001</v>
      </c>
      <c r="G363">
        <v>0</v>
      </c>
      <c r="L363" t="s">
        <v>8</v>
      </c>
      <c r="M363" t="s">
        <v>8</v>
      </c>
      <c r="N363" t="s">
        <v>8</v>
      </c>
      <c r="P363">
        <f t="shared" si="969"/>
        <v>0.5816612610631624</v>
      </c>
      <c r="Q363">
        <f t="shared" si="970"/>
        <v>97444.828685778572</v>
      </c>
      <c r="R363">
        <f t="shared" si="971"/>
        <v>1918333.5775987215</v>
      </c>
      <c r="S363">
        <f t="shared" si="972"/>
        <v>19.183335775987214</v>
      </c>
      <c r="T363">
        <f t="shared" si="973"/>
        <v>1.9183335775987215E-2</v>
      </c>
    </row>
    <row r="364" spans="1:20" x14ac:dyDescent="0.25">
      <c r="A364" s="5">
        <v>44229</v>
      </c>
      <c r="B364">
        <v>100.64400000000001</v>
      </c>
      <c r="C364">
        <v>107.7</v>
      </c>
      <c r="D364">
        <v>97.600999999999999</v>
      </c>
      <c r="E364">
        <v>104.99299999999999</v>
      </c>
      <c r="F364">
        <v>101237.349</v>
      </c>
      <c r="G364">
        <v>0</v>
      </c>
      <c r="L364" t="s">
        <v>8</v>
      </c>
      <c r="M364" t="s">
        <v>7</v>
      </c>
      <c r="N364" t="s">
        <v>8</v>
      </c>
      <c r="P364">
        <f t="shared" si="969"/>
        <v>0.46390731755619236</v>
      </c>
      <c r="Q364">
        <f t="shared" si="970"/>
        <v>46964.747011090076</v>
      </c>
      <c r="R364">
        <f t="shared" si="971"/>
        <v>1820888.7489129428</v>
      </c>
      <c r="S364">
        <f t="shared" si="972"/>
        <v>18.208887489129427</v>
      </c>
      <c r="T364">
        <f t="shared" si="973"/>
        <v>1.8208887489129428E-2</v>
      </c>
    </row>
    <row r="365" spans="1:20" x14ac:dyDescent="0.25">
      <c r="A365" s="5">
        <v>44228</v>
      </c>
      <c r="B365">
        <v>97.652000000000001</v>
      </c>
      <c r="C365">
        <v>101.608</v>
      </c>
      <c r="D365">
        <v>95</v>
      </c>
      <c r="E365">
        <v>100.867</v>
      </c>
      <c r="F365">
        <v>74821.222999999998</v>
      </c>
      <c r="G365">
        <v>0</v>
      </c>
      <c r="L365" t="s">
        <v>7</v>
      </c>
      <c r="M365" t="s">
        <v>7</v>
      </c>
      <c r="N365" t="s">
        <v>8</v>
      </c>
      <c r="P365">
        <f t="shared" si="969"/>
        <v>0.77572639225181628</v>
      </c>
      <c r="Q365">
        <f t="shared" si="970"/>
        <v>58040.797381658616</v>
      </c>
      <c r="R365">
        <f t="shared" si="971"/>
        <v>1773924.0019018527</v>
      </c>
      <c r="S365">
        <f t="shared" si="972"/>
        <v>17.739240019018528</v>
      </c>
      <c r="T365">
        <f t="shared" si="973"/>
        <v>1.7739240019018526E-2</v>
      </c>
    </row>
    <row r="366" spans="1:20" x14ac:dyDescent="0.25">
      <c r="A366" s="5">
        <v>44227</v>
      </c>
      <c r="B366">
        <v>100.80200000000001</v>
      </c>
      <c r="C366">
        <v>105.91</v>
      </c>
      <c r="D366">
        <v>95.527000000000001</v>
      </c>
      <c r="E366">
        <v>97.716999999999999</v>
      </c>
      <c r="F366">
        <v>61829.427000000003</v>
      </c>
      <c r="G366">
        <v>0</v>
      </c>
      <c r="L366" t="s">
        <v>7</v>
      </c>
      <c r="M366" t="s">
        <v>7</v>
      </c>
      <c r="N366" t="s">
        <v>8</v>
      </c>
      <c r="P366">
        <f t="shared" si="969"/>
        <v>-0.5781566021381106</v>
      </c>
      <c r="Q366">
        <f t="shared" si="970"/>
        <v>-35747.091426466352</v>
      </c>
      <c r="R366">
        <f t="shared" si="971"/>
        <v>1715883.2045201941</v>
      </c>
      <c r="S366">
        <f t="shared" si="972"/>
        <v>17.15883204520194</v>
      </c>
      <c r="T366">
        <f t="shared" si="973"/>
        <v>1.7158832045201942E-2</v>
      </c>
    </row>
    <row r="367" spans="1:20" x14ac:dyDescent="0.25">
      <c r="A367" s="5">
        <v>44226</v>
      </c>
      <c r="B367">
        <v>106.642</v>
      </c>
      <c r="C367">
        <v>107.497</v>
      </c>
      <c r="D367">
        <v>98.926000000000002</v>
      </c>
      <c r="E367">
        <v>100.96299999999999</v>
      </c>
      <c r="F367">
        <v>54914.110999999997</v>
      </c>
      <c r="G367">
        <v>0</v>
      </c>
      <c r="L367" t="s">
        <v>7</v>
      </c>
      <c r="M367" t="s">
        <v>8</v>
      </c>
      <c r="N367" t="s">
        <v>8</v>
      </c>
      <c r="P367">
        <f t="shared" si="969"/>
        <v>-0.52467623381169237</v>
      </c>
      <c r="Q367">
        <f t="shared" si="970"/>
        <v>-28812.128942597228</v>
      </c>
      <c r="R367">
        <f t="shared" si="971"/>
        <v>1751630.2959466605</v>
      </c>
      <c r="S367">
        <f t="shared" si="972"/>
        <v>17.516302959466604</v>
      </c>
      <c r="T367">
        <f t="shared" si="973"/>
        <v>1.7516302959466604E-2</v>
      </c>
    </row>
    <row r="368" spans="1:20" x14ac:dyDescent="0.25">
      <c r="A368" s="5">
        <v>44225</v>
      </c>
      <c r="B368">
        <v>113.95399999999999</v>
      </c>
      <c r="C368">
        <v>115</v>
      </c>
      <c r="D368">
        <v>101.001</v>
      </c>
      <c r="E368">
        <v>106.64400000000001</v>
      </c>
      <c r="F368">
        <v>79391.414000000004</v>
      </c>
      <c r="G368">
        <v>0</v>
      </c>
      <c r="L368" t="s">
        <v>7</v>
      </c>
      <c r="M368" t="s">
        <v>8</v>
      </c>
      <c r="N368" t="s">
        <v>8</v>
      </c>
      <c r="P368">
        <f t="shared" si="969"/>
        <v>-0.19379955711122185</v>
      </c>
      <c r="Q368">
        <f t="shared" si="970"/>
        <v>-15386.020871633658</v>
      </c>
      <c r="R368">
        <f t="shared" si="971"/>
        <v>1780442.4248892576</v>
      </c>
      <c r="S368">
        <f t="shared" si="972"/>
        <v>17.804424248892577</v>
      </c>
      <c r="T368">
        <f t="shared" si="973"/>
        <v>1.7804424248892576E-2</v>
      </c>
    </row>
    <row r="369" spans="1:20" x14ac:dyDescent="0.25">
      <c r="A369" s="5">
        <v>44224</v>
      </c>
      <c r="B369">
        <v>95.325999999999993</v>
      </c>
      <c r="C369">
        <v>117.79</v>
      </c>
      <c r="D369">
        <v>93.65</v>
      </c>
      <c r="E369">
        <v>113.93300000000001</v>
      </c>
      <c r="F369">
        <v>107442.45699999999</v>
      </c>
      <c r="G369">
        <v>0</v>
      </c>
      <c r="L369" t="s">
        <v>8</v>
      </c>
      <c r="M369" t="s">
        <v>8</v>
      </c>
      <c r="N369" t="s">
        <v>8</v>
      </c>
      <c r="P369">
        <f t="shared" si="969"/>
        <v>0.68044739022369516</v>
      </c>
      <c r="Q369">
        <f t="shared" si="970"/>
        <v>73108.939464871582</v>
      </c>
      <c r="R369">
        <f t="shared" si="971"/>
        <v>1795828.4457608913</v>
      </c>
      <c r="S369">
        <f t="shared" si="972"/>
        <v>17.958284457608912</v>
      </c>
      <c r="T369">
        <f t="shared" si="973"/>
        <v>1.7958284457608911E-2</v>
      </c>
    </row>
    <row r="370" spans="1:20" x14ac:dyDescent="0.25">
      <c r="A370" s="5">
        <v>44223</v>
      </c>
      <c r="B370">
        <v>101.89400000000001</v>
      </c>
      <c r="C370">
        <v>101.96</v>
      </c>
      <c r="D370">
        <v>90.1</v>
      </c>
      <c r="E370">
        <v>95.302000000000007</v>
      </c>
      <c r="F370">
        <v>63714.084000000003</v>
      </c>
      <c r="G370">
        <v>0</v>
      </c>
      <c r="L370" t="s">
        <v>7</v>
      </c>
      <c r="M370" t="s">
        <v>7</v>
      </c>
      <c r="N370" t="s">
        <v>7</v>
      </c>
      <c r="P370">
        <f t="shared" si="969"/>
        <v>-0.12276559865092536</v>
      </c>
      <c r="Q370">
        <f t="shared" si="970"/>
        <v>-7821.8976647553454</v>
      </c>
      <c r="R370">
        <f t="shared" si="971"/>
        <v>1722719.5062960198</v>
      </c>
      <c r="S370">
        <f t="shared" si="972"/>
        <v>17.227195062960199</v>
      </c>
      <c r="T370">
        <f t="shared" si="973"/>
        <v>1.72271950629602E-2</v>
      </c>
    </row>
    <row r="371" spans="1:20" x14ac:dyDescent="0.25">
      <c r="A371" s="5">
        <v>44222</v>
      </c>
      <c r="B371">
        <v>98.82</v>
      </c>
      <c r="C371">
        <v>104.45399999999999</v>
      </c>
      <c r="D371">
        <v>93.19</v>
      </c>
      <c r="E371">
        <v>101.999</v>
      </c>
      <c r="F371">
        <v>74637.989000000001</v>
      </c>
      <c r="G371">
        <v>0</v>
      </c>
      <c r="L371" t="s">
        <v>7</v>
      </c>
      <c r="M371" t="s">
        <v>7</v>
      </c>
      <c r="N371" t="s">
        <v>7</v>
      </c>
      <c r="P371">
        <f t="shared" si="969"/>
        <v>0.56409801136363646</v>
      </c>
      <c r="Q371">
        <f t="shared" si="970"/>
        <v>42103.141167080976</v>
      </c>
      <c r="R371">
        <f t="shared" si="971"/>
        <v>1730541.4039607751</v>
      </c>
      <c r="S371">
        <f t="shared" si="972"/>
        <v>17.305414039607751</v>
      </c>
      <c r="T371">
        <f t="shared" si="973"/>
        <v>1.7305414039607749E-2</v>
      </c>
    </row>
    <row r="372" spans="1:20" x14ac:dyDescent="0.25">
      <c r="A372" s="5">
        <v>44221</v>
      </c>
      <c r="B372">
        <v>103.937</v>
      </c>
      <c r="C372">
        <v>110</v>
      </c>
      <c r="D372">
        <v>97.921000000000006</v>
      </c>
      <c r="E372">
        <v>98.751999999999995</v>
      </c>
      <c r="F372">
        <v>80890.198999999993</v>
      </c>
      <c r="G372">
        <v>0</v>
      </c>
      <c r="L372" t="s">
        <v>7</v>
      </c>
      <c r="M372" t="s">
        <v>8</v>
      </c>
      <c r="N372" t="s">
        <v>7</v>
      </c>
      <c r="P372">
        <f t="shared" si="969"/>
        <v>-0.86240582829704626</v>
      </c>
      <c r="Q372">
        <f t="shared" si="970"/>
        <v>-69760.179069707898</v>
      </c>
      <c r="R372">
        <f t="shared" si="971"/>
        <v>1688438.2627936942</v>
      </c>
      <c r="S372">
        <f t="shared" si="972"/>
        <v>16.88438262793694</v>
      </c>
      <c r="T372">
        <f t="shared" si="973"/>
        <v>1.6884382627936942E-2</v>
      </c>
    </row>
    <row r="373" spans="1:20" x14ac:dyDescent="0.25">
      <c r="A373" s="5">
        <v>44220</v>
      </c>
      <c r="B373">
        <v>107.65900000000001</v>
      </c>
      <c r="C373">
        <v>112.02800000000001</v>
      </c>
      <c r="D373">
        <v>100.051</v>
      </c>
      <c r="E373">
        <v>103.973</v>
      </c>
      <c r="F373">
        <v>85147.548999999999</v>
      </c>
      <c r="G373">
        <v>0</v>
      </c>
      <c r="L373" t="s">
        <v>7</v>
      </c>
      <c r="M373" t="s">
        <v>8</v>
      </c>
      <c r="N373" t="s">
        <v>7</v>
      </c>
      <c r="P373">
        <f t="shared" si="969"/>
        <v>-0.34507806629373033</v>
      </c>
      <c r="Q373">
        <f t="shared" si="970"/>
        <v>-29382.551558570653</v>
      </c>
      <c r="R373">
        <f t="shared" si="971"/>
        <v>1758198.441863402</v>
      </c>
      <c r="S373">
        <f t="shared" si="972"/>
        <v>17.581984418634022</v>
      </c>
      <c r="T373">
        <f t="shared" si="973"/>
        <v>1.7581984418634022E-2</v>
      </c>
    </row>
    <row r="374" spans="1:20" x14ac:dyDescent="0.25">
      <c r="A374" s="5">
        <v>44219</v>
      </c>
      <c r="B374">
        <v>103.913</v>
      </c>
      <c r="C374">
        <v>113</v>
      </c>
      <c r="D374">
        <v>100.86</v>
      </c>
      <c r="E374">
        <v>107.65300000000001</v>
      </c>
      <c r="F374">
        <v>99576.826000000001</v>
      </c>
      <c r="G374">
        <v>0</v>
      </c>
      <c r="L374" t="s">
        <v>8</v>
      </c>
      <c r="M374" t="s">
        <v>8</v>
      </c>
      <c r="N374" t="s">
        <v>7</v>
      </c>
      <c r="P374">
        <f t="shared" si="969"/>
        <v>0.11911037891268633</v>
      </c>
      <c r="Q374">
        <f t="shared" si="970"/>
        <v>11860.633475782637</v>
      </c>
      <c r="R374">
        <f t="shared" si="971"/>
        <v>1787580.9934219727</v>
      </c>
      <c r="S374">
        <f t="shared" si="972"/>
        <v>17.875809934219728</v>
      </c>
      <c r="T374">
        <f t="shared" si="973"/>
        <v>1.7875809934219729E-2</v>
      </c>
    </row>
    <row r="375" spans="1:20" x14ac:dyDescent="0.25">
      <c r="A375" s="5">
        <v>44218</v>
      </c>
      <c r="B375">
        <v>92.792000000000002</v>
      </c>
      <c r="C375">
        <v>105.303</v>
      </c>
      <c r="D375">
        <v>85.5</v>
      </c>
      <c r="E375">
        <v>103.91800000000001</v>
      </c>
      <c r="F375">
        <v>140811.875</v>
      </c>
      <c r="G375">
        <v>0</v>
      </c>
      <c r="L375" t="s">
        <v>7</v>
      </c>
      <c r="M375" t="s">
        <v>7</v>
      </c>
      <c r="N375" t="s">
        <v>7</v>
      </c>
      <c r="P375">
        <f t="shared" si="969"/>
        <v>0.86012220370651005</v>
      </c>
      <c r="Q375">
        <f t="shared" si="970"/>
        <v>121115.42023304563</v>
      </c>
      <c r="R375">
        <f t="shared" si="971"/>
        <v>1775720.3599461901</v>
      </c>
      <c r="S375">
        <f t="shared" si="972"/>
        <v>17.757203599461903</v>
      </c>
      <c r="T375">
        <f t="shared" si="973"/>
        <v>1.7757203599461903E-2</v>
      </c>
    </row>
    <row r="376" spans="1:20" x14ac:dyDescent="0.25">
      <c r="A376" s="5">
        <v>44217</v>
      </c>
      <c r="B376">
        <v>106.048</v>
      </c>
      <c r="C376">
        <v>106.428</v>
      </c>
      <c r="D376">
        <v>92.608000000000004</v>
      </c>
      <c r="E376">
        <v>92.856999999999999</v>
      </c>
      <c r="F376">
        <v>143400.16899999999</v>
      </c>
      <c r="G376">
        <v>0</v>
      </c>
      <c r="L376" t="s">
        <v>8</v>
      </c>
      <c r="M376" t="s">
        <v>7</v>
      </c>
      <c r="N376" t="s">
        <v>8</v>
      </c>
      <c r="P376">
        <f t="shared" si="969"/>
        <v>-0.96396526772793123</v>
      </c>
      <c r="Q376">
        <f t="shared" si="970"/>
        <v>-138232.78230231558</v>
      </c>
      <c r="R376">
        <f t="shared" si="971"/>
        <v>1654604.9397131444</v>
      </c>
      <c r="S376">
        <f t="shared" si="972"/>
        <v>16.546049397131444</v>
      </c>
      <c r="T376">
        <f t="shared" si="973"/>
        <v>1.6546049397131442E-2</v>
      </c>
    </row>
    <row r="377" spans="1:20" x14ac:dyDescent="0.25">
      <c r="A377" s="5">
        <v>44216</v>
      </c>
      <c r="B377">
        <v>101.023</v>
      </c>
      <c r="C377">
        <v>107.741</v>
      </c>
      <c r="D377">
        <v>89.811999999999998</v>
      </c>
      <c r="E377">
        <v>106</v>
      </c>
      <c r="F377">
        <v>154810.85800000001</v>
      </c>
      <c r="G377">
        <v>0</v>
      </c>
      <c r="L377" t="s">
        <v>7</v>
      </c>
      <c r="M377" t="s">
        <v>7</v>
      </c>
      <c r="N377" t="s">
        <v>8</v>
      </c>
      <c r="P377">
        <f t="shared" si="969"/>
        <v>0.80578950303976804</v>
      </c>
      <c r="Q377">
        <f t="shared" si="970"/>
        <v>124744.9643329801</v>
      </c>
      <c r="R377">
        <f t="shared" si="971"/>
        <v>1792837.72201546</v>
      </c>
      <c r="S377">
        <f t="shared" si="972"/>
        <v>17.928377220154601</v>
      </c>
      <c r="T377">
        <f t="shared" si="973"/>
        <v>1.7928377220154602E-2</v>
      </c>
    </row>
    <row r="378" spans="1:20" x14ac:dyDescent="0.25">
      <c r="A378" s="5">
        <v>44215</v>
      </c>
      <c r="B378">
        <v>109.23</v>
      </c>
      <c r="C378">
        <v>110.705</v>
      </c>
      <c r="D378">
        <v>98.35</v>
      </c>
      <c r="E378">
        <v>101.01900000000001</v>
      </c>
      <c r="F378">
        <v>122130.629</v>
      </c>
      <c r="G378">
        <v>0</v>
      </c>
      <c r="L378" t="s">
        <v>7</v>
      </c>
      <c r="M378" t="s">
        <v>7</v>
      </c>
      <c r="N378" t="s">
        <v>8</v>
      </c>
      <c r="P378">
        <f t="shared" si="969"/>
        <v>-0.56794819910967054</v>
      </c>
      <c r="Q378">
        <f t="shared" si="970"/>
        <v>-69363.870796681309</v>
      </c>
      <c r="R378">
        <f t="shared" si="971"/>
        <v>1668092.7576824799</v>
      </c>
      <c r="S378">
        <f t="shared" si="972"/>
        <v>16.6809275768248</v>
      </c>
      <c r="T378">
        <f t="shared" si="973"/>
        <v>1.6680927576824801E-2</v>
      </c>
    </row>
    <row r="379" spans="1:20" x14ac:dyDescent="0.25">
      <c r="A379" s="5">
        <v>44214</v>
      </c>
      <c r="B379">
        <v>102.247</v>
      </c>
      <c r="C379">
        <v>121.5</v>
      </c>
      <c r="D379">
        <v>101.428</v>
      </c>
      <c r="E379">
        <v>109.092</v>
      </c>
      <c r="F379">
        <v>298254.261</v>
      </c>
      <c r="G379">
        <v>0</v>
      </c>
      <c r="L379" t="s">
        <v>8</v>
      </c>
      <c r="M379" t="s">
        <v>8</v>
      </c>
      <c r="N379" t="s">
        <v>8</v>
      </c>
      <c r="P379">
        <f t="shared" si="969"/>
        <v>-0.23634914308489433</v>
      </c>
      <c r="Q379">
        <f t="shared" si="970"/>
        <v>-70492.139008768412</v>
      </c>
      <c r="R379">
        <f t="shared" si="971"/>
        <v>1737456.6284791613</v>
      </c>
      <c r="S379">
        <f t="shared" si="972"/>
        <v>17.374566284791612</v>
      </c>
      <c r="T379">
        <f t="shared" si="973"/>
        <v>1.7374566284791611E-2</v>
      </c>
    </row>
    <row r="380" spans="1:20" x14ac:dyDescent="0.25">
      <c r="A380" s="5">
        <v>44213</v>
      </c>
      <c r="B380">
        <v>102.624</v>
      </c>
      <c r="C380">
        <v>110</v>
      </c>
      <c r="D380">
        <v>90.393000000000001</v>
      </c>
      <c r="E380">
        <v>102.55800000000001</v>
      </c>
      <c r="F380">
        <v>219362.69200000001</v>
      </c>
      <c r="G380">
        <v>0</v>
      </c>
      <c r="L380" t="s">
        <v>7</v>
      </c>
      <c r="M380" t="s">
        <v>7</v>
      </c>
      <c r="N380" t="s">
        <v>8</v>
      </c>
      <c r="P380">
        <f t="shared" si="969"/>
        <v>0.240883357984394</v>
      </c>
      <c r="Q380">
        <f t="shared" si="970"/>
        <v>52840.821865456368</v>
      </c>
      <c r="R380">
        <f t="shared" si="971"/>
        <v>1807948.7674879297</v>
      </c>
      <c r="S380">
        <f t="shared" si="972"/>
        <v>18.079487674879296</v>
      </c>
      <c r="T380">
        <f t="shared" si="973"/>
        <v>1.8079487674879297E-2</v>
      </c>
    </row>
    <row r="381" spans="1:20" x14ac:dyDescent="0.25">
      <c r="A381" s="5">
        <v>44212</v>
      </c>
      <c r="B381">
        <v>83.6</v>
      </c>
      <c r="C381">
        <v>110.711</v>
      </c>
      <c r="D381">
        <v>81.36</v>
      </c>
      <c r="E381">
        <v>102.624</v>
      </c>
      <c r="F381">
        <v>266940.99200000003</v>
      </c>
      <c r="G381">
        <v>0</v>
      </c>
      <c r="L381" t="s">
        <v>8</v>
      </c>
      <c r="M381" t="s">
        <v>8</v>
      </c>
      <c r="N381" t="s">
        <v>8</v>
      </c>
      <c r="P381">
        <f t="shared" si="969"/>
        <v>0.44894552144730993</v>
      </c>
      <c r="Q381">
        <f t="shared" si="970"/>
        <v>119841.9628491022</v>
      </c>
      <c r="R381">
        <f t="shared" si="971"/>
        <v>1755107.9456224733</v>
      </c>
      <c r="S381">
        <f t="shared" si="972"/>
        <v>17.551079456224734</v>
      </c>
      <c r="T381">
        <f t="shared" si="973"/>
        <v>1.7551079456224736E-2</v>
      </c>
    </row>
    <row r="382" spans="1:20" x14ac:dyDescent="0.25">
      <c r="A382" s="5">
        <v>44211</v>
      </c>
      <c r="B382">
        <v>88.543999999999997</v>
      </c>
      <c r="C382">
        <v>89.085999999999999</v>
      </c>
      <c r="D382">
        <v>74.08</v>
      </c>
      <c r="E382">
        <v>83.706999999999994</v>
      </c>
      <c r="F382">
        <v>179886.375</v>
      </c>
      <c r="G382">
        <v>0</v>
      </c>
      <c r="L382" t="s">
        <v>7</v>
      </c>
      <c r="M382" t="s">
        <v>8</v>
      </c>
      <c r="N382" t="s">
        <v>8</v>
      </c>
      <c r="P382">
        <f t="shared" si="969"/>
        <v>0.28308676529388183</v>
      </c>
      <c r="Q382">
        <f t="shared" si="970"/>
        <v>50923.452019192213</v>
      </c>
      <c r="R382">
        <f t="shared" si="971"/>
        <v>1635265.982773371</v>
      </c>
      <c r="S382">
        <f t="shared" si="972"/>
        <v>16.35265982773371</v>
      </c>
      <c r="T382">
        <f t="shared" si="973"/>
        <v>1.635265982773371E-2</v>
      </c>
    </row>
    <row r="383" spans="1:20" x14ac:dyDescent="0.25">
      <c r="A383" s="5">
        <v>44210</v>
      </c>
      <c r="B383">
        <v>76.897999999999996</v>
      </c>
      <c r="C383">
        <v>89</v>
      </c>
      <c r="D383">
        <v>76.271000000000001</v>
      </c>
      <c r="E383">
        <v>88.685000000000002</v>
      </c>
      <c r="F383">
        <v>216429.516</v>
      </c>
      <c r="G383">
        <v>0</v>
      </c>
      <c r="L383" t="s">
        <v>8</v>
      </c>
      <c r="M383" t="s">
        <v>8</v>
      </c>
      <c r="N383" t="s">
        <v>8</v>
      </c>
      <c r="P383">
        <f t="shared" si="969"/>
        <v>0.95050671694555777</v>
      </c>
      <c r="Q383">
        <f t="shared" si="970"/>
        <v>205717.70870327606</v>
      </c>
      <c r="R383">
        <f t="shared" si="971"/>
        <v>1584342.5307541788</v>
      </c>
      <c r="S383">
        <f t="shared" si="972"/>
        <v>15.843425307541787</v>
      </c>
      <c r="T383">
        <f t="shared" si="973"/>
        <v>1.5843425307541788E-2</v>
      </c>
    </row>
    <row r="384" spans="1:20" x14ac:dyDescent="0.25">
      <c r="A384" s="5">
        <v>44209</v>
      </c>
      <c r="B384">
        <v>62.61</v>
      </c>
      <c r="C384">
        <v>78.489000000000004</v>
      </c>
      <c r="D384">
        <v>60.631</v>
      </c>
      <c r="E384">
        <v>76.965000000000003</v>
      </c>
      <c r="F384">
        <v>269704.136</v>
      </c>
      <c r="G384">
        <v>0</v>
      </c>
      <c r="L384" t="s">
        <v>8</v>
      </c>
      <c r="M384" t="s">
        <v>8</v>
      </c>
      <c r="N384" t="s">
        <v>8</v>
      </c>
      <c r="P384">
        <f t="shared" si="969"/>
        <v>0.82932019263075363</v>
      </c>
      <c r="Q384">
        <f t="shared" si="970"/>
        <v>223671.08602083096</v>
      </c>
      <c r="R384">
        <f t="shared" si="971"/>
        <v>1378624.8220509028</v>
      </c>
      <c r="S384">
        <f t="shared" si="972"/>
        <v>13.786248220509028</v>
      </c>
      <c r="T384">
        <f t="shared" si="973"/>
        <v>1.3786248220509029E-2</v>
      </c>
    </row>
    <row r="385" spans="1:20" x14ac:dyDescent="0.25">
      <c r="A385" s="5">
        <v>44208</v>
      </c>
      <c r="B385">
        <v>64.331000000000003</v>
      </c>
      <c r="C385">
        <v>68</v>
      </c>
      <c r="D385">
        <v>61.170999999999999</v>
      </c>
      <c r="E385">
        <v>62.786000000000001</v>
      </c>
      <c r="F385">
        <v>95015.085000000006</v>
      </c>
      <c r="G385">
        <v>0</v>
      </c>
      <c r="L385" t="s">
        <v>8</v>
      </c>
      <c r="M385" t="s">
        <v>7</v>
      </c>
      <c r="N385" t="s">
        <v>8</v>
      </c>
      <c r="P385">
        <f t="shared" si="969"/>
        <v>-0.52701713281593154</v>
      </c>
      <c r="Q385">
        <f t="shared" si="970"/>
        <v>-50074.577670962026</v>
      </c>
      <c r="R385">
        <f t="shared" si="971"/>
        <v>1154953.7360300717</v>
      </c>
      <c r="S385">
        <f t="shared" si="972"/>
        <v>11.549537360300718</v>
      </c>
      <c r="T385">
        <f t="shared" si="973"/>
        <v>1.1549537360300718E-2</v>
      </c>
    </row>
    <row r="386" spans="1:20" x14ac:dyDescent="0.25">
      <c r="A386" s="5">
        <v>44207</v>
      </c>
      <c r="B386">
        <v>71.253</v>
      </c>
      <c r="C386">
        <v>71.286000000000001</v>
      </c>
      <c r="D386">
        <v>57.877000000000002</v>
      </c>
      <c r="E386">
        <v>64.328999999999994</v>
      </c>
      <c r="F386">
        <v>185160.98199999999</v>
      </c>
      <c r="G386">
        <v>0</v>
      </c>
      <c r="L386" t="s">
        <v>7</v>
      </c>
      <c r="M386" t="s">
        <v>7</v>
      </c>
      <c r="N386" t="s">
        <v>8</v>
      </c>
      <c r="P386">
        <f t="shared" si="969"/>
        <v>-3.7661272279813321E-2</v>
      </c>
      <c r="Q386">
        <f t="shared" si="970"/>
        <v>-6973.3981586996133</v>
      </c>
      <c r="R386">
        <f t="shared" si="971"/>
        <v>1205028.3137010338</v>
      </c>
      <c r="S386">
        <f t="shared" si="972"/>
        <v>12.050283137010338</v>
      </c>
      <c r="T386">
        <f t="shared" si="973"/>
        <v>1.2050283137010337E-2</v>
      </c>
    </row>
    <row r="387" spans="1:20" x14ac:dyDescent="0.25">
      <c r="A387" s="5">
        <v>44206</v>
      </c>
      <c r="B387">
        <v>68.930000000000007</v>
      </c>
      <c r="C387">
        <v>74.572000000000003</v>
      </c>
      <c r="D387">
        <v>65.5</v>
      </c>
      <c r="E387">
        <v>71.069999999999993</v>
      </c>
      <c r="F387">
        <v>167336.71299999999</v>
      </c>
      <c r="G387">
        <v>0</v>
      </c>
      <c r="L387" t="s">
        <v>8</v>
      </c>
      <c r="M387" t="s">
        <v>7</v>
      </c>
      <c r="N387" t="s">
        <v>8</v>
      </c>
      <c r="P387">
        <f t="shared" si="969"/>
        <v>0.2279541446208094</v>
      </c>
      <c r="Q387">
        <f t="shared" si="970"/>
        <v>38145.097275572873</v>
      </c>
      <c r="R387">
        <f t="shared" si="971"/>
        <v>1212001.7118597333</v>
      </c>
      <c r="S387">
        <f t="shared" si="972"/>
        <v>12.120017118597334</v>
      </c>
      <c r="T387">
        <f t="shared" si="973"/>
        <v>1.2120017118597334E-2</v>
      </c>
    </row>
    <row r="388" spans="1:20" x14ac:dyDescent="0.25">
      <c r="A388" s="5">
        <v>44205</v>
      </c>
      <c r="B388">
        <v>68.787000000000006</v>
      </c>
      <c r="C388">
        <v>70.512</v>
      </c>
      <c r="D388">
        <v>66</v>
      </c>
      <c r="E388">
        <v>68.930000000000007</v>
      </c>
      <c r="F388">
        <v>79388.849000000002</v>
      </c>
      <c r="G388">
        <v>0</v>
      </c>
      <c r="L388" t="s">
        <v>8</v>
      </c>
      <c r="M388" t="s">
        <v>7</v>
      </c>
      <c r="N388" t="s">
        <v>8</v>
      </c>
      <c r="P388">
        <f t="shared" si="969"/>
        <v>0.29875886524822987</v>
      </c>
      <c r="Q388">
        <f t="shared" si="970"/>
        <v>23718.122440603071</v>
      </c>
      <c r="R388">
        <f t="shared" si="971"/>
        <v>1173856.6145841605</v>
      </c>
      <c r="S388">
        <f t="shared" si="972"/>
        <v>11.738566145841604</v>
      </c>
      <c r="T388">
        <f t="shared" si="973"/>
        <v>1.1738566145841605E-2</v>
      </c>
    </row>
    <row r="389" spans="1:20" x14ac:dyDescent="0.25">
      <c r="A389" s="5">
        <v>44204</v>
      </c>
      <c r="B389">
        <v>68.929000000000002</v>
      </c>
      <c r="C389">
        <v>71.739000000000004</v>
      </c>
      <c r="D389">
        <v>64.010000000000005</v>
      </c>
      <c r="E389">
        <v>68.787000000000006</v>
      </c>
      <c r="F389">
        <v>113307.79399999999</v>
      </c>
      <c r="G389">
        <v>0</v>
      </c>
      <c r="L389" t="s">
        <v>7</v>
      </c>
      <c r="M389" t="s">
        <v>7</v>
      </c>
      <c r="N389" t="s">
        <v>8</v>
      </c>
      <c r="P389">
        <f t="shared" si="969"/>
        <v>0.23612368999870656</v>
      </c>
      <c r="Q389">
        <f t="shared" si="970"/>
        <v>26754.654424893302</v>
      </c>
      <c r="R389">
        <f t="shared" si="971"/>
        <v>1150138.4921435574</v>
      </c>
      <c r="S389">
        <f t="shared" si="972"/>
        <v>11.501384921435575</v>
      </c>
      <c r="T389">
        <f t="shared" si="973"/>
        <v>1.1501384921435575E-2</v>
      </c>
    </row>
    <row r="390" spans="1:20" x14ac:dyDescent="0.25">
      <c r="A390" s="5">
        <v>44203</v>
      </c>
      <c r="B390">
        <v>75.545000000000002</v>
      </c>
      <c r="C390">
        <v>77.888999999999996</v>
      </c>
      <c r="D390">
        <v>65.018000000000001</v>
      </c>
      <c r="E390">
        <v>68.947000000000003</v>
      </c>
      <c r="F390">
        <v>221152.77499999999</v>
      </c>
      <c r="G390">
        <v>0</v>
      </c>
      <c r="L390" t="s">
        <v>8</v>
      </c>
      <c r="M390" t="s">
        <v>8</v>
      </c>
      <c r="N390" t="s">
        <v>8</v>
      </c>
      <c r="P390">
        <f t="shared" ref="P390:P453" si="974">IF(C390=D390,0,((E390-D390)-(C390-E390))/(C390-D390))</f>
        <v>-0.38948022686659878</v>
      </c>
      <c r="Q390">
        <f t="shared" ref="Q390:Q453" si="975">F390*P390</f>
        <v>-86134.63297917787</v>
      </c>
      <c r="R390">
        <f t="shared" ref="R390:R453" si="976">R391+Q390</f>
        <v>1123383.8377186642</v>
      </c>
      <c r="S390">
        <f t="shared" ref="S390:S453" si="977">R390/100000</f>
        <v>11.233838377186641</v>
      </c>
      <c r="T390">
        <f t="shared" ref="T390:T453" si="978">S390/1000</f>
        <v>1.1233838377186641E-2</v>
      </c>
    </row>
    <row r="391" spans="1:20" x14ac:dyDescent="0.25">
      <c r="A391" s="5">
        <v>44202</v>
      </c>
      <c r="B391">
        <v>67.914000000000001</v>
      </c>
      <c r="C391">
        <v>75.989000000000004</v>
      </c>
      <c r="D391">
        <v>65.534999999999997</v>
      </c>
      <c r="E391">
        <v>75.325000000000003</v>
      </c>
      <c r="F391">
        <v>176235.448</v>
      </c>
      <c r="G391">
        <v>0</v>
      </c>
      <c r="L391" t="s">
        <v>8</v>
      </c>
      <c r="M391" t="s">
        <v>8</v>
      </c>
      <c r="N391" t="s">
        <v>8</v>
      </c>
      <c r="P391">
        <f t="shared" si="974"/>
        <v>0.87296728524966505</v>
      </c>
      <c r="Q391">
        <f t="shared" si="975"/>
        <v>153847.78060531852</v>
      </c>
      <c r="R391">
        <f t="shared" si="976"/>
        <v>1209518.4706978421</v>
      </c>
      <c r="S391">
        <f t="shared" si="977"/>
        <v>12.09518470697842</v>
      </c>
      <c r="T391">
        <f t="shared" si="978"/>
        <v>1.209518470697842E-2</v>
      </c>
    </row>
    <row r="392" spans="1:20" x14ac:dyDescent="0.25">
      <c r="A392" s="5">
        <v>44201</v>
      </c>
      <c r="B392">
        <v>68.533000000000001</v>
      </c>
      <c r="C392">
        <v>71.2</v>
      </c>
      <c r="D392">
        <v>61.889000000000003</v>
      </c>
      <c r="E392">
        <v>67.796999999999997</v>
      </c>
      <c r="F392">
        <v>153472.22399999999</v>
      </c>
      <c r="G392">
        <v>0</v>
      </c>
      <c r="L392" t="s">
        <v>8</v>
      </c>
      <c r="M392" t="s">
        <v>8</v>
      </c>
      <c r="N392" t="s">
        <v>8</v>
      </c>
      <c r="P392">
        <f t="shared" si="974"/>
        <v>0.26903662334872608</v>
      </c>
      <c r="Q392">
        <f t="shared" si="975"/>
        <v>41289.648922779314</v>
      </c>
      <c r="R392">
        <f t="shared" si="976"/>
        <v>1055670.6900925236</v>
      </c>
      <c r="S392">
        <f t="shared" si="977"/>
        <v>10.556706900925235</v>
      </c>
      <c r="T392">
        <f t="shared" si="978"/>
        <v>1.0556706900925234E-2</v>
      </c>
    </row>
    <row r="393" spans="1:20" x14ac:dyDescent="0.25">
      <c r="A393" s="5">
        <v>44200</v>
      </c>
      <c r="B393">
        <v>72.917000000000002</v>
      </c>
      <c r="C393">
        <v>74.466999999999999</v>
      </c>
      <c r="D393">
        <v>59.682000000000002</v>
      </c>
      <c r="E393">
        <v>68.504999999999995</v>
      </c>
      <c r="F393">
        <v>290026.53499999997</v>
      </c>
      <c r="G393">
        <v>0</v>
      </c>
      <c r="L393" t="s">
        <v>7</v>
      </c>
      <c r="M393" t="s">
        <v>7</v>
      </c>
      <c r="N393" t="s">
        <v>8</v>
      </c>
      <c r="P393">
        <f t="shared" si="974"/>
        <v>0.19350693270206226</v>
      </c>
      <c r="Q393">
        <f t="shared" si="975"/>
        <v>56122.145190057301</v>
      </c>
      <c r="R393">
        <f t="shared" si="976"/>
        <v>1014381.0411697442</v>
      </c>
      <c r="S393">
        <f t="shared" si="977"/>
        <v>10.143810411697443</v>
      </c>
      <c r="T393">
        <f t="shared" si="978"/>
        <v>1.0143810411697443E-2</v>
      </c>
    </row>
    <row r="394" spans="1:20" x14ac:dyDescent="0.25">
      <c r="A394" s="5">
        <v>44199</v>
      </c>
      <c r="B394">
        <v>69.295000000000002</v>
      </c>
      <c r="C394">
        <v>74.108999999999995</v>
      </c>
      <c r="D394">
        <v>66</v>
      </c>
      <c r="E394">
        <v>72.983000000000004</v>
      </c>
      <c r="F394">
        <v>158065.58300000001</v>
      </c>
      <c r="G394">
        <v>0</v>
      </c>
      <c r="L394" t="s">
        <v>8</v>
      </c>
      <c r="M394" t="s">
        <v>8</v>
      </c>
      <c r="N394" t="s">
        <v>8</v>
      </c>
      <c r="P394">
        <f t="shared" si="974"/>
        <v>0.72228388210630379</v>
      </c>
      <c r="Q394">
        <f t="shared" si="975"/>
        <v>114168.22291663618</v>
      </c>
      <c r="R394">
        <f t="shared" si="976"/>
        <v>958258.89597968687</v>
      </c>
      <c r="S394">
        <f t="shared" si="977"/>
        <v>9.582588959796869</v>
      </c>
      <c r="T394">
        <f t="shared" si="978"/>
        <v>9.5825889597968682E-3</v>
      </c>
    </row>
    <row r="395" spans="1:20" x14ac:dyDescent="0.25">
      <c r="A395" s="5">
        <v>44198</v>
      </c>
      <c r="B395">
        <v>69.566999999999993</v>
      </c>
      <c r="C395">
        <v>73.218000000000004</v>
      </c>
      <c r="D395">
        <v>65.05</v>
      </c>
      <c r="E395">
        <v>69.254000000000005</v>
      </c>
      <c r="F395">
        <v>133912.84299999999</v>
      </c>
      <c r="G395">
        <v>0</v>
      </c>
      <c r="L395" t="s">
        <v>7</v>
      </c>
      <c r="M395" t="s">
        <v>8</v>
      </c>
      <c r="N395" t="s">
        <v>8</v>
      </c>
      <c r="P395">
        <f t="shared" si="974"/>
        <v>2.9382957884428122E-2</v>
      </c>
      <c r="Q395">
        <f t="shared" si="975"/>
        <v>3934.7554260530351</v>
      </c>
      <c r="R395">
        <f t="shared" si="976"/>
        <v>844090.67306305072</v>
      </c>
      <c r="S395">
        <f t="shared" si="977"/>
        <v>8.4409067306305072</v>
      </c>
      <c r="T395">
        <f t="shared" si="978"/>
        <v>8.4409067306305072E-3</v>
      </c>
    </row>
    <row r="396" spans="1:20" x14ac:dyDescent="0.25">
      <c r="A396" s="5">
        <v>44197</v>
      </c>
      <c r="B396">
        <v>71.995000000000005</v>
      </c>
      <c r="C396">
        <v>73.444000000000003</v>
      </c>
      <c r="D396">
        <v>65.62</v>
      </c>
      <c r="E396">
        <v>69.692999999999998</v>
      </c>
      <c r="F396">
        <v>150322.1</v>
      </c>
      <c r="G396">
        <v>0</v>
      </c>
      <c r="L396" t="s">
        <v>7</v>
      </c>
      <c r="M396" t="s">
        <v>8</v>
      </c>
      <c r="N396" t="s">
        <v>8</v>
      </c>
      <c r="P396">
        <f t="shared" si="974"/>
        <v>4.1155419222902431E-2</v>
      </c>
      <c r="Q396">
        <f t="shared" si="975"/>
        <v>6186.5690439670616</v>
      </c>
      <c r="R396">
        <f t="shared" si="976"/>
        <v>840155.91763699765</v>
      </c>
      <c r="S396">
        <f t="shared" si="977"/>
        <v>8.4015591763699771</v>
      </c>
      <c r="T396">
        <f t="shared" si="978"/>
        <v>8.4015591763699771E-3</v>
      </c>
    </row>
    <row r="397" spans="1:20" x14ac:dyDescent="0.25">
      <c r="A397" s="5">
        <v>44196</v>
      </c>
      <c r="B397">
        <v>61.976999999999997</v>
      </c>
      <c r="C397">
        <v>73.563000000000002</v>
      </c>
      <c r="D397">
        <v>59.2</v>
      </c>
      <c r="E397">
        <v>71.908000000000001</v>
      </c>
      <c r="F397">
        <v>266198.64500000002</v>
      </c>
      <c r="G397">
        <v>0</v>
      </c>
      <c r="L397" t="s">
        <v>8</v>
      </c>
      <c r="M397" t="s">
        <v>8</v>
      </c>
      <c r="N397" t="s">
        <v>8</v>
      </c>
      <c r="P397">
        <f t="shared" si="974"/>
        <v>0.76954675207129408</v>
      </c>
      <c r="Q397">
        <f t="shared" si="975"/>
        <v>204852.30266552945</v>
      </c>
      <c r="R397">
        <f t="shared" si="976"/>
        <v>833969.34859303059</v>
      </c>
      <c r="S397">
        <f t="shared" si="977"/>
        <v>8.3396934859303062</v>
      </c>
      <c r="T397">
        <f t="shared" si="978"/>
        <v>8.3396934859303069E-3</v>
      </c>
    </row>
    <row r="398" spans="1:20" x14ac:dyDescent="0.25">
      <c r="A398" s="5">
        <v>44195</v>
      </c>
      <c r="B398">
        <v>61.981000000000002</v>
      </c>
      <c r="C398">
        <v>66</v>
      </c>
      <c r="D398">
        <v>59.491999999999997</v>
      </c>
      <c r="E398">
        <v>61.948</v>
      </c>
      <c r="F398">
        <v>139898.11799999999</v>
      </c>
      <c r="G398">
        <v>0</v>
      </c>
      <c r="L398" t="s">
        <v>8</v>
      </c>
      <c r="M398" t="s">
        <v>8</v>
      </c>
      <c r="N398" t="s">
        <v>8</v>
      </c>
      <c r="P398">
        <f t="shared" si="974"/>
        <v>-0.24523663183773753</v>
      </c>
      <c r="Q398">
        <f t="shared" si="975"/>
        <v>-34308.143258758362</v>
      </c>
      <c r="R398">
        <f t="shared" si="976"/>
        <v>629117.04592750117</v>
      </c>
      <c r="S398">
        <f t="shared" si="977"/>
        <v>6.291170459275012</v>
      </c>
      <c r="T398">
        <f t="shared" si="978"/>
        <v>6.2911704592750117E-3</v>
      </c>
    </row>
    <row r="399" spans="1:20" x14ac:dyDescent="0.25">
      <c r="A399" s="5">
        <v>44194</v>
      </c>
      <c r="B399">
        <v>58.389000000000003</v>
      </c>
      <c r="C399">
        <v>63.231000000000002</v>
      </c>
      <c r="D399">
        <v>53.665999999999997</v>
      </c>
      <c r="E399">
        <v>61.948</v>
      </c>
      <c r="F399">
        <v>202509.20300000001</v>
      </c>
      <c r="G399">
        <v>0</v>
      </c>
      <c r="L399" t="s">
        <v>8</v>
      </c>
      <c r="M399" t="s">
        <v>8</v>
      </c>
      <c r="N399" t="s">
        <v>8</v>
      </c>
      <c r="P399">
        <f t="shared" si="974"/>
        <v>0.73173026659696794</v>
      </c>
      <c r="Q399">
        <f t="shared" si="975"/>
        <v>148182.1130995295</v>
      </c>
      <c r="R399">
        <f t="shared" si="976"/>
        <v>663425.18918625952</v>
      </c>
      <c r="S399">
        <f t="shared" si="977"/>
        <v>6.6342518918625952</v>
      </c>
      <c r="T399">
        <f t="shared" si="978"/>
        <v>6.6342518918625949E-3</v>
      </c>
    </row>
    <row r="400" spans="1:20" x14ac:dyDescent="0.25">
      <c r="A400" s="5">
        <v>44193</v>
      </c>
      <c r="B400">
        <v>50.383000000000003</v>
      </c>
      <c r="C400">
        <v>58.94</v>
      </c>
      <c r="D400">
        <v>49.167000000000002</v>
      </c>
      <c r="E400">
        <v>58.256999999999998</v>
      </c>
      <c r="F400">
        <v>142623.08799999999</v>
      </c>
      <c r="G400">
        <v>0</v>
      </c>
      <c r="L400" t="s">
        <v>8</v>
      </c>
      <c r="M400" t="s">
        <v>8</v>
      </c>
      <c r="N400" t="s">
        <v>7</v>
      </c>
      <c r="P400">
        <f t="shared" si="974"/>
        <v>0.86022715645144787</v>
      </c>
      <c r="Q400">
        <f t="shared" si="975"/>
        <v>122688.25343456461</v>
      </c>
      <c r="R400">
        <f t="shared" si="976"/>
        <v>515243.07608673006</v>
      </c>
      <c r="S400">
        <f t="shared" si="977"/>
        <v>5.1524307608673006</v>
      </c>
      <c r="T400">
        <f t="shared" si="978"/>
        <v>5.152430760867301E-3</v>
      </c>
    </row>
    <row r="401" spans="1:20" x14ac:dyDescent="0.25">
      <c r="A401" s="5">
        <v>44192</v>
      </c>
      <c r="B401">
        <v>47.777000000000001</v>
      </c>
      <c r="C401">
        <v>51.457000000000001</v>
      </c>
      <c r="D401">
        <v>46.174999999999997</v>
      </c>
      <c r="E401">
        <v>50.226999999999997</v>
      </c>
      <c r="F401">
        <v>95136.558999999994</v>
      </c>
      <c r="G401">
        <v>0</v>
      </c>
      <c r="L401" t="s">
        <v>7</v>
      </c>
      <c r="M401" t="s">
        <v>8</v>
      </c>
      <c r="N401" t="s">
        <v>7</v>
      </c>
      <c r="P401">
        <f t="shared" si="974"/>
        <v>0.53426732298371715</v>
      </c>
      <c r="Q401">
        <f t="shared" si="975"/>
        <v>50828.354694812457</v>
      </c>
      <c r="R401">
        <f t="shared" si="976"/>
        <v>392554.82265216543</v>
      </c>
      <c r="S401">
        <f t="shared" si="977"/>
        <v>3.9255482265216544</v>
      </c>
      <c r="T401">
        <f t="shared" si="978"/>
        <v>3.9255482265216548E-3</v>
      </c>
    </row>
    <row r="402" spans="1:20" x14ac:dyDescent="0.25">
      <c r="A402" s="5">
        <v>44191</v>
      </c>
      <c r="B402">
        <v>50.031999999999996</v>
      </c>
      <c r="C402">
        <v>50.908999999999999</v>
      </c>
      <c r="D402">
        <v>47.32</v>
      </c>
      <c r="E402">
        <v>47.716000000000001</v>
      </c>
      <c r="F402">
        <v>51683.025999999998</v>
      </c>
      <c r="G402">
        <v>0</v>
      </c>
      <c r="L402" t="s">
        <v>7</v>
      </c>
      <c r="M402" t="s">
        <v>8</v>
      </c>
      <c r="N402" t="s">
        <v>7</v>
      </c>
      <c r="P402">
        <f t="shared" si="974"/>
        <v>-0.77932571747004686</v>
      </c>
      <c r="Q402">
        <f t="shared" si="975"/>
        <v>-40277.911318473081</v>
      </c>
      <c r="R402">
        <f t="shared" si="976"/>
        <v>341726.46795735299</v>
      </c>
      <c r="S402">
        <f t="shared" si="977"/>
        <v>3.4172646795735298</v>
      </c>
      <c r="T402">
        <f t="shared" si="978"/>
        <v>3.4172646795735295E-3</v>
      </c>
    </row>
    <row r="403" spans="1:20" x14ac:dyDescent="0.25">
      <c r="A403" s="5">
        <v>44190</v>
      </c>
      <c r="B403">
        <v>52.38</v>
      </c>
      <c r="C403">
        <v>53</v>
      </c>
      <c r="D403">
        <v>48</v>
      </c>
      <c r="E403">
        <v>50.066000000000003</v>
      </c>
      <c r="F403">
        <v>58062.574999999997</v>
      </c>
      <c r="G403">
        <v>0</v>
      </c>
      <c r="L403" t="s">
        <v>7</v>
      </c>
      <c r="M403" t="s">
        <v>8</v>
      </c>
      <c r="N403" t="s">
        <v>7</v>
      </c>
      <c r="P403">
        <f t="shared" si="974"/>
        <v>-0.17359999999999901</v>
      </c>
      <c r="Q403">
        <f t="shared" si="975"/>
        <v>-10079.663019999942</v>
      </c>
      <c r="R403">
        <f t="shared" si="976"/>
        <v>382004.3792758261</v>
      </c>
      <c r="S403">
        <f t="shared" si="977"/>
        <v>3.8200437927582609</v>
      </c>
      <c r="T403">
        <f t="shared" si="978"/>
        <v>3.8200437927582609E-3</v>
      </c>
    </row>
    <row r="404" spans="1:20" x14ac:dyDescent="0.25">
      <c r="A404" s="5">
        <v>44189</v>
      </c>
      <c r="B404">
        <v>47.595999999999997</v>
      </c>
      <c r="C404">
        <v>53.09</v>
      </c>
      <c r="D404">
        <v>45.963999999999999</v>
      </c>
      <c r="E404">
        <v>52.304000000000002</v>
      </c>
      <c r="F404">
        <v>88037.198999999993</v>
      </c>
      <c r="G404">
        <v>0</v>
      </c>
      <c r="L404" t="s">
        <v>8</v>
      </c>
      <c r="M404" t="s">
        <v>8</v>
      </c>
      <c r="N404" t="s">
        <v>7</v>
      </c>
      <c r="P404">
        <f t="shared" si="974"/>
        <v>0.77939938254280072</v>
      </c>
      <c r="Q404">
        <f t="shared" si="975"/>
        <v>68616.138541397668</v>
      </c>
      <c r="R404">
        <f t="shared" si="976"/>
        <v>392084.04229582602</v>
      </c>
      <c r="S404">
        <f t="shared" si="977"/>
        <v>3.9208404229582601</v>
      </c>
      <c r="T404">
        <f t="shared" si="978"/>
        <v>3.9208404229582597E-3</v>
      </c>
    </row>
    <row r="405" spans="1:20" x14ac:dyDescent="0.25">
      <c r="A405" s="5">
        <v>44188</v>
      </c>
      <c r="B405">
        <v>54.156999999999996</v>
      </c>
      <c r="C405">
        <v>55.084000000000003</v>
      </c>
      <c r="D405">
        <v>43.383000000000003</v>
      </c>
      <c r="E405">
        <v>47.442999999999998</v>
      </c>
      <c r="F405">
        <v>105491.36199999999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-0.30604221861379455</v>
      </c>
      <c r="Q405">
        <f t="shared" si="975"/>
        <v>-32284.810471070938</v>
      </c>
      <c r="R405">
        <f t="shared" si="976"/>
        <v>323467.90375442832</v>
      </c>
      <c r="S405">
        <f t="shared" si="977"/>
        <v>3.2346790375442831</v>
      </c>
      <c r="T405">
        <f t="shared" si="978"/>
        <v>3.2346790375442831E-3</v>
      </c>
    </row>
    <row r="406" spans="1:20" x14ac:dyDescent="0.25">
      <c r="A406" s="5">
        <v>44187</v>
      </c>
      <c r="B406">
        <v>49.555999999999997</v>
      </c>
      <c r="C406">
        <v>54.487000000000002</v>
      </c>
      <c r="D406">
        <v>48.231000000000002</v>
      </c>
      <c r="E406">
        <v>54.131</v>
      </c>
      <c r="F406">
        <v>67955.126000000004</v>
      </c>
      <c r="G406">
        <v>0</v>
      </c>
      <c r="L406" t="s">
        <v>7</v>
      </c>
      <c r="M406" t="s">
        <v>7</v>
      </c>
      <c r="N406" t="s">
        <v>8</v>
      </c>
      <c r="P406">
        <f t="shared" si="974"/>
        <v>0.88618925831201989</v>
      </c>
      <c r="Q406">
        <f t="shared" si="975"/>
        <v>60221.102708439859</v>
      </c>
      <c r="R406">
        <f t="shared" si="976"/>
        <v>355752.71422549925</v>
      </c>
      <c r="S406">
        <f t="shared" si="977"/>
        <v>3.5575271422549926</v>
      </c>
      <c r="T406">
        <f t="shared" si="978"/>
        <v>3.5575271422549925E-3</v>
      </c>
    </row>
    <row r="407" spans="1:20" x14ac:dyDescent="0.25">
      <c r="A407" s="5">
        <v>44186</v>
      </c>
      <c r="B407">
        <v>53.500999999999998</v>
      </c>
      <c r="C407">
        <v>56.023000000000003</v>
      </c>
      <c r="D407">
        <v>48.533000000000001</v>
      </c>
      <c r="E407">
        <v>49.472999999999999</v>
      </c>
      <c r="F407">
        <v>94651.76</v>
      </c>
      <c r="G407">
        <v>0</v>
      </c>
      <c r="L407" t="s">
        <v>7</v>
      </c>
      <c r="M407" t="s">
        <v>7</v>
      </c>
      <c r="N407" t="s">
        <v>8</v>
      </c>
      <c r="P407">
        <f t="shared" si="974"/>
        <v>-0.74899866488651601</v>
      </c>
      <c r="Q407">
        <f t="shared" si="975"/>
        <v>-70894.041869158929</v>
      </c>
      <c r="R407">
        <f t="shared" si="976"/>
        <v>295531.61151705938</v>
      </c>
      <c r="S407">
        <f t="shared" si="977"/>
        <v>2.9553161151705938</v>
      </c>
      <c r="T407">
        <f t="shared" si="978"/>
        <v>2.9553161151705939E-3</v>
      </c>
    </row>
    <row r="408" spans="1:20" x14ac:dyDescent="0.25">
      <c r="A408" s="5">
        <v>44185</v>
      </c>
      <c r="B408">
        <v>55.798000000000002</v>
      </c>
      <c r="C408">
        <v>57.1</v>
      </c>
      <c r="D408">
        <v>52.88</v>
      </c>
      <c r="E408">
        <v>53.606999999999999</v>
      </c>
      <c r="F408">
        <v>71863.101999999999</v>
      </c>
      <c r="G408">
        <v>0</v>
      </c>
      <c r="L408" t="s">
        <v>7</v>
      </c>
      <c r="M408" t="s">
        <v>8</v>
      </c>
      <c r="N408" t="s">
        <v>8</v>
      </c>
      <c r="P408">
        <f t="shared" si="974"/>
        <v>-0.65545023696682614</v>
      </c>
      <c r="Q408">
        <f t="shared" si="975"/>
        <v>-47102.6872350712</v>
      </c>
      <c r="R408">
        <f t="shared" si="976"/>
        <v>366425.6533862183</v>
      </c>
      <c r="S408">
        <f t="shared" si="977"/>
        <v>3.6642565338621829</v>
      </c>
      <c r="T408">
        <f t="shared" si="978"/>
        <v>3.664256533862183E-3</v>
      </c>
    </row>
    <row r="409" spans="1:20" x14ac:dyDescent="0.25">
      <c r="A409" s="5">
        <v>44184</v>
      </c>
      <c r="B409">
        <v>57.511000000000003</v>
      </c>
      <c r="C409">
        <v>60</v>
      </c>
      <c r="D409">
        <v>55.555</v>
      </c>
      <c r="E409">
        <v>55.886000000000003</v>
      </c>
      <c r="F409">
        <v>68028.096999999994</v>
      </c>
      <c r="G409">
        <v>0</v>
      </c>
      <c r="L409" t="s">
        <v>7</v>
      </c>
      <c r="M409" t="s">
        <v>8</v>
      </c>
      <c r="N409" t="s">
        <v>8</v>
      </c>
      <c r="P409">
        <f t="shared" si="974"/>
        <v>-0.85106861642294573</v>
      </c>
      <c r="Q409">
        <f t="shared" si="975"/>
        <v>-57896.578391675939</v>
      </c>
      <c r="R409">
        <f t="shared" si="976"/>
        <v>413528.34062128951</v>
      </c>
      <c r="S409">
        <f t="shared" si="977"/>
        <v>4.1352834062128947</v>
      </c>
      <c r="T409">
        <f t="shared" si="978"/>
        <v>4.1352834062128949E-3</v>
      </c>
    </row>
    <row r="410" spans="1:20" x14ac:dyDescent="0.25">
      <c r="A410" s="5">
        <v>44183</v>
      </c>
      <c r="B410">
        <v>58.113999999999997</v>
      </c>
      <c r="C410">
        <v>59.377000000000002</v>
      </c>
      <c r="D410">
        <v>56.058</v>
      </c>
      <c r="E410">
        <v>57.47</v>
      </c>
      <c r="F410">
        <v>83750.578999999998</v>
      </c>
      <c r="G410">
        <v>0</v>
      </c>
      <c r="L410" t="s">
        <v>7</v>
      </c>
      <c r="M410" t="s">
        <v>8</v>
      </c>
      <c r="N410" t="s">
        <v>8</v>
      </c>
      <c r="P410">
        <f t="shared" si="974"/>
        <v>-0.14914130762277919</v>
      </c>
      <c r="Q410">
        <f t="shared" si="975"/>
        <v>-12490.670866224871</v>
      </c>
      <c r="R410">
        <f t="shared" si="976"/>
        <v>471424.91901296546</v>
      </c>
      <c r="S410">
        <f t="shared" si="977"/>
        <v>4.7142491901296548</v>
      </c>
      <c r="T410">
        <f t="shared" si="978"/>
        <v>4.7142491901296544E-3</v>
      </c>
    </row>
    <row r="411" spans="1:20" x14ac:dyDescent="0.25">
      <c r="A411" s="5">
        <v>44182</v>
      </c>
      <c r="B411">
        <v>57.27</v>
      </c>
      <c r="C411">
        <v>63</v>
      </c>
      <c r="D411">
        <v>54.9</v>
      </c>
      <c r="E411">
        <v>58.128</v>
      </c>
      <c r="F411">
        <v>149391.06899999999</v>
      </c>
      <c r="G411">
        <v>0</v>
      </c>
      <c r="L411" t="s">
        <v>8</v>
      </c>
      <c r="M411" t="s">
        <v>8</v>
      </c>
      <c r="N411" t="s">
        <v>8</v>
      </c>
      <c r="P411">
        <f t="shared" si="974"/>
        <v>-0.20296296296296273</v>
      </c>
      <c r="Q411">
        <f t="shared" si="975"/>
        <v>-30320.854004444409</v>
      </c>
      <c r="R411">
        <f t="shared" si="976"/>
        <v>483915.58987919032</v>
      </c>
      <c r="S411">
        <f t="shared" si="977"/>
        <v>4.839155898791903</v>
      </c>
      <c r="T411">
        <f t="shared" si="978"/>
        <v>4.8391558987919032E-3</v>
      </c>
    </row>
    <row r="412" spans="1:20" x14ac:dyDescent="0.25">
      <c r="A412" s="5">
        <v>44181</v>
      </c>
      <c r="B412">
        <v>56.878</v>
      </c>
      <c r="C412">
        <v>58.258000000000003</v>
      </c>
      <c r="D412">
        <v>54.8</v>
      </c>
      <c r="E412">
        <v>57.219000000000001</v>
      </c>
      <c r="F412">
        <v>125971.826</v>
      </c>
      <c r="G412">
        <v>0</v>
      </c>
      <c r="L412" t="s">
        <v>8</v>
      </c>
      <c r="M412" t="s">
        <v>8</v>
      </c>
      <c r="N412" t="s">
        <v>7</v>
      </c>
      <c r="P412">
        <f t="shared" si="974"/>
        <v>0.3990746096009255</v>
      </c>
      <c r="Q412">
        <f t="shared" si="975"/>
        <v>50272.157281665714</v>
      </c>
      <c r="R412">
        <f t="shared" si="976"/>
        <v>514236.44388363475</v>
      </c>
      <c r="S412">
        <f t="shared" si="977"/>
        <v>5.1423644388363474</v>
      </c>
      <c r="T412">
        <f t="shared" si="978"/>
        <v>5.1423644388363474E-3</v>
      </c>
    </row>
    <row r="413" spans="1:20" x14ac:dyDescent="0.25">
      <c r="A413" s="5">
        <v>44180</v>
      </c>
      <c r="B413">
        <v>50.392000000000003</v>
      </c>
      <c r="C413">
        <v>57.472999999999999</v>
      </c>
      <c r="D413">
        <v>49.735999999999997</v>
      </c>
      <c r="E413">
        <v>56.832999999999998</v>
      </c>
      <c r="F413">
        <v>112493.321</v>
      </c>
      <c r="G413">
        <v>0</v>
      </c>
      <c r="L413" t="s">
        <v>8</v>
      </c>
      <c r="M413" t="s">
        <v>8</v>
      </c>
      <c r="N413" t="s">
        <v>7</v>
      </c>
      <c r="P413">
        <f t="shared" si="974"/>
        <v>0.83456119943130402</v>
      </c>
      <c r="Q413">
        <f t="shared" si="975"/>
        <v>93882.560901770703</v>
      </c>
      <c r="R413">
        <f t="shared" si="976"/>
        <v>463964.28660196904</v>
      </c>
      <c r="S413">
        <f t="shared" si="977"/>
        <v>4.63964286601969</v>
      </c>
      <c r="T413">
        <f t="shared" si="978"/>
        <v>4.6396428660196902E-3</v>
      </c>
    </row>
    <row r="414" spans="1:20" x14ac:dyDescent="0.25">
      <c r="A414" s="5">
        <v>44179</v>
      </c>
      <c r="B414">
        <v>50.814</v>
      </c>
      <c r="C414">
        <v>51.973999999999997</v>
      </c>
      <c r="D414">
        <v>48.71</v>
      </c>
      <c r="E414">
        <v>50.396000000000001</v>
      </c>
      <c r="F414">
        <v>59799.917999999998</v>
      </c>
      <c r="G414">
        <v>0</v>
      </c>
      <c r="L414" t="s">
        <v>7</v>
      </c>
      <c r="M414" t="s">
        <v>8</v>
      </c>
      <c r="N414" t="s">
        <v>7</v>
      </c>
      <c r="P414">
        <f t="shared" si="974"/>
        <v>3.3088235294118945E-2</v>
      </c>
      <c r="Q414">
        <f t="shared" si="975"/>
        <v>1978.6737573530188</v>
      </c>
      <c r="R414">
        <f t="shared" si="976"/>
        <v>370081.72570019832</v>
      </c>
      <c r="S414">
        <f t="shared" si="977"/>
        <v>3.7008172570019831</v>
      </c>
      <c r="T414">
        <f t="shared" si="978"/>
        <v>3.700817257001983E-3</v>
      </c>
    </row>
    <row r="415" spans="1:20" x14ac:dyDescent="0.25">
      <c r="A415" s="5">
        <v>44178</v>
      </c>
      <c r="B415">
        <v>48.231999999999999</v>
      </c>
      <c r="C415">
        <v>52.835999999999999</v>
      </c>
      <c r="D415">
        <v>47.161999999999999</v>
      </c>
      <c r="E415">
        <v>50.832999999999998</v>
      </c>
      <c r="F415">
        <v>75887.3</v>
      </c>
      <c r="G415">
        <v>0</v>
      </c>
      <c r="L415" t="s">
        <v>8</v>
      </c>
      <c r="M415" t="s">
        <v>8</v>
      </c>
      <c r="N415" t="s">
        <v>7</v>
      </c>
      <c r="P415">
        <f t="shared" si="974"/>
        <v>0.29397250616848775</v>
      </c>
      <c r="Q415">
        <f t="shared" si="975"/>
        <v>22308.77976735988</v>
      </c>
      <c r="R415">
        <f t="shared" si="976"/>
        <v>368103.05194284528</v>
      </c>
      <c r="S415">
        <f t="shared" si="977"/>
        <v>3.6810305194284529</v>
      </c>
      <c r="T415">
        <f t="shared" si="978"/>
        <v>3.681030519428453E-3</v>
      </c>
    </row>
    <row r="416" spans="1:20" x14ac:dyDescent="0.25">
      <c r="A416" s="5">
        <v>44177</v>
      </c>
      <c r="B416">
        <v>44.991999999999997</v>
      </c>
      <c r="C416">
        <v>48.732999999999997</v>
      </c>
      <c r="D416">
        <v>44.938000000000002</v>
      </c>
      <c r="E416">
        <v>48.177999999999997</v>
      </c>
      <c r="F416">
        <v>55251.421000000002</v>
      </c>
      <c r="G416">
        <v>0</v>
      </c>
      <c r="L416" t="s">
        <v>8</v>
      </c>
      <c r="M416" t="s">
        <v>7</v>
      </c>
      <c r="N416" t="s">
        <v>7</v>
      </c>
      <c r="P416">
        <f t="shared" si="974"/>
        <v>0.70750988142292459</v>
      </c>
      <c r="Q416">
        <f t="shared" si="975"/>
        <v>39090.926320158091</v>
      </c>
      <c r="R416">
        <f t="shared" si="976"/>
        <v>345794.27217548538</v>
      </c>
      <c r="S416">
        <f t="shared" si="977"/>
        <v>3.4579427217548537</v>
      </c>
      <c r="T416">
        <f t="shared" si="978"/>
        <v>3.4579427217548537E-3</v>
      </c>
    </row>
    <row r="417" spans="1:20" x14ac:dyDescent="0.25">
      <c r="A417" s="5">
        <v>44176</v>
      </c>
      <c r="B417">
        <v>47.161999999999999</v>
      </c>
      <c r="C417">
        <v>47.2</v>
      </c>
      <c r="D417">
        <v>43.151000000000003</v>
      </c>
      <c r="E417">
        <v>44.874000000000002</v>
      </c>
      <c r="F417">
        <v>74127.804000000004</v>
      </c>
      <c r="G417">
        <v>0</v>
      </c>
      <c r="L417" t="s">
        <v>7</v>
      </c>
      <c r="M417" t="s">
        <v>7</v>
      </c>
      <c r="N417" t="s">
        <v>7</v>
      </c>
      <c r="P417">
        <f t="shared" si="974"/>
        <v>-0.14892566065695273</v>
      </c>
      <c r="Q417">
        <f t="shared" si="975"/>
        <v>-11039.532183749103</v>
      </c>
      <c r="R417">
        <f t="shared" si="976"/>
        <v>306703.34585532726</v>
      </c>
      <c r="S417">
        <f t="shared" si="977"/>
        <v>3.0670334585532726</v>
      </c>
      <c r="T417">
        <f t="shared" si="978"/>
        <v>3.0670334585532724E-3</v>
      </c>
    </row>
    <row r="418" spans="1:20" x14ac:dyDescent="0.25">
      <c r="A418" s="5">
        <v>44175</v>
      </c>
      <c r="B418">
        <v>49.027999999999999</v>
      </c>
      <c r="C418">
        <v>49.828000000000003</v>
      </c>
      <c r="D418">
        <v>46.33</v>
      </c>
      <c r="E418">
        <v>47.051000000000002</v>
      </c>
      <c r="F418">
        <v>76243.868000000002</v>
      </c>
      <c r="G418">
        <v>0</v>
      </c>
      <c r="L418" t="s">
        <v>8</v>
      </c>
      <c r="M418" t="s">
        <v>7</v>
      </c>
      <c r="N418" t="s">
        <v>7</v>
      </c>
      <c r="P418">
        <f t="shared" si="974"/>
        <v>-0.58776443682103907</v>
      </c>
      <c r="Q418">
        <f t="shared" si="975"/>
        <v>-44813.434136077645</v>
      </c>
      <c r="R418">
        <f t="shared" si="976"/>
        <v>317742.87803907634</v>
      </c>
      <c r="S418">
        <f t="shared" si="977"/>
        <v>3.1774287803907635</v>
      </c>
      <c r="T418">
        <f t="shared" si="978"/>
        <v>3.1774287803907637E-3</v>
      </c>
    </row>
    <row r="419" spans="1:20" x14ac:dyDescent="0.25">
      <c r="A419" s="5">
        <v>44174</v>
      </c>
      <c r="B419">
        <v>46.363</v>
      </c>
      <c r="C419">
        <v>51.33</v>
      </c>
      <c r="D419">
        <v>44.076999999999998</v>
      </c>
      <c r="E419">
        <v>48.95</v>
      </c>
      <c r="F419">
        <v>139690.14600000001</v>
      </c>
      <c r="G419">
        <v>0</v>
      </c>
      <c r="L419" t="s">
        <v>7</v>
      </c>
      <c r="M419" t="s">
        <v>7</v>
      </c>
      <c r="N419" t="s">
        <v>7</v>
      </c>
      <c r="P419">
        <f t="shared" si="974"/>
        <v>0.34371984006618078</v>
      </c>
      <c r="Q419">
        <f t="shared" si="975"/>
        <v>48014.274641941447</v>
      </c>
      <c r="R419">
        <f t="shared" si="976"/>
        <v>362556.31217515399</v>
      </c>
      <c r="S419">
        <f t="shared" si="977"/>
        <v>3.6255631217515401</v>
      </c>
      <c r="T419">
        <f t="shared" si="978"/>
        <v>3.6255631217515399E-3</v>
      </c>
    </row>
    <row r="420" spans="1:20" x14ac:dyDescent="0.25">
      <c r="A420" s="5">
        <v>44173</v>
      </c>
      <c r="B420">
        <v>53.567999999999998</v>
      </c>
      <c r="C420">
        <v>53.738999999999997</v>
      </c>
      <c r="D420">
        <v>45.4</v>
      </c>
      <c r="E420">
        <v>46.375999999999998</v>
      </c>
      <c r="F420">
        <v>136629.02299999999</v>
      </c>
      <c r="G420">
        <v>0</v>
      </c>
      <c r="L420" t="s">
        <v>7</v>
      </c>
      <c r="M420" t="s">
        <v>7</v>
      </c>
      <c r="N420" t="s">
        <v>8</v>
      </c>
      <c r="P420">
        <f t="shared" si="974"/>
        <v>-0.76591917496102668</v>
      </c>
      <c r="Q420">
        <f t="shared" si="975"/>
        <v>-104646.78857189113</v>
      </c>
      <c r="R420">
        <f t="shared" si="976"/>
        <v>314542.03753321251</v>
      </c>
      <c r="S420">
        <f t="shared" si="977"/>
        <v>3.145420375332125</v>
      </c>
      <c r="T420">
        <f t="shared" si="978"/>
        <v>3.1454203753321251E-3</v>
      </c>
    </row>
    <row r="421" spans="1:20" x14ac:dyDescent="0.25">
      <c r="A421" s="5">
        <v>44172</v>
      </c>
      <c r="B421">
        <v>52.415999999999997</v>
      </c>
      <c r="C421">
        <v>54.563000000000002</v>
      </c>
      <c r="D421">
        <v>51.594000000000001</v>
      </c>
      <c r="E421">
        <v>53.423999999999999</v>
      </c>
      <c r="F421">
        <v>52230.180999999997</v>
      </c>
      <c r="G421">
        <v>0</v>
      </c>
      <c r="L421" t="s">
        <v>7</v>
      </c>
      <c r="M421" t="s">
        <v>7</v>
      </c>
      <c r="N421" t="s">
        <v>8</v>
      </c>
      <c r="P421">
        <f t="shared" si="974"/>
        <v>0.23273829572246382</v>
      </c>
      <c r="Q421">
        <f t="shared" si="975"/>
        <v>12155.96331121581</v>
      </c>
      <c r="R421">
        <f t="shared" si="976"/>
        <v>419188.82610510365</v>
      </c>
      <c r="S421">
        <f t="shared" si="977"/>
        <v>4.1918882610510364</v>
      </c>
      <c r="T421">
        <f t="shared" si="978"/>
        <v>4.1918882610510362E-3</v>
      </c>
    </row>
    <row r="422" spans="1:20" x14ac:dyDescent="0.25">
      <c r="A422" s="5">
        <v>44171</v>
      </c>
      <c r="B422">
        <v>55.75</v>
      </c>
      <c r="C422">
        <v>56.795000000000002</v>
      </c>
      <c r="D422">
        <v>50.936999999999998</v>
      </c>
      <c r="E422">
        <v>52.360999999999997</v>
      </c>
      <c r="F422">
        <v>67375.894</v>
      </c>
      <c r="G422">
        <v>0</v>
      </c>
      <c r="L422" t="s">
        <v>7</v>
      </c>
      <c r="M422" t="s">
        <v>7</v>
      </c>
      <c r="N422" t="s">
        <v>8</v>
      </c>
      <c r="P422">
        <f t="shared" si="974"/>
        <v>-0.51382724479344533</v>
      </c>
      <c r="Q422">
        <f t="shared" si="975"/>
        <v>-34619.569979515225</v>
      </c>
      <c r="R422">
        <f t="shared" si="976"/>
        <v>407032.86279388785</v>
      </c>
      <c r="S422">
        <f t="shared" si="977"/>
        <v>4.0703286279388786</v>
      </c>
      <c r="T422">
        <f t="shared" si="978"/>
        <v>4.0703286279388786E-3</v>
      </c>
    </row>
    <row r="423" spans="1:20" x14ac:dyDescent="0.25">
      <c r="A423" s="5">
        <v>44170</v>
      </c>
      <c r="B423">
        <v>50.709000000000003</v>
      </c>
      <c r="C423">
        <v>56.600999999999999</v>
      </c>
      <c r="D423">
        <v>49.7</v>
      </c>
      <c r="E423">
        <v>55.829000000000001</v>
      </c>
      <c r="F423">
        <v>124657.11500000001</v>
      </c>
      <c r="G423">
        <v>0</v>
      </c>
      <c r="L423" t="s">
        <v>8</v>
      </c>
      <c r="M423" t="s">
        <v>7</v>
      </c>
      <c r="N423" t="s">
        <v>8</v>
      </c>
      <c r="P423">
        <f t="shared" si="974"/>
        <v>0.77626430952035974</v>
      </c>
      <c r="Q423">
        <f t="shared" si="975"/>
        <v>96766.869302275081</v>
      </c>
      <c r="R423">
        <f t="shared" si="976"/>
        <v>441652.43277340307</v>
      </c>
      <c r="S423">
        <f t="shared" si="977"/>
        <v>4.4165243277340309</v>
      </c>
      <c r="T423">
        <f t="shared" si="978"/>
        <v>4.4165243277340307E-3</v>
      </c>
    </row>
    <row r="424" spans="1:20" x14ac:dyDescent="0.25">
      <c r="A424" s="5">
        <v>44169</v>
      </c>
      <c r="B424">
        <v>59.122999999999998</v>
      </c>
      <c r="C424">
        <v>62</v>
      </c>
      <c r="D424">
        <v>49.6</v>
      </c>
      <c r="E424">
        <v>50.655999999999999</v>
      </c>
      <c r="F424">
        <v>222000.334</v>
      </c>
      <c r="G424">
        <v>0</v>
      </c>
      <c r="L424" t="s">
        <v>7</v>
      </c>
      <c r="M424" t="s">
        <v>7</v>
      </c>
      <c r="N424" t="s">
        <v>8</v>
      </c>
      <c r="P424">
        <f t="shared" si="974"/>
        <v>-0.82967741935483907</v>
      </c>
      <c r="Q424">
        <f t="shared" si="975"/>
        <v>-184188.66420903234</v>
      </c>
      <c r="R424">
        <f t="shared" si="976"/>
        <v>344885.563471128</v>
      </c>
      <c r="S424">
        <f t="shared" si="977"/>
        <v>3.44885563471128</v>
      </c>
      <c r="T424">
        <f t="shared" si="978"/>
        <v>3.4488556347112799E-3</v>
      </c>
    </row>
    <row r="425" spans="1:20" x14ac:dyDescent="0.25">
      <c r="A425" s="5">
        <v>44168</v>
      </c>
      <c r="B425">
        <v>61.664000000000001</v>
      </c>
      <c r="C425">
        <v>62.981999999999999</v>
      </c>
      <c r="D425">
        <v>57.365000000000002</v>
      </c>
      <c r="E425">
        <v>59.151000000000003</v>
      </c>
      <c r="F425">
        <v>167273.709</v>
      </c>
      <c r="G425">
        <v>0</v>
      </c>
      <c r="L425" t="s">
        <v>7</v>
      </c>
      <c r="M425" t="s">
        <v>8</v>
      </c>
      <c r="N425" t="s">
        <v>8</v>
      </c>
      <c r="P425">
        <f t="shared" si="974"/>
        <v>-0.36407334876268393</v>
      </c>
      <c r="Q425">
        <f t="shared" si="975"/>
        <v>-60899.899395584704</v>
      </c>
      <c r="R425">
        <f t="shared" si="976"/>
        <v>529074.22768016031</v>
      </c>
      <c r="S425">
        <f t="shared" si="977"/>
        <v>5.2907422768016028</v>
      </c>
      <c r="T425">
        <f t="shared" si="978"/>
        <v>5.2907422768016027E-3</v>
      </c>
    </row>
    <row r="426" spans="1:20" x14ac:dyDescent="0.25">
      <c r="A426" s="5">
        <v>44167</v>
      </c>
      <c r="B426">
        <v>54.054000000000002</v>
      </c>
      <c r="C426">
        <v>65.537000000000006</v>
      </c>
      <c r="D426">
        <v>52.968000000000004</v>
      </c>
      <c r="E426">
        <v>61.698</v>
      </c>
      <c r="F426">
        <v>220148.98199999999</v>
      </c>
      <c r="G426">
        <v>0</v>
      </c>
      <c r="L426" t="s">
        <v>8</v>
      </c>
      <c r="M426" t="s">
        <v>8</v>
      </c>
      <c r="N426" t="s">
        <v>8</v>
      </c>
      <c r="P426">
        <f t="shared" si="974"/>
        <v>0.38913199140743021</v>
      </c>
      <c r="Q426">
        <f t="shared" si="975"/>
        <v>85667.011771978505</v>
      </c>
      <c r="R426">
        <f t="shared" si="976"/>
        <v>589974.12707574503</v>
      </c>
      <c r="S426">
        <f t="shared" si="977"/>
        <v>5.8997412707574499</v>
      </c>
      <c r="T426">
        <f t="shared" si="978"/>
        <v>5.8997412707574503E-3</v>
      </c>
    </row>
    <row r="427" spans="1:20" x14ac:dyDescent="0.25">
      <c r="A427" s="5">
        <v>44166</v>
      </c>
      <c r="B427">
        <v>52.2</v>
      </c>
      <c r="C427">
        <v>56.618000000000002</v>
      </c>
      <c r="D427">
        <v>50</v>
      </c>
      <c r="E427">
        <v>54.165999999999997</v>
      </c>
      <c r="F427">
        <v>124503.791</v>
      </c>
      <c r="G427">
        <v>0</v>
      </c>
      <c r="L427" t="s">
        <v>8</v>
      </c>
      <c r="M427" t="s">
        <v>8</v>
      </c>
      <c r="N427" t="s">
        <v>8</v>
      </c>
      <c r="P427">
        <f t="shared" si="974"/>
        <v>0.25899063161075719</v>
      </c>
      <c r="Q427">
        <f t="shared" si="975"/>
        <v>32245.315469023706</v>
      </c>
      <c r="R427">
        <f t="shared" si="976"/>
        <v>504307.11530376651</v>
      </c>
      <c r="S427">
        <f t="shared" si="977"/>
        <v>5.0430711530376646</v>
      </c>
      <c r="T427">
        <f t="shared" si="978"/>
        <v>5.0430711530376647E-3</v>
      </c>
    </row>
    <row r="428" spans="1:20" x14ac:dyDescent="0.25">
      <c r="A428" s="5">
        <v>44165</v>
      </c>
      <c r="B428">
        <v>53.097000000000001</v>
      </c>
      <c r="C428">
        <v>54.7</v>
      </c>
      <c r="D428">
        <v>50</v>
      </c>
      <c r="E428">
        <v>52.122999999999998</v>
      </c>
      <c r="F428">
        <v>137039.88800000001</v>
      </c>
      <c r="G428">
        <v>0</v>
      </c>
      <c r="L428" t="s">
        <v>8</v>
      </c>
      <c r="M428" t="s">
        <v>8</v>
      </c>
      <c r="N428" t="s">
        <v>8</v>
      </c>
      <c r="P428">
        <f t="shared" si="974"/>
        <v>-9.6595744680852649E-2</v>
      </c>
      <c r="Q428">
        <f t="shared" si="975"/>
        <v>-13237.470032340643</v>
      </c>
      <c r="R428">
        <f t="shared" si="976"/>
        <v>472061.79983474279</v>
      </c>
      <c r="S428">
        <f t="shared" si="977"/>
        <v>4.7206179983474277</v>
      </c>
      <c r="T428">
        <f t="shared" si="978"/>
        <v>4.720617998347428E-3</v>
      </c>
    </row>
    <row r="429" spans="1:20" x14ac:dyDescent="0.25">
      <c r="A429" s="5">
        <v>44164</v>
      </c>
      <c r="B429">
        <v>45.23</v>
      </c>
      <c r="C429">
        <v>53.4</v>
      </c>
      <c r="D429">
        <v>44.399000000000001</v>
      </c>
      <c r="E429">
        <v>53.07</v>
      </c>
      <c r="F429">
        <v>163534.35999999999</v>
      </c>
      <c r="G429">
        <v>0</v>
      </c>
      <c r="L429" t="s">
        <v>8</v>
      </c>
      <c r="M429" t="s">
        <v>8</v>
      </c>
      <c r="N429" t="s">
        <v>8</v>
      </c>
      <c r="P429">
        <f t="shared" si="974"/>
        <v>0.92667481390956596</v>
      </c>
      <c r="Q429">
        <f t="shared" si="975"/>
        <v>151543.17262081997</v>
      </c>
      <c r="R429">
        <f t="shared" si="976"/>
        <v>485299.26986708341</v>
      </c>
      <c r="S429">
        <f t="shared" si="977"/>
        <v>4.8529926986708345</v>
      </c>
      <c r="T429">
        <f t="shared" si="978"/>
        <v>4.8529926986708343E-3</v>
      </c>
    </row>
    <row r="430" spans="1:20" x14ac:dyDescent="0.25">
      <c r="A430" s="5">
        <v>44163</v>
      </c>
      <c r="B430">
        <v>45.351999999999997</v>
      </c>
      <c r="C430">
        <v>46.859000000000002</v>
      </c>
      <c r="D430">
        <v>43.121000000000002</v>
      </c>
      <c r="E430">
        <v>45.23</v>
      </c>
      <c r="F430">
        <v>82765.528000000006</v>
      </c>
      <c r="G430">
        <v>0</v>
      </c>
      <c r="L430" t="s">
        <v>7</v>
      </c>
      <c r="M430" t="s">
        <v>8</v>
      </c>
      <c r="N430" t="s">
        <v>8</v>
      </c>
      <c r="P430">
        <f t="shared" si="974"/>
        <v>0.12841091492776613</v>
      </c>
      <c r="Q430">
        <f t="shared" si="975"/>
        <v>10627.997174959646</v>
      </c>
      <c r="R430">
        <f t="shared" si="976"/>
        <v>333756.09724626347</v>
      </c>
      <c r="S430">
        <f t="shared" si="977"/>
        <v>3.3375609724626347</v>
      </c>
      <c r="T430">
        <f t="shared" si="978"/>
        <v>3.3375609724626346E-3</v>
      </c>
    </row>
    <row r="431" spans="1:20" x14ac:dyDescent="0.25">
      <c r="A431" s="5">
        <v>44162</v>
      </c>
      <c r="B431">
        <v>49.183</v>
      </c>
      <c r="C431">
        <v>49.454999999999998</v>
      </c>
      <c r="D431">
        <v>42.9</v>
      </c>
      <c r="E431">
        <v>45.378</v>
      </c>
      <c r="F431">
        <v>125286.791</v>
      </c>
      <c r="G431">
        <v>0</v>
      </c>
      <c r="L431" t="s">
        <v>8</v>
      </c>
      <c r="M431" t="s">
        <v>8</v>
      </c>
      <c r="N431" t="s">
        <v>8</v>
      </c>
      <c r="P431">
        <f t="shared" si="974"/>
        <v>-0.24393592677345488</v>
      </c>
      <c r="Q431">
        <f t="shared" si="975"/>
        <v>-30561.949475057147</v>
      </c>
      <c r="R431">
        <f t="shared" si="976"/>
        <v>323128.10007130384</v>
      </c>
      <c r="S431">
        <f t="shared" si="977"/>
        <v>3.2312810007130386</v>
      </c>
      <c r="T431">
        <f t="shared" si="978"/>
        <v>3.2312810007130385E-3</v>
      </c>
    </row>
    <row r="432" spans="1:20" x14ac:dyDescent="0.25">
      <c r="A432" s="5">
        <v>44161</v>
      </c>
      <c r="B432">
        <v>42.167000000000002</v>
      </c>
      <c r="C432">
        <v>50.207000000000001</v>
      </c>
      <c r="D432">
        <v>38.67</v>
      </c>
      <c r="E432">
        <v>48.936999999999998</v>
      </c>
      <c r="F432">
        <v>333446.33399999997</v>
      </c>
      <c r="G432">
        <v>0</v>
      </c>
      <c r="L432" t="s">
        <v>7</v>
      </c>
      <c r="M432" t="s">
        <v>7</v>
      </c>
      <c r="N432" t="s">
        <v>8</v>
      </c>
      <c r="P432">
        <f t="shared" si="974"/>
        <v>0.77983877957874603</v>
      </c>
      <c r="Q432">
        <f t="shared" si="975"/>
        <v>260034.3821615669</v>
      </c>
      <c r="R432">
        <f t="shared" si="976"/>
        <v>353690.04954636097</v>
      </c>
      <c r="S432">
        <f t="shared" si="977"/>
        <v>3.5369004954636099</v>
      </c>
      <c r="T432">
        <f t="shared" si="978"/>
        <v>3.5369004954636097E-3</v>
      </c>
    </row>
    <row r="433" spans="1:20" x14ac:dyDescent="0.25">
      <c r="A433" s="5">
        <v>44160</v>
      </c>
      <c r="B433">
        <v>48.274999999999999</v>
      </c>
      <c r="C433">
        <v>50.402999999999999</v>
      </c>
      <c r="D433">
        <v>40.200000000000003</v>
      </c>
      <c r="E433">
        <v>42.177999999999997</v>
      </c>
      <c r="F433">
        <v>139295.41</v>
      </c>
      <c r="G433">
        <v>0</v>
      </c>
      <c r="L433" t="s">
        <v>7</v>
      </c>
      <c r="M433" t="s">
        <v>7</v>
      </c>
      <c r="N433" t="s">
        <v>8</v>
      </c>
      <c r="P433">
        <f t="shared" si="974"/>
        <v>-0.61227090071547674</v>
      </c>
      <c r="Q433">
        <f t="shared" si="975"/>
        <v>-85286.526146231627</v>
      </c>
      <c r="R433">
        <f t="shared" si="976"/>
        <v>93655.66738479404</v>
      </c>
      <c r="S433">
        <f t="shared" si="977"/>
        <v>0.93655667384794039</v>
      </c>
      <c r="T433">
        <f t="shared" si="978"/>
        <v>9.365566738479404E-4</v>
      </c>
    </row>
    <row r="434" spans="1:20" x14ac:dyDescent="0.25">
      <c r="A434" s="5">
        <v>44159</v>
      </c>
      <c r="B434">
        <v>40.427</v>
      </c>
      <c r="C434">
        <v>53.098999999999997</v>
      </c>
      <c r="D434">
        <v>39.514000000000003</v>
      </c>
      <c r="E434">
        <v>48.392000000000003</v>
      </c>
      <c r="F434">
        <v>354570.35800000001</v>
      </c>
      <c r="G434">
        <v>0</v>
      </c>
      <c r="L434" t="s">
        <v>8</v>
      </c>
      <c r="M434" t="s">
        <v>8</v>
      </c>
      <c r="N434" t="s">
        <v>8</v>
      </c>
      <c r="P434">
        <f t="shared" si="974"/>
        <v>0.30702981229297083</v>
      </c>
      <c r="Q434">
        <f t="shared" si="975"/>
        <v>108863.67046139146</v>
      </c>
      <c r="R434">
        <f t="shared" si="976"/>
        <v>178942.19353102567</v>
      </c>
      <c r="S434">
        <f t="shared" si="977"/>
        <v>1.7894219353102567</v>
      </c>
      <c r="T434">
        <f t="shared" si="978"/>
        <v>1.7894219353102568E-3</v>
      </c>
    </row>
    <row r="435" spans="1:20" x14ac:dyDescent="0.25">
      <c r="A435" s="5">
        <v>44158</v>
      </c>
      <c r="B435">
        <v>38.627000000000002</v>
      </c>
      <c r="C435">
        <v>41</v>
      </c>
      <c r="D435">
        <v>38.162999999999997</v>
      </c>
      <c r="E435">
        <v>40.414999999999999</v>
      </c>
      <c r="F435">
        <v>60317.91</v>
      </c>
      <c r="G435">
        <v>0</v>
      </c>
      <c r="L435" t="s">
        <v>8</v>
      </c>
      <c r="M435" t="s">
        <v>8</v>
      </c>
      <c r="N435" t="s">
        <v>8</v>
      </c>
      <c r="P435">
        <f t="shared" si="974"/>
        <v>0.58759252731758893</v>
      </c>
      <c r="Q435">
        <f t="shared" si="975"/>
        <v>35442.353179414873</v>
      </c>
      <c r="R435">
        <f t="shared" si="976"/>
        <v>70078.52306963419</v>
      </c>
      <c r="S435">
        <f t="shared" si="977"/>
        <v>0.70078523069634191</v>
      </c>
      <c r="T435">
        <f t="shared" si="978"/>
        <v>7.0078523069634191E-4</v>
      </c>
    </row>
    <row r="436" spans="1:20" x14ac:dyDescent="0.25">
      <c r="A436" s="5">
        <v>44157</v>
      </c>
      <c r="B436">
        <v>40.710999999999999</v>
      </c>
      <c r="C436">
        <v>42</v>
      </c>
      <c r="D436">
        <v>37.537999999999997</v>
      </c>
      <c r="E436">
        <v>38.579000000000001</v>
      </c>
      <c r="F436">
        <v>77078.881999999998</v>
      </c>
      <c r="G436">
        <v>0</v>
      </c>
      <c r="L436" t="s">
        <v>7</v>
      </c>
      <c r="M436" t="s">
        <v>8</v>
      </c>
      <c r="N436" t="s">
        <v>8</v>
      </c>
      <c r="P436">
        <f t="shared" si="974"/>
        <v>-0.53339309726579864</v>
      </c>
      <c r="Q436">
        <f t="shared" si="975"/>
        <v>-41113.343603765017</v>
      </c>
      <c r="R436">
        <f t="shared" si="976"/>
        <v>34636.169890219309</v>
      </c>
      <c r="S436">
        <f t="shared" si="977"/>
        <v>0.34636169890219309</v>
      </c>
      <c r="T436">
        <f t="shared" si="978"/>
        <v>3.4636169890219312E-4</v>
      </c>
    </row>
    <row r="437" spans="1:20" x14ac:dyDescent="0.25">
      <c r="A437" s="5">
        <v>44156</v>
      </c>
      <c r="B437">
        <v>37.786999999999999</v>
      </c>
      <c r="C437">
        <v>41.4</v>
      </c>
      <c r="D437">
        <v>36.799999999999997</v>
      </c>
      <c r="E437">
        <v>40.631</v>
      </c>
      <c r="F437">
        <v>107440.264</v>
      </c>
      <c r="G437">
        <v>0</v>
      </c>
      <c r="L437" t="s">
        <v>8</v>
      </c>
      <c r="M437" t="s">
        <v>8</v>
      </c>
      <c r="N437" t="s">
        <v>8</v>
      </c>
      <c r="P437">
        <f t="shared" si="974"/>
        <v>0.66565217391304432</v>
      </c>
      <c r="Q437">
        <f t="shared" si="975"/>
        <v>71517.845297391395</v>
      </c>
      <c r="R437">
        <f t="shared" si="976"/>
        <v>75749.513493984326</v>
      </c>
      <c r="S437">
        <f t="shared" si="977"/>
        <v>0.75749513493984322</v>
      </c>
      <c r="T437">
        <f t="shared" si="978"/>
        <v>7.5749513493984322E-4</v>
      </c>
    </row>
    <row r="438" spans="1:20" x14ac:dyDescent="0.25">
      <c r="A438" s="5">
        <v>44155</v>
      </c>
      <c r="B438">
        <v>35.286000000000001</v>
      </c>
      <c r="C438">
        <v>39.378999999999998</v>
      </c>
      <c r="D438">
        <v>34.975000000000001</v>
      </c>
      <c r="E438">
        <v>37.753</v>
      </c>
      <c r="F438">
        <v>127636.24</v>
      </c>
      <c r="G438">
        <v>0</v>
      </c>
      <c r="L438" t="s">
        <v>8</v>
      </c>
      <c r="M438" t="s">
        <v>8</v>
      </c>
      <c r="N438" t="s">
        <v>8</v>
      </c>
      <c r="P438">
        <f t="shared" si="974"/>
        <v>0.26158038147139007</v>
      </c>
      <c r="Q438">
        <f t="shared" si="975"/>
        <v>33387.1363487739</v>
      </c>
      <c r="R438">
        <f t="shared" si="976"/>
        <v>4231.6681965929383</v>
      </c>
      <c r="S438">
        <f t="shared" si="977"/>
        <v>4.231668196592938E-2</v>
      </c>
      <c r="T438">
        <f t="shared" si="978"/>
        <v>4.2316681965929379E-5</v>
      </c>
    </row>
    <row r="439" spans="1:20" x14ac:dyDescent="0.25">
      <c r="A439" s="5">
        <v>44154</v>
      </c>
      <c r="B439">
        <v>35.558</v>
      </c>
      <c r="C439">
        <v>37.5</v>
      </c>
      <c r="D439">
        <v>34.530999999999999</v>
      </c>
      <c r="E439">
        <v>35.314</v>
      </c>
      <c r="F439">
        <v>69530.11</v>
      </c>
      <c r="G439">
        <v>0</v>
      </c>
      <c r="L439" t="s">
        <v>8</v>
      </c>
      <c r="M439" t="s">
        <v>8</v>
      </c>
      <c r="N439" t="s">
        <v>8</v>
      </c>
      <c r="P439">
        <f t="shared" si="974"/>
        <v>-0.47254968002694447</v>
      </c>
      <c r="Q439">
        <f t="shared" si="975"/>
        <v>-32856.43123273825</v>
      </c>
      <c r="R439">
        <f t="shared" si="976"/>
        <v>-29155.468152180962</v>
      </c>
      <c r="S439">
        <f t="shared" si="977"/>
        <v>-0.29155468152180963</v>
      </c>
      <c r="T439">
        <f t="shared" si="978"/>
        <v>-2.9155468152180966E-4</v>
      </c>
    </row>
    <row r="440" spans="1:20" x14ac:dyDescent="0.25">
      <c r="A440" s="5">
        <v>44153</v>
      </c>
      <c r="B440">
        <v>38.116</v>
      </c>
      <c r="C440">
        <v>38.421999999999997</v>
      </c>
      <c r="D440">
        <v>34</v>
      </c>
      <c r="E440">
        <v>35.642000000000003</v>
      </c>
      <c r="F440">
        <v>80932.259000000005</v>
      </c>
      <c r="G440">
        <v>0</v>
      </c>
      <c r="L440" t="s">
        <v>7</v>
      </c>
      <c r="M440" t="s">
        <v>8</v>
      </c>
      <c r="N440" t="s">
        <v>8</v>
      </c>
      <c r="P440">
        <f t="shared" si="974"/>
        <v>-0.25734961555856894</v>
      </c>
      <c r="Q440">
        <f t="shared" si="975"/>
        <v>-20827.885739936533</v>
      </c>
      <c r="R440">
        <f t="shared" si="976"/>
        <v>3700.9630805572888</v>
      </c>
      <c r="S440">
        <f t="shared" si="977"/>
        <v>3.7009630805572888E-2</v>
      </c>
      <c r="T440">
        <f t="shared" si="978"/>
        <v>3.7009630805572888E-5</v>
      </c>
    </row>
    <row r="441" spans="1:20" x14ac:dyDescent="0.25">
      <c r="A441" s="5">
        <v>44152</v>
      </c>
      <c r="B441">
        <v>36.128999999999998</v>
      </c>
      <c r="C441">
        <v>38.658000000000001</v>
      </c>
      <c r="D441">
        <v>35.725999999999999</v>
      </c>
      <c r="E441">
        <v>38.146000000000001</v>
      </c>
      <c r="F441">
        <v>79212.338000000003</v>
      </c>
      <c r="G441">
        <v>0</v>
      </c>
      <c r="L441" t="s">
        <v>8</v>
      </c>
      <c r="M441" t="s">
        <v>8</v>
      </c>
      <c r="N441" t="s">
        <v>8</v>
      </c>
      <c r="P441">
        <f t="shared" si="974"/>
        <v>0.65075034106412</v>
      </c>
      <c r="Q441">
        <f t="shared" si="975"/>
        <v>51547.455969986353</v>
      </c>
      <c r="R441">
        <f t="shared" si="976"/>
        <v>24528.848820493822</v>
      </c>
      <c r="S441">
        <f t="shared" si="977"/>
        <v>0.24528848820493823</v>
      </c>
      <c r="T441">
        <f t="shared" si="978"/>
        <v>2.4528848820493825E-4</v>
      </c>
    </row>
    <row r="442" spans="1:20" x14ac:dyDescent="0.25">
      <c r="A442" s="5">
        <v>44151</v>
      </c>
      <c r="B442">
        <v>35.353000000000002</v>
      </c>
      <c r="C442">
        <v>37</v>
      </c>
      <c r="D442">
        <v>34.200000000000003</v>
      </c>
      <c r="E442">
        <v>36.183</v>
      </c>
      <c r="F442">
        <v>60083.684000000001</v>
      </c>
      <c r="G442">
        <v>0</v>
      </c>
      <c r="L442" t="s">
        <v>8</v>
      </c>
      <c r="M442" t="s">
        <v>8</v>
      </c>
      <c r="N442" t="s">
        <v>8</v>
      </c>
      <c r="P442">
        <f t="shared" si="974"/>
        <v>0.4164285714285707</v>
      </c>
      <c r="Q442">
        <f t="shared" si="975"/>
        <v>25020.562694285672</v>
      </c>
      <c r="R442">
        <f t="shared" si="976"/>
        <v>-27018.607149492531</v>
      </c>
      <c r="S442">
        <f t="shared" si="977"/>
        <v>-0.2701860714949253</v>
      </c>
      <c r="T442">
        <f t="shared" si="978"/>
        <v>-2.7018607149492527E-4</v>
      </c>
    </row>
    <row r="443" spans="1:20" x14ac:dyDescent="0.25">
      <c r="A443" s="5">
        <v>44150</v>
      </c>
      <c r="B443">
        <v>36.987000000000002</v>
      </c>
      <c r="C443">
        <v>37.83</v>
      </c>
      <c r="D443">
        <v>34.1</v>
      </c>
      <c r="E443">
        <v>35.411000000000001</v>
      </c>
      <c r="F443">
        <v>74746.445000000007</v>
      </c>
      <c r="G443">
        <v>0</v>
      </c>
      <c r="L443" t="s">
        <v>7</v>
      </c>
      <c r="M443" t="s">
        <v>8</v>
      </c>
      <c r="N443" t="s">
        <v>8</v>
      </c>
      <c r="P443">
        <f t="shared" si="974"/>
        <v>-0.29705093833780105</v>
      </c>
      <c r="Q443">
        <f t="shared" si="975"/>
        <v>-22203.501624664841</v>
      </c>
      <c r="R443">
        <f t="shared" si="976"/>
        <v>-52039.169843778203</v>
      </c>
      <c r="S443">
        <f t="shared" si="977"/>
        <v>-0.52039169843778199</v>
      </c>
      <c r="T443">
        <f t="shared" si="978"/>
        <v>-5.2039169843778204E-4</v>
      </c>
    </row>
    <row r="444" spans="1:20" x14ac:dyDescent="0.25">
      <c r="A444" s="5">
        <v>44149</v>
      </c>
      <c r="B444">
        <v>38.640999999999998</v>
      </c>
      <c r="C444">
        <v>38.762</v>
      </c>
      <c r="D444">
        <v>35.500999999999998</v>
      </c>
      <c r="E444">
        <v>36.954000000000001</v>
      </c>
      <c r="F444">
        <v>66843.845000000001</v>
      </c>
      <c r="G444">
        <v>0</v>
      </c>
      <c r="L444" t="s">
        <v>7</v>
      </c>
      <c r="M444" t="s">
        <v>8</v>
      </c>
      <c r="N444" t="s">
        <v>8</v>
      </c>
      <c r="P444">
        <f t="shared" si="974"/>
        <v>-0.10886231217417865</v>
      </c>
      <c r="Q444">
        <f t="shared" si="975"/>
        <v>-7276.775521312411</v>
      </c>
      <c r="R444">
        <f t="shared" si="976"/>
        <v>-29835.668219113359</v>
      </c>
      <c r="S444">
        <f t="shared" si="977"/>
        <v>-0.29835668219113359</v>
      </c>
      <c r="T444">
        <f t="shared" si="978"/>
        <v>-2.9835668219113361E-4</v>
      </c>
    </row>
    <row r="445" spans="1:20" x14ac:dyDescent="0.25">
      <c r="A445" s="5">
        <v>44148</v>
      </c>
      <c r="B445">
        <v>38.155999999999999</v>
      </c>
      <c r="C445">
        <v>39.444000000000003</v>
      </c>
      <c r="D445">
        <v>37.183</v>
      </c>
      <c r="E445">
        <v>38.564999999999998</v>
      </c>
      <c r="F445">
        <v>64347.616999999998</v>
      </c>
      <c r="G445">
        <v>0</v>
      </c>
      <c r="L445" t="s">
        <v>7</v>
      </c>
      <c r="M445" t="s">
        <v>8</v>
      </c>
      <c r="N445" t="s">
        <v>8</v>
      </c>
      <c r="P445">
        <f t="shared" si="974"/>
        <v>0.22246793454223457</v>
      </c>
      <c r="Q445">
        <f t="shared" si="975"/>
        <v>14315.281446704779</v>
      </c>
      <c r="R445">
        <f t="shared" si="976"/>
        <v>-22558.892697800948</v>
      </c>
      <c r="S445">
        <f t="shared" si="977"/>
        <v>-0.22558892697800947</v>
      </c>
      <c r="T445">
        <f t="shared" si="978"/>
        <v>-2.2558892697800947E-4</v>
      </c>
    </row>
    <row r="446" spans="1:20" x14ac:dyDescent="0.25">
      <c r="A446" s="5">
        <v>44147</v>
      </c>
      <c r="B446">
        <v>35.668999999999997</v>
      </c>
      <c r="C446">
        <v>39.799999999999997</v>
      </c>
      <c r="D446">
        <v>35.021000000000001</v>
      </c>
      <c r="E446">
        <v>38.152999999999999</v>
      </c>
      <c r="F446">
        <v>101732.05499999999</v>
      </c>
      <c r="G446">
        <v>0</v>
      </c>
      <c r="L446" t="s">
        <v>8</v>
      </c>
      <c r="M446" t="s">
        <v>8</v>
      </c>
      <c r="N446" t="s">
        <v>8</v>
      </c>
      <c r="P446">
        <f t="shared" si="974"/>
        <v>0.31073446327683629</v>
      </c>
      <c r="Q446">
        <f t="shared" si="975"/>
        <v>31611.655508474589</v>
      </c>
      <c r="R446">
        <f t="shared" si="976"/>
        <v>-36874.174144505727</v>
      </c>
      <c r="S446">
        <f t="shared" si="977"/>
        <v>-0.36874174144505728</v>
      </c>
      <c r="T446">
        <f t="shared" si="978"/>
        <v>-3.6874174144505727E-4</v>
      </c>
    </row>
    <row r="447" spans="1:20" x14ac:dyDescent="0.25">
      <c r="A447" s="5">
        <v>44146</v>
      </c>
      <c r="B447">
        <v>35.200000000000003</v>
      </c>
      <c r="C447">
        <v>37.799999999999997</v>
      </c>
      <c r="D447">
        <v>34.774000000000001</v>
      </c>
      <c r="E447">
        <v>35.606999999999999</v>
      </c>
      <c r="F447">
        <v>130684.277</v>
      </c>
      <c r="G447">
        <v>0</v>
      </c>
      <c r="L447" t="s">
        <v>8</v>
      </c>
      <c r="M447" t="s">
        <v>8</v>
      </c>
      <c r="N447" t="s">
        <v>8</v>
      </c>
      <c r="P447">
        <f t="shared" si="974"/>
        <v>-0.44943820224719139</v>
      </c>
      <c r="Q447">
        <f t="shared" si="975"/>
        <v>-58734.50651685398</v>
      </c>
      <c r="R447">
        <f t="shared" si="976"/>
        <v>-68485.829652980319</v>
      </c>
      <c r="S447">
        <f t="shared" si="977"/>
        <v>-0.68485829652980323</v>
      </c>
      <c r="T447">
        <f t="shared" si="978"/>
        <v>-6.848582965298032E-4</v>
      </c>
    </row>
    <row r="448" spans="1:20" x14ac:dyDescent="0.25">
      <c r="A448" s="5">
        <v>44145</v>
      </c>
      <c r="B448">
        <v>33.055999999999997</v>
      </c>
      <c r="C448">
        <v>36.700000000000003</v>
      </c>
      <c r="D448">
        <v>32.585999999999999</v>
      </c>
      <c r="E448">
        <v>35.192</v>
      </c>
      <c r="F448">
        <v>93761.293000000005</v>
      </c>
      <c r="G448">
        <v>0</v>
      </c>
      <c r="L448" t="s">
        <v>8</v>
      </c>
      <c r="M448" t="s">
        <v>8</v>
      </c>
      <c r="N448" t="s">
        <v>7</v>
      </c>
      <c r="P448">
        <f t="shared" si="974"/>
        <v>0.26689353427321288</v>
      </c>
      <c r="Q448">
        <f t="shared" si="975"/>
        <v>25024.282866796257</v>
      </c>
      <c r="R448">
        <f t="shared" si="976"/>
        <v>-9751.3231361263424</v>
      </c>
      <c r="S448">
        <f t="shared" si="977"/>
        <v>-9.7513231361263428E-2</v>
      </c>
      <c r="T448">
        <f t="shared" si="978"/>
        <v>-9.7513231361263426E-5</v>
      </c>
    </row>
    <row r="449" spans="1:20" x14ac:dyDescent="0.25">
      <c r="A449" s="5">
        <v>44144</v>
      </c>
      <c r="B449">
        <v>32.966999999999999</v>
      </c>
      <c r="C449">
        <v>34.497999999999998</v>
      </c>
      <c r="D449">
        <v>31.835000000000001</v>
      </c>
      <c r="E449">
        <v>33.015000000000001</v>
      </c>
      <c r="F449">
        <v>70313.305999999997</v>
      </c>
      <c r="G449">
        <v>0</v>
      </c>
      <c r="L449" t="s">
        <v>8</v>
      </c>
      <c r="M449" t="s">
        <v>8</v>
      </c>
      <c r="N449" t="s">
        <v>7</v>
      </c>
      <c r="P449">
        <f t="shared" si="974"/>
        <v>-0.11378144949305206</v>
      </c>
      <c r="Q449">
        <f t="shared" si="975"/>
        <v>-8000.3498753285139</v>
      </c>
      <c r="R449">
        <f t="shared" si="976"/>
        <v>-34775.606002922599</v>
      </c>
      <c r="S449">
        <f t="shared" si="977"/>
        <v>-0.34775606002922599</v>
      </c>
      <c r="T449">
        <f t="shared" si="978"/>
        <v>-3.4775606002922601E-4</v>
      </c>
    </row>
    <row r="450" spans="1:20" x14ac:dyDescent="0.25">
      <c r="A450" s="5">
        <v>44143</v>
      </c>
      <c r="B450">
        <v>31.256</v>
      </c>
      <c r="C450">
        <v>33.712000000000003</v>
      </c>
      <c r="D450">
        <v>30.521000000000001</v>
      </c>
      <c r="E450">
        <v>32.895000000000003</v>
      </c>
      <c r="F450">
        <v>47771.11</v>
      </c>
      <c r="G450">
        <v>0</v>
      </c>
      <c r="L450" t="s">
        <v>7</v>
      </c>
      <c r="M450" t="s">
        <v>8</v>
      </c>
      <c r="N450" t="s">
        <v>7</v>
      </c>
      <c r="P450">
        <f t="shared" si="974"/>
        <v>0.48793481667188998</v>
      </c>
      <c r="Q450">
        <f t="shared" si="975"/>
        <v>23309.187800062689</v>
      </c>
      <c r="R450">
        <f t="shared" si="976"/>
        <v>-26775.256127594082</v>
      </c>
      <c r="S450">
        <f t="shared" si="977"/>
        <v>-0.26775256127594083</v>
      </c>
      <c r="T450">
        <f t="shared" si="978"/>
        <v>-2.6775256127594083E-4</v>
      </c>
    </row>
    <row r="451" spans="1:20" x14ac:dyDescent="0.25">
      <c r="A451" s="5">
        <v>44142</v>
      </c>
      <c r="B451">
        <v>32.914000000000001</v>
      </c>
      <c r="C451">
        <v>35.4</v>
      </c>
      <c r="D451">
        <v>29.523</v>
      </c>
      <c r="E451">
        <v>31.314</v>
      </c>
      <c r="F451">
        <v>118732.755</v>
      </c>
      <c r="G451">
        <v>0</v>
      </c>
      <c r="L451" t="s">
        <v>8</v>
      </c>
      <c r="M451" t="s">
        <v>8</v>
      </c>
      <c r="N451" t="s">
        <v>7</v>
      </c>
      <c r="P451">
        <f t="shared" si="974"/>
        <v>-0.3905053598774883</v>
      </c>
      <c r="Q451">
        <f t="shared" si="975"/>
        <v>-46365.777220520649</v>
      </c>
      <c r="R451">
        <f t="shared" si="976"/>
        <v>-50084.443927656772</v>
      </c>
      <c r="S451">
        <f t="shared" si="977"/>
        <v>-0.50084443927656774</v>
      </c>
      <c r="T451">
        <f t="shared" si="978"/>
        <v>-5.0084443927656778E-4</v>
      </c>
    </row>
    <row r="452" spans="1:20" x14ac:dyDescent="0.25">
      <c r="A452" s="5">
        <v>44141</v>
      </c>
      <c r="B452">
        <v>30.119</v>
      </c>
      <c r="C452">
        <v>33.584000000000003</v>
      </c>
      <c r="D452">
        <v>30.047000000000001</v>
      </c>
      <c r="E452">
        <v>32.890999999999998</v>
      </c>
      <c r="F452">
        <v>89609.153999999995</v>
      </c>
      <c r="G452">
        <v>0</v>
      </c>
      <c r="L452" t="s">
        <v>8</v>
      </c>
      <c r="M452" t="s">
        <v>8</v>
      </c>
      <c r="N452" t="s">
        <v>7</v>
      </c>
      <c r="P452">
        <f t="shared" si="974"/>
        <v>0.60814249363867434</v>
      </c>
      <c r="Q452">
        <f t="shared" si="975"/>
        <v>54495.134366411985</v>
      </c>
      <c r="R452">
        <f t="shared" si="976"/>
        <v>-3718.6667071361226</v>
      </c>
      <c r="S452">
        <f t="shared" si="977"/>
        <v>-3.7186667071361229E-2</v>
      </c>
      <c r="T452">
        <f t="shared" si="978"/>
        <v>-3.7186667071361229E-5</v>
      </c>
    </row>
    <row r="453" spans="1:20" x14ac:dyDescent="0.25">
      <c r="A453" s="5">
        <v>44140</v>
      </c>
      <c r="B453">
        <v>28.666</v>
      </c>
      <c r="C453">
        <v>31.463999999999999</v>
      </c>
      <c r="D453">
        <v>28.451000000000001</v>
      </c>
      <c r="E453">
        <v>30.132999999999999</v>
      </c>
      <c r="F453">
        <v>45782.563999999998</v>
      </c>
      <c r="G453">
        <v>0</v>
      </c>
      <c r="L453" t="s">
        <v>8</v>
      </c>
      <c r="M453" t="s">
        <v>7</v>
      </c>
      <c r="N453" t="s">
        <v>7</v>
      </c>
      <c r="P453">
        <f t="shared" si="974"/>
        <v>0.11649518752074321</v>
      </c>
      <c r="Q453">
        <f t="shared" si="975"/>
        <v>5333.4483783604273</v>
      </c>
      <c r="R453">
        <f t="shared" si="976"/>
        <v>-58213.801073548108</v>
      </c>
      <c r="S453">
        <f t="shared" si="977"/>
        <v>-0.5821380107354811</v>
      </c>
      <c r="T453">
        <f t="shared" si="978"/>
        <v>-5.8213801073548114E-4</v>
      </c>
    </row>
    <row r="454" spans="1:20" x14ac:dyDescent="0.25">
      <c r="A454" s="5">
        <v>44139</v>
      </c>
      <c r="B454">
        <v>29.010999999999999</v>
      </c>
      <c r="C454">
        <v>29.675000000000001</v>
      </c>
      <c r="D454">
        <v>27.481999999999999</v>
      </c>
      <c r="E454">
        <v>28.654</v>
      </c>
      <c r="F454">
        <v>39564.790999999997</v>
      </c>
      <c r="G454">
        <v>0</v>
      </c>
      <c r="L454" t="s">
        <v>8</v>
      </c>
      <c r="M454" t="s">
        <v>7</v>
      </c>
      <c r="N454" t="s">
        <v>7</v>
      </c>
      <c r="P454">
        <f t="shared" ref="P454:P517" si="979">IF(C454=D454,0,((E454-D454)-(C454-E454))/(C454-D454))</f>
        <v>6.8855449156406609E-2</v>
      </c>
      <c r="Q454">
        <f t="shared" ref="Q454:Q517" si="980">F454*P454</f>
        <v>2724.2514550843534</v>
      </c>
      <c r="R454">
        <f t="shared" ref="R454:R517" si="981">R455+Q454</f>
        <v>-63547.249451908538</v>
      </c>
      <c r="S454">
        <f t="shared" ref="S454:S517" si="982">R454/100000</f>
        <v>-0.63547249451908538</v>
      </c>
      <c r="T454">
        <f t="shared" ref="T454:T517" si="983">S454/1000</f>
        <v>-6.3547249451908539E-4</v>
      </c>
    </row>
    <row r="455" spans="1:20" x14ac:dyDescent="0.25">
      <c r="A455" s="5">
        <v>44138</v>
      </c>
      <c r="B455">
        <v>29.98</v>
      </c>
      <c r="C455">
        <v>30.861999999999998</v>
      </c>
      <c r="D455">
        <v>27.632000000000001</v>
      </c>
      <c r="E455">
        <v>29.012</v>
      </c>
      <c r="F455">
        <v>57484.076000000001</v>
      </c>
      <c r="G455">
        <v>0</v>
      </c>
      <c r="L455" t="s">
        <v>7</v>
      </c>
      <c r="M455" t="s">
        <v>7</v>
      </c>
      <c r="N455" t="s">
        <v>7</v>
      </c>
      <c r="P455">
        <f t="shared" si="979"/>
        <v>-0.14551083591331249</v>
      </c>
      <c r="Q455">
        <f t="shared" si="980"/>
        <v>-8364.5559504643843</v>
      </c>
      <c r="R455">
        <f t="shared" si="981"/>
        <v>-66271.500906992893</v>
      </c>
      <c r="S455">
        <f t="shared" si="982"/>
        <v>-0.66271500906992897</v>
      </c>
      <c r="T455">
        <f t="shared" si="983"/>
        <v>-6.6271500906992897E-4</v>
      </c>
    </row>
    <row r="456" spans="1:20" x14ac:dyDescent="0.25">
      <c r="A456" s="5">
        <v>44137</v>
      </c>
      <c r="B456">
        <v>32.215000000000003</v>
      </c>
      <c r="C456">
        <v>32.564</v>
      </c>
      <c r="D456">
        <v>29.31</v>
      </c>
      <c r="E456">
        <v>29.99</v>
      </c>
      <c r="F456">
        <v>56981.999000000003</v>
      </c>
      <c r="G456">
        <v>0</v>
      </c>
      <c r="L456" t="s">
        <v>7</v>
      </c>
      <c r="M456" t="s">
        <v>7</v>
      </c>
      <c r="N456" t="s">
        <v>7</v>
      </c>
      <c r="P456">
        <f t="shared" si="979"/>
        <v>-0.58205285802089768</v>
      </c>
      <c r="Q456">
        <f t="shared" si="980"/>
        <v>-33166.535373693936</v>
      </c>
      <c r="R456">
        <f t="shared" si="981"/>
        <v>-57906.944956528503</v>
      </c>
      <c r="S456">
        <f t="shared" si="982"/>
        <v>-0.57906944956528505</v>
      </c>
      <c r="T456">
        <f t="shared" si="983"/>
        <v>-5.7906944956528505E-4</v>
      </c>
    </row>
    <row r="457" spans="1:20" x14ac:dyDescent="0.25">
      <c r="A457" s="5">
        <v>44136</v>
      </c>
      <c r="B457">
        <v>30.466000000000001</v>
      </c>
      <c r="C457">
        <v>33.1</v>
      </c>
      <c r="D457">
        <v>29.827999999999999</v>
      </c>
      <c r="E457">
        <v>32.215000000000003</v>
      </c>
      <c r="F457">
        <v>48382.190999999999</v>
      </c>
      <c r="G457">
        <v>0</v>
      </c>
      <c r="L457" t="s">
        <v>8</v>
      </c>
      <c r="M457" t="s">
        <v>7</v>
      </c>
      <c r="N457" t="s">
        <v>7</v>
      </c>
      <c r="P457">
        <f t="shared" si="979"/>
        <v>0.45904645476772771</v>
      </c>
      <c r="Q457">
        <f t="shared" si="980"/>
        <v>22209.673252445064</v>
      </c>
      <c r="R457">
        <f t="shared" si="981"/>
        <v>-24740.409582834567</v>
      </c>
      <c r="S457">
        <f t="shared" si="982"/>
        <v>-0.24740409582834566</v>
      </c>
      <c r="T457">
        <f t="shared" si="983"/>
        <v>-2.4740409582834564E-4</v>
      </c>
    </row>
    <row r="458" spans="1:20" x14ac:dyDescent="0.25">
      <c r="A458" s="5">
        <v>44135</v>
      </c>
      <c r="B458">
        <v>29.632000000000001</v>
      </c>
      <c r="C458">
        <v>31.413</v>
      </c>
      <c r="D458">
        <v>29.247</v>
      </c>
      <c r="E458">
        <v>30.46</v>
      </c>
      <c r="F458">
        <v>40625.978999999999</v>
      </c>
      <c r="G458">
        <v>0</v>
      </c>
      <c r="L458" t="s">
        <v>8</v>
      </c>
      <c r="M458" t="s">
        <v>7</v>
      </c>
      <c r="N458" t="s">
        <v>7</v>
      </c>
      <c r="P458">
        <f t="shared" si="979"/>
        <v>0.12003693444136727</v>
      </c>
      <c r="Q458">
        <f t="shared" si="980"/>
        <v>4876.6179778393634</v>
      </c>
      <c r="R458">
        <f t="shared" si="981"/>
        <v>-46950.082835279631</v>
      </c>
      <c r="S458">
        <f t="shared" si="982"/>
        <v>-0.46950082835279633</v>
      </c>
      <c r="T458">
        <f t="shared" si="983"/>
        <v>-4.6950082835279632E-4</v>
      </c>
    </row>
    <row r="459" spans="1:20" x14ac:dyDescent="0.25">
      <c r="A459" s="5">
        <v>44134</v>
      </c>
      <c r="B459">
        <v>29.946999999999999</v>
      </c>
      <c r="C459">
        <v>30.582999999999998</v>
      </c>
      <c r="D459">
        <v>27.940999999999999</v>
      </c>
      <c r="E459">
        <v>29.64</v>
      </c>
      <c r="F459">
        <v>60697.190999999999</v>
      </c>
      <c r="G459">
        <v>0</v>
      </c>
      <c r="L459" t="s">
        <v>7</v>
      </c>
      <c r="M459" t="s">
        <v>7</v>
      </c>
      <c r="N459" t="s">
        <v>7</v>
      </c>
      <c r="P459">
        <f t="shared" si="979"/>
        <v>0.2861468584405768</v>
      </c>
      <c r="Q459">
        <f t="shared" si="980"/>
        <v>17368.310520817653</v>
      </c>
      <c r="R459">
        <f t="shared" si="981"/>
        <v>-51826.700813118994</v>
      </c>
      <c r="S459">
        <f t="shared" si="982"/>
        <v>-0.51826700813118998</v>
      </c>
      <c r="T459">
        <f t="shared" si="983"/>
        <v>-5.1826700813118994E-4</v>
      </c>
    </row>
    <row r="460" spans="1:20" x14ac:dyDescent="0.25">
      <c r="A460" s="5">
        <v>44133</v>
      </c>
      <c r="B460">
        <v>31.654</v>
      </c>
      <c r="C460">
        <v>32.786999999999999</v>
      </c>
      <c r="D460">
        <v>28.78</v>
      </c>
      <c r="E460">
        <v>29.946000000000002</v>
      </c>
      <c r="F460">
        <v>77438.013000000006</v>
      </c>
      <c r="G460">
        <v>0</v>
      </c>
      <c r="L460" t="s">
        <v>7</v>
      </c>
      <c r="M460" t="s">
        <v>7</v>
      </c>
      <c r="N460" t="s">
        <v>8</v>
      </c>
      <c r="P460">
        <f t="shared" si="979"/>
        <v>-0.41801846768155676</v>
      </c>
      <c r="Q460">
        <f t="shared" si="980"/>
        <v>-32370.519534564475</v>
      </c>
      <c r="R460">
        <f t="shared" si="981"/>
        <v>-69195.011333936651</v>
      </c>
      <c r="S460">
        <f t="shared" si="982"/>
        <v>-0.69195011333936651</v>
      </c>
      <c r="T460">
        <f t="shared" si="983"/>
        <v>-6.9195011333936652E-4</v>
      </c>
    </row>
    <row r="461" spans="1:20" x14ac:dyDescent="0.25">
      <c r="A461" s="5">
        <v>44132</v>
      </c>
      <c r="B461">
        <v>34.271999999999998</v>
      </c>
      <c r="C461">
        <v>34.700000000000003</v>
      </c>
      <c r="D461">
        <v>30.291</v>
      </c>
      <c r="E461">
        <v>31.658000000000001</v>
      </c>
      <c r="F461">
        <v>122455.223</v>
      </c>
      <c r="G461">
        <v>0</v>
      </c>
      <c r="L461" t="s">
        <v>7</v>
      </c>
      <c r="M461" t="s">
        <v>7</v>
      </c>
      <c r="N461" t="s">
        <v>8</v>
      </c>
      <c r="P461">
        <f t="shared" si="979"/>
        <v>-0.37990474030392374</v>
      </c>
      <c r="Q461">
        <f t="shared" si="980"/>
        <v>-46521.319692674071</v>
      </c>
      <c r="R461">
        <f t="shared" si="981"/>
        <v>-36824.491799372168</v>
      </c>
      <c r="S461">
        <f t="shared" si="982"/>
        <v>-0.36824491799372167</v>
      </c>
      <c r="T461">
        <f t="shared" si="983"/>
        <v>-3.6824491799372167E-4</v>
      </c>
    </row>
    <row r="462" spans="1:20" x14ac:dyDescent="0.25">
      <c r="A462" s="5">
        <v>44131</v>
      </c>
      <c r="B462">
        <v>35.436</v>
      </c>
      <c r="C462">
        <v>37.569000000000003</v>
      </c>
      <c r="D462">
        <v>32.552999999999997</v>
      </c>
      <c r="E462">
        <v>34.204999999999998</v>
      </c>
      <c r="F462">
        <v>205499.033</v>
      </c>
      <c r="G462">
        <v>0</v>
      </c>
      <c r="L462" t="s">
        <v>8</v>
      </c>
      <c r="M462" t="s">
        <v>8</v>
      </c>
      <c r="N462" t="s">
        <v>8</v>
      </c>
      <c r="P462">
        <f t="shared" si="979"/>
        <v>-0.34130781499202584</v>
      </c>
      <c r="Q462">
        <f t="shared" si="980"/>
        <v>-70138.425936204207</v>
      </c>
      <c r="R462">
        <f t="shared" si="981"/>
        <v>9696.8278933019028</v>
      </c>
      <c r="S462">
        <f t="shared" si="982"/>
        <v>9.6968278933019028E-2</v>
      </c>
      <c r="T462">
        <f t="shared" si="983"/>
        <v>9.6968278933019027E-5</v>
      </c>
    </row>
    <row r="463" spans="1:20" x14ac:dyDescent="0.25">
      <c r="A463" s="5">
        <v>44130</v>
      </c>
      <c r="B463">
        <v>26.689</v>
      </c>
      <c r="C463">
        <v>36.656999999999996</v>
      </c>
      <c r="D463">
        <v>26.085000000000001</v>
      </c>
      <c r="E463">
        <v>35.450000000000003</v>
      </c>
      <c r="F463">
        <v>401054.62699999998</v>
      </c>
      <c r="G463">
        <v>0</v>
      </c>
      <c r="L463" t="s">
        <v>8</v>
      </c>
      <c r="M463" t="s">
        <v>8</v>
      </c>
      <c r="N463" t="s">
        <v>8</v>
      </c>
      <c r="P463">
        <f t="shared" si="979"/>
        <v>0.77166099129776877</v>
      </c>
      <c r="Q463">
        <f t="shared" si="980"/>
        <v>309478.21103537688</v>
      </c>
      <c r="R463">
        <f t="shared" si="981"/>
        <v>79835.253829506109</v>
      </c>
      <c r="S463">
        <f t="shared" si="982"/>
        <v>0.79835253829506114</v>
      </c>
      <c r="T463">
        <f t="shared" si="983"/>
        <v>7.9835253829506109E-4</v>
      </c>
    </row>
    <row r="464" spans="1:20" x14ac:dyDescent="0.25">
      <c r="A464" s="5">
        <v>44129</v>
      </c>
      <c r="B464">
        <v>27.032</v>
      </c>
      <c r="C464">
        <v>28.073</v>
      </c>
      <c r="D464">
        <v>26.15</v>
      </c>
      <c r="E464">
        <v>26.733000000000001</v>
      </c>
      <c r="F464">
        <v>58354.517</v>
      </c>
      <c r="G464">
        <v>0</v>
      </c>
      <c r="L464" t="s">
        <v>7</v>
      </c>
      <c r="M464" t="s">
        <v>7</v>
      </c>
      <c r="N464" t="s">
        <v>8</v>
      </c>
      <c r="P464">
        <f t="shared" si="979"/>
        <v>-0.39365574622984773</v>
      </c>
      <c r="Q464">
        <f t="shared" si="980"/>
        <v>-22971.590935517335</v>
      </c>
      <c r="R464">
        <f t="shared" si="981"/>
        <v>-229642.95720587077</v>
      </c>
      <c r="S464">
        <f t="shared" si="982"/>
        <v>-2.2964295720587078</v>
      </c>
      <c r="T464">
        <f t="shared" si="983"/>
        <v>-2.2964295720587077E-3</v>
      </c>
    </row>
    <row r="465" spans="1:20" x14ac:dyDescent="0.25">
      <c r="A465" s="5">
        <v>44128</v>
      </c>
      <c r="B465">
        <v>28.001999999999999</v>
      </c>
      <c r="C465">
        <v>28.155000000000001</v>
      </c>
      <c r="D465">
        <v>26.4</v>
      </c>
      <c r="E465">
        <v>27.145</v>
      </c>
      <c r="F465">
        <v>47410.362000000001</v>
      </c>
      <c r="G465">
        <v>0</v>
      </c>
      <c r="L465" t="s">
        <v>7</v>
      </c>
      <c r="M465" t="s">
        <v>7</v>
      </c>
      <c r="N465" t="s">
        <v>8</v>
      </c>
      <c r="P465">
        <f t="shared" si="979"/>
        <v>-0.15099715099715111</v>
      </c>
      <c r="Q465">
        <f t="shared" si="980"/>
        <v>-7158.8295897435955</v>
      </c>
      <c r="R465">
        <f t="shared" si="981"/>
        <v>-206671.36627035344</v>
      </c>
      <c r="S465">
        <f t="shared" si="982"/>
        <v>-2.0667136627035343</v>
      </c>
      <c r="T465">
        <f t="shared" si="983"/>
        <v>-2.0667136627035344E-3</v>
      </c>
    </row>
    <row r="466" spans="1:20" x14ac:dyDescent="0.25">
      <c r="A466" s="5">
        <v>44127</v>
      </c>
      <c r="B466">
        <v>28.103000000000002</v>
      </c>
      <c r="C466">
        <v>30.53</v>
      </c>
      <c r="D466">
        <v>27.123000000000001</v>
      </c>
      <c r="E466">
        <v>28.024999999999999</v>
      </c>
      <c r="F466">
        <v>69670.092000000004</v>
      </c>
      <c r="G466">
        <v>0</v>
      </c>
      <c r="L466" t="s">
        <v>8</v>
      </c>
      <c r="M466" t="s">
        <v>7</v>
      </c>
      <c r="N466" t="s">
        <v>8</v>
      </c>
      <c r="P466">
        <f t="shared" si="979"/>
        <v>-0.47050190783680806</v>
      </c>
      <c r="Q466">
        <f t="shared" si="980"/>
        <v>-32779.911205165939</v>
      </c>
      <c r="R466">
        <f t="shared" si="981"/>
        <v>-199512.53668060983</v>
      </c>
      <c r="S466">
        <f t="shared" si="982"/>
        <v>-1.9951253668060984</v>
      </c>
      <c r="T466">
        <f t="shared" si="983"/>
        <v>-1.9951253668060985E-3</v>
      </c>
    </row>
    <row r="467" spans="1:20" x14ac:dyDescent="0.25">
      <c r="A467" s="5">
        <v>44126</v>
      </c>
      <c r="B467">
        <v>27.829000000000001</v>
      </c>
      <c r="C467">
        <v>29.326000000000001</v>
      </c>
      <c r="D467">
        <v>27.81</v>
      </c>
      <c r="E467">
        <v>28.155999999999999</v>
      </c>
      <c r="F467">
        <v>48926.752</v>
      </c>
      <c r="G467">
        <v>0</v>
      </c>
      <c r="L467" t="s">
        <v>8</v>
      </c>
      <c r="M467" t="s">
        <v>7</v>
      </c>
      <c r="N467" t="s">
        <v>8</v>
      </c>
      <c r="P467">
        <f t="shared" si="979"/>
        <v>-0.5435356200527709</v>
      </c>
      <c r="Q467">
        <f t="shared" si="980"/>
        <v>-26593.432485488149</v>
      </c>
      <c r="R467">
        <f t="shared" si="981"/>
        <v>-166732.6254754439</v>
      </c>
      <c r="S467">
        <f t="shared" si="982"/>
        <v>-1.667326254754439</v>
      </c>
      <c r="T467">
        <f t="shared" si="983"/>
        <v>-1.6673262547544389E-3</v>
      </c>
    </row>
    <row r="468" spans="1:20" x14ac:dyDescent="0.25">
      <c r="A468" s="5">
        <v>44125</v>
      </c>
      <c r="B468">
        <v>27.873999999999999</v>
      </c>
      <c r="C468">
        <v>29.181000000000001</v>
      </c>
      <c r="D468">
        <v>27.123000000000001</v>
      </c>
      <c r="E468">
        <v>27.827999999999999</v>
      </c>
      <c r="F468">
        <v>63353.968000000001</v>
      </c>
      <c r="G468">
        <v>0</v>
      </c>
      <c r="L468" t="s">
        <v>7</v>
      </c>
      <c r="M468" t="s">
        <v>7</v>
      </c>
      <c r="N468" t="s">
        <v>8</v>
      </c>
      <c r="P468">
        <f t="shared" si="979"/>
        <v>-0.31486880466472461</v>
      </c>
      <c r="Q468">
        <f t="shared" si="980"/>
        <v>-19948.188174927214</v>
      </c>
      <c r="R468">
        <f t="shared" si="981"/>
        <v>-140139.19298995574</v>
      </c>
      <c r="S468">
        <f t="shared" si="982"/>
        <v>-1.4013919298995574</v>
      </c>
      <c r="T468">
        <f t="shared" si="983"/>
        <v>-1.4013919298995574E-3</v>
      </c>
    </row>
    <row r="469" spans="1:20" x14ac:dyDescent="0.25">
      <c r="A469" s="5">
        <v>44124</v>
      </c>
      <c r="B469">
        <v>29.074000000000002</v>
      </c>
      <c r="C469">
        <v>29.63</v>
      </c>
      <c r="D469">
        <v>27.51</v>
      </c>
      <c r="E469">
        <v>27.818999999999999</v>
      </c>
      <c r="F469">
        <v>36893.029000000002</v>
      </c>
      <c r="G469">
        <v>0</v>
      </c>
      <c r="L469" t="s">
        <v>7</v>
      </c>
      <c r="M469" t="s">
        <v>7</v>
      </c>
      <c r="N469" t="s">
        <v>8</v>
      </c>
      <c r="P469">
        <f t="shared" si="979"/>
        <v>-0.70849056603773786</v>
      </c>
      <c r="Q469">
        <f t="shared" si="980"/>
        <v>-26138.362999056681</v>
      </c>
      <c r="R469">
        <f t="shared" si="981"/>
        <v>-120191.00481502853</v>
      </c>
      <c r="S469">
        <f t="shared" si="982"/>
        <v>-1.2019100481502853</v>
      </c>
      <c r="T469">
        <f t="shared" si="983"/>
        <v>-1.2019100481502855E-3</v>
      </c>
    </row>
    <row r="470" spans="1:20" x14ac:dyDescent="0.25">
      <c r="A470" s="5">
        <v>44123</v>
      </c>
      <c r="B470">
        <v>31.055</v>
      </c>
      <c r="C470">
        <v>31.343</v>
      </c>
      <c r="D470">
        <v>28.62</v>
      </c>
      <c r="E470">
        <v>29.074000000000002</v>
      </c>
      <c r="F470">
        <v>31437.39</v>
      </c>
      <c r="G470">
        <v>0</v>
      </c>
      <c r="L470" t="s">
        <v>7</v>
      </c>
      <c r="M470" t="s">
        <v>7</v>
      </c>
      <c r="N470" t="s">
        <v>8</v>
      </c>
      <c r="P470">
        <f t="shared" si="979"/>
        <v>-0.66654425266250406</v>
      </c>
      <c r="Q470">
        <f t="shared" si="980"/>
        <v>-20954.411623209679</v>
      </c>
      <c r="R470">
        <f t="shared" si="981"/>
        <v>-94052.641815971845</v>
      </c>
      <c r="S470">
        <f t="shared" si="982"/>
        <v>-0.94052641815971849</v>
      </c>
      <c r="T470">
        <f t="shared" si="983"/>
        <v>-9.4052641815971845E-4</v>
      </c>
    </row>
    <row r="471" spans="1:20" x14ac:dyDescent="0.25">
      <c r="A471" s="5">
        <v>44122</v>
      </c>
      <c r="B471">
        <v>29.353999999999999</v>
      </c>
      <c r="C471">
        <v>31.748999999999999</v>
      </c>
      <c r="D471">
        <v>29.053000000000001</v>
      </c>
      <c r="E471">
        <v>31.055</v>
      </c>
      <c r="F471">
        <v>27463.819</v>
      </c>
      <c r="G471">
        <v>0</v>
      </c>
      <c r="L471" t="s">
        <v>8</v>
      </c>
      <c r="M471" t="s">
        <v>7</v>
      </c>
      <c r="N471" t="s">
        <v>8</v>
      </c>
      <c r="P471">
        <f t="shared" si="979"/>
        <v>0.4851632047477748</v>
      </c>
      <c r="Q471">
        <f t="shared" si="980"/>
        <v>13324.434440652827</v>
      </c>
      <c r="R471">
        <f t="shared" si="981"/>
        <v>-73098.230192762174</v>
      </c>
      <c r="S471">
        <f t="shared" si="982"/>
        <v>-0.7309823019276217</v>
      </c>
      <c r="T471">
        <f t="shared" si="983"/>
        <v>-7.3098230192762171E-4</v>
      </c>
    </row>
    <row r="472" spans="1:20" x14ac:dyDescent="0.25">
      <c r="A472" s="5">
        <v>44121</v>
      </c>
      <c r="B472">
        <v>28.186</v>
      </c>
      <c r="C472">
        <v>29.721</v>
      </c>
      <c r="D472">
        <v>27.846</v>
      </c>
      <c r="E472">
        <v>29.373000000000001</v>
      </c>
      <c r="F472">
        <v>19652.598999999998</v>
      </c>
      <c r="G472">
        <v>0</v>
      </c>
      <c r="L472" t="s">
        <v>8</v>
      </c>
      <c r="M472" t="s">
        <v>7</v>
      </c>
      <c r="N472" t="s">
        <v>8</v>
      </c>
      <c r="P472">
        <f t="shared" si="979"/>
        <v>0.62880000000000114</v>
      </c>
      <c r="Q472">
        <f t="shared" si="980"/>
        <v>12357.554251200021</v>
      </c>
      <c r="R472">
        <f t="shared" si="981"/>
        <v>-86422.664633414999</v>
      </c>
      <c r="S472">
        <f t="shared" si="982"/>
        <v>-0.86422664633415003</v>
      </c>
      <c r="T472">
        <f t="shared" si="983"/>
        <v>-8.6422664633414999E-4</v>
      </c>
    </row>
    <row r="473" spans="1:20" x14ac:dyDescent="0.25">
      <c r="A473" s="5">
        <v>44120</v>
      </c>
      <c r="B473">
        <v>29.523</v>
      </c>
      <c r="C473">
        <v>29.92</v>
      </c>
      <c r="D473">
        <v>27.158000000000001</v>
      </c>
      <c r="E473">
        <v>28.033999999999999</v>
      </c>
      <c r="F473">
        <v>30913.826000000001</v>
      </c>
      <c r="G473">
        <v>0</v>
      </c>
      <c r="L473" t="s">
        <v>7</v>
      </c>
      <c r="M473" t="s">
        <v>7</v>
      </c>
      <c r="N473" t="s">
        <v>8</v>
      </c>
      <c r="P473">
        <f t="shared" si="979"/>
        <v>-0.3656770456191184</v>
      </c>
      <c r="Q473">
        <f t="shared" si="980"/>
        <v>-11304.476560463489</v>
      </c>
      <c r="R473">
        <f t="shared" si="981"/>
        <v>-98780.218884615024</v>
      </c>
      <c r="S473">
        <f t="shared" si="982"/>
        <v>-0.98780218884615023</v>
      </c>
      <c r="T473">
        <f t="shared" si="983"/>
        <v>-9.8780218884615017E-4</v>
      </c>
    </row>
    <row r="474" spans="1:20" x14ac:dyDescent="0.25">
      <c r="A474" s="5">
        <v>44119</v>
      </c>
      <c r="B474">
        <v>30.978000000000002</v>
      </c>
      <c r="C474">
        <v>31.12</v>
      </c>
      <c r="D474">
        <v>28.983000000000001</v>
      </c>
      <c r="E474">
        <v>29.437000000000001</v>
      </c>
      <c r="F474">
        <v>29014.190999999999</v>
      </c>
      <c r="G474">
        <v>0</v>
      </c>
      <c r="L474" t="s">
        <v>8</v>
      </c>
      <c r="M474" t="s">
        <v>8</v>
      </c>
      <c r="N474" t="s">
        <v>8</v>
      </c>
      <c r="P474">
        <f t="shared" si="979"/>
        <v>-0.57510528778661629</v>
      </c>
      <c r="Q474">
        <f t="shared" si="980"/>
        <v>-16686.21466495085</v>
      </c>
      <c r="R474">
        <f t="shared" si="981"/>
        <v>-87475.742324151535</v>
      </c>
      <c r="S474">
        <f t="shared" si="982"/>
        <v>-0.8747574232415154</v>
      </c>
      <c r="T474">
        <f t="shared" si="983"/>
        <v>-8.7475742324151539E-4</v>
      </c>
    </row>
    <row r="475" spans="1:20" x14ac:dyDescent="0.25">
      <c r="A475" s="5">
        <v>44118</v>
      </c>
      <c r="B475">
        <v>30.645</v>
      </c>
      <c r="C475">
        <v>32.5</v>
      </c>
      <c r="D475">
        <v>28.925000000000001</v>
      </c>
      <c r="E475">
        <v>31.167000000000002</v>
      </c>
      <c r="F475">
        <v>51987.817000000003</v>
      </c>
      <c r="G475">
        <v>0</v>
      </c>
      <c r="L475" t="s">
        <v>7</v>
      </c>
      <c r="M475" t="s">
        <v>8</v>
      </c>
      <c r="N475" t="s">
        <v>8</v>
      </c>
      <c r="P475">
        <f t="shared" si="979"/>
        <v>0.25426573426573501</v>
      </c>
      <c r="Q475">
        <f t="shared" si="980"/>
        <v>13218.720462377662</v>
      </c>
      <c r="R475">
        <f t="shared" si="981"/>
        <v>-70789.527659200685</v>
      </c>
      <c r="S475">
        <f t="shared" si="982"/>
        <v>-0.70789527659200679</v>
      </c>
      <c r="T475">
        <f t="shared" si="983"/>
        <v>-7.0789527659200684E-4</v>
      </c>
    </row>
    <row r="476" spans="1:20" x14ac:dyDescent="0.25">
      <c r="A476" s="5">
        <v>44117</v>
      </c>
      <c r="B476">
        <v>32.238</v>
      </c>
      <c r="C476">
        <v>32.94</v>
      </c>
      <c r="D476">
        <v>30</v>
      </c>
      <c r="E476">
        <v>30.641999999999999</v>
      </c>
      <c r="F476">
        <v>27561.473000000002</v>
      </c>
      <c r="G476">
        <v>0</v>
      </c>
      <c r="L476" t="s">
        <v>7</v>
      </c>
      <c r="M476" t="s">
        <v>8</v>
      </c>
      <c r="N476" t="s">
        <v>8</v>
      </c>
      <c r="P476">
        <f t="shared" si="979"/>
        <v>-0.56326530612244896</v>
      </c>
      <c r="Q476">
        <f t="shared" si="980"/>
        <v>-15524.421526530612</v>
      </c>
      <c r="R476">
        <f t="shared" si="981"/>
        <v>-84008.248121578348</v>
      </c>
      <c r="S476">
        <f t="shared" si="982"/>
        <v>-0.84008248121578344</v>
      </c>
      <c r="T476">
        <f t="shared" si="983"/>
        <v>-8.4008248121578339E-4</v>
      </c>
    </row>
    <row r="477" spans="1:20" x14ac:dyDescent="0.25">
      <c r="A477" s="5">
        <v>44116</v>
      </c>
      <c r="B477">
        <v>29.2</v>
      </c>
      <c r="C477">
        <v>33.15</v>
      </c>
      <c r="D477">
        <v>29.010999999999999</v>
      </c>
      <c r="E477">
        <v>32.198999999999998</v>
      </c>
      <c r="F477">
        <v>46874.080000000002</v>
      </c>
      <c r="G477">
        <v>0</v>
      </c>
      <c r="L477" t="s">
        <v>8</v>
      </c>
      <c r="M477" t="s">
        <v>8</v>
      </c>
      <c r="N477" t="s">
        <v>8</v>
      </c>
      <c r="P477">
        <f t="shared" si="979"/>
        <v>0.54046871224933524</v>
      </c>
      <c r="Q477">
        <f t="shared" si="980"/>
        <v>25333.97365547232</v>
      </c>
      <c r="R477">
        <f t="shared" si="981"/>
        <v>-68483.826595047736</v>
      </c>
      <c r="S477">
        <f t="shared" si="982"/>
        <v>-0.68483826595047737</v>
      </c>
      <c r="T477">
        <f t="shared" si="983"/>
        <v>-6.8483826595047736E-4</v>
      </c>
    </row>
    <row r="478" spans="1:20" x14ac:dyDescent="0.25">
      <c r="A478" s="5">
        <v>44115</v>
      </c>
      <c r="B478">
        <v>29.643000000000001</v>
      </c>
      <c r="C478">
        <v>31.08</v>
      </c>
      <c r="D478">
        <v>28</v>
      </c>
      <c r="E478">
        <v>29.111999999999998</v>
      </c>
      <c r="F478">
        <v>25866.7</v>
      </c>
      <c r="G478">
        <v>0</v>
      </c>
      <c r="L478" t="s">
        <v>7</v>
      </c>
      <c r="M478" t="s">
        <v>8</v>
      </c>
      <c r="N478" t="s">
        <v>8</v>
      </c>
      <c r="P478">
        <f t="shared" si="979"/>
        <v>-0.27792207792207863</v>
      </c>
      <c r="Q478">
        <f t="shared" si="980"/>
        <v>-7188.927012987031</v>
      </c>
      <c r="R478">
        <f t="shared" si="981"/>
        <v>-93817.800250520057</v>
      </c>
      <c r="S478">
        <f t="shared" si="982"/>
        <v>-0.93817800250520056</v>
      </c>
      <c r="T478">
        <f t="shared" si="983"/>
        <v>-9.381780025052006E-4</v>
      </c>
    </row>
    <row r="479" spans="1:20" x14ac:dyDescent="0.25">
      <c r="A479" s="5">
        <v>44114</v>
      </c>
      <c r="B479">
        <v>29.702000000000002</v>
      </c>
      <c r="C479">
        <v>32.6</v>
      </c>
      <c r="D479">
        <v>29.292999999999999</v>
      </c>
      <c r="E479">
        <v>29.678000000000001</v>
      </c>
      <c r="F479">
        <v>42305.112999999998</v>
      </c>
      <c r="G479">
        <v>0</v>
      </c>
      <c r="L479" t="s">
        <v>8</v>
      </c>
      <c r="M479" t="s">
        <v>8</v>
      </c>
      <c r="N479" t="s">
        <v>8</v>
      </c>
      <c r="P479">
        <f t="shared" si="979"/>
        <v>-0.76716056849107872</v>
      </c>
      <c r="Q479">
        <f t="shared" si="980"/>
        <v>-32454.814539159324</v>
      </c>
      <c r="R479">
        <f t="shared" si="981"/>
        <v>-86628.873237533029</v>
      </c>
      <c r="S479">
        <f t="shared" si="982"/>
        <v>-0.86628873237533033</v>
      </c>
      <c r="T479">
        <f t="shared" si="983"/>
        <v>-8.662887323753303E-4</v>
      </c>
    </row>
    <row r="480" spans="1:20" x14ac:dyDescent="0.25">
      <c r="A480" s="5">
        <v>44113</v>
      </c>
      <c r="B480">
        <v>27.83</v>
      </c>
      <c r="C480">
        <v>30.515000000000001</v>
      </c>
      <c r="D480">
        <v>27.103000000000002</v>
      </c>
      <c r="E480">
        <v>29.741</v>
      </c>
      <c r="F480">
        <v>41277.731</v>
      </c>
      <c r="G480">
        <v>0</v>
      </c>
      <c r="L480" t="s">
        <v>8</v>
      </c>
      <c r="M480" t="s">
        <v>8</v>
      </c>
      <c r="N480" t="s">
        <v>7</v>
      </c>
      <c r="P480">
        <f t="shared" si="979"/>
        <v>0.54630715123094897</v>
      </c>
      <c r="Q480">
        <f t="shared" si="980"/>
        <v>22550.319631887429</v>
      </c>
      <c r="R480">
        <f t="shared" si="981"/>
        <v>-54174.058698373701</v>
      </c>
      <c r="S480">
        <f t="shared" si="982"/>
        <v>-0.54174058698373706</v>
      </c>
      <c r="T480">
        <f t="shared" si="983"/>
        <v>-5.4174058698373709E-4</v>
      </c>
    </row>
    <row r="481" spans="1:20" x14ac:dyDescent="0.25">
      <c r="A481" s="5">
        <v>44112</v>
      </c>
      <c r="B481">
        <v>26.433</v>
      </c>
      <c r="C481">
        <v>29.498999999999999</v>
      </c>
      <c r="D481">
        <v>23.158000000000001</v>
      </c>
      <c r="E481">
        <v>27.754000000000001</v>
      </c>
      <c r="F481">
        <v>86219.104000000007</v>
      </c>
      <c r="G481">
        <v>0</v>
      </c>
      <c r="L481" t="s">
        <v>7</v>
      </c>
      <c r="M481" t="s">
        <v>7</v>
      </c>
      <c r="N481" t="s">
        <v>7</v>
      </c>
      <c r="P481">
        <f t="shared" si="979"/>
        <v>0.44961362561110296</v>
      </c>
      <c r="Q481">
        <f t="shared" si="980"/>
        <v>38765.283946380754</v>
      </c>
      <c r="R481">
        <f t="shared" si="981"/>
        <v>-76724.378330261126</v>
      </c>
      <c r="S481">
        <f t="shared" si="982"/>
        <v>-0.76724378330261123</v>
      </c>
      <c r="T481">
        <f t="shared" si="983"/>
        <v>-7.6724378330261128E-4</v>
      </c>
    </row>
    <row r="482" spans="1:20" x14ac:dyDescent="0.25">
      <c r="A482" s="5">
        <v>44111</v>
      </c>
      <c r="B482">
        <v>27.582000000000001</v>
      </c>
      <c r="C482">
        <v>28</v>
      </c>
      <c r="D482">
        <v>24.2</v>
      </c>
      <c r="E482">
        <v>26.475999999999999</v>
      </c>
      <c r="F482">
        <v>65982.938999999998</v>
      </c>
      <c r="G482">
        <v>0</v>
      </c>
      <c r="L482" t="s">
        <v>7</v>
      </c>
      <c r="M482" t="s">
        <v>7</v>
      </c>
      <c r="N482" t="s">
        <v>7</v>
      </c>
      <c r="P482">
        <f t="shared" si="979"/>
        <v>0.19789473684210493</v>
      </c>
      <c r="Q482">
        <f t="shared" si="980"/>
        <v>13057.676349473662</v>
      </c>
      <c r="R482">
        <f t="shared" si="981"/>
        <v>-115489.66227664189</v>
      </c>
      <c r="S482">
        <f t="shared" si="982"/>
        <v>-1.1548966227664188</v>
      </c>
      <c r="T482">
        <f t="shared" si="983"/>
        <v>-1.1548966227664188E-3</v>
      </c>
    </row>
    <row r="483" spans="1:20" x14ac:dyDescent="0.25">
      <c r="A483" s="5">
        <v>44110</v>
      </c>
      <c r="B483">
        <v>31.728000000000002</v>
      </c>
      <c r="C483">
        <v>31.988</v>
      </c>
      <c r="D483">
        <v>27.1</v>
      </c>
      <c r="E483">
        <v>27.646999999999998</v>
      </c>
      <c r="F483">
        <v>34134.822999999997</v>
      </c>
      <c r="G483">
        <v>0</v>
      </c>
      <c r="L483" t="s">
        <v>7</v>
      </c>
      <c r="M483" t="s">
        <v>7</v>
      </c>
      <c r="N483" t="s">
        <v>7</v>
      </c>
      <c r="P483">
        <f t="shared" si="979"/>
        <v>-0.7761865793780699</v>
      </c>
      <c r="Q483">
        <f t="shared" si="980"/>
        <v>-26494.991502045865</v>
      </c>
      <c r="R483">
        <f t="shared" si="981"/>
        <v>-128547.33862611555</v>
      </c>
      <c r="S483">
        <f t="shared" si="982"/>
        <v>-1.2854733862611556</v>
      </c>
      <c r="T483">
        <f t="shared" si="983"/>
        <v>-1.2854733862611555E-3</v>
      </c>
    </row>
    <row r="484" spans="1:20" x14ac:dyDescent="0.25">
      <c r="A484" s="5">
        <v>44109</v>
      </c>
      <c r="B484">
        <v>31.981999999999999</v>
      </c>
      <c r="C484">
        <v>33.109000000000002</v>
      </c>
      <c r="D484">
        <v>31.260999999999999</v>
      </c>
      <c r="E484">
        <v>31.728000000000002</v>
      </c>
      <c r="F484">
        <v>17350.796999999999</v>
      </c>
      <c r="G484">
        <v>0</v>
      </c>
      <c r="L484" t="s">
        <v>7</v>
      </c>
      <c r="M484" t="s">
        <v>7</v>
      </c>
      <c r="N484" t="s">
        <v>7</v>
      </c>
      <c r="P484">
        <f t="shared" si="979"/>
        <v>-0.4945887445887428</v>
      </c>
      <c r="Q484">
        <f t="shared" si="980"/>
        <v>-8581.5089058441245</v>
      </c>
      <c r="R484">
        <f t="shared" si="981"/>
        <v>-102052.34712406968</v>
      </c>
      <c r="S484">
        <f t="shared" si="982"/>
        <v>-1.0205234712406968</v>
      </c>
      <c r="T484">
        <f t="shared" si="983"/>
        <v>-1.0205234712406968E-3</v>
      </c>
    </row>
    <row r="485" spans="1:20" x14ac:dyDescent="0.25">
      <c r="A485" s="5">
        <v>44108</v>
      </c>
      <c r="B485">
        <v>32.332999999999998</v>
      </c>
      <c r="C485">
        <v>33.127000000000002</v>
      </c>
      <c r="D485">
        <v>31.068999999999999</v>
      </c>
      <c r="E485">
        <v>31.995999999999999</v>
      </c>
      <c r="F485">
        <v>16839.580000000002</v>
      </c>
      <c r="G485">
        <v>0</v>
      </c>
      <c r="L485" t="s">
        <v>7</v>
      </c>
      <c r="M485" t="s">
        <v>7</v>
      </c>
      <c r="N485" t="s">
        <v>7</v>
      </c>
      <c r="P485">
        <f t="shared" si="979"/>
        <v>-9.9125364431488741E-2</v>
      </c>
      <c r="Q485">
        <f t="shared" si="980"/>
        <v>-1669.2295043732092</v>
      </c>
      <c r="R485">
        <f t="shared" si="981"/>
        <v>-93470.838218225559</v>
      </c>
      <c r="S485">
        <f t="shared" si="982"/>
        <v>-0.9347083821822556</v>
      </c>
      <c r="T485">
        <f t="shared" si="983"/>
        <v>-9.3470838218225559E-4</v>
      </c>
    </row>
    <row r="486" spans="1:20" x14ac:dyDescent="0.25">
      <c r="A486" s="5">
        <v>44107</v>
      </c>
      <c r="B486">
        <v>32.26</v>
      </c>
      <c r="C486">
        <v>33.4</v>
      </c>
      <c r="D486">
        <v>31.565000000000001</v>
      </c>
      <c r="E486">
        <v>32.350999999999999</v>
      </c>
      <c r="F486">
        <v>11866.4</v>
      </c>
      <c r="G486">
        <v>0</v>
      </c>
      <c r="L486" t="s">
        <v>8</v>
      </c>
      <c r="M486" t="s">
        <v>7</v>
      </c>
      <c r="N486" t="s">
        <v>7</v>
      </c>
      <c r="P486">
        <f t="shared" si="979"/>
        <v>-0.14332425068120003</v>
      </c>
      <c r="Q486">
        <f t="shared" si="980"/>
        <v>-1700.7428882833919</v>
      </c>
      <c r="R486">
        <f t="shared" si="981"/>
        <v>-91801.608713852343</v>
      </c>
      <c r="S486">
        <f t="shared" si="982"/>
        <v>-0.91801608713852345</v>
      </c>
      <c r="T486">
        <f t="shared" si="983"/>
        <v>-9.1801608713852341E-4</v>
      </c>
    </row>
    <row r="487" spans="1:20" x14ac:dyDescent="0.25">
      <c r="A487" s="5">
        <v>44106</v>
      </c>
      <c r="B487">
        <v>34.134</v>
      </c>
      <c r="C487">
        <v>34.304000000000002</v>
      </c>
      <c r="D487">
        <v>30.468</v>
      </c>
      <c r="E487">
        <v>32.26</v>
      </c>
      <c r="F487">
        <v>47957.786999999997</v>
      </c>
      <c r="G487">
        <v>0</v>
      </c>
      <c r="L487" t="s">
        <v>7</v>
      </c>
      <c r="M487" t="s">
        <v>7</v>
      </c>
      <c r="N487" t="s">
        <v>7</v>
      </c>
      <c r="P487">
        <f t="shared" si="979"/>
        <v>-6.5693430656935836E-2</v>
      </c>
      <c r="Q487">
        <f t="shared" si="980"/>
        <v>-3150.5115547445985</v>
      </c>
      <c r="R487">
        <f t="shared" si="981"/>
        <v>-90100.865825568952</v>
      </c>
      <c r="S487">
        <f t="shared" si="982"/>
        <v>-0.90100865825568954</v>
      </c>
      <c r="T487">
        <f t="shared" si="983"/>
        <v>-9.0100865825568956E-4</v>
      </c>
    </row>
    <row r="488" spans="1:20" x14ac:dyDescent="0.25">
      <c r="A488" s="5">
        <v>44105</v>
      </c>
      <c r="B488">
        <v>33.951999999999998</v>
      </c>
      <c r="C488">
        <v>35.997</v>
      </c>
      <c r="D488">
        <v>32.540999999999997</v>
      </c>
      <c r="E488">
        <v>34.134</v>
      </c>
      <c r="F488">
        <v>43628.341</v>
      </c>
      <c r="G488">
        <v>0</v>
      </c>
      <c r="L488" t="s">
        <v>7</v>
      </c>
      <c r="M488" t="s">
        <v>8</v>
      </c>
      <c r="N488" t="s">
        <v>7</v>
      </c>
      <c r="P488">
        <f t="shared" si="979"/>
        <v>-7.8124999999998779E-2</v>
      </c>
      <c r="Q488">
        <f t="shared" si="980"/>
        <v>-3408.4641406249466</v>
      </c>
      <c r="R488">
        <f t="shared" si="981"/>
        <v>-86950.354270824348</v>
      </c>
      <c r="S488">
        <f t="shared" si="982"/>
        <v>-0.86950354270824348</v>
      </c>
      <c r="T488">
        <f t="shared" si="983"/>
        <v>-8.6950354270824346E-4</v>
      </c>
    </row>
    <row r="489" spans="1:20" x14ac:dyDescent="0.25">
      <c r="A489" s="5">
        <v>44104</v>
      </c>
      <c r="B489">
        <v>35.515000000000001</v>
      </c>
      <c r="C489">
        <v>35.768999999999998</v>
      </c>
      <c r="D489">
        <v>33.515000000000001</v>
      </c>
      <c r="E489">
        <v>33.799999999999997</v>
      </c>
      <c r="F489">
        <v>18988.814999999999</v>
      </c>
      <c r="G489">
        <v>0</v>
      </c>
      <c r="L489" t="s">
        <v>7</v>
      </c>
      <c r="M489" t="s">
        <v>8</v>
      </c>
      <c r="N489" t="s">
        <v>7</v>
      </c>
      <c r="P489">
        <f t="shared" si="979"/>
        <v>-0.74711623779947034</v>
      </c>
      <c r="Q489">
        <f t="shared" si="980"/>
        <v>-14186.852023070149</v>
      </c>
      <c r="R489">
        <f t="shared" si="981"/>
        <v>-83541.890130199405</v>
      </c>
      <c r="S489">
        <f t="shared" si="982"/>
        <v>-0.83541890130199403</v>
      </c>
      <c r="T489">
        <f t="shared" si="983"/>
        <v>-8.3541890130199407E-4</v>
      </c>
    </row>
    <row r="490" spans="1:20" x14ac:dyDescent="0.25">
      <c r="A490" s="5">
        <v>44103</v>
      </c>
      <c r="B490">
        <v>33.698999999999998</v>
      </c>
      <c r="C490">
        <v>35.71</v>
      </c>
      <c r="D490">
        <v>33.503999999999998</v>
      </c>
      <c r="E490">
        <v>35.512</v>
      </c>
      <c r="F490">
        <v>22647.455000000002</v>
      </c>
      <c r="G490">
        <v>0</v>
      </c>
      <c r="L490" t="s">
        <v>7</v>
      </c>
      <c r="M490" t="s">
        <v>8</v>
      </c>
      <c r="N490" t="s">
        <v>7</v>
      </c>
      <c r="P490">
        <f t="shared" si="979"/>
        <v>0.82048957388939248</v>
      </c>
      <c r="Q490">
        <f t="shared" si="980"/>
        <v>18582.000702629193</v>
      </c>
      <c r="R490">
        <f t="shared" si="981"/>
        <v>-69355.03810712925</v>
      </c>
      <c r="S490">
        <f t="shared" si="982"/>
        <v>-0.69355038107129252</v>
      </c>
      <c r="T490">
        <f t="shared" si="983"/>
        <v>-6.9355038107129249E-4</v>
      </c>
    </row>
    <row r="491" spans="1:20" x14ac:dyDescent="0.25">
      <c r="A491" s="5">
        <v>44102</v>
      </c>
      <c r="B491">
        <v>34.380000000000003</v>
      </c>
      <c r="C491">
        <v>36.518000000000001</v>
      </c>
      <c r="D491">
        <v>32.200000000000003</v>
      </c>
      <c r="E491">
        <v>33.713000000000001</v>
      </c>
      <c r="F491">
        <v>47709.847000000002</v>
      </c>
      <c r="G491">
        <v>0</v>
      </c>
      <c r="L491" t="s">
        <v>8</v>
      </c>
      <c r="M491" t="s">
        <v>8</v>
      </c>
      <c r="N491" t="s">
        <v>7</v>
      </c>
      <c r="P491">
        <f t="shared" si="979"/>
        <v>-0.29921259842519737</v>
      </c>
      <c r="Q491">
        <f t="shared" si="980"/>
        <v>-14275.387291338608</v>
      </c>
      <c r="R491">
        <f t="shared" si="981"/>
        <v>-87937.038809758436</v>
      </c>
      <c r="S491">
        <f t="shared" si="982"/>
        <v>-0.87937038809758439</v>
      </c>
      <c r="T491">
        <f t="shared" si="983"/>
        <v>-8.7937038809758443E-4</v>
      </c>
    </row>
    <row r="492" spans="1:20" x14ac:dyDescent="0.25">
      <c r="A492" s="5">
        <v>44101</v>
      </c>
      <c r="B492">
        <v>35.844000000000001</v>
      </c>
      <c r="C492">
        <v>36.207000000000001</v>
      </c>
      <c r="D492">
        <v>32.6</v>
      </c>
      <c r="E492">
        <v>34.28</v>
      </c>
      <c r="F492">
        <v>34443.909</v>
      </c>
      <c r="G492">
        <v>0</v>
      </c>
      <c r="L492" t="s">
        <v>7</v>
      </c>
      <c r="M492" t="s">
        <v>8</v>
      </c>
      <c r="N492" t="s">
        <v>7</v>
      </c>
      <c r="P492">
        <f t="shared" si="979"/>
        <v>-6.8477959523149418E-2</v>
      </c>
      <c r="Q492">
        <f t="shared" si="980"/>
        <v>-2358.6486063210418</v>
      </c>
      <c r="R492">
        <f t="shared" si="981"/>
        <v>-73661.651518419836</v>
      </c>
      <c r="S492">
        <f t="shared" si="982"/>
        <v>-0.73661651518419835</v>
      </c>
      <c r="T492">
        <f t="shared" si="983"/>
        <v>-7.366165151841983E-4</v>
      </c>
    </row>
    <row r="493" spans="1:20" x14ac:dyDescent="0.25">
      <c r="A493" s="5">
        <v>44100</v>
      </c>
      <c r="B493">
        <v>36.847000000000001</v>
      </c>
      <c r="C493">
        <v>37.048000000000002</v>
      </c>
      <c r="D493">
        <v>35</v>
      </c>
      <c r="E493">
        <v>35.878999999999998</v>
      </c>
      <c r="F493">
        <v>23805.308000000001</v>
      </c>
      <c r="G493">
        <v>0</v>
      </c>
      <c r="L493" t="s">
        <v>7</v>
      </c>
      <c r="M493" t="s">
        <v>8</v>
      </c>
      <c r="N493" t="s">
        <v>7</v>
      </c>
      <c r="P493">
        <f t="shared" si="979"/>
        <v>-0.14160156250000291</v>
      </c>
      <c r="Q493">
        <f t="shared" si="980"/>
        <v>-3370.8688085938197</v>
      </c>
      <c r="R493">
        <f t="shared" si="981"/>
        <v>-71303.002912098789</v>
      </c>
      <c r="S493">
        <f t="shared" si="982"/>
        <v>-0.7130300291209879</v>
      </c>
      <c r="T493">
        <f t="shared" si="983"/>
        <v>-7.1303002912098787E-4</v>
      </c>
    </row>
    <row r="494" spans="1:20" x14ac:dyDescent="0.25">
      <c r="A494" s="5">
        <v>44099</v>
      </c>
      <c r="B494">
        <v>36.613999999999997</v>
      </c>
      <c r="C494">
        <v>37.593000000000004</v>
      </c>
      <c r="D494">
        <v>35.49</v>
      </c>
      <c r="E494">
        <v>36.847999999999999</v>
      </c>
      <c r="F494">
        <v>40474.010999999999</v>
      </c>
      <c r="G494">
        <v>0</v>
      </c>
      <c r="L494" t="s">
        <v>8</v>
      </c>
      <c r="M494" t="s">
        <v>8</v>
      </c>
      <c r="N494" t="s">
        <v>7</v>
      </c>
      <c r="P494">
        <f t="shared" si="979"/>
        <v>0.29148834997622064</v>
      </c>
      <c r="Q494">
        <f t="shared" si="980"/>
        <v>11797.702683309404</v>
      </c>
      <c r="R494">
        <f t="shared" si="981"/>
        <v>-67932.13410350497</v>
      </c>
      <c r="S494">
        <f t="shared" si="982"/>
        <v>-0.67932134103504971</v>
      </c>
      <c r="T494">
        <f t="shared" si="983"/>
        <v>-6.7932134103504968E-4</v>
      </c>
    </row>
    <row r="495" spans="1:20" x14ac:dyDescent="0.25">
      <c r="A495" s="5">
        <v>44098</v>
      </c>
      <c r="B495">
        <v>32.674999999999997</v>
      </c>
      <c r="C495">
        <v>37.200000000000003</v>
      </c>
      <c r="D495">
        <v>32.000999999999998</v>
      </c>
      <c r="E495">
        <v>36.613</v>
      </c>
      <c r="F495">
        <v>54056.495000000003</v>
      </c>
      <c r="G495">
        <v>0</v>
      </c>
      <c r="L495" t="s">
        <v>8</v>
      </c>
      <c r="M495" t="s">
        <v>8</v>
      </c>
      <c r="N495" t="s">
        <v>7</v>
      </c>
      <c r="P495">
        <f t="shared" si="979"/>
        <v>0.77418734371994513</v>
      </c>
      <c r="Q495">
        <f t="shared" si="980"/>
        <v>41849.854274860496</v>
      </c>
      <c r="R495">
        <f t="shared" si="981"/>
        <v>-79729.836786814369</v>
      </c>
      <c r="S495">
        <f t="shared" si="982"/>
        <v>-0.79729836786814368</v>
      </c>
      <c r="T495">
        <f t="shared" si="983"/>
        <v>-7.9729836786814371E-4</v>
      </c>
    </row>
    <row r="496" spans="1:20" x14ac:dyDescent="0.25">
      <c r="A496" s="5">
        <v>44097</v>
      </c>
      <c r="B496">
        <v>33.206000000000003</v>
      </c>
      <c r="C496">
        <v>36.253</v>
      </c>
      <c r="D496">
        <v>30.844999999999999</v>
      </c>
      <c r="E496">
        <v>32.465000000000003</v>
      </c>
      <c r="F496">
        <v>70763.055999999997</v>
      </c>
      <c r="G496">
        <v>0</v>
      </c>
      <c r="L496" t="s">
        <v>8</v>
      </c>
      <c r="M496" t="s">
        <v>7</v>
      </c>
      <c r="N496" t="s">
        <v>7</v>
      </c>
      <c r="P496">
        <f t="shared" si="979"/>
        <v>-0.40088757396449548</v>
      </c>
      <c r="Q496">
        <f t="shared" si="980"/>
        <v>-28368.029846153735</v>
      </c>
      <c r="R496">
        <f t="shared" si="981"/>
        <v>-121579.69106167486</v>
      </c>
      <c r="S496">
        <f t="shared" si="982"/>
        <v>-1.2157969106167485</v>
      </c>
      <c r="T496">
        <f t="shared" si="983"/>
        <v>-1.2157969106167486E-3</v>
      </c>
    </row>
    <row r="497" spans="1:20" x14ac:dyDescent="0.25">
      <c r="A497" s="5">
        <v>44096</v>
      </c>
      <c r="B497">
        <v>31.78</v>
      </c>
      <c r="C497">
        <v>33.911999999999999</v>
      </c>
      <c r="D497">
        <v>30.8</v>
      </c>
      <c r="E497">
        <v>33.192</v>
      </c>
      <c r="F497">
        <v>48427.375</v>
      </c>
      <c r="G497">
        <v>0</v>
      </c>
      <c r="L497" t="s">
        <v>8</v>
      </c>
      <c r="M497" t="s">
        <v>7</v>
      </c>
      <c r="N497" t="s">
        <v>7</v>
      </c>
      <c r="P497">
        <f t="shared" si="979"/>
        <v>0.53727506426735272</v>
      </c>
      <c r="Q497">
        <f t="shared" si="980"/>
        <v>26018.82101542419</v>
      </c>
      <c r="R497">
        <f t="shared" si="981"/>
        <v>-93211.661215521133</v>
      </c>
      <c r="S497">
        <f t="shared" si="982"/>
        <v>-0.93211661215521135</v>
      </c>
      <c r="T497">
        <f t="shared" si="983"/>
        <v>-9.3211661215521137E-4</v>
      </c>
    </row>
    <row r="498" spans="1:20" x14ac:dyDescent="0.25">
      <c r="A498" s="5">
        <v>44095</v>
      </c>
      <c r="B498">
        <v>39.692</v>
      </c>
      <c r="C498">
        <v>40.4</v>
      </c>
      <c r="D498">
        <v>31</v>
      </c>
      <c r="E498">
        <v>31.663</v>
      </c>
      <c r="F498">
        <v>92349.793999999994</v>
      </c>
      <c r="G498">
        <v>0</v>
      </c>
      <c r="L498" t="s">
        <v>7</v>
      </c>
      <c r="M498" t="s">
        <v>7</v>
      </c>
      <c r="N498" t="s">
        <v>7</v>
      </c>
      <c r="P498">
        <f t="shared" si="979"/>
        <v>-0.85893617021276591</v>
      </c>
      <c r="Q498">
        <f t="shared" si="980"/>
        <v>-79322.578378297869</v>
      </c>
      <c r="R498">
        <f t="shared" si="981"/>
        <v>-119230.48223094532</v>
      </c>
      <c r="S498">
        <f t="shared" si="982"/>
        <v>-1.1923048223094532</v>
      </c>
      <c r="T498">
        <f t="shared" si="983"/>
        <v>-1.1923048223094533E-3</v>
      </c>
    </row>
    <row r="499" spans="1:20" x14ac:dyDescent="0.25">
      <c r="A499" s="5">
        <v>44094</v>
      </c>
      <c r="B499">
        <v>43.783999999999999</v>
      </c>
      <c r="C499">
        <v>44.768000000000001</v>
      </c>
      <c r="D499">
        <v>36.79</v>
      </c>
      <c r="E499">
        <v>39.734999999999999</v>
      </c>
      <c r="F499">
        <v>62122.832999999999</v>
      </c>
      <c r="G499">
        <v>0</v>
      </c>
      <c r="L499" t="s">
        <v>7</v>
      </c>
      <c r="M499" t="s">
        <v>7</v>
      </c>
      <c r="N499" t="s">
        <v>7</v>
      </c>
      <c r="P499">
        <f t="shared" si="979"/>
        <v>-0.26171972925545256</v>
      </c>
      <c r="Q499">
        <f t="shared" si="980"/>
        <v>-16258.771033341693</v>
      </c>
      <c r="R499">
        <f t="shared" si="981"/>
        <v>-39907.90385264744</v>
      </c>
      <c r="S499">
        <f t="shared" si="982"/>
        <v>-0.39907903852647442</v>
      </c>
      <c r="T499">
        <f t="shared" si="983"/>
        <v>-3.9907903852647443E-4</v>
      </c>
    </row>
    <row r="500" spans="1:20" x14ac:dyDescent="0.25">
      <c r="A500" s="5">
        <v>44093</v>
      </c>
      <c r="B500">
        <v>44.69</v>
      </c>
      <c r="C500">
        <v>47.646999999999998</v>
      </c>
      <c r="D500">
        <v>43.688000000000002</v>
      </c>
      <c r="E500">
        <v>43.755000000000003</v>
      </c>
      <c r="F500">
        <v>57711.779000000002</v>
      </c>
      <c r="G500">
        <v>0</v>
      </c>
      <c r="L500" t="s">
        <v>8</v>
      </c>
      <c r="M500" t="s">
        <v>7</v>
      </c>
      <c r="N500" t="s">
        <v>8</v>
      </c>
      <c r="P500">
        <f t="shared" si="979"/>
        <v>-0.96615306895680719</v>
      </c>
      <c r="Q500">
        <f t="shared" si="980"/>
        <v>-55758.412395807019</v>
      </c>
      <c r="R500">
        <f t="shared" si="981"/>
        <v>-23649.132819305745</v>
      </c>
      <c r="S500">
        <f t="shared" si="982"/>
        <v>-0.23649132819305746</v>
      </c>
      <c r="T500">
        <f t="shared" si="983"/>
        <v>-2.3649132819305747E-4</v>
      </c>
    </row>
    <row r="501" spans="1:20" x14ac:dyDescent="0.25">
      <c r="A501" s="5">
        <v>44092</v>
      </c>
      <c r="B501">
        <v>47.192999999999998</v>
      </c>
      <c r="C501">
        <v>48.999000000000002</v>
      </c>
      <c r="D501">
        <v>41.6</v>
      </c>
      <c r="E501">
        <v>44.69</v>
      </c>
      <c r="F501">
        <v>69716.903999999995</v>
      </c>
      <c r="G501">
        <v>0</v>
      </c>
      <c r="L501" t="s">
        <v>7</v>
      </c>
      <c r="M501" t="s">
        <v>7</v>
      </c>
      <c r="N501" t="s">
        <v>8</v>
      </c>
      <c r="P501">
        <f t="shared" si="979"/>
        <v>-0.16475199351263795</v>
      </c>
      <c r="Q501">
        <f t="shared" si="980"/>
        <v>-11485.998915529202</v>
      </c>
      <c r="R501">
        <f t="shared" si="981"/>
        <v>32109.279576501274</v>
      </c>
      <c r="S501">
        <f t="shared" si="982"/>
        <v>0.32109279576501276</v>
      </c>
      <c r="T501">
        <f t="shared" si="983"/>
        <v>3.2109279576501278E-4</v>
      </c>
    </row>
    <row r="502" spans="1:20" x14ac:dyDescent="0.25">
      <c r="A502" s="5">
        <v>44091</v>
      </c>
      <c r="B502">
        <v>42.322000000000003</v>
      </c>
      <c r="C502">
        <v>50.283999999999999</v>
      </c>
      <c r="D502">
        <v>42.185000000000002</v>
      </c>
      <c r="E502">
        <v>47.151000000000003</v>
      </c>
      <c r="F502">
        <v>131580.24100000001</v>
      </c>
      <c r="G502">
        <v>0</v>
      </c>
      <c r="L502" t="s">
        <v>8</v>
      </c>
      <c r="M502" t="s">
        <v>8</v>
      </c>
      <c r="N502" t="s">
        <v>8</v>
      </c>
      <c r="P502">
        <f t="shared" si="979"/>
        <v>0.2263242375601934</v>
      </c>
      <c r="Q502">
        <f t="shared" si="980"/>
        <v>29779.797722311501</v>
      </c>
      <c r="R502">
        <f t="shared" si="981"/>
        <v>43595.278492030477</v>
      </c>
      <c r="S502">
        <f t="shared" si="982"/>
        <v>0.43595278492030476</v>
      </c>
      <c r="T502">
        <f t="shared" si="983"/>
        <v>4.3595278492030478E-4</v>
      </c>
    </row>
    <row r="503" spans="1:20" x14ac:dyDescent="0.25">
      <c r="A503" s="5">
        <v>44090</v>
      </c>
      <c r="B503">
        <v>39.264000000000003</v>
      </c>
      <c r="C503">
        <v>42.643999999999998</v>
      </c>
      <c r="D503">
        <v>37.448999999999998</v>
      </c>
      <c r="E503">
        <v>42.35</v>
      </c>
      <c r="F503">
        <v>77460.008000000002</v>
      </c>
      <c r="G503">
        <v>0</v>
      </c>
      <c r="L503" t="s">
        <v>7</v>
      </c>
      <c r="M503" t="s">
        <v>8</v>
      </c>
      <c r="N503" t="s">
        <v>8</v>
      </c>
      <c r="P503">
        <f t="shared" si="979"/>
        <v>0.88681424446583368</v>
      </c>
      <c r="Q503">
        <f t="shared" si="980"/>
        <v>68692.638470837439</v>
      </c>
      <c r="R503">
        <f t="shared" si="981"/>
        <v>13815.480769718975</v>
      </c>
      <c r="S503">
        <f t="shared" si="982"/>
        <v>0.13815480769718974</v>
      </c>
      <c r="T503">
        <f t="shared" si="983"/>
        <v>1.3815480769718974E-4</v>
      </c>
    </row>
    <row r="504" spans="1:20" x14ac:dyDescent="0.25">
      <c r="A504" s="5">
        <v>44089</v>
      </c>
      <c r="B504">
        <v>40.161999999999999</v>
      </c>
      <c r="C504">
        <v>43.05</v>
      </c>
      <c r="D504">
        <v>37.659999999999997</v>
      </c>
      <c r="E504">
        <v>39.332999999999998</v>
      </c>
      <c r="F504">
        <v>76766.150999999998</v>
      </c>
      <c r="G504">
        <v>0</v>
      </c>
      <c r="L504" t="s">
        <v>7</v>
      </c>
      <c r="M504" t="s">
        <v>8</v>
      </c>
      <c r="N504" t="s">
        <v>8</v>
      </c>
      <c r="P504">
        <f t="shared" si="979"/>
        <v>-0.37922077922077863</v>
      </c>
      <c r="Q504">
        <f t="shared" si="980"/>
        <v>-29111.319599999955</v>
      </c>
      <c r="R504">
        <f t="shared" si="981"/>
        <v>-54877.157701118464</v>
      </c>
      <c r="S504">
        <f t="shared" si="982"/>
        <v>-0.54877157701118462</v>
      </c>
      <c r="T504">
        <f t="shared" si="983"/>
        <v>-5.4877157701118458E-4</v>
      </c>
    </row>
    <row r="505" spans="1:20" x14ac:dyDescent="0.25">
      <c r="A505" s="5">
        <v>44088</v>
      </c>
      <c r="B505">
        <v>39.33</v>
      </c>
      <c r="C505">
        <v>43.430999999999997</v>
      </c>
      <c r="D505">
        <v>38.058</v>
      </c>
      <c r="E505">
        <v>40</v>
      </c>
      <c r="F505">
        <v>110986.51</v>
      </c>
      <c r="G505">
        <v>0</v>
      </c>
      <c r="L505" t="s">
        <v>8</v>
      </c>
      <c r="M505" t="s">
        <v>8</v>
      </c>
      <c r="N505" t="s">
        <v>8</v>
      </c>
      <c r="P505">
        <f t="shared" si="979"/>
        <v>-0.27712637260375916</v>
      </c>
      <c r="Q505">
        <f t="shared" si="980"/>
        <v>-30757.288924250843</v>
      </c>
      <c r="R505">
        <f t="shared" si="981"/>
        <v>-25765.838101118508</v>
      </c>
      <c r="S505">
        <f t="shared" si="982"/>
        <v>-0.2576583810111851</v>
      </c>
      <c r="T505">
        <f t="shared" si="983"/>
        <v>-2.5765838101118508E-4</v>
      </c>
    </row>
    <row r="506" spans="1:20" x14ac:dyDescent="0.25">
      <c r="A506" s="5">
        <v>44087</v>
      </c>
      <c r="B506">
        <v>35.158999999999999</v>
      </c>
      <c r="C506">
        <v>42.2</v>
      </c>
      <c r="D506">
        <v>34.5</v>
      </c>
      <c r="E506">
        <v>39.328000000000003</v>
      </c>
      <c r="F506">
        <v>160435.94399999999</v>
      </c>
      <c r="G506">
        <v>0</v>
      </c>
      <c r="L506" t="s">
        <v>8</v>
      </c>
      <c r="M506" t="s">
        <v>8</v>
      </c>
      <c r="N506" t="s">
        <v>8</v>
      </c>
      <c r="P506">
        <f t="shared" si="979"/>
        <v>0.25402597402597432</v>
      </c>
      <c r="Q506">
        <f t="shared" si="980"/>
        <v>40754.896943376669</v>
      </c>
      <c r="R506">
        <f t="shared" si="981"/>
        <v>4991.4508231323343</v>
      </c>
      <c r="S506">
        <f t="shared" si="982"/>
        <v>4.9914508231323346E-2</v>
      </c>
      <c r="T506">
        <f t="shared" si="983"/>
        <v>4.9914508231323342E-5</v>
      </c>
    </row>
    <row r="507" spans="1:20" x14ac:dyDescent="0.25">
      <c r="A507" s="5">
        <v>44086</v>
      </c>
      <c r="B507">
        <v>31.776</v>
      </c>
      <c r="C507">
        <v>36.999000000000002</v>
      </c>
      <c r="D507">
        <v>31</v>
      </c>
      <c r="E507">
        <v>35.158999999999999</v>
      </c>
      <c r="F507">
        <v>74448.876000000004</v>
      </c>
      <c r="G507">
        <v>0</v>
      </c>
      <c r="L507" t="s">
        <v>8</v>
      </c>
      <c r="M507" t="s">
        <v>8</v>
      </c>
      <c r="N507" t="s">
        <v>7</v>
      </c>
      <c r="P507">
        <f t="shared" si="979"/>
        <v>0.38656442740456654</v>
      </c>
      <c r="Q507">
        <f t="shared" si="980"/>
        <v>28779.287121853577</v>
      </c>
      <c r="R507">
        <f t="shared" si="981"/>
        <v>-35763.446120244334</v>
      </c>
      <c r="S507">
        <f t="shared" si="982"/>
        <v>-0.35763446120244335</v>
      </c>
      <c r="T507">
        <f t="shared" si="983"/>
        <v>-3.5763446120244338E-4</v>
      </c>
    </row>
    <row r="508" spans="1:20" x14ac:dyDescent="0.25">
      <c r="A508" s="5">
        <v>44085</v>
      </c>
      <c r="B508">
        <v>33.018000000000001</v>
      </c>
      <c r="C508">
        <v>33.018000000000001</v>
      </c>
      <c r="D508">
        <v>30.707999999999998</v>
      </c>
      <c r="E508">
        <v>31.768999999999998</v>
      </c>
      <c r="F508">
        <v>67289.687000000005</v>
      </c>
      <c r="G508">
        <v>0</v>
      </c>
      <c r="L508" t="s">
        <v>7</v>
      </c>
      <c r="M508" t="s">
        <v>7</v>
      </c>
      <c r="N508" t="s">
        <v>7</v>
      </c>
      <c r="P508">
        <f t="shared" si="979"/>
        <v>-8.1385281385282338E-2</v>
      </c>
      <c r="Q508">
        <f t="shared" si="980"/>
        <v>-5476.3901108225755</v>
      </c>
      <c r="R508">
        <f t="shared" si="981"/>
        <v>-64542.733242097915</v>
      </c>
      <c r="S508">
        <f t="shared" si="982"/>
        <v>-0.64542733242097916</v>
      </c>
      <c r="T508">
        <f t="shared" si="983"/>
        <v>-6.4542733242097916E-4</v>
      </c>
    </row>
    <row r="509" spans="1:20" x14ac:dyDescent="0.25">
      <c r="A509" s="5">
        <v>44084</v>
      </c>
      <c r="B509">
        <v>33.863</v>
      </c>
      <c r="C509">
        <v>36.5</v>
      </c>
      <c r="D509">
        <v>31.757000000000001</v>
      </c>
      <c r="E509">
        <v>33.101999999999997</v>
      </c>
      <c r="F509">
        <v>54819.775999999998</v>
      </c>
      <c r="G509">
        <v>0</v>
      </c>
      <c r="L509" t="s">
        <v>7</v>
      </c>
      <c r="M509" t="s">
        <v>7</v>
      </c>
      <c r="N509" t="s">
        <v>7</v>
      </c>
      <c r="P509">
        <f t="shared" si="979"/>
        <v>-0.43284840818047832</v>
      </c>
      <c r="Q509">
        <f t="shared" si="980"/>
        <v>-23728.652778410389</v>
      </c>
      <c r="R509">
        <f t="shared" si="981"/>
        <v>-59066.343131275338</v>
      </c>
      <c r="S509">
        <f t="shared" si="982"/>
        <v>-0.59066343131275334</v>
      </c>
      <c r="T509">
        <f t="shared" si="983"/>
        <v>-5.9066343131275337E-4</v>
      </c>
    </row>
    <row r="510" spans="1:20" x14ac:dyDescent="0.25">
      <c r="A510" s="5">
        <v>44083</v>
      </c>
      <c r="B510">
        <v>31.3</v>
      </c>
      <c r="C510">
        <v>37</v>
      </c>
      <c r="D510">
        <v>30.167999999999999</v>
      </c>
      <c r="E510">
        <v>33.805999999999997</v>
      </c>
      <c r="F510">
        <v>67385.976999999999</v>
      </c>
      <c r="G510">
        <v>0</v>
      </c>
      <c r="L510" t="s">
        <v>8</v>
      </c>
      <c r="M510" t="s">
        <v>8</v>
      </c>
      <c r="N510" t="s">
        <v>7</v>
      </c>
      <c r="P510">
        <f t="shared" si="979"/>
        <v>6.49882903981258E-2</v>
      </c>
      <c r="Q510">
        <f t="shared" si="980"/>
        <v>4379.2994420374262</v>
      </c>
      <c r="R510">
        <f t="shared" si="981"/>
        <v>-35337.690352864949</v>
      </c>
      <c r="S510">
        <f t="shared" si="982"/>
        <v>-0.35337690352864948</v>
      </c>
      <c r="T510">
        <f t="shared" si="983"/>
        <v>-3.5337690352864949E-4</v>
      </c>
    </row>
    <row r="511" spans="1:20" x14ac:dyDescent="0.25">
      <c r="A511" s="5">
        <v>44082</v>
      </c>
      <c r="B511">
        <v>35.304000000000002</v>
      </c>
      <c r="C511">
        <v>36.171999999999997</v>
      </c>
      <c r="D511">
        <v>30.27</v>
      </c>
      <c r="E511">
        <v>31.337</v>
      </c>
      <c r="F511">
        <v>66993.426000000007</v>
      </c>
      <c r="G511">
        <v>0</v>
      </c>
      <c r="L511" t="s">
        <v>7</v>
      </c>
      <c r="M511" t="s">
        <v>7</v>
      </c>
      <c r="N511" t="s">
        <v>7</v>
      </c>
      <c r="P511">
        <f t="shared" si="979"/>
        <v>-0.63842765164351045</v>
      </c>
      <c r="Q511">
        <f t="shared" si="980"/>
        <v>-42770.455636733299</v>
      </c>
      <c r="R511">
        <f t="shared" si="981"/>
        <v>-39716.989794902373</v>
      </c>
      <c r="S511">
        <f t="shared" si="982"/>
        <v>-0.39716989794902374</v>
      </c>
      <c r="T511">
        <f t="shared" si="983"/>
        <v>-3.9716989794902374E-4</v>
      </c>
    </row>
    <row r="512" spans="1:20" x14ac:dyDescent="0.25">
      <c r="A512" s="5">
        <v>44081</v>
      </c>
      <c r="B512">
        <v>37.898000000000003</v>
      </c>
      <c r="C512">
        <v>38.378</v>
      </c>
      <c r="D512">
        <v>30.5</v>
      </c>
      <c r="E512">
        <v>35.203000000000003</v>
      </c>
      <c r="F512">
        <v>56712.36</v>
      </c>
      <c r="G512">
        <v>0</v>
      </c>
      <c r="L512" t="s">
        <v>8</v>
      </c>
      <c r="M512" t="s">
        <v>8</v>
      </c>
      <c r="N512" t="s">
        <v>7</v>
      </c>
      <c r="P512">
        <f t="shared" si="979"/>
        <v>0.19395785732419468</v>
      </c>
      <c r="Q512">
        <f t="shared" si="980"/>
        <v>10999.807829398365</v>
      </c>
      <c r="R512">
        <f t="shared" si="981"/>
        <v>3053.4658418309282</v>
      </c>
      <c r="S512">
        <f t="shared" si="982"/>
        <v>3.0534658418309282E-2</v>
      </c>
      <c r="T512">
        <f t="shared" si="983"/>
        <v>3.0534658418309284E-5</v>
      </c>
    </row>
    <row r="513" spans="1:20" x14ac:dyDescent="0.25">
      <c r="A513" s="5">
        <v>44080</v>
      </c>
      <c r="B513">
        <v>32.558</v>
      </c>
      <c r="C513">
        <v>39.799999999999997</v>
      </c>
      <c r="D513">
        <v>30.04</v>
      </c>
      <c r="E513">
        <v>38.036999999999999</v>
      </c>
      <c r="F513">
        <v>63410.654000000002</v>
      </c>
      <c r="G513">
        <v>0</v>
      </c>
      <c r="L513" t="s">
        <v>7</v>
      </c>
      <c r="M513" t="s">
        <v>7</v>
      </c>
      <c r="N513" t="s">
        <v>7</v>
      </c>
      <c r="P513">
        <f t="shared" si="979"/>
        <v>0.63872950819672158</v>
      </c>
      <c r="Q513">
        <f t="shared" si="980"/>
        <v>40502.255843852479</v>
      </c>
      <c r="R513">
        <f t="shared" si="981"/>
        <v>-7946.3419875674372</v>
      </c>
      <c r="S513">
        <f t="shared" si="982"/>
        <v>-7.9463419875674374E-2</v>
      </c>
      <c r="T513">
        <f t="shared" si="983"/>
        <v>-7.9463419875674371E-5</v>
      </c>
    </row>
    <row r="514" spans="1:20" x14ac:dyDescent="0.25">
      <c r="A514" s="5">
        <v>44079</v>
      </c>
      <c r="B514">
        <v>42</v>
      </c>
      <c r="C514">
        <v>43.997999999999998</v>
      </c>
      <c r="D514">
        <v>29.32</v>
      </c>
      <c r="E514">
        <v>32.49</v>
      </c>
      <c r="F514">
        <v>88954.411999999997</v>
      </c>
      <c r="G514">
        <v>0</v>
      </c>
      <c r="L514" t="s">
        <v>8</v>
      </c>
      <c r="M514" t="s">
        <v>8</v>
      </c>
      <c r="N514" t="s">
        <v>8</v>
      </c>
      <c r="P514">
        <f t="shared" si="979"/>
        <v>-0.56806104373892874</v>
      </c>
      <c r="Q514">
        <f t="shared" si="980"/>
        <v>-50531.536125902683</v>
      </c>
      <c r="R514">
        <f t="shared" si="981"/>
        <v>-48448.597831419916</v>
      </c>
      <c r="S514">
        <f t="shared" si="982"/>
        <v>-0.48448597831419915</v>
      </c>
      <c r="T514">
        <f t="shared" si="983"/>
        <v>-4.8448597831419918E-4</v>
      </c>
    </row>
    <row r="515" spans="1:20" x14ac:dyDescent="0.25">
      <c r="A515" s="5">
        <v>44078</v>
      </c>
      <c r="B515">
        <v>43.15</v>
      </c>
      <c r="C515">
        <v>49</v>
      </c>
      <c r="D515">
        <v>34.5</v>
      </c>
      <c r="E515">
        <v>42.167000000000002</v>
      </c>
      <c r="F515">
        <v>36214.154999999999</v>
      </c>
      <c r="G515">
        <v>0</v>
      </c>
      <c r="P515">
        <f t="shared" si="979"/>
        <v>5.7517241379310566E-2</v>
      </c>
      <c r="Q515">
        <f t="shared" si="980"/>
        <v>2082.9382944827667</v>
      </c>
      <c r="R515">
        <f t="shared" si="981"/>
        <v>2082.9382944827667</v>
      </c>
      <c r="S515">
        <f t="shared" si="982"/>
        <v>2.0829382944827668E-2</v>
      </c>
      <c r="T515">
        <f t="shared" si="983"/>
        <v>2.0829382944827666E-5</v>
      </c>
    </row>
    <row r="516" spans="1:20" x14ac:dyDescent="0.25">
      <c r="A516" s="5"/>
      <c r="C516"/>
      <c r="D516"/>
      <c r="P516">
        <f t="shared" si="979"/>
        <v>0</v>
      </c>
      <c r="Q516">
        <f t="shared" si="980"/>
        <v>0</v>
      </c>
      <c r="R516">
        <f t="shared" si="981"/>
        <v>0</v>
      </c>
      <c r="S516">
        <f t="shared" si="982"/>
        <v>0</v>
      </c>
      <c r="T516">
        <f t="shared" si="983"/>
        <v>0</v>
      </c>
    </row>
    <row r="517" spans="1:20" x14ac:dyDescent="0.25">
      <c r="A517" s="5"/>
      <c r="C517"/>
      <c r="D517"/>
      <c r="P517">
        <f t="shared" si="979"/>
        <v>0</v>
      </c>
      <c r="Q517">
        <f t="shared" si="980"/>
        <v>0</v>
      </c>
      <c r="R517">
        <f t="shared" si="981"/>
        <v>0</v>
      </c>
      <c r="S517">
        <f t="shared" si="982"/>
        <v>0</v>
      </c>
      <c r="T517">
        <f t="shared" si="983"/>
        <v>0</v>
      </c>
    </row>
    <row r="518" spans="1:20" x14ac:dyDescent="0.25">
      <c r="A518" s="5"/>
      <c r="C518"/>
      <c r="D518"/>
      <c r="P518">
        <f t="shared" ref="P518:P581" si="984">IF(C518=D518,0,((E518-D518)-(C518-E518))/(C518-D518))</f>
        <v>0</v>
      </c>
      <c r="Q518">
        <f t="shared" ref="Q518:Q581" si="985">F518*P518</f>
        <v>0</v>
      </c>
      <c r="R518">
        <f t="shared" ref="R518:R581" si="986">R519+Q518</f>
        <v>0</v>
      </c>
      <c r="S518">
        <f t="shared" ref="S518:S581" si="987">R518/100000</f>
        <v>0</v>
      </c>
      <c r="T518">
        <f t="shared" ref="T518:T581" si="988">S518/1000</f>
        <v>0</v>
      </c>
    </row>
    <row r="519" spans="1:20" x14ac:dyDescent="0.25">
      <c r="A519" s="5"/>
      <c r="C519"/>
      <c r="D519"/>
      <c r="P519">
        <f t="shared" si="984"/>
        <v>0</v>
      </c>
      <c r="Q519">
        <f t="shared" si="985"/>
        <v>0</v>
      </c>
      <c r="R519">
        <f t="shared" si="986"/>
        <v>0</v>
      </c>
      <c r="S519">
        <f t="shared" si="987"/>
        <v>0</v>
      </c>
      <c r="T519">
        <f t="shared" si="988"/>
        <v>0</v>
      </c>
    </row>
    <row r="520" spans="1:20" x14ac:dyDescent="0.25">
      <c r="A520" s="5"/>
      <c r="C520"/>
      <c r="D520"/>
      <c r="P520">
        <f t="shared" si="984"/>
        <v>0</v>
      </c>
      <c r="Q520">
        <f t="shared" si="985"/>
        <v>0</v>
      </c>
      <c r="R520">
        <f t="shared" si="986"/>
        <v>0</v>
      </c>
      <c r="S520">
        <f t="shared" si="987"/>
        <v>0</v>
      </c>
      <c r="T520">
        <f t="shared" si="988"/>
        <v>0</v>
      </c>
    </row>
    <row r="521" spans="1:20" x14ac:dyDescent="0.25">
      <c r="A521" s="5"/>
      <c r="C521"/>
      <c r="D521"/>
      <c r="P521">
        <f t="shared" si="984"/>
        <v>0</v>
      </c>
      <c r="Q521">
        <f t="shared" si="985"/>
        <v>0</v>
      </c>
      <c r="R521">
        <f t="shared" si="986"/>
        <v>0</v>
      </c>
      <c r="S521">
        <f t="shared" si="987"/>
        <v>0</v>
      </c>
      <c r="T521">
        <f t="shared" si="988"/>
        <v>0</v>
      </c>
    </row>
    <row r="522" spans="1:20" x14ac:dyDescent="0.25">
      <c r="A522" s="5"/>
      <c r="C522"/>
      <c r="D522"/>
      <c r="P522">
        <f t="shared" si="984"/>
        <v>0</v>
      </c>
      <c r="Q522">
        <f t="shared" si="985"/>
        <v>0</v>
      </c>
      <c r="R522">
        <f t="shared" si="986"/>
        <v>0</v>
      </c>
      <c r="S522">
        <f t="shared" si="987"/>
        <v>0</v>
      </c>
      <c r="T522">
        <f t="shared" si="988"/>
        <v>0</v>
      </c>
    </row>
    <row r="523" spans="1:20" x14ac:dyDescent="0.25">
      <c r="A523" s="5"/>
      <c r="C523"/>
      <c r="D523"/>
      <c r="P523">
        <f t="shared" si="984"/>
        <v>0</v>
      </c>
      <c r="Q523">
        <f t="shared" si="985"/>
        <v>0</v>
      </c>
      <c r="R523">
        <f t="shared" si="986"/>
        <v>0</v>
      </c>
      <c r="S523">
        <f t="shared" si="987"/>
        <v>0</v>
      </c>
      <c r="T523">
        <f t="shared" si="988"/>
        <v>0</v>
      </c>
    </row>
    <row r="524" spans="1:20" x14ac:dyDescent="0.25">
      <c r="A524" s="5"/>
      <c r="C524"/>
      <c r="D524"/>
      <c r="P524">
        <f t="shared" si="984"/>
        <v>0</v>
      </c>
      <c r="Q524">
        <f t="shared" si="985"/>
        <v>0</v>
      </c>
      <c r="R524">
        <f t="shared" si="986"/>
        <v>0</v>
      </c>
      <c r="S524">
        <f t="shared" si="987"/>
        <v>0</v>
      </c>
      <c r="T524">
        <f t="shared" si="988"/>
        <v>0</v>
      </c>
    </row>
    <row r="525" spans="1:20" x14ac:dyDescent="0.25">
      <c r="A525" s="5"/>
      <c r="C525"/>
      <c r="D525"/>
      <c r="P525">
        <f t="shared" si="984"/>
        <v>0</v>
      </c>
      <c r="Q525">
        <f t="shared" si="985"/>
        <v>0</v>
      </c>
      <c r="R525">
        <f t="shared" si="986"/>
        <v>0</v>
      </c>
      <c r="S525">
        <f t="shared" si="987"/>
        <v>0</v>
      </c>
      <c r="T525">
        <f t="shared" si="988"/>
        <v>0</v>
      </c>
    </row>
    <row r="526" spans="1:20" x14ac:dyDescent="0.25">
      <c r="A526" s="5"/>
      <c r="C526"/>
      <c r="D526"/>
      <c r="P526">
        <f t="shared" si="984"/>
        <v>0</v>
      </c>
      <c r="Q526">
        <f t="shared" si="985"/>
        <v>0</v>
      </c>
      <c r="R526">
        <f t="shared" si="986"/>
        <v>0</v>
      </c>
      <c r="S526">
        <f t="shared" si="987"/>
        <v>0</v>
      </c>
      <c r="T526">
        <f t="shared" si="988"/>
        <v>0</v>
      </c>
    </row>
    <row r="527" spans="1:20" x14ac:dyDescent="0.25">
      <c r="A527" s="5"/>
      <c r="C527"/>
      <c r="D527"/>
      <c r="P527">
        <f t="shared" si="984"/>
        <v>0</v>
      </c>
      <c r="Q527">
        <f t="shared" si="985"/>
        <v>0</v>
      </c>
      <c r="R527">
        <f t="shared" si="986"/>
        <v>0</v>
      </c>
      <c r="S527">
        <f t="shared" si="987"/>
        <v>0</v>
      </c>
      <c r="T527">
        <f t="shared" si="988"/>
        <v>0</v>
      </c>
    </row>
    <row r="528" spans="1:20" x14ac:dyDescent="0.25">
      <c r="A528" s="5"/>
      <c r="C528"/>
      <c r="D528"/>
      <c r="P528">
        <f t="shared" si="984"/>
        <v>0</v>
      </c>
      <c r="Q528">
        <f t="shared" si="985"/>
        <v>0</v>
      </c>
      <c r="R528">
        <f t="shared" si="986"/>
        <v>0</v>
      </c>
      <c r="S528">
        <f t="shared" si="987"/>
        <v>0</v>
      </c>
      <c r="T528">
        <f t="shared" si="988"/>
        <v>0</v>
      </c>
    </row>
    <row r="529" spans="1:20" x14ac:dyDescent="0.25">
      <c r="A529" s="5"/>
      <c r="C529"/>
      <c r="D529"/>
      <c r="P529">
        <f t="shared" si="984"/>
        <v>0</v>
      </c>
      <c r="Q529">
        <f t="shared" si="985"/>
        <v>0</v>
      </c>
      <c r="R529">
        <f t="shared" si="986"/>
        <v>0</v>
      </c>
      <c r="S529">
        <f t="shared" si="987"/>
        <v>0</v>
      </c>
      <c r="T529">
        <f t="shared" si="988"/>
        <v>0</v>
      </c>
    </row>
    <row r="530" spans="1:20" x14ac:dyDescent="0.25">
      <c r="A530" s="5"/>
      <c r="C530"/>
      <c r="D530"/>
      <c r="P530">
        <f t="shared" si="984"/>
        <v>0</v>
      </c>
      <c r="Q530">
        <f t="shared" si="985"/>
        <v>0</v>
      </c>
      <c r="R530">
        <f t="shared" si="986"/>
        <v>0</v>
      </c>
      <c r="S530">
        <f t="shared" si="987"/>
        <v>0</v>
      </c>
      <c r="T530">
        <f t="shared" si="988"/>
        <v>0</v>
      </c>
    </row>
    <row r="531" spans="1:20" x14ac:dyDescent="0.25">
      <c r="A531" s="5"/>
      <c r="C531"/>
      <c r="D531"/>
      <c r="P531">
        <f t="shared" si="984"/>
        <v>0</v>
      </c>
      <c r="Q531">
        <f t="shared" si="985"/>
        <v>0</v>
      </c>
      <c r="R531">
        <f t="shared" si="986"/>
        <v>0</v>
      </c>
      <c r="S531">
        <f t="shared" si="987"/>
        <v>0</v>
      </c>
      <c r="T531">
        <f t="shared" si="988"/>
        <v>0</v>
      </c>
    </row>
    <row r="532" spans="1:20" x14ac:dyDescent="0.25">
      <c r="A532" s="5"/>
      <c r="C532"/>
      <c r="D532"/>
      <c r="P532">
        <f t="shared" si="984"/>
        <v>0</v>
      </c>
      <c r="Q532">
        <f t="shared" si="985"/>
        <v>0</v>
      </c>
      <c r="R532">
        <f t="shared" si="986"/>
        <v>0</v>
      </c>
      <c r="S532">
        <f t="shared" si="987"/>
        <v>0</v>
      </c>
      <c r="T532">
        <f t="shared" si="988"/>
        <v>0</v>
      </c>
    </row>
    <row r="533" spans="1:20" x14ac:dyDescent="0.25">
      <c r="A533" s="5"/>
      <c r="C533"/>
      <c r="D533"/>
      <c r="P533">
        <f t="shared" si="984"/>
        <v>0</v>
      </c>
      <c r="Q533">
        <f t="shared" si="985"/>
        <v>0</v>
      </c>
      <c r="R533">
        <f t="shared" si="986"/>
        <v>0</v>
      </c>
      <c r="S533">
        <f t="shared" si="987"/>
        <v>0</v>
      </c>
      <c r="T533">
        <f t="shared" si="988"/>
        <v>0</v>
      </c>
    </row>
    <row r="534" spans="1:20" x14ac:dyDescent="0.25">
      <c r="A534" s="5"/>
      <c r="C534"/>
      <c r="D534"/>
      <c r="P534">
        <f t="shared" si="984"/>
        <v>0</v>
      </c>
      <c r="Q534">
        <f t="shared" si="985"/>
        <v>0</v>
      </c>
      <c r="R534">
        <f t="shared" si="986"/>
        <v>0</v>
      </c>
      <c r="S534">
        <f t="shared" si="987"/>
        <v>0</v>
      </c>
      <c r="T534">
        <f t="shared" si="988"/>
        <v>0</v>
      </c>
    </row>
    <row r="535" spans="1:20" x14ac:dyDescent="0.25">
      <c r="A535" s="5"/>
      <c r="C535"/>
      <c r="D535"/>
      <c r="P535">
        <f t="shared" si="984"/>
        <v>0</v>
      </c>
      <c r="Q535">
        <f t="shared" si="985"/>
        <v>0</v>
      </c>
      <c r="R535">
        <f t="shared" si="986"/>
        <v>0</v>
      </c>
      <c r="S535">
        <f t="shared" si="987"/>
        <v>0</v>
      </c>
      <c r="T535">
        <f t="shared" si="988"/>
        <v>0</v>
      </c>
    </row>
    <row r="536" spans="1:20" x14ac:dyDescent="0.25">
      <c r="A536" s="5"/>
      <c r="C536"/>
      <c r="D536"/>
      <c r="P536">
        <f t="shared" si="984"/>
        <v>0</v>
      </c>
      <c r="Q536">
        <f t="shared" si="985"/>
        <v>0</v>
      </c>
      <c r="R536">
        <f t="shared" si="986"/>
        <v>0</v>
      </c>
      <c r="S536">
        <f t="shared" si="987"/>
        <v>0</v>
      </c>
      <c r="T536">
        <f t="shared" si="988"/>
        <v>0</v>
      </c>
    </row>
    <row r="537" spans="1:20" x14ac:dyDescent="0.25">
      <c r="A537" s="5"/>
      <c r="C537"/>
      <c r="D537"/>
      <c r="P537">
        <f t="shared" si="984"/>
        <v>0</v>
      </c>
      <c r="Q537">
        <f t="shared" si="985"/>
        <v>0</v>
      </c>
      <c r="R537">
        <f t="shared" si="986"/>
        <v>0</v>
      </c>
      <c r="S537">
        <f t="shared" si="987"/>
        <v>0</v>
      </c>
      <c r="T537">
        <f t="shared" si="988"/>
        <v>0</v>
      </c>
    </row>
    <row r="538" spans="1:20" x14ac:dyDescent="0.25">
      <c r="A538" s="5"/>
      <c r="C538"/>
      <c r="D538"/>
      <c r="P538">
        <f t="shared" si="984"/>
        <v>0</v>
      </c>
      <c r="Q538">
        <f t="shared" si="985"/>
        <v>0</v>
      </c>
      <c r="R538">
        <f t="shared" si="986"/>
        <v>0</v>
      </c>
      <c r="S538">
        <f t="shared" si="987"/>
        <v>0</v>
      </c>
      <c r="T538">
        <f t="shared" si="988"/>
        <v>0</v>
      </c>
    </row>
    <row r="539" spans="1:20" x14ac:dyDescent="0.25">
      <c r="A539" s="5"/>
      <c r="C539"/>
      <c r="D539"/>
      <c r="P539">
        <f t="shared" si="984"/>
        <v>0</v>
      </c>
      <c r="Q539">
        <f t="shared" si="985"/>
        <v>0</v>
      </c>
      <c r="R539">
        <f t="shared" si="986"/>
        <v>0</v>
      </c>
      <c r="S539">
        <f t="shared" si="987"/>
        <v>0</v>
      </c>
      <c r="T539">
        <f t="shared" si="988"/>
        <v>0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JB330" sqref="JB330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$A$329</v>
      </c>
      <c r="D111" s="1" t="str">
        <f>ADDRESS(C121-1,D121,1,1)</f>
        <v>$JB$329</v>
      </c>
      <c r="E111"/>
    </row>
    <row r="112" spans="1:5" x14ac:dyDescent="0.25">
      <c r="A112" s="7">
        <v>12164.144957890772</v>
      </c>
      <c r="C112" s="1" t="str">
        <f>ADDRESS(C121,1,1,1)</f>
        <v>$A$330</v>
      </c>
      <c r="D112" s="1" t="str">
        <f>ADDRESS(C121,D121-1,1,1)</f>
        <v>$JA$330</v>
      </c>
      <c r="E112"/>
    </row>
    <row r="113" spans="1:5" x14ac:dyDescent="0.25">
      <c r="A113" s="7">
        <v>11925.63231165762</v>
      </c>
      <c r="C113" s="1" t="str">
        <f>ADDRESS(C121+1,1,1,1)</f>
        <v>$A$331</v>
      </c>
      <c r="D113" s="1" t="str">
        <f>ADDRESS(C121-1,D121+1,1,1)</f>
        <v>$JC$329</v>
      </c>
    </row>
    <row r="114" spans="1:5" x14ac:dyDescent="0.25">
      <c r="A114" s="7">
        <v>11691.796383978059</v>
      </c>
      <c r="C114" s="1" t="str">
        <f>ADDRESS(C121,D121,1,1)</f>
        <v>$JB$330</v>
      </c>
      <c r="D114" s="1" t="str">
        <f>ADDRESS(C121+1,D121+1,1,1)</f>
        <v>$JC$331</v>
      </c>
    </row>
    <row r="115" spans="1:5" x14ac:dyDescent="0.25">
      <c r="A115" s="7">
        <v>11462.545474488292</v>
      </c>
      <c r="C115" s="1" t="str">
        <f>ADDRESS(C121+1,D121,1,1)</f>
        <v>$JB$331</v>
      </c>
    </row>
    <row r="116" spans="1:5" x14ac:dyDescent="0.25">
      <c r="A116" s="7">
        <v>11237.789680870874</v>
      </c>
      <c r="C116" s="1">
        <f>C117-1</f>
        <v>329</v>
      </c>
    </row>
    <row r="117" spans="1:5" x14ac:dyDescent="0.25">
      <c r="A117" s="7">
        <v>11017.440863598895</v>
      </c>
      <c r="C117" s="1">
        <f>C121</f>
        <v>330</v>
      </c>
      <c r="D117" s="1">
        <f>D121</f>
        <v>262</v>
      </c>
    </row>
    <row r="118" spans="1:5" x14ac:dyDescent="0.25">
      <c r="A118" s="7">
        <v>10801.412611371465</v>
      </c>
      <c r="C118" s="1">
        <f>C117+1</f>
        <v>331</v>
      </c>
      <c r="D118" s="1">
        <f>D117+1</f>
        <v>263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330</v>
      </c>
      <c r="D121" s="19">
        <v>262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R330</v>
      </c>
      <c r="D123" s="1" t="str">
        <f>"C"&amp;D121</f>
        <v>C262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162.2722069789738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225" x14ac:dyDescent="0.25">
      <c r="A257" s="7">
        <v>688.74218085310292</v>
      </c>
      <c r="B257"/>
      <c r="C257"/>
      <c r="D257"/>
      <c r="E257"/>
    </row>
    <row r="258" spans="1:225" x14ac:dyDescent="0.25">
      <c r="A258" s="7">
        <v>675.23743220892447</v>
      </c>
      <c r="B258"/>
      <c r="C258"/>
      <c r="D258"/>
      <c r="E258"/>
    </row>
    <row r="259" spans="1:225" x14ac:dyDescent="0.25">
      <c r="A259" s="7">
        <v>661.9974825577691</v>
      </c>
      <c r="B259"/>
      <c r="C259"/>
      <c r="D259"/>
      <c r="E259"/>
    </row>
    <row r="260" spans="1:225" x14ac:dyDescent="0.25">
      <c r="A260" s="7">
        <v>649.0171397625187</v>
      </c>
      <c r="B260"/>
      <c r="C260"/>
      <c r="D260"/>
      <c r="E260"/>
    </row>
    <row r="261" spans="1:225" x14ac:dyDescent="0.25">
      <c r="A261" s="7">
        <v>636.29131349266538</v>
      </c>
      <c r="B261"/>
      <c r="C261"/>
      <c r="D261"/>
      <c r="E261"/>
    </row>
    <row r="262" spans="1:225" x14ac:dyDescent="0.25">
      <c r="A262" s="7">
        <v>623.81501322810334</v>
      </c>
      <c r="B262"/>
      <c r="C262"/>
      <c r="D262"/>
      <c r="E262"/>
      <c r="EA262" s="27" t="s">
        <v>8</v>
      </c>
    </row>
    <row r="263" spans="1:225" x14ac:dyDescent="0.25">
      <c r="A263" s="7">
        <v>611.58334630206207</v>
      </c>
      <c r="B263"/>
      <c r="C263"/>
      <c r="D263"/>
      <c r="E263"/>
      <c r="DY263" s="27" t="s">
        <v>8</v>
      </c>
      <c r="EA263" s="27" t="s">
        <v>8</v>
      </c>
      <c r="EB263" s="27" t="s">
        <v>7</v>
      </c>
    </row>
    <row r="264" spans="1:225" x14ac:dyDescent="0.25">
      <c r="A264" s="7">
        <v>599.59151598241374</v>
      </c>
      <c r="B264"/>
      <c r="C264"/>
      <c r="D264"/>
      <c r="E264"/>
      <c r="DY264" s="27" t="s">
        <v>8</v>
      </c>
      <c r="DZ264" s="27" t="s">
        <v>7</v>
      </c>
      <c r="EA264" s="27" t="s">
        <v>8</v>
      </c>
      <c r="EB264" s="27" t="s">
        <v>7</v>
      </c>
    </row>
    <row r="265" spans="1:225" x14ac:dyDescent="0.25">
      <c r="A265" s="7">
        <v>587.83481959060168</v>
      </c>
      <c r="B265"/>
      <c r="C265"/>
      <c r="D265"/>
      <c r="E265"/>
      <c r="DW265" s="27" t="s">
        <v>8</v>
      </c>
      <c r="DY265" s="27" t="s">
        <v>8</v>
      </c>
      <c r="DZ265" s="27" t="s">
        <v>7</v>
      </c>
      <c r="EA265" s="27" t="s">
        <v>8</v>
      </c>
      <c r="EB265" s="27" t="s">
        <v>7</v>
      </c>
    </row>
    <row r="266" spans="1:225" x14ac:dyDescent="0.25">
      <c r="A266" s="7">
        <v>576.30864665745264</v>
      </c>
      <c r="B266"/>
      <c r="C266"/>
      <c r="D266"/>
      <c r="E266"/>
      <c r="DW266" s="27" t="s">
        <v>8</v>
      </c>
      <c r="DX266" s="27" t="s">
        <v>7</v>
      </c>
      <c r="DY266" s="27" t="s">
        <v>8</v>
      </c>
      <c r="DZ266" s="27" t="s">
        <v>7</v>
      </c>
      <c r="EA266" s="27" t="s">
        <v>8</v>
      </c>
      <c r="EB266" s="27" t="s">
        <v>7</v>
      </c>
    </row>
    <row r="267" spans="1:225" x14ac:dyDescent="0.25">
      <c r="A267" s="7">
        <v>565.00847711514962</v>
      </c>
      <c r="B267"/>
      <c r="C267"/>
      <c r="D267"/>
      <c r="E267"/>
      <c r="DA267" s="27" t="s">
        <v>8</v>
      </c>
      <c r="DW267" s="27" t="s">
        <v>8</v>
      </c>
      <c r="DX267" s="27" t="s">
        <v>7</v>
      </c>
      <c r="DY267" s="27" t="s">
        <v>8</v>
      </c>
      <c r="DZ267" s="27" t="s">
        <v>7</v>
      </c>
      <c r="EA267" s="27" t="s">
        <v>8</v>
      </c>
      <c r="EB267" s="27" t="s">
        <v>7</v>
      </c>
    </row>
    <row r="268" spans="1:225" x14ac:dyDescent="0.25">
      <c r="A268" s="7">
        <v>553.92987952465649</v>
      </c>
      <c r="B268"/>
      <c r="C268"/>
      <c r="D268"/>
      <c r="E268"/>
      <c r="DA268" s="27" t="s">
        <v>8</v>
      </c>
      <c r="DB268" s="27" t="s">
        <v>7</v>
      </c>
      <c r="DW268" s="27" t="s">
        <v>8</v>
      </c>
      <c r="DX268" s="27" t="s">
        <v>7</v>
      </c>
      <c r="DY268" s="27" t="s">
        <v>8</v>
      </c>
      <c r="DZ268" s="27" t="s">
        <v>7</v>
      </c>
      <c r="EA268" s="27" t="s">
        <v>8</v>
      </c>
      <c r="EB268" s="27" t="s">
        <v>7</v>
      </c>
    </row>
    <row r="269" spans="1:225" x14ac:dyDescent="0.25">
      <c r="A269" s="7">
        <v>543.06850933789849</v>
      </c>
      <c r="B269"/>
      <c r="C269"/>
      <c r="D269"/>
      <c r="E269"/>
      <c r="DA269" s="27" t="s">
        <v>8</v>
      </c>
      <c r="DB269" s="27" t="s">
        <v>7</v>
      </c>
      <c r="DW269" s="27" t="s">
        <v>8</v>
      </c>
      <c r="DX269" s="27" t="s">
        <v>7</v>
      </c>
      <c r="DY269" s="27" t="s">
        <v>8</v>
      </c>
      <c r="DZ269" s="27" t="s">
        <v>7</v>
      </c>
      <c r="EA269" s="27" t="s">
        <v>8</v>
      </c>
      <c r="EB269" s="27" t="s">
        <v>7</v>
      </c>
    </row>
    <row r="270" spans="1:225" x14ac:dyDescent="0.25">
      <c r="A270" s="7">
        <v>532.4201071940181</v>
      </c>
      <c r="B270"/>
      <c r="C270"/>
      <c r="D270"/>
      <c r="E270"/>
      <c r="DA270" s="27" t="s">
        <v>8</v>
      </c>
      <c r="DB270" s="27" t="s">
        <v>7</v>
      </c>
      <c r="DW270" s="27" t="s">
        <v>8</v>
      </c>
      <c r="DX270" s="27" t="s">
        <v>7</v>
      </c>
      <c r="DY270" s="27" t="s">
        <v>8</v>
      </c>
      <c r="DZ270" s="27" t="s">
        <v>7</v>
      </c>
      <c r="EA270" s="27" t="s">
        <v>8</v>
      </c>
      <c r="EB270" s="27" t="s">
        <v>7</v>
      </c>
      <c r="EO270" s="27" t="s">
        <v>8</v>
      </c>
    </row>
    <row r="271" spans="1:225" x14ac:dyDescent="0.25">
      <c r="A271" s="7">
        <v>521.9804972490374</v>
      </c>
      <c r="B271"/>
      <c r="C271"/>
      <c r="D271"/>
      <c r="E271"/>
      <c r="DA271" s="27" t="s">
        <v>8</v>
      </c>
      <c r="DB271" s="27" t="s">
        <v>7</v>
      </c>
      <c r="DW271" s="27" t="s">
        <v>8</v>
      </c>
      <c r="DX271" s="27" t="s">
        <v>7</v>
      </c>
      <c r="DY271" s="27" t="s">
        <v>8</v>
      </c>
      <c r="DZ271" s="27" t="s">
        <v>7</v>
      </c>
      <c r="EA271" s="27" t="s">
        <v>8</v>
      </c>
      <c r="EB271" s="27" t="s">
        <v>7</v>
      </c>
      <c r="EO271" s="27" t="s">
        <v>8</v>
      </c>
      <c r="EP271" s="27" t="s">
        <v>7</v>
      </c>
    </row>
    <row r="272" spans="1:225" x14ac:dyDescent="0.25">
      <c r="A272" s="7">
        <v>511.74558553827194</v>
      </c>
      <c r="B272"/>
      <c r="C272"/>
      <c r="D272"/>
      <c r="E272"/>
      <c r="DA272" s="27" t="s">
        <v>8</v>
      </c>
      <c r="DB272" s="27" t="s">
        <v>7</v>
      </c>
      <c r="DW272" s="27" t="s">
        <v>8</v>
      </c>
      <c r="DX272" s="27" t="s">
        <v>7</v>
      </c>
      <c r="DZ272" s="27" t="s">
        <v>7</v>
      </c>
      <c r="EA272" s="27" t="s">
        <v>8</v>
      </c>
      <c r="EB272" s="27" t="s">
        <v>7</v>
      </c>
      <c r="EO272" s="27" t="s">
        <v>8</v>
      </c>
      <c r="EP272" s="27" t="s">
        <v>7</v>
      </c>
      <c r="HQ272" s="27" t="s">
        <v>8</v>
      </c>
    </row>
    <row r="273" spans="1:236" x14ac:dyDescent="0.25">
      <c r="A273" s="7">
        <v>501.71135837085484</v>
      </c>
      <c r="B273"/>
      <c r="C273"/>
      <c r="D273"/>
      <c r="E273"/>
      <c r="DA273" s="27" t="s">
        <v>8</v>
      </c>
      <c r="DB273" s="27" t="s">
        <v>7</v>
      </c>
      <c r="DW273" s="27" t="s">
        <v>8</v>
      </c>
      <c r="DZ273" s="27" t="s">
        <v>7</v>
      </c>
      <c r="EA273" s="27" t="s">
        <v>8</v>
      </c>
      <c r="EB273" s="27" t="s">
        <v>7</v>
      </c>
      <c r="EO273" s="27" t="s">
        <v>8</v>
      </c>
      <c r="EP273" s="27" t="s">
        <v>7</v>
      </c>
      <c r="HQ273" s="27" t="s">
        <v>8</v>
      </c>
      <c r="HR273" s="27" t="s">
        <v>7</v>
      </c>
    </row>
    <row r="274" spans="1:236" x14ac:dyDescent="0.25">
      <c r="A274" s="7">
        <v>491.87388075574</v>
      </c>
      <c r="B274"/>
      <c r="C274"/>
      <c r="D274"/>
      <c r="E274"/>
      <c r="DA274" s="27" t="s">
        <v>8</v>
      </c>
      <c r="DB274" s="27" t="s">
        <v>7</v>
      </c>
      <c r="DC274" s="27" t="s">
        <v>8</v>
      </c>
      <c r="DW274" s="27" t="s">
        <v>8</v>
      </c>
      <c r="DZ274" s="27" t="s">
        <v>7</v>
      </c>
      <c r="EA274" s="27" t="s">
        <v>8</v>
      </c>
      <c r="EB274" s="27" t="s">
        <v>7</v>
      </c>
      <c r="EO274" s="27" t="s">
        <v>8</v>
      </c>
      <c r="EP274" s="27" t="s">
        <v>7</v>
      </c>
      <c r="HQ274" s="27" t="s">
        <v>8</v>
      </c>
      <c r="HR274" s="27" t="s">
        <v>7</v>
      </c>
    </row>
    <row r="275" spans="1:236" x14ac:dyDescent="0.25">
      <c r="A275" s="7">
        <v>482.22929485856861</v>
      </c>
      <c r="B275"/>
      <c r="C275"/>
      <c r="D275"/>
      <c r="E275"/>
      <c r="CY275" s="27" t="s">
        <v>8</v>
      </c>
      <c r="DA275" s="27" t="s">
        <v>8</v>
      </c>
      <c r="DB275" s="27" t="s">
        <v>7</v>
      </c>
      <c r="DC275" s="27" t="s">
        <v>8</v>
      </c>
      <c r="DD275" s="27" t="s">
        <v>7</v>
      </c>
      <c r="DI275" s="27" t="s">
        <v>8</v>
      </c>
      <c r="DK275" s="27" t="s">
        <v>8</v>
      </c>
      <c r="DW275" s="27" t="s">
        <v>8</v>
      </c>
      <c r="DZ275" s="27" t="s">
        <v>7</v>
      </c>
      <c r="EB275" s="27" t="s">
        <v>7</v>
      </c>
      <c r="EK275" s="27" t="s">
        <v>8</v>
      </c>
      <c r="EO275" s="27" t="s">
        <v>8</v>
      </c>
      <c r="EP275" s="27" t="s">
        <v>7</v>
      </c>
      <c r="HQ275" s="27" t="s">
        <v>8</v>
      </c>
      <c r="HR275" s="27" t="s">
        <v>7</v>
      </c>
    </row>
    <row r="276" spans="1:236" x14ac:dyDescent="0.25">
      <c r="A276" s="7">
        <v>472.77381848879276</v>
      </c>
      <c r="B276"/>
      <c r="C276"/>
      <c r="D276"/>
      <c r="E276"/>
      <c r="CY276" s="27" t="s">
        <v>8</v>
      </c>
      <c r="CZ276" s="27" t="s">
        <v>7</v>
      </c>
      <c r="DA276" s="27" t="s">
        <v>8</v>
      </c>
      <c r="DB276" s="27" t="s">
        <v>7</v>
      </c>
      <c r="DC276" s="27" t="s">
        <v>8</v>
      </c>
      <c r="DD276" s="27" t="s">
        <v>7</v>
      </c>
      <c r="DI276" s="27" t="s">
        <v>8</v>
      </c>
      <c r="DJ276" s="27" t="s">
        <v>7</v>
      </c>
      <c r="DK276" s="27" t="s">
        <v>8</v>
      </c>
      <c r="DL276" s="27" t="s">
        <v>7</v>
      </c>
      <c r="DU276" s="27" t="s">
        <v>8</v>
      </c>
      <c r="DW276" s="27" t="s">
        <v>8</v>
      </c>
      <c r="EB276" s="27" t="s">
        <v>7</v>
      </c>
      <c r="EK276" s="27" t="s">
        <v>8</v>
      </c>
      <c r="EL276" s="27" t="s">
        <v>7</v>
      </c>
      <c r="EO276" s="27" t="s">
        <v>8</v>
      </c>
      <c r="EP276" s="27" t="s">
        <v>7</v>
      </c>
      <c r="HQ276" s="27" t="s">
        <v>8</v>
      </c>
      <c r="HR276" s="27" t="s">
        <v>7</v>
      </c>
    </row>
    <row r="277" spans="1:236" x14ac:dyDescent="0.25">
      <c r="A277" s="7">
        <v>463.50374361646345</v>
      </c>
      <c r="B277"/>
      <c r="C277"/>
      <c r="D277"/>
      <c r="E277"/>
      <c r="CY277" s="27" t="s">
        <v>8</v>
      </c>
      <c r="CZ277" s="27" t="s">
        <v>7</v>
      </c>
      <c r="DA277" s="27" t="s">
        <v>8</v>
      </c>
      <c r="DB277" s="27" t="s">
        <v>7</v>
      </c>
      <c r="DC277" s="27" t="s">
        <v>8</v>
      </c>
      <c r="DD277" s="27" t="s">
        <v>7</v>
      </c>
      <c r="DE277" s="27" t="s">
        <v>8</v>
      </c>
      <c r="DG277" s="27" t="s">
        <v>8</v>
      </c>
      <c r="DI277" s="27" t="s">
        <v>8</v>
      </c>
      <c r="DJ277" s="27" t="s">
        <v>7</v>
      </c>
      <c r="DK277" s="27" t="s">
        <v>8</v>
      </c>
      <c r="DL277" s="27" t="s">
        <v>7</v>
      </c>
      <c r="DU277" s="27" t="s">
        <v>8</v>
      </c>
      <c r="DV277" s="27" t="s">
        <v>7</v>
      </c>
      <c r="DW277" s="27" t="s">
        <v>8</v>
      </c>
      <c r="EB277" s="27" t="s">
        <v>7</v>
      </c>
      <c r="EK277" s="27" t="s">
        <v>8</v>
      </c>
      <c r="EL277" s="27" t="s">
        <v>7</v>
      </c>
      <c r="EO277" s="27" t="s">
        <v>8</v>
      </c>
      <c r="EP277" s="27" t="s">
        <v>7</v>
      </c>
      <c r="HO277" s="27" t="s">
        <v>8</v>
      </c>
      <c r="HQ277" s="27" t="s">
        <v>8</v>
      </c>
      <c r="HR277" s="27" t="s">
        <v>7</v>
      </c>
    </row>
    <row r="278" spans="1:236" x14ac:dyDescent="0.25">
      <c r="A278" s="7">
        <v>454.41543491810143</v>
      </c>
      <c r="B278"/>
      <c r="C278"/>
      <c r="D278"/>
      <c r="E278"/>
      <c r="CW278" s="27" t="s">
        <v>8</v>
      </c>
      <c r="CY278" s="27" t="s">
        <v>8</v>
      </c>
      <c r="CZ278" s="27" t="s">
        <v>7</v>
      </c>
      <c r="DA278" s="27" t="s">
        <v>8</v>
      </c>
      <c r="DB278" s="27" t="s">
        <v>7</v>
      </c>
      <c r="DC278" s="27" t="s">
        <v>8</v>
      </c>
      <c r="DD278" s="27" t="s">
        <v>7</v>
      </c>
      <c r="DE278" s="27" t="s">
        <v>8</v>
      </c>
      <c r="DF278" s="27" t="s">
        <v>7</v>
      </c>
      <c r="DG278" s="27" t="s">
        <v>8</v>
      </c>
      <c r="DH278" s="27" t="s">
        <v>7</v>
      </c>
      <c r="DI278" s="27" t="s">
        <v>8</v>
      </c>
      <c r="DJ278" s="27" t="s">
        <v>7</v>
      </c>
      <c r="DK278" s="27" t="s">
        <v>8</v>
      </c>
      <c r="DL278" s="27" t="s">
        <v>7</v>
      </c>
      <c r="DU278" s="27" t="s">
        <v>8</v>
      </c>
      <c r="DV278" s="27" t="s">
        <v>7</v>
      </c>
      <c r="DW278" s="27" t="s">
        <v>8</v>
      </c>
      <c r="EB278" s="27" t="s">
        <v>7</v>
      </c>
      <c r="EK278" s="27" t="s">
        <v>8</v>
      </c>
      <c r="EL278" s="27" t="s">
        <v>7</v>
      </c>
      <c r="EO278" s="27" t="s">
        <v>8</v>
      </c>
      <c r="EP278" s="27" t="s">
        <v>7</v>
      </c>
      <c r="HM278" s="27" t="s">
        <v>8</v>
      </c>
      <c r="HO278" s="27" t="s">
        <v>8</v>
      </c>
      <c r="HP278" s="27" t="s">
        <v>7</v>
      </c>
      <c r="HQ278" s="27" t="s">
        <v>8</v>
      </c>
      <c r="HR278" s="27" t="s">
        <v>7</v>
      </c>
    </row>
    <row r="279" spans="1:236" x14ac:dyDescent="0.25">
      <c r="A279" s="7">
        <v>445.50532835107981</v>
      </c>
      <c r="B279"/>
      <c r="C279"/>
      <c r="D279"/>
      <c r="E279"/>
      <c r="CW279" s="27" t="s">
        <v>8</v>
      </c>
      <c r="CX279" s="27" t="s">
        <v>7</v>
      </c>
      <c r="CY279" s="27" t="s">
        <v>8</v>
      </c>
      <c r="CZ279" s="27" t="s">
        <v>7</v>
      </c>
      <c r="DA279" s="27" t="s">
        <v>8</v>
      </c>
      <c r="DB279" s="27" t="s">
        <v>7</v>
      </c>
      <c r="DC279" s="27" t="s">
        <v>8</v>
      </c>
      <c r="DD279" s="27" t="s">
        <v>7</v>
      </c>
      <c r="DE279" s="27" t="s">
        <v>8</v>
      </c>
      <c r="DF279" s="27" t="s">
        <v>7</v>
      </c>
      <c r="DG279" s="27" t="s">
        <v>8</v>
      </c>
      <c r="DH279" s="27" t="s">
        <v>7</v>
      </c>
      <c r="DI279" s="27" t="s">
        <v>8</v>
      </c>
      <c r="DJ279" s="27" t="s">
        <v>7</v>
      </c>
      <c r="DK279" s="27" t="s">
        <v>8</v>
      </c>
      <c r="DL279" s="27" t="s">
        <v>7</v>
      </c>
      <c r="DU279" s="27" t="s">
        <v>8</v>
      </c>
      <c r="DV279" s="27" t="s">
        <v>7</v>
      </c>
      <c r="DW279" s="27" t="s">
        <v>8</v>
      </c>
      <c r="EB279" s="27" t="s">
        <v>7</v>
      </c>
      <c r="EC279" s="27" t="s">
        <v>8</v>
      </c>
      <c r="EK279" s="27" t="s">
        <v>8</v>
      </c>
      <c r="EL279" s="27" t="s">
        <v>7</v>
      </c>
      <c r="EM279" s="27" t="s">
        <v>8</v>
      </c>
      <c r="EO279" s="27" t="s">
        <v>8</v>
      </c>
      <c r="EP279" s="27" t="s">
        <v>7</v>
      </c>
      <c r="EQ279" s="27" t="s">
        <v>8</v>
      </c>
      <c r="GO279" s="27" t="s">
        <v>8</v>
      </c>
      <c r="HM279" s="27" t="s">
        <v>8</v>
      </c>
      <c r="HN279" s="27" t="s">
        <v>7</v>
      </c>
      <c r="HO279" s="27" t="s">
        <v>8</v>
      </c>
      <c r="HP279" s="27" t="s">
        <v>7</v>
      </c>
      <c r="HQ279" s="27" t="s">
        <v>8</v>
      </c>
      <c r="HR279" s="27" t="s">
        <v>7</v>
      </c>
      <c r="HS279" s="27" t="s">
        <v>8</v>
      </c>
    </row>
    <row r="280" spans="1:236" x14ac:dyDescent="0.25">
      <c r="A280" s="7">
        <v>436.76992975596062</v>
      </c>
      <c r="B280"/>
      <c r="C280"/>
      <c r="D280"/>
      <c r="E280"/>
      <c r="CW280" s="27" t="s">
        <v>8</v>
      </c>
      <c r="CX280" s="27" t="s">
        <v>7</v>
      </c>
      <c r="CY280" s="27" t="s">
        <v>8</v>
      </c>
      <c r="CZ280" s="27" t="s">
        <v>7</v>
      </c>
      <c r="DA280" s="27" t="s">
        <v>8</v>
      </c>
      <c r="DB280" s="27" t="s">
        <v>7</v>
      </c>
      <c r="DC280" s="27" t="s">
        <v>8</v>
      </c>
      <c r="DD280" s="27" t="s">
        <v>7</v>
      </c>
      <c r="DE280" s="27" t="s">
        <v>8</v>
      </c>
      <c r="DF280" s="27" t="s">
        <v>7</v>
      </c>
      <c r="DG280" s="27" t="s">
        <v>8</v>
      </c>
      <c r="DH280" s="27" t="s">
        <v>7</v>
      </c>
      <c r="DI280" s="27" t="s">
        <v>8</v>
      </c>
      <c r="DJ280" s="27" t="s">
        <v>7</v>
      </c>
      <c r="DK280" s="27" t="s">
        <v>8</v>
      </c>
      <c r="DL280" s="27" t="s">
        <v>7</v>
      </c>
      <c r="DS280" s="27" t="s">
        <v>8</v>
      </c>
      <c r="DU280" s="27" t="s">
        <v>8</v>
      </c>
      <c r="DV280" s="27" t="s">
        <v>7</v>
      </c>
      <c r="DW280" s="27" t="s">
        <v>8</v>
      </c>
      <c r="EB280" s="27" t="s">
        <v>7</v>
      </c>
      <c r="EC280" s="27" t="s">
        <v>8</v>
      </c>
      <c r="ED280" s="27" t="s">
        <v>7</v>
      </c>
      <c r="EK280" s="27" t="s">
        <v>8</v>
      </c>
      <c r="EL280" s="27" t="s">
        <v>7</v>
      </c>
      <c r="EM280" s="27" t="s">
        <v>8</v>
      </c>
      <c r="EN280" s="27" t="s">
        <v>7</v>
      </c>
      <c r="EO280" s="27" t="s">
        <v>8</v>
      </c>
      <c r="EP280" s="27" t="s">
        <v>7</v>
      </c>
      <c r="EQ280" s="27" t="s">
        <v>8</v>
      </c>
      <c r="ER280" s="27" t="s">
        <v>7</v>
      </c>
      <c r="GO280" s="27" t="s">
        <v>8</v>
      </c>
      <c r="GP280" s="27" t="s">
        <v>7</v>
      </c>
      <c r="GQ280" s="27" t="s">
        <v>8</v>
      </c>
      <c r="HM280" s="27" t="s">
        <v>8</v>
      </c>
      <c r="HN280" s="27" t="s">
        <v>7</v>
      </c>
      <c r="HO280" s="27" t="s">
        <v>8</v>
      </c>
      <c r="HP280" s="27" t="s">
        <v>7</v>
      </c>
      <c r="HR280" s="27" t="s">
        <v>7</v>
      </c>
      <c r="HS280" s="27" t="s">
        <v>8</v>
      </c>
      <c r="HT280" s="27" t="s">
        <v>7</v>
      </c>
      <c r="HU280" s="27" t="s">
        <v>8</v>
      </c>
    </row>
    <row r="281" spans="1:236" x14ac:dyDescent="0.25">
      <c r="A281" s="7">
        <v>428.20581348623591</v>
      </c>
      <c r="B281"/>
      <c r="C281"/>
      <c r="D281"/>
      <c r="E281"/>
      <c r="CW281" s="27" t="s">
        <v>8</v>
      </c>
      <c r="CX281" s="27" t="s">
        <v>7</v>
      </c>
      <c r="CY281" s="27" t="s">
        <v>8</v>
      </c>
      <c r="CZ281" s="27" t="s">
        <v>7</v>
      </c>
      <c r="DA281" s="27" t="s">
        <v>8</v>
      </c>
      <c r="DB281" s="27" t="s">
        <v>7</v>
      </c>
      <c r="DC281" s="27" t="s">
        <v>8</v>
      </c>
      <c r="DD281" s="27" t="s">
        <v>7</v>
      </c>
      <c r="DF281" s="27" t="s">
        <v>7</v>
      </c>
      <c r="DG281" s="27" t="s">
        <v>8</v>
      </c>
      <c r="DH281" s="27" t="s">
        <v>7</v>
      </c>
      <c r="DI281" s="27" t="s">
        <v>8</v>
      </c>
      <c r="DJ281" s="27" t="s">
        <v>7</v>
      </c>
      <c r="DL281" s="27" t="s">
        <v>7</v>
      </c>
      <c r="DS281" s="27" t="s">
        <v>8</v>
      </c>
      <c r="DT281" s="27" t="s">
        <v>7</v>
      </c>
      <c r="DU281" s="27" t="s">
        <v>8</v>
      </c>
      <c r="DV281" s="27" t="s">
        <v>7</v>
      </c>
      <c r="DW281" s="27" t="s">
        <v>8</v>
      </c>
      <c r="EB281" s="27" t="s">
        <v>7</v>
      </c>
      <c r="EC281" s="27" t="s">
        <v>8</v>
      </c>
      <c r="ED281" s="27" t="s">
        <v>7</v>
      </c>
      <c r="EK281" s="27" t="s">
        <v>8</v>
      </c>
      <c r="EL281" s="27" t="s">
        <v>7</v>
      </c>
      <c r="EM281" s="27" t="s">
        <v>8</v>
      </c>
      <c r="EN281" s="27" t="s">
        <v>7</v>
      </c>
      <c r="EO281" s="27" t="s">
        <v>8</v>
      </c>
      <c r="EP281" s="27" t="s">
        <v>7</v>
      </c>
      <c r="EQ281" s="27" t="s">
        <v>8</v>
      </c>
      <c r="ER281" s="27" t="s">
        <v>7</v>
      </c>
      <c r="GK281" s="27" t="s">
        <v>8</v>
      </c>
      <c r="GO281" s="27" t="s">
        <v>8</v>
      </c>
      <c r="GP281" s="27" t="s">
        <v>7</v>
      </c>
      <c r="GQ281" s="27" t="s">
        <v>8</v>
      </c>
      <c r="GR281" s="27" t="s">
        <v>7</v>
      </c>
      <c r="HM281" s="27" t="s">
        <v>8</v>
      </c>
      <c r="HN281" s="27" t="s">
        <v>7</v>
      </c>
      <c r="HR281" s="27" t="s">
        <v>7</v>
      </c>
      <c r="HS281" s="27" t="s">
        <v>8</v>
      </c>
      <c r="HT281" s="27" t="s">
        <v>7</v>
      </c>
      <c r="HU281" s="27" t="s">
        <v>8</v>
      </c>
      <c r="HV281" s="27" t="s">
        <v>7</v>
      </c>
    </row>
    <row r="282" spans="1:236" x14ac:dyDescent="0.25">
      <c r="A282" s="7">
        <v>419.80962106493718</v>
      </c>
      <c r="B282"/>
      <c r="C282"/>
      <c r="D282"/>
      <c r="E282"/>
      <c r="CU282" s="27" t="s">
        <v>8</v>
      </c>
      <c r="CW282" s="27" t="s">
        <v>8</v>
      </c>
      <c r="CX282" s="27" t="s">
        <v>7</v>
      </c>
      <c r="CZ282" s="27" t="s">
        <v>7</v>
      </c>
      <c r="DA282" s="27" t="s">
        <v>8</v>
      </c>
      <c r="DB282" s="27" t="s">
        <v>7</v>
      </c>
      <c r="DF282" s="27" t="s">
        <v>7</v>
      </c>
      <c r="DG282" s="27" t="s">
        <v>8</v>
      </c>
      <c r="DH282" s="27" t="s">
        <v>7</v>
      </c>
      <c r="DI282" s="27" t="s">
        <v>8</v>
      </c>
      <c r="DL282" s="27" t="s">
        <v>7</v>
      </c>
      <c r="DQ282" s="27" t="s">
        <v>8</v>
      </c>
      <c r="DS282" s="27" t="s">
        <v>8</v>
      </c>
      <c r="DT282" s="27" t="s">
        <v>7</v>
      </c>
      <c r="DU282" s="27" t="s">
        <v>8</v>
      </c>
      <c r="DV282" s="27" t="s">
        <v>7</v>
      </c>
      <c r="DW282" s="27" t="s">
        <v>8</v>
      </c>
      <c r="EB282" s="27" t="s">
        <v>7</v>
      </c>
      <c r="EC282" s="27" t="s">
        <v>8</v>
      </c>
      <c r="ED282" s="27" t="s">
        <v>7</v>
      </c>
      <c r="EK282" s="27" t="s">
        <v>8</v>
      </c>
      <c r="EL282" s="27" t="s">
        <v>7</v>
      </c>
      <c r="EM282" s="27" t="s">
        <v>8</v>
      </c>
      <c r="EN282" s="27" t="s">
        <v>7</v>
      </c>
      <c r="EO282" s="27" t="s">
        <v>8</v>
      </c>
      <c r="EP282" s="27" t="s">
        <v>7</v>
      </c>
      <c r="EQ282" s="27" t="s">
        <v>8</v>
      </c>
      <c r="ER282" s="27" t="s">
        <v>7</v>
      </c>
      <c r="GI282" s="27" t="s">
        <v>8</v>
      </c>
      <c r="GK282" s="27" t="s">
        <v>8</v>
      </c>
      <c r="GL282" s="27" t="s">
        <v>7</v>
      </c>
      <c r="GM282" s="27" t="s">
        <v>8</v>
      </c>
      <c r="GO282" s="27" t="s">
        <v>8</v>
      </c>
      <c r="GP282" s="27" t="s">
        <v>7</v>
      </c>
      <c r="GQ282" s="27" t="s">
        <v>8</v>
      </c>
      <c r="GR282" s="27" t="s">
        <v>7</v>
      </c>
      <c r="GS282" s="27" t="s">
        <v>8</v>
      </c>
      <c r="HM282" s="27" t="s">
        <v>8</v>
      </c>
      <c r="HR282" s="27" t="s">
        <v>7</v>
      </c>
      <c r="HS282" s="27" t="s">
        <v>8</v>
      </c>
      <c r="HT282" s="27" t="s">
        <v>7</v>
      </c>
      <c r="HU282" s="27" t="s">
        <v>8</v>
      </c>
      <c r="HV282" s="27" t="s">
        <v>7</v>
      </c>
    </row>
    <row r="283" spans="1:236" x14ac:dyDescent="0.25">
      <c r="A283" s="7">
        <v>411.57805986758547</v>
      </c>
      <c r="B283"/>
      <c r="C283"/>
      <c r="D283"/>
      <c r="E283"/>
      <c r="CU283" s="27" t="s">
        <v>8</v>
      </c>
      <c r="CV283" s="27" t="s">
        <v>7</v>
      </c>
      <c r="CW283" s="27" t="s">
        <v>8</v>
      </c>
      <c r="CZ283" s="27" t="s">
        <v>7</v>
      </c>
      <c r="DA283" s="27" t="s">
        <v>8</v>
      </c>
      <c r="DF283" s="27" t="s">
        <v>7</v>
      </c>
      <c r="DG283" s="27" t="s">
        <v>8</v>
      </c>
      <c r="DH283" s="27" t="s">
        <v>7</v>
      </c>
      <c r="DL283" s="27" t="s">
        <v>7</v>
      </c>
      <c r="DQ283" s="27" t="s">
        <v>8</v>
      </c>
      <c r="DR283" s="27" t="s">
        <v>7</v>
      </c>
      <c r="DS283" s="27" t="s">
        <v>8</v>
      </c>
      <c r="DT283" s="27" t="s">
        <v>7</v>
      </c>
      <c r="DU283" s="27" t="s">
        <v>8</v>
      </c>
      <c r="DV283" s="27" t="s">
        <v>7</v>
      </c>
      <c r="DW283" s="27" t="s">
        <v>8</v>
      </c>
      <c r="EB283" s="27" t="s">
        <v>7</v>
      </c>
      <c r="EC283" s="27" t="s">
        <v>8</v>
      </c>
      <c r="ED283" s="27" t="s">
        <v>7</v>
      </c>
      <c r="EK283" s="27" t="s">
        <v>8</v>
      </c>
      <c r="EL283" s="27" t="s">
        <v>7</v>
      </c>
      <c r="EM283" s="27" t="s">
        <v>8</v>
      </c>
      <c r="EN283" s="27" t="s">
        <v>7</v>
      </c>
      <c r="EO283" s="27" t="s">
        <v>8</v>
      </c>
      <c r="EP283" s="27" t="s">
        <v>7</v>
      </c>
      <c r="EQ283" s="27" t="s">
        <v>8</v>
      </c>
      <c r="ER283" s="27" t="s">
        <v>7</v>
      </c>
      <c r="GI283" s="27" t="s">
        <v>8</v>
      </c>
      <c r="GJ283" s="27" t="s">
        <v>7</v>
      </c>
      <c r="GK283" s="27" t="s">
        <v>8</v>
      </c>
      <c r="GL283" s="27" t="s">
        <v>7</v>
      </c>
      <c r="GM283" s="27" t="s">
        <v>8</v>
      </c>
      <c r="GN283" s="27" t="s">
        <v>7</v>
      </c>
      <c r="GO283" s="27" t="s">
        <v>8</v>
      </c>
      <c r="GP283" s="27" t="s">
        <v>7</v>
      </c>
      <c r="GQ283" s="27" t="s">
        <v>8</v>
      </c>
      <c r="GR283" s="27" t="s">
        <v>7</v>
      </c>
      <c r="GS283" s="27" t="s">
        <v>8</v>
      </c>
      <c r="GT283" s="27" t="s">
        <v>7</v>
      </c>
      <c r="HK283" s="27" t="s">
        <v>8</v>
      </c>
      <c r="HM283" s="27" t="s">
        <v>8</v>
      </c>
      <c r="HR283" s="27" t="s">
        <v>7</v>
      </c>
      <c r="HS283" s="27" t="s">
        <v>8</v>
      </c>
      <c r="HT283" s="27" t="s">
        <v>7</v>
      </c>
      <c r="HV283" s="27" t="s">
        <v>7</v>
      </c>
    </row>
    <row r="284" spans="1:236" x14ac:dyDescent="0.25">
      <c r="A284" s="7">
        <v>403.50790183096615</v>
      </c>
      <c r="B284"/>
      <c r="C284"/>
      <c r="D284"/>
      <c r="E284"/>
      <c r="CU284" s="27" t="s">
        <v>8</v>
      </c>
      <c r="CV284" s="27" t="s">
        <v>7</v>
      </c>
      <c r="CW284" s="27" t="s">
        <v>8</v>
      </c>
      <c r="CZ284" s="27" t="s">
        <v>7</v>
      </c>
      <c r="DA284" s="27" t="s">
        <v>8</v>
      </c>
      <c r="DF284" s="27" t="s">
        <v>7</v>
      </c>
      <c r="DG284" s="27" t="s">
        <v>8</v>
      </c>
      <c r="DL284" s="27" t="s">
        <v>7</v>
      </c>
      <c r="DQ284" s="27" t="s">
        <v>8</v>
      </c>
      <c r="DR284" s="27" t="s">
        <v>7</v>
      </c>
      <c r="DS284" s="27" t="s">
        <v>8</v>
      </c>
      <c r="DT284" s="27" t="s">
        <v>7</v>
      </c>
      <c r="DU284" s="27" t="s">
        <v>8</v>
      </c>
      <c r="DV284" s="27" t="s">
        <v>7</v>
      </c>
      <c r="DW284" s="27" t="s">
        <v>8</v>
      </c>
      <c r="EB284" s="27" t="s">
        <v>7</v>
      </c>
      <c r="EC284" s="27" t="s">
        <v>8</v>
      </c>
      <c r="ED284" s="27" t="s">
        <v>7</v>
      </c>
      <c r="EK284" s="27" t="s">
        <v>8</v>
      </c>
      <c r="EL284" s="27" t="s">
        <v>7</v>
      </c>
      <c r="EM284" s="27" t="s">
        <v>8</v>
      </c>
      <c r="EN284" s="27" t="s">
        <v>7</v>
      </c>
      <c r="EO284" s="27" t="s">
        <v>8</v>
      </c>
      <c r="EP284" s="27" t="s">
        <v>7</v>
      </c>
      <c r="EQ284" s="27" t="s">
        <v>8</v>
      </c>
      <c r="ER284" s="27" t="s">
        <v>7</v>
      </c>
      <c r="GI284" s="27" t="s">
        <v>8</v>
      </c>
      <c r="GJ284" s="27" t="s">
        <v>7</v>
      </c>
      <c r="GK284" s="27" t="s">
        <v>8</v>
      </c>
      <c r="GL284" s="27" t="s">
        <v>7</v>
      </c>
      <c r="GM284" s="27" t="s">
        <v>8</v>
      </c>
      <c r="GN284" s="27" t="s">
        <v>7</v>
      </c>
      <c r="GO284" s="27" t="s">
        <v>8</v>
      </c>
      <c r="GP284" s="27" t="s">
        <v>7</v>
      </c>
      <c r="GQ284" s="27" t="s">
        <v>8</v>
      </c>
      <c r="GR284" s="27" t="s">
        <v>7</v>
      </c>
      <c r="GS284" s="27" t="s">
        <v>8</v>
      </c>
      <c r="GT284" s="27" t="s">
        <v>7</v>
      </c>
      <c r="HK284" s="27" t="s">
        <v>8</v>
      </c>
      <c r="HL284" s="27" t="s">
        <v>7</v>
      </c>
      <c r="HM284" s="27" t="s">
        <v>8</v>
      </c>
      <c r="HR284" s="27" t="s">
        <v>7</v>
      </c>
      <c r="HS284" s="27" t="s">
        <v>8</v>
      </c>
      <c r="HV284" s="27" t="s">
        <v>7</v>
      </c>
      <c r="IA284" s="27" t="s">
        <v>8</v>
      </c>
    </row>
    <row r="285" spans="1:236" x14ac:dyDescent="0.25">
      <c r="A285" s="7">
        <v>395.59598218722169</v>
      </c>
      <c r="B285"/>
      <c r="C285"/>
      <c r="D285"/>
      <c r="E285"/>
      <c r="CU285" s="27" t="s">
        <v>8</v>
      </c>
      <c r="CV285" s="27" t="s">
        <v>7</v>
      </c>
      <c r="CW285" s="27" t="s">
        <v>8</v>
      </c>
      <c r="CZ285" s="27" t="s">
        <v>7</v>
      </c>
      <c r="DA285" s="27" t="s">
        <v>8</v>
      </c>
      <c r="DF285" s="27" t="s">
        <v>7</v>
      </c>
      <c r="DG285" s="27" t="s">
        <v>8</v>
      </c>
      <c r="DL285" s="27" t="s">
        <v>7</v>
      </c>
      <c r="DQ285" s="27" t="s">
        <v>8</v>
      </c>
      <c r="DR285" s="27" t="s">
        <v>7</v>
      </c>
      <c r="DS285" s="27" t="s">
        <v>8</v>
      </c>
      <c r="DT285" s="27" t="s">
        <v>7</v>
      </c>
      <c r="DU285" s="27" t="s">
        <v>8</v>
      </c>
      <c r="DV285" s="27" t="s">
        <v>7</v>
      </c>
      <c r="DW285" s="27" t="s">
        <v>8</v>
      </c>
      <c r="EB285" s="27" t="s">
        <v>7</v>
      </c>
      <c r="EC285" s="27" t="s">
        <v>8</v>
      </c>
      <c r="ED285" s="27" t="s">
        <v>7</v>
      </c>
      <c r="EK285" s="27" t="s">
        <v>8</v>
      </c>
      <c r="EL285" s="27" t="s">
        <v>7</v>
      </c>
      <c r="EM285" s="27" t="s">
        <v>8</v>
      </c>
      <c r="EN285" s="27" t="s">
        <v>7</v>
      </c>
      <c r="EO285" s="27" t="s">
        <v>8</v>
      </c>
      <c r="EP285" s="27" t="s">
        <v>7</v>
      </c>
      <c r="EQ285" s="27" t="s">
        <v>8</v>
      </c>
      <c r="ER285" s="27" t="s">
        <v>7</v>
      </c>
      <c r="GI285" s="27" t="s">
        <v>8</v>
      </c>
      <c r="GJ285" s="27" t="s">
        <v>7</v>
      </c>
      <c r="GK285" s="27" t="s">
        <v>8</v>
      </c>
      <c r="GL285" s="27" t="s">
        <v>7</v>
      </c>
      <c r="GM285" s="27" t="s">
        <v>8</v>
      </c>
      <c r="GN285" s="27" t="s">
        <v>7</v>
      </c>
      <c r="GO285" s="27" t="s">
        <v>8</v>
      </c>
      <c r="GP285" s="27" t="s">
        <v>7</v>
      </c>
      <c r="GQ285" s="27" t="s">
        <v>8</v>
      </c>
      <c r="GR285" s="27" t="s">
        <v>7</v>
      </c>
      <c r="GS285" s="27" t="s">
        <v>8</v>
      </c>
      <c r="GT285" s="27" t="s">
        <v>7</v>
      </c>
      <c r="HK285" s="27" t="s">
        <v>8</v>
      </c>
      <c r="HL285" s="27" t="s">
        <v>7</v>
      </c>
      <c r="HM285" s="27" t="s">
        <v>8</v>
      </c>
      <c r="HR285" s="27" t="s">
        <v>7</v>
      </c>
      <c r="HS285" s="27" t="s">
        <v>8</v>
      </c>
      <c r="HV285" s="27" t="s">
        <v>7</v>
      </c>
      <c r="IA285" s="27" t="s">
        <v>8</v>
      </c>
      <c r="IB285" s="27" t="s">
        <v>7</v>
      </c>
    </row>
    <row r="286" spans="1:236" x14ac:dyDescent="0.25">
      <c r="A286" s="7">
        <v>387.83919822276636</v>
      </c>
      <c r="B286"/>
      <c r="C286"/>
      <c r="D286"/>
      <c r="E286"/>
      <c r="CU286" s="27" t="s">
        <v>8</v>
      </c>
      <c r="CV286" s="27" t="s">
        <v>7</v>
      </c>
      <c r="CW286" s="27" t="s">
        <v>8</v>
      </c>
      <c r="CZ286" s="27" t="s">
        <v>7</v>
      </c>
      <c r="DA286" s="27" t="s">
        <v>8</v>
      </c>
      <c r="DF286" s="27" t="s">
        <v>7</v>
      </c>
      <c r="DG286" s="27" t="s">
        <v>8</v>
      </c>
      <c r="DL286" s="27" t="s">
        <v>7</v>
      </c>
      <c r="DM286" s="27" t="s">
        <v>8</v>
      </c>
      <c r="DQ286" s="27" t="s">
        <v>8</v>
      </c>
      <c r="DR286" s="27" t="s">
        <v>7</v>
      </c>
      <c r="DS286" s="27" t="s">
        <v>8</v>
      </c>
      <c r="DT286" s="27" t="s">
        <v>7</v>
      </c>
      <c r="DV286" s="27" t="s">
        <v>7</v>
      </c>
      <c r="DW286" s="27" t="s">
        <v>8</v>
      </c>
      <c r="EB286" s="27" t="s">
        <v>7</v>
      </c>
      <c r="EC286" s="27" t="s">
        <v>8</v>
      </c>
      <c r="ED286" s="27" t="s">
        <v>7</v>
      </c>
      <c r="EK286" s="27" t="s">
        <v>8</v>
      </c>
      <c r="EL286" s="27" t="s">
        <v>7</v>
      </c>
      <c r="EM286" s="27" t="s">
        <v>8</v>
      </c>
      <c r="EN286" s="27" t="s">
        <v>7</v>
      </c>
      <c r="EO286" s="27" t="s">
        <v>8</v>
      </c>
      <c r="EP286" s="27" t="s">
        <v>7</v>
      </c>
      <c r="ER286" s="27" t="s">
        <v>7</v>
      </c>
      <c r="GI286" s="27" t="s">
        <v>8</v>
      </c>
      <c r="GJ286" s="27" t="s">
        <v>7</v>
      </c>
      <c r="GK286" s="27" t="s">
        <v>8</v>
      </c>
      <c r="GL286" s="27" t="s">
        <v>7</v>
      </c>
      <c r="GM286" s="27" t="s">
        <v>8</v>
      </c>
      <c r="GN286" s="27" t="s">
        <v>7</v>
      </c>
      <c r="GO286" s="27" t="s">
        <v>8</v>
      </c>
      <c r="GP286" s="27" t="s">
        <v>7</v>
      </c>
      <c r="GQ286" s="27" t="s">
        <v>8</v>
      </c>
      <c r="GR286" s="27" t="s">
        <v>7</v>
      </c>
      <c r="GT286" s="27" t="s">
        <v>7</v>
      </c>
      <c r="HK286" s="27" t="s">
        <v>8</v>
      </c>
      <c r="HL286" s="27" t="s">
        <v>7</v>
      </c>
      <c r="HM286" s="27" t="s">
        <v>8</v>
      </c>
      <c r="HR286" s="27" t="s">
        <v>7</v>
      </c>
      <c r="HV286" s="27" t="s">
        <v>7</v>
      </c>
      <c r="IA286" s="27" t="s">
        <v>8</v>
      </c>
      <c r="IB286" s="27" t="s">
        <v>7</v>
      </c>
    </row>
    <row r="287" spans="1:236" x14ac:dyDescent="0.25">
      <c r="A287" s="7">
        <v>380.23450806153562</v>
      </c>
      <c r="B287"/>
      <c r="C287"/>
      <c r="D287"/>
      <c r="E287"/>
      <c r="CU287" s="27" t="s">
        <v>8</v>
      </c>
      <c r="CV287" s="27" t="s">
        <v>7</v>
      </c>
      <c r="CZ287" s="27" t="s">
        <v>7</v>
      </c>
      <c r="DA287" s="27" t="s">
        <v>8</v>
      </c>
      <c r="DF287" s="27" t="s">
        <v>7</v>
      </c>
      <c r="DL287" s="27" t="s">
        <v>7</v>
      </c>
      <c r="DM287" s="27" t="s">
        <v>8</v>
      </c>
      <c r="DN287" s="27" t="s">
        <v>7</v>
      </c>
      <c r="DQ287" s="27" t="s">
        <v>8</v>
      </c>
      <c r="DR287" s="27" t="s">
        <v>7</v>
      </c>
      <c r="DS287" s="27" t="s">
        <v>8</v>
      </c>
      <c r="DV287" s="27" t="s">
        <v>7</v>
      </c>
      <c r="EB287" s="27" t="s">
        <v>7</v>
      </c>
      <c r="EC287" s="27" t="s">
        <v>8</v>
      </c>
      <c r="ED287" s="27" t="s">
        <v>7</v>
      </c>
      <c r="EK287" s="27" t="s">
        <v>8</v>
      </c>
      <c r="EL287" s="27" t="s">
        <v>7</v>
      </c>
      <c r="EN287" s="27" t="s">
        <v>7</v>
      </c>
      <c r="EO287" s="27" t="s">
        <v>8</v>
      </c>
      <c r="ER287" s="27" t="s">
        <v>7</v>
      </c>
      <c r="GI287" s="27" t="s">
        <v>8</v>
      </c>
      <c r="GJ287" s="27" t="s">
        <v>7</v>
      </c>
      <c r="GK287" s="27" t="s">
        <v>8</v>
      </c>
      <c r="GL287" s="27" t="s">
        <v>7</v>
      </c>
      <c r="GM287" s="27" t="s">
        <v>8</v>
      </c>
      <c r="GN287" s="27" t="s">
        <v>7</v>
      </c>
      <c r="GP287" s="27" t="s">
        <v>7</v>
      </c>
      <c r="GT287" s="27" t="s">
        <v>7</v>
      </c>
      <c r="HK287" s="27" t="s">
        <v>8</v>
      </c>
      <c r="HL287" s="27" t="s">
        <v>7</v>
      </c>
      <c r="HM287" s="27" t="s">
        <v>8</v>
      </c>
      <c r="HV287" s="27" t="s">
        <v>7</v>
      </c>
      <c r="IA287" s="27" t="s">
        <v>8</v>
      </c>
      <c r="IB287" s="27" t="s">
        <v>7</v>
      </c>
    </row>
    <row r="288" spans="1:236" x14ac:dyDescent="0.25">
      <c r="A288" s="7">
        <v>372.77892947209375</v>
      </c>
      <c r="B288"/>
      <c r="C288"/>
      <c r="D288"/>
      <c r="E288"/>
      <c r="CU288" s="27" t="s">
        <v>8</v>
      </c>
      <c r="CZ288" s="27" t="s">
        <v>7</v>
      </c>
      <c r="DL288" s="27" t="s">
        <v>7</v>
      </c>
      <c r="DM288" s="27" t="s">
        <v>8</v>
      </c>
      <c r="DN288" s="27" t="s">
        <v>7</v>
      </c>
      <c r="DQ288" s="27" t="s">
        <v>8</v>
      </c>
      <c r="DR288" s="27" t="s">
        <v>7</v>
      </c>
      <c r="DS288" s="27" t="s">
        <v>8</v>
      </c>
      <c r="EB288" s="27" t="s">
        <v>7</v>
      </c>
      <c r="EC288" s="27" t="s">
        <v>8</v>
      </c>
      <c r="ED288" s="27" t="s">
        <v>7</v>
      </c>
      <c r="EG288" s="27" t="s">
        <v>8</v>
      </c>
      <c r="EI288" s="27" t="s">
        <v>8</v>
      </c>
      <c r="EK288" s="27" t="s">
        <v>8</v>
      </c>
      <c r="EN288" s="27" t="s">
        <v>7</v>
      </c>
      <c r="EO288" s="27" t="s">
        <v>8</v>
      </c>
      <c r="ER288" s="27" t="s">
        <v>7</v>
      </c>
      <c r="GI288" s="27" t="s">
        <v>8</v>
      </c>
      <c r="GJ288" s="27" t="s">
        <v>7</v>
      </c>
      <c r="GL288" s="27" t="s">
        <v>7</v>
      </c>
      <c r="GM288" s="27" t="s">
        <v>8</v>
      </c>
      <c r="GT288" s="27" t="s">
        <v>7</v>
      </c>
      <c r="HG288" s="27" t="s">
        <v>8</v>
      </c>
      <c r="HK288" s="27" t="s">
        <v>8</v>
      </c>
      <c r="HL288" s="27" t="s">
        <v>7</v>
      </c>
      <c r="HM288" s="27" t="s">
        <v>8</v>
      </c>
      <c r="HV288" s="27" t="s">
        <v>7</v>
      </c>
      <c r="HW288" s="27" t="s">
        <v>8</v>
      </c>
      <c r="IA288" s="27" t="s">
        <v>8</v>
      </c>
      <c r="IB288" s="27" t="s">
        <v>7</v>
      </c>
    </row>
    <row r="289" spans="1:256" x14ac:dyDescent="0.25">
      <c r="A289" s="7">
        <v>365.46953869813115</v>
      </c>
      <c r="B289"/>
      <c r="C289"/>
      <c r="D289"/>
      <c r="E289"/>
      <c r="CU289" s="27" t="s">
        <v>8</v>
      </c>
      <c r="DL289" s="27" t="s">
        <v>7</v>
      </c>
      <c r="DM289" s="27" t="s">
        <v>8</v>
      </c>
      <c r="DN289" s="27" t="s">
        <v>7</v>
      </c>
      <c r="DQ289" s="27" t="s">
        <v>8</v>
      </c>
      <c r="DR289" s="27" t="s">
        <v>7</v>
      </c>
      <c r="EB289" s="27" t="s">
        <v>7</v>
      </c>
      <c r="EC289" s="27" t="s">
        <v>8</v>
      </c>
      <c r="ED289" s="27" t="s">
        <v>7</v>
      </c>
      <c r="EG289" s="27" t="s">
        <v>8</v>
      </c>
      <c r="EH289" s="27" t="s">
        <v>7</v>
      </c>
      <c r="EI289" s="27" t="s">
        <v>8</v>
      </c>
      <c r="EJ289" s="27" t="s">
        <v>7</v>
      </c>
      <c r="EK289" s="27" t="s">
        <v>8</v>
      </c>
      <c r="EN289" s="27" t="s">
        <v>7</v>
      </c>
      <c r="EO289" s="27" t="s">
        <v>8</v>
      </c>
      <c r="ER289" s="27" t="s">
        <v>7</v>
      </c>
      <c r="GI289" s="27" t="s">
        <v>8</v>
      </c>
      <c r="GL289" s="27" t="s">
        <v>7</v>
      </c>
      <c r="GM289" s="27" t="s">
        <v>8</v>
      </c>
      <c r="GT289" s="27" t="s">
        <v>7</v>
      </c>
      <c r="HC289" s="27" t="s">
        <v>8</v>
      </c>
      <c r="HE289" s="27" t="s">
        <v>8</v>
      </c>
      <c r="HG289" s="27" t="s">
        <v>8</v>
      </c>
      <c r="HH289" s="27" t="s">
        <v>7</v>
      </c>
      <c r="HK289" s="27" t="s">
        <v>8</v>
      </c>
      <c r="HL289" s="27" t="s">
        <v>7</v>
      </c>
      <c r="HM289" s="27" t="s">
        <v>8</v>
      </c>
      <c r="HV289" s="27" t="s">
        <v>7</v>
      </c>
      <c r="HW289" s="27" t="s">
        <v>8</v>
      </c>
      <c r="HX289" s="27" t="s">
        <v>7</v>
      </c>
      <c r="HY289" s="27" t="s">
        <v>8</v>
      </c>
      <c r="IA289" s="27" t="s">
        <v>8</v>
      </c>
      <c r="IB289" s="27" t="s">
        <v>7</v>
      </c>
    </row>
    <row r="290" spans="1:256" x14ac:dyDescent="0.25">
      <c r="A290" s="7">
        <v>358.30346931189325</v>
      </c>
      <c r="B290"/>
      <c r="C290"/>
      <c r="D290"/>
      <c r="E290"/>
      <c r="CU290" s="27" t="s">
        <v>8</v>
      </c>
      <c r="DL290" s="27" t="s">
        <v>7</v>
      </c>
      <c r="DM290" s="27" t="s">
        <v>8</v>
      </c>
      <c r="DN290" s="27" t="s">
        <v>7</v>
      </c>
      <c r="DQ290" s="27" t="s">
        <v>8</v>
      </c>
      <c r="EB290" s="27" t="s">
        <v>7</v>
      </c>
      <c r="EC290" s="27" t="s">
        <v>8</v>
      </c>
      <c r="ED290" s="27" t="s">
        <v>7</v>
      </c>
      <c r="EG290" s="27" t="s">
        <v>8</v>
      </c>
      <c r="EH290" s="27" t="s">
        <v>7</v>
      </c>
      <c r="EI290" s="27" t="s">
        <v>8</v>
      </c>
      <c r="EJ290" s="27" t="s">
        <v>7</v>
      </c>
      <c r="EK290" s="27" t="s">
        <v>8</v>
      </c>
      <c r="EN290" s="27" t="s">
        <v>7</v>
      </c>
      <c r="EO290" s="27" t="s">
        <v>8</v>
      </c>
      <c r="ER290" s="27" t="s">
        <v>7</v>
      </c>
      <c r="GI290" s="27" t="s">
        <v>8</v>
      </c>
      <c r="GL290" s="27" t="s">
        <v>7</v>
      </c>
      <c r="GM290" s="27" t="s">
        <v>8</v>
      </c>
      <c r="GT290" s="27" t="s">
        <v>7</v>
      </c>
      <c r="GU290" s="27" t="s">
        <v>8</v>
      </c>
      <c r="HA290" s="27" t="s">
        <v>8</v>
      </c>
      <c r="HC290" s="27" t="s">
        <v>8</v>
      </c>
      <c r="HD290" s="27" t="s">
        <v>7</v>
      </c>
      <c r="HE290" s="27" t="s">
        <v>8</v>
      </c>
      <c r="HF290" s="27" t="s">
        <v>7</v>
      </c>
      <c r="HG290" s="27" t="s">
        <v>8</v>
      </c>
      <c r="HH290" s="27" t="s">
        <v>7</v>
      </c>
      <c r="HI290" s="27" t="s">
        <v>8</v>
      </c>
      <c r="HK290" s="27" t="s">
        <v>8</v>
      </c>
      <c r="HL290" s="27" t="s">
        <v>7</v>
      </c>
      <c r="HV290" s="27" t="s">
        <v>7</v>
      </c>
      <c r="HW290" s="27" t="s">
        <v>8</v>
      </c>
      <c r="HX290" s="27" t="s">
        <v>7</v>
      </c>
      <c r="HY290" s="27" t="s">
        <v>8</v>
      </c>
      <c r="HZ290" s="27" t="s">
        <v>7</v>
      </c>
      <c r="IA290" s="27" t="s">
        <v>8</v>
      </c>
      <c r="IB290" s="27" t="s">
        <v>7</v>
      </c>
    </row>
    <row r="291" spans="1:256" x14ac:dyDescent="0.25">
      <c r="A291" s="7">
        <v>351.27791109009144</v>
      </c>
      <c r="B291"/>
      <c r="C291"/>
      <c r="D291"/>
      <c r="E291"/>
      <c r="CU291" s="27" t="s">
        <v>8</v>
      </c>
      <c r="DL291" s="27" t="s">
        <v>7</v>
      </c>
      <c r="DM291" s="27" t="s">
        <v>8</v>
      </c>
      <c r="DN291" s="27" t="s">
        <v>7</v>
      </c>
      <c r="DQ291" s="27" t="s">
        <v>8</v>
      </c>
      <c r="EB291" s="27" t="s">
        <v>7</v>
      </c>
      <c r="EC291" s="27" t="s">
        <v>8</v>
      </c>
      <c r="ED291" s="27" t="s">
        <v>7</v>
      </c>
      <c r="EE291" s="27" t="s">
        <v>8</v>
      </c>
      <c r="EG291" s="27" t="s">
        <v>8</v>
      </c>
      <c r="EH291" s="27" t="s">
        <v>7</v>
      </c>
      <c r="EI291" s="27" t="s">
        <v>8</v>
      </c>
      <c r="EJ291" s="27" t="s">
        <v>7</v>
      </c>
      <c r="EN291" s="27" t="s">
        <v>7</v>
      </c>
      <c r="EO291" s="27" t="s">
        <v>8</v>
      </c>
      <c r="ER291" s="27" t="s">
        <v>7</v>
      </c>
      <c r="GC291" s="27" t="s">
        <v>8</v>
      </c>
      <c r="GI291" s="27" t="s">
        <v>8</v>
      </c>
      <c r="GL291" s="27" t="s">
        <v>7</v>
      </c>
      <c r="GM291" s="27" t="s">
        <v>8</v>
      </c>
      <c r="GT291" s="27" t="s">
        <v>7</v>
      </c>
      <c r="GU291" s="27" t="s">
        <v>8</v>
      </c>
      <c r="GV291" s="27" t="s">
        <v>7</v>
      </c>
      <c r="HA291" s="27" t="s">
        <v>8</v>
      </c>
      <c r="HB291" s="27" t="s">
        <v>7</v>
      </c>
      <c r="HC291" s="27" t="s">
        <v>8</v>
      </c>
      <c r="HD291" s="27" t="s">
        <v>7</v>
      </c>
      <c r="HE291" s="27" t="s">
        <v>8</v>
      </c>
      <c r="HF291" s="27" t="s">
        <v>7</v>
      </c>
      <c r="HG291" s="27" t="s">
        <v>8</v>
      </c>
      <c r="HH291" s="27" t="s">
        <v>7</v>
      </c>
      <c r="HI291" s="27" t="s">
        <v>8</v>
      </c>
      <c r="HJ291" s="27" t="s">
        <v>7</v>
      </c>
      <c r="HK291" s="27" t="s">
        <v>8</v>
      </c>
      <c r="HV291" s="27" t="s">
        <v>7</v>
      </c>
      <c r="HX291" s="27" t="s">
        <v>7</v>
      </c>
      <c r="HY291" s="27" t="s">
        <v>8</v>
      </c>
      <c r="HZ291" s="27" t="s">
        <v>7</v>
      </c>
      <c r="IA291" s="27" t="s">
        <v>8</v>
      </c>
      <c r="IB291" s="27" t="s">
        <v>7</v>
      </c>
    </row>
    <row r="292" spans="1:256" x14ac:dyDescent="0.25">
      <c r="A292" s="7">
        <v>344.39010891185433</v>
      </c>
      <c r="B292"/>
      <c r="C292"/>
      <c r="D292"/>
      <c r="E292"/>
      <c r="CS292" s="27" t="s">
        <v>8</v>
      </c>
      <c r="CU292" s="27" t="s">
        <v>8</v>
      </c>
      <c r="DL292" s="27" t="s">
        <v>7</v>
      </c>
      <c r="DM292" s="27" t="s">
        <v>8</v>
      </c>
      <c r="DN292" s="27" t="s">
        <v>7</v>
      </c>
      <c r="DQ292" s="27" t="s">
        <v>8</v>
      </c>
      <c r="EB292" s="27" t="s">
        <v>7</v>
      </c>
      <c r="EC292" s="27" t="s">
        <v>8</v>
      </c>
      <c r="ED292" s="27" t="s">
        <v>7</v>
      </c>
      <c r="EE292" s="27" t="s">
        <v>8</v>
      </c>
      <c r="EF292" s="27" t="s">
        <v>7</v>
      </c>
      <c r="EG292" s="27" t="s">
        <v>8</v>
      </c>
      <c r="EH292" s="27" t="s">
        <v>7</v>
      </c>
      <c r="EI292" s="27" t="s">
        <v>8</v>
      </c>
      <c r="EN292" s="27" t="s">
        <v>7</v>
      </c>
      <c r="ER292" s="27" t="s">
        <v>7</v>
      </c>
      <c r="GC292" s="27" t="s">
        <v>8</v>
      </c>
      <c r="GD292" s="27" t="s">
        <v>7</v>
      </c>
      <c r="GI292" s="27" t="s">
        <v>8</v>
      </c>
      <c r="GL292" s="27" t="s">
        <v>7</v>
      </c>
      <c r="GM292" s="27" t="s">
        <v>8</v>
      </c>
      <c r="GT292" s="27" t="s">
        <v>7</v>
      </c>
      <c r="GU292" s="27" t="s">
        <v>8</v>
      </c>
      <c r="GV292" s="27" t="s">
        <v>7</v>
      </c>
      <c r="GY292" s="27" t="s">
        <v>8</v>
      </c>
      <c r="HA292" s="27" t="s">
        <v>8</v>
      </c>
      <c r="HB292" s="27" t="s">
        <v>7</v>
      </c>
      <c r="HC292" s="27" t="s">
        <v>8</v>
      </c>
      <c r="HD292" s="27" t="s">
        <v>7</v>
      </c>
      <c r="HF292" s="27" t="s">
        <v>7</v>
      </c>
      <c r="HG292" s="27" t="s">
        <v>8</v>
      </c>
      <c r="HH292" s="27" t="s">
        <v>7</v>
      </c>
      <c r="HI292" s="27" t="s">
        <v>8</v>
      </c>
      <c r="HJ292" s="27" t="s">
        <v>7</v>
      </c>
      <c r="HK292" s="27" t="s">
        <v>8</v>
      </c>
      <c r="HX292" s="27" t="s">
        <v>7</v>
      </c>
      <c r="HY292" s="27" t="s">
        <v>8</v>
      </c>
      <c r="HZ292" s="27" t="s">
        <v>7</v>
      </c>
      <c r="IA292" s="27" t="s">
        <v>8</v>
      </c>
      <c r="IB292" s="27" t="s">
        <v>7</v>
      </c>
      <c r="IM292" s="27" t="s">
        <v>8</v>
      </c>
    </row>
    <row r="293" spans="1:256" x14ac:dyDescent="0.25">
      <c r="A293" s="7">
        <v>337.63736167828853</v>
      </c>
      <c r="B293"/>
      <c r="C293"/>
      <c r="D293"/>
      <c r="E293"/>
      <c r="CS293" s="27" t="s">
        <v>8</v>
      </c>
      <c r="CT293" s="27" t="s">
        <v>7</v>
      </c>
      <c r="CU293" s="27" t="s">
        <v>8</v>
      </c>
      <c r="DL293" s="27" t="s">
        <v>7</v>
      </c>
      <c r="DM293" s="27" t="s">
        <v>8</v>
      </c>
      <c r="DN293" s="27" t="s">
        <v>7</v>
      </c>
      <c r="DQ293" s="27" t="s">
        <v>8</v>
      </c>
      <c r="EB293" s="27" t="s">
        <v>7</v>
      </c>
      <c r="EC293" s="27" t="s">
        <v>8</v>
      </c>
      <c r="ED293" s="27" t="s">
        <v>7</v>
      </c>
      <c r="EE293" s="27" t="s">
        <v>8</v>
      </c>
      <c r="EF293" s="27" t="s">
        <v>7</v>
      </c>
      <c r="EG293" s="27" t="s">
        <v>8</v>
      </c>
      <c r="EH293" s="27" t="s">
        <v>7</v>
      </c>
      <c r="EI293" s="27" t="s">
        <v>8</v>
      </c>
      <c r="ER293" s="27" t="s">
        <v>7</v>
      </c>
      <c r="GC293" s="27" t="s">
        <v>8</v>
      </c>
      <c r="GD293" s="27" t="s">
        <v>7</v>
      </c>
      <c r="GI293" s="27" t="s">
        <v>8</v>
      </c>
      <c r="GL293" s="27" t="s">
        <v>7</v>
      </c>
      <c r="GM293" s="27" t="s">
        <v>8</v>
      </c>
      <c r="GT293" s="27" t="s">
        <v>7</v>
      </c>
      <c r="GU293" s="27" t="s">
        <v>8</v>
      </c>
      <c r="GV293" s="27" t="s">
        <v>7</v>
      </c>
      <c r="GW293" s="27" t="s">
        <v>8</v>
      </c>
      <c r="GY293" s="27" t="s">
        <v>8</v>
      </c>
      <c r="GZ293" s="27" t="s">
        <v>7</v>
      </c>
      <c r="HA293" s="27" t="s">
        <v>8</v>
      </c>
      <c r="HB293" s="27" t="s">
        <v>7</v>
      </c>
      <c r="HC293" s="27" t="s">
        <v>8</v>
      </c>
      <c r="HF293" s="27" t="s">
        <v>7</v>
      </c>
      <c r="HG293" s="27" t="s">
        <v>8</v>
      </c>
      <c r="HH293" s="27" t="s">
        <v>7</v>
      </c>
      <c r="HJ293" s="27" t="s">
        <v>7</v>
      </c>
      <c r="HK293" s="27" t="s">
        <v>8</v>
      </c>
      <c r="HX293" s="27" t="s">
        <v>7</v>
      </c>
      <c r="HY293" s="27" t="s">
        <v>8</v>
      </c>
      <c r="HZ293" s="27" t="s">
        <v>7</v>
      </c>
      <c r="IA293" s="27" t="s">
        <v>8</v>
      </c>
      <c r="IB293" s="27" t="s">
        <v>7</v>
      </c>
      <c r="IM293" s="27" t="s">
        <v>8</v>
      </c>
      <c r="IN293" s="27" t="s">
        <v>7</v>
      </c>
    </row>
    <row r="294" spans="1:256" x14ac:dyDescent="0.25">
      <c r="A294" s="7">
        <v>331.01702125322402</v>
      </c>
      <c r="B294"/>
      <c r="C294"/>
      <c r="D294"/>
      <c r="E294"/>
      <c r="CS294" s="27" t="s">
        <v>8</v>
      </c>
      <c r="CT294" s="27" t="s">
        <v>7</v>
      </c>
      <c r="CU294" s="27" t="s">
        <v>8</v>
      </c>
      <c r="DL294" s="27" t="s">
        <v>7</v>
      </c>
      <c r="DM294" s="27" t="s">
        <v>8</v>
      </c>
      <c r="DN294" s="27" t="s">
        <v>7</v>
      </c>
      <c r="DO294" s="27" t="s">
        <v>8</v>
      </c>
      <c r="DQ294" s="27" t="s">
        <v>8</v>
      </c>
      <c r="EB294" s="27" t="s">
        <v>7</v>
      </c>
      <c r="EC294" s="27" t="s">
        <v>8</v>
      </c>
      <c r="ED294" s="27" t="s">
        <v>7</v>
      </c>
      <c r="EE294" s="27" t="s">
        <v>8</v>
      </c>
      <c r="EF294" s="27" t="s">
        <v>7</v>
      </c>
      <c r="EG294" s="27" t="s">
        <v>8</v>
      </c>
      <c r="EH294" s="27" t="s">
        <v>7</v>
      </c>
      <c r="EI294" s="27" t="s">
        <v>8</v>
      </c>
      <c r="ER294" s="27" t="s">
        <v>7</v>
      </c>
      <c r="GC294" s="27" t="s">
        <v>8</v>
      </c>
      <c r="GD294" s="27" t="s">
        <v>7</v>
      </c>
      <c r="GI294" s="27" t="s">
        <v>8</v>
      </c>
      <c r="GL294" s="27" t="s">
        <v>7</v>
      </c>
      <c r="GM294" s="27" t="s">
        <v>8</v>
      </c>
      <c r="GT294" s="27" t="s">
        <v>7</v>
      </c>
      <c r="GU294" s="27" t="s">
        <v>8</v>
      </c>
      <c r="GV294" s="27" t="s">
        <v>7</v>
      </c>
      <c r="GW294" s="27" t="s">
        <v>8</v>
      </c>
      <c r="GX294" s="27" t="s">
        <v>7</v>
      </c>
      <c r="GY294" s="27" t="s">
        <v>8</v>
      </c>
      <c r="GZ294" s="27" t="s">
        <v>7</v>
      </c>
      <c r="HA294" s="27" t="s">
        <v>8</v>
      </c>
      <c r="HB294" s="27" t="s">
        <v>7</v>
      </c>
      <c r="HC294" s="27" t="s">
        <v>8</v>
      </c>
      <c r="HF294" s="27" t="s">
        <v>7</v>
      </c>
      <c r="HG294" s="27" t="s">
        <v>8</v>
      </c>
      <c r="HJ294" s="27" t="s">
        <v>7</v>
      </c>
      <c r="HX294" s="27" t="s">
        <v>7</v>
      </c>
      <c r="HZ294" s="27" t="s">
        <v>7</v>
      </c>
      <c r="IA294" s="27" t="s">
        <v>8</v>
      </c>
      <c r="IB294" s="27" t="s">
        <v>7</v>
      </c>
      <c r="IM294" s="27" t="s">
        <v>8</v>
      </c>
      <c r="IN294" s="27" t="s">
        <v>7</v>
      </c>
    </row>
    <row r="295" spans="1:256" x14ac:dyDescent="0.25">
      <c r="A295" s="7">
        <v>324.52649142472944</v>
      </c>
      <c r="B295"/>
      <c r="C295"/>
      <c r="D295"/>
      <c r="E295"/>
      <c r="CS295" s="27" t="s">
        <v>8</v>
      </c>
      <c r="CT295" s="27" t="s">
        <v>7</v>
      </c>
      <c r="CU295" s="27" t="s">
        <v>8</v>
      </c>
      <c r="DL295" s="27" t="s">
        <v>7</v>
      </c>
      <c r="DM295" s="27" t="s">
        <v>8</v>
      </c>
      <c r="DN295" s="27" t="s">
        <v>7</v>
      </c>
      <c r="DO295" s="27" t="s">
        <v>8</v>
      </c>
      <c r="DP295" s="27" t="s">
        <v>7</v>
      </c>
      <c r="DQ295" s="27" t="s">
        <v>8</v>
      </c>
      <c r="EB295" s="27" t="s">
        <v>7</v>
      </c>
      <c r="EC295" s="27" t="s">
        <v>8</v>
      </c>
      <c r="ED295" s="27" t="s">
        <v>7</v>
      </c>
      <c r="EE295" s="27" t="s">
        <v>8</v>
      </c>
      <c r="EF295" s="27" t="s">
        <v>7</v>
      </c>
      <c r="EG295" s="27" t="s">
        <v>8</v>
      </c>
      <c r="EH295" s="27" t="s">
        <v>7</v>
      </c>
      <c r="EI295" s="27" t="s">
        <v>8</v>
      </c>
      <c r="ER295" s="27" t="s">
        <v>7</v>
      </c>
      <c r="ES295" s="27" t="s">
        <v>8</v>
      </c>
      <c r="GA295" s="27" t="s">
        <v>8</v>
      </c>
      <c r="GC295" s="27" t="s">
        <v>8</v>
      </c>
      <c r="GD295" s="27" t="s">
        <v>7</v>
      </c>
      <c r="GG295" s="27" t="s">
        <v>8</v>
      </c>
      <c r="GI295" s="27" t="s">
        <v>8</v>
      </c>
      <c r="GL295" s="27" t="s">
        <v>7</v>
      </c>
      <c r="GM295" s="27" t="s">
        <v>8</v>
      </c>
      <c r="GT295" s="27" t="s">
        <v>7</v>
      </c>
      <c r="GU295" s="27" t="s">
        <v>8</v>
      </c>
      <c r="GV295" s="27" t="s">
        <v>7</v>
      </c>
      <c r="GW295" s="27" t="s">
        <v>8</v>
      </c>
      <c r="GX295" s="27" t="s">
        <v>7</v>
      </c>
      <c r="GY295" s="27" t="s">
        <v>8</v>
      </c>
      <c r="GZ295" s="27" t="s">
        <v>7</v>
      </c>
      <c r="HA295" s="27" t="s">
        <v>8</v>
      </c>
      <c r="HB295" s="27" t="s">
        <v>7</v>
      </c>
      <c r="HC295" s="27" t="s">
        <v>8</v>
      </c>
      <c r="HF295" s="27" t="s">
        <v>7</v>
      </c>
      <c r="HG295" s="27" t="s">
        <v>8</v>
      </c>
      <c r="HZ295" s="27" t="s">
        <v>7</v>
      </c>
      <c r="IA295" s="27" t="s">
        <v>8</v>
      </c>
      <c r="IB295" s="27" t="s">
        <v>7</v>
      </c>
      <c r="IM295" s="27" t="s">
        <v>8</v>
      </c>
      <c r="IN295" s="27" t="s">
        <v>7</v>
      </c>
    </row>
    <row r="296" spans="1:256" x14ac:dyDescent="0.25">
      <c r="A296" s="7">
        <v>318.16322688698966</v>
      </c>
      <c r="B296"/>
      <c r="C296"/>
      <c r="D296"/>
      <c r="E296"/>
      <c r="CS296" s="27" t="s">
        <v>8</v>
      </c>
      <c r="CT296" s="27" t="s">
        <v>7</v>
      </c>
      <c r="CU296" s="27" t="s">
        <v>8</v>
      </c>
      <c r="DL296" s="27" t="s">
        <v>7</v>
      </c>
      <c r="DN296" s="27" t="s">
        <v>7</v>
      </c>
      <c r="DO296" s="27" t="s">
        <v>8</v>
      </c>
      <c r="DP296" s="27" t="s">
        <v>7</v>
      </c>
      <c r="DQ296" s="27" t="s">
        <v>8</v>
      </c>
      <c r="EB296" s="27" t="s">
        <v>7</v>
      </c>
      <c r="EC296" s="27" t="s">
        <v>8</v>
      </c>
      <c r="ED296" s="27" t="s">
        <v>7</v>
      </c>
      <c r="EE296" s="27" t="s">
        <v>8</v>
      </c>
      <c r="EF296" s="27" t="s">
        <v>7</v>
      </c>
      <c r="EG296" s="27" t="s">
        <v>8</v>
      </c>
      <c r="EH296" s="27" t="s">
        <v>7</v>
      </c>
      <c r="EI296" s="27" t="s">
        <v>8</v>
      </c>
      <c r="ER296" s="27" t="s">
        <v>7</v>
      </c>
      <c r="ES296" s="27" t="s">
        <v>8</v>
      </c>
      <c r="ET296" s="27" t="s">
        <v>7</v>
      </c>
      <c r="GA296" s="27" t="s">
        <v>8</v>
      </c>
      <c r="GB296" s="27" t="s">
        <v>7</v>
      </c>
      <c r="GC296" s="27" t="s">
        <v>8</v>
      </c>
      <c r="GD296" s="27" t="s">
        <v>7</v>
      </c>
      <c r="GG296" s="27" t="s">
        <v>8</v>
      </c>
      <c r="GH296" s="27" t="s">
        <v>7</v>
      </c>
      <c r="GI296" s="27" t="s">
        <v>8</v>
      </c>
      <c r="GL296" s="27" t="s">
        <v>7</v>
      </c>
      <c r="GM296" s="27" t="s">
        <v>8</v>
      </c>
      <c r="GT296" s="27" t="s">
        <v>7</v>
      </c>
      <c r="GU296" s="27" t="s">
        <v>8</v>
      </c>
      <c r="GV296" s="27" t="s">
        <v>7</v>
      </c>
      <c r="GW296" s="27" t="s">
        <v>8</v>
      </c>
      <c r="GX296" s="27" t="s">
        <v>7</v>
      </c>
      <c r="GY296" s="27" t="s">
        <v>8</v>
      </c>
      <c r="GZ296" s="27" t="s">
        <v>7</v>
      </c>
      <c r="HA296" s="27" t="s">
        <v>8</v>
      </c>
      <c r="HB296" s="27" t="s">
        <v>7</v>
      </c>
      <c r="HF296" s="27" t="s">
        <v>7</v>
      </c>
      <c r="HG296" s="27" t="s">
        <v>8</v>
      </c>
      <c r="HZ296" s="27" t="s">
        <v>7</v>
      </c>
      <c r="IA296" s="27" t="s">
        <v>8</v>
      </c>
      <c r="IB296" s="27" t="s">
        <v>7</v>
      </c>
      <c r="IE296" s="27" t="s">
        <v>8</v>
      </c>
      <c r="IM296" s="27" t="s">
        <v>8</v>
      </c>
      <c r="IN296" s="27" t="s">
        <v>7</v>
      </c>
    </row>
    <row r="297" spans="1:256" x14ac:dyDescent="0.25">
      <c r="A297" s="7">
        <v>311.92473224214672</v>
      </c>
      <c r="B297"/>
      <c r="C297"/>
      <c r="D297"/>
      <c r="E297"/>
      <c r="CS297" s="27" t="s">
        <v>8</v>
      </c>
      <c r="CT297" s="27" t="s">
        <v>7</v>
      </c>
      <c r="CU297" s="27" t="s">
        <v>8</v>
      </c>
      <c r="DN297" s="27" t="s">
        <v>7</v>
      </c>
      <c r="DO297" s="27" t="s">
        <v>8</v>
      </c>
      <c r="DP297" s="27" t="s">
        <v>7</v>
      </c>
      <c r="DQ297" s="27" t="s">
        <v>8</v>
      </c>
      <c r="EB297" s="27" t="s">
        <v>7</v>
      </c>
      <c r="EC297" s="27" t="s">
        <v>8</v>
      </c>
      <c r="ED297" s="27" t="s">
        <v>7</v>
      </c>
      <c r="EE297" s="27" t="s">
        <v>8</v>
      </c>
      <c r="EF297" s="27" t="s">
        <v>7</v>
      </c>
      <c r="EG297" s="27" t="s">
        <v>8</v>
      </c>
      <c r="EH297" s="27" t="s">
        <v>7</v>
      </c>
      <c r="EI297" s="27" t="s">
        <v>8</v>
      </c>
      <c r="ER297" s="27" t="s">
        <v>7</v>
      </c>
      <c r="ES297" s="27" t="s">
        <v>8</v>
      </c>
      <c r="ET297" s="27" t="s">
        <v>7</v>
      </c>
      <c r="GA297" s="27" t="s">
        <v>8</v>
      </c>
      <c r="GB297" s="27" t="s">
        <v>7</v>
      </c>
      <c r="GC297" s="27" t="s">
        <v>8</v>
      </c>
      <c r="GD297" s="27" t="s">
        <v>7</v>
      </c>
      <c r="GG297" s="27" t="s">
        <v>8</v>
      </c>
      <c r="GH297" s="27" t="s">
        <v>7</v>
      </c>
      <c r="GI297" s="27" t="s">
        <v>8</v>
      </c>
      <c r="GL297" s="27" t="s">
        <v>7</v>
      </c>
      <c r="GM297" s="27" t="s">
        <v>8</v>
      </c>
      <c r="GT297" s="27" t="s">
        <v>7</v>
      </c>
      <c r="GU297" s="27" t="s">
        <v>8</v>
      </c>
      <c r="GV297" s="27" t="s">
        <v>7</v>
      </c>
      <c r="GW297" s="27" t="s">
        <v>8</v>
      </c>
      <c r="GX297" s="27" t="s">
        <v>7</v>
      </c>
      <c r="GY297" s="27" t="s">
        <v>8</v>
      </c>
      <c r="GZ297" s="27" t="s">
        <v>7</v>
      </c>
      <c r="HF297" s="27" t="s">
        <v>7</v>
      </c>
      <c r="HZ297" s="27" t="s">
        <v>7</v>
      </c>
      <c r="IA297" s="27" t="s">
        <v>8</v>
      </c>
      <c r="IB297" s="27" t="s">
        <v>7</v>
      </c>
      <c r="IE297" s="27" t="s">
        <v>8</v>
      </c>
      <c r="IF297" s="27" t="s">
        <v>7</v>
      </c>
      <c r="IM297" s="27" t="s">
        <v>8</v>
      </c>
      <c r="IN297" s="27" t="s">
        <v>7</v>
      </c>
    </row>
    <row r="298" spans="1:256" x14ac:dyDescent="0.25">
      <c r="A298" s="7">
        <v>305.80856102171248</v>
      </c>
      <c r="B298"/>
      <c r="C298"/>
      <c r="D298"/>
      <c r="E298"/>
      <c r="CS298" s="27" t="s">
        <v>8</v>
      </c>
      <c r="CT298" s="27" t="s">
        <v>7</v>
      </c>
      <c r="CU298" s="27" t="s">
        <v>8</v>
      </c>
      <c r="DN298" s="27" t="s">
        <v>7</v>
      </c>
      <c r="DO298" s="27" t="s">
        <v>8</v>
      </c>
      <c r="DP298" s="27" t="s">
        <v>7</v>
      </c>
      <c r="EB298" s="27" t="s">
        <v>7</v>
      </c>
      <c r="EC298" s="27" t="s">
        <v>8</v>
      </c>
      <c r="ED298" s="27" t="s">
        <v>7</v>
      </c>
      <c r="EE298" s="27" t="s">
        <v>8</v>
      </c>
      <c r="EF298" s="27" t="s">
        <v>7</v>
      </c>
      <c r="EG298" s="27" t="s">
        <v>8</v>
      </c>
      <c r="EH298" s="27" t="s">
        <v>7</v>
      </c>
      <c r="EI298" s="27" t="s">
        <v>8</v>
      </c>
      <c r="ER298" s="27" t="s">
        <v>7</v>
      </c>
      <c r="ES298" s="27" t="s">
        <v>8</v>
      </c>
      <c r="ET298" s="27" t="s">
        <v>7</v>
      </c>
      <c r="GA298" s="27" t="s">
        <v>8</v>
      </c>
      <c r="GB298" s="27" t="s">
        <v>7</v>
      </c>
      <c r="GC298" s="27" t="s">
        <v>8</v>
      </c>
      <c r="GD298" s="27" t="s">
        <v>7</v>
      </c>
      <c r="GE298" s="27" t="s">
        <v>8</v>
      </c>
      <c r="GG298" s="27" t="s">
        <v>8</v>
      </c>
      <c r="GH298" s="27" t="s">
        <v>7</v>
      </c>
      <c r="GI298" s="27" t="s">
        <v>8</v>
      </c>
      <c r="GL298" s="27" t="s">
        <v>7</v>
      </c>
      <c r="GM298" s="27" t="s">
        <v>8</v>
      </c>
      <c r="GT298" s="27" t="s">
        <v>7</v>
      </c>
      <c r="GU298" s="27" t="s">
        <v>8</v>
      </c>
      <c r="GV298" s="27" t="s">
        <v>7</v>
      </c>
      <c r="GX298" s="27" t="s">
        <v>7</v>
      </c>
      <c r="HZ298" s="27" t="s">
        <v>7</v>
      </c>
      <c r="IA298" s="27" t="s">
        <v>8</v>
      </c>
      <c r="IB298" s="27" t="s">
        <v>7</v>
      </c>
      <c r="IC298" s="27" t="s">
        <v>8</v>
      </c>
      <c r="IE298" s="27" t="s">
        <v>8</v>
      </c>
      <c r="IF298" s="27" t="s">
        <v>7</v>
      </c>
      <c r="IG298" s="27" t="s">
        <v>8</v>
      </c>
      <c r="II298" s="27" t="s">
        <v>8</v>
      </c>
      <c r="IM298" s="27" t="s">
        <v>8</v>
      </c>
      <c r="IN298" s="27" t="s">
        <v>7</v>
      </c>
      <c r="IO298" s="27" t="s">
        <v>8</v>
      </c>
    </row>
    <row r="299" spans="1:256" x14ac:dyDescent="0.25">
      <c r="A299" s="7">
        <v>299.81231472716911</v>
      </c>
      <c r="B299"/>
      <c r="C299"/>
      <c r="D299"/>
      <c r="E299"/>
      <c r="CS299" s="27" t="s">
        <v>8</v>
      </c>
      <c r="CT299" s="27" t="s">
        <v>7</v>
      </c>
      <c r="CU299" s="27" t="s">
        <v>8</v>
      </c>
      <c r="DN299" s="27" t="s">
        <v>7</v>
      </c>
      <c r="DO299" s="27" t="s">
        <v>8</v>
      </c>
      <c r="EB299" s="27" t="s">
        <v>7</v>
      </c>
      <c r="EC299" s="27" t="s">
        <v>8</v>
      </c>
      <c r="ED299" s="27" t="s">
        <v>7</v>
      </c>
      <c r="EE299" s="27" t="s">
        <v>8</v>
      </c>
      <c r="EF299" s="27" t="s">
        <v>7</v>
      </c>
      <c r="EG299" s="27" t="s">
        <v>8</v>
      </c>
      <c r="EH299" s="27" t="s">
        <v>7</v>
      </c>
      <c r="EI299" s="27" t="s">
        <v>8</v>
      </c>
      <c r="ER299" s="27" t="s">
        <v>7</v>
      </c>
      <c r="ET299" s="27" t="s">
        <v>7</v>
      </c>
      <c r="FW299" s="27" t="s">
        <v>8</v>
      </c>
      <c r="GA299" s="27" t="s">
        <v>8</v>
      </c>
      <c r="GB299" s="27" t="s">
        <v>7</v>
      </c>
      <c r="GC299" s="27" t="s">
        <v>8</v>
      </c>
      <c r="GD299" s="27" t="s">
        <v>7</v>
      </c>
      <c r="GE299" s="27" t="s">
        <v>8</v>
      </c>
      <c r="GF299" s="27" t="s">
        <v>7</v>
      </c>
      <c r="GG299" s="27" t="s">
        <v>8</v>
      </c>
      <c r="GH299" s="27" t="s">
        <v>7</v>
      </c>
      <c r="GI299" s="27" t="s">
        <v>8</v>
      </c>
      <c r="GL299" s="27" t="s">
        <v>7</v>
      </c>
      <c r="GM299" s="27" t="s">
        <v>8</v>
      </c>
      <c r="GT299" s="27" t="s">
        <v>7</v>
      </c>
      <c r="HZ299" s="27" t="s">
        <v>7</v>
      </c>
      <c r="IB299" s="27" t="s">
        <v>7</v>
      </c>
      <c r="IC299" s="27" t="s">
        <v>8</v>
      </c>
      <c r="ID299" s="27" t="s">
        <v>7</v>
      </c>
      <c r="IE299" s="27" t="s">
        <v>8</v>
      </c>
      <c r="IF299" s="27" t="s">
        <v>7</v>
      </c>
      <c r="IG299" s="27" t="s">
        <v>8</v>
      </c>
      <c r="IH299" s="27" t="s">
        <v>7</v>
      </c>
      <c r="II299" s="27" t="s">
        <v>8</v>
      </c>
      <c r="IJ299" s="27" t="s">
        <v>7</v>
      </c>
      <c r="IM299" s="27" t="s">
        <v>8</v>
      </c>
      <c r="IN299" s="27" t="s">
        <v>7</v>
      </c>
      <c r="IO299" s="27" t="s">
        <v>8</v>
      </c>
      <c r="IP299" s="27" t="s">
        <v>7</v>
      </c>
    </row>
    <row r="300" spans="1:256" x14ac:dyDescent="0.25">
      <c r="A300" s="7">
        <v>293.93364188938148</v>
      </c>
      <c r="B300"/>
      <c r="C300"/>
      <c r="D300"/>
      <c r="E300"/>
      <c r="CS300" s="27" t="s">
        <v>8</v>
      </c>
      <c r="CT300" s="27" t="s">
        <v>7</v>
      </c>
      <c r="CU300" s="27" t="s">
        <v>8</v>
      </c>
      <c r="DN300" s="27" t="s">
        <v>7</v>
      </c>
      <c r="DO300" s="27" t="s">
        <v>8</v>
      </c>
      <c r="EB300" s="27" t="s">
        <v>7</v>
      </c>
      <c r="EC300" s="27" t="s">
        <v>8</v>
      </c>
      <c r="ED300" s="27" t="s">
        <v>7</v>
      </c>
      <c r="EE300" s="27" t="s">
        <v>8</v>
      </c>
      <c r="EF300" s="27" t="s">
        <v>7</v>
      </c>
      <c r="EG300" s="27" t="s">
        <v>8</v>
      </c>
      <c r="EH300" s="27" t="s">
        <v>7</v>
      </c>
      <c r="EI300" s="27" t="s">
        <v>8</v>
      </c>
      <c r="ET300" s="27" t="s">
        <v>7</v>
      </c>
      <c r="FW300" s="27" t="s">
        <v>8</v>
      </c>
      <c r="FX300" s="27" t="s">
        <v>7</v>
      </c>
      <c r="GA300" s="27" t="s">
        <v>8</v>
      </c>
      <c r="GB300" s="27" t="s">
        <v>7</v>
      </c>
      <c r="GC300" s="27" t="s">
        <v>8</v>
      </c>
      <c r="GD300" s="27" t="s">
        <v>7</v>
      </c>
      <c r="GE300" s="27" t="s">
        <v>8</v>
      </c>
      <c r="GF300" s="27" t="s">
        <v>7</v>
      </c>
      <c r="GG300" s="27" t="s">
        <v>8</v>
      </c>
      <c r="GH300" s="27" t="s">
        <v>7</v>
      </c>
      <c r="GI300" s="27" t="s">
        <v>8</v>
      </c>
      <c r="GL300" s="27" t="s">
        <v>7</v>
      </c>
      <c r="GM300" s="27" t="s">
        <v>8</v>
      </c>
      <c r="IB300" s="27" t="s">
        <v>7</v>
      </c>
      <c r="IC300" s="27" t="s">
        <v>8</v>
      </c>
      <c r="ID300" s="27" t="s">
        <v>7</v>
      </c>
      <c r="IE300" s="27" t="s">
        <v>8</v>
      </c>
      <c r="IF300" s="27" t="s">
        <v>7</v>
      </c>
      <c r="IG300" s="27" t="s">
        <v>8</v>
      </c>
      <c r="IH300" s="27" t="s">
        <v>7</v>
      </c>
      <c r="II300" s="27" t="s">
        <v>8</v>
      </c>
      <c r="IJ300" s="27" t="s">
        <v>7</v>
      </c>
      <c r="IM300" s="27" t="s">
        <v>8</v>
      </c>
      <c r="IN300" s="27" t="s">
        <v>7</v>
      </c>
      <c r="IO300" s="27" t="s">
        <v>8</v>
      </c>
      <c r="IP300" s="27" t="s">
        <v>7</v>
      </c>
    </row>
    <row r="301" spans="1:256" x14ac:dyDescent="0.25">
      <c r="A301" s="7">
        <v>288.17023714645245</v>
      </c>
      <c r="B301"/>
      <c r="C301"/>
      <c r="D301"/>
      <c r="E301"/>
      <c r="CM301" s="27" t="s">
        <v>8</v>
      </c>
      <c r="CS301" s="27" t="s">
        <v>8</v>
      </c>
      <c r="CT301" s="27" t="s">
        <v>7</v>
      </c>
      <c r="CU301" s="27" t="s">
        <v>8</v>
      </c>
      <c r="DN301" s="27" t="s">
        <v>7</v>
      </c>
      <c r="DO301" s="27" t="s">
        <v>8</v>
      </c>
      <c r="EB301" s="27" t="s">
        <v>7</v>
      </c>
      <c r="EC301" s="27" t="s">
        <v>8</v>
      </c>
      <c r="ED301" s="27" t="s">
        <v>7</v>
      </c>
      <c r="EE301" s="27" t="s">
        <v>8</v>
      </c>
      <c r="EF301" s="27" t="s">
        <v>7</v>
      </c>
      <c r="EG301" s="27" t="s">
        <v>8</v>
      </c>
      <c r="EH301" s="27" t="s">
        <v>7</v>
      </c>
      <c r="EI301" s="27" t="s">
        <v>8</v>
      </c>
      <c r="ET301" s="27" t="s">
        <v>7</v>
      </c>
      <c r="FW301" s="27" t="s">
        <v>8</v>
      </c>
      <c r="FX301" s="27" t="s">
        <v>7</v>
      </c>
      <c r="GA301" s="27" t="s">
        <v>8</v>
      </c>
      <c r="GB301" s="27" t="s">
        <v>7</v>
      </c>
      <c r="GC301" s="27" t="s">
        <v>8</v>
      </c>
      <c r="GD301" s="27" t="s">
        <v>7</v>
      </c>
      <c r="GF301" s="27" t="s">
        <v>7</v>
      </c>
      <c r="GG301" s="27" t="s">
        <v>8</v>
      </c>
      <c r="GH301" s="27" t="s">
        <v>7</v>
      </c>
      <c r="GL301" s="27" t="s">
        <v>7</v>
      </c>
      <c r="GM301" s="27" t="s">
        <v>8</v>
      </c>
      <c r="IB301" s="27" t="s">
        <v>7</v>
      </c>
      <c r="IC301" s="27" t="s">
        <v>8</v>
      </c>
      <c r="ID301" s="27" t="s">
        <v>7</v>
      </c>
      <c r="IE301" s="27" t="s">
        <v>8</v>
      </c>
      <c r="IF301" s="27" t="s">
        <v>7</v>
      </c>
      <c r="IH301" s="27" t="s">
        <v>7</v>
      </c>
      <c r="II301" s="27" t="s">
        <v>8</v>
      </c>
      <c r="IJ301" s="27" t="s">
        <v>7</v>
      </c>
      <c r="IK301" s="27" t="s">
        <v>8</v>
      </c>
      <c r="IM301" s="27" t="s">
        <v>8</v>
      </c>
      <c r="IN301" s="27" t="s">
        <v>7</v>
      </c>
      <c r="IO301" s="27" t="s">
        <v>8</v>
      </c>
      <c r="IP301" s="27" t="s">
        <v>7</v>
      </c>
      <c r="IU301" s="27" t="s">
        <v>8</v>
      </c>
    </row>
    <row r="302" spans="1:256" x14ac:dyDescent="0.25">
      <c r="A302" s="7">
        <v>282.51984033965925</v>
      </c>
      <c r="B302"/>
      <c r="C302"/>
      <c r="D302"/>
      <c r="E302"/>
      <c r="CM302" s="27" t="s">
        <v>8</v>
      </c>
      <c r="CN302" s="27" t="s">
        <v>7</v>
      </c>
      <c r="CS302" s="27" t="s">
        <v>8</v>
      </c>
      <c r="CT302" s="27" t="s">
        <v>7</v>
      </c>
      <c r="DN302" s="27" t="s">
        <v>7</v>
      </c>
      <c r="EB302" s="27" t="s">
        <v>7</v>
      </c>
      <c r="EC302" s="27" t="s">
        <v>8</v>
      </c>
      <c r="ED302" s="27" t="s">
        <v>7</v>
      </c>
      <c r="EE302" s="27" t="s">
        <v>8</v>
      </c>
      <c r="EF302" s="27" t="s">
        <v>7</v>
      </c>
      <c r="EG302" s="27" t="s">
        <v>8</v>
      </c>
      <c r="EH302" s="27" t="s">
        <v>7</v>
      </c>
      <c r="EI302" s="27" t="s">
        <v>8</v>
      </c>
      <c r="ET302" s="27" t="s">
        <v>7</v>
      </c>
      <c r="FW302" s="27" t="s">
        <v>8</v>
      </c>
      <c r="FX302" s="27" t="s">
        <v>7</v>
      </c>
      <c r="FY302" s="27" t="s">
        <v>8</v>
      </c>
      <c r="GA302" s="27" t="s">
        <v>8</v>
      </c>
      <c r="GB302" s="27" t="s">
        <v>7</v>
      </c>
      <c r="GC302" s="27" t="s">
        <v>8</v>
      </c>
      <c r="GF302" s="27" t="s">
        <v>7</v>
      </c>
      <c r="GG302" s="27" t="s">
        <v>8</v>
      </c>
      <c r="GL302" s="27" t="s">
        <v>7</v>
      </c>
      <c r="GM302" s="27" t="s">
        <v>8</v>
      </c>
      <c r="IB302" s="27" t="s">
        <v>7</v>
      </c>
      <c r="IC302" s="27" t="s">
        <v>8</v>
      </c>
      <c r="ID302" s="27" t="s">
        <v>7</v>
      </c>
      <c r="IE302" s="27" t="s">
        <v>8</v>
      </c>
      <c r="IH302" s="27" t="s">
        <v>7</v>
      </c>
      <c r="II302" s="27" t="s">
        <v>8</v>
      </c>
      <c r="IJ302" s="27" t="s">
        <v>7</v>
      </c>
      <c r="IK302" s="27" t="s">
        <v>8</v>
      </c>
      <c r="IL302" s="27" t="s">
        <v>7</v>
      </c>
      <c r="IM302" s="27" t="s">
        <v>8</v>
      </c>
      <c r="IN302" s="27" t="s">
        <v>7</v>
      </c>
      <c r="IO302" s="27" t="s">
        <v>8</v>
      </c>
      <c r="IP302" s="27" t="s">
        <v>7</v>
      </c>
      <c r="IU302" s="27" t="s">
        <v>8</v>
      </c>
      <c r="IV302" s="27" t="s">
        <v>7</v>
      </c>
    </row>
    <row r="303" spans="1:256" x14ac:dyDescent="0.25">
      <c r="A303" s="7">
        <v>276.98023562711688</v>
      </c>
      <c r="B303"/>
      <c r="C303"/>
      <c r="D303"/>
      <c r="E303"/>
      <c r="CM303" s="27" t="s">
        <v>8</v>
      </c>
      <c r="CN303" s="27" t="s">
        <v>7</v>
      </c>
      <c r="CS303" s="27" t="s">
        <v>8</v>
      </c>
      <c r="EB303" s="27" t="s">
        <v>7</v>
      </c>
      <c r="EC303" s="27" t="s">
        <v>8</v>
      </c>
      <c r="ED303" s="27" t="s">
        <v>7</v>
      </c>
      <c r="EE303" s="27" t="s">
        <v>8</v>
      </c>
      <c r="EF303" s="27" t="s">
        <v>7</v>
      </c>
      <c r="EG303" s="27" t="s">
        <v>8</v>
      </c>
      <c r="EH303" s="27" t="s">
        <v>7</v>
      </c>
      <c r="EI303" s="27" t="s">
        <v>8</v>
      </c>
      <c r="ET303" s="27" t="s">
        <v>7</v>
      </c>
      <c r="FW303" s="27" t="s">
        <v>8</v>
      </c>
      <c r="FX303" s="27" t="s">
        <v>7</v>
      </c>
      <c r="FY303" s="27" t="s">
        <v>8</v>
      </c>
      <c r="FZ303" s="27" t="s">
        <v>7</v>
      </c>
      <c r="GA303" s="27" t="s">
        <v>8</v>
      </c>
      <c r="GB303" s="27" t="s">
        <v>7</v>
      </c>
      <c r="GC303" s="27" t="s">
        <v>8</v>
      </c>
      <c r="GF303" s="27" t="s">
        <v>7</v>
      </c>
      <c r="GG303" s="27" t="s">
        <v>8</v>
      </c>
      <c r="GL303" s="27" t="s">
        <v>7</v>
      </c>
      <c r="IB303" s="27" t="s">
        <v>7</v>
      </c>
      <c r="IC303" s="27" t="s">
        <v>8</v>
      </c>
      <c r="ID303" s="27" t="s">
        <v>7</v>
      </c>
      <c r="IE303" s="27" t="s">
        <v>8</v>
      </c>
      <c r="IH303" s="27" t="s">
        <v>7</v>
      </c>
      <c r="IJ303" s="27" t="s">
        <v>7</v>
      </c>
      <c r="IK303" s="27" t="s">
        <v>8</v>
      </c>
      <c r="IL303" s="27" t="s">
        <v>7</v>
      </c>
      <c r="IM303" s="27" t="s">
        <v>8</v>
      </c>
      <c r="IN303" s="27" t="s">
        <v>7</v>
      </c>
      <c r="IO303" s="27" t="s">
        <v>8</v>
      </c>
      <c r="IP303" s="27" t="s">
        <v>7</v>
      </c>
      <c r="IU303" s="27" t="s">
        <v>8</v>
      </c>
      <c r="IV303" s="27" t="s">
        <v>7</v>
      </c>
    </row>
    <row r="304" spans="1:256" x14ac:dyDescent="0.25">
      <c r="A304" s="7">
        <v>271.54925061482049</v>
      </c>
      <c r="B304"/>
      <c r="C304"/>
      <c r="D304"/>
      <c r="E304"/>
      <c r="CM304" s="27" t="s">
        <v>8</v>
      </c>
      <c r="CN304" s="27" t="s">
        <v>7</v>
      </c>
      <c r="CS304" s="27" t="s">
        <v>8</v>
      </c>
      <c r="EB304" s="27" t="s">
        <v>7</v>
      </c>
      <c r="EC304" s="27" t="s">
        <v>8</v>
      </c>
      <c r="ED304" s="27" t="s">
        <v>7</v>
      </c>
      <c r="EE304" s="27" t="s">
        <v>8</v>
      </c>
      <c r="EF304" s="27" t="s">
        <v>7</v>
      </c>
      <c r="EG304" s="27" t="s">
        <v>8</v>
      </c>
      <c r="EH304" s="27" t="s">
        <v>7</v>
      </c>
      <c r="EI304" s="27" t="s">
        <v>8</v>
      </c>
      <c r="ET304" s="27" t="s">
        <v>7</v>
      </c>
      <c r="FW304" s="27" t="s">
        <v>8</v>
      </c>
      <c r="FX304" s="27" t="s">
        <v>7</v>
      </c>
      <c r="FY304" s="27" t="s">
        <v>8</v>
      </c>
      <c r="FZ304" s="27" t="s">
        <v>7</v>
      </c>
      <c r="GA304" s="27" t="s">
        <v>8</v>
      </c>
      <c r="GB304" s="27" t="s">
        <v>7</v>
      </c>
      <c r="GC304" s="27" t="s">
        <v>8</v>
      </c>
      <c r="GF304" s="27" t="s">
        <v>7</v>
      </c>
      <c r="IB304" s="27" t="s">
        <v>7</v>
      </c>
      <c r="IC304" s="27" t="s">
        <v>8</v>
      </c>
      <c r="ID304" s="27" t="s">
        <v>7</v>
      </c>
      <c r="IE304" s="27" t="s">
        <v>8</v>
      </c>
      <c r="IJ304" s="27" t="s">
        <v>7</v>
      </c>
      <c r="IL304" s="27" t="s">
        <v>7</v>
      </c>
      <c r="IM304" s="27" t="s">
        <v>8</v>
      </c>
      <c r="IN304" s="27" t="s">
        <v>7</v>
      </c>
      <c r="IP304" s="27" t="s">
        <v>7</v>
      </c>
      <c r="IQ304" s="27" t="s">
        <v>8</v>
      </c>
      <c r="IU304" s="27" t="s">
        <v>8</v>
      </c>
      <c r="IV304" s="27" t="s">
        <v>7</v>
      </c>
    </row>
    <row r="305" spans="1:259" x14ac:dyDescent="0.25">
      <c r="A305" s="7">
        <v>266.22475550472598</v>
      </c>
      <c r="B305"/>
      <c r="C305"/>
      <c r="D305"/>
      <c r="E305"/>
      <c r="CM305" s="27" t="s">
        <v>8</v>
      </c>
      <c r="CN305" s="27" t="s">
        <v>7</v>
      </c>
      <c r="CS305" s="27" t="s">
        <v>8</v>
      </c>
      <c r="EB305" s="27" t="s">
        <v>7</v>
      </c>
      <c r="EC305" s="27" t="s">
        <v>8</v>
      </c>
      <c r="ED305" s="27" t="s">
        <v>7</v>
      </c>
      <c r="EF305" s="27" t="s">
        <v>7</v>
      </c>
      <c r="EG305" s="27" t="s">
        <v>8</v>
      </c>
      <c r="EH305" s="27" t="s">
        <v>7</v>
      </c>
      <c r="EI305" s="27" t="s">
        <v>8</v>
      </c>
      <c r="ET305" s="27" t="s">
        <v>7</v>
      </c>
      <c r="FW305" s="27" t="s">
        <v>8</v>
      </c>
      <c r="FX305" s="27" t="s">
        <v>7</v>
      </c>
      <c r="FY305" s="27" t="s">
        <v>8</v>
      </c>
      <c r="FZ305" s="27" t="s">
        <v>7</v>
      </c>
      <c r="GA305" s="27" t="s">
        <v>8</v>
      </c>
      <c r="GB305" s="27" t="s">
        <v>7</v>
      </c>
      <c r="IB305" s="27" t="s">
        <v>7</v>
      </c>
      <c r="IC305" s="27" t="s">
        <v>8</v>
      </c>
      <c r="ID305" s="27" t="s">
        <v>7</v>
      </c>
      <c r="IE305" s="27" t="s">
        <v>8</v>
      </c>
      <c r="IL305" s="27" t="s">
        <v>7</v>
      </c>
      <c r="IM305" s="27" t="s">
        <v>8</v>
      </c>
      <c r="IP305" s="27" t="s">
        <v>7</v>
      </c>
      <c r="IQ305" s="27" t="s">
        <v>8</v>
      </c>
      <c r="IR305" s="27" t="s">
        <v>7</v>
      </c>
      <c r="IU305" s="27" t="s">
        <v>8</v>
      </c>
      <c r="IV305" s="27" t="s">
        <v>7</v>
      </c>
    </row>
    <row r="306" spans="1:259" x14ac:dyDescent="0.25">
      <c r="A306" s="7">
        <v>261.00466225953528</v>
      </c>
      <c r="B306"/>
      <c r="C306"/>
      <c r="D306"/>
      <c r="E306"/>
      <c r="CM306" s="27" t="s">
        <v>8</v>
      </c>
      <c r="CN306" s="27" t="s">
        <v>7</v>
      </c>
      <c r="CS306" s="27" t="s">
        <v>8</v>
      </c>
      <c r="EB306" s="27" t="s">
        <v>7</v>
      </c>
      <c r="EC306" s="27" t="s">
        <v>8</v>
      </c>
      <c r="EF306" s="27" t="s">
        <v>7</v>
      </c>
      <c r="EG306" s="27" t="s">
        <v>8</v>
      </c>
      <c r="EH306" s="27" t="s">
        <v>7</v>
      </c>
      <c r="ET306" s="27" t="s">
        <v>7</v>
      </c>
      <c r="FW306" s="27" t="s">
        <v>8</v>
      </c>
      <c r="FX306" s="27" t="s">
        <v>7</v>
      </c>
      <c r="FY306" s="27" t="s">
        <v>8</v>
      </c>
      <c r="FZ306" s="27" t="s">
        <v>7</v>
      </c>
      <c r="IB306" s="27" t="s">
        <v>7</v>
      </c>
      <c r="IC306" s="27" t="s">
        <v>8</v>
      </c>
      <c r="ID306" s="27" t="s">
        <v>7</v>
      </c>
      <c r="IL306" s="27" t="s">
        <v>7</v>
      </c>
      <c r="IP306" s="27" t="s">
        <v>7</v>
      </c>
      <c r="IQ306" s="27" t="s">
        <v>8</v>
      </c>
      <c r="IR306" s="27" t="s">
        <v>7</v>
      </c>
      <c r="IU306" s="27" t="s">
        <v>8</v>
      </c>
      <c r="IV306" s="27" t="s">
        <v>7</v>
      </c>
    </row>
    <row r="307" spans="1:259" x14ac:dyDescent="0.25">
      <c r="A307" s="7">
        <v>255.88692378385809</v>
      </c>
      <c r="B307"/>
      <c r="C307"/>
      <c r="D307"/>
      <c r="E307"/>
      <c r="CM307" s="27" t="s">
        <v>8</v>
      </c>
      <c r="CN307" s="27" t="s">
        <v>7</v>
      </c>
      <c r="CQ307" s="27" t="s">
        <v>8</v>
      </c>
      <c r="CS307" s="27" t="s">
        <v>8</v>
      </c>
      <c r="EB307" s="27" t="s">
        <v>7</v>
      </c>
      <c r="EC307" s="27" t="s">
        <v>8</v>
      </c>
      <c r="EF307" s="27" t="s">
        <v>7</v>
      </c>
      <c r="EG307" s="27" t="s">
        <v>8</v>
      </c>
      <c r="ET307" s="27" t="s">
        <v>7</v>
      </c>
      <c r="FW307" s="27" t="s">
        <v>8</v>
      </c>
      <c r="FX307" s="27" t="s">
        <v>7</v>
      </c>
      <c r="FY307" s="27" t="s">
        <v>8</v>
      </c>
      <c r="IB307" s="27" t="s">
        <v>7</v>
      </c>
      <c r="IP307" s="27" t="s">
        <v>7</v>
      </c>
      <c r="IR307" s="27" t="s">
        <v>7</v>
      </c>
      <c r="IU307" s="27" t="s">
        <v>8</v>
      </c>
      <c r="IV307" s="27" t="s">
        <v>7</v>
      </c>
      <c r="IW307" s="27" t="s">
        <v>8</v>
      </c>
    </row>
    <row r="308" spans="1:259" x14ac:dyDescent="0.25">
      <c r="A308" s="7">
        <v>250.8695331214295</v>
      </c>
      <c r="B308"/>
      <c r="C308"/>
      <c r="D308"/>
      <c r="E308"/>
      <c r="CM308" s="27" t="s">
        <v>8</v>
      </c>
      <c r="CN308" s="27" t="s">
        <v>7</v>
      </c>
      <c r="CQ308" s="27" t="s">
        <v>8</v>
      </c>
      <c r="CR308" s="27" t="s">
        <v>7</v>
      </c>
      <c r="CS308" s="27" t="s">
        <v>8</v>
      </c>
      <c r="EB308" s="27" t="s">
        <v>7</v>
      </c>
      <c r="EC308" s="27" t="s">
        <v>8</v>
      </c>
      <c r="EF308" s="27" t="s">
        <v>7</v>
      </c>
      <c r="EG308" s="27" t="s">
        <v>8</v>
      </c>
      <c r="ET308" s="27" t="s">
        <v>7</v>
      </c>
      <c r="FW308" s="27" t="s">
        <v>8</v>
      </c>
      <c r="FX308" s="27" t="s">
        <v>7</v>
      </c>
      <c r="IR308" s="27" t="s">
        <v>7</v>
      </c>
      <c r="IS308" s="27" t="s">
        <v>8</v>
      </c>
      <c r="IU308" s="27" t="s">
        <v>8</v>
      </c>
      <c r="IV308" s="27" t="s">
        <v>7</v>
      </c>
      <c r="IW308" s="27" t="s">
        <v>8</v>
      </c>
      <c r="IX308" s="27" t="s">
        <v>7</v>
      </c>
    </row>
    <row r="309" spans="1:259" x14ac:dyDescent="0.25">
      <c r="A309" s="7">
        <v>245.95052266806812</v>
      </c>
      <c r="B309"/>
      <c r="C309"/>
      <c r="D309"/>
      <c r="E309"/>
      <c r="CK309" s="27" t="s">
        <v>8</v>
      </c>
      <c r="CM309" s="27" t="s">
        <v>8</v>
      </c>
      <c r="CN309" s="27" t="s">
        <v>7</v>
      </c>
      <c r="CQ309" s="27" t="s">
        <v>8</v>
      </c>
      <c r="CR309" s="27" t="s">
        <v>7</v>
      </c>
      <c r="CS309" s="27" t="s">
        <v>8</v>
      </c>
      <c r="EB309" s="27" t="s">
        <v>7</v>
      </c>
      <c r="EC309" s="27" t="s">
        <v>8</v>
      </c>
      <c r="EF309" s="27" t="s">
        <v>7</v>
      </c>
      <c r="EG309" s="27" t="s">
        <v>8</v>
      </c>
      <c r="ET309" s="27" t="s">
        <v>7</v>
      </c>
      <c r="FW309" s="27" t="s">
        <v>8</v>
      </c>
      <c r="IR309" s="27" t="s">
        <v>7</v>
      </c>
      <c r="IS309" s="27" t="s">
        <v>8</v>
      </c>
      <c r="IT309" s="27" t="s">
        <v>7</v>
      </c>
      <c r="IU309" s="27" t="s">
        <v>8</v>
      </c>
      <c r="IV309" s="27" t="s">
        <v>7</v>
      </c>
      <c r="IW309" s="27" t="s">
        <v>8</v>
      </c>
      <c r="IX309" s="27" t="s">
        <v>7</v>
      </c>
    </row>
    <row r="310" spans="1:259" x14ac:dyDescent="0.25">
      <c r="A310" s="7">
        <v>241.12796340006679</v>
      </c>
      <c r="B310"/>
      <c r="C310"/>
      <c r="D310"/>
      <c r="E310"/>
      <c r="CI310" s="27" t="s">
        <v>8</v>
      </c>
      <c r="CK310" s="27" t="s">
        <v>8</v>
      </c>
      <c r="CL310" s="27" t="s">
        <v>7</v>
      </c>
      <c r="CM310" s="27" t="s">
        <v>8</v>
      </c>
      <c r="CN310" s="27" t="s">
        <v>7</v>
      </c>
      <c r="CQ310" s="27" t="s">
        <v>8</v>
      </c>
      <c r="CR310" s="27" t="s">
        <v>7</v>
      </c>
      <c r="CS310" s="27" t="s">
        <v>8</v>
      </c>
      <c r="EB310" s="27" t="s">
        <v>7</v>
      </c>
      <c r="EC310" s="27" t="s">
        <v>8</v>
      </c>
      <c r="EF310" s="27" t="s">
        <v>7</v>
      </c>
      <c r="EG310" s="27" t="s">
        <v>8</v>
      </c>
      <c r="ET310" s="27" t="s">
        <v>7</v>
      </c>
      <c r="FC310" s="27" t="s">
        <v>8</v>
      </c>
      <c r="FU310" s="27" t="s">
        <v>8</v>
      </c>
      <c r="FW310" s="27" t="s">
        <v>8</v>
      </c>
      <c r="IR310" s="27" t="s">
        <v>7</v>
      </c>
      <c r="IS310" s="27" t="s">
        <v>8</v>
      </c>
      <c r="IT310" s="27" t="s">
        <v>7</v>
      </c>
      <c r="IU310" s="27" t="s">
        <v>8</v>
      </c>
      <c r="IV310" s="27" t="s">
        <v>7</v>
      </c>
      <c r="IX310" s="27" t="s">
        <v>7</v>
      </c>
    </row>
    <row r="311" spans="1:259" x14ac:dyDescent="0.25">
      <c r="A311" s="7">
        <v>236.39996411771253</v>
      </c>
      <c r="B311"/>
      <c r="C311"/>
      <c r="D311"/>
      <c r="E311"/>
      <c r="CI311" s="27" t="s">
        <v>8</v>
      </c>
      <c r="CJ311" s="27" t="s">
        <v>7</v>
      </c>
      <c r="CK311" s="27" t="s">
        <v>8</v>
      </c>
      <c r="CL311" s="27" t="s">
        <v>7</v>
      </c>
      <c r="CM311" s="27" t="s">
        <v>8</v>
      </c>
      <c r="CN311" s="27" t="s">
        <v>7</v>
      </c>
      <c r="CO311" s="27" t="s">
        <v>8</v>
      </c>
      <c r="CQ311" s="27" t="s">
        <v>8</v>
      </c>
      <c r="CR311" s="27" t="s">
        <v>7</v>
      </c>
      <c r="CS311" s="27" t="s">
        <v>8</v>
      </c>
      <c r="EB311" s="27" t="s">
        <v>7</v>
      </c>
      <c r="EC311" s="27" t="s">
        <v>8</v>
      </c>
      <c r="EF311" s="27" t="s">
        <v>7</v>
      </c>
      <c r="EG311" s="27" t="s">
        <v>8</v>
      </c>
      <c r="ET311" s="27" t="s">
        <v>7</v>
      </c>
      <c r="EW311" s="27" t="s">
        <v>8</v>
      </c>
      <c r="FC311" s="27" t="s">
        <v>8</v>
      </c>
      <c r="FD311" s="27" t="s">
        <v>7</v>
      </c>
      <c r="FU311" s="27" t="s">
        <v>8</v>
      </c>
      <c r="FV311" s="27" t="s">
        <v>7</v>
      </c>
      <c r="FW311" s="27" t="s">
        <v>8</v>
      </c>
      <c r="IR311" s="27" t="s">
        <v>7</v>
      </c>
      <c r="IS311" s="27" t="s">
        <v>8</v>
      </c>
      <c r="IT311" s="27" t="s">
        <v>7</v>
      </c>
      <c r="IU311" s="27" t="s">
        <v>8</v>
      </c>
      <c r="IX311" s="27" t="s">
        <v>7</v>
      </c>
    </row>
    <row r="312" spans="1:259" x14ac:dyDescent="0.25">
      <c r="A312" s="7">
        <v>231.76467070363972</v>
      </c>
      <c r="B312"/>
      <c r="C312"/>
      <c r="D312"/>
      <c r="E312"/>
      <c r="CI312" s="27" t="s">
        <v>8</v>
      </c>
      <c r="CJ312" s="27" t="s">
        <v>7</v>
      </c>
      <c r="CK312" s="27" t="s">
        <v>8</v>
      </c>
      <c r="CL312" s="27" t="s">
        <v>7</v>
      </c>
      <c r="CM312" s="27" t="s">
        <v>8</v>
      </c>
      <c r="CN312" s="27" t="s">
        <v>7</v>
      </c>
      <c r="CO312" s="27" t="s">
        <v>8</v>
      </c>
      <c r="CP312" s="27" t="s">
        <v>7</v>
      </c>
      <c r="CQ312" s="27" t="s">
        <v>8</v>
      </c>
      <c r="CR312" s="27" t="s">
        <v>7</v>
      </c>
      <c r="CS312" s="27" t="s">
        <v>8</v>
      </c>
      <c r="EB312" s="27" t="s">
        <v>7</v>
      </c>
      <c r="EC312" s="27" t="s">
        <v>8</v>
      </c>
      <c r="EF312" s="27" t="s">
        <v>7</v>
      </c>
      <c r="EG312" s="27" t="s">
        <v>8</v>
      </c>
      <c r="ET312" s="27" t="s">
        <v>7</v>
      </c>
      <c r="EW312" s="27" t="s">
        <v>8</v>
      </c>
      <c r="EX312" s="27" t="s">
        <v>7</v>
      </c>
      <c r="FC312" s="27" t="s">
        <v>8</v>
      </c>
      <c r="FD312" s="27" t="s">
        <v>7</v>
      </c>
      <c r="FU312" s="27" t="s">
        <v>8</v>
      </c>
      <c r="FV312" s="27" t="s">
        <v>7</v>
      </c>
      <c r="FW312" s="27" t="s">
        <v>8</v>
      </c>
      <c r="IR312" s="27" t="s">
        <v>7</v>
      </c>
      <c r="IT312" s="27" t="s">
        <v>7</v>
      </c>
      <c r="IX312" s="27" t="s">
        <v>7</v>
      </c>
    </row>
    <row r="313" spans="1:259" x14ac:dyDescent="0.25">
      <c r="A313" s="7">
        <v>227.22026539572522</v>
      </c>
      <c r="B313"/>
      <c r="C313"/>
      <c r="D313"/>
      <c r="E313"/>
      <c r="CI313" s="27" t="s">
        <v>8</v>
      </c>
      <c r="CJ313" s="27" t="s">
        <v>7</v>
      </c>
      <c r="CK313" s="27" t="s">
        <v>8</v>
      </c>
      <c r="CL313" s="27" t="s">
        <v>7</v>
      </c>
      <c r="CM313" s="27" t="s">
        <v>8</v>
      </c>
      <c r="CN313" s="27" t="s">
        <v>7</v>
      </c>
      <c r="CO313" s="27" t="s">
        <v>8</v>
      </c>
      <c r="CP313" s="27" t="s">
        <v>7</v>
      </c>
      <c r="CQ313" s="27" t="s">
        <v>8</v>
      </c>
      <c r="CR313" s="27" t="s">
        <v>7</v>
      </c>
      <c r="CS313" s="27" t="s">
        <v>8</v>
      </c>
      <c r="EB313" s="27" t="s">
        <v>7</v>
      </c>
      <c r="EC313" s="27" t="s">
        <v>8</v>
      </c>
      <c r="EF313" s="27" t="s">
        <v>7</v>
      </c>
      <c r="EG313" s="27" t="s">
        <v>8</v>
      </c>
      <c r="ET313" s="27" t="s">
        <v>7</v>
      </c>
      <c r="EW313" s="27" t="s">
        <v>8</v>
      </c>
      <c r="EX313" s="27" t="s">
        <v>7</v>
      </c>
      <c r="FC313" s="27" t="s">
        <v>8</v>
      </c>
      <c r="FD313" s="27" t="s">
        <v>7</v>
      </c>
      <c r="FU313" s="27" t="s">
        <v>8</v>
      </c>
      <c r="FV313" s="27" t="s">
        <v>7</v>
      </c>
      <c r="FW313" s="27" t="s">
        <v>8</v>
      </c>
      <c r="IX313" s="27" t="s">
        <v>7</v>
      </c>
    </row>
    <row r="314" spans="1:259" x14ac:dyDescent="0.25">
      <c r="A314" s="7">
        <v>222.76496607424042</v>
      </c>
      <c r="B314"/>
      <c r="C314"/>
      <c r="D314"/>
      <c r="E314"/>
      <c r="CI314" s="27" t="s">
        <v>8</v>
      </c>
      <c r="CJ314" s="27" t="s">
        <v>7</v>
      </c>
      <c r="CK314" s="27" t="s">
        <v>8</v>
      </c>
      <c r="CL314" s="27" t="s">
        <v>7</v>
      </c>
      <c r="CM314" s="27" t="s">
        <v>8</v>
      </c>
      <c r="CN314" s="27" t="s">
        <v>7</v>
      </c>
      <c r="CO314" s="27" t="s">
        <v>8</v>
      </c>
      <c r="CP314" s="27" t="s">
        <v>7</v>
      </c>
      <c r="CQ314" s="27" t="s">
        <v>8</v>
      </c>
      <c r="CR314" s="27" t="s">
        <v>7</v>
      </c>
      <c r="CS314" s="27" t="s">
        <v>8</v>
      </c>
      <c r="EB314" s="27" t="s">
        <v>7</v>
      </c>
      <c r="EC314" s="27" t="s">
        <v>8</v>
      </c>
      <c r="EF314" s="27" t="s">
        <v>7</v>
      </c>
      <c r="EG314" s="27" t="s">
        <v>8</v>
      </c>
      <c r="ET314" s="27" t="s">
        <v>7</v>
      </c>
      <c r="EU314" s="27" t="s">
        <v>8</v>
      </c>
      <c r="EW314" s="27" t="s">
        <v>8</v>
      </c>
      <c r="EX314" s="27" t="s">
        <v>7</v>
      </c>
      <c r="FC314" s="27" t="s">
        <v>8</v>
      </c>
      <c r="FD314" s="27" t="s">
        <v>7</v>
      </c>
      <c r="FQ314" s="27" t="s">
        <v>8</v>
      </c>
      <c r="FU314" s="27" t="s">
        <v>8</v>
      </c>
      <c r="FV314" s="27" t="s">
        <v>7</v>
      </c>
      <c r="FW314" s="27" t="s">
        <v>8</v>
      </c>
      <c r="IX314" s="27" t="s">
        <v>7</v>
      </c>
    </row>
    <row r="315" spans="1:259" x14ac:dyDescent="0.25">
      <c r="A315" s="7">
        <v>218.39702556298079</v>
      </c>
      <c r="B315"/>
      <c r="C315"/>
      <c r="D315"/>
      <c r="E315"/>
      <c r="CI315" s="27" t="s">
        <v>8</v>
      </c>
      <c r="CJ315" s="27" t="s">
        <v>7</v>
      </c>
      <c r="CK315" s="27" t="s">
        <v>8</v>
      </c>
      <c r="CL315" s="27" t="s">
        <v>7</v>
      </c>
      <c r="CM315" s="27" t="s">
        <v>8</v>
      </c>
      <c r="CN315" s="27" t="s">
        <v>7</v>
      </c>
      <c r="CO315" s="27" t="s">
        <v>8</v>
      </c>
      <c r="CP315" s="27" t="s">
        <v>7</v>
      </c>
      <c r="CQ315" s="27" t="s">
        <v>8</v>
      </c>
      <c r="CR315" s="27" t="s">
        <v>7</v>
      </c>
      <c r="CS315" s="27" t="s">
        <v>8</v>
      </c>
      <c r="EB315" s="27" t="s">
        <v>7</v>
      </c>
      <c r="EC315" s="27" t="s">
        <v>8</v>
      </c>
      <c r="EF315" s="27" t="s">
        <v>7</v>
      </c>
      <c r="EG315" s="27" t="s">
        <v>8</v>
      </c>
      <c r="ET315" s="27" t="s">
        <v>7</v>
      </c>
      <c r="EU315" s="27" t="s">
        <v>8</v>
      </c>
      <c r="EV315" s="27" t="s">
        <v>7</v>
      </c>
      <c r="EW315" s="27" t="s">
        <v>8</v>
      </c>
      <c r="EX315" s="27" t="s">
        <v>7</v>
      </c>
      <c r="FC315" s="27" t="s">
        <v>8</v>
      </c>
      <c r="FD315" s="27" t="s">
        <v>7</v>
      </c>
      <c r="FE315" s="27" t="s">
        <v>8</v>
      </c>
      <c r="FQ315" s="27" t="s">
        <v>8</v>
      </c>
      <c r="FR315" s="27" t="s">
        <v>7</v>
      </c>
      <c r="FS315" s="27" t="s">
        <v>8</v>
      </c>
      <c r="FU315" s="27" t="s">
        <v>8</v>
      </c>
      <c r="FV315" s="27" t="s">
        <v>7</v>
      </c>
      <c r="FW315" s="27" t="s">
        <v>8</v>
      </c>
      <c r="IX315" s="27" t="s">
        <v>7</v>
      </c>
    </row>
    <row r="316" spans="1:259" x14ac:dyDescent="0.25">
      <c r="A316" s="7">
        <v>214.1147309440988</v>
      </c>
      <c r="B316"/>
      <c r="C316"/>
      <c r="D316"/>
      <c r="E316"/>
      <c r="CI316" s="27" t="s">
        <v>8</v>
      </c>
      <c r="CJ316" s="27" t="s">
        <v>7</v>
      </c>
      <c r="CK316" s="27" t="s">
        <v>8</v>
      </c>
      <c r="CL316" s="27" t="s">
        <v>7</v>
      </c>
      <c r="CM316" s="27" t="s">
        <v>8</v>
      </c>
      <c r="CN316" s="27" t="s">
        <v>7</v>
      </c>
      <c r="CO316" s="27" t="s">
        <v>8</v>
      </c>
      <c r="CP316" s="27" t="s">
        <v>7</v>
      </c>
      <c r="CQ316" s="27" t="s">
        <v>8</v>
      </c>
      <c r="CR316" s="27" t="s">
        <v>7</v>
      </c>
      <c r="EB316" s="27" t="s">
        <v>7</v>
      </c>
      <c r="EC316" s="27" t="s">
        <v>8</v>
      </c>
      <c r="EF316" s="27" t="s">
        <v>7</v>
      </c>
      <c r="EG316" s="27" t="s">
        <v>8</v>
      </c>
      <c r="ET316" s="27" t="s">
        <v>7</v>
      </c>
      <c r="EU316" s="27" t="s">
        <v>8</v>
      </c>
      <c r="EV316" s="27" t="s">
        <v>7</v>
      </c>
      <c r="EW316" s="27" t="s">
        <v>8</v>
      </c>
      <c r="EX316" s="27" t="s">
        <v>7</v>
      </c>
      <c r="EY316" s="27" t="s">
        <v>8</v>
      </c>
      <c r="FA316" s="27" t="s">
        <v>8</v>
      </c>
      <c r="FC316" s="27" t="s">
        <v>8</v>
      </c>
      <c r="FD316" s="27" t="s">
        <v>7</v>
      </c>
      <c r="FE316" s="27" t="s">
        <v>8</v>
      </c>
      <c r="FF316" s="27" t="s">
        <v>7</v>
      </c>
      <c r="FQ316" s="27" t="s">
        <v>8</v>
      </c>
      <c r="FR316" s="27" t="s">
        <v>7</v>
      </c>
      <c r="FS316" s="27" t="s">
        <v>8</v>
      </c>
      <c r="FT316" s="27" t="s">
        <v>7</v>
      </c>
      <c r="FU316" s="27" t="s">
        <v>8</v>
      </c>
      <c r="FV316" s="27" t="s">
        <v>7</v>
      </c>
      <c r="FW316" s="27" t="s">
        <v>8</v>
      </c>
      <c r="IX316" s="27" t="s">
        <v>7</v>
      </c>
    </row>
    <row r="317" spans="1:259" x14ac:dyDescent="0.25">
      <c r="A317" s="7">
        <v>209.91640288637137</v>
      </c>
      <c r="B317"/>
      <c r="C317"/>
      <c r="D317"/>
      <c r="E317"/>
      <c r="CI317" s="27" t="s">
        <v>8</v>
      </c>
      <c r="CJ317" s="27" t="s">
        <v>7</v>
      </c>
      <c r="CK317" s="27" t="s">
        <v>8</v>
      </c>
      <c r="CL317" s="27" t="s">
        <v>7</v>
      </c>
      <c r="CM317" s="27" t="s">
        <v>8</v>
      </c>
      <c r="CN317" s="27" t="s">
        <v>7</v>
      </c>
      <c r="CO317" s="27" t="s">
        <v>8</v>
      </c>
      <c r="CP317" s="27" t="s">
        <v>7</v>
      </c>
      <c r="CQ317" s="27" t="s">
        <v>8</v>
      </c>
      <c r="EB317" s="27" t="s">
        <v>7</v>
      </c>
      <c r="EC317" s="27" t="s">
        <v>8</v>
      </c>
      <c r="EF317" s="27" t="s">
        <v>7</v>
      </c>
      <c r="EG317" s="27" t="s">
        <v>8</v>
      </c>
      <c r="ET317" s="27" t="s">
        <v>7</v>
      </c>
      <c r="EU317" s="27" t="s">
        <v>8</v>
      </c>
      <c r="EV317" s="27" t="s">
        <v>7</v>
      </c>
      <c r="EW317" s="27" t="s">
        <v>8</v>
      </c>
      <c r="EX317" s="27" t="s">
        <v>7</v>
      </c>
      <c r="EY317" s="27" t="s">
        <v>8</v>
      </c>
      <c r="EZ317" s="27" t="s">
        <v>7</v>
      </c>
      <c r="FA317" s="27" t="s">
        <v>8</v>
      </c>
      <c r="FB317" s="27" t="s">
        <v>7</v>
      </c>
      <c r="FC317" s="27" t="s">
        <v>8</v>
      </c>
      <c r="FD317" s="27" t="s">
        <v>7</v>
      </c>
      <c r="FE317" s="27" t="s">
        <v>8</v>
      </c>
      <c r="FF317" s="27" t="s">
        <v>7</v>
      </c>
      <c r="FG317" s="27" t="s">
        <v>8</v>
      </c>
      <c r="FQ317" s="27" t="s">
        <v>8</v>
      </c>
      <c r="FR317" s="27" t="s">
        <v>7</v>
      </c>
      <c r="FS317" s="27" t="s">
        <v>8</v>
      </c>
      <c r="FT317" s="27" t="s">
        <v>7</v>
      </c>
      <c r="FU317" s="27" t="s">
        <v>8</v>
      </c>
      <c r="FV317" s="27" t="s">
        <v>7</v>
      </c>
      <c r="IX317" s="27" t="s">
        <v>7</v>
      </c>
    </row>
    <row r="318" spans="1:259" x14ac:dyDescent="0.25">
      <c r="A318" s="7">
        <v>205.80039498663859</v>
      </c>
      <c r="B318"/>
      <c r="C318"/>
      <c r="D318"/>
      <c r="E318"/>
      <c r="CI318" s="27" t="s">
        <v>8</v>
      </c>
      <c r="CJ318" s="27" t="s">
        <v>7</v>
      </c>
      <c r="CK318" s="27" t="s">
        <v>8</v>
      </c>
      <c r="CL318" s="27" t="s">
        <v>7</v>
      </c>
      <c r="CM318" s="27" t="s">
        <v>8</v>
      </c>
      <c r="CN318" s="27" t="s">
        <v>7</v>
      </c>
      <c r="CO318" s="27" t="s">
        <v>8</v>
      </c>
      <c r="CP318" s="27" t="s">
        <v>7</v>
      </c>
      <c r="CQ318" s="27" t="s">
        <v>8</v>
      </c>
      <c r="EB318" s="27" t="s">
        <v>7</v>
      </c>
      <c r="EC318" s="27" t="s">
        <v>8</v>
      </c>
      <c r="EF318" s="27" t="s">
        <v>7</v>
      </c>
      <c r="EG318" s="27" t="s">
        <v>8</v>
      </c>
      <c r="ET318" s="27" t="s">
        <v>7</v>
      </c>
      <c r="EU318" s="27" t="s">
        <v>8</v>
      </c>
      <c r="EV318" s="27" t="s">
        <v>7</v>
      </c>
      <c r="EW318" s="27" t="s">
        <v>8</v>
      </c>
      <c r="EX318" s="27" t="s">
        <v>7</v>
      </c>
      <c r="EY318" s="27" t="s">
        <v>8</v>
      </c>
      <c r="EZ318" s="27" t="s">
        <v>7</v>
      </c>
      <c r="FA318" s="27" t="s">
        <v>8</v>
      </c>
      <c r="FB318" s="27" t="s">
        <v>7</v>
      </c>
      <c r="FC318" s="27" t="s">
        <v>8</v>
      </c>
      <c r="FD318" s="27" t="s">
        <v>7</v>
      </c>
      <c r="FE318" s="27" t="s">
        <v>8</v>
      </c>
      <c r="FF318" s="27" t="s">
        <v>7</v>
      </c>
      <c r="FG318" s="27" t="s">
        <v>8</v>
      </c>
      <c r="FH318" s="27" t="s">
        <v>7</v>
      </c>
      <c r="FO318" s="27" t="s">
        <v>8</v>
      </c>
      <c r="FQ318" s="27" t="s">
        <v>8</v>
      </c>
      <c r="FR318" s="27" t="s">
        <v>7</v>
      </c>
      <c r="FS318" s="27" t="s">
        <v>8</v>
      </c>
      <c r="FT318" s="27" t="s">
        <v>7</v>
      </c>
      <c r="IX318" s="27" t="s">
        <v>7</v>
      </c>
    </row>
    <row r="319" spans="1:259" x14ac:dyDescent="0.25">
      <c r="A319" s="7">
        <v>201.76509312415547</v>
      </c>
      <c r="B319"/>
      <c r="C319"/>
      <c r="D319"/>
      <c r="E319"/>
      <c r="CI319" s="27" t="s">
        <v>8</v>
      </c>
      <c r="CJ319" s="27" t="s">
        <v>7</v>
      </c>
      <c r="CL319" s="27" t="s">
        <v>7</v>
      </c>
      <c r="CM319" s="27" t="s">
        <v>8</v>
      </c>
      <c r="CN319" s="27" t="s">
        <v>7</v>
      </c>
      <c r="CP319" s="27" t="s">
        <v>7</v>
      </c>
      <c r="CQ319" s="27" t="s">
        <v>8</v>
      </c>
      <c r="EB319" s="27" t="s">
        <v>7</v>
      </c>
      <c r="EC319" s="27" t="s">
        <v>8</v>
      </c>
      <c r="EF319" s="27" t="s">
        <v>7</v>
      </c>
      <c r="ET319" s="27" t="s">
        <v>7</v>
      </c>
      <c r="EU319" s="27" t="s">
        <v>8</v>
      </c>
      <c r="EV319" s="27" t="s">
        <v>7</v>
      </c>
      <c r="EW319" s="27" t="s">
        <v>8</v>
      </c>
      <c r="EX319" s="27" t="s">
        <v>7</v>
      </c>
      <c r="EY319" s="27" t="s">
        <v>8</v>
      </c>
      <c r="EZ319" s="27" t="s">
        <v>7</v>
      </c>
      <c r="FA319" s="27" t="s">
        <v>8</v>
      </c>
      <c r="FB319" s="27" t="s">
        <v>7</v>
      </c>
      <c r="FC319" s="27" t="s">
        <v>8</v>
      </c>
      <c r="FD319" s="27" t="s">
        <v>7</v>
      </c>
      <c r="FF319" s="27" t="s">
        <v>7</v>
      </c>
      <c r="FG319" s="27" t="s">
        <v>8</v>
      </c>
      <c r="FH319" s="27" t="s">
        <v>7</v>
      </c>
      <c r="FO319" s="27" t="s">
        <v>8</v>
      </c>
      <c r="FP319" s="27" t="s">
        <v>7</v>
      </c>
      <c r="FQ319" s="27" t="s">
        <v>8</v>
      </c>
      <c r="FR319" s="27" t="s">
        <v>7</v>
      </c>
      <c r="FS319" s="27" t="s">
        <v>8</v>
      </c>
      <c r="IX319" s="27" t="s">
        <v>7</v>
      </c>
    </row>
    <row r="320" spans="1:259" x14ac:dyDescent="0.25">
      <c r="A320" s="7">
        <v>197.80891482760339</v>
      </c>
      <c r="B320"/>
      <c r="C320"/>
      <c r="D320"/>
      <c r="E320"/>
      <c r="CI320" s="27" t="s">
        <v>8</v>
      </c>
      <c r="CL320" s="27" t="s">
        <v>7</v>
      </c>
      <c r="CM320" s="27" t="s">
        <v>8</v>
      </c>
      <c r="CP320" s="27" t="s">
        <v>7</v>
      </c>
      <c r="EB320" s="27" t="s">
        <v>7</v>
      </c>
      <c r="EC320" s="27" t="s">
        <v>8</v>
      </c>
      <c r="ET320" s="27" t="s">
        <v>7</v>
      </c>
      <c r="EU320" s="27" t="s">
        <v>8</v>
      </c>
      <c r="EV320" s="27" t="s">
        <v>7</v>
      </c>
      <c r="EW320" s="27" t="s">
        <v>8</v>
      </c>
      <c r="EX320" s="27" t="s">
        <v>7</v>
      </c>
      <c r="EY320" s="27" t="s">
        <v>8</v>
      </c>
      <c r="EZ320" s="27" t="s">
        <v>7</v>
      </c>
      <c r="FA320" s="27" t="s">
        <v>8</v>
      </c>
      <c r="FB320" s="27" t="s">
        <v>7</v>
      </c>
      <c r="FC320" s="27" t="s">
        <v>8</v>
      </c>
      <c r="FF320" s="27" t="s">
        <v>7</v>
      </c>
      <c r="FG320" s="27" t="s">
        <v>8</v>
      </c>
      <c r="FH320" s="27" t="s">
        <v>7</v>
      </c>
      <c r="FO320" s="27" t="s">
        <v>8</v>
      </c>
      <c r="FP320" s="27" t="s">
        <v>7</v>
      </c>
      <c r="FQ320" s="27" t="s">
        <v>8</v>
      </c>
      <c r="FR320" s="27" t="s">
        <v>7</v>
      </c>
      <c r="FS320" s="27" t="s">
        <v>8</v>
      </c>
      <c r="IX320" s="27" t="s">
        <v>7</v>
      </c>
      <c r="IY320" s="27" t="s">
        <v>8</v>
      </c>
    </row>
    <row r="321" spans="1:262" x14ac:dyDescent="0.25">
      <c r="A321" s="7">
        <v>193.93030865451311</v>
      </c>
      <c r="B321"/>
      <c r="C321"/>
      <c r="D321"/>
      <c r="E321"/>
      <c r="CI321" s="27" t="s">
        <v>8</v>
      </c>
      <c r="CL321" s="27" t="s">
        <v>7</v>
      </c>
      <c r="EB321" s="27" t="s">
        <v>7</v>
      </c>
      <c r="EC321" s="27" t="s">
        <v>8</v>
      </c>
      <c r="ET321" s="27" t="s">
        <v>7</v>
      </c>
      <c r="EU321" s="27" t="s">
        <v>8</v>
      </c>
      <c r="EV321" s="27" t="s">
        <v>7</v>
      </c>
      <c r="EW321" s="27" t="s">
        <v>8</v>
      </c>
      <c r="EX321" s="27" t="s">
        <v>7</v>
      </c>
      <c r="EZ321" s="27" t="s">
        <v>7</v>
      </c>
      <c r="FB321" s="27" t="s">
        <v>7</v>
      </c>
      <c r="FF321" s="27" t="s">
        <v>7</v>
      </c>
      <c r="FG321" s="27" t="s">
        <v>8</v>
      </c>
      <c r="FH321" s="27" t="s">
        <v>7</v>
      </c>
      <c r="FO321" s="27" t="s">
        <v>8</v>
      </c>
      <c r="FP321" s="27" t="s">
        <v>7</v>
      </c>
      <c r="FQ321" s="27" t="s">
        <v>8</v>
      </c>
      <c r="FR321" s="27" t="s">
        <v>7</v>
      </c>
      <c r="IX321" s="27" t="s">
        <v>7</v>
      </c>
      <c r="IY321" s="27" t="s">
        <v>8</v>
      </c>
      <c r="IZ321" s="27" t="s">
        <v>7</v>
      </c>
    </row>
    <row r="322" spans="1:262" x14ac:dyDescent="0.25">
      <c r="A322" s="7">
        <v>190.127753582856</v>
      </c>
      <c r="B322"/>
      <c r="C322"/>
      <c r="D322"/>
      <c r="E322"/>
      <c r="CI322" s="27" t="s">
        <v>8</v>
      </c>
      <c r="EB322" s="27" t="s">
        <v>7</v>
      </c>
      <c r="EC322" s="27" t="s">
        <v>8</v>
      </c>
      <c r="ET322" s="27" t="s">
        <v>7</v>
      </c>
      <c r="EU322" s="27" t="s">
        <v>8</v>
      </c>
      <c r="EV322" s="27" t="s">
        <v>7</v>
      </c>
      <c r="EW322" s="27" t="s">
        <v>8</v>
      </c>
      <c r="FF322" s="27" t="s">
        <v>7</v>
      </c>
      <c r="FG322" s="27" t="s">
        <v>8</v>
      </c>
      <c r="FH322" s="27" t="s">
        <v>7</v>
      </c>
      <c r="FO322" s="27" t="s">
        <v>8</v>
      </c>
      <c r="FP322" s="27" t="s">
        <v>7</v>
      </c>
      <c r="FQ322" s="27" t="s">
        <v>8</v>
      </c>
      <c r="IX322" s="27" t="s">
        <v>7</v>
      </c>
      <c r="IY322" s="27" t="s">
        <v>8</v>
      </c>
      <c r="IZ322" s="27" t="s">
        <v>7</v>
      </c>
    </row>
    <row r="323" spans="1:262" x14ac:dyDescent="0.25">
      <c r="A323" s="7">
        <v>186.3997584145647</v>
      </c>
      <c r="B323"/>
      <c r="C323"/>
      <c r="D323"/>
      <c r="E323"/>
      <c r="CI323" s="27" t="s">
        <v>8</v>
      </c>
      <c r="EB323" s="27" t="s">
        <v>7</v>
      </c>
      <c r="EC323" s="27" t="s">
        <v>8</v>
      </c>
      <c r="ET323" s="27" t="s">
        <v>7</v>
      </c>
      <c r="EU323" s="27" t="s">
        <v>8</v>
      </c>
      <c r="EV323" s="27" t="s">
        <v>7</v>
      </c>
      <c r="EW323" s="27" t="s">
        <v>8</v>
      </c>
      <c r="FF323" s="27" t="s">
        <v>7</v>
      </c>
      <c r="FG323" s="27" t="s">
        <v>8</v>
      </c>
      <c r="FH323" s="27" t="s">
        <v>7</v>
      </c>
      <c r="FI323" s="27" t="s">
        <v>8</v>
      </c>
      <c r="FM323" s="27" t="s">
        <v>8</v>
      </c>
      <c r="FO323" s="27" t="s">
        <v>8</v>
      </c>
      <c r="FP323" s="27" t="s">
        <v>7</v>
      </c>
      <c r="FQ323" s="27" t="s">
        <v>8</v>
      </c>
      <c r="IX323" s="27" t="s">
        <v>7</v>
      </c>
      <c r="IY323" s="27" t="s">
        <v>8</v>
      </c>
      <c r="IZ323" s="27" t="s">
        <v>7</v>
      </c>
    </row>
    <row r="324" spans="1:262" x14ac:dyDescent="0.25">
      <c r="A324" s="7">
        <v>182.7448611907497</v>
      </c>
      <c r="B324"/>
      <c r="C324"/>
      <c r="D324"/>
      <c r="E324"/>
      <c r="CI324" s="27" t="s">
        <v>8</v>
      </c>
      <c r="EB324" s="27" t="s">
        <v>7</v>
      </c>
      <c r="EC324" s="27" t="s">
        <v>8</v>
      </c>
      <c r="ET324" s="27" t="s">
        <v>7</v>
      </c>
      <c r="EU324" s="27" t="s">
        <v>8</v>
      </c>
      <c r="EV324" s="27" t="s">
        <v>7</v>
      </c>
      <c r="EW324" s="27" t="s">
        <v>8</v>
      </c>
      <c r="FF324" s="27" t="s">
        <v>7</v>
      </c>
      <c r="FG324" s="27" t="s">
        <v>8</v>
      </c>
      <c r="FH324" s="27" t="s">
        <v>7</v>
      </c>
      <c r="FI324" s="27" t="s">
        <v>8</v>
      </c>
      <c r="FJ324" s="27" t="s">
        <v>7</v>
      </c>
      <c r="FM324" s="27" t="s">
        <v>8</v>
      </c>
      <c r="FN324" s="27" t="s">
        <v>7</v>
      </c>
      <c r="FO324" s="27" t="s">
        <v>8</v>
      </c>
      <c r="FP324" s="27" t="s">
        <v>7</v>
      </c>
      <c r="FQ324" s="27" t="s">
        <v>8</v>
      </c>
      <c r="IX324" s="27" t="s">
        <v>7</v>
      </c>
      <c r="IY324" s="27" t="s">
        <v>8</v>
      </c>
      <c r="IZ324" s="27" t="s">
        <v>7</v>
      </c>
    </row>
    <row r="325" spans="1:262" x14ac:dyDescent="0.25">
      <c r="A325" s="7">
        <v>179.16162861838205</v>
      </c>
      <c r="B325"/>
      <c r="C325"/>
      <c r="D325"/>
      <c r="E325"/>
      <c r="CI325" s="27" t="s">
        <v>8</v>
      </c>
      <c r="EB325" s="27" t="s">
        <v>7</v>
      </c>
      <c r="EC325" s="27" t="s">
        <v>8</v>
      </c>
      <c r="ET325" s="27" t="s">
        <v>7</v>
      </c>
      <c r="EU325" s="27" t="s">
        <v>8</v>
      </c>
      <c r="EV325" s="27" t="s">
        <v>7</v>
      </c>
      <c r="EW325" s="27" t="s">
        <v>8</v>
      </c>
      <c r="FF325" s="27" t="s">
        <v>7</v>
      </c>
      <c r="FH325" s="27" t="s">
        <v>7</v>
      </c>
      <c r="FI325" s="27" t="s">
        <v>8</v>
      </c>
      <c r="FJ325" s="27" t="s">
        <v>7</v>
      </c>
      <c r="FK325" s="27" t="s">
        <v>8</v>
      </c>
      <c r="FM325" s="27" t="s">
        <v>8</v>
      </c>
      <c r="FN325" s="27" t="s">
        <v>7</v>
      </c>
      <c r="FO325" s="27" t="s">
        <v>8</v>
      </c>
      <c r="FP325" s="27" t="s">
        <v>7</v>
      </c>
      <c r="IX325" s="27" t="s">
        <v>7</v>
      </c>
      <c r="IY325" s="27" t="s">
        <v>8</v>
      </c>
      <c r="IZ325" s="27" t="s">
        <v>7</v>
      </c>
      <c r="JA325" s="27" t="s">
        <v>8</v>
      </c>
    </row>
    <row r="326" spans="1:262" x14ac:dyDescent="0.25">
      <c r="A326" s="7">
        <v>175.6486555082177</v>
      </c>
      <c r="B326"/>
      <c r="C326"/>
      <c r="D326"/>
      <c r="E326"/>
      <c r="CI326" s="27" t="s">
        <v>8</v>
      </c>
      <c r="EB326" s="27" t="s">
        <v>7</v>
      </c>
      <c r="EC326" s="27" t="s">
        <v>8</v>
      </c>
      <c r="ET326" s="27" t="s">
        <v>7</v>
      </c>
      <c r="EU326" s="27" t="s">
        <v>8</v>
      </c>
      <c r="EV326" s="27" t="s">
        <v>7</v>
      </c>
      <c r="EW326" s="27" t="s">
        <v>8</v>
      </c>
      <c r="FH326" s="27" t="s">
        <v>7</v>
      </c>
      <c r="FJ326" s="27" t="s">
        <v>7</v>
      </c>
      <c r="FK326" s="27" t="s">
        <v>8</v>
      </c>
      <c r="FL326" s="27" t="s">
        <v>7</v>
      </c>
      <c r="FM326" s="27" t="s">
        <v>8</v>
      </c>
      <c r="FN326" s="27" t="s">
        <v>7</v>
      </c>
      <c r="IX326" s="27" t="s">
        <v>7</v>
      </c>
      <c r="IZ326" s="27" t="s">
        <v>7</v>
      </c>
      <c r="JA326" s="27" t="s">
        <v>8</v>
      </c>
      <c r="JB326" s="27" t="s">
        <v>7</v>
      </c>
    </row>
    <row r="327" spans="1:262" x14ac:dyDescent="0.25">
      <c r="A327" s="7">
        <v>172.20456422374284</v>
      </c>
      <c r="B327"/>
      <c r="C327"/>
      <c r="D327"/>
      <c r="E327"/>
      <c r="CI327" s="27" t="s">
        <v>8</v>
      </c>
      <c r="EB327" s="27" t="s">
        <v>7</v>
      </c>
      <c r="EC327" s="27" t="s">
        <v>8</v>
      </c>
      <c r="ET327" s="27" t="s">
        <v>7</v>
      </c>
      <c r="EU327" s="27" t="s">
        <v>8</v>
      </c>
      <c r="EV327" s="27" t="s">
        <v>7</v>
      </c>
      <c r="EW327" s="27" t="s">
        <v>8</v>
      </c>
      <c r="FJ327" s="27" t="s">
        <v>7</v>
      </c>
      <c r="FK327" s="27" t="s">
        <v>8</v>
      </c>
      <c r="FL327" s="27" t="s">
        <v>7</v>
      </c>
      <c r="FM327" s="27" t="s">
        <v>8</v>
      </c>
      <c r="IZ327" s="27" t="s">
        <v>7</v>
      </c>
      <c r="JA327" s="27" t="s">
        <v>8</v>
      </c>
      <c r="JB327" s="27" t="s">
        <v>7</v>
      </c>
    </row>
    <row r="328" spans="1:262" x14ac:dyDescent="0.25">
      <c r="A328" s="7">
        <v>168.82800414092435</v>
      </c>
      <c r="B328"/>
      <c r="C328"/>
      <c r="D328"/>
      <c r="E328"/>
      <c r="CG328" s="27" t="s">
        <v>8</v>
      </c>
      <c r="CI328" s="27" t="s">
        <v>8</v>
      </c>
      <c r="EB328" s="27" t="s">
        <v>7</v>
      </c>
      <c r="EC328" s="27" t="s">
        <v>8</v>
      </c>
      <c r="ET328" s="27" t="s">
        <v>7</v>
      </c>
      <c r="EU328" s="27" t="s">
        <v>8</v>
      </c>
      <c r="EV328" s="27" t="s">
        <v>7</v>
      </c>
      <c r="EW328" s="27" t="s">
        <v>8</v>
      </c>
      <c r="FJ328" s="27" t="s">
        <v>7</v>
      </c>
      <c r="FK328" s="27" t="s">
        <v>8</v>
      </c>
      <c r="FL328" s="27" t="s">
        <v>7</v>
      </c>
      <c r="FM328" s="27" t="s">
        <v>8</v>
      </c>
      <c r="IZ328" s="27" t="s">
        <v>7</v>
      </c>
      <c r="JA328" s="27" t="s">
        <v>8</v>
      </c>
      <c r="JB328" s="27" t="s">
        <v>7</v>
      </c>
    </row>
    <row r="329" spans="1:262" x14ac:dyDescent="0.25">
      <c r="A329" s="7">
        <v>165.51765111855329</v>
      </c>
      <c r="B329"/>
      <c r="C329"/>
      <c r="D329"/>
      <c r="E329"/>
      <c r="CG329" s="27" t="s">
        <v>8</v>
      </c>
      <c r="CH329" s="27" t="s">
        <v>7</v>
      </c>
      <c r="CI329" s="27" t="s">
        <v>8</v>
      </c>
      <c r="EB329" s="27" t="s">
        <v>7</v>
      </c>
      <c r="EC329" s="27" t="s">
        <v>8</v>
      </c>
      <c r="ET329" s="27" t="s">
        <v>7</v>
      </c>
      <c r="EV329" s="27" t="s">
        <v>7</v>
      </c>
      <c r="EW329" s="27" t="s">
        <v>8</v>
      </c>
      <c r="FJ329" s="27" t="s">
        <v>7</v>
      </c>
      <c r="FK329" s="27" t="s">
        <v>8</v>
      </c>
      <c r="FL329" s="27" t="s">
        <v>7</v>
      </c>
      <c r="IZ329" s="27" t="s">
        <v>7</v>
      </c>
      <c r="JA329" s="27" t="s">
        <v>8</v>
      </c>
      <c r="JB329" s="27" t="s">
        <v>7</v>
      </c>
    </row>
    <row r="330" spans="1:262" x14ac:dyDescent="0.25">
      <c r="A330" s="7">
        <v>162.2722069789738</v>
      </c>
      <c r="B330"/>
      <c r="C330"/>
      <c r="D330"/>
      <c r="E330"/>
      <c r="CG330" s="27" t="s">
        <v>8</v>
      </c>
      <c r="CH330" s="27" t="s">
        <v>7</v>
      </c>
      <c r="CI330" s="27" t="s">
        <v>8</v>
      </c>
      <c r="EB330" s="27" t="s">
        <v>7</v>
      </c>
      <c r="EC330" s="27" t="s">
        <v>8</v>
      </c>
      <c r="EV330" s="27" t="s">
        <v>7</v>
      </c>
      <c r="EW330" s="27" t="s">
        <v>8</v>
      </c>
      <c r="FJ330" s="18" t="s">
        <v>7</v>
      </c>
      <c r="FK330" s="27" t="s">
        <v>8</v>
      </c>
      <c r="IZ330" s="27" t="s">
        <v>7</v>
      </c>
      <c r="JB330" s="27" t="s">
        <v>7</v>
      </c>
    </row>
    <row r="331" spans="1:262" x14ac:dyDescent="0.25">
      <c r="A331" s="7">
        <v>159.09039899899392</v>
      </c>
      <c r="B331"/>
      <c r="C331"/>
      <c r="D331"/>
      <c r="E331"/>
      <c r="CG331" s="27" t="s">
        <v>8</v>
      </c>
      <c r="CH331" s="27" t="s">
        <v>7</v>
      </c>
      <c r="CI331" s="27" t="s">
        <v>8</v>
      </c>
      <c r="EB331" s="27" t="s">
        <v>7</v>
      </c>
      <c r="EV331" s="27" t="s">
        <v>7</v>
      </c>
      <c r="FJ331" s="27" t="s">
        <v>7</v>
      </c>
      <c r="FK331" s="27" t="s">
        <v>8</v>
      </c>
    </row>
    <row r="332" spans="1:262" x14ac:dyDescent="0.25">
      <c r="A332" s="7">
        <v>155.97097941077834</v>
      </c>
      <c r="B332"/>
      <c r="C332"/>
      <c r="D332"/>
      <c r="E332"/>
      <c r="CG332" s="27" t="s">
        <v>8</v>
      </c>
      <c r="CH332" s="27" t="s">
        <v>7</v>
      </c>
      <c r="CI332" s="27" t="s">
        <v>8</v>
      </c>
      <c r="FJ332" s="27" t="s">
        <v>7</v>
      </c>
      <c r="FK332" s="27" t="s">
        <v>8</v>
      </c>
    </row>
    <row r="333" spans="1:262" x14ac:dyDescent="0.25">
      <c r="A333" s="7">
        <v>152.91272491252778</v>
      </c>
      <c r="B333"/>
      <c r="C333"/>
      <c r="D333"/>
      <c r="E333"/>
      <c r="CG333" s="27" t="s">
        <v>8</v>
      </c>
      <c r="CH333" s="27" t="s">
        <v>7</v>
      </c>
      <c r="CI333" s="27" t="s">
        <v>8</v>
      </c>
      <c r="FJ333" s="27" t="s">
        <v>7</v>
      </c>
      <c r="FK333" s="27" t="s">
        <v>8</v>
      </c>
    </row>
    <row r="334" spans="1:262" x14ac:dyDescent="0.25">
      <c r="A334" s="7">
        <v>149.91443618875272</v>
      </c>
      <c r="B334"/>
      <c r="C334"/>
      <c r="D334"/>
      <c r="E334"/>
      <c r="CG334" s="27" t="s">
        <v>8</v>
      </c>
      <c r="CH334" s="27" t="s">
        <v>7</v>
      </c>
      <c r="CI334" s="27" t="s">
        <v>8</v>
      </c>
      <c r="FJ334" s="27" t="s">
        <v>7</v>
      </c>
      <c r="FK334" s="27" t="s">
        <v>8</v>
      </c>
    </row>
    <row r="335" spans="1:262" x14ac:dyDescent="0.25">
      <c r="A335" s="7">
        <v>146.97493743995364</v>
      </c>
      <c r="B335"/>
      <c r="C335"/>
      <c r="D335"/>
      <c r="E335"/>
      <c r="CG335" s="27" t="s">
        <v>8</v>
      </c>
      <c r="CH335" s="27" t="s">
        <v>7</v>
      </c>
      <c r="CI335" s="27" t="s">
        <v>8</v>
      </c>
      <c r="FJ335" s="27" t="s">
        <v>7</v>
      </c>
      <c r="FK335" s="27" t="s">
        <v>8</v>
      </c>
    </row>
    <row r="336" spans="1:262" x14ac:dyDescent="0.25">
      <c r="A336" s="7">
        <v>144.09307592152317</v>
      </c>
      <c r="B336"/>
      <c r="C336"/>
      <c r="D336"/>
      <c r="E336"/>
      <c r="CG336" s="27" t="s">
        <v>8</v>
      </c>
      <c r="CH336" s="27" t="s">
        <v>7</v>
      </c>
      <c r="CI336" s="27" t="s">
        <v>8</v>
      </c>
      <c r="FJ336" s="27" t="s">
        <v>7</v>
      </c>
    </row>
    <row r="337" spans="1:87" x14ac:dyDescent="0.25">
      <c r="A337" s="7">
        <v>141.26772149168937</v>
      </c>
      <c r="B337"/>
      <c r="C337"/>
      <c r="D337"/>
      <c r="E337"/>
      <c r="CG337" s="27" t="s">
        <v>8</v>
      </c>
      <c r="CH337" s="27" t="s">
        <v>7</v>
      </c>
      <c r="CI337" s="27" t="s">
        <v>8</v>
      </c>
    </row>
    <row r="338" spans="1:87" x14ac:dyDescent="0.25">
      <c r="A338" s="7">
        <v>138.4977661683229</v>
      </c>
      <c r="B338"/>
      <c r="C338"/>
      <c r="D338"/>
      <c r="E338"/>
      <c r="CE338" s="27" t="s">
        <v>8</v>
      </c>
      <c r="CG338" s="27" t="s">
        <v>8</v>
      </c>
      <c r="CH338" s="27" t="s">
        <v>7</v>
      </c>
      <c r="CI338" s="27" t="s">
        <v>8</v>
      </c>
    </row>
    <row r="339" spans="1:87" x14ac:dyDescent="0.25">
      <c r="A339" s="7">
        <v>135.7821236944342</v>
      </c>
      <c r="B339"/>
      <c r="C339"/>
      <c r="D339"/>
      <c r="E339"/>
      <c r="CE339" s="27" t="s">
        <v>8</v>
      </c>
      <c r="CF339" s="27" t="s">
        <v>7</v>
      </c>
      <c r="CG339" s="27" t="s">
        <v>8</v>
      </c>
      <c r="CH339" s="27" t="s">
        <v>7</v>
      </c>
    </row>
    <row r="340" spans="1:87" x14ac:dyDescent="0.25">
      <c r="A340" s="7">
        <v>133.11972911219038</v>
      </c>
      <c r="B340"/>
      <c r="C340"/>
      <c r="D340"/>
      <c r="E340"/>
      <c r="CE340" s="27" t="s">
        <v>8</v>
      </c>
      <c r="CF340" s="27" t="s">
        <v>7</v>
      </c>
      <c r="CG340" s="27" t="s">
        <v>8</v>
      </c>
    </row>
    <row r="341" spans="1:87" x14ac:dyDescent="0.25">
      <c r="A341" s="7">
        <v>130.50953834528468</v>
      </c>
      <c r="B341"/>
      <c r="C341"/>
      <c r="D341"/>
      <c r="E341"/>
      <c r="CE341" s="27" t="s">
        <v>8</v>
      </c>
      <c r="CF341" s="27" t="s">
        <v>7</v>
      </c>
      <c r="CG341" s="27" t="s">
        <v>8</v>
      </c>
    </row>
    <row r="342" spans="1:87" x14ac:dyDescent="0.25">
      <c r="A342" s="7">
        <v>127.95052778949477</v>
      </c>
      <c r="B342"/>
      <c r="C342"/>
      <c r="D342"/>
      <c r="E342"/>
      <c r="CE342" s="27" t="s">
        <v>8</v>
      </c>
      <c r="CF342" s="27" t="s">
        <v>7</v>
      </c>
      <c r="CG342" s="27" t="s">
        <v>8</v>
      </c>
    </row>
    <row r="343" spans="1:87" x14ac:dyDescent="0.25">
      <c r="A343" s="7">
        <v>125.44169391126938</v>
      </c>
      <c r="B343"/>
      <c r="C343"/>
      <c r="D343"/>
      <c r="E343"/>
      <c r="CE343" s="27" t="s">
        <v>8</v>
      </c>
      <c r="CF343" s="27" t="s">
        <v>7</v>
      </c>
      <c r="CG343" s="27" t="s">
        <v>8</v>
      </c>
    </row>
    <row r="344" spans="1:87" x14ac:dyDescent="0.25">
      <c r="A344" s="7">
        <v>122.98205285418567</v>
      </c>
      <c r="B344"/>
      <c r="C344"/>
      <c r="D344"/>
      <c r="E344"/>
      <c r="CC344" s="27" t="s">
        <v>8</v>
      </c>
      <c r="CE344" s="27" t="s">
        <v>8</v>
      </c>
      <c r="CF344" s="27" t="s">
        <v>7</v>
      </c>
      <c r="CG344" s="27" t="s">
        <v>8</v>
      </c>
    </row>
    <row r="345" spans="1:87" x14ac:dyDescent="0.25">
      <c r="A345" s="7">
        <v>120.5706400531232</v>
      </c>
      <c r="B345"/>
      <c r="C345"/>
      <c r="D345"/>
      <c r="E345"/>
      <c r="BU345" s="27" t="s">
        <v>8</v>
      </c>
      <c r="CC345" s="27" t="s">
        <v>8</v>
      </c>
      <c r="CD345" s="27" t="s">
        <v>7</v>
      </c>
      <c r="CE345" s="27" t="s">
        <v>8</v>
      </c>
      <c r="CF345" s="27" t="s">
        <v>7</v>
      </c>
    </row>
    <row r="346" spans="1:87" x14ac:dyDescent="0.25">
      <c r="A346" s="7">
        <v>118.20650985600314</v>
      </c>
      <c r="B346"/>
      <c r="C346"/>
      <c r="D346"/>
      <c r="E346"/>
      <c r="BU346" s="27" t="s">
        <v>8</v>
      </c>
      <c r="BV346" s="27" t="s">
        <v>7</v>
      </c>
      <c r="CC346" s="27" t="s">
        <v>8</v>
      </c>
      <c r="CD346" s="27" t="s">
        <v>7</v>
      </c>
      <c r="CE346" s="27" t="s">
        <v>8</v>
      </c>
    </row>
    <row r="347" spans="1:87" x14ac:dyDescent="0.25">
      <c r="A347" s="7">
        <v>115.88873515294425</v>
      </c>
      <c r="B347"/>
      <c r="C347"/>
      <c r="D347"/>
      <c r="E347"/>
      <c r="BU347" s="27" t="s">
        <v>8</v>
      </c>
      <c r="BV347" s="27" t="s">
        <v>7</v>
      </c>
      <c r="CA347" s="27" t="s">
        <v>8</v>
      </c>
      <c r="CC347" s="27" t="s">
        <v>8</v>
      </c>
      <c r="CD347" s="27" t="s">
        <v>7</v>
      </c>
      <c r="CE347" s="27" t="s">
        <v>8</v>
      </c>
    </row>
    <row r="348" spans="1:87" x14ac:dyDescent="0.25">
      <c r="A348" s="7">
        <v>113.61640701269044</v>
      </c>
      <c r="B348"/>
      <c r="C348"/>
      <c r="D348"/>
      <c r="E348"/>
      <c r="BU348" s="27" t="s">
        <v>8</v>
      </c>
      <c r="BV348" s="27" t="s">
        <v>7</v>
      </c>
      <c r="CA348" s="27" t="s">
        <v>8</v>
      </c>
      <c r="CB348" s="27" t="s">
        <v>7</v>
      </c>
      <c r="CC348" s="27" t="s">
        <v>8</v>
      </c>
      <c r="CD348" s="27" t="s">
        <v>7</v>
      </c>
      <c r="CE348" s="27" t="s">
        <v>8</v>
      </c>
    </row>
    <row r="349" spans="1:87" x14ac:dyDescent="0.25">
      <c r="A349" s="7">
        <v>111.38863432616711</v>
      </c>
      <c r="B349"/>
      <c r="C349"/>
      <c r="D349"/>
      <c r="E349"/>
      <c r="BU349" s="27" t="s">
        <v>8</v>
      </c>
      <c r="BV349" s="27" t="s">
        <v>7</v>
      </c>
      <c r="BY349" s="27" t="s">
        <v>8</v>
      </c>
      <c r="CA349" s="27" t="s">
        <v>8</v>
      </c>
      <c r="CB349" s="27" t="s">
        <v>7</v>
      </c>
      <c r="CC349" s="27" t="s">
        <v>8</v>
      </c>
      <c r="CD349" s="27" t="s">
        <v>7</v>
      </c>
      <c r="CE349" s="27" t="s">
        <v>8</v>
      </c>
    </row>
    <row r="350" spans="1:87" x14ac:dyDescent="0.25">
      <c r="A350" s="7">
        <v>109.20454345702657</v>
      </c>
      <c r="B350"/>
      <c r="C350"/>
      <c r="D350"/>
      <c r="E350"/>
      <c r="BS350" s="27" t="s">
        <v>8</v>
      </c>
      <c r="BU350" s="27" t="s">
        <v>8</v>
      </c>
      <c r="BV350" s="27" t="s">
        <v>7</v>
      </c>
      <c r="BY350" s="27" t="s">
        <v>8</v>
      </c>
      <c r="BZ350" s="27" t="s">
        <v>7</v>
      </c>
      <c r="CA350" s="27" t="s">
        <v>8</v>
      </c>
      <c r="CB350" s="27" t="s">
        <v>7</v>
      </c>
      <c r="CC350" s="27" t="s">
        <v>8</v>
      </c>
      <c r="CD350" s="27" t="s">
        <v>7</v>
      </c>
      <c r="CE350" s="27" t="s">
        <v>8</v>
      </c>
    </row>
    <row r="351" spans="1:87" x14ac:dyDescent="0.25">
      <c r="A351" s="7">
        <v>107.06327789904566</v>
      </c>
      <c r="B351"/>
      <c r="C351"/>
      <c r="D351"/>
      <c r="E351"/>
      <c r="BS351" s="27" t="s">
        <v>8</v>
      </c>
      <c r="BT351" s="27" t="s">
        <v>7</v>
      </c>
      <c r="BU351" s="27" t="s">
        <v>8</v>
      </c>
      <c r="BV351" s="27" t="s">
        <v>7</v>
      </c>
      <c r="BY351" s="27" t="s">
        <v>8</v>
      </c>
      <c r="BZ351" s="27" t="s">
        <v>7</v>
      </c>
      <c r="CA351" s="27" t="s">
        <v>8</v>
      </c>
      <c r="CB351" s="27" t="s">
        <v>7</v>
      </c>
      <c r="CC351" s="27" t="s">
        <v>8</v>
      </c>
      <c r="CD351" s="27" t="s">
        <v>7</v>
      </c>
      <c r="CE351" s="27" t="s">
        <v>8</v>
      </c>
    </row>
    <row r="352" spans="1:87" x14ac:dyDescent="0.25">
      <c r="A352" s="7">
        <v>104.96399794024084</v>
      </c>
      <c r="B352"/>
      <c r="C352"/>
      <c r="D352"/>
      <c r="E352"/>
      <c r="BS352" s="27" t="s">
        <v>8</v>
      </c>
      <c r="BT352" s="27" t="s">
        <v>7</v>
      </c>
      <c r="BU352" s="27" t="s">
        <v>8</v>
      </c>
      <c r="BV352" s="27" t="s">
        <v>7</v>
      </c>
      <c r="BW352" s="27" t="s">
        <v>8</v>
      </c>
      <c r="BY352" s="27" t="s">
        <v>8</v>
      </c>
      <c r="BZ352" s="27" t="s">
        <v>7</v>
      </c>
      <c r="CA352" s="27" t="s">
        <v>8</v>
      </c>
      <c r="CB352" s="27" t="s">
        <v>7</v>
      </c>
      <c r="CC352" s="27" t="s">
        <v>8</v>
      </c>
      <c r="CD352" s="27" t="s">
        <v>7</v>
      </c>
      <c r="CE352" s="27" t="s">
        <v>8</v>
      </c>
    </row>
    <row r="353" spans="1:83" x14ac:dyDescent="0.25">
      <c r="A353" s="7">
        <v>102.90588033356946</v>
      </c>
      <c r="B353"/>
      <c r="C353"/>
      <c r="D353"/>
      <c r="E353"/>
      <c r="BS353" s="27" t="s">
        <v>8</v>
      </c>
      <c r="BT353" s="27" t="s">
        <v>7</v>
      </c>
      <c r="BU353" s="27" t="s">
        <v>8</v>
      </c>
      <c r="BV353" s="27" t="s">
        <v>7</v>
      </c>
      <c r="BW353" s="27" t="s">
        <v>8</v>
      </c>
      <c r="BX353" s="27" t="s">
        <v>7</v>
      </c>
      <c r="BY353" s="27" t="s">
        <v>8</v>
      </c>
      <c r="BZ353" s="27" t="s">
        <v>7</v>
      </c>
      <c r="CA353" s="27" t="s">
        <v>8</v>
      </c>
      <c r="CB353" s="27" t="s">
        <v>7</v>
      </c>
      <c r="CC353" s="27" t="s">
        <v>8</v>
      </c>
      <c r="CD353" s="27" t="s">
        <v>7</v>
      </c>
      <c r="CE353" s="27" t="s">
        <v>8</v>
      </c>
    </row>
    <row r="354" spans="1:83" x14ac:dyDescent="0.25">
      <c r="A354" s="7">
        <v>100.88811797408771</v>
      </c>
      <c r="B354"/>
      <c r="C354"/>
      <c r="D354"/>
      <c r="E354"/>
      <c r="BS354" s="27" t="s">
        <v>8</v>
      </c>
      <c r="BT354" s="27" t="s">
        <v>7</v>
      </c>
      <c r="BU354" s="27" t="s">
        <v>8</v>
      </c>
      <c r="BV354" s="27" t="s">
        <v>7</v>
      </c>
      <c r="BW354" s="27" t="s">
        <v>8</v>
      </c>
      <c r="BX354" s="27" t="s">
        <v>7</v>
      </c>
      <c r="BY354" s="27" t="s">
        <v>8</v>
      </c>
      <c r="BZ354" s="27" t="s">
        <v>7</v>
      </c>
      <c r="CA354" s="27" t="s">
        <v>8</v>
      </c>
      <c r="CB354" s="27" t="s">
        <v>7</v>
      </c>
      <c r="CC354" s="27" t="s">
        <v>8</v>
      </c>
      <c r="CD354" s="27" t="s">
        <v>7</v>
      </c>
    </row>
    <row r="355" spans="1:83" x14ac:dyDescent="0.25">
      <c r="A355" s="7">
        <v>98.909919582438931</v>
      </c>
      <c r="B355"/>
      <c r="C355"/>
      <c r="D355"/>
      <c r="E355"/>
      <c r="BS355" s="27" t="s">
        <v>8</v>
      </c>
      <c r="BT355" s="27" t="s">
        <v>7</v>
      </c>
      <c r="BU355" s="27" t="s">
        <v>8</v>
      </c>
      <c r="BV355" s="27" t="s">
        <v>7</v>
      </c>
      <c r="BW355" s="27" t="s">
        <v>8</v>
      </c>
      <c r="BX355" s="27" t="s">
        <v>7</v>
      </c>
      <c r="BY355" s="27" t="s">
        <v>8</v>
      </c>
      <c r="BZ355" s="27" t="s">
        <v>7</v>
      </c>
      <c r="CA355" s="27" t="s">
        <v>8</v>
      </c>
      <c r="CB355" s="27" t="s">
        <v>7</v>
      </c>
      <c r="CC355" s="27" t="s">
        <v>8</v>
      </c>
    </row>
    <row r="356" spans="1:83" x14ac:dyDescent="0.25">
      <c r="A356" s="7">
        <v>96.970509394547975</v>
      </c>
      <c r="B356"/>
      <c r="C356"/>
      <c r="D356"/>
      <c r="E356"/>
      <c r="BS356" s="27" t="s">
        <v>8</v>
      </c>
      <c r="BT356" s="27" t="s">
        <v>7</v>
      </c>
      <c r="BU356" s="27" t="s">
        <v>8</v>
      </c>
      <c r="BV356" s="27" t="s">
        <v>7</v>
      </c>
      <c r="BW356" s="27" t="s">
        <v>8</v>
      </c>
      <c r="BX356" s="27" t="s">
        <v>7</v>
      </c>
      <c r="BY356" s="27" t="s">
        <v>8</v>
      </c>
      <c r="BZ356" s="27" t="s">
        <v>7</v>
      </c>
      <c r="CA356" s="27" t="s">
        <v>8</v>
      </c>
      <c r="CB356" s="27" t="s">
        <v>7</v>
      </c>
      <c r="CC356" s="27" t="s">
        <v>8</v>
      </c>
    </row>
    <row r="357" spans="1:83" x14ac:dyDescent="0.25">
      <c r="A357" s="7">
        <v>95.069126857399979</v>
      </c>
      <c r="B357"/>
      <c r="C357"/>
      <c r="D357"/>
      <c r="E357"/>
      <c r="BS357" s="27" t="s">
        <v>8</v>
      </c>
      <c r="BT357" s="27" t="s">
        <v>7</v>
      </c>
      <c r="BU357" s="27" t="s">
        <v>8</v>
      </c>
      <c r="BV357" s="27" t="s">
        <v>7</v>
      </c>
      <c r="BW357" s="27" t="s">
        <v>8</v>
      </c>
      <c r="BX357" s="27" t="s">
        <v>7</v>
      </c>
      <c r="BY357" s="27" t="s">
        <v>8</v>
      </c>
      <c r="BZ357" s="27" t="s">
        <v>7</v>
      </c>
      <c r="CA357" s="27" t="s">
        <v>8</v>
      </c>
      <c r="CB357" s="27" t="s">
        <v>7</v>
      </c>
    </row>
    <row r="358" spans="1:83" x14ac:dyDescent="0.25">
      <c r="A358" s="7">
        <v>93.205026330784293</v>
      </c>
      <c r="B358"/>
      <c r="C358"/>
      <c r="D358"/>
      <c r="E358"/>
      <c r="BS358" s="27" t="s">
        <v>8</v>
      </c>
      <c r="BT358" s="27" t="s">
        <v>7</v>
      </c>
      <c r="BU358" s="27" t="s">
        <v>8</v>
      </c>
      <c r="BV358" s="27" t="s">
        <v>7</v>
      </c>
      <c r="BW358" s="27" t="s">
        <v>8</v>
      </c>
      <c r="BX358" s="27" t="s">
        <v>7</v>
      </c>
      <c r="BY358" s="27" t="s">
        <v>8</v>
      </c>
      <c r="BZ358" s="27" t="s">
        <v>7</v>
      </c>
      <c r="CA358" s="27" t="s">
        <v>8</v>
      </c>
    </row>
    <row r="359" spans="1:83" x14ac:dyDescent="0.25">
      <c r="A359" s="7">
        <v>91.377476794886562</v>
      </c>
      <c r="B359"/>
      <c r="C359"/>
      <c r="D359"/>
      <c r="E359"/>
      <c r="BS359" s="27" t="s">
        <v>8</v>
      </c>
      <c r="BT359" s="27" t="s">
        <v>7</v>
      </c>
      <c r="BV359" s="27" t="s">
        <v>7</v>
      </c>
      <c r="BX359" s="27" t="s">
        <v>7</v>
      </c>
      <c r="BY359" s="27" t="s">
        <v>8</v>
      </c>
      <c r="BZ359" s="27" t="s">
        <v>7</v>
      </c>
    </row>
    <row r="360" spans="1:83" x14ac:dyDescent="0.25">
      <c r="A360" s="7">
        <v>89.58576156361427</v>
      </c>
      <c r="B360"/>
      <c r="C360"/>
      <c r="D360"/>
      <c r="E360"/>
      <c r="BS360" s="27" t="s">
        <v>8</v>
      </c>
      <c r="BX360" s="27" t="s">
        <v>7</v>
      </c>
      <c r="BY360" s="27" t="s">
        <v>8</v>
      </c>
    </row>
    <row r="361" spans="1:83" x14ac:dyDescent="0.25">
      <c r="A361" s="7">
        <v>87.829178003543404</v>
      </c>
      <c r="B361"/>
      <c r="C361"/>
      <c r="D361"/>
      <c r="E361"/>
      <c r="BQ361" s="27" t="s">
        <v>8</v>
      </c>
      <c r="BS361" s="27" t="s">
        <v>8</v>
      </c>
      <c r="BX361" s="27" t="s">
        <v>7</v>
      </c>
      <c r="BY361" s="27" t="s">
        <v>8</v>
      </c>
    </row>
    <row r="362" spans="1:83" x14ac:dyDescent="0.25">
      <c r="A362" s="7">
        <v>86.107037258375883</v>
      </c>
      <c r="B362"/>
      <c r="C362"/>
      <c r="D362"/>
      <c r="E362"/>
      <c r="BQ362" s="27" t="s">
        <v>8</v>
      </c>
      <c r="BR362" s="27" t="s">
        <v>7</v>
      </c>
      <c r="BS362" s="27" t="s">
        <v>8</v>
      </c>
      <c r="BX362" s="27" t="s">
        <v>7</v>
      </c>
    </row>
    <row r="363" spans="1:83" x14ac:dyDescent="0.25">
      <c r="A363" s="7">
        <v>84.418663978799884</v>
      </c>
      <c r="B363"/>
      <c r="C363"/>
      <c r="D363"/>
      <c r="E363"/>
      <c r="BQ363" s="27" t="s">
        <v>8</v>
      </c>
      <c r="BR363" s="27" t="s">
        <v>7</v>
      </c>
      <c r="BS363" s="27" t="s">
        <v>8</v>
      </c>
    </row>
    <row r="364" spans="1:83" x14ac:dyDescent="0.25">
      <c r="A364" s="7">
        <v>82.763396057646943</v>
      </c>
      <c r="B364"/>
      <c r="C364"/>
      <c r="D364"/>
      <c r="E364"/>
      <c r="BQ364" s="27" t="s">
        <v>8</v>
      </c>
      <c r="BR364" s="27" t="s">
        <v>7</v>
      </c>
      <c r="BS364" s="27" t="s">
        <v>8</v>
      </c>
    </row>
    <row r="365" spans="1:83" x14ac:dyDescent="0.25">
      <c r="A365" s="7">
        <v>81.140584370242095</v>
      </c>
      <c r="B365"/>
      <c r="C365"/>
      <c r="D365"/>
      <c r="E365"/>
      <c r="BQ365" s="27" t="s">
        <v>8</v>
      </c>
      <c r="BR365" s="27" t="s">
        <v>7</v>
      </c>
      <c r="BS365" s="27" t="s">
        <v>8</v>
      </c>
    </row>
    <row r="366" spans="1:83" x14ac:dyDescent="0.25">
      <c r="A366" s="7">
        <v>79.549592519845191</v>
      </c>
      <c r="B366"/>
      <c r="C366"/>
      <c r="D366"/>
      <c r="E366"/>
      <c r="BQ366" s="27" t="s">
        <v>8</v>
      </c>
      <c r="BR366" s="27" t="s">
        <v>7</v>
      </c>
      <c r="BS366" s="27" t="s">
        <v>8</v>
      </c>
    </row>
    <row r="367" spans="1:83" x14ac:dyDescent="0.25">
      <c r="A367" s="7">
        <v>77.989796588083522</v>
      </c>
      <c r="B367"/>
      <c r="C367"/>
      <c r="D367"/>
      <c r="E367"/>
      <c r="BQ367" s="27" t="s">
        <v>8</v>
      </c>
      <c r="BR367" s="27" t="s">
        <v>7</v>
      </c>
      <c r="BS367" s="27" t="s">
        <v>8</v>
      </c>
    </row>
    <row r="368" spans="1:83" x14ac:dyDescent="0.25">
      <c r="A368" s="7">
        <v>76.460584890277957</v>
      </c>
      <c r="B368"/>
      <c r="C368"/>
      <c r="D368"/>
      <c r="E368"/>
      <c r="BM368" s="27" t="s">
        <v>8</v>
      </c>
      <c r="BQ368" s="27" t="s">
        <v>8</v>
      </c>
      <c r="BR368" s="27" t="s">
        <v>7</v>
      </c>
      <c r="BS368" s="27" t="s">
        <v>8</v>
      </c>
    </row>
    <row r="369" spans="1:70" x14ac:dyDescent="0.25">
      <c r="A369" s="7">
        <v>74.961357735566622</v>
      </c>
      <c r="B369"/>
      <c r="C369"/>
      <c r="D369"/>
      <c r="E369"/>
      <c r="BM369" s="27" t="s">
        <v>8</v>
      </c>
      <c r="BN369" s="27" t="s">
        <v>7</v>
      </c>
      <c r="BQ369" s="27" t="s">
        <v>8</v>
      </c>
      <c r="BR369" s="27" t="s">
        <v>7</v>
      </c>
    </row>
    <row r="370" spans="1:70" x14ac:dyDescent="0.25">
      <c r="A370" s="7">
        <v>73.491527191731976</v>
      </c>
      <c r="B370"/>
      <c r="C370"/>
      <c r="D370"/>
      <c r="E370"/>
      <c r="BI370" s="27" t="s">
        <v>8</v>
      </c>
      <c r="BK370" s="27" t="s">
        <v>8</v>
      </c>
      <c r="BM370" s="27" t="s">
        <v>8</v>
      </c>
      <c r="BN370" s="27" t="s">
        <v>7</v>
      </c>
      <c r="BO370" s="27" t="s">
        <v>8</v>
      </c>
      <c r="BQ370" s="27" t="s">
        <v>8</v>
      </c>
    </row>
    <row r="371" spans="1:70" x14ac:dyDescent="0.25">
      <c r="A371" s="7">
        <v>72.050516854639184</v>
      </c>
      <c r="B371"/>
      <c r="C371"/>
      <c r="D371"/>
      <c r="E371"/>
      <c r="BI371" s="27" t="s">
        <v>8</v>
      </c>
      <c r="BJ371" s="27" t="s">
        <v>7</v>
      </c>
      <c r="BK371" s="27" t="s">
        <v>8</v>
      </c>
      <c r="BL371" s="27" t="s">
        <v>7</v>
      </c>
      <c r="BM371" s="27" t="s">
        <v>8</v>
      </c>
      <c r="BN371" s="27" t="s">
        <v>7</v>
      </c>
      <c r="BO371" s="27" t="s">
        <v>8</v>
      </c>
      <c r="BP371" s="27" t="s">
        <v>7</v>
      </c>
      <c r="BQ371" s="27" t="s">
        <v>8</v>
      </c>
    </row>
    <row r="372" spans="1:70" x14ac:dyDescent="0.25">
      <c r="A372" s="7">
        <v>70.637761622195271</v>
      </c>
      <c r="B372"/>
      <c r="C372"/>
      <c r="D372"/>
      <c r="E372"/>
      <c r="BI372" s="27" t="s">
        <v>8</v>
      </c>
      <c r="BJ372" s="27" t="s">
        <v>7</v>
      </c>
      <c r="BK372" s="27" t="s">
        <v>8</v>
      </c>
      <c r="BL372" s="27" t="s">
        <v>7</v>
      </c>
      <c r="BM372" s="27" t="s">
        <v>8</v>
      </c>
      <c r="BN372" s="27" t="s">
        <v>7</v>
      </c>
      <c r="BO372" s="27" t="s">
        <v>8</v>
      </c>
      <c r="BP372" s="27" t="s">
        <v>7</v>
      </c>
      <c r="BQ372" s="27" t="s">
        <v>8</v>
      </c>
    </row>
    <row r="373" spans="1:70" x14ac:dyDescent="0.25">
      <c r="A373" s="7">
        <v>69.252707472740454</v>
      </c>
      <c r="B373"/>
      <c r="C373"/>
      <c r="D373"/>
      <c r="E373"/>
      <c r="BI373" s="27" t="s">
        <v>8</v>
      </c>
      <c r="BJ373" s="27" t="s">
        <v>7</v>
      </c>
      <c r="BK373" s="27" t="s">
        <v>8</v>
      </c>
      <c r="BL373" s="27" t="s">
        <v>7</v>
      </c>
      <c r="BM373" s="27" t="s">
        <v>8</v>
      </c>
      <c r="BN373" s="27" t="s">
        <v>7</v>
      </c>
      <c r="BO373" s="27" t="s">
        <v>8</v>
      </c>
      <c r="BP373" s="27" t="s">
        <v>7</v>
      </c>
      <c r="BQ373" s="27" t="s">
        <v>8</v>
      </c>
    </row>
    <row r="374" spans="1:70" x14ac:dyDescent="0.25">
      <c r="A374" s="7">
        <v>67.894811247784759</v>
      </c>
      <c r="B374"/>
      <c r="C374"/>
      <c r="D374"/>
      <c r="E374"/>
      <c r="BI374" s="27" t="s">
        <v>8</v>
      </c>
      <c r="BJ374" s="27" t="s">
        <v>7</v>
      </c>
      <c r="BK374" s="27" t="s">
        <v>8</v>
      </c>
      <c r="BL374" s="27" t="s">
        <v>7</v>
      </c>
      <c r="BM374" s="27" t="s">
        <v>8</v>
      </c>
      <c r="BN374" s="27" t="s">
        <v>7</v>
      </c>
      <c r="BO374" s="27" t="s">
        <v>8</v>
      </c>
      <c r="BP374" s="27" t="s">
        <v>7</v>
      </c>
      <c r="BQ374" s="27" t="s">
        <v>8</v>
      </c>
    </row>
    <row r="375" spans="1:70" x14ac:dyDescent="0.25">
      <c r="A375" s="7">
        <v>66.563540439004669</v>
      </c>
      <c r="B375"/>
      <c r="C375"/>
      <c r="D375"/>
      <c r="E375"/>
      <c r="BI375" s="27" t="s">
        <v>8</v>
      </c>
      <c r="BJ375" s="27" t="s">
        <v>7</v>
      </c>
      <c r="BK375" s="27" t="s">
        <v>8</v>
      </c>
      <c r="BL375" s="27" t="s">
        <v>7</v>
      </c>
      <c r="BM375" s="27" t="s">
        <v>8</v>
      </c>
      <c r="BN375" s="27" t="s">
        <v>7</v>
      </c>
      <c r="BO375" s="27" t="s">
        <v>8</v>
      </c>
      <c r="BP375" s="27" t="s">
        <v>7</v>
      </c>
      <c r="BQ375" s="27" t="s">
        <v>8</v>
      </c>
    </row>
    <row r="376" spans="1:70" x14ac:dyDescent="0.25">
      <c r="A376" s="7">
        <v>65.258372979416336</v>
      </c>
      <c r="B376"/>
      <c r="C376"/>
      <c r="D376"/>
      <c r="E376"/>
      <c r="AW376" s="27" t="s">
        <v>8</v>
      </c>
      <c r="BI376" s="27" t="s">
        <v>8</v>
      </c>
      <c r="BJ376" s="27" t="s">
        <v>7</v>
      </c>
      <c r="BL376" s="27" t="s">
        <v>7</v>
      </c>
      <c r="BM376" s="27" t="s">
        <v>8</v>
      </c>
      <c r="BN376" s="27" t="s">
        <v>7</v>
      </c>
      <c r="BP376" s="27" t="s">
        <v>7</v>
      </c>
      <c r="BQ376" s="27" t="s">
        <v>8</v>
      </c>
    </row>
    <row r="377" spans="1:70" x14ac:dyDescent="0.25">
      <c r="A377" s="7">
        <v>63.978797038643471</v>
      </c>
      <c r="B377"/>
      <c r="C377"/>
      <c r="D377"/>
      <c r="E377"/>
      <c r="AW377" s="27" t="s">
        <v>8</v>
      </c>
      <c r="AX377" s="27" t="s">
        <v>7</v>
      </c>
      <c r="BI377" s="27" t="s">
        <v>8</v>
      </c>
      <c r="BL377" s="27" t="s">
        <v>7</v>
      </c>
      <c r="BM377" s="27" t="s">
        <v>8</v>
      </c>
      <c r="BP377" s="27" t="s">
        <v>7</v>
      </c>
      <c r="BQ377" s="27" t="s">
        <v>8</v>
      </c>
    </row>
    <row r="378" spans="1:70" x14ac:dyDescent="0.25">
      <c r="A378" s="7">
        <v>62.724310822199477</v>
      </c>
      <c r="B378"/>
      <c r="C378"/>
      <c r="D378"/>
      <c r="E378"/>
      <c r="AW378" s="27" t="s">
        <v>8</v>
      </c>
      <c r="AX378" s="27" t="s">
        <v>7</v>
      </c>
      <c r="BE378" s="27" t="s">
        <v>8</v>
      </c>
      <c r="BI378" s="27" t="s">
        <v>8</v>
      </c>
      <c r="BL378" s="27" t="s">
        <v>7</v>
      </c>
      <c r="BM378" s="27" t="s">
        <v>8</v>
      </c>
      <c r="BP378" s="27" t="s">
        <v>7</v>
      </c>
      <c r="BQ378" s="27" t="s">
        <v>8</v>
      </c>
    </row>
    <row r="379" spans="1:70" x14ac:dyDescent="0.25">
      <c r="A379" s="7">
        <v>61.494422374705366</v>
      </c>
      <c r="B379"/>
      <c r="C379"/>
      <c r="D379"/>
      <c r="E379"/>
      <c r="AW379" s="27" t="s">
        <v>8</v>
      </c>
      <c r="AX379" s="27" t="s">
        <v>7</v>
      </c>
      <c r="BE379" s="27" t="s">
        <v>8</v>
      </c>
      <c r="BF379" s="27" t="s">
        <v>7</v>
      </c>
      <c r="BI379" s="27" t="s">
        <v>8</v>
      </c>
      <c r="BL379" s="27" t="s">
        <v>7</v>
      </c>
      <c r="BM379" s="27" t="s">
        <v>8</v>
      </c>
      <c r="BP379" s="27" t="s">
        <v>7</v>
      </c>
      <c r="BQ379" s="27" t="s">
        <v>8</v>
      </c>
    </row>
    <row r="380" spans="1:70" x14ac:dyDescent="0.25">
      <c r="A380" s="7">
        <v>60.288649386966043</v>
      </c>
      <c r="B380"/>
      <c r="C380"/>
      <c r="D380"/>
      <c r="E380"/>
      <c r="AW380" s="27" t="s">
        <v>8</v>
      </c>
      <c r="AX380" s="27" t="s">
        <v>7</v>
      </c>
      <c r="BE380" s="27" t="s">
        <v>8</v>
      </c>
      <c r="BF380" s="27" t="s">
        <v>7</v>
      </c>
      <c r="BI380" s="27" t="s">
        <v>8</v>
      </c>
      <c r="BL380" s="27" t="s">
        <v>7</v>
      </c>
      <c r="BP380" s="27" t="s">
        <v>7</v>
      </c>
      <c r="BQ380" s="27" t="s">
        <v>8</v>
      </c>
    </row>
    <row r="381" spans="1:70" x14ac:dyDescent="0.25">
      <c r="A381" s="7">
        <v>59.106519006829451</v>
      </c>
      <c r="B381"/>
      <c r="C381"/>
      <c r="D381"/>
      <c r="E381"/>
      <c r="AW381" s="27" t="s">
        <v>8</v>
      </c>
      <c r="AX381" s="27" t="s">
        <v>7</v>
      </c>
      <c r="BE381" s="27" t="s">
        <v>8</v>
      </c>
      <c r="BF381" s="27" t="s">
        <v>7</v>
      </c>
      <c r="BI381" s="27" t="s">
        <v>8</v>
      </c>
      <c r="BP381" s="27" t="s">
        <v>7</v>
      </c>
      <c r="BQ381" s="27" t="s">
        <v>8</v>
      </c>
    </row>
    <row r="382" spans="1:70" x14ac:dyDescent="0.25">
      <c r="A382" s="7">
        <v>57.947567653754362</v>
      </c>
      <c r="B382"/>
      <c r="C382"/>
      <c r="D382"/>
      <c r="E382"/>
      <c r="AW382" s="27" t="s">
        <v>8</v>
      </c>
      <c r="AX382" s="27" t="s">
        <v>7</v>
      </c>
      <c r="BE382" s="27" t="s">
        <v>8</v>
      </c>
      <c r="BF382" s="27" t="s">
        <v>7</v>
      </c>
      <c r="BI382" s="27" t="s">
        <v>8</v>
      </c>
      <c r="BP382" s="27" t="s">
        <v>7</v>
      </c>
    </row>
    <row r="383" spans="1:70" x14ac:dyDescent="0.25">
      <c r="A383" s="7">
        <v>56.811340837014079</v>
      </c>
      <c r="B383"/>
      <c r="C383"/>
      <c r="D383"/>
      <c r="E383"/>
      <c r="AW383" s="27" t="s">
        <v>8</v>
      </c>
      <c r="AX383" s="27" t="s">
        <v>7</v>
      </c>
      <c r="BE383" s="27" t="s">
        <v>8</v>
      </c>
      <c r="BF383" s="27" t="s">
        <v>7</v>
      </c>
      <c r="BI383" s="27" t="s">
        <v>8</v>
      </c>
    </row>
    <row r="384" spans="1:70" x14ac:dyDescent="0.25">
      <c r="A384" s="7">
        <v>55.69739297746478</v>
      </c>
      <c r="B384"/>
      <c r="C384"/>
      <c r="D384"/>
      <c r="E384"/>
      <c r="AW384" s="27" t="s">
        <v>8</v>
      </c>
      <c r="AX384" s="27" t="s">
        <v>7</v>
      </c>
      <c r="AY384" s="27" t="s">
        <v>8</v>
      </c>
      <c r="BE384" s="27" t="s">
        <v>8</v>
      </c>
      <c r="BF384" s="27" t="s">
        <v>7</v>
      </c>
      <c r="BI384" s="27" t="s">
        <v>8</v>
      </c>
    </row>
    <row r="385" spans="1:61" x14ac:dyDescent="0.25">
      <c r="A385" s="7">
        <v>54.605287232808607</v>
      </c>
      <c r="B385"/>
      <c r="C385"/>
      <c r="D385"/>
      <c r="E385"/>
      <c r="AW385" s="27" t="s">
        <v>8</v>
      </c>
      <c r="AX385" s="27" t="s">
        <v>7</v>
      </c>
      <c r="AY385" s="27" t="s">
        <v>8</v>
      </c>
      <c r="AZ385" s="27" t="s">
        <v>7</v>
      </c>
      <c r="BE385" s="27" t="s">
        <v>8</v>
      </c>
      <c r="BF385" s="27" t="s">
        <v>7</v>
      </c>
      <c r="BI385" s="27" t="s">
        <v>8</v>
      </c>
    </row>
    <row r="386" spans="1:61" x14ac:dyDescent="0.25">
      <c r="A386" s="7">
        <v>53.534595326282947</v>
      </c>
      <c r="B386"/>
      <c r="C386"/>
      <c r="D386"/>
      <c r="E386"/>
      <c r="AW386" s="27" t="s">
        <v>8</v>
      </c>
      <c r="AX386" s="27" t="s">
        <v>7</v>
      </c>
      <c r="AY386" s="27" t="s">
        <v>8</v>
      </c>
      <c r="AZ386" s="27" t="s">
        <v>7</v>
      </c>
      <c r="BE386" s="27" t="s">
        <v>8</v>
      </c>
      <c r="BF386" s="27" t="s">
        <v>7</v>
      </c>
      <c r="BI386" s="27" t="s">
        <v>8</v>
      </c>
    </row>
    <row r="387" spans="1:61" x14ac:dyDescent="0.25">
      <c r="A387" s="7">
        <v>52.484897378708773</v>
      </c>
      <c r="B387"/>
      <c r="C387"/>
      <c r="D387"/>
      <c r="E387"/>
      <c r="AS387" s="27" t="s">
        <v>8</v>
      </c>
      <c r="AW387" s="27" t="s">
        <v>8</v>
      </c>
      <c r="AX387" s="27" t="s">
        <v>7</v>
      </c>
      <c r="AY387" s="27" t="s">
        <v>8</v>
      </c>
      <c r="AZ387" s="27" t="s">
        <v>7</v>
      </c>
      <c r="BC387" s="27" t="s">
        <v>8</v>
      </c>
      <c r="BE387" s="27" t="s">
        <v>8</v>
      </c>
      <c r="BF387" s="27" t="s">
        <v>7</v>
      </c>
      <c r="BG387" s="27" t="s">
        <v>8</v>
      </c>
      <c r="BI387" s="27" t="s">
        <v>8</v>
      </c>
    </row>
    <row r="388" spans="1:61" x14ac:dyDescent="0.25">
      <c r="A388" s="7">
        <v>51.455781743832127</v>
      </c>
      <c r="B388"/>
      <c r="C388"/>
      <c r="D388"/>
      <c r="E388"/>
      <c r="AS388" s="27" t="s">
        <v>8</v>
      </c>
      <c r="AT388" s="27" t="s">
        <v>7</v>
      </c>
      <c r="AW388" s="27" t="s">
        <v>8</v>
      </c>
      <c r="AX388" s="27" t="s">
        <v>7</v>
      </c>
      <c r="AY388" s="27" t="s">
        <v>8</v>
      </c>
      <c r="AZ388" s="27" t="s">
        <v>7</v>
      </c>
      <c r="BC388" s="27" t="s">
        <v>8</v>
      </c>
      <c r="BD388" s="27" t="s">
        <v>7</v>
      </c>
      <c r="BE388" s="27" t="s">
        <v>8</v>
      </c>
      <c r="BF388" s="27" t="s">
        <v>7</v>
      </c>
      <c r="BG388" s="27" t="s">
        <v>8</v>
      </c>
      <c r="BH388" s="27" t="s">
        <v>7</v>
      </c>
      <c r="BI388" s="27" t="s">
        <v>8</v>
      </c>
    </row>
    <row r="389" spans="1:61" x14ac:dyDescent="0.25">
      <c r="A389" s="7">
        <v>50.446844846894244</v>
      </c>
      <c r="B389"/>
      <c r="C389"/>
      <c r="D389"/>
      <c r="E389"/>
      <c r="AS389" s="27" t="s">
        <v>8</v>
      </c>
      <c r="AT389" s="27" t="s">
        <v>7</v>
      </c>
      <c r="AW389" s="27" t="s">
        <v>8</v>
      </c>
      <c r="AX389" s="27" t="s">
        <v>7</v>
      </c>
      <c r="AZ389" s="27" t="s">
        <v>7</v>
      </c>
      <c r="BC389" s="27" t="s">
        <v>8</v>
      </c>
      <c r="BD389" s="27" t="s">
        <v>7</v>
      </c>
      <c r="BE389" s="27" t="s">
        <v>8</v>
      </c>
      <c r="BF389" s="27" t="s">
        <v>7</v>
      </c>
      <c r="BG389" s="27" t="s">
        <v>8</v>
      </c>
      <c r="BH389" s="27" t="s">
        <v>7</v>
      </c>
      <c r="BI389" s="27" t="s">
        <v>8</v>
      </c>
    </row>
    <row r="390" spans="1:61" x14ac:dyDescent="0.25">
      <c r="A390" s="7">
        <v>49.457691026366902</v>
      </c>
      <c r="B390"/>
      <c r="C390"/>
      <c r="D390"/>
      <c r="E390"/>
      <c r="M390" s="27" t="s">
        <v>8</v>
      </c>
      <c r="AS390" s="27" t="s">
        <v>8</v>
      </c>
      <c r="AT390" s="27" t="s">
        <v>7</v>
      </c>
      <c r="AW390" s="27" t="s">
        <v>8</v>
      </c>
      <c r="AZ390" s="27" t="s">
        <v>7</v>
      </c>
      <c r="BA390" s="27" t="s">
        <v>8</v>
      </c>
      <c r="BC390" s="27" t="s">
        <v>8</v>
      </c>
      <c r="BD390" s="27" t="s">
        <v>7</v>
      </c>
      <c r="BF390" s="27" t="s">
        <v>7</v>
      </c>
      <c r="BG390" s="27" t="s">
        <v>8</v>
      </c>
      <c r="BH390" s="27" t="s">
        <v>7</v>
      </c>
      <c r="BI390" s="27" t="s">
        <v>8</v>
      </c>
    </row>
    <row r="391" spans="1:61" x14ac:dyDescent="0.25">
      <c r="A391" s="7">
        <v>48.487932378791079</v>
      </c>
      <c r="B391"/>
      <c r="C391"/>
      <c r="D391"/>
      <c r="E391"/>
      <c r="M391" s="27" t="s">
        <v>8</v>
      </c>
      <c r="N391" s="27" t="s">
        <v>7</v>
      </c>
      <c r="AS391" s="27" t="s">
        <v>8</v>
      </c>
      <c r="AT391" s="27" t="s">
        <v>7</v>
      </c>
      <c r="AU391" s="27" t="s">
        <v>8</v>
      </c>
      <c r="AW391" s="27" t="s">
        <v>8</v>
      </c>
      <c r="AZ391" s="27" t="s">
        <v>7</v>
      </c>
      <c r="BA391" s="27" t="s">
        <v>8</v>
      </c>
      <c r="BB391" s="27" t="s">
        <v>7</v>
      </c>
      <c r="BC391" s="27" t="s">
        <v>8</v>
      </c>
      <c r="BF391" s="27" t="s">
        <v>7</v>
      </c>
      <c r="BG391" s="27" t="s">
        <v>8</v>
      </c>
      <c r="BH391" s="27" t="s">
        <v>7</v>
      </c>
      <c r="BI391" s="27" t="s">
        <v>8</v>
      </c>
    </row>
    <row r="392" spans="1:61" x14ac:dyDescent="0.25">
      <c r="A392" s="7">
        <v>47.537188606657921</v>
      </c>
      <c r="B392"/>
      <c r="C392"/>
      <c r="D392"/>
      <c r="E392"/>
      <c r="M392" s="27" t="s">
        <v>8</v>
      </c>
      <c r="N392" s="27" t="s">
        <v>7</v>
      </c>
      <c r="O392" s="27" t="s">
        <v>8</v>
      </c>
      <c r="AS392" s="27" t="s">
        <v>8</v>
      </c>
      <c r="AT392" s="27" t="s">
        <v>7</v>
      </c>
      <c r="AU392" s="27" t="s">
        <v>8</v>
      </c>
      <c r="AV392" s="27" t="s">
        <v>7</v>
      </c>
      <c r="AW392" s="27" t="s">
        <v>8</v>
      </c>
      <c r="AZ392" s="27" t="s">
        <v>7</v>
      </c>
      <c r="BA392" s="27" t="s">
        <v>8</v>
      </c>
      <c r="BB392" s="27" t="s">
        <v>7</v>
      </c>
      <c r="BC392" s="27" t="s">
        <v>8</v>
      </c>
      <c r="BF392" s="27" t="s">
        <v>7</v>
      </c>
      <c r="BG392" s="27" t="s">
        <v>8</v>
      </c>
      <c r="BH392" s="27" t="s">
        <v>7</v>
      </c>
      <c r="BI392" s="27" t="s">
        <v>8</v>
      </c>
    </row>
    <row r="393" spans="1:61" x14ac:dyDescent="0.25">
      <c r="A393" s="7">
        <v>46.605086869272469</v>
      </c>
      <c r="B393"/>
      <c r="C393"/>
      <c r="D393"/>
      <c r="E393"/>
      <c r="M393" s="27" t="s">
        <v>8</v>
      </c>
      <c r="N393" s="27" t="s">
        <v>7</v>
      </c>
      <c r="O393" s="27" t="s">
        <v>8</v>
      </c>
      <c r="P393" s="27" t="s">
        <v>7</v>
      </c>
      <c r="AS393" s="27" t="s">
        <v>8</v>
      </c>
      <c r="AT393" s="27" t="s">
        <v>7</v>
      </c>
      <c r="AU393" s="27" t="s">
        <v>8</v>
      </c>
      <c r="AV393" s="27" t="s">
        <v>7</v>
      </c>
      <c r="AW393" s="27" t="s">
        <v>8</v>
      </c>
      <c r="AZ393" s="27" t="s">
        <v>7</v>
      </c>
      <c r="BA393" s="27" t="s">
        <v>8</v>
      </c>
      <c r="BB393" s="27" t="s">
        <v>7</v>
      </c>
      <c r="BC393" s="27" t="s">
        <v>8</v>
      </c>
      <c r="BF393" s="27" t="s">
        <v>7</v>
      </c>
      <c r="BG393" s="27" t="s">
        <v>8</v>
      </c>
      <c r="BH393" s="27" t="s">
        <v>7</v>
      </c>
    </row>
    <row r="394" spans="1:61" x14ac:dyDescent="0.25">
      <c r="A394" s="7">
        <v>45.691261636541633</v>
      </c>
      <c r="B394"/>
      <c r="C394"/>
      <c r="D394"/>
      <c r="E394"/>
      <c r="M394" s="27" t="s">
        <v>8</v>
      </c>
      <c r="N394" s="27" t="s">
        <v>7</v>
      </c>
      <c r="O394" s="27" t="s">
        <v>8</v>
      </c>
      <c r="P394" s="27" t="s">
        <v>7</v>
      </c>
      <c r="AS394" s="27" t="s">
        <v>8</v>
      </c>
      <c r="AT394" s="27" t="s">
        <v>7</v>
      </c>
      <c r="AU394" s="27" t="s">
        <v>8</v>
      </c>
      <c r="AV394" s="27" t="s">
        <v>7</v>
      </c>
      <c r="AW394" s="27" t="s">
        <v>8</v>
      </c>
      <c r="AZ394" s="27" t="s">
        <v>7</v>
      </c>
      <c r="BA394" s="27" t="s">
        <v>8</v>
      </c>
      <c r="BB394" s="27" t="s">
        <v>7</v>
      </c>
      <c r="BC394" s="27" t="s">
        <v>8</v>
      </c>
      <c r="BF394" s="27" t="s">
        <v>7</v>
      </c>
      <c r="BG394" s="27" t="s">
        <v>8</v>
      </c>
    </row>
    <row r="395" spans="1:61" x14ac:dyDescent="0.25">
      <c r="A395" s="7">
        <v>44.795354545629053</v>
      </c>
      <c r="B395"/>
      <c r="C395"/>
      <c r="D395"/>
      <c r="E395"/>
      <c r="M395" s="27" t="s">
        <v>8</v>
      </c>
      <c r="N395" s="27" t="s">
        <v>7</v>
      </c>
      <c r="O395" s="27" t="s">
        <v>8</v>
      </c>
      <c r="P395" s="27" t="s">
        <v>7</v>
      </c>
      <c r="AS395" s="27" t="s">
        <v>8</v>
      </c>
      <c r="AT395" s="27" t="s">
        <v>7</v>
      </c>
      <c r="AU395" s="27" t="s">
        <v>8</v>
      </c>
      <c r="AV395" s="27" t="s">
        <v>7</v>
      </c>
      <c r="AW395" s="27" t="s">
        <v>8</v>
      </c>
      <c r="AZ395" s="27" t="s">
        <v>7</v>
      </c>
      <c r="BB395" s="27" t="s">
        <v>7</v>
      </c>
      <c r="BC395" s="27" t="s">
        <v>8</v>
      </c>
      <c r="BF395" s="27" t="s">
        <v>7</v>
      </c>
      <c r="BG395" s="27" t="s">
        <v>8</v>
      </c>
    </row>
    <row r="396" spans="1:61" x14ac:dyDescent="0.25">
      <c r="A396" s="7">
        <v>43.917014260420636</v>
      </c>
      <c r="B396"/>
      <c r="C396"/>
      <c r="D396"/>
      <c r="E396" t="s">
        <v>8</v>
      </c>
      <c r="M396" s="27" t="s">
        <v>8</v>
      </c>
      <c r="N396" s="27" t="s">
        <v>7</v>
      </c>
      <c r="O396" s="27" t="s">
        <v>8</v>
      </c>
      <c r="P396" s="27" t="s">
        <v>7</v>
      </c>
      <c r="AS396" s="27" t="s">
        <v>8</v>
      </c>
      <c r="AT396" s="27" t="s">
        <v>7</v>
      </c>
      <c r="AU396" s="27" t="s">
        <v>8</v>
      </c>
      <c r="AV396" s="27" t="s">
        <v>7</v>
      </c>
      <c r="BB396" s="27" t="s">
        <v>7</v>
      </c>
      <c r="BF396" s="27" t="s">
        <v>7</v>
      </c>
    </row>
    <row r="397" spans="1:61" x14ac:dyDescent="0.25">
      <c r="A397" s="7">
        <v>43.055896333745721</v>
      </c>
      <c r="B397"/>
      <c r="C397"/>
      <c r="D397"/>
      <c r="E397" t="s">
        <v>8</v>
      </c>
      <c r="F397" s="27" t="s">
        <v>7</v>
      </c>
      <c r="K397" s="27" t="s">
        <v>8</v>
      </c>
      <c r="M397" s="27" t="s">
        <v>8</v>
      </c>
      <c r="N397" s="27" t="s">
        <v>7</v>
      </c>
      <c r="O397" s="27" t="s">
        <v>8</v>
      </c>
      <c r="P397" s="27" t="s">
        <v>7</v>
      </c>
      <c r="AS397" s="27" t="s">
        <v>8</v>
      </c>
      <c r="AT397" s="27" t="s">
        <v>7</v>
      </c>
      <c r="AU397" s="27" t="s">
        <v>8</v>
      </c>
    </row>
    <row r="398" spans="1:61" x14ac:dyDescent="0.25">
      <c r="A398" s="7">
        <v>42.211663072299729</v>
      </c>
      <c r="B398"/>
      <c r="C398"/>
      <c r="D398"/>
      <c r="E398" t="s">
        <v>8</v>
      </c>
      <c r="F398" s="27" t="s">
        <v>7</v>
      </c>
      <c r="K398" s="27" t="s">
        <v>8</v>
      </c>
      <c r="L398" s="27" t="s">
        <v>7</v>
      </c>
      <c r="M398" s="27" t="s">
        <v>8</v>
      </c>
      <c r="N398" s="27" t="s">
        <v>7</v>
      </c>
      <c r="P398" s="27" t="s">
        <v>7</v>
      </c>
      <c r="AS398" s="27" t="s">
        <v>8</v>
      </c>
      <c r="AT398" s="27" t="s">
        <v>7</v>
      </c>
      <c r="AU398" s="27" t="s">
        <v>8</v>
      </c>
    </row>
    <row r="399" spans="1:61" x14ac:dyDescent="0.25">
      <c r="A399" s="7">
        <v>41.383983404215421</v>
      </c>
      <c r="B399"/>
      <c r="C399"/>
      <c r="D399"/>
      <c r="E399" t="s">
        <v>8</v>
      </c>
      <c r="F399" s="27" t="s">
        <v>7</v>
      </c>
      <c r="K399" s="27" t="s">
        <v>8</v>
      </c>
      <c r="L399" s="27" t="s">
        <v>7</v>
      </c>
      <c r="M399" s="27" t="s">
        <v>8</v>
      </c>
      <c r="P399" s="27" t="s">
        <v>7</v>
      </c>
      <c r="AQ399" s="27" t="s">
        <v>8</v>
      </c>
      <c r="AS399" s="27" t="s">
        <v>8</v>
      </c>
      <c r="AT399" s="27" t="s">
        <v>7</v>
      </c>
      <c r="AU399" s="27" t="s">
        <v>8</v>
      </c>
    </row>
    <row r="400" spans="1:61" x14ac:dyDescent="0.25">
      <c r="A400" s="7">
        <v>40.572532749230803</v>
      </c>
      <c r="B400"/>
      <c r="C400"/>
      <c r="D400"/>
      <c r="E400" t="s">
        <v>8</v>
      </c>
      <c r="F400" s="27" t="s">
        <v>7</v>
      </c>
      <c r="K400" s="27" t="s">
        <v>8</v>
      </c>
      <c r="L400" s="27" t="s">
        <v>7</v>
      </c>
      <c r="M400" s="27" t="s">
        <v>8</v>
      </c>
      <c r="P400" s="27" t="s">
        <v>7</v>
      </c>
      <c r="AQ400" s="27" t="s">
        <v>8</v>
      </c>
      <c r="AR400" s="27" t="s">
        <v>7</v>
      </c>
      <c r="AS400" s="27" t="s">
        <v>8</v>
      </c>
      <c r="AT400" s="27" t="s">
        <v>7</v>
      </c>
      <c r="AU400" s="27" t="s">
        <v>8</v>
      </c>
    </row>
    <row r="401" spans="1:47" x14ac:dyDescent="0.25">
      <c r="A401" s="7">
        <v>39.776992891402749</v>
      </c>
      <c r="B401"/>
      <c r="C401"/>
      <c r="D401"/>
      <c r="E401" t="s">
        <v>8</v>
      </c>
      <c r="F401" s="27" t="s">
        <v>7</v>
      </c>
      <c r="K401" s="27" t="s">
        <v>8</v>
      </c>
      <c r="L401" s="27" t="s">
        <v>7</v>
      </c>
      <c r="M401" s="27" t="s">
        <v>8</v>
      </c>
      <c r="P401" s="27" t="s">
        <v>7</v>
      </c>
      <c r="AM401" s="27" t="s">
        <v>8</v>
      </c>
      <c r="AQ401" s="27" t="s">
        <v>8</v>
      </c>
      <c r="AR401" s="27" t="s">
        <v>7</v>
      </c>
      <c r="AS401" s="27" t="s">
        <v>8</v>
      </c>
      <c r="AT401" s="27" t="s">
        <v>7</v>
      </c>
      <c r="AU401" s="27" t="s">
        <v>8</v>
      </c>
    </row>
    <row r="402" spans="1:47" x14ac:dyDescent="0.25">
      <c r="A402" s="7">
        <v>38.997051854316418</v>
      </c>
      <c r="B402"/>
      <c r="C402"/>
      <c r="D402"/>
      <c r="E402" t="s">
        <v>8</v>
      </c>
      <c r="F402" s="27" t="s">
        <v>7</v>
      </c>
      <c r="K402" s="27" t="s">
        <v>8</v>
      </c>
      <c r="L402" s="27" t="s">
        <v>7</v>
      </c>
      <c r="M402" s="27" t="s">
        <v>8</v>
      </c>
      <c r="P402" s="27" t="s">
        <v>7</v>
      </c>
      <c r="AM402" s="27" t="s">
        <v>8</v>
      </c>
      <c r="AN402" s="27" t="s">
        <v>7</v>
      </c>
      <c r="AQ402" s="27" t="s">
        <v>8</v>
      </c>
      <c r="AR402" s="27" t="s">
        <v>7</v>
      </c>
      <c r="AS402" s="27" t="s">
        <v>8</v>
      </c>
      <c r="AT402" s="27" t="s">
        <v>7</v>
      </c>
    </row>
    <row r="403" spans="1:47" x14ac:dyDescent="0.25">
      <c r="A403" s="7">
        <v>38.232403778741585</v>
      </c>
      <c r="B403"/>
      <c r="C403"/>
      <c r="D403"/>
      <c r="E403" t="s">
        <v>8</v>
      </c>
      <c r="F403" s="27" t="s">
        <v>7</v>
      </c>
      <c r="G403" s="27" t="s">
        <v>8</v>
      </c>
      <c r="K403" s="27" t="s">
        <v>8</v>
      </c>
      <c r="L403" s="27" t="s">
        <v>7</v>
      </c>
      <c r="M403" s="27" t="s">
        <v>8</v>
      </c>
      <c r="P403" s="27" t="s">
        <v>7</v>
      </c>
      <c r="AM403" s="27" t="s">
        <v>8</v>
      </c>
      <c r="AN403" s="27" t="s">
        <v>7</v>
      </c>
      <c r="AO403" s="27" t="s">
        <v>8</v>
      </c>
      <c r="AQ403" s="27" t="s">
        <v>8</v>
      </c>
      <c r="AR403" s="27" t="s">
        <v>7</v>
      </c>
    </row>
    <row r="404" spans="1:47" x14ac:dyDescent="0.25">
      <c r="A404" s="7">
        <v>37.48274880268783</v>
      </c>
      <c r="B404"/>
      <c r="C404"/>
      <c r="D404"/>
      <c r="E404" t="s">
        <v>8</v>
      </c>
      <c r="F404" s="27" t="s">
        <v>7</v>
      </c>
      <c r="G404" s="27" t="s">
        <v>8</v>
      </c>
      <c r="H404" s="27" t="s">
        <v>7</v>
      </c>
      <c r="K404" s="27" t="s">
        <v>8</v>
      </c>
      <c r="L404" s="27" t="s">
        <v>7</v>
      </c>
      <c r="P404" s="27" t="s">
        <v>7</v>
      </c>
      <c r="Q404" s="27" t="s">
        <v>8</v>
      </c>
      <c r="AG404" s="27" t="s">
        <v>8</v>
      </c>
      <c r="AM404" s="27" t="s">
        <v>8</v>
      </c>
      <c r="AN404" s="27" t="s">
        <v>7</v>
      </c>
      <c r="AO404" s="27" t="s">
        <v>8</v>
      </c>
      <c r="AP404" s="27" t="s">
        <v>7</v>
      </c>
      <c r="AQ404" s="27" t="s">
        <v>8</v>
      </c>
    </row>
    <row r="405" spans="1:47" x14ac:dyDescent="0.25">
      <c r="A405" s="7">
        <v>36.747792943811596</v>
      </c>
      <c r="B405"/>
      <c r="C405"/>
      <c r="D405"/>
      <c r="E405" t="s">
        <v>8</v>
      </c>
      <c r="F405" s="27" t="s">
        <v>7</v>
      </c>
      <c r="G405" s="27" t="s">
        <v>8</v>
      </c>
      <c r="H405" s="27" t="s">
        <v>7</v>
      </c>
      <c r="I405" s="27" t="s">
        <v>8</v>
      </c>
      <c r="K405" s="27" t="s">
        <v>8</v>
      </c>
      <c r="P405" s="27" t="s">
        <v>7</v>
      </c>
      <c r="Q405" s="27" t="s">
        <v>8</v>
      </c>
      <c r="R405" s="27" t="s">
        <v>7</v>
      </c>
      <c r="AG405" s="27" t="s">
        <v>8</v>
      </c>
      <c r="AH405" s="27" t="s">
        <v>7</v>
      </c>
      <c r="AM405" s="27" t="s">
        <v>8</v>
      </c>
      <c r="AN405" s="27" t="s">
        <v>7</v>
      </c>
      <c r="AO405" s="27" t="s">
        <v>8</v>
      </c>
      <c r="AP405" s="27" t="s">
        <v>7</v>
      </c>
      <c r="AQ405" s="27" t="s">
        <v>8</v>
      </c>
    </row>
    <row r="406" spans="1:47" x14ac:dyDescent="0.25">
      <c r="A406" s="7">
        <v>36.027247984129012</v>
      </c>
      <c r="B406"/>
      <c r="C406"/>
      <c r="D406"/>
      <c r="E406" t="s">
        <v>8</v>
      </c>
      <c r="F406" s="27" t="s">
        <v>7</v>
      </c>
      <c r="G406" s="27" t="s">
        <v>8</v>
      </c>
      <c r="H406" s="27" t="s">
        <v>7</v>
      </c>
      <c r="I406" s="27" t="s">
        <v>8</v>
      </c>
      <c r="J406" s="27" t="s">
        <v>7</v>
      </c>
      <c r="K406" s="27" t="s">
        <v>8</v>
      </c>
      <c r="P406" s="27" t="s">
        <v>7</v>
      </c>
      <c r="Q406" s="27" t="s">
        <v>8</v>
      </c>
      <c r="R406" s="27" t="s">
        <v>7</v>
      </c>
      <c r="S406" s="27" t="s">
        <v>8</v>
      </c>
      <c r="AG406" s="27" t="s">
        <v>8</v>
      </c>
      <c r="AH406" s="27" t="s">
        <v>7</v>
      </c>
      <c r="AM406" s="27" t="s">
        <v>8</v>
      </c>
      <c r="AN406" s="27" t="s">
        <v>7</v>
      </c>
      <c r="AO406" s="27" t="s">
        <v>8</v>
      </c>
      <c r="AP406" s="27" t="s">
        <v>7</v>
      </c>
      <c r="AQ406" s="27" t="s">
        <v>8</v>
      </c>
    </row>
    <row r="407" spans="1:47" x14ac:dyDescent="0.25">
      <c r="A407" s="7">
        <v>35.320831356989224</v>
      </c>
      <c r="B407"/>
      <c r="C407"/>
      <c r="D407"/>
      <c r="E407" t="s">
        <v>8</v>
      </c>
      <c r="F407" s="27" t="s">
        <v>7</v>
      </c>
      <c r="G407" s="27" t="s">
        <v>8</v>
      </c>
      <c r="H407" s="27" t="s">
        <v>7</v>
      </c>
      <c r="I407" s="27" t="s">
        <v>8</v>
      </c>
      <c r="J407" s="27" t="s">
        <v>7</v>
      </c>
      <c r="K407" s="27" t="s">
        <v>8</v>
      </c>
      <c r="P407" s="27" t="s">
        <v>7</v>
      </c>
      <c r="Q407" s="27" t="s">
        <v>8</v>
      </c>
      <c r="R407" s="27" t="s">
        <v>7</v>
      </c>
      <c r="S407" s="27" t="s">
        <v>8</v>
      </c>
      <c r="T407" s="27" t="s">
        <v>7</v>
      </c>
      <c r="AG407" s="27" t="s">
        <v>8</v>
      </c>
      <c r="AH407" s="27" t="s">
        <v>7</v>
      </c>
      <c r="AK407" s="27" t="s">
        <v>8</v>
      </c>
      <c r="AM407" s="27" t="s">
        <v>8</v>
      </c>
      <c r="AN407" s="27" t="s">
        <v>7</v>
      </c>
      <c r="AO407" s="27" t="s">
        <v>8</v>
      </c>
      <c r="AP407" s="27" t="s">
        <v>7</v>
      </c>
      <c r="AQ407" s="27" t="s">
        <v>8</v>
      </c>
    </row>
    <row r="408" spans="1:47" x14ac:dyDescent="0.25">
      <c r="A408" s="7">
        <v>34.628266036263945</v>
      </c>
      <c r="B408"/>
      <c r="C408"/>
      <c r="D408"/>
      <c r="E408" t="s">
        <v>8</v>
      </c>
      <c r="F408" s="27" t="s">
        <v>7</v>
      </c>
      <c r="G408" s="27" t="s">
        <v>8</v>
      </c>
      <c r="H408" s="27" t="s">
        <v>7</v>
      </c>
      <c r="I408" s="27" t="s">
        <v>8</v>
      </c>
      <c r="J408" s="27" t="s">
        <v>7</v>
      </c>
      <c r="K408" s="27" t="s">
        <v>8</v>
      </c>
      <c r="P408" s="27" t="s">
        <v>7</v>
      </c>
      <c r="Q408" s="27" t="s">
        <v>8</v>
      </c>
      <c r="R408" s="27" t="s">
        <v>7</v>
      </c>
      <c r="S408" s="27" t="s">
        <v>8</v>
      </c>
      <c r="T408" s="27" t="s">
        <v>7</v>
      </c>
      <c r="AG408" s="27" t="s">
        <v>8</v>
      </c>
      <c r="AH408" s="27" t="s">
        <v>7</v>
      </c>
      <c r="AK408" s="27" t="s">
        <v>8</v>
      </c>
      <c r="AL408" s="27" t="s">
        <v>7</v>
      </c>
      <c r="AM408" s="27" t="s">
        <v>8</v>
      </c>
      <c r="AN408" s="27" t="s">
        <v>7</v>
      </c>
      <c r="AP408" s="27" t="s">
        <v>7</v>
      </c>
    </row>
    <row r="409" spans="1:47" x14ac:dyDescent="0.25">
      <c r="A409" s="7">
        <v>33.949280427709752</v>
      </c>
      <c r="B409"/>
      <c r="C409"/>
      <c r="D409"/>
      <c r="E409" t="s">
        <v>8</v>
      </c>
      <c r="F409" s="27" t="s">
        <v>7</v>
      </c>
      <c r="G409" s="27" t="s">
        <v>8</v>
      </c>
      <c r="H409" s="27" t="s">
        <v>7</v>
      </c>
      <c r="I409" s="27" t="s">
        <v>8</v>
      </c>
      <c r="J409" s="27" t="s">
        <v>7</v>
      </c>
      <c r="K409" s="27" t="s">
        <v>8</v>
      </c>
      <c r="P409" s="27" t="s">
        <v>7</v>
      </c>
      <c r="Q409" s="27" t="s">
        <v>8</v>
      </c>
      <c r="R409" s="27" t="s">
        <v>7</v>
      </c>
      <c r="S409" s="27" t="s">
        <v>8</v>
      </c>
      <c r="T409" s="27" t="s">
        <v>7</v>
      </c>
      <c r="AG409" s="27" t="s">
        <v>8</v>
      </c>
      <c r="AH409" s="27" t="s">
        <v>7</v>
      </c>
      <c r="AK409" s="27" t="s">
        <v>8</v>
      </c>
      <c r="AL409" s="27" t="s">
        <v>7</v>
      </c>
      <c r="AM409" s="27" t="s">
        <v>8</v>
      </c>
    </row>
    <row r="410" spans="1:47" x14ac:dyDescent="0.25">
      <c r="A410" s="7">
        <v>33.28360826246054</v>
      </c>
      <c r="B410"/>
      <c r="C410"/>
      <c r="D410"/>
      <c r="E410" t="s">
        <v>8</v>
      </c>
      <c r="F410" s="27" t="s">
        <v>7</v>
      </c>
      <c r="G410" s="27" t="s">
        <v>8</v>
      </c>
      <c r="H410" s="27" t="s">
        <v>7</v>
      </c>
      <c r="I410" s="27" t="s">
        <v>8</v>
      </c>
      <c r="J410" s="27" t="s">
        <v>7</v>
      </c>
      <c r="K410" s="27" t="s">
        <v>8</v>
      </c>
      <c r="P410" s="27" t="s">
        <v>7</v>
      </c>
      <c r="Q410" s="27" t="s">
        <v>8</v>
      </c>
      <c r="R410" s="27" t="s">
        <v>7</v>
      </c>
      <c r="S410" s="27" t="s">
        <v>8</v>
      </c>
      <c r="T410" s="27" t="s">
        <v>7</v>
      </c>
      <c r="U410" s="27" t="s">
        <v>8</v>
      </c>
      <c r="AG410" s="27" t="s">
        <v>8</v>
      </c>
      <c r="AH410" s="27" t="s">
        <v>7</v>
      </c>
      <c r="AK410" s="27" t="s">
        <v>8</v>
      </c>
      <c r="AL410" s="27" t="s">
        <v>7</v>
      </c>
      <c r="AM410" s="27" t="s">
        <v>8</v>
      </c>
    </row>
    <row r="411" spans="1:47" x14ac:dyDescent="0.25">
      <c r="A411" s="7">
        <v>32.630988492608374</v>
      </c>
      <c r="B411"/>
      <c r="C411"/>
      <c r="D411"/>
      <c r="E411" t="s">
        <v>8</v>
      </c>
      <c r="F411" s="27" t="s">
        <v>7</v>
      </c>
      <c r="G411" s="27" t="s">
        <v>8</v>
      </c>
      <c r="H411" s="27" t="s">
        <v>7</v>
      </c>
      <c r="I411" s="27" t="s">
        <v>8</v>
      </c>
      <c r="J411" s="27" t="s">
        <v>7</v>
      </c>
      <c r="K411" s="27" t="s">
        <v>8</v>
      </c>
      <c r="P411" s="27" t="s">
        <v>7</v>
      </c>
      <c r="Q411" s="27" t="s">
        <v>8</v>
      </c>
      <c r="R411" s="27" t="s">
        <v>7</v>
      </c>
      <c r="T411" s="27" t="s">
        <v>7</v>
      </c>
      <c r="U411" s="27" t="s">
        <v>8</v>
      </c>
      <c r="V411" s="27" t="s">
        <v>7</v>
      </c>
      <c r="Y411" s="27" t="s">
        <v>8</v>
      </c>
      <c r="AG411" s="27" t="s">
        <v>8</v>
      </c>
      <c r="AH411" s="27" t="s">
        <v>7</v>
      </c>
      <c r="AI411" s="27" t="s">
        <v>8</v>
      </c>
      <c r="AK411" s="27" t="s">
        <v>8</v>
      </c>
      <c r="AL411" s="27" t="s">
        <v>7</v>
      </c>
      <c r="AM411" s="27" t="s">
        <v>8</v>
      </c>
    </row>
    <row r="412" spans="1:47" x14ac:dyDescent="0.25">
      <c r="A412" s="7">
        <v>31.99116518883174</v>
      </c>
      <c r="B412"/>
      <c r="C412"/>
      <c r="D412"/>
      <c r="E412" t="s">
        <v>8</v>
      </c>
      <c r="F412" s="27" t="s">
        <v>7</v>
      </c>
      <c r="G412" s="27" t="s">
        <v>8</v>
      </c>
      <c r="H412" s="27" t="s">
        <v>7</v>
      </c>
      <c r="I412" s="27" t="s">
        <v>8</v>
      </c>
      <c r="J412" s="27" t="s">
        <v>7</v>
      </c>
      <c r="K412" s="27" t="s">
        <v>8</v>
      </c>
      <c r="P412" s="27" t="s">
        <v>7</v>
      </c>
      <c r="Q412" s="27" t="s">
        <v>8</v>
      </c>
      <c r="T412" s="27" t="s">
        <v>7</v>
      </c>
      <c r="U412" s="27" t="s">
        <v>8</v>
      </c>
      <c r="V412" s="27" t="s">
        <v>7</v>
      </c>
      <c r="W412" s="27" t="s">
        <v>8</v>
      </c>
      <c r="Y412" s="27" t="s">
        <v>8</v>
      </c>
      <c r="Z412" s="27" t="s">
        <v>7</v>
      </c>
      <c r="AG412" s="27" t="s">
        <v>8</v>
      </c>
      <c r="AH412" s="27" t="s">
        <v>7</v>
      </c>
      <c r="AI412" s="27" t="s">
        <v>8</v>
      </c>
      <c r="AJ412" s="27" t="s">
        <v>7</v>
      </c>
      <c r="AK412" s="27" t="s">
        <v>8</v>
      </c>
      <c r="AL412" s="27" t="s">
        <v>7</v>
      </c>
      <c r="AM412" s="27" t="s">
        <v>8</v>
      </c>
    </row>
    <row r="413" spans="1:47" x14ac:dyDescent="0.25">
      <c r="A413" s="7">
        <v>31.363887440031117</v>
      </c>
      <c r="B413"/>
      <c r="C413"/>
      <c r="D413"/>
      <c r="E413" t="s">
        <v>8</v>
      </c>
      <c r="F413" s="27" t="s">
        <v>7</v>
      </c>
      <c r="G413" s="27" t="s">
        <v>8</v>
      </c>
      <c r="H413" s="27" t="s">
        <v>7</v>
      </c>
      <c r="I413" s="27" t="s">
        <v>8</v>
      </c>
      <c r="J413" s="27" t="s">
        <v>7</v>
      </c>
      <c r="K413" s="27" t="s">
        <v>8</v>
      </c>
      <c r="P413" s="27" t="s">
        <v>7</v>
      </c>
      <c r="T413" s="27" t="s">
        <v>7</v>
      </c>
      <c r="U413" s="27" t="s">
        <v>8</v>
      </c>
      <c r="V413" s="27" t="s">
        <v>7</v>
      </c>
      <c r="W413" s="27" t="s">
        <v>8</v>
      </c>
      <c r="X413" s="27" t="s">
        <v>7</v>
      </c>
      <c r="Y413" s="27" t="s">
        <v>8</v>
      </c>
      <c r="Z413" s="27" t="s">
        <v>7</v>
      </c>
      <c r="AC413" s="27" t="s">
        <v>8</v>
      </c>
      <c r="AG413" s="27" t="s">
        <v>8</v>
      </c>
      <c r="AH413" s="27" t="s">
        <v>7</v>
      </c>
      <c r="AI413" s="27" t="s">
        <v>8</v>
      </c>
      <c r="AJ413" s="27" t="s">
        <v>7</v>
      </c>
      <c r="AK413" s="27" t="s">
        <v>8</v>
      </c>
      <c r="AL413" s="27" t="s">
        <v>7</v>
      </c>
      <c r="AM413" s="27" t="s">
        <v>8</v>
      </c>
    </row>
    <row r="414" spans="1:47" x14ac:dyDescent="0.25">
      <c r="A414" s="7">
        <v>30.748909254932467</v>
      </c>
      <c r="B414"/>
      <c r="C414"/>
      <c r="D414"/>
      <c r="E414" t="s">
        <v>8</v>
      </c>
      <c r="F414" s="27" t="s">
        <v>7</v>
      </c>
      <c r="G414" s="27" t="s">
        <v>8</v>
      </c>
      <c r="H414" s="27" t="s">
        <v>7</v>
      </c>
      <c r="J414" s="27" t="s">
        <v>7</v>
      </c>
      <c r="T414" s="27" t="s">
        <v>7</v>
      </c>
      <c r="V414" s="27" t="s">
        <v>7</v>
      </c>
      <c r="W414" s="27" t="s">
        <v>8</v>
      </c>
      <c r="X414" s="27" t="s">
        <v>7</v>
      </c>
      <c r="Y414" s="27" t="s">
        <v>8</v>
      </c>
      <c r="Z414" s="27" t="s">
        <v>7</v>
      </c>
      <c r="AA414" s="27" t="s">
        <v>8</v>
      </c>
      <c r="AC414" s="27" t="s">
        <v>8</v>
      </c>
      <c r="AD414" s="27" t="s">
        <v>7</v>
      </c>
      <c r="AG414" s="27" t="s">
        <v>8</v>
      </c>
      <c r="AH414" s="27" t="s">
        <v>7</v>
      </c>
      <c r="AI414" s="27" t="s">
        <v>8</v>
      </c>
      <c r="AJ414" s="27" t="s">
        <v>7</v>
      </c>
      <c r="AK414" s="27" t="s">
        <v>8</v>
      </c>
      <c r="AL414" s="27" t="s">
        <v>7</v>
      </c>
    </row>
    <row r="415" spans="1:47" x14ac:dyDescent="0.25">
      <c r="A415" s="7">
        <v>30.145989465620065</v>
      </c>
      <c r="B415"/>
      <c r="C415"/>
      <c r="D415"/>
      <c r="E415" t="s">
        <v>8</v>
      </c>
      <c r="F415" s="27" t="s">
        <v>7</v>
      </c>
      <c r="V415" s="27" t="s">
        <v>7</v>
      </c>
      <c r="W415" s="27" t="s">
        <v>8</v>
      </c>
      <c r="X415" s="27" t="s">
        <v>7</v>
      </c>
      <c r="Y415" s="27" t="s">
        <v>8</v>
      </c>
      <c r="Z415" s="27" t="s">
        <v>7</v>
      </c>
      <c r="AA415" s="27" t="s">
        <v>8</v>
      </c>
      <c r="AB415" s="27" t="s">
        <v>7</v>
      </c>
      <c r="AC415" s="27" t="s">
        <v>8</v>
      </c>
      <c r="AD415" s="27" t="s">
        <v>7</v>
      </c>
      <c r="AE415" s="27" t="s">
        <v>8</v>
      </c>
      <c r="AG415" s="27" t="s">
        <v>8</v>
      </c>
      <c r="AH415" s="27" t="s">
        <v>7</v>
      </c>
      <c r="AI415" s="27" t="s">
        <v>8</v>
      </c>
      <c r="AJ415" s="27" t="s">
        <v>7</v>
      </c>
      <c r="AK415" s="27" t="s">
        <v>8</v>
      </c>
    </row>
    <row r="416" spans="1:47" x14ac:dyDescent="0.25">
      <c r="A416" s="7">
        <v>29.55489163296085</v>
      </c>
      <c r="B416"/>
      <c r="C416"/>
      <c r="D416"/>
      <c r="E416" t="s">
        <v>8</v>
      </c>
      <c r="V416" s="27" t="s">
        <v>7</v>
      </c>
      <c r="W416" s="27" t="s">
        <v>8</v>
      </c>
      <c r="X416" s="27" t="s">
        <v>7</v>
      </c>
      <c r="Y416" s="27" t="s">
        <v>8</v>
      </c>
      <c r="Z416" s="27" t="s">
        <v>7</v>
      </c>
      <c r="AA416" s="27" t="s">
        <v>8</v>
      </c>
      <c r="AB416" s="27" t="s">
        <v>7</v>
      </c>
      <c r="AC416" s="27" t="s">
        <v>8</v>
      </c>
      <c r="AD416" s="27" t="s">
        <v>7</v>
      </c>
      <c r="AE416" s="27" t="s">
        <v>8</v>
      </c>
      <c r="AF416" s="27" t="s">
        <v>7</v>
      </c>
      <c r="AG416" s="27" t="s">
        <v>8</v>
      </c>
      <c r="AH416" s="27" t="s">
        <v>7</v>
      </c>
      <c r="AI416" s="27" t="s">
        <v>8</v>
      </c>
      <c r="AJ416" s="27" t="s">
        <v>7</v>
      </c>
      <c r="AK416" s="27" t="s">
        <v>8</v>
      </c>
    </row>
    <row r="417" spans="1:37" x14ac:dyDescent="0.25">
      <c r="A417" s="7">
        <v>28.975383953883185</v>
      </c>
      <c r="B417"/>
      <c r="C417"/>
      <c r="D417"/>
      <c r="E417" t="s">
        <v>8</v>
      </c>
      <c r="V417" s="27" t="s">
        <v>7</v>
      </c>
      <c r="W417" s="27" t="s">
        <v>8</v>
      </c>
      <c r="X417" s="27" t="s">
        <v>7</v>
      </c>
      <c r="Y417" s="27" t="s">
        <v>8</v>
      </c>
      <c r="Z417" s="27" t="s">
        <v>7</v>
      </c>
      <c r="AB417" s="27" t="s">
        <v>7</v>
      </c>
      <c r="AC417" s="27" t="s">
        <v>8</v>
      </c>
      <c r="AD417" s="27" t="s">
        <v>7</v>
      </c>
      <c r="AE417" s="27" t="s">
        <v>8</v>
      </c>
      <c r="AF417" s="27" t="s">
        <v>7</v>
      </c>
      <c r="AG417" s="27" t="s">
        <v>8</v>
      </c>
      <c r="AH417" s="27" t="s">
        <v>7</v>
      </c>
      <c r="AI417" s="27" t="s">
        <v>8</v>
      </c>
      <c r="AJ417" s="27" t="s">
        <v>7</v>
      </c>
      <c r="AK417" s="27" t="s">
        <v>8</v>
      </c>
    </row>
    <row r="418" spans="1:37" x14ac:dyDescent="0.25">
      <c r="A418" s="7">
        <v>28.407239170473709</v>
      </c>
      <c r="B418"/>
      <c r="C418"/>
      <c r="D418"/>
      <c r="E418" t="s">
        <v>8</v>
      </c>
      <c r="V418" s="27" t="s">
        <v>7</v>
      </c>
      <c r="W418" s="27" t="s">
        <v>8</v>
      </c>
      <c r="X418" s="27" t="s">
        <v>7</v>
      </c>
      <c r="AB418" s="27" t="s">
        <v>7</v>
      </c>
      <c r="AC418" s="27" t="s">
        <v>8</v>
      </c>
      <c r="AD418" s="27" t="s">
        <v>7</v>
      </c>
      <c r="AE418" s="27" t="s">
        <v>8</v>
      </c>
      <c r="AF418" s="27" t="s">
        <v>7</v>
      </c>
      <c r="AG418" s="27" t="s">
        <v>8</v>
      </c>
      <c r="AH418" s="27" t="s">
        <v>7</v>
      </c>
      <c r="AJ418" s="27" t="s">
        <v>7</v>
      </c>
      <c r="AK418" s="27" t="s">
        <v>8</v>
      </c>
    </row>
    <row r="419" spans="1:37" x14ac:dyDescent="0.25">
      <c r="A419" s="7">
        <v>27.850234480856578</v>
      </c>
      <c r="B419"/>
      <c r="C419"/>
      <c r="D419"/>
      <c r="E419" t="s">
        <v>8</v>
      </c>
      <c r="V419" s="27" t="s">
        <v>7</v>
      </c>
      <c r="W419" s="27" t="s">
        <v>8</v>
      </c>
      <c r="AB419" s="27" t="s">
        <v>7</v>
      </c>
      <c r="AC419" s="27" t="s">
        <v>8</v>
      </c>
      <c r="AD419" s="27" t="s">
        <v>7</v>
      </c>
      <c r="AE419" s="27" t="s">
        <v>8</v>
      </c>
      <c r="AF419" s="27" t="s">
        <v>7</v>
      </c>
      <c r="AG419" s="27" t="s">
        <v>8</v>
      </c>
      <c r="AJ419" s="27" t="s">
        <v>7</v>
      </c>
    </row>
    <row r="420" spans="1:37" x14ac:dyDescent="0.25">
      <c r="A420" s="7">
        <v>27.304151451820175</v>
      </c>
      <c r="B420"/>
      <c r="C420"/>
      <c r="D420"/>
      <c r="E420" t="s">
        <v>8</v>
      </c>
      <c r="V420" s="27" t="s">
        <v>7</v>
      </c>
      <c r="W420" s="27" t="s">
        <v>8</v>
      </c>
      <c r="AB420" s="27" t="s">
        <v>7</v>
      </c>
      <c r="AD420" s="27" t="s">
        <v>7</v>
      </c>
      <c r="AF420" s="27" t="s">
        <v>7</v>
      </c>
      <c r="AG420" s="27" t="s">
        <v>8</v>
      </c>
    </row>
    <row r="421" spans="1:37" x14ac:dyDescent="0.25">
      <c r="A421" s="7">
        <v>26.768775933157034</v>
      </c>
      <c r="B421"/>
      <c r="C421"/>
      <c r="D421"/>
      <c r="E421" t="s">
        <v>8</v>
      </c>
      <c r="V421" s="27" t="s">
        <v>7</v>
      </c>
      <c r="W421" s="27" t="s">
        <v>8</v>
      </c>
      <c r="AF421" s="27" t="s">
        <v>7</v>
      </c>
      <c r="AG421" s="27" t="s">
        <v>8</v>
      </c>
    </row>
    <row r="422" spans="1:37" x14ac:dyDescent="0.25">
      <c r="A422" s="7">
        <v>26.243897973683367</v>
      </c>
      <c r="B422"/>
      <c r="C422"/>
      <c r="D422"/>
      <c r="E422" t="s">
        <v>8</v>
      </c>
      <c r="V422" s="27" t="s">
        <v>7</v>
      </c>
      <c r="W422" s="27" t="s">
        <v>8</v>
      </c>
      <c r="AF422" s="27" t="s">
        <v>7</v>
      </c>
    </row>
    <row r="423" spans="1:37" x14ac:dyDescent="0.25">
      <c r="A423" s="7">
        <v>25.729311738905263</v>
      </c>
      <c r="B423"/>
      <c r="C423"/>
      <c r="D423"/>
      <c r="E423" t="s">
        <v>8</v>
      </c>
      <c r="V423" s="27" t="s">
        <v>7</v>
      </c>
      <c r="W423" s="27" t="s">
        <v>8</v>
      </c>
    </row>
    <row r="424" spans="1:37" x14ac:dyDescent="0.25">
      <c r="A424" s="7">
        <v>25.224815430299277</v>
      </c>
      <c r="B424"/>
      <c r="C424"/>
      <c r="D424"/>
      <c r="E424" t="s">
        <v>8</v>
      </c>
      <c r="V424" s="27" t="s">
        <v>7</v>
      </c>
      <c r="W424" s="27" t="s">
        <v>8</v>
      </c>
    </row>
    <row r="425" spans="1:37" x14ac:dyDescent="0.25">
      <c r="A425" s="7">
        <v>24.73021120617576</v>
      </c>
      <c r="B425"/>
      <c r="C425"/>
      <c r="D425"/>
      <c r="E425" t="s">
        <v>8</v>
      </c>
      <c r="V425" s="27" t="s">
        <v>7</v>
      </c>
      <c r="W425" s="27" t="s">
        <v>8</v>
      </c>
    </row>
    <row r="426" spans="1:37" x14ac:dyDescent="0.25">
      <c r="A426" s="7">
        <v>24.24530510409388</v>
      </c>
      <c r="B426"/>
      <c r="C426"/>
      <c r="D426"/>
      <c r="E426" t="s">
        <v>8</v>
      </c>
      <c r="V426" s="27" t="s">
        <v>7</v>
      </c>
      <c r="W426" s="27" t="s">
        <v>8</v>
      </c>
    </row>
    <row r="427" spans="1:37" x14ac:dyDescent="0.25">
      <c r="A427" s="7">
        <v>23.769906964797922</v>
      </c>
      <c r="B427"/>
      <c r="C427"/>
      <c r="D427"/>
      <c r="E427" t="s">
        <v>8</v>
      </c>
      <c r="V427" s="27" t="s">
        <v>7</v>
      </c>
      <c r="W427" s="27" t="s">
        <v>8</v>
      </c>
    </row>
    <row r="428" spans="1:37" x14ac:dyDescent="0.25">
      <c r="A428" s="7">
        <v>23.303830357645023</v>
      </c>
      <c r="B428"/>
      <c r="C428"/>
      <c r="D428"/>
      <c r="E428" t="s">
        <v>8</v>
      </c>
      <c r="V428" s="27" t="s">
        <v>7</v>
      </c>
    </row>
    <row r="429" spans="1:37" x14ac:dyDescent="0.25">
      <c r="A429" s="7">
        <v>22.84689250749512</v>
      </c>
      <c r="B429"/>
      <c r="C429"/>
      <c r="D429"/>
      <c r="E429" t="s">
        <v>8</v>
      </c>
    </row>
    <row r="430" spans="1:37" x14ac:dyDescent="0.25">
      <c r="A430" s="7">
        <v>22.398914223034431</v>
      </c>
      <c r="B430"/>
      <c r="C430"/>
      <c r="D430"/>
      <c r="E430" t="s">
        <v>8</v>
      </c>
    </row>
    <row r="431" spans="1:37" x14ac:dyDescent="0.25">
      <c r="A431" s="7">
        <v>21.959719826504344</v>
      </c>
      <c r="B431"/>
      <c r="C431"/>
      <c r="D431"/>
      <c r="E431" t="s">
        <v>8</v>
      </c>
    </row>
    <row r="432" spans="1:37" x14ac:dyDescent="0.25">
      <c r="A432" s="7">
        <v>21.52913708480818</v>
      </c>
      <c r="B432"/>
      <c r="C432"/>
      <c r="D432"/>
      <c r="E432" t="s">
        <v>8</v>
      </c>
    </row>
    <row r="433" spans="1:5" x14ac:dyDescent="0.25">
      <c r="A433" s="7">
        <v>21.106997141968804</v>
      </c>
      <c r="B433"/>
      <c r="C433"/>
      <c r="D433"/>
      <c r="E433" t="s">
        <v>8</v>
      </c>
    </row>
    <row r="434" spans="1:5" x14ac:dyDescent="0.25">
      <c r="A434" s="7">
        <v>20.693134452910591</v>
      </c>
      <c r="B434"/>
      <c r="C434"/>
      <c r="D434"/>
      <c r="E434" t="s">
        <v>8</v>
      </c>
    </row>
    <row r="435" spans="1:5" x14ac:dyDescent="0.25">
      <c r="A435" s="7">
        <v>20.287386718539796</v>
      </c>
      <c r="B435"/>
      <c r="C435"/>
      <c r="D435"/>
      <c r="E435" t="s">
        <v>8</v>
      </c>
    </row>
    <row r="436" spans="1:5" x14ac:dyDescent="0.25">
      <c r="A436" s="7">
        <v>19.889594822097838</v>
      </c>
      <c r="B436"/>
      <c r="C436"/>
      <c r="D436"/>
      <c r="E436" t="s">
        <v>8</v>
      </c>
    </row>
    <row r="437" spans="1:5" x14ac:dyDescent="0.25">
      <c r="A437" s="7">
        <v>19.499602766762585</v>
      </c>
      <c r="B437"/>
      <c r="C437"/>
      <c r="D437"/>
      <c r="E437" t="s">
        <v>8</v>
      </c>
    </row>
    <row r="438" spans="1:5" x14ac:dyDescent="0.25">
      <c r="A438" s="7">
        <v>19.117257614473122</v>
      </c>
      <c r="B438"/>
      <c r="C438"/>
      <c r="D438"/>
      <c r="E438" t="s">
        <v>8</v>
      </c>
    </row>
    <row r="439" spans="1:5" x14ac:dyDescent="0.25">
      <c r="A439" s="7">
        <v>18.74240942595404</v>
      </c>
      <c r="B439"/>
      <c r="C439"/>
      <c r="D439"/>
      <c r="E439" t="s">
        <v>8</v>
      </c>
    </row>
    <row r="440" spans="1:5" x14ac:dyDescent="0.25">
      <c r="A440" s="7">
        <v>18.374911201915726</v>
      </c>
      <c r="B440"/>
      <c r="C440"/>
      <c r="D440"/>
      <c r="E440" t="s">
        <v>8</v>
      </c>
    </row>
    <row r="441" spans="1:5" x14ac:dyDescent="0.25">
      <c r="A441" s="7">
        <v>18.014618825407574</v>
      </c>
      <c r="B441"/>
      <c r="C441"/>
      <c r="D441"/>
      <c r="E441" t="s">
        <v>8</v>
      </c>
    </row>
    <row r="442" spans="1:5" x14ac:dyDescent="0.25">
      <c r="A442" s="7">
        <v>17.661391005301542</v>
      </c>
      <c r="B442"/>
      <c r="C442"/>
      <c r="D442"/>
      <c r="E442" t="s">
        <v>8</v>
      </c>
    </row>
    <row r="443" spans="1:5" x14ac:dyDescent="0.25">
      <c r="A443" s="7">
        <v>17.315089220883866</v>
      </c>
      <c r="B443"/>
      <c r="C443"/>
      <c r="D443"/>
      <c r="E443" t="s">
        <v>8</v>
      </c>
    </row>
    <row r="444" spans="1:5" x14ac:dyDescent="0.25">
      <c r="A444" s="7">
        <v>16.975577667533202</v>
      </c>
      <c r="B444"/>
      <c r="C444"/>
      <c r="D444"/>
      <c r="E444" t="s">
        <v>8</v>
      </c>
    </row>
    <row r="445" spans="1:5" x14ac:dyDescent="0.25">
      <c r="A445" s="7">
        <v>16.642723203463923</v>
      </c>
      <c r="B445"/>
      <c r="C445"/>
      <c r="D445"/>
      <c r="E445" t="s">
        <v>8</v>
      </c>
    </row>
    <row r="446" spans="1:5" x14ac:dyDescent="0.25">
      <c r="A446" s="7">
        <v>16.316395297513651</v>
      </c>
      <c r="B446"/>
      <c r="C446"/>
      <c r="D446"/>
      <c r="E446" t="s">
        <v>8</v>
      </c>
    </row>
    <row r="447" spans="1:5" x14ac:dyDescent="0.25">
      <c r="A447" s="7">
        <v>15.996465977954561</v>
      </c>
      <c r="B447"/>
      <c r="C447"/>
      <c r="D447"/>
      <c r="E447" t="s">
        <v>8</v>
      </c>
    </row>
    <row r="448" spans="1:5" x14ac:dyDescent="0.25">
      <c r="A448" s="7">
        <v>15.682809782308393</v>
      </c>
      <c r="B448"/>
      <c r="C448"/>
      <c r="D448"/>
      <c r="E448" t="s">
        <v>8</v>
      </c>
    </row>
    <row r="449" spans="1:5" x14ac:dyDescent="0.25">
      <c r="A449" s="7">
        <v>15.375303708145482</v>
      </c>
      <c r="B449"/>
      <c r="C449"/>
      <c r="D449"/>
      <c r="E449" t="s">
        <v>8</v>
      </c>
    </row>
    <row r="450" spans="1:5" x14ac:dyDescent="0.25">
      <c r="A450" s="7">
        <v>15.073827164848511</v>
      </c>
      <c r="B450"/>
      <c r="C450"/>
      <c r="D450"/>
      <c r="E450" t="s">
        <v>8</v>
      </c>
    </row>
    <row r="451" spans="1:5" x14ac:dyDescent="0.25">
      <c r="A451" s="7">
        <v>14.77826192632207</v>
      </c>
      <c r="B451"/>
      <c r="C451"/>
      <c r="D451"/>
      <c r="E451" t="s">
        <v>8</v>
      </c>
    </row>
    <row r="452" spans="1:5" x14ac:dyDescent="0.25">
      <c r="A452" s="7">
        <v>14.488492084629481</v>
      </c>
      <c r="B452"/>
      <c r="C452"/>
      <c r="D452"/>
      <c r="E452" t="s">
        <v>8</v>
      </c>
    </row>
    <row r="453" spans="1:5" x14ac:dyDescent="0.25">
      <c r="A453" s="7">
        <v>14.204404004538707</v>
      </c>
      <c r="B453"/>
      <c r="C453"/>
      <c r="D453"/>
      <c r="E453" t="s">
        <v>8</v>
      </c>
    </row>
    <row r="454" spans="1:5" x14ac:dyDescent="0.25">
      <c r="A454" s="7">
        <v>13.925886278959517</v>
      </c>
      <c r="B454"/>
      <c r="C454"/>
      <c r="D454"/>
      <c r="E454" t="s">
        <v>8</v>
      </c>
    </row>
    <row r="455" spans="1:5" x14ac:dyDescent="0.25">
      <c r="A455" s="7">
        <v>13.652829685254428</v>
      </c>
      <c r="B455"/>
      <c r="C455"/>
      <c r="D455"/>
      <c r="E455" t="s">
        <v>8</v>
      </c>
    </row>
    <row r="456" spans="1:5" x14ac:dyDescent="0.25">
      <c r="A456" s="7">
        <v>13.385127142406303</v>
      </c>
      <c r="B456"/>
      <c r="C456"/>
      <c r="D456"/>
      <c r="E456" t="s">
        <v>8</v>
      </c>
    </row>
    <row r="457" spans="1:5" x14ac:dyDescent="0.25">
      <c r="A457" s="7">
        <v>13.122673669025787</v>
      </c>
      <c r="B457"/>
      <c r="C457"/>
      <c r="D457"/>
      <c r="E457" t="s">
        <v>8</v>
      </c>
    </row>
    <row r="458" spans="1:5" x14ac:dyDescent="0.25">
      <c r="A458" s="7">
        <v>12.865366342182144</v>
      </c>
      <c r="B458"/>
      <c r="C458"/>
      <c r="D458"/>
      <c r="E458" t="s">
        <v>8</v>
      </c>
    </row>
    <row r="459" spans="1:5" x14ac:dyDescent="0.25">
      <c r="A459" s="7">
        <v>12.613104257041318</v>
      </c>
      <c r="B459"/>
      <c r="C459"/>
      <c r="D459"/>
      <c r="E459" t="s">
        <v>8</v>
      </c>
    </row>
    <row r="460" spans="1:5" x14ac:dyDescent="0.25">
      <c r="A460" s="7">
        <v>12.36578848729541</v>
      </c>
      <c r="B460"/>
      <c r="C460"/>
      <c r="D460"/>
      <c r="E460" t="s">
        <v>8</v>
      </c>
    </row>
    <row r="461" spans="1:5" x14ac:dyDescent="0.25">
      <c r="A461" s="7">
        <v>12.123322046368049</v>
      </c>
      <c r="B461"/>
      <c r="C461"/>
      <c r="D461"/>
      <c r="E461" t="s">
        <v>8</v>
      </c>
    </row>
    <row r="462" spans="1:5" x14ac:dyDescent="0.25">
      <c r="A462" s="7">
        <v>11.88560984938044</v>
      </c>
      <c r="B462"/>
      <c r="C462"/>
      <c r="D462"/>
      <c r="E462" t="s">
        <v>8</v>
      </c>
    </row>
    <row r="463" spans="1:5" x14ac:dyDescent="0.25">
      <c r="A463" s="7">
        <v>11.652558675863176</v>
      </c>
      <c r="B463"/>
      <c r="C463"/>
      <c r="D463"/>
      <c r="E463" t="s">
        <v>8</v>
      </c>
    </row>
    <row r="464" spans="1:5" x14ac:dyDescent="0.25">
      <c r="A464" s="7">
        <v>11.424077133199193</v>
      </c>
      <c r="B464"/>
      <c r="C464"/>
      <c r="D464"/>
      <c r="E464" t="s">
        <v>8</v>
      </c>
    </row>
    <row r="465" spans="1:5" x14ac:dyDescent="0.25">
      <c r="A465" s="7">
        <v>11.200075620783522</v>
      </c>
      <c r="B465"/>
      <c r="C465"/>
      <c r="D465"/>
      <c r="E465" t="s">
        <v>8</v>
      </c>
    </row>
    <row r="466" spans="1:5" x14ac:dyDescent="0.25">
      <c r="A466" s="7">
        <v>10.980466294885806</v>
      </c>
      <c r="B466"/>
      <c r="C466"/>
      <c r="D466"/>
      <c r="E466" t="s">
        <v>8</v>
      </c>
    </row>
    <row r="467" spans="1:5" x14ac:dyDescent="0.25">
      <c r="A467" s="7">
        <v>10.765163034201771</v>
      </c>
      <c r="B467"/>
      <c r="C467"/>
      <c r="D467"/>
      <c r="E467" t="s">
        <v>8</v>
      </c>
    </row>
    <row r="468" spans="1:5" x14ac:dyDescent="0.25">
      <c r="A468" s="7">
        <v>10.554081406080169</v>
      </c>
      <c r="B468"/>
      <c r="C468"/>
      <c r="D468"/>
      <c r="E468" t="s">
        <v>8</v>
      </c>
    </row>
    <row r="469" spans="1:5" x14ac:dyDescent="0.25">
      <c r="A469" s="7">
        <v>10.34713863341193</v>
      </c>
      <c r="B469"/>
      <c r="C469"/>
      <c r="D469"/>
      <c r="E469" t="s">
        <v>8</v>
      </c>
    </row>
    <row r="470" spans="1:5" x14ac:dyDescent="0.25">
      <c r="A470" s="7">
        <v>10.14425356216856</v>
      </c>
      <c r="B470"/>
      <c r="C470"/>
      <c r="D470"/>
      <c r="E470" t="s">
        <v>8</v>
      </c>
    </row>
    <row r="471" spans="1:5" x14ac:dyDescent="0.25">
      <c r="A471" s="7">
        <v>9.9453466295770188</v>
      </c>
      <c r="B471"/>
      <c r="C471"/>
      <c r="D471"/>
      <c r="E471" t="s">
        <v>8</v>
      </c>
    </row>
    <row r="472" spans="1:5" x14ac:dyDescent="0.25">
      <c r="A472" s="7">
        <v>9.7503398329186464</v>
      </c>
      <c r="B472"/>
      <c r="C472"/>
      <c r="D472"/>
      <c r="E472" t="s">
        <v>8</v>
      </c>
    </row>
    <row r="473" spans="1:5" x14ac:dyDescent="0.25">
      <c r="A473" s="7">
        <v>9.5591566989398498</v>
      </c>
      <c r="B473"/>
      <c r="C473"/>
      <c r="D473"/>
      <c r="E473" t="s">
        <v>8</v>
      </c>
    </row>
    <row r="474" spans="1:5" x14ac:dyDescent="0.25">
      <c r="A474" s="7">
        <v>9.3717222538625968</v>
      </c>
      <c r="B474"/>
      <c r="C474"/>
      <c r="D474"/>
      <c r="E474" t="s">
        <v>8</v>
      </c>
    </row>
    <row r="475" spans="1:5" x14ac:dyDescent="0.25">
      <c r="A475" s="7">
        <v>9.1879629939829375</v>
      </c>
      <c r="B475"/>
      <c r="C475"/>
      <c r="D475"/>
      <c r="E475" t="s">
        <v>8</v>
      </c>
    </row>
    <row r="476" spans="1:5" x14ac:dyDescent="0.25">
      <c r="A476" s="7">
        <v>9.0078068568460168</v>
      </c>
      <c r="B476"/>
      <c r="C476"/>
      <c r="D476"/>
      <c r="E476" t="s">
        <v>8</v>
      </c>
    </row>
    <row r="477" spans="1:5" x14ac:dyDescent="0.25">
      <c r="A477" s="7">
        <v>8.8311831929862912</v>
      </c>
      <c r="B477"/>
      <c r="C477"/>
      <c r="D477"/>
      <c r="E477" t="s">
        <v>8</v>
      </c>
    </row>
    <row r="478" spans="1:5" x14ac:dyDescent="0.25">
      <c r="A478" s="7">
        <v>8.6580227382218542</v>
      </c>
      <c r="B478"/>
      <c r="C478"/>
      <c r="D478"/>
      <c r="E478" t="s">
        <v>8</v>
      </c>
    </row>
    <row r="479" spans="1:5" x14ac:dyDescent="0.25">
      <c r="A479" s="7">
        <v>8.4882575864920131</v>
      </c>
      <c r="B479"/>
      <c r="C479"/>
      <c r="D479"/>
      <c r="E479" t="s">
        <v>8</v>
      </c>
    </row>
    <row r="480" spans="1:5" x14ac:dyDescent="0.25">
      <c r="A480" s="7">
        <v>8.3218211632274635</v>
      </c>
      <c r="B480"/>
      <c r="C480"/>
      <c r="D480"/>
      <c r="E480" t="s">
        <v>8</v>
      </c>
    </row>
    <row r="481" spans="1:5" x14ac:dyDescent="0.25">
      <c r="A481" s="7">
        <v>8.1586481992426112</v>
      </c>
      <c r="B481"/>
      <c r="C481"/>
      <c r="D481"/>
      <c r="E481" t="s">
        <v>8</v>
      </c>
    </row>
    <row r="482" spans="1:5" x14ac:dyDescent="0.25">
      <c r="A482" s="7">
        <v>7.9986747051398144</v>
      </c>
      <c r="B482"/>
      <c r="C482"/>
      <c r="D482"/>
      <c r="E482" t="s">
        <v>8</v>
      </c>
    </row>
    <row r="483" spans="1:5" x14ac:dyDescent="0.25">
      <c r="A483" s="7">
        <v>7.8418379462155041</v>
      </c>
      <c r="B483"/>
      <c r="C483"/>
      <c r="D483"/>
      <c r="E483" t="s">
        <v>8</v>
      </c>
    </row>
    <row r="484" spans="1:5" x14ac:dyDescent="0.25">
      <c r="A484" s="7">
        <v>7.688076417858337</v>
      </c>
      <c r="B484"/>
      <c r="C484"/>
      <c r="D484"/>
      <c r="E484" t="s">
        <v>8</v>
      </c>
    </row>
    <row r="485" spans="1:5" x14ac:dyDescent="0.25">
      <c r="A485" s="7">
        <v>7.5373298214297417</v>
      </c>
      <c r="B485"/>
      <c r="C485"/>
      <c r="D485"/>
      <c r="E485" t="s">
        <v>8</v>
      </c>
    </row>
    <row r="486" spans="1:5" x14ac:dyDescent="0.25">
      <c r="A486" s="7">
        <v>7.389539040617394</v>
      </c>
      <c r="B486"/>
      <c r="C486"/>
      <c r="D486"/>
      <c r="E486" t="s">
        <v>8</v>
      </c>
    </row>
    <row r="487" spans="1:5" x14ac:dyDescent="0.25">
      <c r="A487" s="7">
        <v>7.2446461182523469</v>
      </c>
      <c r="B487"/>
      <c r="C487"/>
      <c r="D487"/>
      <c r="E487" t="s">
        <v>8</v>
      </c>
    </row>
    <row r="488" spans="1:5" x14ac:dyDescent="0.25">
      <c r="A488" s="7">
        <v>7.1025942335807324</v>
      </c>
      <c r="B488"/>
      <c r="C488"/>
      <c r="D488"/>
      <c r="E488" t="s">
        <v>8</v>
      </c>
    </row>
    <row r="489" spans="1:5" x14ac:dyDescent="0.25">
      <c r="A489" s="7">
        <v>6.9633276799811101</v>
      </c>
      <c r="B489"/>
      <c r="C489"/>
      <c r="D489"/>
      <c r="E489" t="s">
        <v>8</v>
      </c>
    </row>
    <row r="490" spans="1:5" x14ac:dyDescent="0.25">
      <c r="A490" s="7">
        <v>6.8267918431187349</v>
      </c>
      <c r="B490"/>
      <c r="C490"/>
      <c r="D490"/>
      <c r="E490" t="s">
        <v>8</v>
      </c>
    </row>
    <row r="491" spans="1:5" x14ac:dyDescent="0.25">
      <c r="A491" s="7">
        <v>6.692933179528171</v>
      </c>
      <c r="B491"/>
      <c r="C491"/>
      <c r="D491"/>
      <c r="E491" t="s">
        <v>8</v>
      </c>
    </row>
    <row r="492" spans="1:5" x14ac:dyDescent="0.25">
      <c r="A492" s="7">
        <v>6.5616991956158541</v>
      </c>
      <c r="B492"/>
      <c r="C492"/>
      <c r="D492"/>
      <c r="E492" t="s">
        <v>8</v>
      </c>
    </row>
    <row r="493" spans="1:5" x14ac:dyDescent="0.25">
      <c r="A493" s="7">
        <v>6.4330384270743668</v>
      </c>
      <c r="B493"/>
      <c r="C493"/>
      <c r="D493"/>
      <c r="E493" t="s">
        <v>8</v>
      </c>
    </row>
    <row r="494" spans="1:5" x14ac:dyDescent="0.25">
      <c r="A494" s="7">
        <v>6.3069004187003594</v>
      </c>
      <c r="B494"/>
      <c r="C494"/>
      <c r="D494"/>
      <c r="E494" t="s">
        <v>8</v>
      </c>
    </row>
    <row r="495" spans="1:5" x14ac:dyDescent="0.25">
      <c r="A495" s="7">
        <v>6.1832357046081956</v>
      </c>
      <c r="B495"/>
      <c r="C495"/>
      <c r="D495"/>
      <c r="E495" t="s">
        <v>8</v>
      </c>
    </row>
    <row r="496" spans="1:5" x14ac:dyDescent="0.25">
      <c r="A496" s="7">
        <v>6.0619957888315641</v>
      </c>
      <c r="B496"/>
      <c r="C496"/>
      <c r="D496"/>
      <c r="E496" t="s">
        <v>8</v>
      </c>
    </row>
    <row r="497" spans="1:5" x14ac:dyDescent="0.25">
      <c r="A497" s="7">
        <v>5.9431331263054545</v>
      </c>
      <c r="B497"/>
      <c r="C497"/>
      <c r="D497"/>
      <c r="E497" t="s">
        <v>8</v>
      </c>
    </row>
    <row r="498" spans="1:5" x14ac:dyDescent="0.25">
      <c r="A498" s="7">
        <v>5.8266011042210337</v>
      </c>
      <c r="B498"/>
      <c r="C498"/>
      <c r="D498"/>
      <c r="E498" t="s">
        <v>8</v>
      </c>
    </row>
    <row r="499" spans="1:5" x14ac:dyDescent="0.25">
      <c r="A499" s="7">
        <v>5.7123540237461112</v>
      </c>
      <c r="B499"/>
      <c r="C499"/>
      <c r="D499"/>
      <c r="E499" t="s">
        <v>8</v>
      </c>
    </row>
    <row r="500" spans="1:5" x14ac:dyDescent="0.25">
      <c r="A500" s="7">
        <v>5.6003470821040304</v>
      </c>
      <c r="B500"/>
      <c r="C500"/>
      <c r="D500"/>
      <c r="E500" t="s">
        <v>8</v>
      </c>
    </row>
    <row r="501" spans="1:5" x14ac:dyDescent="0.25">
      <c r="A501" s="7">
        <v>5.4905363550039512</v>
      </c>
      <c r="B501"/>
      <c r="C501"/>
      <c r="D501"/>
      <c r="E501" t="s">
        <v>8</v>
      </c>
    </row>
    <row r="502" spans="1:5" x14ac:dyDescent="0.25">
      <c r="A502" s="7">
        <v>5.3828787794156385</v>
      </c>
      <c r="B502"/>
      <c r="C502"/>
      <c r="D502"/>
      <c r="E502" t="s">
        <v>8</v>
      </c>
    </row>
    <row r="503" spans="1:5" x14ac:dyDescent="0.25">
      <c r="A503" s="7">
        <v>5.2773321366819985</v>
      </c>
      <c r="B503"/>
      <c r="C503"/>
      <c r="D503"/>
      <c r="E503" t="s">
        <v>8</v>
      </c>
    </row>
    <row r="504" spans="1:5" x14ac:dyDescent="0.25">
      <c r="A504" s="7">
        <v>5.1738550359627435</v>
      </c>
      <c r="B504"/>
      <c r="C504"/>
      <c r="D504"/>
      <c r="E504" t="s">
        <v>8</v>
      </c>
    </row>
    <row r="505" spans="1:5" x14ac:dyDescent="0.25">
      <c r="A505" s="7">
        <v>5.07240689800269</v>
      </c>
      <c r="B505"/>
      <c r="C505"/>
      <c r="D505"/>
      <c r="E505" t="s">
        <v>8</v>
      </c>
    </row>
    <row r="506" spans="1:5" x14ac:dyDescent="0.25">
      <c r="A506" s="7">
        <v>4.9729479392183231</v>
      </c>
      <c r="B506"/>
      <c r="C506"/>
      <c r="D506"/>
      <c r="E506" t="s">
        <v>8</v>
      </c>
    </row>
    <row r="507" spans="1:5" x14ac:dyDescent="0.25">
      <c r="A507" s="7">
        <v>4.8754391560963954</v>
      </c>
      <c r="B507"/>
      <c r="C507"/>
      <c r="D507"/>
      <c r="E507" t="s">
        <v>8</v>
      </c>
    </row>
    <row r="508" spans="1:5" x14ac:dyDescent="0.25">
      <c r="A508" s="7">
        <v>4.7798423098984264</v>
      </c>
      <c r="B508"/>
      <c r="C508"/>
      <c r="D508"/>
      <c r="E508" t="s">
        <v>8</v>
      </c>
    </row>
    <row r="509" spans="1:5" x14ac:dyDescent="0.25">
      <c r="A509" s="7">
        <v>4.6861199116651235</v>
      </c>
      <c r="B509"/>
      <c r="C509"/>
      <c r="D509"/>
      <c r="E509" t="s">
        <v>8</v>
      </c>
    </row>
    <row r="510" spans="1:5" x14ac:dyDescent="0.25">
      <c r="A510" s="7">
        <v>4.5942352075148269</v>
      </c>
      <c r="B510"/>
      <c r="C510"/>
      <c r="D510"/>
      <c r="E510" t="s">
        <v>8</v>
      </c>
    </row>
    <row r="511" spans="1:5" x14ac:dyDescent="0.25">
      <c r="A511" s="7">
        <v>4.5041521642302227</v>
      </c>
      <c r="B511"/>
      <c r="C511"/>
      <c r="D511"/>
      <c r="E511" t="s">
        <v>8</v>
      </c>
    </row>
    <row r="512" spans="1:5" x14ac:dyDescent="0.25">
      <c r="A512" s="7">
        <v>4.4158354551276693</v>
      </c>
      <c r="B512"/>
      <c r="C512"/>
      <c r="D512"/>
      <c r="E512" t="s">
        <v>8</v>
      </c>
    </row>
    <row r="513" spans="1:5" x14ac:dyDescent="0.25">
      <c r="A513" s="7">
        <v>4.3292504462035977</v>
      </c>
      <c r="B513"/>
      <c r="C513"/>
      <c r="D513"/>
      <c r="E513" t="s">
        <v>8</v>
      </c>
    </row>
    <row r="514" spans="1:5" x14ac:dyDescent="0.25">
      <c r="A514" s="7">
        <v>4.2443631825525463</v>
      </c>
      <c r="B514"/>
      <c r="C514"/>
      <c r="D514"/>
      <c r="E514" t="s">
        <v>8</v>
      </c>
    </row>
    <row r="515" spans="1:5" x14ac:dyDescent="0.25">
      <c r="A515" s="7">
        <v>4.1611403750515157</v>
      </c>
      <c r="B515"/>
      <c r="C515"/>
      <c r="D515"/>
      <c r="E515" t="s">
        <v>8</v>
      </c>
    </row>
    <row r="516" spans="1:5" x14ac:dyDescent="0.25">
      <c r="A516" s="7">
        <v>4.0795493873054074</v>
      </c>
      <c r="B516"/>
      <c r="C516"/>
      <c r="D516"/>
      <c r="E516" t="s">
        <v>8</v>
      </c>
    </row>
    <row r="517" spans="1:5" x14ac:dyDescent="0.25">
      <c r="A517" s="7">
        <v>3.9995582228484383</v>
      </c>
      <c r="B517"/>
      <c r="C517"/>
      <c r="D517"/>
      <c r="E517" t="s">
        <v>8</v>
      </c>
    </row>
    <row r="518" spans="1:5" x14ac:dyDescent="0.25">
      <c r="A518" s="7">
        <v>3.9211355125965079</v>
      </c>
      <c r="B518"/>
      <c r="C518"/>
      <c r="D518"/>
      <c r="E518" t="s">
        <v>8</v>
      </c>
    </row>
    <row r="519" spans="1:5" x14ac:dyDescent="0.25">
      <c r="A519" s="7">
        <v>3.844250502545596</v>
      </c>
      <c r="B519"/>
      <c r="C519"/>
      <c r="D519"/>
      <c r="E519" t="s">
        <v>8</v>
      </c>
    </row>
    <row r="520" spans="1:5" x14ac:dyDescent="0.25">
      <c r="A520" s="7">
        <v>3.7688730417113687</v>
      </c>
      <c r="B520"/>
      <c r="C520"/>
      <c r="D520"/>
      <c r="E520" t="s">
        <v>8</v>
      </c>
    </row>
    <row r="521" spans="1:5" x14ac:dyDescent="0.25">
      <c r="A521" s="7">
        <v>3.6949735703052635</v>
      </c>
      <c r="B521"/>
      <c r="C521"/>
      <c r="D521"/>
      <c r="E521" t="s">
        <v>8</v>
      </c>
    </row>
    <row r="522" spans="1:5" x14ac:dyDescent="0.25">
      <c r="A522" s="7">
        <v>3.6225231081424152</v>
      </c>
      <c r="B522"/>
      <c r="C522"/>
      <c r="D522"/>
      <c r="E522" t="s">
        <v>8</v>
      </c>
    </row>
    <row r="523" spans="1:5" x14ac:dyDescent="0.25">
      <c r="A523" s="7">
        <v>3.5514932432768775</v>
      </c>
      <c r="B523"/>
      <c r="C523"/>
      <c r="D523"/>
      <c r="E523" t="s">
        <v>8</v>
      </c>
    </row>
    <row r="524" spans="1:5" x14ac:dyDescent="0.25">
      <c r="A524" s="7">
        <v>3.4818561208596837</v>
      </c>
      <c r="B524"/>
      <c r="C524"/>
      <c r="D524"/>
      <c r="E524" t="s">
        <v>8</v>
      </c>
    </row>
    <row r="525" spans="1:5" x14ac:dyDescent="0.25">
      <c r="A525" s="7">
        <v>3.4135844322153761</v>
      </c>
      <c r="B525"/>
      <c r="C525"/>
      <c r="D525"/>
      <c r="E525" t="s">
        <v>8</v>
      </c>
    </row>
    <row r="526" spans="1:5" x14ac:dyDescent="0.25">
      <c r="A526" s="7">
        <v>3.3466514041327216</v>
      </c>
      <c r="B526"/>
      <c r="C526"/>
      <c r="D526"/>
      <c r="E526" t="s">
        <v>8</v>
      </c>
    </row>
    <row r="527" spans="1:5" x14ac:dyDescent="0.25">
      <c r="A527" s="7">
        <v>3.2810307883654133</v>
      </c>
      <c r="B527"/>
      <c r="C527"/>
      <c r="D527"/>
      <c r="E527" t="s">
        <v>8</v>
      </c>
    </row>
    <row r="528" spans="1:5" x14ac:dyDescent="0.25">
      <c r="A528" s="7">
        <v>3.2166968513386403</v>
      </c>
      <c r="B528"/>
      <c r="C528"/>
      <c r="D528"/>
      <c r="E528" t="s">
        <v>8</v>
      </c>
    </row>
    <row r="529" spans="1:5" x14ac:dyDescent="0.25">
      <c r="A529" s="7">
        <v>3.1536243640574906</v>
      </c>
      <c r="B529"/>
      <c r="C529"/>
      <c r="D529"/>
      <c r="E529" t="s">
        <v>8</v>
      </c>
    </row>
    <row r="530" spans="1:5" x14ac:dyDescent="0.25">
      <c r="A530" s="7">
        <v>3.0917885922132262</v>
      </c>
      <c r="B530"/>
      <c r="C530"/>
      <c r="D530"/>
      <c r="E530" t="s">
        <v>8</v>
      </c>
    </row>
    <row r="531" spans="1:5" x14ac:dyDescent="0.25">
      <c r="A531" s="7">
        <v>3.0311652864835552</v>
      </c>
      <c r="B531"/>
      <c r="C531"/>
      <c r="D531"/>
      <c r="E531" t="s">
        <v>8</v>
      </c>
    </row>
    <row r="532" spans="1:5" x14ac:dyDescent="0.25">
      <c r="A532" s="7">
        <v>2.9717306730230932</v>
      </c>
      <c r="B532"/>
      <c r="C532"/>
      <c r="D532"/>
      <c r="E532" t="s">
        <v>8</v>
      </c>
    </row>
    <row r="533" spans="1:5" x14ac:dyDescent="0.25">
      <c r="A533" s="7">
        <v>2.9134614441402875</v>
      </c>
      <c r="B533"/>
      <c r="C533"/>
      <c r="D533"/>
      <c r="E533" t="s">
        <v>8</v>
      </c>
    </row>
    <row r="534" spans="1:5" x14ac:dyDescent="0.25">
      <c r="A534" s="7">
        <v>2.8563347491571447</v>
      </c>
      <c r="B534"/>
      <c r="C534"/>
      <c r="D534"/>
      <c r="E534" t="s">
        <v>8</v>
      </c>
    </row>
    <row r="535" spans="1:5" x14ac:dyDescent="0.25">
      <c r="A535" s="7">
        <v>2.8003281854481812</v>
      </c>
      <c r="B535"/>
      <c r="C535"/>
      <c r="D535"/>
      <c r="E535" t="s">
        <v>8</v>
      </c>
    </row>
    <row r="536" spans="1:5" x14ac:dyDescent="0.25">
      <c r="A536" s="7">
        <v>2.7454197896550796</v>
      </c>
      <c r="B536"/>
      <c r="C536"/>
      <c r="D536"/>
      <c r="E536" t="s">
        <v>8</v>
      </c>
    </row>
    <row r="537" spans="1:5" x14ac:dyDescent="0.25">
      <c r="A537" s="7">
        <v>2.6915880290736074</v>
      </c>
      <c r="B537"/>
      <c r="C537"/>
      <c r="D537"/>
      <c r="E537" t="s">
        <v>8</v>
      </c>
    </row>
    <row r="538" spans="1:5" x14ac:dyDescent="0.25">
      <c r="A538" s="7">
        <v>2.6388117932094191</v>
      </c>
      <c r="B538"/>
      <c r="C538"/>
      <c r="D538"/>
      <c r="E538" t="s">
        <v>8</v>
      </c>
    </row>
    <row r="539" spans="1:5" x14ac:dyDescent="0.25">
      <c r="A539" s="7">
        <v>2.5870703854994304</v>
      </c>
      <c r="B539"/>
      <c r="C539"/>
      <c r="D539"/>
      <c r="E539" t="s">
        <v>8</v>
      </c>
    </row>
    <row r="540" spans="1:5" x14ac:dyDescent="0.25">
      <c r="A540" s="7">
        <v>2.53634351519552</v>
      </c>
      <c r="B540"/>
      <c r="C540"/>
      <c r="D540"/>
      <c r="E540" t="s">
        <v>8</v>
      </c>
    </row>
    <row r="541" spans="1:5" x14ac:dyDescent="0.25">
      <c r="A541" s="7">
        <v>2.4866112894073726</v>
      </c>
      <c r="B541"/>
      <c r="C541"/>
      <c r="D541"/>
      <c r="E541" t="s">
        <v>8</v>
      </c>
    </row>
    <row r="542" spans="1:5" x14ac:dyDescent="0.25">
      <c r="A542" s="7">
        <v>2.4378542053013459</v>
      </c>
      <c r="B542"/>
      <c r="C542"/>
      <c r="D542"/>
      <c r="E542" t="s">
        <v>8</v>
      </c>
    </row>
    <row r="543" spans="1:5" x14ac:dyDescent="0.25">
      <c r="A543" s="7">
        <v>2.3900531424522997</v>
      </c>
      <c r="B543"/>
      <c r="C543"/>
      <c r="D543"/>
      <c r="E543" t="s">
        <v>8</v>
      </c>
    </row>
    <row r="544" spans="1:5" x14ac:dyDescent="0.25">
      <c r="A544" s="7">
        <v>2.343189355345392</v>
      </c>
      <c r="B544"/>
      <c r="C544"/>
      <c r="D544"/>
      <c r="E544" t="s">
        <v>8</v>
      </c>
    </row>
    <row r="545" spans="1:5" x14ac:dyDescent="0.25">
      <c r="A545" s="7">
        <v>2.2972444660248938</v>
      </c>
      <c r="B545"/>
      <c r="C545"/>
      <c r="D545"/>
      <c r="E545" t="s">
        <v>8</v>
      </c>
    </row>
    <row r="546" spans="1:5" x14ac:dyDescent="0.25">
      <c r="A546" s="7">
        <v>2.252200456887151</v>
      </c>
      <c r="B546"/>
      <c r="C546"/>
      <c r="D546"/>
      <c r="E546" t="s">
        <v>8</v>
      </c>
    </row>
    <row r="547" spans="1:5" x14ac:dyDescent="0.25">
      <c r="A547" s="7">
        <v>2.208039663614854</v>
      </c>
      <c r="B547"/>
      <c r="C547"/>
      <c r="D547"/>
      <c r="E547" t="s">
        <v>8</v>
      </c>
    </row>
    <row r="548" spans="1:5" x14ac:dyDescent="0.25">
      <c r="A548" s="7">
        <v>2.1647447682498568</v>
      </c>
      <c r="B548"/>
      <c r="C548"/>
      <c r="D548"/>
      <c r="E548" t="s">
        <v>8</v>
      </c>
    </row>
    <row r="549" spans="1:5" x14ac:dyDescent="0.25">
      <c r="A549" s="7">
        <v>2.1222987924018204</v>
      </c>
      <c r="B549"/>
      <c r="C549"/>
      <c r="D549"/>
      <c r="E549" t="s">
        <v>8</v>
      </c>
    </row>
    <row r="550" spans="1:5" x14ac:dyDescent="0.25">
      <c r="A550" s="7">
        <v>2.0806850905900198</v>
      </c>
      <c r="B550"/>
      <c r="C550"/>
      <c r="D550"/>
      <c r="E550" t="s">
        <v>8</v>
      </c>
    </row>
    <row r="551" spans="1:5" x14ac:dyDescent="0.25">
      <c r="A551" s="7">
        <v>2.0398873437157055</v>
      </c>
      <c r="B551"/>
      <c r="C551"/>
      <c r="D551"/>
      <c r="E551" t="s">
        <v>8</v>
      </c>
    </row>
    <row r="552" spans="1:5" x14ac:dyDescent="0.25">
      <c r="A552" s="7">
        <v>1.9998895526624565</v>
      </c>
      <c r="B552"/>
      <c r="C552"/>
      <c r="D552"/>
      <c r="E552" t="s">
        <v>8</v>
      </c>
    </row>
    <row r="553" spans="1:5" x14ac:dyDescent="0.25">
      <c r="A553" s="7">
        <v>1.9606760320220162</v>
      </c>
      <c r="B553"/>
      <c r="C553"/>
      <c r="D553"/>
      <c r="E553" t="s">
        <v>8</v>
      </c>
    </row>
    <row r="554" spans="1:5" x14ac:dyDescent="0.25">
      <c r="A554" s="7">
        <v>1.9222314039431532</v>
      </c>
      <c r="B554"/>
      <c r="C554"/>
      <c r="D554"/>
      <c r="E554" t="s">
        <v>8</v>
      </c>
    </row>
    <row r="555" spans="1:5" x14ac:dyDescent="0.25">
      <c r="A555" s="7">
        <v>1.8845405921011305</v>
      </c>
      <c r="B555"/>
      <c r="C555"/>
      <c r="D555"/>
      <c r="E555" t="s">
        <v>8</v>
      </c>
    </row>
    <row r="556" spans="1:5" x14ac:dyDescent="0.25">
      <c r="A556" s="7">
        <v>1.8475888157854219</v>
      </c>
      <c r="B556"/>
      <c r="C556"/>
      <c r="D556"/>
      <c r="E556" t="s">
        <v>8</v>
      </c>
    </row>
    <row r="557" spans="1:5" x14ac:dyDescent="0.25">
      <c r="A557" s="7">
        <v>1.8113615841033548</v>
      </c>
      <c r="B557"/>
      <c r="C557"/>
      <c r="D557"/>
      <c r="E557" t="s">
        <v>8</v>
      </c>
    </row>
    <row r="558" spans="1:5" x14ac:dyDescent="0.25">
      <c r="A558" s="7">
        <v>1.7758446902974065</v>
      </c>
      <c r="B558"/>
      <c r="C558"/>
      <c r="D558"/>
      <c r="E558" t="s">
        <v>8</v>
      </c>
    </row>
    <row r="559" spans="1:5" x14ac:dyDescent="0.25">
      <c r="A559" s="7">
        <v>1.7410242061739281</v>
      </c>
      <c r="B559"/>
      <c r="C559"/>
      <c r="D559"/>
      <c r="E559" t="s">
        <v>8</v>
      </c>
    </row>
    <row r="560" spans="1:5" x14ac:dyDescent="0.25">
      <c r="A560" s="7">
        <v>1.7068864766411058</v>
      </c>
      <c r="B560"/>
      <c r="C560"/>
      <c r="D560"/>
      <c r="E560" t="s">
        <v>8</v>
      </c>
    </row>
    <row r="561" spans="1:5" x14ac:dyDescent="0.25">
      <c r="A561" s="7">
        <v>1.6734181143540252</v>
      </c>
      <c r="B561"/>
      <c r="C561"/>
      <c r="D561"/>
      <c r="E561" t="s">
        <v>8</v>
      </c>
    </row>
    <row r="562" spans="1:5" x14ac:dyDescent="0.25">
      <c r="A562" s="7">
        <v>1.6406059944647307</v>
      </c>
      <c r="B562"/>
      <c r="C562"/>
      <c r="D562"/>
      <c r="E562" t="s">
        <v>8</v>
      </c>
    </row>
    <row r="563" spans="1:5" x14ac:dyDescent="0.25">
      <c r="A563" s="7">
        <v>1.6084372494752261</v>
      </c>
      <c r="B563"/>
      <c r="C563"/>
      <c r="D563"/>
      <c r="E563" t="s">
        <v>8</v>
      </c>
    </row>
    <row r="564" spans="1:5" x14ac:dyDescent="0.25">
      <c r="A564" s="7">
        <v>1.5768992641913981</v>
      </c>
      <c r="B564"/>
      <c r="C564"/>
      <c r="D564"/>
      <c r="E564" t="s">
        <v>8</v>
      </c>
    </row>
    <row r="565" spans="1:5" x14ac:dyDescent="0.25">
      <c r="A565" s="7">
        <v>1.5459796707758806</v>
      </c>
      <c r="B565"/>
      <c r="C565"/>
      <c r="D565"/>
      <c r="E565" t="s">
        <v>8</v>
      </c>
    </row>
    <row r="566" spans="1:5" x14ac:dyDescent="0.25">
      <c r="A566" s="7">
        <v>1.5156663438979221</v>
      </c>
      <c r="B566"/>
      <c r="C566"/>
      <c r="D566"/>
      <c r="E566" t="s">
        <v>8</v>
      </c>
    </row>
    <row r="567" spans="1:5" x14ac:dyDescent="0.25">
      <c r="A567" s="7">
        <v>1.4859473959783549</v>
      </c>
      <c r="B567"/>
      <c r="C567"/>
      <c r="D567"/>
      <c r="E567" t="s">
        <v>8</v>
      </c>
    </row>
    <row r="568" spans="1:5" x14ac:dyDescent="0.25">
      <c r="A568" s="7">
        <v>1.4568111725277988</v>
      </c>
      <c r="B568"/>
      <c r="C568"/>
      <c r="D568"/>
      <c r="E568" t="s">
        <v>8</v>
      </c>
    </row>
    <row r="569" spans="1:5" x14ac:dyDescent="0.25">
      <c r="A569" s="7">
        <v>1.4282462475762734</v>
      </c>
      <c r="B569"/>
      <c r="C569"/>
      <c r="D569"/>
      <c r="E569" t="s">
        <v>8</v>
      </c>
    </row>
    <row r="570" spans="1:5" x14ac:dyDescent="0.25">
      <c r="A570" s="7">
        <v>1.4002414191924248</v>
      </c>
      <c r="B570"/>
      <c r="C570"/>
      <c r="D570"/>
      <c r="E570" t="s">
        <v>8</v>
      </c>
    </row>
    <row r="571" spans="1:5" x14ac:dyDescent="0.25">
      <c r="A571" s="7">
        <v>1.3727857050906125</v>
      </c>
      <c r="B571"/>
      <c r="C571"/>
      <c r="D571"/>
      <c r="E571" t="s">
        <v>8</v>
      </c>
    </row>
    <row r="572" spans="1:5" x14ac:dyDescent="0.25">
      <c r="A572" s="7">
        <v>1.3458683383241299</v>
      </c>
      <c r="B572"/>
      <c r="C572"/>
      <c r="D572"/>
      <c r="E572" t="s">
        <v>8</v>
      </c>
    </row>
    <row r="573" spans="1:5" x14ac:dyDescent="0.25">
      <c r="A573" s="7">
        <v>1.3194787630628724</v>
      </c>
      <c r="B573"/>
      <c r="C573"/>
      <c r="D573"/>
      <c r="E573" t="s">
        <v>8</v>
      </c>
    </row>
    <row r="574" spans="1:5" x14ac:dyDescent="0.25">
      <c r="A574" s="7">
        <v>1.2936066304537963</v>
      </c>
      <c r="B574"/>
      <c r="C574"/>
      <c r="D574"/>
      <c r="E574" t="s">
        <v>8</v>
      </c>
    </row>
    <row r="575" spans="1:5" x14ac:dyDescent="0.25">
      <c r="A575" s="7">
        <v>1.2682417945625455</v>
      </c>
      <c r="B575"/>
      <c r="C575"/>
      <c r="D575"/>
      <c r="E575" t="s">
        <v>8</v>
      </c>
    </row>
    <row r="576" spans="1:5" x14ac:dyDescent="0.25">
      <c r="A576" s="7">
        <v>1.2433743083946525</v>
      </c>
      <c r="B576"/>
      <c r="C576"/>
      <c r="D576"/>
      <c r="E576" t="s">
        <v>8</v>
      </c>
    </row>
    <row r="577" spans="1:5" x14ac:dyDescent="0.25">
      <c r="A577" s="7">
        <v>1.2189944199947573</v>
      </c>
      <c r="B577"/>
      <c r="C577"/>
      <c r="D577"/>
      <c r="E577" t="s">
        <v>8</v>
      </c>
    </row>
    <row r="578" spans="1:5" x14ac:dyDescent="0.25">
      <c r="A578" s="7">
        <v>1.1950925686223111</v>
      </c>
      <c r="B578"/>
      <c r="C578"/>
      <c r="D578"/>
      <c r="E578" t="s">
        <v>8</v>
      </c>
    </row>
    <row r="579" spans="1:5" x14ac:dyDescent="0.25">
      <c r="A579" s="7">
        <v>1.1716593810022657</v>
      </c>
      <c r="B579"/>
      <c r="C579"/>
      <c r="D579"/>
      <c r="E579" t="s">
        <v>8</v>
      </c>
    </row>
    <row r="580" spans="1:5" x14ac:dyDescent="0.25">
      <c r="A580" s="7">
        <v>1.14868566764928</v>
      </c>
      <c r="B580"/>
      <c r="C580"/>
      <c r="D580"/>
      <c r="E580" t="s">
        <v>8</v>
      </c>
    </row>
    <row r="581" spans="1:5" x14ac:dyDescent="0.25">
      <c r="A581" s="7">
        <v>1.1261624192640001</v>
      </c>
      <c r="B581"/>
      <c r="C581"/>
      <c r="D581"/>
      <c r="E581" t="s">
        <v>8</v>
      </c>
    </row>
    <row r="582" spans="1:5" x14ac:dyDescent="0.25">
      <c r="A582" s="7">
        <v>1.1040808032</v>
      </c>
      <c r="B582"/>
      <c r="C582"/>
      <c r="D582"/>
      <c r="E582" t="s">
        <v>8</v>
      </c>
    </row>
    <row r="583" spans="1:5" x14ac:dyDescent="0.25">
      <c r="A583" s="7">
        <v>1.08243216</v>
      </c>
      <c r="B583"/>
      <c r="C583"/>
      <c r="D583"/>
      <c r="E583" t="s">
        <v>8</v>
      </c>
    </row>
    <row r="584" spans="1:5" x14ac:dyDescent="0.25">
      <c r="A584" s="7">
        <v>1.0612079999999999</v>
      </c>
      <c r="B584"/>
      <c r="C584"/>
      <c r="D584"/>
      <c r="E584" t="s">
        <v>8</v>
      </c>
    </row>
    <row r="585" spans="1:5" x14ac:dyDescent="0.25">
      <c r="A585" s="7">
        <v>1.0404</v>
      </c>
      <c r="B585"/>
      <c r="C585"/>
      <c r="D585"/>
      <c r="E585" t="s">
        <v>8</v>
      </c>
    </row>
    <row r="586" spans="1:5" x14ac:dyDescent="0.25">
      <c r="A586" s="7">
        <v>1.02</v>
      </c>
      <c r="B586"/>
      <c r="C586"/>
      <c r="D586"/>
      <c r="E586" t="s">
        <v>8</v>
      </c>
    </row>
    <row r="587" spans="1:5" x14ac:dyDescent="0.25">
      <c r="A587" s="7">
        <v>1</v>
      </c>
      <c r="B587"/>
      <c r="C587"/>
      <c r="D587"/>
      <c r="E587" s="29" t="s">
        <v>8</v>
      </c>
    </row>
    <row r="588" spans="1:5" x14ac:dyDescent="0.25">
      <c r="A588" s="7">
        <v>0.98039215686274506</v>
      </c>
      <c r="B588"/>
      <c r="C588"/>
      <c r="D588"/>
      <c r="E588"/>
    </row>
    <row r="589" spans="1:5" x14ac:dyDescent="0.25">
      <c r="A589" s="7">
        <v>0.96116878123798544</v>
      </c>
      <c r="B589"/>
      <c r="C589"/>
      <c r="D589"/>
      <c r="E589"/>
    </row>
    <row r="590" spans="1:5" x14ac:dyDescent="0.25">
      <c r="A590" s="7">
        <v>0.94232233454704462</v>
      </c>
      <c r="B590"/>
      <c r="C590"/>
      <c r="D590"/>
      <c r="E590"/>
    </row>
    <row r="591" spans="1:5" x14ac:dyDescent="0.25">
      <c r="A591" s="7">
        <v>0.92384542602651432</v>
      </c>
      <c r="B591"/>
      <c r="C591"/>
      <c r="D591"/>
      <c r="E591"/>
    </row>
    <row r="592" spans="1:5" x14ac:dyDescent="0.25">
      <c r="A592" s="7">
        <v>0.90573080982991594</v>
      </c>
      <c r="B592"/>
      <c r="C592"/>
      <c r="D592"/>
      <c r="E592"/>
    </row>
    <row r="593" spans="1:5" x14ac:dyDescent="0.25">
      <c r="A593" s="7">
        <v>0.8879713821861922</v>
      </c>
      <c r="B593"/>
      <c r="C593"/>
      <c r="D593"/>
      <c r="E593"/>
    </row>
    <row r="594" spans="1:5" x14ac:dyDescent="0.25">
      <c r="A594" s="7">
        <v>0.87056017861391399</v>
      </c>
      <c r="B594"/>
      <c r="C594"/>
      <c r="D594"/>
      <c r="E594"/>
    </row>
    <row r="595" spans="1:5" x14ac:dyDescent="0.25">
      <c r="A595" s="7">
        <v>0.85349037119011173</v>
      </c>
      <c r="B595"/>
      <c r="C595"/>
      <c r="D595"/>
      <c r="E595"/>
    </row>
    <row r="596" spans="1:5" x14ac:dyDescent="0.25">
      <c r="A596" s="7">
        <v>0.83675526587265858</v>
      </c>
      <c r="B596"/>
      <c r="C596"/>
      <c r="D596"/>
      <c r="E596"/>
    </row>
    <row r="597" spans="1:5" x14ac:dyDescent="0.25">
      <c r="A597" s="7">
        <v>0.82034829987515545</v>
      </c>
      <c r="B597"/>
      <c r="C597"/>
      <c r="D597"/>
      <c r="E597"/>
    </row>
    <row r="598" spans="1:5" x14ac:dyDescent="0.25">
      <c r="A598" s="7">
        <v>0.80426303909328967</v>
      </c>
      <c r="B598"/>
      <c r="C598"/>
      <c r="D598"/>
      <c r="E598"/>
    </row>
    <row r="599" spans="1:5" x14ac:dyDescent="0.25">
      <c r="A599" s="7">
        <v>0.78849317558165644</v>
      </c>
      <c r="B599"/>
      <c r="C599"/>
      <c r="D599"/>
      <c r="E599"/>
    </row>
    <row r="600" spans="1:5" x14ac:dyDescent="0.25">
      <c r="A600" s="7">
        <v>0.77303252508005538</v>
      </c>
      <c r="B600"/>
      <c r="C600"/>
      <c r="D600"/>
      <c r="E600"/>
    </row>
    <row r="601" spans="1:5" x14ac:dyDescent="0.25">
      <c r="A601" s="7">
        <v>0.75787502458828959</v>
      </c>
      <c r="B601"/>
      <c r="C601"/>
      <c r="D601"/>
      <c r="E601"/>
    </row>
    <row r="602" spans="1:5" x14ac:dyDescent="0.25">
      <c r="A602" s="7">
        <v>0.74301472998851925</v>
      </c>
      <c r="B602"/>
      <c r="C602"/>
      <c r="D602"/>
      <c r="E602"/>
    </row>
    <row r="603" spans="1:5" x14ac:dyDescent="0.25">
      <c r="A603" s="7">
        <v>0.72844581371423456</v>
      </c>
      <c r="B603"/>
      <c r="C603"/>
      <c r="D603"/>
      <c r="E603"/>
    </row>
    <row r="604" spans="1:5" x14ac:dyDescent="0.25">
      <c r="A604" s="7">
        <v>0.71416256246493581</v>
      </c>
      <c r="B604"/>
      <c r="C604"/>
      <c r="D604"/>
      <c r="E604"/>
    </row>
    <row r="605" spans="1:5" x14ac:dyDescent="0.25">
      <c r="A605" s="7">
        <v>0.7001593749656233</v>
      </c>
      <c r="B605"/>
      <c r="C605"/>
      <c r="D605"/>
      <c r="E605"/>
    </row>
    <row r="606" spans="1:5" x14ac:dyDescent="0.25">
      <c r="A606" s="7">
        <v>0.68643075977021883</v>
      </c>
      <c r="B606"/>
      <c r="C606"/>
      <c r="D606"/>
      <c r="E606"/>
    </row>
    <row r="607" spans="1:5" x14ac:dyDescent="0.25">
      <c r="A607" s="7">
        <v>0.67297133310805768</v>
      </c>
      <c r="B607"/>
      <c r="C607"/>
      <c r="D607"/>
      <c r="E607"/>
    </row>
    <row r="608" spans="1:5" x14ac:dyDescent="0.25">
      <c r="A608" s="7">
        <v>0.65977581677260566</v>
      </c>
      <c r="B608"/>
      <c r="C608"/>
      <c r="D608"/>
      <c r="E608"/>
    </row>
    <row r="609" spans="1:5" x14ac:dyDescent="0.25">
      <c r="A609" s="7">
        <v>0.64683903605157422</v>
      </c>
      <c r="B609"/>
      <c r="C609"/>
      <c r="D609"/>
      <c r="E609"/>
    </row>
    <row r="610" spans="1:5" x14ac:dyDescent="0.25">
      <c r="A610" s="7">
        <v>0.63415591769762181</v>
      </c>
      <c r="B610"/>
      <c r="C610"/>
      <c r="D610"/>
      <c r="E610"/>
    </row>
    <row r="611" spans="1:5" x14ac:dyDescent="0.25">
      <c r="A611" s="7">
        <v>0.62172148793884496</v>
      </c>
      <c r="B611"/>
      <c r="C611"/>
      <c r="D611"/>
      <c r="E611"/>
    </row>
    <row r="612" spans="1:5" x14ac:dyDescent="0.25">
      <c r="A612" s="7">
        <v>0.60953087052827937</v>
      </c>
      <c r="B612"/>
      <c r="C612"/>
      <c r="D612"/>
      <c r="E612"/>
    </row>
    <row r="613" spans="1:5" x14ac:dyDescent="0.25">
      <c r="A613" s="7">
        <v>0.59757928483164646</v>
      </c>
      <c r="B613"/>
      <c r="C613"/>
      <c r="D613"/>
      <c r="E613"/>
    </row>
    <row r="614" spans="1:5" x14ac:dyDescent="0.25">
      <c r="A614" s="7">
        <v>0.58586204395259456</v>
      </c>
      <c r="B614"/>
      <c r="C614"/>
      <c r="D614"/>
      <c r="E614"/>
    </row>
    <row r="615" spans="1:5" x14ac:dyDescent="0.25">
      <c r="A615" s="7">
        <v>0.57437455289470052</v>
      </c>
      <c r="B615"/>
      <c r="C615"/>
      <c r="D615"/>
      <c r="E615"/>
    </row>
    <row r="616" spans="1:5" x14ac:dyDescent="0.25">
      <c r="A616" s="7">
        <v>0.56311230675951029</v>
      </c>
      <c r="B616"/>
      <c r="C616"/>
      <c r="D616"/>
      <c r="E616"/>
    </row>
    <row r="617" spans="1:5" x14ac:dyDescent="0.25">
      <c r="A617" s="7">
        <v>0.55207088897991208</v>
      </c>
      <c r="B617"/>
      <c r="C617"/>
      <c r="D617"/>
      <c r="E617"/>
    </row>
    <row r="618" spans="1:5" x14ac:dyDescent="0.25">
      <c r="A618" s="7">
        <v>0.54124596958814908</v>
      </c>
      <c r="B618"/>
      <c r="C618"/>
      <c r="D618"/>
      <c r="E618"/>
    </row>
    <row r="619" spans="1:5" x14ac:dyDescent="0.25">
      <c r="A619" s="7">
        <v>0.53063330351779314</v>
      </c>
      <c r="B619"/>
      <c r="C619"/>
      <c r="D619"/>
      <c r="E619"/>
    </row>
    <row r="620" spans="1:5" x14ac:dyDescent="0.25">
      <c r="A620" s="7">
        <v>0.52022872893901284</v>
      </c>
      <c r="B620"/>
      <c r="C620"/>
      <c r="D620"/>
      <c r="E620"/>
    </row>
    <row r="621" spans="1:5" x14ac:dyDescent="0.25">
      <c r="A621" s="7">
        <v>0.51002816562648323</v>
      </c>
      <c r="B621"/>
      <c r="C621"/>
      <c r="D621"/>
      <c r="E621"/>
    </row>
    <row r="622" spans="1:5" x14ac:dyDescent="0.25">
      <c r="A622" s="7">
        <v>0.50002761335929735</v>
      </c>
      <c r="B622"/>
      <c r="C622"/>
      <c r="D622"/>
      <c r="E622"/>
    </row>
    <row r="623" spans="1:5" x14ac:dyDescent="0.25">
      <c r="A623" s="7">
        <v>0.49022315035225228</v>
      </c>
      <c r="B623"/>
      <c r="C623"/>
      <c r="D623"/>
      <c r="E623"/>
    </row>
    <row r="624" spans="1:5" x14ac:dyDescent="0.25">
      <c r="A624" s="7">
        <v>0.48061093171789437</v>
      </c>
      <c r="B624"/>
      <c r="C624"/>
      <c r="D624"/>
      <c r="E624"/>
    </row>
    <row r="625" spans="1:5" x14ac:dyDescent="0.25">
      <c r="A625" s="7">
        <v>0.47118718795871994</v>
      </c>
      <c r="B625"/>
      <c r="C625"/>
      <c r="D625"/>
      <c r="E625"/>
    </row>
    <row r="626" spans="1:5" x14ac:dyDescent="0.25">
      <c r="A626" s="7">
        <v>0.46194822348894116</v>
      </c>
      <c r="B626"/>
      <c r="C626"/>
      <c r="D626"/>
      <c r="E626"/>
    </row>
    <row r="627" spans="1:5" x14ac:dyDescent="0.25">
      <c r="A627" s="7">
        <v>0.45289041518523643</v>
      </c>
      <c r="B627"/>
      <c r="C627"/>
      <c r="D627"/>
      <c r="E627"/>
    </row>
    <row r="628" spans="1:5" x14ac:dyDescent="0.25">
      <c r="A628" s="7">
        <v>0.44401021096591808</v>
      </c>
      <c r="B628"/>
      <c r="C628"/>
      <c r="D628"/>
      <c r="E628"/>
    </row>
    <row r="629" spans="1:5" x14ac:dyDescent="0.25">
      <c r="A629" s="7">
        <v>0.4353041283979589</v>
      </c>
      <c r="B629"/>
      <c r="C629"/>
      <c r="D629"/>
      <c r="E629"/>
    </row>
    <row r="630" spans="1:5" x14ac:dyDescent="0.25">
      <c r="A630" s="7">
        <v>0.4267687533313323</v>
      </c>
      <c r="B630"/>
      <c r="C630"/>
      <c r="D630"/>
      <c r="E630"/>
    </row>
    <row r="631" spans="1:5" x14ac:dyDescent="0.25">
      <c r="A631" s="7">
        <v>0.41840073856012971</v>
      </c>
      <c r="B631"/>
      <c r="C631"/>
      <c r="D631"/>
      <c r="E631"/>
    </row>
    <row r="632" spans="1:5" x14ac:dyDescent="0.25">
      <c r="A632" s="7">
        <v>0.41019680250993112</v>
      </c>
      <c r="B632"/>
      <c r="C632"/>
      <c r="D632"/>
      <c r="E632"/>
    </row>
    <row r="633" spans="1:5" x14ac:dyDescent="0.25">
      <c r="A633" s="7">
        <v>0.40215372795091286</v>
      </c>
      <c r="B633"/>
      <c r="C633"/>
      <c r="D633"/>
      <c r="E633"/>
    </row>
    <row r="634" spans="1:5" x14ac:dyDescent="0.25">
      <c r="A634" s="7">
        <v>0.39426836073618904</v>
      </c>
      <c r="B634"/>
      <c r="C634"/>
      <c r="D634"/>
      <c r="E634"/>
    </row>
    <row r="635" spans="1:5" x14ac:dyDescent="0.25">
      <c r="A635" s="7">
        <v>0.38653760856489122</v>
      </c>
      <c r="B635"/>
      <c r="C635"/>
      <c r="D635"/>
      <c r="E635"/>
    </row>
    <row r="636" spans="1:5" x14ac:dyDescent="0.25">
      <c r="A636" s="7">
        <v>0.37895843976950117</v>
      </c>
      <c r="B636"/>
      <c r="C636"/>
      <c r="D636"/>
      <c r="E636"/>
    </row>
    <row r="637" spans="1:5" x14ac:dyDescent="0.25">
      <c r="A637" s="7">
        <v>0.37152788212696197</v>
      </c>
      <c r="B637"/>
      <c r="C637"/>
      <c r="D637"/>
      <c r="E637"/>
    </row>
    <row r="638" spans="1:5" x14ac:dyDescent="0.25">
      <c r="A638" s="7">
        <v>0.36424302169310002</v>
      </c>
      <c r="B638"/>
      <c r="C638"/>
      <c r="D638"/>
      <c r="E638"/>
    </row>
    <row r="639" spans="1:5" x14ac:dyDescent="0.25">
      <c r="A639" s="7">
        <v>0.35710100165990194</v>
      </c>
      <c r="B639"/>
      <c r="C639"/>
      <c r="D639"/>
      <c r="E639"/>
    </row>
    <row r="640" spans="1:5" x14ac:dyDescent="0.25">
      <c r="A640" s="7">
        <v>0.35009902123519804</v>
      </c>
      <c r="B640"/>
      <c r="C640"/>
      <c r="D640"/>
      <c r="E640"/>
    </row>
    <row r="641" spans="1:5" x14ac:dyDescent="0.25">
      <c r="A641" s="7">
        <v>0.34323433454431179</v>
      </c>
      <c r="B641"/>
      <c r="C641"/>
      <c r="D641"/>
      <c r="E641"/>
    </row>
    <row r="642" spans="1:5" x14ac:dyDescent="0.25">
      <c r="A642" s="7">
        <v>0.33650424955324681</v>
      </c>
      <c r="B642"/>
      <c r="C642"/>
      <c r="D642"/>
      <c r="E642"/>
    </row>
    <row r="643" spans="1:5" x14ac:dyDescent="0.25">
      <c r="A643" s="7">
        <v>0.3299061270129871</v>
      </c>
      <c r="B643"/>
      <c r="C643"/>
      <c r="D643"/>
      <c r="E643"/>
    </row>
    <row r="644" spans="1:5" x14ac:dyDescent="0.25">
      <c r="A644" s="7">
        <v>0.32343737942449713</v>
      </c>
      <c r="B644"/>
      <c r="C644"/>
      <c r="D644"/>
      <c r="E644"/>
    </row>
    <row r="645" spans="1:5" x14ac:dyDescent="0.25">
      <c r="A645" s="7">
        <v>0.31709547002401678</v>
      </c>
      <c r="B645"/>
      <c r="C645"/>
      <c r="D645"/>
      <c r="E645"/>
    </row>
    <row r="646" spans="1:5" x14ac:dyDescent="0.25">
      <c r="A646" s="7">
        <v>0.31087791178825175</v>
      </c>
      <c r="B646"/>
      <c r="C646"/>
      <c r="D646"/>
      <c r="E646"/>
    </row>
    <row r="647" spans="1:5" x14ac:dyDescent="0.25">
      <c r="A647" s="7">
        <v>0.30478226645907036</v>
      </c>
      <c r="B647"/>
      <c r="C647"/>
      <c r="D647"/>
      <c r="E647"/>
    </row>
    <row r="648" spans="1:5" x14ac:dyDescent="0.25">
      <c r="A648" s="7">
        <v>0.29880614358732388</v>
      </c>
      <c r="B648"/>
      <c r="C648"/>
      <c r="D648"/>
      <c r="E648"/>
    </row>
    <row r="649" spans="1:5" x14ac:dyDescent="0.25">
      <c r="A649" s="7">
        <v>0.2929471995954156</v>
      </c>
      <c r="B649"/>
      <c r="C649"/>
      <c r="D649"/>
      <c r="E649"/>
    </row>
    <row r="650" spans="1:5" x14ac:dyDescent="0.25">
      <c r="A650" s="7">
        <v>0.28720313685825055</v>
      </c>
      <c r="B650"/>
      <c r="C650"/>
      <c r="D650"/>
      <c r="E650"/>
    </row>
    <row r="651" spans="1:5" x14ac:dyDescent="0.25">
      <c r="A651" s="7">
        <v>0.28157170280220645</v>
      </c>
      <c r="B651"/>
      <c r="C651"/>
      <c r="D651"/>
      <c r="E651"/>
    </row>
    <row r="652" spans="1:5" x14ac:dyDescent="0.25">
      <c r="A652" s="7">
        <v>0.27605068902177105</v>
      </c>
      <c r="B652"/>
      <c r="C652"/>
      <c r="D652"/>
      <c r="E652"/>
    </row>
    <row r="653" spans="1:5" x14ac:dyDescent="0.25">
      <c r="A653" s="7">
        <v>0.27063793041350104</v>
      </c>
      <c r="B653"/>
      <c r="C653"/>
      <c r="D653"/>
      <c r="E653"/>
    </row>
    <row r="654" spans="1:5" x14ac:dyDescent="0.25">
      <c r="A654" s="7">
        <v>0.26533130432696184</v>
      </c>
      <c r="B654"/>
      <c r="C654"/>
      <c r="D654"/>
      <c r="E654"/>
    </row>
    <row r="655" spans="1:5" x14ac:dyDescent="0.25">
      <c r="A655" s="7">
        <v>0.26012872973231554</v>
      </c>
      <c r="B655"/>
      <c r="C655"/>
      <c r="D655"/>
      <c r="E655"/>
    </row>
    <row r="656" spans="1:5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916" operator="equal">
      <formula>$U$1</formula>
    </cfRule>
    <cfRule type="cellIs" dxfId="89" priority="917" operator="equal">
      <formula>$S$1</formula>
    </cfRule>
  </conditionalFormatting>
  <conditionalFormatting sqref="D27">
    <cfRule type="cellIs" dxfId="88" priority="914" operator="equal">
      <formula>$S$1</formula>
    </cfRule>
    <cfRule type="cellIs" dxfId="87" priority="915" operator="equal">
      <formula>$U$1</formula>
    </cfRule>
  </conditionalFormatting>
  <conditionalFormatting sqref="C164">
    <cfRule type="cellIs" dxfId="86" priority="912" operator="equal">
      <formula>$U$1</formula>
    </cfRule>
    <cfRule type="cellIs" dxfId="85" priority="913" operator="equal">
      <formula>$S$1</formula>
    </cfRule>
  </conditionalFormatting>
  <conditionalFormatting sqref="D164">
    <cfRule type="cellIs" dxfId="84" priority="910" operator="equal">
      <formula>$S$1</formula>
    </cfRule>
    <cfRule type="cellIs" dxfId="83" priority="911" operator="equal">
      <formula>$U$1</formula>
    </cfRule>
  </conditionalFormatting>
  <conditionalFormatting sqref="C55">
    <cfRule type="cellIs" dxfId="82" priority="908" operator="equal">
      <formula>$U$1</formula>
    </cfRule>
    <cfRule type="cellIs" dxfId="81" priority="909" operator="equal">
      <formula>$S$1</formula>
    </cfRule>
  </conditionalFormatting>
  <conditionalFormatting sqref="D55">
    <cfRule type="cellIs" dxfId="80" priority="906" operator="equal">
      <formula>$S$1</formula>
    </cfRule>
    <cfRule type="cellIs" dxfId="79" priority="907" operator="equal">
      <formula>$U$1</formula>
    </cfRule>
  </conditionalFormatting>
  <conditionalFormatting sqref="C89">
    <cfRule type="cellIs" dxfId="78" priority="904" operator="equal">
      <formula>$U$1</formula>
    </cfRule>
    <cfRule type="cellIs" dxfId="77" priority="905" operator="equal">
      <formula>$S$1</formula>
    </cfRule>
  </conditionalFormatting>
  <conditionalFormatting sqref="D89">
    <cfRule type="cellIs" dxfId="76" priority="902" operator="equal">
      <formula>$S$1</formula>
    </cfRule>
    <cfRule type="cellIs" dxfId="75" priority="903" operator="equal">
      <formula>$U$1</formula>
    </cfRule>
  </conditionalFormatting>
  <conditionalFormatting sqref="C136">
    <cfRule type="cellIs" dxfId="74" priority="900" operator="equal">
      <formula>$U$1</formula>
    </cfRule>
    <cfRule type="cellIs" dxfId="73" priority="901" operator="equal">
      <formula>$S$1</formula>
    </cfRule>
  </conditionalFormatting>
  <conditionalFormatting sqref="D136">
    <cfRule type="cellIs" dxfId="72" priority="898" operator="equal">
      <formula>$S$1</formula>
    </cfRule>
    <cfRule type="cellIs" dxfId="71" priority="899" operator="equal">
      <formula>$U$1</formula>
    </cfRule>
  </conditionalFormatting>
  <conditionalFormatting sqref="C1">
    <cfRule type="cellIs" dxfId="70" priority="897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110" zoomScale="90" zoomScaleNormal="90" workbookViewId="0">
      <pane xSplit="4" topLeftCell="BI1" activePane="topRight" state="frozen"/>
      <selection activeCell="A109" sqref="A109"/>
      <selection pane="topRight" activeCell="DN135" sqref="DN135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105" x14ac:dyDescent="0.25">
      <c r="A97" s="30">
        <v>1071.6914527012709</v>
      </c>
      <c r="C97" s="7">
        <v>0.11686133436193799</v>
      </c>
      <c r="D97"/>
      <c r="E97"/>
    </row>
    <row r="98" spans="1:105" x14ac:dyDescent="0.25">
      <c r="A98" s="30">
        <v>1020.6585263821628</v>
      </c>
      <c r="E98"/>
    </row>
    <row r="99" spans="1:105" x14ac:dyDescent="0.25">
      <c r="A99" s="30">
        <v>972.05573941158355</v>
      </c>
      <c r="C99" s="1" t="s">
        <v>11</v>
      </c>
      <c r="D99" s="1" t="s">
        <v>12</v>
      </c>
      <c r="E99"/>
    </row>
    <row r="100" spans="1:105" x14ac:dyDescent="0.25">
      <c r="A100" s="30">
        <v>925.76737086817479</v>
      </c>
      <c r="C100"/>
      <c r="D100"/>
      <c r="E100"/>
    </row>
    <row r="101" spans="1:105" x14ac:dyDescent="0.25">
      <c r="A101" s="30">
        <v>881.68321035064264</v>
      </c>
      <c r="E101"/>
    </row>
    <row r="102" spans="1:105" x14ac:dyDescent="0.25">
      <c r="A102" s="30">
        <v>839.69829557204059</v>
      </c>
      <c r="C102" s="1" t="s">
        <v>13</v>
      </c>
      <c r="E102"/>
    </row>
    <row r="103" spans="1:105" x14ac:dyDescent="0.25">
      <c r="A103" s="30">
        <v>799.71266244956246</v>
      </c>
      <c r="C103" s="1">
        <f>C92</f>
        <v>0</v>
      </c>
      <c r="E103"/>
    </row>
    <row r="104" spans="1:105" x14ac:dyDescent="0.25">
      <c r="A104" s="30">
        <v>761.63110709482135</v>
      </c>
      <c r="C104"/>
      <c r="E104"/>
    </row>
    <row r="105" spans="1:105" x14ac:dyDescent="0.25">
      <c r="A105" s="30">
        <v>725.36295913792503</v>
      </c>
      <c r="C105" s="1" t="s">
        <v>14</v>
      </c>
      <c r="E105"/>
    </row>
    <row r="106" spans="1:10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105" x14ac:dyDescent="0.25">
      <c r="A107" s="30">
        <v>657.92558651965976</v>
      </c>
      <c r="E107"/>
    </row>
    <row r="108" spans="1:105" x14ac:dyDescent="0.25">
      <c r="A108" s="30">
        <v>626.59579668539027</v>
      </c>
      <c r="E108"/>
    </row>
    <row r="109" spans="1:105" x14ac:dyDescent="0.25">
      <c r="A109" s="30">
        <v>596.75790160513361</v>
      </c>
      <c r="E109"/>
      <c r="BM109" s="27" t="s">
        <v>8</v>
      </c>
      <c r="BO109" s="31" t="s">
        <v>8</v>
      </c>
    </row>
    <row r="110" spans="1:105" x14ac:dyDescent="0.25">
      <c r="A110" s="30">
        <v>568.34085867155579</v>
      </c>
      <c r="E110"/>
      <c r="BM110" s="27" t="s">
        <v>8</v>
      </c>
      <c r="BN110" s="27" t="s">
        <v>7</v>
      </c>
      <c r="BO110" s="27" t="s">
        <v>8</v>
      </c>
      <c r="BP110" s="31" t="s">
        <v>7</v>
      </c>
    </row>
    <row r="111" spans="1:105" x14ac:dyDescent="0.25">
      <c r="A111" s="30">
        <v>541.27700825862451</v>
      </c>
      <c r="C111" s="1" t="str">
        <f>ADDRESS(C121-1,1,1,1)</f>
        <v>$A$134</v>
      </c>
      <c r="D111" s="1" t="str">
        <f>ADDRESS(C121-1,D121,1,1)</f>
        <v>$DN$134</v>
      </c>
      <c r="E111"/>
      <c r="BC111" s="27" t="s">
        <v>8</v>
      </c>
      <c r="BM111" s="27" t="s">
        <v>8</v>
      </c>
      <c r="BN111" s="27" t="s">
        <v>7</v>
      </c>
      <c r="BO111" s="27" t="s">
        <v>8</v>
      </c>
      <c r="BP111" s="27" t="s">
        <v>7</v>
      </c>
      <c r="BQ111" s="31"/>
    </row>
    <row r="112" spans="1:105" x14ac:dyDescent="0.25">
      <c r="A112" s="30">
        <v>515.50191262726139</v>
      </c>
      <c r="C112" s="1" t="str">
        <f>ADDRESS(C121,1,1,1)</f>
        <v>$A$135</v>
      </c>
      <c r="D112" s="1" t="str">
        <f>ADDRESS(C121,D121-1,1,1)</f>
        <v>$DM$135</v>
      </c>
      <c r="E112"/>
      <c r="BC112" s="27" t="s">
        <v>8</v>
      </c>
      <c r="BD112" s="27" t="s">
        <v>7</v>
      </c>
      <c r="BM112" s="27" t="s">
        <v>8</v>
      </c>
      <c r="BN112" s="27" t="s">
        <v>7</v>
      </c>
      <c r="BO112" s="27" t="s">
        <v>8</v>
      </c>
      <c r="BP112" s="27" t="s">
        <v>7</v>
      </c>
      <c r="BR112" s="31"/>
      <c r="CA112" s="31" t="s">
        <v>8</v>
      </c>
      <c r="DA112" s="31" t="s">
        <v>8</v>
      </c>
    </row>
    <row r="113" spans="1:118" x14ac:dyDescent="0.25">
      <c r="A113" s="30">
        <v>490.95420250215363</v>
      </c>
      <c r="C113" s="1" t="str">
        <f>ADDRESS(C121+1,1,1,1)</f>
        <v>$A$136</v>
      </c>
      <c r="D113" s="1" t="str">
        <f>ADDRESS(C121-1,D121+1,1,1)</f>
        <v>$DO$134</v>
      </c>
      <c r="BC113" s="27" t="s">
        <v>8</v>
      </c>
      <c r="BD113" s="27" t="s">
        <v>7</v>
      </c>
      <c r="BE113" s="27" t="s">
        <v>8</v>
      </c>
      <c r="BM113" s="27" t="s">
        <v>8</v>
      </c>
      <c r="BN113" s="27" t="s">
        <v>7</v>
      </c>
      <c r="BP113" s="27" t="s">
        <v>7</v>
      </c>
      <c r="BS113" s="31"/>
      <c r="CA113" s="27" t="s">
        <v>8</v>
      </c>
      <c r="CB113" s="31" t="s">
        <v>7</v>
      </c>
      <c r="DA113" s="27" t="s">
        <v>8</v>
      </c>
      <c r="DB113" s="31" t="s">
        <v>7</v>
      </c>
    </row>
    <row r="114" spans="1:118" x14ac:dyDescent="0.25">
      <c r="A114" s="30">
        <v>467.57543095443202</v>
      </c>
      <c r="C114" s="1" t="str">
        <f>ADDRESS(C121,D121,1,1)</f>
        <v>$DN$135</v>
      </c>
      <c r="D114" s="1" t="str">
        <f>ADDRESS(C121+1,D121+1,1,1)</f>
        <v>$DO$136</v>
      </c>
      <c r="BA114" s="27" t="s">
        <v>8</v>
      </c>
      <c r="BC114" s="27" t="s">
        <v>8</v>
      </c>
      <c r="BD114" s="27" t="s">
        <v>7</v>
      </c>
      <c r="BE114" s="27" t="s">
        <v>8</v>
      </c>
      <c r="BF114" s="27" t="s">
        <v>7</v>
      </c>
      <c r="BG114" s="27" t="s">
        <v>8</v>
      </c>
      <c r="BK114" s="27" t="s">
        <v>8</v>
      </c>
      <c r="BM114" s="27" t="s">
        <v>8</v>
      </c>
      <c r="BP114" s="33" t="s">
        <v>7</v>
      </c>
      <c r="BT114" s="31"/>
      <c r="BW114" s="27" t="s">
        <v>8</v>
      </c>
      <c r="CA114" s="32" t="s">
        <v>8</v>
      </c>
      <c r="CB114" s="27" t="s">
        <v>7</v>
      </c>
      <c r="CC114" s="31"/>
      <c r="DA114" s="27" t="s">
        <v>8</v>
      </c>
      <c r="DB114" s="27" t="s">
        <v>7</v>
      </c>
      <c r="DC114" s="31"/>
    </row>
    <row r="115" spans="1:118" x14ac:dyDescent="0.25">
      <c r="A115" s="30">
        <v>445.30993424231622</v>
      </c>
      <c r="C115" s="1" t="str">
        <f>ADDRESS(C121+1,D121,1,1)</f>
        <v>$DN$136</v>
      </c>
      <c r="BA115" s="27" t="s">
        <v>8</v>
      </c>
      <c r="BB115" s="27" t="s">
        <v>7</v>
      </c>
      <c r="BC115" s="27" t="s">
        <v>8</v>
      </c>
      <c r="BD115" s="27" t="s">
        <v>7</v>
      </c>
      <c r="BE115" s="27" t="s">
        <v>8</v>
      </c>
      <c r="BF115" s="27" t="s">
        <v>7</v>
      </c>
      <c r="BG115" s="27" t="s">
        <v>8</v>
      </c>
      <c r="BH115" s="27" t="s">
        <v>7</v>
      </c>
      <c r="BK115" s="27" t="s">
        <v>8</v>
      </c>
      <c r="BL115" s="27" t="s">
        <v>7</v>
      </c>
      <c r="BM115" s="27" t="s">
        <v>8</v>
      </c>
      <c r="BP115" s="27" t="s">
        <v>7</v>
      </c>
      <c r="BQ115" s="27" t="s">
        <v>8</v>
      </c>
      <c r="BU115" s="31"/>
      <c r="BW115" s="27" t="s">
        <v>8</v>
      </c>
      <c r="BX115" s="27" t="s">
        <v>7</v>
      </c>
      <c r="BY115" s="27" t="s">
        <v>8</v>
      </c>
      <c r="CA115" s="27" t="s">
        <v>8</v>
      </c>
      <c r="CB115" s="27" t="s">
        <v>7</v>
      </c>
      <c r="CC115" s="27" t="s">
        <v>8</v>
      </c>
      <c r="CD115" s="31"/>
      <c r="CU115" s="27" t="s">
        <v>8</v>
      </c>
      <c r="DA115" s="27" t="s">
        <v>8</v>
      </c>
      <c r="DB115" s="27" t="s">
        <v>7</v>
      </c>
      <c r="DC115" s="27" t="s">
        <v>8</v>
      </c>
      <c r="DD115" s="31"/>
    </row>
    <row r="116" spans="1:118" x14ac:dyDescent="0.25">
      <c r="A116" s="30">
        <v>424.10469927839637</v>
      </c>
      <c r="C116" s="1">
        <f>C117-1</f>
        <v>134</v>
      </c>
      <c r="BA116" s="27" t="s">
        <v>8</v>
      </c>
      <c r="BB116" s="27" t="s">
        <v>7</v>
      </c>
      <c r="BC116" s="27" t="s">
        <v>8</v>
      </c>
      <c r="BD116" s="27" t="s">
        <v>7</v>
      </c>
      <c r="BF116" s="27" t="s">
        <v>7</v>
      </c>
      <c r="BG116" s="27" t="s">
        <v>8</v>
      </c>
      <c r="BH116" s="27" t="s">
        <v>7</v>
      </c>
      <c r="BK116" s="27" t="s">
        <v>8</v>
      </c>
      <c r="BL116" s="27" t="s">
        <v>7</v>
      </c>
      <c r="BM116" s="27" t="s">
        <v>8</v>
      </c>
      <c r="BP116" s="27" t="s">
        <v>7</v>
      </c>
      <c r="BQ116" s="27" t="s">
        <v>8</v>
      </c>
      <c r="BR116" s="27" t="s">
        <v>7</v>
      </c>
      <c r="BV116" s="31"/>
      <c r="BW116" s="27" t="s">
        <v>8</v>
      </c>
      <c r="BX116" s="27" t="s">
        <v>7</v>
      </c>
      <c r="BY116" s="27" t="s">
        <v>8</v>
      </c>
      <c r="BZ116" s="27" t="s">
        <v>7</v>
      </c>
      <c r="CA116" s="27" t="s">
        <v>8</v>
      </c>
      <c r="CB116" s="27" t="s">
        <v>7</v>
      </c>
      <c r="CC116" s="27" t="s">
        <v>8</v>
      </c>
      <c r="CD116" s="27" t="s">
        <v>7</v>
      </c>
      <c r="CE116" s="31"/>
      <c r="CS116" s="27" t="s">
        <v>8</v>
      </c>
      <c r="CU116" s="27" t="s">
        <v>8</v>
      </c>
      <c r="CV116" s="27" t="s">
        <v>7</v>
      </c>
      <c r="DA116" s="27" t="s">
        <v>8</v>
      </c>
      <c r="DB116" s="27" t="s">
        <v>7</v>
      </c>
      <c r="DC116" s="27" t="s">
        <v>8</v>
      </c>
      <c r="DD116" s="27" t="s">
        <v>7</v>
      </c>
      <c r="DE116" s="31"/>
    </row>
    <row r="117" spans="1:118" x14ac:dyDescent="0.25">
      <c r="A117" s="30">
        <v>403.9092374079965</v>
      </c>
      <c r="C117" s="1">
        <f>C121</f>
        <v>135</v>
      </c>
      <c r="D117" s="1">
        <f>D121</f>
        <v>118</v>
      </c>
      <c r="BA117" s="27" t="s">
        <v>8</v>
      </c>
      <c r="BB117" s="27" t="s">
        <v>7</v>
      </c>
      <c r="BC117" s="27" t="s">
        <v>8</v>
      </c>
      <c r="BF117" s="27" t="s">
        <v>7</v>
      </c>
      <c r="BG117" s="27" t="s">
        <v>8</v>
      </c>
      <c r="BH117" s="27" t="s">
        <v>7</v>
      </c>
      <c r="BK117" s="32" t="s">
        <v>8</v>
      </c>
      <c r="BL117" s="27" t="s">
        <v>7</v>
      </c>
      <c r="BM117" s="27" t="s">
        <v>8</v>
      </c>
      <c r="BP117" s="27" t="s">
        <v>7</v>
      </c>
      <c r="BQ117" s="27" t="s">
        <v>8</v>
      </c>
      <c r="BR117" s="27" t="s">
        <v>7</v>
      </c>
      <c r="BW117" s="31" t="s">
        <v>8</v>
      </c>
      <c r="BX117" s="27" t="s">
        <v>7</v>
      </c>
      <c r="BY117" s="27" t="s">
        <v>8</v>
      </c>
      <c r="BZ117" s="27" t="s">
        <v>7</v>
      </c>
      <c r="CA117" s="27" t="s">
        <v>8</v>
      </c>
      <c r="CB117" s="27" t="s">
        <v>7</v>
      </c>
      <c r="CC117" s="27" t="s">
        <v>8</v>
      </c>
      <c r="CD117" s="27" t="s">
        <v>7</v>
      </c>
      <c r="CF117" s="31"/>
      <c r="CS117" s="27" t="s">
        <v>8</v>
      </c>
      <c r="CT117" s="27" t="s">
        <v>7</v>
      </c>
      <c r="CU117" s="27" t="s">
        <v>8</v>
      </c>
      <c r="CV117" s="27" t="s">
        <v>7</v>
      </c>
      <c r="DA117" s="27" t="s">
        <v>8</v>
      </c>
      <c r="DB117" s="27" t="s">
        <v>7</v>
      </c>
      <c r="DC117" s="27" t="s">
        <v>8</v>
      </c>
      <c r="DD117" s="27" t="s">
        <v>7</v>
      </c>
      <c r="DE117" s="27" t="s">
        <v>8</v>
      </c>
      <c r="DF117" s="31"/>
    </row>
    <row r="118" spans="1:118" x14ac:dyDescent="0.25">
      <c r="A118" s="30">
        <v>384.6754641980919</v>
      </c>
      <c r="C118" s="1">
        <f>C117+1</f>
        <v>136</v>
      </c>
      <c r="D118" s="1">
        <f>D117+1</f>
        <v>119</v>
      </c>
      <c r="BA118" s="27" t="s">
        <v>8</v>
      </c>
      <c r="BB118" s="27" t="s">
        <v>7</v>
      </c>
      <c r="BF118" s="27" t="s">
        <v>7</v>
      </c>
      <c r="BH118" s="27" t="s">
        <v>7</v>
      </c>
      <c r="BI118" s="27" t="s">
        <v>8</v>
      </c>
      <c r="BK118" s="27" t="s">
        <v>8</v>
      </c>
      <c r="BL118" s="27" t="s">
        <v>7</v>
      </c>
      <c r="BP118" s="27" t="s">
        <v>7</v>
      </c>
      <c r="BQ118" s="27" t="s">
        <v>8</v>
      </c>
      <c r="BR118" s="27" t="s">
        <v>7</v>
      </c>
      <c r="BW118" s="27" t="s">
        <v>8</v>
      </c>
      <c r="BX118" s="27" t="s">
        <v>7</v>
      </c>
      <c r="BZ118" s="27" t="s">
        <v>7</v>
      </c>
      <c r="CA118" s="27" t="s">
        <v>8</v>
      </c>
      <c r="CB118" s="27" t="s">
        <v>7</v>
      </c>
      <c r="CD118" s="27" t="s">
        <v>7</v>
      </c>
      <c r="CG118" s="31"/>
      <c r="CS118" s="27" t="s">
        <v>8</v>
      </c>
      <c r="CT118" s="27" t="s">
        <v>7</v>
      </c>
      <c r="CU118" s="27" t="s">
        <v>8</v>
      </c>
      <c r="CV118" s="27" t="s">
        <v>7</v>
      </c>
      <c r="DA118" s="27" t="s">
        <v>8</v>
      </c>
      <c r="DB118" s="27" t="s">
        <v>7</v>
      </c>
      <c r="DD118" s="31" t="s">
        <v>7</v>
      </c>
      <c r="DE118" s="27" t="s">
        <v>8</v>
      </c>
      <c r="DF118" s="27" t="s">
        <v>7</v>
      </c>
      <c r="DG118" s="31"/>
    </row>
    <row r="119" spans="1:118" x14ac:dyDescent="0.25">
      <c r="A119" s="30">
        <v>366.35758495056371</v>
      </c>
      <c r="BA119" s="27" t="s">
        <v>8</v>
      </c>
      <c r="BH119" s="27" t="s">
        <v>7</v>
      </c>
      <c r="BI119" s="27" t="s">
        <v>8</v>
      </c>
      <c r="BJ119" s="27" t="s">
        <v>7</v>
      </c>
      <c r="BK119" s="27" t="s">
        <v>8</v>
      </c>
      <c r="BP119" s="27" t="s">
        <v>7</v>
      </c>
      <c r="BQ119" s="27" t="s">
        <v>8</v>
      </c>
      <c r="BR119" s="27" t="s">
        <v>7</v>
      </c>
      <c r="BU119" s="32" t="s">
        <v>8</v>
      </c>
      <c r="BW119" s="27" t="s">
        <v>8</v>
      </c>
      <c r="BZ119" s="33" t="s">
        <v>7</v>
      </c>
      <c r="CA119" s="27" t="s">
        <v>8</v>
      </c>
      <c r="CD119" s="33" t="s">
        <v>7</v>
      </c>
      <c r="CH119" s="31"/>
      <c r="CS119" s="27" t="s">
        <v>8</v>
      </c>
      <c r="CT119" s="27" t="s">
        <v>7</v>
      </c>
      <c r="CU119" s="27" t="s">
        <v>8</v>
      </c>
      <c r="CV119" s="27" t="s">
        <v>7</v>
      </c>
      <c r="CY119" s="27" t="s">
        <v>8</v>
      </c>
      <c r="DA119" s="27" t="s">
        <v>8</v>
      </c>
      <c r="DC119" s="31"/>
      <c r="DD119" s="27" t="s">
        <v>7</v>
      </c>
      <c r="DE119" s="27" t="s">
        <v>8</v>
      </c>
      <c r="DF119" s="27" t="s">
        <v>7</v>
      </c>
      <c r="DH119" s="31"/>
    </row>
    <row r="120" spans="1:118" x14ac:dyDescent="0.25">
      <c r="A120" s="30">
        <v>348.91198566720351</v>
      </c>
      <c r="C120" s="1" t="s">
        <v>9</v>
      </c>
      <c r="BA120" s="27" t="s">
        <v>8</v>
      </c>
      <c r="BH120" s="27" t="s">
        <v>7</v>
      </c>
      <c r="BI120" s="27" t="s">
        <v>8</v>
      </c>
      <c r="BJ120" s="27" t="s">
        <v>7</v>
      </c>
      <c r="BK120" s="27" t="s">
        <v>8</v>
      </c>
      <c r="BP120" s="27" t="s">
        <v>7</v>
      </c>
      <c r="BQ120" s="27" t="s">
        <v>8</v>
      </c>
      <c r="BR120" s="27" t="s">
        <v>7</v>
      </c>
      <c r="BS120" s="27" t="s">
        <v>8</v>
      </c>
      <c r="BU120" s="27" t="s">
        <v>8</v>
      </c>
      <c r="BV120" s="27" t="s">
        <v>7</v>
      </c>
      <c r="BW120" s="27" t="s">
        <v>8</v>
      </c>
      <c r="BZ120" s="27" t="s">
        <v>7</v>
      </c>
      <c r="CD120" s="27" t="s">
        <v>7</v>
      </c>
      <c r="CI120" s="31"/>
      <c r="CQ120" s="27" t="s">
        <v>8</v>
      </c>
      <c r="CS120" s="27" t="s">
        <v>8</v>
      </c>
      <c r="CT120" s="27" t="s">
        <v>7</v>
      </c>
      <c r="CU120" s="27" t="s">
        <v>8</v>
      </c>
      <c r="CV120" s="27" t="s">
        <v>7</v>
      </c>
      <c r="CW120" s="27" t="s">
        <v>8</v>
      </c>
      <c r="CY120" s="27" t="s">
        <v>8</v>
      </c>
      <c r="CZ120" s="27" t="s">
        <v>7</v>
      </c>
      <c r="DA120" s="27" t="s">
        <v>8</v>
      </c>
      <c r="DB120" s="31"/>
      <c r="DD120" s="27" t="s">
        <v>7</v>
      </c>
      <c r="DE120" s="27" t="s">
        <v>8</v>
      </c>
      <c r="DF120" s="27" t="s">
        <v>7</v>
      </c>
      <c r="DI120" s="31"/>
    </row>
    <row r="121" spans="1:118" x14ac:dyDescent="0.25">
      <c r="A121" s="30">
        <v>332.29712920686046</v>
      </c>
      <c r="C121" s="18">
        <v>135</v>
      </c>
      <c r="D121" s="19">
        <v>118</v>
      </c>
      <c r="E121" s="19"/>
      <c r="AY121" s="27" t="s">
        <v>8</v>
      </c>
      <c r="BA121" s="27" t="s">
        <v>8</v>
      </c>
      <c r="BH121" s="27" t="s">
        <v>7</v>
      </c>
      <c r="BI121" s="27" t="s">
        <v>8</v>
      </c>
      <c r="BJ121" s="27" t="s">
        <v>7</v>
      </c>
      <c r="BK121" s="27" t="s">
        <v>8</v>
      </c>
      <c r="BP121" s="27" t="s">
        <v>7</v>
      </c>
      <c r="BQ121" s="27" t="s">
        <v>8</v>
      </c>
      <c r="BR121" s="27" t="s">
        <v>7</v>
      </c>
      <c r="BS121" s="27" t="s">
        <v>8</v>
      </c>
      <c r="BT121" s="27" t="s">
        <v>7</v>
      </c>
      <c r="BU121" s="27" t="s">
        <v>8</v>
      </c>
      <c r="BV121" s="27" t="s">
        <v>7</v>
      </c>
      <c r="BW121" s="27" t="s">
        <v>8</v>
      </c>
      <c r="CD121" s="27" t="s">
        <v>7</v>
      </c>
      <c r="CJ121" s="31"/>
      <c r="CQ121" s="27" t="s">
        <v>8</v>
      </c>
      <c r="CR121" s="27" t="s">
        <v>7</v>
      </c>
      <c r="CS121" s="27" t="s">
        <v>8</v>
      </c>
      <c r="CT121" s="27" t="s">
        <v>7</v>
      </c>
      <c r="CU121" s="27" t="s">
        <v>8</v>
      </c>
      <c r="CV121" s="27" t="s">
        <v>7</v>
      </c>
      <c r="CW121" s="27" t="s">
        <v>8</v>
      </c>
      <c r="CX121" s="27" t="s">
        <v>7</v>
      </c>
      <c r="CY121" s="27" t="s">
        <v>8</v>
      </c>
      <c r="CZ121" s="27" t="s">
        <v>7</v>
      </c>
      <c r="DA121" s="31" t="s">
        <v>8</v>
      </c>
      <c r="DD121" s="27" t="s">
        <v>7</v>
      </c>
      <c r="DE121" s="27" t="s">
        <v>8</v>
      </c>
      <c r="DF121" s="27" t="s">
        <v>7</v>
      </c>
      <c r="DJ121" s="31"/>
      <c r="DK121" s="27" t="s">
        <v>8</v>
      </c>
    </row>
    <row r="122" spans="1:118" x14ac:dyDescent="0.25">
      <c r="A122" s="30">
        <v>316.47345638748612</v>
      </c>
      <c r="C122" s="1" t="str">
        <f>INDEX(1:1048576,C117,D117)</f>
        <v>O</v>
      </c>
      <c r="AY122" s="27" t="s">
        <v>8</v>
      </c>
      <c r="AZ122" s="27" t="s">
        <v>7</v>
      </c>
      <c r="BA122" s="27" t="s">
        <v>8</v>
      </c>
      <c r="BH122" s="27" t="s">
        <v>7</v>
      </c>
      <c r="BJ122" s="27" t="s">
        <v>7</v>
      </c>
      <c r="BK122" s="27" t="s">
        <v>8</v>
      </c>
      <c r="BP122" s="27" t="s">
        <v>7</v>
      </c>
      <c r="BQ122" s="27" t="s">
        <v>8</v>
      </c>
      <c r="BR122" s="27" t="s">
        <v>7</v>
      </c>
      <c r="BS122" s="27" t="s">
        <v>8</v>
      </c>
      <c r="BT122" s="27" t="s">
        <v>7</v>
      </c>
      <c r="BU122" s="27" t="s">
        <v>8</v>
      </c>
      <c r="BV122" s="27" t="s">
        <v>7</v>
      </c>
      <c r="BW122" s="27" t="s">
        <v>8</v>
      </c>
      <c r="CD122" s="27" t="s">
        <v>7</v>
      </c>
      <c r="CK122" s="31"/>
      <c r="CO122" s="27" t="s">
        <v>8</v>
      </c>
      <c r="CQ122" s="27" t="s">
        <v>8</v>
      </c>
      <c r="CR122" s="27" t="s">
        <v>7</v>
      </c>
      <c r="CS122" s="27" t="s">
        <v>8</v>
      </c>
      <c r="CT122" s="27" t="s">
        <v>7</v>
      </c>
      <c r="CU122" s="27" t="s">
        <v>8</v>
      </c>
      <c r="CV122" s="27" t="s">
        <v>7</v>
      </c>
      <c r="CW122" s="27" t="s">
        <v>8</v>
      </c>
      <c r="CX122" s="27" t="s">
        <v>7</v>
      </c>
      <c r="CY122" s="27" t="s">
        <v>8</v>
      </c>
      <c r="CZ122" s="31" t="s">
        <v>7</v>
      </c>
      <c r="DD122" s="27" t="s">
        <v>7</v>
      </c>
      <c r="DE122" s="27" t="s">
        <v>8</v>
      </c>
      <c r="DF122" s="27" t="s">
        <v>7</v>
      </c>
      <c r="DI122" s="27" t="s">
        <v>8</v>
      </c>
      <c r="DK122" s="31" t="s">
        <v>8</v>
      </c>
      <c r="DL122" s="31" t="s">
        <v>7</v>
      </c>
    </row>
    <row r="123" spans="1:118" x14ac:dyDescent="0.25">
      <c r="A123" s="30">
        <v>301.40329179760585</v>
      </c>
      <c r="C123" s="1" t="str">
        <f>"R"&amp;C121</f>
        <v>R135</v>
      </c>
      <c r="D123" s="1" t="str">
        <f>"C"&amp;D121</f>
        <v>C118</v>
      </c>
      <c r="AY123" s="27" t="s">
        <v>8</v>
      </c>
      <c r="AZ123" s="27" t="s">
        <v>7</v>
      </c>
      <c r="BA123" s="27" t="s">
        <v>8</v>
      </c>
      <c r="BJ123" s="27" t="s">
        <v>7</v>
      </c>
      <c r="BK123" s="27" t="s">
        <v>8</v>
      </c>
      <c r="BP123" s="27" t="s">
        <v>7</v>
      </c>
      <c r="BQ123" s="27" t="s">
        <v>8</v>
      </c>
      <c r="BR123" s="27" t="s">
        <v>7</v>
      </c>
      <c r="BS123" s="27" t="s">
        <v>8</v>
      </c>
      <c r="BT123" s="27" t="s">
        <v>7</v>
      </c>
      <c r="BU123" s="27" t="s">
        <v>8</v>
      </c>
      <c r="BV123" s="27" t="s">
        <v>7</v>
      </c>
      <c r="BW123" s="27" t="s">
        <v>8</v>
      </c>
      <c r="CD123" s="27" t="s">
        <v>7</v>
      </c>
      <c r="CL123" s="31"/>
      <c r="CO123" s="27" t="s">
        <v>8</v>
      </c>
      <c r="CP123" s="27" t="s">
        <v>7</v>
      </c>
      <c r="CQ123" s="27" t="s">
        <v>8</v>
      </c>
      <c r="CR123" s="27" t="s">
        <v>7</v>
      </c>
      <c r="CS123" s="27" t="s">
        <v>8</v>
      </c>
      <c r="CT123" s="27" t="s">
        <v>7</v>
      </c>
      <c r="CU123" s="27" t="s">
        <v>8</v>
      </c>
      <c r="CV123" s="27" t="s">
        <v>7</v>
      </c>
      <c r="CX123" s="27" t="s">
        <v>7</v>
      </c>
      <c r="CY123" s="31"/>
      <c r="DD123" s="27" t="s">
        <v>7</v>
      </c>
      <c r="DF123" s="27" t="s">
        <v>7</v>
      </c>
      <c r="DG123" s="27" t="s">
        <v>8</v>
      </c>
      <c r="DI123" s="27" t="s">
        <v>8</v>
      </c>
      <c r="DJ123" s="27" t="s">
        <v>7</v>
      </c>
      <c r="DK123" s="27" t="s">
        <v>8</v>
      </c>
      <c r="DL123" s="27" t="s">
        <v>7</v>
      </c>
    </row>
    <row r="124" spans="1:118" x14ac:dyDescent="0.25">
      <c r="A124" s="30">
        <v>287.05075409295796</v>
      </c>
      <c r="C124" s="1">
        <f>SUM(C130:D130)</f>
        <v>0</v>
      </c>
      <c r="D124" s="1">
        <f>IF(C124=0,0,1)</f>
        <v>0</v>
      </c>
      <c r="AQ124" s="27" t="s">
        <v>8</v>
      </c>
      <c r="AY124" s="27" t="s">
        <v>8</v>
      </c>
      <c r="AZ124" s="27" t="s">
        <v>7</v>
      </c>
      <c r="BJ124" s="27" t="s">
        <v>7</v>
      </c>
      <c r="BP124" s="27" t="s">
        <v>7</v>
      </c>
      <c r="BQ124" s="27" t="s">
        <v>8</v>
      </c>
      <c r="BR124" s="27" t="s">
        <v>7</v>
      </c>
      <c r="BS124" s="27" t="s">
        <v>8</v>
      </c>
      <c r="BT124" s="27" t="s">
        <v>7</v>
      </c>
      <c r="BU124" s="27" t="s">
        <v>8</v>
      </c>
      <c r="BV124" s="27" t="s">
        <v>7</v>
      </c>
      <c r="BW124" s="27" t="s">
        <v>8</v>
      </c>
      <c r="CD124" s="27" t="s">
        <v>7</v>
      </c>
      <c r="CM124" s="31" t="s">
        <v>8</v>
      </c>
      <c r="CO124" s="27" t="s">
        <v>8</v>
      </c>
      <c r="CP124" s="27" t="s">
        <v>7</v>
      </c>
      <c r="CQ124" s="27" t="s">
        <v>8</v>
      </c>
      <c r="CR124" s="27" t="s">
        <v>7</v>
      </c>
      <c r="CS124" s="27" t="s">
        <v>8</v>
      </c>
      <c r="CT124" s="27" t="s">
        <v>7</v>
      </c>
      <c r="CX124" s="31"/>
      <c r="DF124" s="27" t="s">
        <v>7</v>
      </c>
      <c r="DG124" s="27" t="s">
        <v>8</v>
      </c>
      <c r="DH124" s="27" t="s">
        <v>7</v>
      </c>
      <c r="DI124" s="27" t="s">
        <v>8</v>
      </c>
      <c r="DJ124" s="27" t="s">
        <v>7</v>
      </c>
      <c r="DK124" s="27" t="s">
        <v>8</v>
      </c>
      <c r="DL124" s="27" t="s">
        <v>7</v>
      </c>
      <c r="DM124" s="27" t="s">
        <v>8</v>
      </c>
    </row>
    <row r="125" spans="1:118" x14ac:dyDescent="0.25">
      <c r="A125" s="30">
        <v>273.38167056472184</v>
      </c>
      <c r="AQ125" s="27" t="s">
        <v>8</v>
      </c>
      <c r="AR125" s="27" t="s">
        <v>7</v>
      </c>
      <c r="AY125" s="27" t="s">
        <v>8</v>
      </c>
      <c r="BP125" s="27" t="s">
        <v>7</v>
      </c>
      <c r="BQ125" s="27" t="s">
        <v>8</v>
      </c>
      <c r="BR125" s="27" t="s">
        <v>7</v>
      </c>
      <c r="BT125" s="27" t="s">
        <v>7</v>
      </c>
      <c r="BU125" s="27" t="s">
        <v>8</v>
      </c>
      <c r="BV125" s="27" t="s">
        <v>7</v>
      </c>
      <c r="BW125" s="27" t="s">
        <v>8</v>
      </c>
      <c r="CD125" s="27" t="s">
        <v>7</v>
      </c>
      <c r="CM125" s="27" t="s">
        <v>8</v>
      </c>
      <c r="CN125" s="31" t="s">
        <v>7</v>
      </c>
      <c r="CO125" s="27" t="s">
        <v>8</v>
      </c>
      <c r="CP125" s="27" t="s">
        <v>7</v>
      </c>
      <c r="CR125" s="27" t="s">
        <v>7</v>
      </c>
      <c r="CW125" s="31"/>
      <c r="DF125" s="27" t="s">
        <v>7</v>
      </c>
      <c r="DG125" s="27" t="s">
        <v>8</v>
      </c>
      <c r="DH125" s="27" t="s">
        <v>7</v>
      </c>
      <c r="DI125" s="27" t="s">
        <v>8</v>
      </c>
      <c r="DJ125" s="27" t="s">
        <v>7</v>
      </c>
      <c r="DK125" s="27" t="s">
        <v>8</v>
      </c>
      <c r="DL125" s="27" t="s">
        <v>7</v>
      </c>
      <c r="DM125" s="27" t="s">
        <v>8</v>
      </c>
      <c r="DN125" s="27" t="s">
        <v>7</v>
      </c>
    </row>
    <row r="126" spans="1:118" x14ac:dyDescent="0.25">
      <c r="A126" s="30">
        <v>260.36349577592557</v>
      </c>
      <c r="C126" s="1" t="s">
        <v>10</v>
      </c>
      <c r="AQ126" s="27" t="s">
        <v>8</v>
      </c>
      <c r="AR126" s="27" t="s">
        <v>7</v>
      </c>
      <c r="AS126" s="27" t="s">
        <v>8</v>
      </c>
      <c r="AY126" s="27" t="s">
        <v>8</v>
      </c>
      <c r="BP126" s="27" t="s">
        <v>7</v>
      </c>
      <c r="BQ126" s="27" t="s">
        <v>8</v>
      </c>
      <c r="BT126" s="27" t="s">
        <v>7</v>
      </c>
      <c r="BU126" s="27" t="s">
        <v>8</v>
      </c>
      <c r="BV126" s="27" t="s">
        <v>7</v>
      </c>
      <c r="CD126" s="27" t="s">
        <v>7</v>
      </c>
      <c r="CM126" s="27" t="s">
        <v>8</v>
      </c>
      <c r="CN126" s="27" t="s">
        <v>7</v>
      </c>
      <c r="CO126" s="31" t="s">
        <v>8</v>
      </c>
      <c r="CV126" s="31"/>
      <c r="DF126" s="27" t="s">
        <v>7</v>
      </c>
      <c r="DH126" s="27" t="s">
        <v>7</v>
      </c>
      <c r="DJ126" s="27" t="s">
        <v>7</v>
      </c>
      <c r="DL126" s="27" t="s">
        <v>7</v>
      </c>
      <c r="DM126" s="27" t="s">
        <v>8</v>
      </c>
      <c r="DN126" s="27" t="s">
        <v>7</v>
      </c>
    </row>
    <row r="127" spans="1:118" x14ac:dyDescent="0.25">
      <c r="A127" s="30">
        <v>247.96523407231004</v>
      </c>
      <c r="C127" s="30">
        <v>167.83263083479633</v>
      </c>
      <c r="D127"/>
      <c r="AQ127" s="27" t="s">
        <v>8</v>
      </c>
      <c r="AR127" s="27" t="s">
        <v>7</v>
      </c>
      <c r="AS127" s="27" t="s">
        <v>8</v>
      </c>
      <c r="AT127" s="27" t="s">
        <v>7</v>
      </c>
      <c r="AW127" s="27" t="s">
        <v>8</v>
      </c>
      <c r="AY127" s="27" t="s">
        <v>8</v>
      </c>
      <c r="BP127" s="27" t="s">
        <v>7</v>
      </c>
      <c r="BQ127" s="27" t="s">
        <v>8</v>
      </c>
      <c r="BT127" s="27" t="s">
        <v>7</v>
      </c>
      <c r="BU127" s="27" t="s">
        <v>8</v>
      </c>
      <c r="CD127" s="27" t="s">
        <v>7</v>
      </c>
      <c r="CM127" s="27" t="s">
        <v>8</v>
      </c>
      <c r="CN127" s="27" t="s">
        <v>7</v>
      </c>
      <c r="CU127" s="31"/>
      <c r="DL127" s="27" t="s">
        <v>7</v>
      </c>
      <c r="DM127" s="27" t="s">
        <v>8</v>
      </c>
      <c r="DN127" s="27" t="s">
        <v>7</v>
      </c>
    </row>
    <row r="128" spans="1:118" x14ac:dyDescent="0.25">
      <c r="A128" s="30">
        <v>236.15736578315241</v>
      </c>
      <c r="AO128" s="27" t="s">
        <v>8</v>
      </c>
      <c r="AQ128" s="27" t="s">
        <v>8</v>
      </c>
      <c r="AR128" s="27" t="s">
        <v>7</v>
      </c>
      <c r="AS128" s="27" t="s">
        <v>8</v>
      </c>
      <c r="AT128" s="27" t="s">
        <v>7</v>
      </c>
      <c r="AU128" s="27" t="s">
        <v>8</v>
      </c>
      <c r="AW128" s="27" t="s">
        <v>8</v>
      </c>
      <c r="AX128" s="27" t="s">
        <v>7</v>
      </c>
      <c r="AY128" s="27" t="s">
        <v>8</v>
      </c>
      <c r="BP128" s="27" t="s">
        <v>7</v>
      </c>
      <c r="BQ128" s="27" t="s">
        <v>8</v>
      </c>
      <c r="BT128" s="27" t="s">
        <v>7</v>
      </c>
      <c r="BU128" s="27" t="s">
        <v>8</v>
      </c>
      <c r="CD128" s="27" t="s">
        <v>7</v>
      </c>
      <c r="CG128" s="32" t="s">
        <v>8</v>
      </c>
      <c r="CI128" s="34" t="s">
        <v>8</v>
      </c>
      <c r="CM128" s="27" t="s">
        <v>8</v>
      </c>
      <c r="CT128" s="31"/>
      <c r="DL128" s="27" t="s">
        <v>7</v>
      </c>
      <c r="DN128" s="27" t="s">
        <v>7</v>
      </c>
    </row>
    <row r="129" spans="1:118" x14ac:dyDescent="0.25">
      <c r="A129" s="30">
        <v>224.91177693633563</v>
      </c>
      <c r="C129" s="1" t="s">
        <v>11</v>
      </c>
      <c r="D129" s="1" t="s">
        <v>12</v>
      </c>
      <c r="E129"/>
      <c r="AM129" s="27" t="s">
        <v>8</v>
      </c>
      <c r="AO129" s="27" t="s">
        <v>8</v>
      </c>
      <c r="AP129" s="27" t="s">
        <v>7</v>
      </c>
      <c r="AQ129" s="27" t="s">
        <v>8</v>
      </c>
      <c r="AR129" s="27" t="s">
        <v>7</v>
      </c>
      <c r="AS129" s="27" t="s">
        <v>8</v>
      </c>
      <c r="AT129" s="27" t="s">
        <v>7</v>
      </c>
      <c r="AU129" s="27" t="s">
        <v>8</v>
      </c>
      <c r="AV129" s="27" t="s">
        <v>7</v>
      </c>
      <c r="AW129" s="27" t="s">
        <v>8</v>
      </c>
      <c r="AX129" s="27" t="s">
        <v>7</v>
      </c>
      <c r="AY129" s="27" t="s">
        <v>8</v>
      </c>
      <c r="BP129" s="27" t="s">
        <v>7</v>
      </c>
      <c r="BQ129" s="27" t="s">
        <v>8</v>
      </c>
      <c r="BT129" s="27" t="s">
        <v>7</v>
      </c>
      <c r="BU129" s="27" t="s">
        <v>8</v>
      </c>
      <c r="CD129" s="27" t="s">
        <v>7</v>
      </c>
      <c r="CE129" s="27" t="s">
        <v>8</v>
      </c>
      <c r="CG129" s="27" t="s">
        <v>8</v>
      </c>
      <c r="CH129" s="27" t="s">
        <v>7</v>
      </c>
      <c r="CI129" s="27" t="s">
        <v>8</v>
      </c>
      <c r="CJ129" s="27" t="s">
        <v>7</v>
      </c>
      <c r="CM129" s="27" t="s">
        <v>8</v>
      </c>
      <c r="CS129" s="31"/>
      <c r="DN129" s="27" t="s">
        <v>7</v>
      </c>
    </row>
    <row r="130" spans="1:118" x14ac:dyDescent="0.25">
      <c r="A130" s="30">
        <v>214.20169232031964</v>
      </c>
      <c r="C130" s="6"/>
      <c r="D130" s="6"/>
      <c r="E130"/>
      <c r="AM130" s="27" t="s">
        <v>8</v>
      </c>
      <c r="AN130" s="27" t="s">
        <v>7</v>
      </c>
      <c r="AO130" s="27" t="s">
        <v>8</v>
      </c>
      <c r="AP130" s="27" t="s">
        <v>7</v>
      </c>
      <c r="AQ130" s="27" t="s">
        <v>8</v>
      </c>
      <c r="AR130" s="27" t="s">
        <v>7</v>
      </c>
      <c r="AT130" s="27" t="s">
        <v>7</v>
      </c>
      <c r="AU130" s="27" t="s">
        <v>8</v>
      </c>
      <c r="AV130" s="27" t="s">
        <v>7</v>
      </c>
      <c r="AW130" s="27" t="s">
        <v>8</v>
      </c>
      <c r="AX130" s="27" t="s">
        <v>7</v>
      </c>
      <c r="BP130" s="27" t="s">
        <v>7</v>
      </c>
      <c r="BQ130" s="27" t="s">
        <v>8</v>
      </c>
      <c r="BT130" s="27" t="s">
        <v>7</v>
      </c>
      <c r="BU130" s="27" t="s">
        <v>8</v>
      </c>
      <c r="CD130" s="27" t="s">
        <v>7</v>
      </c>
      <c r="CE130" s="27" t="s">
        <v>8</v>
      </c>
      <c r="CF130" s="27" t="s">
        <v>7</v>
      </c>
      <c r="CG130" s="27" t="s">
        <v>8</v>
      </c>
      <c r="CH130" s="27" t="s">
        <v>7</v>
      </c>
      <c r="CI130" s="27" t="s">
        <v>8</v>
      </c>
      <c r="CJ130" s="27" t="s">
        <v>7</v>
      </c>
      <c r="CM130" s="32" t="s">
        <v>8</v>
      </c>
      <c r="CR130" s="31"/>
      <c r="DN130" s="27" t="s">
        <v>7</v>
      </c>
    </row>
    <row r="131" spans="1:118" x14ac:dyDescent="0.25">
      <c r="A131" s="30">
        <v>204.00161173363773</v>
      </c>
      <c r="E131"/>
      <c r="AM131" s="27" t="s">
        <v>8</v>
      </c>
      <c r="AN131" s="27" t="s">
        <v>7</v>
      </c>
      <c r="AO131" s="27" t="s">
        <v>8</v>
      </c>
      <c r="AP131" s="27" t="s">
        <v>7</v>
      </c>
      <c r="AT131" s="27" t="s">
        <v>7</v>
      </c>
      <c r="AV131" s="27" t="s">
        <v>7</v>
      </c>
      <c r="BP131" s="27" t="s">
        <v>7</v>
      </c>
      <c r="BQ131" s="27" t="s">
        <v>8</v>
      </c>
      <c r="BT131" s="27" t="s">
        <v>7</v>
      </c>
      <c r="CD131" s="27" t="s">
        <v>7</v>
      </c>
      <c r="CE131" s="27" t="s">
        <v>8</v>
      </c>
      <c r="CF131" s="27" t="s">
        <v>7</v>
      </c>
      <c r="CG131" s="27" t="s">
        <v>8</v>
      </c>
      <c r="CH131" s="27" t="s">
        <v>7</v>
      </c>
      <c r="CI131" s="27" t="s">
        <v>8</v>
      </c>
      <c r="CJ131" s="27" t="s">
        <v>7</v>
      </c>
      <c r="CK131" s="27" t="s">
        <v>8</v>
      </c>
      <c r="CM131" s="27" t="s">
        <v>8</v>
      </c>
      <c r="CQ131" s="31"/>
      <c r="DN131" s="27" t="s">
        <v>7</v>
      </c>
    </row>
    <row r="132" spans="1:118" x14ac:dyDescent="0.25">
      <c r="A132" s="30">
        <v>194.28724927013116</v>
      </c>
      <c r="C132" s="1" t="s">
        <v>13</v>
      </c>
      <c r="E132"/>
      <c r="AM132" s="27" t="s">
        <v>8</v>
      </c>
      <c r="AN132" s="27" t="s">
        <v>7</v>
      </c>
      <c r="AO132" s="27" t="s">
        <v>8</v>
      </c>
      <c r="BP132" s="27" t="s">
        <v>7</v>
      </c>
      <c r="BQ132" s="27" t="s">
        <v>8</v>
      </c>
      <c r="CD132" s="27" t="s">
        <v>7</v>
      </c>
      <c r="CE132" s="27" t="s">
        <v>8</v>
      </c>
      <c r="CF132" s="27" t="s">
        <v>7</v>
      </c>
      <c r="CG132" s="27" t="s">
        <v>8</v>
      </c>
      <c r="CH132" s="27" t="s">
        <v>7</v>
      </c>
      <c r="CJ132" s="27" t="s">
        <v>7</v>
      </c>
      <c r="CK132" s="27" t="s">
        <v>8</v>
      </c>
      <c r="CL132" s="27" t="s">
        <v>7</v>
      </c>
      <c r="CM132" s="27" t="s">
        <v>8</v>
      </c>
      <c r="CP132" s="31"/>
      <c r="DN132" s="27" t="s">
        <v>7</v>
      </c>
    </row>
    <row r="133" spans="1:118" x14ac:dyDescent="0.25">
      <c r="A133" s="30">
        <v>185.03547549536299</v>
      </c>
      <c r="C133" s="1" t="str">
        <f>C122</f>
        <v>O</v>
      </c>
      <c r="E133"/>
      <c r="AM133" s="27" t="s">
        <v>8</v>
      </c>
      <c r="AN133" s="27" t="s">
        <v>7</v>
      </c>
      <c r="BP133" s="27" t="s">
        <v>7</v>
      </c>
      <c r="BQ133" s="27" t="s">
        <v>8</v>
      </c>
      <c r="CD133" s="27" t="s">
        <v>7</v>
      </c>
      <c r="CE133" s="27" t="s">
        <v>8</v>
      </c>
      <c r="CF133" s="27" t="s">
        <v>7</v>
      </c>
      <c r="CG133" s="27" t="s">
        <v>8</v>
      </c>
      <c r="CJ133" s="33" t="s">
        <v>7</v>
      </c>
      <c r="CK133" s="27" t="s">
        <v>8</v>
      </c>
      <c r="CL133" s="27" t="s">
        <v>7</v>
      </c>
      <c r="CM133" s="27" t="s">
        <v>8</v>
      </c>
      <c r="CO133" s="31"/>
      <c r="DN133" s="27" t="s">
        <v>7</v>
      </c>
    </row>
    <row r="134" spans="1:118" x14ac:dyDescent="0.25">
      <c r="A134" s="30">
        <v>176.22426237653616</v>
      </c>
      <c r="C134"/>
      <c r="E134"/>
      <c r="AM134" s="27" t="s">
        <v>8</v>
      </c>
      <c r="BP134" s="27" t="s">
        <v>7</v>
      </c>
      <c r="BQ134" s="27" t="s">
        <v>8</v>
      </c>
      <c r="CD134" s="27" t="s">
        <v>7</v>
      </c>
      <c r="CE134" s="27" t="s">
        <v>8</v>
      </c>
      <c r="CF134" s="27" t="s">
        <v>7</v>
      </c>
      <c r="CG134" s="27" t="s">
        <v>8</v>
      </c>
      <c r="CJ134" s="27" t="s">
        <v>7</v>
      </c>
      <c r="CK134" s="27" t="s">
        <v>8</v>
      </c>
      <c r="CL134" s="27" t="s">
        <v>7</v>
      </c>
      <c r="CN134" s="31"/>
      <c r="DN134" s="27" t="s">
        <v>7</v>
      </c>
    </row>
    <row r="135" spans="1:118" x14ac:dyDescent="0.25">
      <c r="A135" s="30">
        <v>167.83263083479633</v>
      </c>
      <c r="C135" s="1" t="s">
        <v>14</v>
      </c>
      <c r="E135"/>
      <c r="AM135" s="27" t="s">
        <v>8</v>
      </c>
      <c r="BP135" s="27" t="s">
        <v>7</v>
      </c>
      <c r="BQ135" s="27" t="s">
        <v>8</v>
      </c>
      <c r="CD135" s="27" t="s">
        <v>7</v>
      </c>
      <c r="CF135" s="27" t="s">
        <v>7</v>
      </c>
      <c r="CG135" s="27" t="s">
        <v>8</v>
      </c>
      <c r="CJ135" s="18" t="s">
        <v>7</v>
      </c>
      <c r="CK135" s="27" t="s">
        <v>8</v>
      </c>
      <c r="CM135" s="31"/>
      <c r="DN135" s="27" t="s">
        <v>7</v>
      </c>
    </row>
    <row r="136" spans="1:118" x14ac:dyDescent="0.25">
      <c r="A136" s="30">
        <v>159.84060079504411</v>
      </c>
      <c r="C136" s="1" t="str">
        <f>IF(C133=$S$1,IF(D130&lt;(C127*0.952380952380952),$S$1,IF(C130&gt;(C127*1.157625),$U$1,"")),"")</f>
        <v>O</v>
      </c>
      <c r="D136" s="1" t="str">
        <f>IF(C133=$U$1,IF(C130&gt;(C127*1.05),$U$1,IF(D130&lt;(C127*0.863837598531476),$S$1,"")),"")</f>
        <v/>
      </c>
      <c r="E136"/>
      <c r="AM136" s="27" t="s">
        <v>8</v>
      </c>
      <c r="BP136" s="27" t="s">
        <v>7</v>
      </c>
      <c r="CF136" s="27" t="s">
        <v>7</v>
      </c>
      <c r="CJ136" s="27" t="s">
        <v>7</v>
      </c>
      <c r="CK136" s="27" t="s">
        <v>8</v>
      </c>
      <c r="CL136" s="31"/>
    </row>
    <row r="137" spans="1:118" x14ac:dyDescent="0.25">
      <c r="A137" s="30">
        <v>152.22914361432771</v>
      </c>
      <c r="E137"/>
      <c r="AM137" s="27" t="s">
        <v>8</v>
      </c>
      <c r="CJ137" s="27" t="s">
        <v>7</v>
      </c>
      <c r="CK137" s="31" t="s">
        <v>8</v>
      </c>
    </row>
    <row r="138" spans="1:118" x14ac:dyDescent="0.25">
      <c r="A138" s="30">
        <v>144.98013677555019</v>
      </c>
      <c r="C138" s="1">
        <f>IF(AND(C136="",D136=""),0,IF(AND(C133="X",D136="X"),1,IF(AND(C133="O",C136="O"),2,(IF(AND(C133="X",D136="O"),3,4)))))</f>
        <v>2</v>
      </c>
      <c r="E138"/>
      <c r="AM138" s="27" t="s">
        <v>8</v>
      </c>
      <c r="CJ138" s="31" t="s">
        <v>7</v>
      </c>
    </row>
    <row r="139" spans="1:118" x14ac:dyDescent="0.25">
      <c r="A139" s="30">
        <v>138.07632073861922</v>
      </c>
      <c r="E139"/>
      <c r="AM139" s="27" t="s">
        <v>8</v>
      </c>
    </row>
    <row r="140" spans="1:118" x14ac:dyDescent="0.25">
      <c r="A140" s="30">
        <v>131.50125784630401</v>
      </c>
      <c r="C140" s="1">
        <v>0</v>
      </c>
      <c r="E140"/>
      <c r="AM140" s="27" t="s">
        <v>8</v>
      </c>
    </row>
    <row r="141" spans="1:118" x14ac:dyDescent="0.25">
      <c r="A141" s="30">
        <v>125.23929318695619</v>
      </c>
      <c r="C141" s="1">
        <v>1</v>
      </c>
      <c r="E141"/>
      <c r="AM141" s="27" t="s">
        <v>8</v>
      </c>
    </row>
    <row r="142" spans="1:118" x14ac:dyDescent="0.25">
      <c r="A142" s="30">
        <v>119.27551732091065</v>
      </c>
      <c r="C142" s="1">
        <v>2</v>
      </c>
      <c r="E142"/>
      <c r="AE142" s="27" t="s">
        <v>8</v>
      </c>
      <c r="AK142" s="27" t="s">
        <v>8</v>
      </c>
      <c r="AM142" s="27" t="s">
        <v>8</v>
      </c>
    </row>
    <row r="143" spans="1:118" x14ac:dyDescent="0.25">
      <c r="A143" s="30">
        <v>113.59573078181967</v>
      </c>
      <c r="C143" s="1">
        <v>3</v>
      </c>
      <c r="E143"/>
      <c r="AE143" s="27" t="s">
        <v>8</v>
      </c>
      <c r="AF143" s="27" t="s">
        <v>7</v>
      </c>
      <c r="AI143" s="27" t="s">
        <v>8</v>
      </c>
      <c r="AK143" s="27" t="s">
        <v>8</v>
      </c>
      <c r="AL143" s="27" t="s">
        <v>7</v>
      </c>
      <c r="AM143" s="27" t="s">
        <v>8</v>
      </c>
    </row>
    <row r="144" spans="1:118" x14ac:dyDescent="0.25">
      <c r="A144" s="30">
        <v>108.18641026839968</v>
      </c>
      <c r="C144" s="1">
        <v>4</v>
      </c>
      <c r="E144"/>
      <c r="AC144" s="27" t="s">
        <v>8</v>
      </c>
      <c r="AE144" s="27" t="s">
        <v>8</v>
      </c>
      <c r="AF144" s="27" t="s">
        <v>7</v>
      </c>
      <c r="AG144" s="27" t="s">
        <v>8</v>
      </c>
      <c r="AI144" s="27" t="s">
        <v>8</v>
      </c>
      <c r="AJ144" s="27" t="s">
        <v>7</v>
      </c>
      <c r="AK144" s="27" t="s">
        <v>8</v>
      </c>
      <c r="AL144" s="27" t="s">
        <v>7</v>
      </c>
      <c r="AM144" s="27" t="s">
        <v>8</v>
      </c>
    </row>
    <row r="145" spans="1:38" x14ac:dyDescent="0.25">
      <c r="A145" s="30">
        <v>103.03467644609493</v>
      </c>
      <c r="E145"/>
      <c r="AC145" s="27" t="s">
        <v>8</v>
      </c>
      <c r="AD145" s="27" t="s">
        <v>7</v>
      </c>
      <c r="AE145" s="27" t="s">
        <v>8</v>
      </c>
      <c r="AF145" s="27" t="s">
        <v>7</v>
      </c>
      <c r="AG145" s="27" t="s">
        <v>8</v>
      </c>
      <c r="AH145" s="27" t="s">
        <v>7</v>
      </c>
      <c r="AI145" s="27" t="s">
        <v>8</v>
      </c>
      <c r="AJ145" s="27" t="s">
        <v>7</v>
      </c>
      <c r="AK145" s="27" t="s">
        <v>8</v>
      </c>
      <c r="AL145" s="27" t="s">
        <v>7</v>
      </c>
    </row>
    <row r="146" spans="1:38" x14ac:dyDescent="0.25">
      <c r="A146" s="30">
        <v>98.128263281995174</v>
      </c>
      <c r="E146"/>
      <c r="AC146" s="27" t="s">
        <v>8</v>
      </c>
      <c r="AD146" s="27" t="s">
        <v>7</v>
      </c>
      <c r="AE146" s="27" t="s">
        <v>8</v>
      </c>
      <c r="AF146" s="27" t="s">
        <v>7</v>
      </c>
      <c r="AG146" s="27" t="s">
        <v>8</v>
      </c>
      <c r="AH146" s="27" t="s">
        <v>7</v>
      </c>
      <c r="AI146" s="27" t="s">
        <v>8</v>
      </c>
      <c r="AJ146" s="27" t="s">
        <v>7</v>
      </c>
    </row>
    <row r="147" spans="1:38" x14ac:dyDescent="0.25">
      <c r="A147" s="30">
        <v>93.455488839995397</v>
      </c>
      <c r="E147"/>
      <c r="AC147" s="27" t="s">
        <v>8</v>
      </c>
      <c r="AD147" s="27" t="s">
        <v>7</v>
      </c>
      <c r="AF147" s="27" t="s">
        <v>7</v>
      </c>
      <c r="AG147" s="27" t="s">
        <v>8</v>
      </c>
      <c r="AH147" s="27" t="s">
        <v>7</v>
      </c>
    </row>
    <row r="148" spans="1:38" x14ac:dyDescent="0.25">
      <c r="A148" s="30">
        <v>89.005227466662276</v>
      </c>
      <c r="E148"/>
      <c r="AC148" s="27" t="s">
        <v>8</v>
      </c>
      <c r="AF148" s="27" t="s">
        <v>7</v>
      </c>
    </row>
    <row r="149" spans="1:38" x14ac:dyDescent="0.25">
      <c r="A149" s="30">
        <v>84.766883301583121</v>
      </c>
      <c r="E149"/>
      <c r="AC149" s="27" t="s">
        <v>8</v>
      </c>
    </row>
    <row r="150" spans="1:38" x14ac:dyDescent="0.25">
      <c r="A150" s="30">
        <v>80.730365049126775</v>
      </c>
      <c r="E150"/>
      <c r="AC150" s="27" t="s">
        <v>8</v>
      </c>
    </row>
    <row r="151" spans="1:38" x14ac:dyDescent="0.25">
      <c r="A151" s="30">
        <v>76.886061951549308</v>
      </c>
      <c r="E151"/>
      <c r="AA151" s="27" t="s">
        <v>8</v>
      </c>
      <c r="AC151" s="27" t="s">
        <v>8</v>
      </c>
    </row>
    <row r="152" spans="1:38" x14ac:dyDescent="0.25">
      <c r="A152" s="30">
        <v>73.22482090623744</v>
      </c>
      <c r="E152"/>
      <c r="Y152" s="27" t="s">
        <v>8</v>
      </c>
      <c r="AA152" s="27" t="s">
        <v>8</v>
      </c>
      <c r="AB152" s="27" t="s">
        <v>7</v>
      </c>
      <c r="AC152" s="27" t="s">
        <v>8</v>
      </c>
    </row>
    <row r="153" spans="1:38" x14ac:dyDescent="0.25">
      <c r="A153" s="30">
        <v>69.737924672607079</v>
      </c>
      <c r="C153" s="7"/>
      <c r="D153"/>
      <c r="E153"/>
      <c r="Y153" s="27" t="s">
        <v>8</v>
      </c>
      <c r="Z153" s="27" t="s">
        <v>7</v>
      </c>
      <c r="AA153" s="27" t="s">
        <v>8</v>
      </c>
      <c r="AB153" s="27" t="s">
        <v>7</v>
      </c>
      <c r="AC153" s="27" t="s">
        <v>8</v>
      </c>
    </row>
    <row r="154" spans="1:38" x14ac:dyDescent="0.25">
      <c r="A154" s="30">
        <v>66.417071116768639</v>
      </c>
      <c r="E154"/>
      <c r="Y154" s="27" t="s">
        <v>8</v>
      </c>
      <c r="Z154" s="27" t="s">
        <v>7</v>
      </c>
      <c r="AA154" s="27" t="s">
        <v>8</v>
      </c>
      <c r="AB154" s="27" t="s">
        <v>7</v>
      </c>
      <c r="AC154" s="27" t="s">
        <v>8</v>
      </c>
    </row>
    <row r="155" spans="1:38" x14ac:dyDescent="0.25">
      <c r="A155" s="30">
        <v>63.254353444541557</v>
      </c>
      <c r="E155"/>
      <c r="U155" s="27" t="s">
        <v>8</v>
      </c>
      <c r="Y155" s="27" t="s">
        <v>8</v>
      </c>
      <c r="Z155" s="27" t="s">
        <v>7</v>
      </c>
      <c r="AA155" s="27" t="s">
        <v>8</v>
      </c>
      <c r="AB155" s="27" t="s">
        <v>7</v>
      </c>
      <c r="AC155" s="27" t="s">
        <v>8</v>
      </c>
    </row>
    <row r="156" spans="1:38" x14ac:dyDescent="0.25">
      <c r="A156" s="30">
        <v>60.242241375753864</v>
      </c>
      <c r="C156"/>
      <c r="D156"/>
      <c r="E156"/>
      <c r="U156" s="27" t="s">
        <v>8</v>
      </c>
      <c r="V156" s="27" t="s">
        <v>7</v>
      </c>
      <c r="W156" s="27" t="s">
        <v>8</v>
      </c>
      <c r="Y156" s="27" t="s">
        <v>8</v>
      </c>
      <c r="Z156" s="27" t="s">
        <v>7</v>
      </c>
      <c r="AB156" s="27" t="s">
        <v>7</v>
      </c>
    </row>
    <row r="157" spans="1:38" x14ac:dyDescent="0.25">
      <c r="A157" s="30">
        <v>57.373563215003678</v>
      </c>
      <c r="E157"/>
      <c r="U157" s="27" t="s">
        <v>8</v>
      </c>
      <c r="V157" s="27" t="s">
        <v>7</v>
      </c>
      <c r="W157" s="27" t="s">
        <v>8</v>
      </c>
      <c r="X157" s="27" t="s">
        <v>7</v>
      </c>
      <c r="Y157" s="27" t="s">
        <v>8</v>
      </c>
    </row>
    <row r="158" spans="1:38" x14ac:dyDescent="0.25">
      <c r="A158" s="30">
        <v>54.641488776193974</v>
      </c>
      <c r="E158"/>
      <c r="U158" s="27" t="s">
        <v>8</v>
      </c>
      <c r="V158" s="27" t="s">
        <v>7</v>
      </c>
      <c r="W158" s="27" t="s">
        <v>8</v>
      </c>
      <c r="X158" s="27" t="s">
        <v>7</v>
      </c>
      <c r="Y158" s="27" t="s">
        <v>8</v>
      </c>
    </row>
    <row r="159" spans="1:38" x14ac:dyDescent="0.25">
      <c r="A159" s="30">
        <v>52.039513120184736</v>
      </c>
      <c r="E159"/>
      <c r="S159" s="27" t="s">
        <v>8</v>
      </c>
      <c r="U159" s="27" t="s">
        <v>8</v>
      </c>
      <c r="V159" s="27" t="s">
        <v>7</v>
      </c>
      <c r="W159" s="27" t="s">
        <v>8</v>
      </c>
      <c r="X159" s="27" t="s">
        <v>7</v>
      </c>
      <c r="Y159" s="27" t="s">
        <v>8</v>
      </c>
    </row>
    <row r="160" spans="1:38" x14ac:dyDescent="0.25">
      <c r="A160" s="30">
        <v>49.561441066842605</v>
      </c>
      <c r="C160"/>
      <c r="E160"/>
      <c r="K160" s="27" t="s">
        <v>8</v>
      </c>
      <c r="S160" s="27" t="s">
        <v>8</v>
      </c>
      <c r="T160" s="27" t="s">
        <v>7</v>
      </c>
      <c r="U160" s="27" t="s">
        <v>8</v>
      </c>
      <c r="V160" s="27" t="s">
        <v>7</v>
      </c>
      <c r="W160" s="27" t="s">
        <v>8</v>
      </c>
      <c r="X160" s="27" t="s">
        <v>7</v>
      </c>
      <c r="Y160" s="27" t="s">
        <v>8</v>
      </c>
    </row>
    <row r="161" spans="1:25" x14ac:dyDescent="0.25">
      <c r="A161" s="30">
        <v>47.201372444612005</v>
      </c>
      <c r="E161"/>
      <c r="K161" s="27" t="s">
        <v>8</v>
      </c>
      <c r="L161" s="27" t="s">
        <v>7</v>
      </c>
      <c r="S161" s="27" t="s">
        <v>8</v>
      </c>
      <c r="T161" s="27" t="s">
        <v>7</v>
      </c>
      <c r="U161" s="27" t="s">
        <v>8</v>
      </c>
      <c r="V161" s="27" t="s">
        <v>7</v>
      </c>
      <c r="W161" s="27" t="s">
        <v>8</v>
      </c>
      <c r="X161" s="27" t="s">
        <v>7</v>
      </c>
      <c r="Y161" s="27" t="s">
        <v>8</v>
      </c>
    </row>
    <row r="162" spans="1:25" x14ac:dyDescent="0.25">
      <c r="A162" s="30">
        <v>44.95368804248762</v>
      </c>
      <c r="E162"/>
      <c r="K162" s="27" t="s">
        <v>8</v>
      </c>
      <c r="L162" s="27" t="s">
        <v>7</v>
      </c>
      <c r="S162" s="27" t="s">
        <v>8</v>
      </c>
      <c r="T162" s="27" t="s">
        <v>7</v>
      </c>
      <c r="U162" s="27" t="s">
        <v>8</v>
      </c>
      <c r="V162" s="27" t="s">
        <v>7</v>
      </c>
      <c r="X162" s="27" t="s">
        <v>7</v>
      </c>
    </row>
    <row r="163" spans="1:25" x14ac:dyDescent="0.25">
      <c r="A163" s="30">
        <v>42.81303623094059</v>
      </c>
      <c r="E163" t="s">
        <v>8</v>
      </c>
      <c r="K163" s="27" t="s">
        <v>8</v>
      </c>
      <c r="L163" s="27" t="s">
        <v>7</v>
      </c>
      <c r="S163" s="27" t="s">
        <v>8</v>
      </c>
      <c r="T163" s="27" t="s">
        <v>7</v>
      </c>
      <c r="U163" s="27" t="s">
        <v>8</v>
      </c>
    </row>
    <row r="164" spans="1:25" x14ac:dyDescent="0.25">
      <c r="A164" s="30">
        <v>40.774320219943419</v>
      </c>
      <c r="E164" t="s">
        <v>8</v>
      </c>
      <c r="F164" s="27" t="s">
        <v>7</v>
      </c>
      <c r="K164" s="27" t="s">
        <v>8</v>
      </c>
      <c r="L164" s="27" t="s">
        <v>7</v>
      </c>
      <c r="S164" s="27" t="s">
        <v>8</v>
      </c>
      <c r="T164" s="27" t="s">
        <v>7</v>
      </c>
      <c r="U164" s="27" t="s">
        <v>8</v>
      </c>
    </row>
    <row r="165" spans="1:25" x14ac:dyDescent="0.25">
      <c r="A165" s="30">
        <v>38.832685923755633</v>
      </c>
      <c r="E165" t="s">
        <v>8</v>
      </c>
      <c r="F165" s="27" t="s">
        <v>7</v>
      </c>
      <c r="K165" s="27" t="s">
        <v>8</v>
      </c>
      <c r="L165" s="27" t="s">
        <v>7</v>
      </c>
      <c r="S165" s="27" t="s">
        <v>8</v>
      </c>
      <c r="T165" s="27" t="s">
        <v>7</v>
      </c>
    </row>
    <row r="166" spans="1:25" x14ac:dyDescent="0.25">
      <c r="A166" s="30">
        <v>36.983510403576794</v>
      </c>
      <c r="E166" t="s">
        <v>8</v>
      </c>
      <c r="F166" s="27" t="s">
        <v>7</v>
      </c>
      <c r="G166" s="27" t="s">
        <v>8</v>
      </c>
      <c r="I166" s="27" t="s">
        <v>8</v>
      </c>
      <c r="K166" s="27" t="s">
        <v>8</v>
      </c>
      <c r="L166" s="27" t="s">
        <v>7</v>
      </c>
      <c r="M166" s="27" t="s">
        <v>8</v>
      </c>
      <c r="Q166" s="27" t="s">
        <v>8</v>
      </c>
      <c r="S166" s="27" t="s">
        <v>8</v>
      </c>
    </row>
    <row r="167" spans="1:25" x14ac:dyDescent="0.25">
      <c r="A167" s="30">
        <v>35.222390860549325</v>
      </c>
      <c r="E167" t="s">
        <v>8</v>
      </c>
      <c r="F167" s="27" t="s">
        <v>7</v>
      </c>
      <c r="G167" s="27" t="s">
        <v>8</v>
      </c>
      <c r="H167" s="27" t="s">
        <v>7</v>
      </c>
      <c r="I167" s="27" t="s">
        <v>8</v>
      </c>
      <c r="J167" s="27" t="s">
        <v>7</v>
      </c>
      <c r="K167" s="27" t="s">
        <v>8</v>
      </c>
      <c r="L167" s="27" t="s">
        <v>7</v>
      </c>
      <c r="M167" s="27" t="s">
        <v>8</v>
      </c>
      <c r="N167" s="27" t="s">
        <v>7</v>
      </c>
      <c r="Q167" s="27" t="s">
        <v>8</v>
      </c>
      <c r="R167" s="27" t="s">
        <v>7</v>
      </c>
      <c r="S167" s="27" t="s">
        <v>8</v>
      </c>
    </row>
    <row r="168" spans="1:25" x14ac:dyDescent="0.25">
      <c r="A168" s="30">
        <v>33.545134152904119</v>
      </c>
      <c r="E168" t="s">
        <v>8</v>
      </c>
      <c r="F168" s="27" t="s">
        <v>7</v>
      </c>
      <c r="G168" s="27" t="s">
        <v>8</v>
      </c>
      <c r="H168" s="27" t="s">
        <v>7</v>
      </c>
      <c r="I168" s="27" t="s">
        <v>8</v>
      </c>
      <c r="J168" s="27" t="s">
        <v>7</v>
      </c>
      <c r="K168" s="27" t="s">
        <v>8</v>
      </c>
      <c r="L168" s="27" t="s">
        <v>7</v>
      </c>
      <c r="M168" s="27" t="s">
        <v>8</v>
      </c>
      <c r="N168" s="27" t="s">
        <v>7</v>
      </c>
      <c r="Q168" s="27" t="s">
        <v>8</v>
      </c>
      <c r="R168" s="27" t="s">
        <v>7</v>
      </c>
      <c r="S168" s="27" t="s">
        <v>8</v>
      </c>
    </row>
    <row r="169" spans="1:25" x14ac:dyDescent="0.25">
      <c r="A169" s="30">
        <v>31.947746812289637</v>
      </c>
      <c r="E169" t="s">
        <v>8</v>
      </c>
      <c r="F169" s="27" t="s">
        <v>7</v>
      </c>
      <c r="G169" s="27" t="s">
        <v>8</v>
      </c>
      <c r="H169" s="27" t="s">
        <v>7</v>
      </c>
      <c r="I169" s="27" t="s">
        <v>8</v>
      </c>
      <c r="J169" s="27" t="s">
        <v>7</v>
      </c>
      <c r="L169" s="27" t="s">
        <v>7</v>
      </c>
      <c r="N169" s="27" t="s">
        <v>7</v>
      </c>
      <c r="O169" s="27" t="s">
        <v>8</v>
      </c>
      <c r="Q169" s="27" t="s">
        <v>8</v>
      </c>
      <c r="R169" s="27" t="s">
        <v>7</v>
      </c>
      <c r="S169" s="27" t="s">
        <v>8</v>
      </c>
    </row>
    <row r="170" spans="1:25" x14ac:dyDescent="0.25">
      <c r="A170" s="30">
        <v>30.426425535513939</v>
      </c>
      <c r="E170" t="s">
        <v>8</v>
      </c>
      <c r="F170" s="27" t="s">
        <v>7</v>
      </c>
      <c r="H170" s="27" t="s">
        <v>7</v>
      </c>
      <c r="N170" s="27" t="s">
        <v>7</v>
      </c>
      <c r="O170" s="27" t="s">
        <v>8</v>
      </c>
      <c r="P170" s="27" t="s">
        <v>7</v>
      </c>
      <c r="Q170" s="27" t="s">
        <v>8</v>
      </c>
      <c r="R170" s="27" t="s">
        <v>7</v>
      </c>
      <c r="S170" s="27" t="s">
        <v>8</v>
      </c>
    </row>
    <row r="171" spans="1:25" x14ac:dyDescent="0.25">
      <c r="A171" s="30">
        <v>28.977548129060892</v>
      </c>
      <c r="E171" t="s">
        <v>8</v>
      </c>
      <c r="N171" s="27" t="s">
        <v>7</v>
      </c>
      <c r="O171" s="27" t="s">
        <v>8</v>
      </c>
      <c r="P171" s="27" t="s">
        <v>7</v>
      </c>
      <c r="Q171" s="27" t="s">
        <v>8</v>
      </c>
      <c r="R171" s="27" t="s">
        <v>7</v>
      </c>
      <c r="S171" s="27" t="s">
        <v>8</v>
      </c>
    </row>
    <row r="172" spans="1:25" x14ac:dyDescent="0.25">
      <c r="A172" s="30">
        <v>27.597664884819896</v>
      </c>
      <c r="E172" t="s">
        <v>8</v>
      </c>
      <c r="N172" s="27" t="s">
        <v>7</v>
      </c>
      <c r="O172" s="27" t="s">
        <v>8</v>
      </c>
      <c r="P172" s="27" t="s">
        <v>7</v>
      </c>
      <c r="Q172" s="27" t="s">
        <v>8</v>
      </c>
      <c r="R172" s="27" t="s">
        <v>7</v>
      </c>
    </row>
    <row r="173" spans="1:25" x14ac:dyDescent="0.25">
      <c r="A173" s="30">
        <v>26.283490366495137</v>
      </c>
      <c r="E173" t="s">
        <v>8</v>
      </c>
      <c r="N173" s="27" t="s">
        <v>7</v>
      </c>
      <c r="O173" s="27" t="s">
        <v>8</v>
      </c>
      <c r="P173" s="27" t="s">
        <v>7</v>
      </c>
    </row>
    <row r="174" spans="1:25" x14ac:dyDescent="0.25">
      <c r="A174" s="30">
        <v>25.031895587138223</v>
      </c>
      <c r="E174" t="s">
        <v>8</v>
      </c>
      <c r="N174" s="27" t="s">
        <v>7</v>
      </c>
      <c r="O174" s="27" t="s">
        <v>8</v>
      </c>
    </row>
    <row r="175" spans="1:25" x14ac:dyDescent="0.25">
      <c r="A175" s="30">
        <v>23.839900559179259</v>
      </c>
      <c r="E175" t="s">
        <v>8</v>
      </c>
      <c r="N175" s="27" t="s">
        <v>7</v>
      </c>
    </row>
    <row r="176" spans="1:25" x14ac:dyDescent="0.25">
      <c r="A176" s="30">
        <v>22.704667199218342</v>
      </c>
      <c r="E176" t="s">
        <v>8</v>
      </c>
    </row>
    <row r="177" spans="1:5" x14ac:dyDescent="0.25">
      <c r="A177" s="30">
        <v>21.623492570684135</v>
      </c>
      <c r="E177" t="s">
        <v>8</v>
      </c>
    </row>
    <row r="178" spans="1:5" x14ac:dyDescent="0.25">
      <c r="A178" s="30">
        <v>20.593802448270605</v>
      </c>
      <c r="C178" s="7"/>
      <c r="D178"/>
      <c r="E178" t="s">
        <v>8</v>
      </c>
    </row>
    <row r="179" spans="1:5" x14ac:dyDescent="0.25">
      <c r="A179" s="30">
        <v>19.613145188829147</v>
      </c>
      <c r="E179" t="s">
        <v>8</v>
      </c>
    </row>
    <row r="180" spans="1:5" x14ac:dyDescent="0.25">
      <c r="A180" s="30">
        <v>18.679185894122998</v>
      </c>
      <c r="E180" t="s">
        <v>8</v>
      </c>
    </row>
    <row r="181" spans="1:5" x14ac:dyDescent="0.25">
      <c r="A181" s="30">
        <v>17.78970085154571</v>
      </c>
      <c r="C181"/>
      <c r="D181"/>
      <c r="E181" t="s">
        <v>8</v>
      </c>
    </row>
    <row r="182" spans="1:5" x14ac:dyDescent="0.25">
      <c r="A182" s="30">
        <v>16.942572239567344</v>
      </c>
      <c r="E182" t="s">
        <v>8</v>
      </c>
    </row>
    <row r="183" spans="1:5" x14ac:dyDescent="0.25">
      <c r="A183" s="30">
        <v>16.135783085302233</v>
      </c>
      <c r="E183" t="s">
        <v>8</v>
      </c>
    </row>
    <row r="184" spans="1:5" x14ac:dyDescent="0.25">
      <c r="A184" s="30">
        <v>15.367412462192602</v>
      </c>
      <c r="E184" t="s">
        <v>8</v>
      </c>
    </row>
    <row r="185" spans="1:5" x14ac:dyDescent="0.25">
      <c r="A185" s="30">
        <v>14.635630916373906</v>
      </c>
      <c r="C185"/>
      <c r="E185" t="s">
        <v>8</v>
      </c>
    </row>
    <row r="186" spans="1:5" x14ac:dyDescent="0.25">
      <c r="A186" s="30">
        <v>13.938696110832291</v>
      </c>
      <c r="E186" t="s">
        <v>8</v>
      </c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 t="s">
        <v>8</v>
      </c>
    </row>
    <row r="188" spans="1:5" x14ac:dyDescent="0.25">
      <c r="A188" s="30">
        <v>12.64280826379346</v>
      </c>
      <c r="E188" t="s">
        <v>8</v>
      </c>
    </row>
    <row r="189" spans="1:5" x14ac:dyDescent="0.25">
      <c r="A189" s="30">
        <v>12.04076977504139</v>
      </c>
      <c r="E189" t="s">
        <v>8</v>
      </c>
    </row>
    <row r="190" spans="1:5" x14ac:dyDescent="0.25">
      <c r="A190" s="30">
        <v>11.467399785753704</v>
      </c>
      <c r="E190" t="s">
        <v>8</v>
      </c>
    </row>
    <row r="191" spans="1:5" x14ac:dyDescent="0.25">
      <c r="A191" s="30">
        <v>10.921333129289241</v>
      </c>
      <c r="E191" t="s">
        <v>8</v>
      </c>
    </row>
    <row r="192" spans="1:5" x14ac:dyDescent="0.25">
      <c r="A192" s="30">
        <v>10.401269646942135</v>
      </c>
      <c r="E192" t="s">
        <v>8</v>
      </c>
    </row>
    <row r="193" spans="1:5" x14ac:dyDescent="0.25">
      <c r="A193" s="30">
        <v>9.9059710923258422</v>
      </c>
      <c r="E193" t="s">
        <v>8</v>
      </c>
    </row>
    <row r="194" spans="1:5" x14ac:dyDescent="0.25">
      <c r="A194" s="30">
        <v>9.4342581831674686</v>
      </c>
      <c r="E194" t="s">
        <v>8</v>
      </c>
    </row>
    <row r="195" spans="1:5" x14ac:dyDescent="0.25">
      <c r="A195" s="30">
        <v>8.9850077934928265</v>
      </c>
      <c r="E195" t="s">
        <v>8</v>
      </c>
    </row>
    <row r="196" spans="1:5" x14ac:dyDescent="0.25">
      <c r="A196" s="30">
        <v>8.5571502795169767</v>
      </c>
      <c r="E196" t="s">
        <v>8</v>
      </c>
    </row>
    <row r="197" spans="1:5" x14ac:dyDescent="0.25">
      <c r="A197" s="30">
        <v>8.1496669328733109</v>
      </c>
      <c r="E197" t="s">
        <v>8</v>
      </c>
    </row>
    <row r="198" spans="1:5" x14ac:dyDescent="0.25">
      <c r="A198" s="30">
        <v>7.7615875551174378</v>
      </c>
      <c r="E198" t="s">
        <v>8</v>
      </c>
    </row>
    <row r="199" spans="1:5" x14ac:dyDescent="0.25">
      <c r="A199" s="30">
        <v>7.3919881477308929</v>
      </c>
      <c r="E199" t="s">
        <v>8</v>
      </c>
    </row>
    <row r="200" spans="1:5" x14ac:dyDescent="0.25">
      <c r="A200" s="30">
        <v>7.0399887121246598</v>
      </c>
      <c r="E200" t="s">
        <v>8</v>
      </c>
    </row>
    <row r="201" spans="1:5" x14ac:dyDescent="0.25">
      <c r="A201" s="30">
        <v>6.7047511544044376</v>
      </c>
      <c r="E201" t="s">
        <v>8</v>
      </c>
    </row>
    <row r="202" spans="1:5" x14ac:dyDescent="0.25">
      <c r="A202" s="30">
        <v>6.3854772899089882</v>
      </c>
      <c r="E202" t="s">
        <v>8</v>
      </c>
    </row>
    <row r="203" spans="1:5" x14ac:dyDescent="0.25">
      <c r="A203" s="30">
        <v>6.0814069427704647</v>
      </c>
      <c r="C203" s="7"/>
      <c r="D203"/>
      <c r="E203" t="s">
        <v>8</v>
      </c>
    </row>
    <row r="204" spans="1:5" x14ac:dyDescent="0.25">
      <c r="A204" s="30">
        <v>5.7918161359718709</v>
      </c>
      <c r="E204" t="s">
        <v>8</v>
      </c>
    </row>
    <row r="205" spans="1:5" x14ac:dyDescent="0.25">
      <c r="A205" s="30">
        <v>5.5160153675922574</v>
      </c>
      <c r="E205" t="s">
        <v>8</v>
      </c>
    </row>
    <row r="206" spans="1:5" x14ac:dyDescent="0.25">
      <c r="A206" s="30">
        <v>5.2533479691354827</v>
      </c>
      <c r="C206"/>
      <c r="D206"/>
      <c r="E206" t="s">
        <v>8</v>
      </c>
    </row>
    <row r="207" spans="1:5" x14ac:dyDescent="0.25">
      <c r="A207" s="30">
        <v>5.0031885420337927</v>
      </c>
      <c r="E207" t="s">
        <v>8</v>
      </c>
    </row>
    <row r="208" spans="1:5" x14ac:dyDescent="0.25">
      <c r="A208" s="30">
        <v>4.7649414686036122</v>
      </c>
      <c r="E208" t="s">
        <v>8</v>
      </c>
    </row>
    <row r="209" spans="1:5" x14ac:dyDescent="0.25">
      <c r="A209" s="30">
        <v>4.5380394939082018</v>
      </c>
      <c r="E209" t="s">
        <v>8</v>
      </c>
    </row>
    <row r="210" spans="1:5" x14ac:dyDescent="0.25">
      <c r="A210" s="30">
        <v>4.3219423751506678</v>
      </c>
      <c r="C210"/>
      <c r="E210" t="s">
        <v>8</v>
      </c>
    </row>
    <row r="211" spans="1:5" x14ac:dyDescent="0.25">
      <c r="A211" s="30">
        <v>4.1161355953815884</v>
      </c>
      <c r="E211" t="s">
        <v>8</v>
      </c>
    </row>
    <row r="212" spans="1:5" x14ac:dyDescent="0.25">
      <c r="A212" s="30">
        <v>3.9201291384586554</v>
      </c>
      <c r="E212" t="s">
        <v>8</v>
      </c>
    </row>
    <row r="213" spans="1:5" x14ac:dyDescent="0.25">
      <c r="A213" s="30">
        <v>3.7334563223415764</v>
      </c>
      <c r="E213" t="s">
        <v>8</v>
      </c>
    </row>
    <row r="214" spans="1:5" x14ac:dyDescent="0.25">
      <c r="A214" s="30">
        <v>3.5556726879443583</v>
      </c>
      <c r="E214" t="s">
        <v>8</v>
      </c>
    </row>
    <row r="215" spans="1:5" x14ac:dyDescent="0.25">
      <c r="A215" s="30">
        <v>3.3863549408993889</v>
      </c>
      <c r="E215" t="s">
        <v>8</v>
      </c>
    </row>
    <row r="216" spans="1:5" x14ac:dyDescent="0.25">
      <c r="A216" s="30">
        <v>3.2250999437137038</v>
      </c>
      <c r="E216" t="s">
        <v>8</v>
      </c>
    </row>
    <row r="217" spans="1:5" x14ac:dyDescent="0.25">
      <c r="A217" s="30">
        <v>3.0715237559178128</v>
      </c>
      <c r="E217" t="s">
        <v>8</v>
      </c>
    </row>
    <row r="218" spans="1:5" x14ac:dyDescent="0.25">
      <c r="A218" s="30">
        <v>2.9252607199217264</v>
      </c>
      <c r="E218" t="s">
        <v>8</v>
      </c>
    </row>
    <row r="219" spans="1:5" x14ac:dyDescent="0.25">
      <c r="A219" s="30">
        <v>2.7859625904016441</v>
      </c>
      <c r="E219" t="s">
        <v>8</v>
      </c>
    </row>
    <row r="220" spans="1:5" x14ac:dyDescent="0.25">
      <c r="A220" s="30">
        <v>2.6532977051444226</v>
      </c>
      <c r="E220" t="s">
        <v>8</v>
      </c>
    </row>
    <row r="221" spans="1:5" x14ac:dyDescent="0.25">
      <c r="A221" s="30">
        <v>2.5269501953756404</v>
      </c>
      <c r="E221" t="s">
        <v>8</v>
      </c>
    </row>
    <row r="222" spans="1:5" x14ac:dyDescent="0.25">
      <c r="A222" s="30">
        <v>2.4066192336910861</v>
      </c>
      <c r="E222" t="s">
        <v>8</v>
      </c>
    </row>
    <row r="223" spans="1:5" x14ac:dyDescent="0.25">
      <c r="A223" s="30">
        <v>2.2920183178010345</v>
      </c>
      <c r="E223" t="s">
        <v>8</v>
      </c>
    </row>
    <row r="224" spans="1:5" x14ac:dyDescent="0.25">
      <c r="A224" s="30">
        <v>2.1828745883819374</v>
      </c>
      <c r="E224" t="s">
        <v>8</v>
      </c>
    </row>
    <row r="225" spans="1:5" x14ac:dyDescent="0.25">
      <c r="A225" s="30">
        <v>2.0789281794113688</v>
      </c>
      <c r="E225" t="s">
        <v>8</v>
      </c>
    </row>
    <row r="226" spans="1:5" x14ac:dyDescent="0.25">
      <c r="A226" s="30">
        <v>1.9799315994393987</v>
      </c>
      <c r="E226" t="s">
        <v>8</v>
      </c>
    </row>
    <row r="227" spans="1:5" x14ac:dyDescent="0.25">
      <c r="A227" s="30">
        <v>1.8856491423232367</v>
      </c>
      <c r="E227" t="s">
        <v>8</v>
      </c>
    </row>
    <row r="228" spans="1:5" x14ac:dyDescent="0.25">
      <c r="A228" s="30">
        <v>1.7958563260221301</v>
      </c>
      <c r="C228" s="7"/>
      <c r="D228"/>
      <c r="E228" t="s">
        <v>8</v>
      </c>
    </row>
    <row r="229" spans="1:5" x14ac:dyDescent="0.25">
      <c r="A229" s="30">
        <v>1.7103393581163142</v>
      </c>
      <c r="E229" t="s">
        <v>8</v>
      </c>
    </row>
    <row r="230" spans="1:5" x14ac:dyDescent="0.25">
      <c r="A230" s="30">
        <v>1.628894626777442</v>
      </c>
      <c r="E230" t="s">
        <v>8</v>
      </c>
    </row>
    <row r="231" spans="1:5" x14ac:dyDescent="0.25">
      <c r="A231" s="30">
        <v>1.5513282159785162</v>
      </c>
      <c r="C231"/>
      <c r="D231"/>
      <c r="E231" t="s">
        <v>8</v>
      </c>
    </row>
    <row r="232" spans="1:5" x14ac:dyDescent="0.25">
      <c r="A232" s="30">
        <v>1.477455443789063</v>
      </c>
      <c r="E232" t="s">
        <v>8</v>
      </c>
    </row>
    <row r="233" spans="1:5" x14ac:dyDescent="0.25">
      <c r="A233" s="30">
        <v>1.4071004226562505</v>
      </c>
      <c r="E233" t="s">
        <v>8</v>
      </c>
    </row>
    <row r="234" spans="1:5" x14ac:dyDescent="0.25">
      <c r="A234" s="30">
        <v>1.3400956406250004</v>
      </c>
      <c r="E234" t="s">
        <v>8</v>
      </c>
    </row>
    <row r="235" spans="1:5" x14ac:dyDescent="0.25">
      <c r="A235" s="30">
        <v>1.2762815625000004</v>
      </c>
      <c r="C235"/>
      <c r="E235" t="s">
        <v>8</v>
      </c>
    </row>
    <row r="236" spans="1:5" x14ac:dyDescent="0.25">
      <c r="A236" s="30">
        <v>1.2155062500000002</v>
      </c>
      <c r="E236" t="s">
        <v>8</v>
      </c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 t="s">
        <v>8</v>
      </c>
    </row>
    <row r="238" spans="1:5" x14ac:dyDescent="0.25">
      <c r="A238" s="30">
        <v>1.1025</v>
      </c>
      <c r="E238" t="s">
        <v>8</v>
      </c>
    </row>
    <row r="239" spans="1:5" x14ac:dyDescent="0.25">
      <c r="A239" s="30">
        <v>1.05</v>
      </c>
      <c r="E239" t="s">
        <v>8</v>
      </c>
    </row>
    <row r="240" spans="1:5" x14ac:dyDescent="0.25">
      <c r="A240" s="30">
        <v>1</v>
      </c>
      <c r="E240" s="29" t="s">
        <v>8</v>
      </c>
    </row>
    <row r="241" spans="1:5" x14ac:dyDescent="0.25">
      <c r="A241" s="30">
        <v>0.952380952380952</v>
      </c>
      <c r="B241"/>
      <c r="C241"/>
      <c r="D241"/>
      <c r="E241"/>
    </row>
    <row r="242" spans="1:5" x14ac:dyDescent="0.25">
      <c r="A242" s="30">
        <v>0.90702947845804915</v>
      </c>
      <c r="B242"/>
      <c r="C242"/>
      <c r="D242"/>
      <c r="E242"/>
    </row>
    <row r="243" spans="1:5" x14ac:dyDescent="0.25">
      <c r="A243" s="30">
        <v>0.86383759853147501</v>
      </c>
      <c r="B243"/>
      <c r="C243"/>
      <c r="D243"/>
      <c r="E243"/>
    </row>
    <row r="244" spans="1:5" x14ac:dyDescent="0.25">
      <c r="A244" s="30">
        <v>0.82270247479188063</v>
      </c>
      <c r="B244"/>
      <c r="C244"/>
      <c r="D244"/>
      <c r="E244"/>
    </row>
    <row r="245" spans="1:5" x14ac:dyDescent="0.25">
      <c r="A245" s="30">
        <v>0.78352616646845741</v>
      </c>
      <c r="B245"/>
      <c r="C245"/>
      <c r="D245"/>
      <c r="E245"/>
    </row>
    <row r="246" spans="1:5" x14ac:dyDescent="0.25">
      <c r="A246" s="30">
        <v>0.74621539663662584</v>
      </c>
      <c r="B246"/>
      <c r="C246"/>
      <c r="D246"/>
      <c r="E246"/>
    </row>
    <row r="247" spans="1:5" x14ac:dyDescent="0.25">
      <c r="A247" s="30">
        <v>0.71068133013011958</v>
      </c>
      <c r="B247"/>
      <c r="C247"/>
      <c r="D247"/>
      <c r="E247"/>
    </row>
    <row r="248" spans="1:5" x14ac:dyDescent="0.25">
      <c r="A248" s="30">
        <v>0.676839362028685</v>
      </c>
      <c r="B248"/>
      <c r="C248"/>
      <c r="D248"/>
      <c r="E248"/>
    </row>
    <row r="249" spans="1:5" x14ac:dyDescent="0.25">
      <c r="A249" s="30">
        <v>0.64460891621779492</v>
      </c>
      <c r="B249"/>
      <c r="C249"/>
      <c r="D249"/>
      <c r="E249"/>
    </row>
    <row r="250" spans="1:5" x14ac:dyDescent="0.25">
      <c r="A250" s="30">
        <v>0.61391325354075688</v>
      </c>
      <c r="B250"/>
      <c r="C250"/>
      <c r="D250"/>
      <c r="E250"/>
    </row>
    <row r="251" spans="1:5" x14ac:dyDescent="0.25">
      <c r="A251" s="30">
        <v>0.58467928908643485</v>
      </c>
      <c r="B251"/>
      <c r="C251"/>
      <c r="D251"/>
      <c r="E251"/>
    </row>
    <row r="252" spans="1:5" x14ac:dyDescent="0.25">
      <c r="A252" s="30">
        <v>0.55683741817755672</v>
      </c>
      <c r="B252"/>
      <c r="C252"/>
      <c r="D252"/>
      <c r="E252"/>
    </row>
    <row r="253" spans="1:5" x14ac:dyDescent="0.25">
      <c r="A253" s="30">
        <v>0.53032135064529184</v>
      </c>
      <c r="B253"/>
      <c r="C253"/>
      <c r="D253"/>
      <c r="E253"/>
    </row>
    <row r="254" spans="1:5" x14ac:dyDescent="0.25">
      <c r="A254" s="30">
        <v>0.50506795299551588</v>
      </c>
      <c r="B254"/>
      <c r="C254"/>
      <c r="D254"/>
      <c r="E254"/>
    </row>
    <row r="255" spans="1:5" x14ac:dyDescent="0.25">
      <c r="A255" s="30">
        <v>0.48101709809096732</v>
      </c>
      <c r="E255"/>
    </row>
    <row r="256" spans="1:5" x14ac:dyDescent="0.25">
      <c r="A256" s="30">
        <v>0.45811152199139726</v>
      </c>
      <c r="E256"/>
    </row>
    <row r="257" spans="1:5" x14ac:dyDescent="0.25">
      <c r="A257" s="30">
        <v>0.43629668761085438</v>
      </c>
      <c r="B257"/>
      <c r="C257"/>
      <c r="D257"/>
      <c r="E257"/>
    </row>
    <row r="258" spans="1:5" x14ac:dyDescent="0.25">
      <c r="A258" s="30">
        <v>0.41552065486748019</v>
      </c>
      <c r="B258"/>
      <c r="C258"/>
      <c r="D258"/>
      <c r="E258"/>
    </row>
    <row r="259" spans="1:5" x14ac:dyDescent="0.25">
      <c r="A259" s="30">
        <v>0.39573395701664765</v>
      </c>
      <c r="B259"/>
      <c r="C259"/>
      <c r="D259"/>
      <c r="E259"/>
    </row>
    <row r="260" spans="1:5" x14ac:dyDescent="0.25">
      <c r="A260" s="30">
        <v>0.37688948287299762</v>
      </c>
      <c r="B260"/>
      <c r="C260"/>
      <c r="D260"/>
      <c r="E260"/>
    </row>
    <row r="261" spans="1:5" x14ac:dyDescent="0.25">
      <c r="A261" s="30">
        <v>0.35894236464094997</v>
      </c>
      <c r="B261"/>
      <c r="C261"/>
      <c r="D261"/>
      <c r="E261"/>
    </row>
    <row r="262" spans="1:5" x14ac:dyDescent="0.25">
      <c r="A262" s="30">
        <v>0.34184987108661891</v>
      </c>
      <c r="B262"/>
      <c r="C262"/>
      <c r="D262"/>
      <c r="E262"/>
    </row>
    <row r="263" spans="1:5" x14ac:dyDescent="0.25">
      <c r="A263" s="30">
        <v>0.32557130579677979</v>
      </c>
      <c r="B263"/>
      <c r="C263"/>
      <c r="D263"/>
      <c r="E263"/>
    </row>
    <row r="264" spans="1:5" x14ac:dyDescent="0.25">
      <c r="A264" s="30">
        <v>0.3100679102826473</v>
      </c>
      <c r="B264"/>
      <c r="C264"/>
      <c r="D264"/>
      <c r="E264"/>
    </row>
    <row r="265" spans="1:5" x14ac:dyDescent="0.25">
      <c r="A265" s="30">
        <v>0.2953027716977592</v>
      </c>
      <c r="B265"/>
      <c r="C265"/>
      <c r="D265"/>
      <c r="E265"/>
    </row>
    <row r="266" spans="1:5" x14ac:dyDescent="0.25">
      <c r="A266" s="30">
        <v>0.28124073495024676</v>
      </c>
      <c r="B266"/>
      <c r="C266"/>
      <c r="D266"/>
      <c r="E266"/>
    </row>
    <row r="267" spans="1:5" x14ac:dyDescent="0.25">
      <c r="A267" s="30">
        <v>0.26784831900023492</v>
      </c>
      <c r="B267"/>
      <c r="C267"/>
      <c r="D267"/>
      <c r="E267"/>
    </row>
    <row r="268" spans="1:5" x14ac:dyDescent="0.25">
      <c r="A268" s="30">
        <v>0.25509363714308075</v>
      </c>
      <c r="B268"/>
      <c r="C268"/>
      <c r="D268"/>
      <c r="E268"/>
    </row>
    <row r="269" spans="1:5" x14ac:dyDescent="0.25">
      <c r="A269" s="30">
        <v>0.24294632108864825</v>
      </c>
      <c r="B269"/>
      <c r="C269"/>
      <c r="D269"/>
      <c r="E269"/>
    </row>
    <row r="270" spans="1:5" x14ac:dyDescent="0.25">
      <c r="A270" s="30">
        <v>0.23137744865585538</v>
      </c>
      <c r="B270"/>
      <c r="C270"/>
      <c r="D270"/>
      <c r="E270"/>
    </row>
    <row r="271" spans="1:5" x14ac:dyDescent="0.25">
      <c r="A271" s="30">
        <v>0.22035947491033836</v>
      </c>
      <c r="B271"/>
      <c r="C271"/>
      <c r="D271"/>
      <c r="E271"/>
    </row>
    <row r="272" spans="1:5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931" operator="equal">
      <formula>$U$1</formula>
    </cfRule>
    <cfRule type="cellIs" dxfId="67" priority="932" operator="equal">
      <formula>$S$1</formula>
    </cfRule>
  </conditionalFormatting>
  <conditionalFormatting sqref="D136">
    <cfRule type="cellIs" dxfId="66" priority="929" operator="equal">
      <formula>$S$1</formula>
    </cfRule>
    <cfRule type="cellIs" dxfId="65" priority="930" operator="equal">
      <formula>$U$1</formula>
    </cfRule>
  </conditionalFormatting>
  <conditionalFormatting sqref="C162">
    <cfRule type="cellIs" dxfId="64" priority="927" operator="equal">
      <formula>$U$1</formula>
    </cfRule>
    <cfRule type="cellIs" dxfId="63" priority="928" operator="equal">
      <formula>$S$1</formula>
    </cfRule>
  </conditionalFormatting>
  <conditionalFormatting sqref="D162">
    <cfRule type="cellIs" dxfId="62" priority="925" operator="equal">
      <formula>$S$1</formula>
    </cfRule>
    <cfRule type="cellIs" dxfId="61" priority="926" operator="equal">
      <formula>$U$1</formula>
    </cfRule>
  </conditionalFormatting>
  <conditionalFormatting sqref="C187">
    <cfRule type="cellIs" dxfId="60" priority="923" operator="equal">
      <formula>$U$1</formula>
    </cfRule>
    <cfRule type="cellIs" dxfId="59" priority="924" operator="equal">
      <formula>$S$1</formula>
    </cfRule>
  </conditionalFormatting>
  <conditionalFormatting sqref="D187">
    <cfRule type="cellIs" dxfId="58" priority="921" operator="equal">
      <formula>$S$1</formula>
    </cfRule>
    <cfRule type="cellIs" dxfId="57" priority="922" operator="equal">
      <formula>$U$1</formula>
    </cfRule>
  </conditionalFormatting>
  <conditionalFormatting sqref="C212">
    <cfRule type="cellIs" dxfId="56" priority="919" operator="equal">
      <formula>$U$1</formula>
    </cfRule>
    <cfRule type="cellIs" dxfId="55" priority="920" operator="equal">
      <formula>$S$1</formula>
    </cfRule>
  </conditionalFormatting>
  <conditionalFormatting sqref="D212">
    <cfRule type="cellIs" dxfId="54" priority="917" operator="equal">
      <formula>$S$1</formula>
    </cfRule>
    <cfRule type="cellIs" dxfId="53" priority="918" operator="equal">
      <formula>$U$1</formula>
    </cfRule>
  </conditionalFormatting>
  <conditionalFormatting sqref="C237">
    <cfRule type="cellIs" dxfId="52" priority="915" operator="equal">
      <formula>$U$1</formula>
    </cfRule>
    <cfRule type="cellIs" dxfId="51" priority="916" operator="equal">
      <formula>$S$1</formula>
    </cfRule>
  </conditionalFormatting>
  <conditionalFormatting sqref="D237">
    <cfRule type="cellIs" dxfId="50" priority="913" operator="equal">
      <formula>$S$1</formula>
    </cfRule>
    <cfRule type="cellIs" dxfId="49" priority="914" operator="equal">
      <formula>$U$1</formula>
    </cfRule>
  </conditionalFormatting>
  <conditionalFormatting sqref="C106">
    <cfRule type="cellIs" dxfId="48" priority="911" operator="equal">
      <formula>$U$1</formula>
    </cfRule>
    <cfRule type="cellIs" dxfId="47" priority="912" operator="equal">
      <formula>$S$1</formula>
    </cfRule>
  </conditionalFormatting>
  <conditionalFormatting sqref="D106">
    <cfRule type="cellIs" dxfId="46" priority="909" operator="equal">
      <formula>$S$1</formula>
    </cfRule>
    <cfRule type="cellIs" dxfId="45" priority="910" operator="equal">
      <formula>$U$1</formula>
    </cfRule>
  </conditionalFormatting>
  <conditionalFormatting sqref="C81">
    <cfRule type="cellIs" dxfId="44" priority="907" operator="equal">
      <formula>$U$1</formula>
    </cfRule>
    <cfRule type="cellIs" dxfId="43" priority="908" operator="equal">
      <formula>$S$1</formula>
    </cfRule>
  </conditionalFormatting>
  <conditionalFormatting sqref="D81">
    <cfRule type="cellIs" dxfId="42" priority="905" operator="equal">
      <formula>$S$1</formula>
    </cfRule>
    <cfRule type="cellIs" dxfId="41" priority="906" operator="equal">
      <formula>$U$1</formula>
    </cfRule>
  </conditionalFormatting>
  <conditionalFormatting sqref="C56">
    <cfRule type="cellIs" dxfId="40" priority="903" operator="equal">
      <formula>$U$1</formula>
    </cfRule>
    <cfRule type="cellIs" dxfId="39" priority="904" operator="equal">
      <formula>$S$1</formula>
    </cfRule>
  </conditionalFormatting>
  <conditionalFormatting sqref="D56">
    <cfRule type="cellIs" dxfId="38" priority="901" operator="equal">
      <formula>$S$1</formula>
    </cfRule>
    <cfRule type="cellIs" dxfId="37" priority="902" operator="equal">
      <formula>$U$1</formula>
    </cfRule>
  </conditionalFormatting>
  <conditionalFormatting sqref="C31">
    <cfRule type="cellIs" dxfId="36" priority="899" operator="equal">
      <formula>$U$1</formula>
    </cfRule>
    <cfRule type="cellIs" dxfId="35" priority="900" operator="equal">
      <formula>$S$1</formula>
    </cfRule>
  </conditionalFormatting>
  <conditionalFormatting sqref="D31">
    <cfRule type="cellIs" dxfId="34" priority="897" operator="equal">
      <formula>$S$1</formula>
    </cfRule>
    <cfRule type="cellIs" dxfId="33" priority="898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41" zoomScale="90" zoomScaleNormal="90" workbookViewId="0">
      <pane xSplit="4" topLeftCell="G1" activePane="topRight" state="frozen"/>
      <selection activeCell="A109" sqref="A109"/>
      <selection pane="topRight" activeCell="AJ67" sqref="AJ67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37" x14ac:dyDescent="0.25">
      <c r="A49" s="30">
        <v>955.59381772732638</v>
      </c>
      <c r="C49" s="1">
        <f>C38</f>
        <v>0</v>
      </c>
      <c r="E49"/>
    </row>
    <row r="50" spans="1:37" x14ac:dyDescent="0.25">
      <c r="A50" s="30">
        <v>868.72165247938756</v>
      </c>
      <c r="C50"/>
      <c r="D50"/>
      <c r="E50"/>
    </row>
    <row r="51" spans="1:37" x14ac:dyDescent="0.25">
      <c r="A51" s="30">
        <v>789.74695679944318</v>
      </c>
      <c r="C51" s="1" t="s">
        <v>14</v>
      </c>
      <c r="E51"/>
    </row>
    <row r="52" spans="1:37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37" x14ac:dyDescent="0.25">
      <c r="A53" s="30">
        <v>652.68343537144051</v>
      </c>
      <c r="E53"/>
    </row>
    <row r="54" spans="1:37" x14ac:dyDescent="0.25">
      <c r="A54" s="30">
        <v>593.34857761040041</v>
      </c>
      <c r="E54"/>
      <c r="U54" s="27" t="s">
        <v>8</v>
      </c>
    </row>
    <row r="55" spans="1:37" x14ac:dyDescent="0.25">
      <c r="A55" s="30">
        <v>539.40779782763673</v>
      </c>
      <c r="E55"/>
      <c r="S55" s="27" t="s">
        <v>8</v>
      </c>
      <c r="U55" s="27" t="s">
        <v>8</v>
      </c>
      <c r="V55" s="27" t="s">
        <v>7</v>
      </c>
    </row>
    <row r="56" spans="1:37" x14ac:dyDescent="0.25">
      <c r="A56" s="30">
        <v>490.37072529785149</v>
      </c>
      <c r="E56"/>
      <c r="S56" s="27" t="s">
        <v>8</v>
      </c>
      <c r="T56" s="27" t="s">
        <v>7</v>
      </c>
      <c r="U56" s="27" t="s">
        <v>8</v>
      </c>
      <c r="V56" s="27" t="s">
        <v>7</v>
      </c>
      <c r="AA56" s="31" t="s">
        <v>8</v>
      </c>
      <c r="AI56" s="27" t="s">
        <v>8</v>
      </c>
    </row>
    <row r="57" spans="1:37" x14ac:dyDescent="0.25">
      <c r="A57" s="30">
        <v>445.79156845259223</v>
      </c>
      <c r="E57"/>
      <c r="S57" s="27" t="s">
        <v>8</v>
      </c>
      <c r="T57" s="27" t="s">
        <v>7</v>
      </c>
      <c r="U57" s="27" t="s">
        <v>8</v>
      </c>
      <c r="V57" s="27" t="s">
        <v>7</v>
      </c>
      <c r="W57" s="27" t="s">
        <v>8</v>
      </c>
      <c r="AA57" s="27" t="s">
        <v>8</v>
      </c>
      <c r="AB57" s="31" t="s">
        <v>7</v>
      </c>
      <c r="AG57" s="27" t="s">
        <v>8</v>
      </c>
      <c r="AI57" s="27" t="s">
        <v>8</v>
      </c>
      <c r="AJ57" s="27" t="s">
        <v>7</v>
      </c>
    </row>
    <row r="58" spans="1:37" x14ac:dyDescent="0.25">
      <c r="A58" s="30">
        <v>405.26506222962928</v>
      </c>
      <c r="E58"/>
      <c r="S58" s="27" t="s">
        <v>8</v>
      </c>
      <c r="T58" s="27" t="s">
        <v>7</v>
      </c>
      <c r="U58" s="27" t="s">
        <v>8</v>
      </c>
      <c r="V58" s="27" t="s">
        <v>7</v>
      </c>
      <c r="W58" s="27" t="s">
        <v>8</v>
      </c>
      <c r="X58" s="27" t="s">
        <v>7</v>
      </c>
      <c r="AA58" s="32" t="s">
        <v>8</v>
      </c>
      <c r="AB58" s="27" t="s">
        <v>7</v>
      </c>
      <c r="AC58" s="31"/>
      <c r="AE58" s="27" t="s">
        <v>8</v>
      </c>
      <c r="AG58" s="27" t="s">
        <v>8</v>
      </c>
      <c r="AH58" s="27" t="s">
        <v>7</v>
      </c>
      <c r="AI58" s="27" t="s">
        <v>8</v>
      </c>
      <c r="AJ58" s="27" t="s">
        <v>7</v>
      </c>
    </row>
    <row r="59" spans="1:37" x14ac:dyDescent="0.25">
      <c r="A59" s="30">
        <v>368.42278384511752</v>
      </c>
      <c r="E59"/>
      <c r="S59" s="27" t="s">
        <v>8</v>
      </c>
      <c r="T59" s="27" t="s">
        <v>7</v>
      </c>
      <c r="U59" s="27" t="s">
        <v>8</v>
      </c>
      <c r="V59" s="27" t="s">
        <v>7</v>
      </c>
      <c r="W59" s="27" t="s">
        <v>8</v>
      </c>
      <c r="X59" s="27" t="s">
        <v>7</v>
      </c>
      <c r="Y59" s="27" t="s">
        <v>8</v>
      </c>
      <c r="AA59" s="27" t="s">
        <v>8</v>
      </c>
      <c r="AB59" s="27" t="s">
        <v>7</v>
      </c>
      <c r="AD59" s="31"/>
      <c r="AE59" s="27" t="s">
        <v>8</v>
      </c>
      <c r="AF59" s="27" t="s">
        <v>7</v>
      </c>
      <c r="AG59" s="27" t="s">
        <v>8</v>
      </c>
      <c r="AH59" s="27" t="s">
        <v>7</v>
      </c>
      <c r="AI59" s="27" t="s">
        <v>8</v>
      </c>
      <c r="AJ59" s="27" t="s">
        <v>7</v>
      </c>
    </row>
    <row r="60" spans="1:37" x14ac:dyDescent="0.25">
      <c r="A60" s="30">
        <v>334.92980349556137</v>
      </c>
      <c r="E60"/>
      <c r="S60" s="27" t="s">
        <v>8</v>
      </c>
      <c r="T60" s="27" t="s">
        <v>7</v>
      </c>
      <c r="U60" s="27" t="s">
        <v>8</v>
      </c>
      <c r="V60" s="27" t="s">
        <v>7</v>
      </c>
      <c r="W60" s="27" t="s">
        <v>8</v>
      </c>
      <c r="X60" s="27" t="s">
        <v>7</v>
      </c>
      <c r="Y60" s="27" t="s">
        <v>8</v>
      </c>
      <c r="Z60" s="27" t="s">
        <v>7</v>
      </c>
      <c r="AA60" s="27" t="s">
        <v>8</v>
      </c>
      <c r="AB60" s="27" t="s">
        <v>7</v>
      </c>
      <c r="AE60" s="31" t="s">
        <v>8</v>
      </c>
      <c r="AF60" s="27" t="s">
        <v>7</v>
      </c>
      <c r="AG60" s="27" t="s">
        <v>8</v>
      </c>
      <c r="AH60" s="27" t="s">
        <v>7</v>
      </c>
      <c r="AI60" s="27" t="s">
        <v>8</v>
      </c>
      <c r="AJ60" s="27" t="s">
        <v>7</v>
      </c>
    </row>
    <row r="61" spans="1:37" x14ac:dyDescent="0.25">
      <c r="A61" s="30">
        <v>304.48163954141938</v>
      </c>
      <c r="E61"/>
      <c r="S61" s="27" t="s">
        <v>8</v>
      </c>
      <c r="T61" s="27" t="s">
        <v>7</v>
      </c>
      <c r="V61" s="27" t="s">
        <v>7</v>
      </c>
      <c r="W61" s="27" t="s">
        <v>8</v>
      </c>
      <c r="X61" s="27" t="s">
        <v>7</v>
      </c>
      <c r="Y61" s="27" t="s">
        <v>8</v>
      </c>
      <c r="Z61" s="27" t="s">
        <v>7</v>
      </c>
      <c r="AA61" s="27" t="s">
        <v>8</v>
      </c>
      <c r="AB61" s="27" t="s">
        <v>7</v>
      </c>
      <c r="AE61" s="27" t="s">
        <v>8</v>
      </c>
      <c r="AF61" s="31" t="s">
        <v>7</v>
      </c>
      <c r="AG61" s="27" t="s">
        <v>8</v>
      </c>
      <c r="AH61" s="27" t="s">
        <v>7</v>
      </c>
      <c r="AJ61" s="27" t="s">
        <v>7</v>
      </c>
    </row>
    <row r="62" spans="1:37" x14ac:dyDescent="0.25">
      <c r="A62" s="30">
        <v>276.80149049219943</v>
      </c>
      <c r="E62"/>
      <c r="Q62" s="27" t="s">
        <v>8</v>
      </c>
      <c r="S62" s="27" t="s">
        <v>8</v>
      </c>
      <c r="V62" s="33" t="s">
        <v>7</v>
      </c>
      <c r="W62" s="27" t="s">
        <v>8</v>
      </c>
      <c r="X62" s="27" t="s">
        <v>7</v>
      </c>
      <c r="Y62" s="27" t="s">
        <v>8</v>
      </c>
      <c r="Z62" s="27" t="s">
        <v>7</v>
      </c>
      <c r="AB62" s="27" t="s">
        <v>7</v>
      </c>
      <c r="AE62" s="27" t="s">
        <v>8</v>
      </c>
      <c r="AF62" s="27" t="s">
        <v>7</v>
      </c>
      <c r="AG62" s="31"/>
      <c r="AJ62" s="27" t="s">
        <v>7</v>
      </c>
      <c r="AK62" s="31"/>
    </row>
    <row r="63" spans="1:37" x14ac:dyDescent="0.25">
      <c r="A63" s="30">
        <v>251.63771862927217</v>
      </c>
      <c r="E63"/>
      <c r="Q63" s="27" t="s">
        <v>8</v>
      </c>
      <c r="R63" s="27" t="s">
        <v>7</v>
      </c>
      <c r="S63" s="27" t="s">
        <v>8</v>
      </c>
      <c r="V63" s="27" t="s">
        <v>7</v>
      </c>
      <c r="W63" s="27" t="s">
        <v>8</v>
      </c>
      <c r="X63" s="27" t="s">
        <v>7</v>
      </c>
      <c r="Y63" s="27" t="s">
        <v>8</v>
      </c>
      <c r="AB63" s="35" t="s">
        <v>7</v>
      </c>
      <c r="AE63" s="32" t="s">
        <v>8</v>
      </c>
      <c r="AJ63" s="31" t="s">
        <v>7</v>
      </c>
    </row>
    <row r="64" spans="1:37" x14ac:dyDescent="0.25">
      <c r="A64" s="30">
        <v>228.76156239024741</v>
      </c>
      <c r="E64"/>
      <c r="Q64" s="27" t="s">
        <v>8</v>
      </c>
      <c r="R64" s="27" t="s">
        <v>7</v>
      </c>
      <c r="S64" s="27" t="s">
        <v>8</v>
      </c>
      <c r="V64" s="27" t="s">
        <v>7</v>
      </c>
      <c r="W64" s="27" t="s">
        <v>8</v>
      </c>
      <c r="X64" s="27" t="s">
        <v>7</v>
      </c>
      <c r="Y64" s="27" t="s">
        <v>8</v>
      </c>
      <c r="AB64" s="27" t="s">
        <v>7</v>
      </c>
      <c r="AC64" s="27" t="s">
        <v>8</v>
      </c>
      <c r="AE64" s="27" t="s">
        <v>8</v>
      </c>
      <c r="AI64" s="31"/>
      <c r="AJ64" s="27" t="s">
        <v>7</v>
      </c>
    </row>
    <row r="65" spans="1:36" x14ac:dyDescent="0.25">
      <c r="A65" s="30">
        <v>207.96505671840671</v>
      </c>
      <c r="E65"/>
      <c r="Q65" s="27" t="s">
        <v>8</v>
      </c>
      <c r="R65" s="27" t="s">
        <v>7</v>
      </c>
      <c r="V65" s="27" t="s">
        <v>7</v>
      </c>
      <c r="W65" s="27" t="s">
        <v>8</v>
      </c>
      <c r="X65" s="27" t="s">
        <v>7</v>
      </c>
      <c r="AB65" s="27" t="s">
        <v>7</v>
      </c>
      <c r="AC65" s="27" t="s">
        <v>8</v>
      </c>
      <c r="AD65" s="27" t="s">
        <v>7</v>
      </c>
      <c r="AE65" s="27" t="s">
        <v>8</v>
      </c>
      <c r="AH65" s="31"/>
      <c r="AJ65" s="27" t="s">
        <v>7</v>
      </c>
    </row>
    <row r="66" spans="1:36" x14ac:dyDescent="0.25">
      <c r="A66" s="30">
        <v>189.05914247127882</v>
      </c>
      <c r="E66"/>
      <c r="Q66" s="27" t="s">
        <v>8</v>
      </c>
      <c r="V66" s="27" t="s">
        <v>7</v>
      </c>
      <c r="W66" s="27" t="s">
        <v>8</v>
      </c>
      <c r="AB66" s="27" t="s">
        <v>7</v>
      </c>
      <c r="AC66" s="27" t="s">
        <v>8</v>
      </c>
      <c r="AD66" s="31" t="s">
        <v>7</v>
      </c>
      <c r="AE66" s="27" t="s">
        <v>8</v>
      </c>
      <c r="AG66" s="31"/>
      <c r="AJ66" s="27" t="s">
        <v>7</v>
      </c>
    </row>
    <row r="67" spans="1:36" x14ac:dyDescent="0.25">
      <c r="A67" s="30">
        <v>171.87194770116255</v>
      </c>
      <c r="C67" s="1" t="s">
        <v>15</v>
      </c>
      <c r="E67"/>
      <c r="Q67" s="27" t="s">
        <v>8</v>
      </c>
      <c r="V67" s="27" t="s">
        <v>7</v>
      </c>
      <c r="AB67" s="27" t="s">
        <v>7</v>
      </c>
      <c r="AC67" s="31"/>
      <c r="AD67" s="18" t="s">
        <v>7</v>
      </c>
      <c r="AE67" s="27" t="s">
        <v>8</v>
      </c>
      <c r="AF67" s="31"/>
      <c r="AJ67" s="27" t="s">
        <v>7</v>
      </c>
    </row>
    <row r="68" spans="1:36" x14ac:dyDescent="0.25">
      <c r="A68" s="30">
        <v>156.24722518287504</v>
      </c>
      <c r="C68" s="7">
        <v>0.11167815779424731</v>
      </c>
      <c r="D68"/>
      <c r="E68"/>
      <c r="Q68" s="27" t="s">
        <v>8</v>
      </c>
      <c r="AB68" s="31"/>
      <c r="AD68" s="27" t="s">
        <v>7</v>
      </c>
      <c r="AE68" s="31" t="s">
        <v>8</v>
      </c>
    </row>
    <row r="69" spans="1:36" x14ac:dyDescent="0.25">
      <c r="A69" s="30">
        <v>142.04293198443185</v>
      </c>
      <c r="E69"/>
      <c r="Q69" s="27" t="s">
        <v>8</v>
      </c>
      <c r="AA69" s="31"/>
      <c r="AD69" s="31" t="s">
        <v>7</v>
      </c>
    </row>
    <row r="70" spans="1:36" x14ac:dyDescent="0.25">
      <c r="A70" s="30">
        <v>129.1299381676653</v>
      </c>
      <c r="C70" s="1" t="s">
        <v>11</v>
      </c>
      <c r="D70" s="1" t="s">
        <v>12</v>
      </c>
      <c r="E70"/>
      <c r="Q70" s="27" t="s">
        <v>8</v>
      </c>
      <c r="Z70" s="31"/>
    </row>
    <row r="71" spans="1:36" x14ac:dyDescent="0.25">
      <c r="A71" s="30">
        <v>117.39085287969573</v>
      </c>
      <c r="C71"/>
      <c r="D71"/>
      <c r="E71"/>
      <c r="O71" s="27" t="s">
        <v>8</v>
      </c>
      <c r="Q71" s="27" t="s">
        <v>8</v>
      </c>
      <c r="Y71" s="31"/>
    </row>
    <row r="72" spans="1:36" x14ac:dyDescent="0.25">
      <c r="A72" s="30">
        <v>106.71895716335975</v>
      </c>
      <c r="E72"/>
      <c r="O72" s="27" t="s">
        <v>8</v>
      </c>
      <c r="P72" s="27" t="s">
        <v>7</v>
      </c>
      <c r="Q72" s="27" t="s">
        <v>8</v>
      </c>
      <c r="X72" s="31"/>
    </row>
    <row r="73" spans="1:36" x14ac:dyDescent="0.25">
      <c r="A73" s="30">
        <v>97.017233784872488</v>
      </c>
      <c r="C73" s="1" t="s">
        <v>13</v>
      </c>
      <c r="E73"/>
      <c r="O73" s="27" t="s">
        <v>8</v>
      </c>
      <c r="P73" s="27" t="s">
        <v>7</v>
      </c>
      <c r="Q73" s="27" t="s">
        <v>8</v>
      </c>
      <c r="W73" s="31"/>
    </row>
    <row r="74" spans="1:36" x14ac:dyDescent="0.25">
      <c r="A74" s="30">
        <v>88.197485258974979</v>
      </c>
      <c r="C74" s="1">
        <f>C63</f>
        <v>0</v>
      </c>
      <c r="E74"/>
      <c r="O74" s="27" t="s">
        <v>8</v>
      </c>
      <c r="P74" s="27" t="s">
        <v>7</v>
      </c>
      <c r="V74" s="31"/>
    </row>
    <row r="75" spans="1:36" x14ac:dyDescent="0.25">
      <c r="A75" s="30">
        <v>80.179532053613613</v>
      </c>
      <c r="C75"/>
      <c r="D75"/>
      <c r="E75"/>
      <c r="O75" s="27" t="s">
        <v>8</v>
      </c>
      <c r="U75" s="31"/>
    </row>
    <row r="76" spans="1:36" x14ac:dyDescent="0.25">
      <c r="A76" s="30">
        <v>72.890483685103277</v>
      </c>
      <c r="C76" s="1" t="s">
        <v>14</v>
      </c>
      <c r="E76"/>
      <c r="O76" s="27" t="s">
        <v>8</v>
      </c>
      <c r="T76" s="31"/>
    </row>
    <row r="77" spans="1:36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  <c r="O77" s="27" t="s">
        <v>8</v>
      </c>
      <c r="S77" s="31"/>
    </row>
    <row r="78" spans="1:36" x14ac:dyDescent="0.25">
      <c r="A78" s="30">
        <v>60.240069161242367</v>
      </c>
      <c r="E78"/>
      <c r="K78" s="34" t="s">
        <v>8</v>
      </c>
      <c r="M78" s="34" t="s">
        <v>8</v>
      </c>
      <c r="O78" s="27" t="s">
        <v>8</v>
      </c>
      <c r="R78" s="31"/>
    </row>
    <row r="79" spans="1:36" x14ac:dyDescent="0.25">
      <c r="A79" s="30">
        <v>54.763699237493057</v>
      </c>
      <c r="E79"/>
      <c r="K79" s="27" t="s">
        <v>8</v>
      </c>
      <c r="L79" s="27" t="s">
        <v>7</v>
      </c>
      <c r="M79" s="27" t="s">
        <v>8</v>
      </c>
      <c r="N79" s="27" t="s">
        <v>7</v>
      </c>
      <c r="O79" s="27" t="s">
        <v>8</v>
      </c>
      <c r="Q79" s="31"/>
    </row>
    <row r="80" spans="1:36" x14ac:dyDescent="0.25">
      <c r="A80" s="30">
        <v>49.785181124993684</v>
      </c>
      <c r="E80"/>
      <c r="G80" s="27" t="s">
        <v>8</v>
      </c>
      <c r="K80" s="27" t="s">
        <v>8</v>
      </c>
      <c r="L80" s="27" t="s">
        <v>7</v>
      </c>
      <c r="M80" s="27" t="s">
        <v>8</v>
      </c>
      <c r="N80" s="27" t="s">
        <v>7</v>
      </c>
      <c r="O80" s="27" t="s">
        <v>8</v>
      </c>
      <c r="P80" s="31"/>
    </row>
    <row r="81" spans="1:15" x14ac:dyDescent="0.25">
      <c r="A81" s="30">
        <v>45.259255568176073</v>
      </c>
      <c r="E81"/>
      <c r="G81" s="27" t="s">
        <v>8</v>
      </c>
      <c r="H81" s="27" t="s">
        <v>7</v>
      </c>
      <c r="K81" s="27" t="s">
        <v>8</v>
      </c>
      <c r="L81" s="34" t="s">
        <v>7</v>
      </c>
      <c r="N81" s="34" t="s">
        <v>7</v>
      </c>
      <c r="O81" s="31"/>
    </row>
    <row r="82" spans="1:15" x14ac:dyDescent="0.25">
      <c r="A82" s="30">
        <v>41.144777789250973</v>
      </c>
      <c r="E82" t="s">
        <v>8</v>
      </c>
      <c r="G82" s="27" t="s">
        <v>8</v>
      </c>
      <c r="H82" s="27" t="s">
        <v>7</v>
      </c>
      <c r="K82" s="32" t="s">
        <v>8</v>
      </c>
      <c r="N82" s="31"/>
    </row>
    <row r="83" spans="1:15" x14ac:dyDescent="0.25">
      <c r="A83" s="30">
        <v>37.404343444773609</v>
      </c>
      <c r="E83" t="s">
        <v>8</v>
      </c>
      <c r="F83" s="27" t="s">
        <v>7</v>
      </c>
      <c r="G83" s="27" t="s">
        <v>8</v>
      </c>
      <c r="H83" s="27" t="s">
        <v>7</v>
      </c>
      <c r="I83" s="27" t="s">
        <v>8</v>
      </c>
      <c r="K83" s="27" t="s">
        <v>8</v>
      </c>
      <c r="M83" s="31"/>
    </row>
    <row r="84" spans="1:15" x14ac:dyDescent="0.25">
      <c r="A84" s="30">
        <v>34.003948586157826</v>
      </c>
      <c r="E84" t="s">
        <v>8</v>
      </c>
      <c r="F84" s="27" t="s">
        <v>7</v>
      </c>
      <c r="G84" s="27" t="s">
        <v>8</v>
      </c>
      <c r="H84" s="27" t="s">
        <v>7</v>
      </c>
      <c r="I84" s="27" t="s">
        <v>8</v>
      </c>
      <c r="J84" s="27" t="s">
        <v>7</v>
      </c>
      <c r="K84" s="27" t="s">
        <v>8</v>
      </c>
      <c r="L84" s="31"/>
    </row>
    <row r="85" spans="1:15" x14ac:dyDescent="0.25">
      <c r="A85" s="30">
        <v>30.912680532870748</v>
      </c>
      <c r="E85" t="s">
        <v>8</v>
      </c>
      <c r="F85" s="27" t="s">
        <v>7</v>
      </c>
      <c r="H85" s="27" t="s">
        <v>7</v>
      </c>
      <c r="I85" s="27" t="s">
        <v>8</v>
      </c>
      <c r="J85" s="27" t="s">
        <v>7</v>
      </c>
      <c r="K85" s="31" t="s">
        <v>8</v>
      </c>
    </row>
    <row r="86" spans="1:15" x14ac:dyDescent="0.25">
      <c r="A86" s="30">
        <v>28.102436848064315</v>
      </c>
      <c r="E86" t="s">
        <v>8</v>
      </c>
      <c r="H86" s="27" t="s">
        <v>7</v>
      </c>
      <c r="I86" s="27" t="s">
        <v>8</v>
      </c>
      <c r="J86" s="31" t="s">
        <v>7</v>
      </c>
    </row>
    <row r="87" spans="1:15" x14ac:dyDescent="0.25">
      <c r="A87" s="30">
        <v>25.547669861876649</v>
      </c>
      <c r="E87" t="s">
        <v>8</v>
      </c>
      <c r="H87" s="27" t="s">
        <v>7</v>
      </c>
      <c r="I87" s="31" t="s">
        <v>8</v>
      </c>
    </row>
    <row r="88" spans="1:15" x14ac:dyDescent="0.25">
      <c r="A88" s="30">
        <v>23.225154419887861</v>
      </c>
      <c r="E88" t="s">
        <v>8</v>
      </c>
      <c r="H88" s="31" t="s">
        <v>7</v>
      </c>
    </row>
    <row r="89" spans="1:15" x14ac:dyDescent="0.25">
      <c r="A89" s="30">
        <v>21.113776745352599</v>
      </c>
      <c r="E89" t="s">
        <v>8</v>
      </c>
    </row>
    <row r="90" spans="1:15" x14ac:dyDescent="0.25">
      <c r="A90" s="30">
        <v>19.194342495775089</v>
      </c>
      <c r="E90" t="s">
        <v>8</v>
      </c>
    </row>
    <row r="91" spans="1:15" x14ac:dyDescent="0.25">
      <c r="A91" s="30">
        <v>17.449402268886445</v>
      </c>
      <c r="E91" t="s">
        <v>8</v>
      </c>
    </row>
    <row r="92" spans="1:15" x14ac:dyDescent="0.25">
      <c r="A92" s="30">
        <v>15.863092971714948</v>
      </c>
      <c r="C92" s="1" t="s">
        <v>15</v>
      </c>
      <c r="E92" t="s">
        <v>8</v>
      </c>
    </row>
    <row r="93" spans="1:15" x14ac:dyDescent="0.25">
      <c r="A93" s="30">
        <v>14.420993610649951</v>
      </c>
      <c r="C93" s="7">
        <v>0.11167815779424731</v>
      </c>
      <c r="D93"/>
      <c r="E93" t="s">
        <v>8</v>
      </c>
    </row>
    <row r="94" spans="1:15" x14ac:dyDescent="0.25">
      <c r="A94" s="30">
        <v>13.109994191499954</v>
      </c>
      <c r="E94" t="s">
        <v>8</v>
      </c>
    </row>
    <row r="95" spans="1:15" x14ac:dyDescent="0.25">
      <c r="A95" s="30">
        <v>11.918176537727231</v>
      </c>
      <c r="C95" s="1" t="s">
        <v>11</v>
      </c>
      <c r="D95" s="1" t="s">
        <v>12</v>
      </c>
      <c r="E95" t="s">
        <v>8</v>
      </c>
    </row>
    <row r="96" spans="1:15" x14ac:dyDescent="0.25">
      <c r="A96" s="30">
        <v>10.834705943388391</v>
      </c>
      <c r="C96"/>
      <c r="D96"/>
      <c r="E96" t="s">
        <v>8</v>
      </c>
    </row>
    <row r="97" spans="1:5" x14ac:dyDescent="0.25">
      <c r="A97" s="30">
        <v>9.849732675807628</v>
      </c>
      <c r="E97" t="s">
        <v>8</v>
      </c>
    </row>
    <row r="98" spans="1:5" x14ac:dyDescent="0.25">
      <c r="A98" s="30">
        <v>8.9543024325523888</v>
      </c>
      <c r="C98" s="1" t="s">
        <v>13</v>
      </c>
      <c r="E98" t="s">
        <v>8</v>
      </c>
    </row>
    <row r="99" spans="1:5" x14ac:dyDescent="0.25">
      <c r="A99" s="30">
        <v>8.140274938683989</v>
      </c>
      <c r="C99" s="1">
        <f>C88</f>
        <v>0</v>
      </c>
      <c r="E99" t="s">
        <v>8</v>
      </c>
    </row>
    <row r="100" spans="1:5" x14ac:dyDescent="0.25">
      <c r="A100" s="30">
        <v>7.4002499442581717</v>
      </c>
      <c r="C100"/>
      <c r="D100"/>
      <c r="E100" t="s">
        <v>8</v>
      </c>
    </row>
    <row r="101" spans="1:5" x14ac:dyDescent="0.25">
      <c r="A101" s="30">
        <v>6.72749994932561</v>
      </c>
      <c r="C101" s="1" t="s">
        <v>14</v>
      </c>
      <c r="E101" t="s">
        <v>8</v>
      </c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 t="s">
        <v>8</v>
      </c>
    </row>
    <row r="103" spans="1:5" x14ac:dyDescent="0.25">
      <c r="A103" s="30">
        <v>5.5599173134922388</v>
      </c>
      <c r="E103" t="s">
        <v>8</v>
      </c>
    </row>
    <row r="104" spans="1:5" x14ac:dyDescent="0.25">
      <c r="A104" s="30">
        <v>5.0544702849929442</v>
      </c>
      <c r="E104" t="s">
        <v>8</v>
      </c>
    </row>
    <row r="105" spans="1:5" x14ac:dyDescent="0.25">
      <c r="A105" s="30">
        <v>4.594972986357222</v>
      </c>
      <c r="E105" t="s">
        <v>8</v>
      </c>
    </row>
    <row r="106" spans="1:5" x14ac:dyDescent="0.25">
      <c r="A106" s="30">
        <v>4.1772481694156562</v>
      </c>
      <c r="E106" t="s">
        <v>8</v>
      </c>
    </row>
    <row r="107" spans="1:5" x14ac:dyDescent="0.25">
      <c r="A107" s="30">
        <v>3.7974983358324148</v>
      </c>
      <c r="E107" t="s">
        <v>8</v>
      </c>
    </row>
    <row r="108" spans="1:5" x14ac:dyDescent="0.25">
      <c r="A108" s="30">
        <v>3.4522712143931042</v>
      </c>
      <c r="E108" t="s">
        <v>8</v>
      </c>
    </row>
    <row r="109" spans="1:5" x14ac:dyDescent="0.25">
      <c r="A109" s="30">
        <v>3.1384283767210035</v>
      </c>
      <c r="E109" t="s">
        <v>8</v>
      </c>
    </row>
    <row r="110" spans="1:5" x14ac:dyDescent="0.25">
      <c r="A110" s="30">
        <v>2.8531167061100029</v>
      </c>
      <c r="E110" t="s">
        <v>8</v>
      </c>
    </row>
    <row r="111" spans="1:5" x14ac:dyDescent="0.25">
      <c r="A111" s="30">
        <v>2.5937424601000023</v>
      </c>
      <c r="C111" s="1" t="str">
        <f>ADDRESS(C121-1,1,1,1)</f>
        <v>$A$66</v>
      </c>
      <c r="D111" s="1" t="str">
        <f>ADDRESS(C121-1,D121,1,1)</f>
        <v>$AJ$66</v>
      </c>
      <c r="E111" t="s">
        <v>8</v>
      </c>
    </row>
    <row r="112" spans="1:5" x14ac:dyDescent="0.25">
      <c r="A112" s="30">
        <v>2.3579476910000019</v>
      </c>
      <c r="C112" s="1" t="str">
        <f>ADDRESS(C121,1,1,1)</f>
        <v>$A$67</v>
      </c>
      <c r="D112" s="1" t="str">
        <f>ADDRESS(C121,D121-1,1,1)</f>
        <v>$AI$67</v>
      </c>
      <c r="E112" t="s">
        <v>8</v>
      </c>
    </row>
    <row r="113" spans="1:5" x14ac:dyDescent="0.25">
      <c r="A113" s="30">
        <v>2.1435888100000016</v>
      </c>
      <c r="C113" s="1" t="str">
        <f>ADDRESS(C121+1,1,1,1)</f>
        <v>$A$68</v>
      </c>
      <c r="D113" s="1" t="str">
        <f>ADDRESS(C121-1,D121+1,1,1)</f>
        <v>$AK$66</v>
      </c>
      <c r="E113" s="1" t="s">
        <v>8</v>
      </c>
    </row>
    <row r="114" spans="1:5" x14ac:dyDescent="0.25">
      <c r="A114" s="30">
        <v>1.9487171000000014</v>
      </c>
      <c r="C114" s="1" t="str">
        <f>ADDRESS(C121,D121,1,1)</f>
        <v>$AJ$67</v>
      </c>
      <c r="D114" s="1" t="str">
        <f>ADDRESS(C121+1,D121+1,1,1)</f>
        <v>$AK$68</v>
      </c>
      <c r="E114" s="1" t="s">
        <v>8</v>
      </c>
    </row>
    <row r="115" spans="1:5" x14ac:dyDescent="0.25">
      <c r="A115" s="30">
        <v>1.7715610000000011</v>
      </c>
      <c r="C115" s="1" t="str">
        <f>ADDRESS(C121+1,D121,1,1)</f>
        <v>$AJ$68</v>
      </c>
      <c r="E115" s="1" t="s">
        <v>8</v>
      </c>
    </row>
    <row r="116" spans="1:5" x14ac:dyDescent="0.25">
      <c r="A116" s="30">
        <v>1.6105100000000008</v>
      </c>
      <c r="C116" s="1">
        <f>C117-1</f>
        <v>66</v>
      </c>
      <c r="E116" s="1" t="s">
        <v>8</v>
      </c>
    </row>
    <row r="117" spans="1:5" x14ac:dyDescent="0.25">
      <c r="A117" s="30">
        <v>1.4641000000000006</v>
      </c>
      <c r="C117" s="1">
        <f>C121</f>
        <v>67</v>
      </c>
      <c r="D117" s="1">
        <f>D121</f>
        <v>36</v>
      </c>
      <c r="E117" s="1" t="s">
        <v>8</v>
      </c>
    </row>
    <row r="118" spans="1:5" x14ac:dyDescent="0.25">
      <c r="A118" s="30">
        <v>1.3310000000000004</v>
      </c>
      <c r="C118" s="1">
        <f>C117+1</f>
        <v>68</v>
      </c>
      <c r="D118" s="1">
        <f>D117+1</f>
        <v>37</v>
      </c>
      <c r="E118" s="1" t="s">
        <v>8</v>
      </c>
    </row>
    <row r="119" spans="1:5" x14ac:dyDescent="0.25">
      <c r="A119" s="30">
        <v>1.2100000000000002</v>
      </c>
      <c r="E119" s="1" t="s">
        <v>8</v>
      </c>
    </row>
    <row r="120" spans="1:5" x14ac:dyDescent="0.25">
      <c r="A120" s="30">
        <v>1.1000000000000001</v>
      </c>
      <c r="C120" s="1" t="s">
        <v>9</v>
      </c>
      <c r="E120" s="1" t="s">
        <v>8</v>
      </c>
    </row>
    <row r="121" spans="1:5" x14ac:dyDescent="0.25">
      <c r="A121" s="30">
        <v>1</v>
      </c>
      <c r="C121" s="18">
        <v>67</v>
      </c>
      <c r="D121" s="19">
        <v>36</v>
      </c>
      <c r="E121" s="18" t="s">
        <v>8</v>
      </c>
    </row>
    <row r="122" spans="1:5" x14ac:dyDescent="0.25">
      <c r="A122" s="30">
        <v>0.90909090909090895</v>
      </c>
      <c r="C122" s="1" t="str">
        <f>INDEX(1:1048576,C117,D117)</f>
        <v>O</v>
      </c>
    </row>
    <row r="123" spans="1:5" x14ac:dyDescent="0.25">
      <c r="A123" s="30">
        <v>0.82644628099173523</v>
      </c>
      <c r="C123" s="1" t="str">
        <f>"R"&amp;C121</f>
        <v>R67</v>
      </c>
      <c r="D123" s="1" t="str">
        <f>"C"&amp;D121</f>
        <v>C36</v>
      </c>
    </row>
    <row r="124" spans="1:5" x14ac:dyDescent="0.25">
      <c r="A124" s="30">
        <v>0.75131480090157732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0.68301345536507019</v>
      </c>
    </row>
    <row r="126" spans="1:5" x14ac:dyDescent="0.25">
      <c r="A126" s="30">
        <v>0.6209213230591546</v>
      </c>
      <c r="C126" s="1" t="s">
        <v>10</v>
      </c>
    </row>
    <row r="127" spans="1:5" x14ac:dyDescent="0.25">
      <c r="A127" s="30">
        <v>0.56447393005377677</v>
      </c>
      <c r="C127" s="30">
        <v>171.87194770116255</v>
      </c>
      <c r="D127"/>
    </row>
    <row r="128" spans="1:5" x14ac:dyDescent="0.25">
      <c r="A128" s="30">
        <v>0.51315811823070612</v>
      </c>
    </row>
    <row r="129" spans="1:5" x14ac:dyDescent="0.25">
      <c r="A129" s="30">
        <v>0.46650738020973276</v>
      </c>
      <c r="C129" s="1" t="s">
        <v>11</v>
      </c>
      <c r="D129" s="1" t="s">
        <v>12</v>
      </c>
      <c r="E129"/>
    </row>
    <row r="130" spans="1:5" x14ac:dyDescent="0.25">
      <c r="A130" s="30">
        <v>0.42409761837248428</v>
      </c>
      <c r="C130" s="6"/>
      <c r="D130" s="6"/>
      <c r="E130"/>
    </row>
    <row r="131" spans="1:5" x14ac:dyDescent="0.25">
      <c r="A131" s="30">
        <v>0.38554328942953109</v>
      </c>
      <c r="E131"/>
    </row>
    <row r="132" spans="1:5" x14ac:dyDescent="0.25">
      <c r="A132" s="30">
        <v>0.35049389948139187</v>
      </c>
      <c r="C132" s="1" t="s">
        <v>13</v>
      </c>
      <c r="E132"/>
    </row>
    <row r="133" spans="1:5" x14ac:dyDescent="0.25">
      <c r="A133" s="30">
        <v>0.31863081771035617</v>
      </c>
      <c r="C133" s="1" t="str">
        <f>C122</f>
        <v>O</v>
      </c>
      <c r="E133"/>
    </row>
    <row r="134" spans="1:5" x14ac:dyDescent="0.25">
      <c r="A134" s="30">
        <v>0.28966437973668741</v>
      </c>
      <c r="C134"/>
      <c r="D134"/>
      <c r="E134"/>
    </row>
    <row r="135" spans="1:5" x14ac:dyDescent="0.25">
      <c r="A135" s="30">
        <v>0.2633312543060794</v>
      </c>
      <c r="C135" s="1" t="s">
        <v>14</v>
      </c>
      <c r="E135"/>
    </row>
    <row r="136" spans="1:5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</row>
    <row r="137" spans="1:5" x14ac:dyDescent="0.25">
      <c r="A137" s="30">
        <v>0.2176291357901482</v>
      </c>
      <c r="E137"/>
    </row>
    <row r="138" spans="1:5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0.17985878990921333</v>
      </c>
      <c r="E139"/>
    </row>
    <row r="140" spans="1:5" x14ac:dyDescent="0.25">
      <c r="A140" s="30">
        <v>0.16350799082655756</v>
      </c>
      <c r="C140" s="1">
        <v>0</v>
      </c>
      <c r="E140"/>
    </row>
    <row r="141" spans="1:5" x14ac:dyDescent="0.25">
      <c r="A141" s="30">
        <v>0.14864362802414322</v>
      </c>
      <c r="C141" s="1">
        <v>1</v>
      </c>
      <c r="E141"/>
    </row>
    <row r="142" spans="1:5" x14ac:dyDescent="0.25">
      <c r="A142" s="30">
        <v>0.13513057093103928</v>
      </c>
      <c r="C142" s="1">
        <v>2</v>
      </c>
      <c r="E142"/>
    </row>
    <row r="143" spans="1:5" x14ac:dyDescent="0.25">
      <c r="A143" s="30">
        <v>0.12284597357367205</v>
      </c>
      <c r="C143" s="1">
        <v>3</v>
      </c>
      <c r="E143"/>
    </row>
    <row r="144" spans="1:5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915" operator="equal">
      <formula>$U$1</formula>
    </cfRule>
    <cfRule type="cellIs" dxfId="30" priority="916" operator="equal">
      <formula>$S$1</formula>
    </cfRule>
  </conditionalFormatting>
  <conditionalFormatting sqref="D136">
    <cfRule type="cellIs" dxfId="29" priority="913" operator="equal">
      <formula>$S$1</formula>
    </cfRule>
    <cfRule type="cellIs" dxfId="28" priority="914" operator="equal">
      <formula>$U$1</formula>
    </cfRule>
  </conditionalFormatting>
  <conditionalFormatting sqref="C102">
    <cfRule type="cellIs" dxfId="27" priority="911" operator="equal">
      <formula>$U$1</formula>
    </cfRule>
    <cfRule type="cellIs" dxfId="26" priority="912" operator="equal">
      <formula>$S$1</formula>
    </cfRule>
  </conditionalFormatting>
  <conditionalFormatting sqref="D102">
    <cfRule type="cellIs" dxfId="25" priority="909" operator="equal">
      <formula>$S$1</formula>
    </cfRule>
    <cfRule type="cellIs" dxfId="24" priority="910" operator="equal">
      <formula>$U$1</formula>
    </cfRule>
  </conditionalFormatting>
  <conditionalFormatting sqref="C77">
    <cfRule type="cellIs" dxfId="23" priority="907" operator="equal">
      <formula>$U$1</formula>
    </cfRule>
    <cfRule type="cellIs" dxfId="22" priority="908" operator="equal">
      <formula>$S$1</formula>
    </cfRule>
  </conditionalFormatting>
  <conditionalFormatting sqref="D77">
    <cfRule type="cellIs" dxfId="21" priority="905" operator="equal">
      <formula>$S$1</formula>
    </cfRule>
    <cfRule type="cellIs" dxfId="20" priority="906" operator="equal">
      <formula>$U$1</formula>
    </cfRule>
  </conditionalFormatting>
  <conditionalFormatting sqref="C52">
    <cfRule type="cellIs" dxfId="19" priority="903" operator="equal">
      <formula>$U$1</formula>
    </cfRule>
    <cfRule type="cellIs" dxfId="18" priority="904" operator="equal">
      <formula>$S$1</formula>
    </cfRule>
  </conditionalFormatting>
  <conditionalFormatting sqref="D52">
    <cfRule type="cellIs" dxfId="17" priority="901" operator="equal">
      <formula>$S$1</formula>
    </cfRule>
    <cfRule type="cellIs" dxfId="16" priority="902" operator="equal">
      <formula>$U$1</formula>
    </cfRule>
  </conditionalFormatting>
  <conditionalFormatting sqref="C26">
    <cfRule type="cellIs" dxfId="15" priority="899" operator="equal">
      <formula>$U$1</formula>
    </cfRule>
    <cfRule type="cellIs" dxfId="14" priority="900" operator="equal">
      <formula>$S$1</formula>
    </cfRule>
  </conditionalFormatting>
  <conditionalFormatting sqref="D26">
    <cfRule type="cellIs" dxfId="13" priority="897" operator="equal">
      <formula>$S$1</formula>
    </cfRule>
    <cfRule type="cellIs" dxfId="12" priority="898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G3" sqref="G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6" t="s">
        <v>17</v>
      </c>
      <c r="C1" s="36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30">
        <v>144.98013677555019</v>
      </c>
      <c r="F3" s="30">
        <v>185.03547549536299</v>
      </c>
      <c r="G3" s="30">
        <v>287.05075409295796</v>
      </c>
      <c r="H3" s="25">
        <f>IF(G3="","",(3*(G3-F3))+E3)</f>
        <v>451.02597256833513</v>
      </c>
      <c r="I3" s="7"/>
      <c r="J3" s="7">
        <f>(E3+G3)/2</f>
        <v>216.01544543425408</v>
      </c>
      <c r="K3" s="7">
        <f>H3/2</f>
        <v>225.51298628416757</v>
      </c>
      <c r="M3" s="26">
        <f>IF(OR(J3="",H3=""),"",H3/J3)</f>
        <v>2.0879339051966461</v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2022-01-28T01:18:18Z</dcterms:modified>
</cp:coreProperties>
</file>