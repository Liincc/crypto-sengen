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55C6770-8E82-4091-9D90-EB53513A89D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8" i="5"/>
  <c r="C116" i="4"/>
  <c r="C122" i="4"/>
  <c r="C133" i="4" s="1"/>
  <c r="D136" i="4" s="1"/>
  <c r="R765" i="1"/>
  <c r="C122" i="3"/>
  <c r="C133" i="3" s="1"/>
  <c r="D136" i="3" s="1"/>
  <c r="C118" i="3"/>
  <c r="D136" i="5" l="1"/>
  <c r="C138" i="5" s="1"/>
  <c r="C136" i="4"/>
  <c r="C138" i="4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S758" i="1" l="1"/>
  <c r="T758" i="1" s="1"/>
  <c r="R757" i="1"/>
  <c r="S757" i="1" l="1"/>
  <c r="T757" i="1" s="1"/>
  <c r="R756" i="1"/>
  <c r="R755" i="1" l="1"/>
  <c r="S756" i="1"/>
  <c r="T756" i="1" s="1"/>
  <c r="S755" i="1" l="1"/>
  <c r="T755" i="1" s="1"/>
  <c r="R754" i="1"/>
  <c r="R753" i="1" l="1"/>
  <c r="S754" i="1"/>
  <c r="T754" i="1" s="1"/>
  <c r="R752" i="1" l="1"/>
  <c r="S753" i="1"/>
  <c r="T753" i="1" s="1"/>
  <c r="R751" i="1" l="1"/>
  <c r="S752" i="1"/>
  <c r="T752" i="1" s="1"/>
  <c r="S751" i="1" l="1"/>
  <c r="T751" i="1" s="1"/>
  <c r="R750" i="1"/>
  <c r="R749" i="1" l="1"/>
  <c r="S750" i="1"/>
  <c r="T750" i="1" s="1"/>
  <c r="S749" i="1" l="1"/>
  <c r="T749" i="1" s="1"/>
  <c r="R748" i="1"/>
  <c r="S748" i="1" l="1"/>
  <c r="T748" i="1" s="1"/>
  <c r="R747" i="1"/>
  <c r="S747" i="1" l="1"/>
  <c r="T747" i="1" s="1"/>
  <c r="R746" i="1"/>
  <c r="R745" i="1" l="1"/>
  <c r="S746" i="1"/>
  <c r="T746" i="1" s="1"/>
  <c r="S745" i="1" l="1"/>
  <c r="T745" i="1" s="1"/>
  <c r="R744" i="1"/>
  <c r="R743" i="1" l="1"/>
  <c r="S744" i="1"/>
  <c r="T744" i="1" s="1"/>
  <c r="R742" i="1" l="1"/>
  <c r="S743" i="1"/>
  <c r="T743" i="1" s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S725" i="1" l="1"/>
  <c r="T725" i="1" s="1"/>
  <c r="R724" i="1"/>
  <c r="R723" i="1" l="1"/>
  <c r="S724" i="1"/>
  <c r="T724" i="1" s="1"/>
  <c r="R722" i="1" l="1"/>
  <c r="S723" i="1"/>
  <c r="T723" i="1" s="1"/>
  <c r="R721" i="1" l="1"/>
  <c r="S722" i="1"/>
  <c r="T722" i="1" s="1"/>
  <c r="S721" i="1" l="1"/>
  <c r="T721" i="1" s="1"/>
  <c r="R720" i="1"/>
  <c r="R719" i="1" l="1"/>
  <c r="S720" i="1"/>
  <c r="T720" i="1" s="1"/>
  <c r="S719" i="1" l="1"/>
  <c r="T719" i="1" s="1"/>
  <c r="R718" i="1"/>
  <c r="S718" i="1" l="1"/>
  <c r="T718" i="1" s="1"/>
  <c r="R717" i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S686" i="1" l="1"/>
  <c r="T686" i="1" s="1"/>
  <c r="R685" i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R678" i="1" l="1"/>
  <c r="S679" i="1"/>
  <c r="T679" i="1" s="1"/>
  <c r="S678" i="1" l="1"/>
  <c r="T678" i="1" s="1"/>
  <c r="R677" i="1"/>
  <c r="S677" i="1" l="1"/>
  <c r="T677" i="1" s="1"/>
  <c r="R676" i="1"/>
  <c r="S676" i="1" l="1"/>
  <c r="T676" i="1" s="1"/>
  <c r="R675" i="1"/>
  <c r="S675" i="1" l="1"/>
  <c r="T675" i="1" s="1"/>
  <c r="R674" i="1"/>
  <c r="S674" i="1" l="1"/>
  <c r="T674" i="1" s="1"/>
  <c r="R673" i="1"/>
  <c r="R672" i="1" l="1"/>
  <c r="S673" i="1"/>
  <c r="T673" i="1" s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S658" i="1" l="1"/>
  <c r="T658" i="1" s="1"/>
  <c r="R657" i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S638" i="1" l="1"/>
  <c r="T638" i="1" s="1"/>
  <c r="R637" i="1"/>
  <c r="S637" i="1" l="1"/>
  <c r="T637" i="1" s="1"/>
  <c r="R636" i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S629" i="1" l="1"/>
  <c r="T629" i="1" s="1"/>
  <c r="R628" i="1"/>
  <c r="R627" i="1" l="1"/>
  <c r="S628" i="1"/>
  <c r="T628" i="1" s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S623" i="1" l="1"/>
  <c r="T623" i="1" s="1"/>
  <c r="R622" i="1"/>
  <c r="R621" i="1" l="1"/>
  <c r="S622" i="1"/>
  <c r="T622" i="1" s="1"/>
  <c r="R620" i="1" l="1"/>
  <c r="S621" i="1"/>
  <c r="T621" i="1" s="1"/>
  <c r="R619" i="1" l="1"/>
  <c r="S620" i="1"/>
  <c r="T620" i="1" s="1"/>
  <c r="S619" i="1" l="1"/>
  <c r="T619" i="1" s="1"/>
  <c r="R618" i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S609" i="1" l="1"/>
  <c r="T609" i="1" s="1"/>
  <c r="R608" i="1"/>
  <c r="R607" i="1" l="1"/>
  <c r="S608" i="1"/>
  <c r="T608" i="1" s="1"/>
  <c r="S607" i="1" l="1"/>
  <c r="T607" i="1" s="1"/>
  <c r="R606" i="1"/>
  <c r="S606" i="1" l="1"/>
  <c r="T606" i="1" s="1"/>
  <c r="R605" i="1"/>
  <c r="S605" i="1" l="1"/>
  <c r="T605" i="1" s="1"/>
  <c r="R604" i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S593" i="1" l="1"/>
  <c r="T593" i="1" s="1"/>
  <c r="R592" i="1"/>
  <c r="R591" i="1" l="1"/>
  <c r="S592" i="1"/>
  <c r="T592" i="1" s="1"/>
  <c r="R590" i="1" l="1"/>
  <c r="S591" i="1"/>
  <c r="T591" i="1" s="1"/>
  <c r="R589" i="1" l="1"/>
  <c r="S590" i="1"/>
  <c r="T590" i="1" s="1"/>
  <c r="S589" i="1" l="1"/>
  <c r="T589" i="1" s="1"/>
  <c r="R588" i="1"/>
  <c r="R587" i="1" l="1"/>
  <c r="S588" i="1"/>
  <c r="T588" i="1" s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R560" i="1" l="1"/>
  <c r="S561" i="1"/>
  <c r="T561" i="1" s="1"/>
  <c r="S560" i="1" l="1"/>
  <c r="T560" i="1" s="1"/>
  <c r="R559" i="1"/>
  <c r="S559" i="1" l="1"/>
  <c r="T559" i="1" s="1"/>
  <c r="R558" i="1"/>
  <c r="S558" i="1" l="1"/>
  <c r="T558" i="1" s="1"/>
  <c r="R557" i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S533" i="1" l="1"/>
  <c r="T533" i="1" s="1"/>
  <c r="R532" i="1"/>
  <c r="R531" i="1" l="1"/>
  <c r="S532" i="1"/>
  <c r="T532" i="1" s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S513" i="1" l="1"/>
  <c r="T513" i="1" s="1"/>
  <c r="R512" i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S496" i="1" l="1"/>
  <c r="T496" i="1" s="1"/>
  <c r="R495" i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S437" i="1" l="1"/>
  <c r="T437" i="1" s="1"/>
  <c r="R436" i="1"/>
  <c r="S436" i="1" l="1"/>
  <c r="T436" i="1" s="1"/>
  <c r="R435" i="1"/>
  <c r="R434" i="1" l="1"/>
  <c r="S435" i="1"/>
  <c r="T435" i="1" s="1"/>
  <c r="S434" i="1" l="1"/>
  <c r="T434" i="1" s="1"/>
  <c r="R433" i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S427" i="1" l="1"/>
  <c r="T427" i="1" s="1"/>
  <c r="R426" i="1"/>
  <c r="S426" i="1" l="1"/>
  <c r="T426" i="1" s="1"/>
  <c r="R425" i="1"/>
  <c r="S425" i="1" l="1"/>
  <c r="T425" i="1" s="1"/>
  <c r="R424" i="1"/>
  <c r="R423" i="1" l="1"/>
  <c r="S424" i="1"/>
  <c r="T424" i="1" s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R413" i="1" l="1"/>
  <c r="S414" i="1"/>
  <c r="T414" i="1" s="1"/>
  <c r="S413" i="1" l="1"/>
  <c r="T413" i="1" s="1"/>
  <c r="R412" i="1"/>
  <c r="S412" i="1" l="1"/>
  <c r="T412" i="1" s="1"/>
  <c r="R411" i="1"/>
  <c r="R410" i="1" l="1"/>
  <c r="S411" i="1"/>
  <c r="T411" i="1" s="1"/>
  <c r="S410" i="1" l="1"/>
  <c r="T410" i="1" s="1"/>
  <c r="R409" i="1"/>
  <c r="S409" i="1" l="1"/>
  <c r="T409" i="1" s="1"/>
  <c r="R408" i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S386" i="1" l="1"/>
  <c r="T386" i="1" s="1"/>
  <c r="R385" i="1"/>
  <c r="S385" i="1" l="1"/>
  <c r="T385" i="1" s="1"/>
  <c r="R384" i="1"/>
  <c r="S384" i="1" l="1"/>
  <c r="T384" i="1" s="1"/>
  <c r="R383" i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S352" i="1" l="1"/>
  <c r="T352" i="1" s="1"/>
  <c r="R351" i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S346" i="1" l="1"/>
  <c r="T346" i="1" s="1"/>
  <c r="R345" i="1"/>
  <c r="R344" i="1" l="1"/>
  <c r="S345" i="1"/>
  <c r="T345" i="1" s="1"/>
  <c r="S344" i="1" l="1"/>
  <c r="T344" i="1" s="1"/>
  <c r="R343" i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S328" i="1" l="1"/>
  <c r="T328" i="1" s="1"/>
  <c r="R327" i="1"/>
  <c r="R326" i="1" l="1"/>
  <c r="S327" i="1"/>
  <c r="T327" i="1" s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S317" i="1" l="1"/>
  <c r="T317" i="1" s="1"/>
  <c r="R316" i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S308" i="1" l="1"/>
  <c r="T308" i="1" s="1"/>
  <c r="R307" i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S226" i="1" l="1"/>
  <c r="T226" i="1" s="1"/>
  <c r="R225" i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S221" i="1" l="1"/>
  <c r="T221" i="1" s="1"/>
  <c r="R220" i="1"/>
  <c r="S220" i="1" l="1"/>
  <c r="T220" i="1" s="1"/>
  <c r="R219" i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S206" i="1" l="1"/>
  <c r="T206" i="1" s="1"/>
  <c r="R205" i="1"/>
  <c r="S205" i="1" l="1"/>
  <c r="T205" i="1" s="1"/>
  <c r="R204" i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S186" i="1" l="1"/>
  <c r="T186" i="1" s="1"/>
  <c r="R185" i="1"/>
  <c r="R184" i="1" l="1"/>
  <c r="S185" i="1"/>
  <c r="T185" i="1" s="1"/>
  <c r="S184" i="1" l="1"/>
  <c r="T184" i="1" s="1"/>
  <c r="R183" i="1"/>
  <c r="S183" i="1" l="1"/>
  <c r="T183" i="1" s="1"/>
  <c r="R182" i="1"/>
  <c r="S182" i="1" l="1"/>
  <c r="T182" i="1" s="1"/>
  <c r="R181" i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S174" i="1" l="1"/>
  <c r="T174" i="1" s="1"/>
  <c r="R173" i="1"/>
  <c r="S173" i="1" l="1"/>
  <c r="T173" i="1" s="1"/>
  <c r="R172" i="1"/>
  <c r="S172" i="1" l="1"/>
  <c r="T172" i="1" s="1"/>
  <c r="R171" i="1"/>
  <c r="R170" i="1" l="1"/>
  <c r="S171" i="1"/>
  <c r="T171" i="1" s="1"/>
  <c r="S170" i="1" l="1"/>
  <c r="T170" i="1" s="1"/>
  <c r="R169" i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S164" i="1" l="1"/>
  <c r="T164" i="1" s="1"/>
  <c r="R163" i="1"/>
  <c r="R162" i="1" l="1"/>
  <c r="S163" i="1"/>
  <c r="T163" i="1" s="1"/>
  <c r="S162" i="1" l="1"/>
  <c r="T162" i="1" s="1"/>
  <c r="R161" i="1"/>
  <c r="S161" i="1" l="1"/>
  <c r="T161" i="1" s="1"/>
  <c r="R160" i="1"/>
  <c r="S160" i="1" l="1"/>
  <c r="T160" i="1" s="1"/>
  <c r="R159" i="1"/>
  <c r="R158" i="1" l="1"/>
  <c r="S159" i="1"/>
  <c r="T159" i="1" s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<sst xmlns="http://schemas.openxmlformats.org/spreadsheetml/2006/main" count="5030" uniqueCount="34">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</sst>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61.4</c:v>
                </c:pt>
                <c:pt idx="1">
                  <c:v>61.1</c:v>
                </c:pt>
                <c:pt idx="2">
                  <c:v>54.8</c:v>
                </c:pt>
                <c:pt idx="3">
                  <c:v>54.9</c:v>
                </c:pt>
                <c:pt idx="4">
                  <c:v>56.3</c:v>
                </c:pt>
                <c:pt idx="5">
                  <c:v>54.6</c:v>
                </c:pt>
                <c:pt idx="6">
                  <c:v>53.7</c:v>
                </c:pt>
                <c:pt idx="7">
                  <c:v>65.900000000000006</c:v>
                </c:pt>
                <c:pt idx="8">
                  <c:v>67.599999999999994</c:v>
                </c:pt>
                <c:pt idx="9">
                  <c:v>67</c:v>
                </c:pt>
                <c:pt idx="10">
                  <c:v>68.2</c:v>
                </c:pt>
                <c:pt idx="11">
                  <c:v>68.099999999999994</c:v>
                </c:pt>
                <c:pt idx="12">
                  <c:v>69.599999999999994</c:v>
                </c:pt>
                <c:pt idx="13">
                  <c:v>74.099999999999994</c:v>
                </c:pt>
                <c:pt idx="14">
                  <c:v>58</c:v>
                </c:pt>
                <c:pt idx="15">
                  <c:v>62.3</c:v>
                </c:pt>
                <c:pt idx="16">
                  <c:v>57.2</c:v>
                </c:pt>
                <c:pt idx="17">
                  <c:v>54</c:v>
                </c:pt>
                <c:pt idx="18">
                  <c:v>56.5</c:v>
                </c:pt>
                <c:pt idx="19">
                  <c:v>56.5</c:v>
                </c:pt>
                <c:pt idx="20">
                  <c:v>59</c:v>
                </c:pt>
                <c:pt idx="21">
                  <c:v>64</c:v>
                </c:pt>
                <c:pt idx="22">
                  <c:v>66.900000000000006</c:v>
                </c:pt>
                <c:pt idx="23">
                  <c:v>69.599999999999994</c:v>
                </c:pt>
                <c:pt idx="24">
                  <c:v>71.5</c:v>
                </c:pt>
                <c:pt idx="25">
                  <c:v>73.599999999999994</c:v>
                </c:pt>
                <c:pt idx="26">
                  <c:v>74.8</c:v>
                </c:pt>
                <c:pt idx="27">
                  <c:v>69.900000000000006</c:v>
                </c:pt>
                <c:pt idx="28">
                  <c:v>71.900000000000006</c:v>
                </c:pt>
                <c:pt idx="29">
                  <c:v>69.3</c:v>
                </c:pt>
                <c:pt idx="30">
                  <c:v>72.599999999999994</c:v>
                </c:pt>
                <c:pt idx="31">
                  <c:v>79</c:v>
                </c:pt>
                <c:pt idx="32">
                  <c:v>80</c:v>
                </c:pt>
                <c:pt idx="33">
                  <c:v>80.900000000000006</c:v>
                </c:pt>
                <c:pt idx="34">
                  <c:v>75.3</c:v>
                </c:pt>
                <c:pt idx="35">
                  <c:v>76.8</c:v>
                </c:pt>
                <c:pt idx="36">
                  <c:v>70.2</c:v>
                </c:pt>
                <c:pt idx="37">
                  <c:v>71</c:v>
                </c:pt>
                <c:pt idx="38">
                  <c:v>71.7</c:v>
                </c:pt>
                <c:pt idx="39">
                  <c:v>83.8</c:v>
                </c:pt>
                <c:pt idx="40">
                  <c:v>66.7</c:v>
                </c:pt>
                <c:pt idx="41">
                  <c:v>62.3</c:v>
                </c:pt>
                <c:pt idx="42">
                  <c:v>66.7</c:v>
                </c:pt>
                <c:pt idx="43">
                  <c:v>66</c:v>
                </c:pt>
                <c:pt idx="44">
                  <c:v>63.5</c:v>
                </c:pt>
                <c:pt idx="45">
                  <c:v>62.1</c:v>
                </c:pt>
                <c:pt idx="46">
                  <c:v>76.099999999999994</c:v>
                </c:pt>
                <c:pt idx="47">
                  <c:v>78.099999999999994</c:v>
                </c:pt>
                <c:pt idx="48">
                  <c:v>77.8</c:v>
                </c:pt>
                <c:pt idx="49">
                  <c:v>80.900000000000006</c:v>
                </c:pt>
                <c:pt idx="50">
                  <c:v>91.4</c:v>
                </c:pt>
                <c:pt idx="51">
                  <c:v>94.6</c:v>
                </c:pt>
                <c:pt idx="52">
                  <c:v>96.9</c:v>
                </c:pt>
                <c:pt idx="53">
                  <c:v>95.9</c:v>
                </c:pt>
                <c:pt idx="54">
                  <c:v>89.1</c:v>
                </c:pt>
                <c:pt idx="55">
                  <c:v>106.1</c:v>
                </c:pt>
                <c:pt idx="56">
                  <c:v>105.4</c:v>
                </c:pt>
                <c:pt idx="57">
                  <c:v>105.5</c:v>
                </c:pt>
                <c:pt idx="58">
                  <c:v>105</c:v>
                </c:pt>
                <c:pt idx="59">
                  <c:v>105.5</c:v>
                </c:pt>
                <c:pt idx="60">
                  <c:v>105.9</c:v>
                </c:pt>
                <c:pt idx="61">
                  <c:v>102</c:v>
                </c:pt>
                <c:pt idx="62">
                  <c:v>93.5</c:v>
                </c:pt>
                <c:pt idx="63">
                  <c:v>108.9</c:v>
                </c:pt>
                <c:pt idx="64">
                  <c:v>106.6</c:v>
                </c:pt>
                <c:pt idx="65">
                  <c:v>110</c:v>
                </c:pt>
                <c:pt idx="66">
                  <c:v>107.5</c:v>
                </c:pt>
                <c:pt idx="67">
                  <c:v>111.6</c:v>
                </c:pt>
                <c:pt idx="68">
                  <c:v>110.9</c:v>
                </c:pt>
                <c:pt idx="69">
                  <c:v>108.1</c:v>
                </c:pt>
                <c:pt idx="70">
                  <c:v>107.7</c:v>
                </c:pt>
                <c:pt idx="71">
                  <c:v>110.2</c:v>
                </c:pt>
                <c:pt idx="72">
                  <c:v>107.4</c:v>
                </c:pt>
                <c:pt idx="73">
                  <c:v>113.4</c:v>
                </c:pt>
                <c:pt idx="74">
                  <c:v>119</c:v>
                </c:pt>
                <c:pt idx="75">
                  <c:v>114.4</c:v>
                </c:pt>
                <c:pt idx="76">
                  <c:v>113</c:v>
                </c:pt>
                <c:pt idx="77">
                  <c:v>108.7</c:v>
                </c:pt>
                <c:pt idx="78">
                  <c:v>102.1</c:v>
                </c:pt>
                <c:pt idx="79">
                  <c:v>107.2</c:v>
                </c:pt>
                <c:pt idx="80">
                  <c:v>108.5</c:v>
                </c:pt>
                <c:pt idx="81">
                  <c:v>107.8</c:v>
                </c:pt>
                <c:pt idx="82">
                  <c:v>107</c:v>
                </c:pt>
                <c:pt idx="83">
                  <c:v>104.2</c:v>
                </c:pt>
                <c:pt idx="84">
                  <c:v>107.6</c:v>
                </c:pt>
                <c:pt idx="85">
                  <c:v>111.7</c:v>
                </c:pt>
                <c:pt idx="86">
                  <c:v>113.3</c:v>
                </c:pt>
                <c:pt idx="87">
                  <c:v>111.9</c:v>
                </c:pt>
                <c:pt idx="88">
                  <c:v>114.6</c:v>
                </c:pt>
                <c:pt idx="89">
                  <c:v>116.4</c:v>
                </c:pt>
                <c:pt idx="90">
                  <c:v>117.1</c:v>
                </c:pt>
                <c:pt idx="91">
                  <c:v>111.3</c:v>
                </c:pt>
                <c:pt idx="92">
                  <c:v>109.4</c:v>
                </c:pt>
                <c:pt idx="93">
                  <c:v>119.5</c:v>
                </c:pt>
                <c:pt idx="94">
                  <c:v>125.4</c:v>
                </c:pt>
                <c:pt idx="95">
                  <c:v>122.5</c:v>
                </c:pt>
                <c:pt idx="96">
                  <c:v>131.4</c:v>
                </c:pt>
                <c:pt idx="97">
                  <c:v>122.7</c:v>
                </c:pt>
                <c:pt idx="98">
                  <c:v>123.3</c:v>
                </c:pt>
                <c:pt idx="99">
                  <c:v>126.5</c:v>
                </c:pt>
                <c:pt idx="100">
                  <c:v>123.2</c:v>
                </c:pt>
                <c:pt idx="101">
                  <c:v>117.3</c:v>
                </c:pt>
                <c:pt idx="102">
                  <c:v>117.1</c:v>
                </c:pt>
                <c:pt idx="103">
                  <c:v>118</c:v>
                </c:pt>
                <c:pt idx="104">
                  <c:v>120.9</c:v>
                </c:pt>
                <c:pt idx="105">
                  <c:v>123.3</c:v>
                </c:pt>
                <c:pt idx="106">
                  <c:v>124.9</c:v>
                </c:pt>
                <c:pt idx="107">
                  <c:v>126.4</c:v>
                </c:pt>
                <c:pt idx="108">
                  <c:v>130.5</c:v>
                </c:pt>
                <c:pt idx="109">
                  <c:v>137.1</c:v>
                </c:pt>
                <c:pt idx="110">
                  <c:v>132.30000000000001</c:v>
                </c:pt>
                <c:pt idx="111">
                  <c:v>126.4</c:v>
                </c:pt>
                <c:pt idx="112">
                  <c:v>126</c:v>
                </c:pt>
                <c:pt idx="113">
                  <c:v>128.19999999999999</c:v>
                </c:pt>
                <c:pt idx="114">
                  <c:v>125.4</c:v>
                </c:pt>
                <c:pt idx="115">
                  <c:v>126.7</c:v>
                </c:pt>
                <c:pt idx="116">
                  <c:v>118.8</c:v>
                </c:pt>
                <c:pt idx="117">
                  <c:v>115</c:v>
                </c:pt>
                <c:pt idx="118">
                  <c:v>111.4</c:v>
                </c:pt>
                <c:pt idx="119">
                  <c:v>105.9</c:v>
                </c:pt>
                <c:pt idx="120">
                  <c:v>100.5</c:v>
                </c:pt>
                <c:pt idx="121">
                  <c:v>96.2</c:v>
                </c:pt>
                <c:pt idx="122">
                  <c:v>106.9</c:v>
                </c:pt>
                <c:pt idx="123">
                  <c:v>113.2</c:v>
                </c:pt>
                <c:pt idx="124">
                  <c:v>115.2</c:v>
                </c:pt>
                <c:pt idx="125">
                  <c:v>116.4</c:v>
                </c:pt>
                <c:pt idx="126">
                  <c:v>120.3</c:v>
                </c:pt>
                <c:pt idx="127">
                  <c:v>117.4</c:v>
                </c:pt>
                <c:pt idx="128">
                  <c:v>106.6</c:v>
                </c:pt>
                <c:pt idx="129">
                  <c:v>130.30000000000001</c:v>
                </c:pt>
                <c:pt idx="130">
                  <c:v>139.19999999999999</c:v>
                </c:pt>
                <c:pt idx="131">
                  <c:v>143.1</c:v>
                </c:pt>
                <c:pt idx="132">
                  <c:v>145.30000000000001</c:v>
                </c:pt>
                <c:pt idx="133">
                  <c:v>143.19999999999999</c:v>
                </c:pt>
                <c:pt idx="134">
                  <c:v>144.80000000000001</c:v>
                </c:pt>
                <c:pt idx="135">
                  <c:v>145.30000000000001</c:v>
                </c:pt>
                <c:pt idx="136">
                  <c:v>134.80000000000001</c:v>
                </c:pt>
                <c:pt idx="137">
                  <c:v>144.1</c:v>
                </c:pt>
                <c:pt idx="138">
                  <c:v>145.1</c:v>
                </c:pt>
                <c:pt idx="139">
                  <c:v>141.5</c:v>
                </c:pt>
                <c:pt idx="140">
                  <c:v>145.80000000000001</c:v>
                </c:pt>
                <c:pt idx="141">
                  <c:v>145.5</c:v>
                </c:pt>
                <c:pt idx="142">
                  <c:v>148.5</c:v>
                </c:pt>
                <c:pt idx="143">
                  <c:v>174.4</c:v>
                </c:pt>
                <c:pt idx="144">
                  <c:v>176.5</c:v>
                </c:pt>
                <c:pt idx="145">
                  <c:v>172.6</c:v>
                </c:pt>
                <c:pt idx="146">
                  <c:v>178.2</c:v>
                </c:pt>
                <c:pt idx="147">
                  <c:v>178.1</c:v>
                </c:pt>
                <c:pt idx="148">
                  <c:v>182</c:v>
                </c:pt>
                <c:pt idx="149">
                  <c:v>174.9</c:v>
                </c:pt>
                <c:pt idx="150">
                  <c:v>167</c:v>
                </c:pt>
                <c:pt idx="151">
                  <c:v>179</c:v>
                </c:pt>
                <c:pt idx="152">
                  <c:v>173</c:v>
                </c:pt>
                <c:pt idx="153">
                  <c:v>179.1</c:v>
                </c:pt>
                <c:pt idx="154">
                  <c:v>175.7</c:v>
                </c:pt>
                <c:pt idx="155">
                  <c:v>178.21</c:v>
                </c:pt>
                <c:pt idx="156">
                  <c:v>165.07</c:v>
                </c:pt>
                <c:pt idx="157">
                  <c:v>176.16</c:v>
                </c:pt>
                <c:pt idx="158">
                  <c:v>179.46</c:v>
                </c:pt>
                <c:pt idx="159">
                  <c:v>178.75</c:v>
                </c:pt>
                <c:pt idx="160">
                  <c:v>174.61</c:v>
                </c:pt>
                <c:pt idx="161">
                  <c:v>164.48</c:v>
                </c:pt>
                <c:pt idx="162">
                  <c:v>159.19</c:v>
                </c:pt>
                <c:pt idx="163">
                  <c:v>163.30000000000001</c:v>
                </c:pt>
                <c:pt idx="164">
                  <c:v>174.6</c:v>
                </c:pt>
                <c:pt idx="165">
                  <c:v>174.89</c:v>
                </c:pt>
                <c:pt idx="166">
                  <c:v>171.49</c:v>
                </c:pt>
                <c:pt idx="167">
                  <c:v>173.98</c:v>
                </c:pt>
                <c:pt idx="168">
                  <c:v>159.29</c:v>
                </c:pt>
                <c:pt idx="169">
                  <c:v>155.36000000000001</c:v>
                </c:pt>
                <c:pt idx="170">
                  <c:v>159.32</c:v>
                </c:pt>
                <c:pt idx="171">
                  <c:v>157.78</c:v>
                </c:pt>
                <c:pt idx="172">
                  <c:v>150.79</c:v>
                </c:pt>
                <c:pt idx="173">
                  <c:v>145.44</c:v>
                </c:pt>
                <c:pt idx="174">
                  <c:v>141.78</c:v>
                </c:pt>
                <c:pt idx="175">
                  <c:v>138.88</c:v>
                </c:pt>
                <c:pt idx="176">
                  <c:v>136.16999999999999</c:v>
                </c:pt>
                <c:pt idx="177">
                  <c:v>126.59</c:v>
                </c:pt>
                <c:pt idx="178">
                  <c:v>134.86000000000001</c:v>
                </c:pt>
                <c:pt idx="179">
                  <c:v>149.02000000000001</c:v>
                </c:pt>
                <c:pt idx="180">
                  <c:v>155.69</c:v>
                </c:pt>
                <c:pt idx="181">
                  <c:v>152.30000000000001</c:v>
                </c:pt>
                <c:pt idx="182">
                  <c:v>142.86000000000001</c:v>
                </c:pt>
                <c:pt idx="183">
                  <c:v>138.22</c:v>
                </c:pt>
                <c:pt idx="184">
                  <c:v>136</c:v>
                </c:pt>
                <c:pt idx="185">
                  <c:v>130.03</c:v>
                </c:pt>
                <c:pt idx="186">
                  <c:v>131.22999999999999</c:v>
                </c:pt>
                <c:pt idx="187">
                  <c:v>128.91999999999999</c:v>
                </c:pt>
                <c:pt idx="188">
                  <c:v>121</c:v>
                </c:pt>
                <c:pt idx="189">
                  <c:v>117.46</c:v>
                </c:pt>
                <c:pt idx="190">
                  <c:v>111.87</c:v>
                </c:pt>
                <c:pt idx="191">
                  <c:v>100.97</c:v>
                </c:pt>
                <c:pt idx="192">
                  <c:v>101.81</c:v>
                </c:pt>
                <c:pt idx="193">
                  <c:v>114.66</c:v>
                </c:pt>
                <c:pt idx="194">
                  <c:v>116.58</c:v>
                </c:pt>
                <c:pt idx="195">
                  <c:v>113.1</c:v>
                </c:pt>
                <c:pt idx="196">
                  <c:v>112.83</c:v>
                </c:pt>
                <c:pt idx="197">
                  <c:v>114.71</c:v>
                </c:pt>
                <c:pt idx="198">
                  <c:v>123.78</c:v>
                </c:pt>
                <c:pt idx="199">
                  <c:v>127.33</c:v>
                </c:pt>
                <c:pt idx="200">
                  <c:v>133.56</c:v>
                </c:pt>
                <c:pt idx="201">
                  <c:v>133.59</c:v>
                </c:pt>
                <c:pt idx="202">
                  <c:v>131.51</c:v>
                </c:pt>
                <c:pt idx="203">
                  <c:v>121.44</c:v>
                </c:pt>
                <c:pt idx="204">
                  <c:v>136.5</c:v>
                </c:pt>
                <c:pt idx="205">
                  <c:v>139.77000000000001</c:v>
                </c:pt>
                <c:pt idx="206">
                  <c:v>137.15</c:v>
                </c:pt>
                <c:pt idx="207">
                  <c:v>138.41999999999999</c:v>
                </c:pt>
                <c:pt idx="208">
                  <c:v>148.13999999999999</c:v>
                </c:pt>
                <c:pt idx="209">
                  <c:v>140.99</c:v>
                </c:pt>
                <c:pt idx="210">
                  <c:v>135.03</c:v>
                </c:pt>
                <c:pt idx="211">
                  <c:v>142.69999999999999</c:v>
                </c:pt>
                <c:pt idx="212">
                  <c:v>147.69</c:v>
                </c:pt>
                <c:pt idx="213">
                  <c:v>131.34</c:v>
                </c:pt>
                <c:pt idx="214">
                  <c:v>123.48</c:v>
                </c:pt>
                <c:pt idx="215">
                  <c:v>116.94</c:v>
                </c:pt>
                <c:pt idx="216">
                  <c:v>111.78</c:v>
                </c:pt>
                <c:pt idx="217">
                  <c:v>106.73</c:v>
                </c:pt>
                <c:pt idx="218">
                  <c:v>111.71</c:v>
                </c:pt>
                <c:pt idx="219">
                  <c:v>101.33</c:v>
                </c:pt>
                <c:pt idx="220">
                  <c:v>104.11</c:v>
                </c:pt>
                <c:pt idx="221">
                  <c:v>125.14</c:v>
                </c:pt>
                <c:pt idx="222">
                  <c:v>123.08</c:v>
                </c:pt>
                <c:pt idx="223">
                  <c:v>115.58</c:v>
                </c:pt>
                <c:pt idx="224">
                  <c:v>128.46</c:v>
                </c:pt>
                <c:pt idx="225">
                  <c:v>131.44999999999999</c:v>
                </c:pt>
                <c:pt idx="226">
                  <c:v>141.63999999999999</c:v>
                </c:pt>
                <c:pt idx="227">
                  <c:v>138.71</c:v>
                </c:pt>
                <c:pt idx="228">
                  <c:v>137.29</c:v>
                </c:pt>
                <c:pt idx="229">
                  <c:v>130.86000000000001</c:v>
                </c:pt>
                <c:pt idx="230">
                  <c:v>139.31</c:v>
                </c:pt>
                <c:pt idx="231">
                  <c:v>136.25</c:v>
                </c:pt>
                <c:pt idx="232">
                  <c:v>139.31</c:v>
                </c:pt>
                <c:pt idx="233">
                  <c:v>129.69</c:v>
                </c:pt>
                <c:pt idx="234">
                  <c:v>132.46</c:v>
                </c:pt>
                <c:pt idx="235">
                  <c:v>145.57</c:v>
                </c:pt>
                <c:pt idx="236">
                  <c:v>138.43</c:v>
                </c:pt>
                <c:pt idx="237">
                  <c:v>141.9</c:v>
                </c:pt>
                <c:pt idx="238">
                  <c:v>158.75</c:v>
                </c:pt>
                <c:pt idx="239">
                  <c:v>158.21</c:v>
                </c:pt>
                <c:pt idx="240">
                  <c:v>161.51</c:v>
                </c:pt>
                <c:pt idx="241">
                  <c:v>170.87</c:v>
                </c:pt>
                <c:pt idx="242">
                  <c:v>154.78</c:v>
                </c:pt>
                <c:pt idx="243">
                  <c:v>138.15</c:v>
                </c:pt>
                <c:pt idx="244">
                  <c:v>145.49</c:v>
                </c:pt>
                <c:pt idx="245">
                  <c:v>151.01</c:v>
                </c:pt>
                <c:pt idx="246">
                  <c:v>145.43</c:v>
                </c:pt>
                <c:pt idx="247">
                  <c:v>139.74</c:v>
                </c:pt>
                <c:pt idx="248">
                  <c:v>131.07</c:v>
                </c:pt>
                <c:pt idx="249">
                  <c:v>105.67</c:v>
                </c:pt>
                <c:pt idx="250">
                  <c:v>121.89</c:v>
                </c:pt>
                <c:pt idx="251">
                  <c:v>128.01</c:v>
                </c:pt>
                <c:pt idx="252">
                  <c:v>144.30000000000001</c:v>
                </c:pt>
                <c:pt idx="253">
                  <c:v>123.68</c:v>
                </c:pt>
                <c:pt idx="254">
                  <c:v>180.03</c:v>
                </c:pt>
                <c:pt idx="255">
                  <c:v>169.27</c:v>
                </c:pt>
                <c:pt idx="256">
                  <c:v>183.18</c:v>
                </c:pt>
                <c:pt idx="257">
                  <c:v>184.76</c:v>
                </c:pt>
                <c:pt idx="258">
                  <c:v>200.25</c:v>
                </c:pt>
                <c:pt idx="259">
                  <c:v>197.05</c:v>
                </c:pt>
                <c:pt idx="260">
                  <c:v>195.48</c:v>
                </c:pt>
                <c:pt idx="261">
                  <c:v>219.42</c:v>
                </c:pt>
                <c:pt idx="262">
                  <c:v>210.88</c:v>
                </c:pt>
                <c:pt idx="263">
                  <c:v>218.19</c:v>
                </c:pt>
                <c:pt idx="264">
                  <c:v>207.49</c:v>
                </c:pt>
                <c:pt idx="265">
                  <c:v>202.24</c:v>
                </c:pt>
                <c:pt idx="266">
                  <c:v>195.45</c:v>
                </c:pt>
                <c:pt idx="267">
                  <c:v>197.83</c:v>
                </c:pt>
                <c:pt idx="268">
                  <c:v>187.39</c:v>
                </c:pt>
                <c:pt idx="269">
                  <c:v>202.89</c:v>
                </c:pt>
                <c:pt idx="270">
                  <c:v>205</c:v>
                </c:pt>
                <c:pt idx="271">
                  <c:v>210</c:v>
                </c:pt>
                <c:pt idx="272">
                  <c:v>206.02</c:v>
                </c:pt>
                <c:pt idx="273">
                  <c:v>207.91</c:v>
                </c:pt>
                <c:pt idx="274">
                  <c:v>208.34</c:v>
                </c:pt>
                <c:pt idx="275">
                  <c:v>213.94</c:v>
                </c:pt>
                <c:pt idx="276">
                  <c:v>205.82</c:v>
                </c:pt>
                <c:pt idx="277">
                  <c:v>186.78</c:v>
                </c:pt>
                <c:pt idx="278">
                  <c:v>185.4</c:v>
                </c:pt>
                <c:pt idx="279">
                  <c:v>185.55699999999999</c:v>
                </c:pt>
                <c:pt idx="280">
                  <c:v>191</c:v>
                </c:pt>
                <c:pt idx="281">
                  <c:v>207.386</c:v>
                </c:pt>
                <c:pt idx="282">
                  <c:v>214.602</c:v>
                </c:pt>
                <c:pt idx="283">
                  <c:v>216.01</c:v>
                </c:pt>
                <c:pt idx="284">
                  <c:v>224.52699999999999</c:v>
                </c:pt>
                <c:pt idx="285">
                  <c:v>231.34</c:v>
                </c:pt>
                <c:pt idx="286">
                  <c:v>245.971</c:v>
                </c:pt>
                <c:pt idx="287">
                  <c:v>207.58799999999999</c:v>
                </c:pt>
                <c:pt idx="288">
                  <c:v>207.87799999999999</c:v>
                </c:pt>
                <c:pt idx="289">
                  <c:v>203.15799999999999</c:v>
                </c:pt>
                <c:pt idx="290">
                  <c:v>190.97499999999999</c:v>
                </c:pt>
                <c:pt idx="291">
                  <c:v>196.50700000000001</c:v>
                </c:pt>
                <c:pt idx="292">
                  <c:v>194.02799999999999</c:v>
                </c:pt>
                <c:pt idx="293">
                  <c:v>191.68600000000001</c:v>
                </c:pt>
                <c:pt idx="294">
                  <c:v>188.99199999999999</c:v>
                </c:pt>
                <c:pt idx="295">
                  <c:v>180.86600000000001</c:v>
                </c:pt>
                <c:pt idx="296">
                  <c:v>189.78100000000001</c:v>
                </c:pt>
                <c:pt idx="297">
                  <c:v>193.45699999999999</c:v>
                </c:pt>
                <c:pt idx="298">
                  <c:v>186.33500000000001</c:v>
                </c:pt>
                <c:pt idx="299">
                  <c:v>176.91</c:v>
                </c:pt>
                <c:pt idx="300">
                  <c:v>182.893</c:v>
                </c:pt>
                <c:pt idx="301">
                  <c:v>181.43199999999999</c:v>
                </c:pt>
                <c:pt idx="302">
                  <c:v>179.483</c:v>
                </c:pt>
                <c:pt idx="303">
                  <c:v>180.38300000000001</c:v>
                </c:pt>
                <c:pt idx="304">
                  <c:v>172.90600000000001</c:v>
                </c:pt>
                <c:pt idx="305">
                  <c:v>166.672</c:v>
                </c:pt>
                <c:pt idx="306">
                  <c:v>165.75299999999999</c:v>
                </c:pt>
                <c:pt idx="307">
                  <c:v>157.279</c:v>
                </c:pt>
                <c:pt idx="308">
                  <c:v>147.232</c:v>
                </c:pt>
                <c:pt idx="309">
                  <c:v>147.39400000000001</c:v>
                </c:pt>
                <c:pt idx="310">
                  <c:v>154.446</c:v>
                </c:pt>
                <c:pt idx="311">
                  <c:v>153</c:v>
                </c:pt>
                <c:pt idx="312">
                  <c:v>165.81800000000001</c:v>
                </c:pt>
                <c:pt idx="313">
                  <c:v>165.69499999999999</c:v>
                </c:pt>
                <c:pt idx="314">
                  <c:v>162.471</c:v>
                </c:pt>
                <c:pt idx="315">
                  <c:v>165.077</c:v>
                </c:pt>
                <c:pt idx="316">
                  <c:v>167.471</c:v>
                </c:pt>
                <c:pt idx="317">
                  <c:v>168.56</c:v>
                </c:pt>
                <c:pt idx="318">
                  <c:v>167.21100000000001</c:v>
                </c:pt>
                <c:pt idx="319">
                  <c:v>177.01</c:v>
                </c:pt>
                <c:pt idx="320">
                  <c:v>178.84399999999999</c:v>
                </c:pt>
                <c:pt idx="321">
                  <c:v>170.92</c:v>
                </c:pt>
                <c:pt idx="322">
                  <c:v>176.95099999999999</c:v>
                </c:pt>
                <c:pt idx="323">
                  <c:v>169.364</c:v>
                </c:pt>
                <c:pt idx="324">
                  <c:v>163.649</c:v>
                </c:pt>
                <c:pt idx="325">
                  <c:v>151.76300000000001</c:v>
                </c:pt>
                <c:pt idx="326">
                  <c:v>153.13</c:v>
                </c:pt>
                <c:pt idx="327">
                  <c:v>152.76599999999999</c:v>
                </c:pt>
                <c:pt idx="328">
                  <c:v>146.26900000000001</c:v>
                </c:pt>
                <c:pt idx="329">
                  <c:v>143.58699999999999</c:v>
                </c:pt>
                <c:pt idx="330">
                  <c:v>148.75800000000001</c:v>
                </c:pt>
                <c:pt idx="331">
                  <c:v>144.39599999999999</c:v>
                </c:pt>
                <c:pt idx="332">
                  <c:v>149.16399999999999</c:v>
                </c:pt>
                <c:pt idx="333">
                  <c:v>134.66999999999999</c:v>
                </c:pt>
                <c:pt idx="334">
                  <c:v>135.02099999999999</c:v>
                </c:pt>
                <c:pt idx="335">
                  <c:v>126.754</c:v>
                </c:pt>
                <c:pt idx="336">
                  <c:v>142.50899999999999</c:v>
                </c:pt>
                <c:pt idx="337">
                  <c:v>144.893</c:v>
                </c:pt>
                <c:pt idx="338">
                  <c:v>141.86099999999999</c:v>
                </c:pt>
                <c:pt idx="339">
                  <c:v>157.63999999999999</c:v>
                </c:pt>
                <c:pt idx="340">
                  <c:v>162.22</c:v>
                </c:pt>
                <c:pt idx="341">
                  <c:v>149.33500000000001</c:v>
                </c:pt>
                <c:pt idx="342">
                  <c:v>144.54300000000001</c:v>
                </c:pt>
                <c:pt idx="343">
                  <c:v>138</c:v>
                </c:pt>
                <c:pt idx="344">
                  <c:v>141.38999999999999</c:v>
                </c:pt>
                <c:pt idx="345">
                  <c:v>133.63800000000001</c:v>
                </c:pt>
                <c:pt idx="346">
                  <c:v>115.64</c:v>
                </c:pt>
                <c:pt idx="347">
                  <c:v>114.06100000000001</c:v>
                </c:pt>
                <c:pt idx="348">
                  <c:v>113.925</c:v>
                </c:pt>
                <c:pt idx="349">
                  <c:v>107.861</c:v>
                </c:pt>
                <c:pt idx="350">
                  <c:v>106.39700000000001</c:v>
                </c:pt>
                <c:pt idx="351">
                  <c:v>103.605</c:v>
                </c:pt>
                <c:pt idx="352">
                  <c:v>98.111000000000004</c:v>
                </c:pt>
                <c:pt idx="353">
                  <c:v>98.037000000000006</c:v>
                </c:pt>
                <c:pt idx="354">
                  <c:v>81.209999999999994</c:v>
                </c:pt>
                <c:pt idx="355">
                  <c:v>86.545000000000002</c:v>
                </c:pt>
                <c:pt idx="356">
                  <c:v>77.584999999999994</c:v>
                </c:pt>
                <c:pt idx="357">
                  <c:v>76.706000000000003</c:v>
                </c:pt>
                <c:pt idx="358">
                  <c:v>80.278999999999996</c:v>
                </c:pt>
                <c:pt idx="359">
                  <c:v>67.361000000000004</c:v>
                </c:pt>
                <c:pt idx="360">
                  <c:v>66.923000000000002</c:v>
                </c:pt>
                <c:pt idx="361">
                  <c:v>65.757999999999996</c:v>
                </c:pt>
                <c:pt idx="362">
                  <c:v>62.444000000000003</c:v>
                </c:pt>
                <c:pt idx="363">
                  <c:v>66.724000000000004</c:v>
                </c:pt>
                <c:pt idx="364">
                  <c:v>58.485999999999997</c:v>
                </c:pt>
                <c:pt idx="365">
                  <c:v>60.732999999999997</c:v>
                </c:pt>
                <c:pt idx="366">
                  <c:v>57.48</c:v>
                </c:pt>
                <c:pt idx="367">
                  <c:v>58.226999999999997</c:v>
                </c:pt>
                <c:pt idx="368">
                  <c:v>49.781999999999996</c:v>
                </c:pt>
                <c:pt idx="369">
                  <c:v>50.500999999999998</c:v>
                </c:pt>
                <c:pt idx="370">
                  <c:v>52.051000000000002</c:v>
                </c:pt>
                <c:pt idx="371">
                  <c:v>48.701000000000001</c:v>
                </c:pt>
                <c:pt idx="372">
                  <c:v>57.819000000000003</c:v>
                </c:pt>
                <c:pt idx="373">
                  <c:v>56.817999999999998</c:v>
                </c:pt>
                <c:pt idx="374">
                  <c:v>55.064</c:v>
                </c:pt>
                <c:pt idx="375">
                  <c:v>56.634999999999998</c:v>
                </c:pt>
                <c:pt idx="376">
                  <c:v>57.024999999999999</c:v>
                </c:pt>
                <c:pt idx="377">
                  <c:v>57.804000000000002</c:v>
                </c:pt>
                <c:pt idx="378">
                  <c:v>58.756</c:v>
                </c:pt>
                <c:pt idx="379">
                  <c:v>55.695999999999998</c:v>
                </c:pt>
                <c:pt idx="380">
                  <c:v>48.755000000000003</c:v>
                </c:pt>
                <c:pt idx="381">
                  <c:v>53.405000000000001</c:v>
                </c:pt>
                <c:pt idx="382">
                  <c:v>55.488</c:v>
                </c:pt>
                <c:pt idx="383">
                  <c:v>60.277999999999999</c:v>
                </c:pt>
                <c:pt idx="384">
                  <c:v>64.215000000000003</c:v>
                </c:pt>
                <c:pt idx="385">
                  <c:v>58.1</c:v>
                </c:pt>
                <c:pt idx="386">
                  <c:v>54.728000000000002</c:v>
                </c:pt>
                <c:pt idx="387">
                  <c:v>47.302999999999997</c:v>
                </c:pt>
                <c:pt idx="388">
                  <c:v>48.512</c:v>
                </c:pt>
                <c:pt idx="389">
                  <c:v>48.215000000000003</c:v>
                </c:pt>
                <c:pt idx="390">
                  <c:v>45.726999999999997</c:v>
                </c:pt>
                <c:pt idx="391">
                  <c:v>41.125999999999998</c:v>
                </c:pt>
                <c:pt idx="392">
                  <c:v>40.728999999999999</c:v>
                </c:pt>
                <c:pt idx="393">
                  <c:v>39.295999999999999</c:v>
                </c:pt>
                <c:pt idx="394">
                  <c:v>38.313000000000002</c:v>
                </c:pt>
                <c:pt idx="395">
                  <c:v>40.779000000000003</c:v>
                </c:pt>
                <c:pt idx="396">
                  <c:v>39.134</c:v>
                </c:pt>
                <c:pt idx="397">
                  <c:v>37.399000000000001</c:v>
                </c:pt>
                <c:pt idx="398">
                  <c:v>36.781999999999996</c:v>
                </c:pt>
                <c:pt idx="399">
                  <c:v>35.985999999999997</c:v>
                </c:pt>
                <c:pt idx="400">
                  <c:v>32.057000000000002</c:v>
                </c:pt>
                <c:pt idx="401">
                  <c:v>34.686</c:v>
                </c:pt>
                <c:pt idx="402">
                  <c:v>33.299999999999997</c:v>
                </c:pt>
                <c:pt idx="403">
                  <c:v>34.487000000000002</c:v>
                </c:pt>
                <c:pt idx="404">
                  <c:v>34.069000000000003</c:v>
                </c:pt>
                <c:pt idx="405">
                  <c:v>36.396999999999998</c:v>
                </c:pt>
                <c:pt idx="406">
                  <c:v>31.312999999999999</c:v>
                </c:pt>
                <c:pt idx="407">
                  <c:v>31.58</c:v>
                </c:pt>
                <c:pt idx="408">
                  <c:v>27.439</c:v>
                </c:pt>
                <c:pt idx="409">
                  <c:v>27.832999999999998</c:v>
                </c:pt>
                <c:pt idx="410">
                  <c:v>26.684000000000001</c:v>
                </c:pt>
                <c:pt idx="411">
                  <c:v>27.116</c:v>
                </c:pt>
                <c:pt idx="412">
                  <c:v>24.821000000000002</c:v>
                </c:pt>
                <c:pt idx="413">
                  <c:v>26.699000000000002</c:v>
                </c:pt>
                <c:pt idx="414">
                  <c:v>26.172999999999998</c:v>
                </c:pt>
                <c:pt idx="415">
                  <c:v>25.843</c:v>
                </c:pt>
                <c:pt idx="416">
                  <c:v>27.018000000000001</c:v>
                </c:pt>
                <c:pt idx="417">
                  <c:v>27.509</c:v>
                </c:pt>
                <c:pt idx="418">
                  <c:v>27.864000000000001</c:v>
                </c:pt>
                <c:pt idx="419">
                  <c:v>26.042000000000002</c:v>
                </c:pt>
                <c:pt idx="420">
                  <c:v>31.367000000000001</c:v>
                </c:pt>
                <c:pt idx="421">
                  <c:v>26.309000000000001</c:v>
                </c:pt>
                <c:pt idx="422">
                  <c:v>25.317</c:v>
                </c:pt>
                <c:pt idx="423">
                  <c:v>24.684000000000001</c:v>
                </c:pt>
                <c:pt idx="424">
                  <c:v>23.998999999999999</c:v>
                </c:pt>
                <c:pt idx="425">
                  <c:v>21.698</c:v>
                </c:pt>
                <c:pt idx="426">
                  <c:v>21.722000000000001</c:v>
                </c:pt>
                <c:pt idx="427">
                  <c:v>20.581</c:v>
                </c:pt>
                <c:pt idx="428">
                  <c:v>20.626000000000001</c:v>
                </c:pt>
                <c:pt idx="429">
                  <c:v>22.652000000000001</c:v>
                </c:pt>
                <c:pt idx="430">
                  <c:v>21.486000000000001</c:v>
                </c:pt>
                <c:pt idx="431">
                  <c:v>22.06</c:v>
                </c:pt>
                <c:pt idx="432">
                  <c:v>24.411999999999999</c:v>
                </c:pt>
                <c:pt idx="433">
                  <c:v>23.05</c:v>
                </c:pt>
                <c:pt idx="434">
                  <c:v>20.78</c:v>
                </c:pt>
                <c:pt idx="435">
                  <c:v>19.405999999999999</c:v>
                </c:pt>
                <c:pt idx="436">
                  <c:v>18.937999999999999</c:v>
                </c:pt>
                <c:pt idx="437">
                  <c:v>18.388999999999999</c:v>
                </c:pt>
                <c:pt idx="438">
                  <c:v>19.265000000000001</c:v>
                </c:pt>
                <c:pt idx="439">
                  <c:v>18.651</c:v>
                </c:pt>
                <c:pt idx="440">
                  <c:v>19.8</c:v>
                </c:pt>
                <c:pt idx="441">
                  <c:v>17.059000000000001</c:v>
                </c:pt>
                <c:pt idx="442">
                  <c:v>16.106000000000002</c:v>
                </c:pt>
                <c:pt idx="443">
                  <c:v>15.499000000000001</c:v>
                </c:pt>
                <c:pt idx="444">
                  <c:v>16.446999999999999</c:v>
                </c:pt>
                <c:pt idx="445">
                  <c:v>17.084</c:v>
                </c:pt>
                <c:pt idx="446">
                  <c:v>15.489000000000001</c:v>
                </c:pt>
                <c:pt idx="447">
                  <c:v>14.833</c:v>
                </c:pt>
                <c:pt idx="448">
                  <c:v>14.284000000000001</c:v>
                </c:pt>
                <c:pt idx="449">
                  <c:v>13</c:v>
                </c:pt>
                <c:pt idx="450">
                  <c:v>12.148999999999999</c:v>
                </c:pt>
                <c:pt idx="451">
                  <c:v>11.76</c:v>
                </c:pt>
                <c:pt idx="452">
                  <c:v>12.401999999999999</c:v>
                </c:pt>
                <c:pt idx="453">
                  <c:v>12.262</c:v>
                </c:pt>
                <c:pt idx="454">
                  <c:v>11.897</c:v>
                </c:pt>
                <c:pt idx="455">
                  <c:v>11.89</c:v>
                </c:pt>
                <c:pt idx="456">
                  <c:v>11.965999999999999</c:v>
                </c:pt>
                <c:pt idx="457">
                  <c:v>12.193</c:v>
                </c:pt>
                <c:pt idx="458">
                  <c:v>12.242000000000001</c:v>
                </c:pt>
                <c:pt idx="459">
                  <c:v>12.677</c:v>
                </c:pt>
                <c:pt idx="460">
                  <c:v>12.680999999999999</c:v>
                </c:pt>
                <c:pt idx="461">
                  <c:v>12.599</c:v>
                </c:pt>
                <c:pt idx="462">
                  <c:v>13.282999999999999</c:v>
                </c:pt>
                <c:pt idx="463">
                  <c:v>12.438000000000001</c:v>
                </c:pt>
                <c:pt idx="464">
                  <c:v>11.829000000000001</c:v>
                </c:pt>
                <c:pt idx="465">
                  <c:v>12.271000000000001</c:v>
                </c:pt>
                <c:pt idx="466">
                  <c:v>12.132</c:v>
                </c:pt>
                <c:pt idx="467">
                  <c:v>12.337999999999999</c:v>
                </c:pt>
                <c:pt idx="468">
                  <c:v>12.231</c:v>
                </c:pt>
                <c:pt idx="469">
                  <c:v>11.47</c:v>
                </c:pt>
                <c:pt idx="470">
                  <c:v>11.702999999999999</c:v>
                </c:pt>
                <c:pt idx="471">
                  <c:v>12.064</c:v>
                </c:pt>
                <c:pt idx="472">
                  <c:v>12.22</c:v>
                </c:pt>
                <c:pt idx="473">
                  <c:v>12.343</c:v>
                </c:pt>
                <c:pt idx="474">
                  <c:v>12.361000000000001</c:v>
                </c:pt>
                <c:pt idx="475">
                  <c:v>12.311</c:v>
                </c:pt>
                <c:pt idx="476">
                  <c:v>11.646000000000001</c:v>
                </c:pt>
                <c:pt idx="477">
                  <c:v>11.313000000000001</c:v>
                </c:pt>
                <c:pt idx="478">
                  <c:v>11.191000000000001</c:v>
                </c:pt>
                <c:pt idx="479">
                  <c:v>11.534000000000001</c:v>
                </c:pt>
                <c:pt idx="480">
                  <c:v>11.382999999999999</c:v>
                </c:pt>
                <c:pt idx="481">
                  <c:v>11.593</c:v>
                </c:pt>
                <c:pt idx="482">
                  <c:v>11.387</c:v>
                </c:pt>
                <c:pt idx="483">
                  <c:v>11.816000000000001</c:v>
                </c:pt>
                <c:pt idx="484">
                  <c:v>11.673</c:v>
                </c:pt>
                <c:pt idx="485">
                  <c:v>11.994999999999999</c:v>
                </c:pt>
                <c:pt idx="486">
                  <c:v>11.853999999999999</c:v>
                </c:pt>
                <c:pt idx="487">
                  <c:v>11.944000000000001</c:v>
                </c:pt>
                <c:pt idx="488">
                  <c:v>12.112</c:v>
                </c:pt>
                <c:pt idx="489">
                  <c:v>12.063000000000001</c:v>
                </c:pt>
                <c:pt idx="490">
                  <c:v>11.737</c:v>
                </c:pt>
                <c:pt idx="491">
                  <c:v>11.038</c:v>
                </c:pt>
                <c:pt idx="492">
                  <c:v>11.423999999999999</c:v>
                </c:pt>
                <c:pt idx="493">
                  <c:v>11.387</c:v>
                </c:pt>
                <c:pt idx="494">
                  <c:v>12.659000000000001</c:v>
                </c:pt>
                <c:pt idx="495">
                  <c:v>13.103</c:v>
                </c:pt>
                <c:pt idx="496">
                  <c:v>12.596</c:v>
                </c:pt>
                <c:pt idx="497">
                  <c:v>13.728</c:v>
                </c:pt>
                <c:pt idx="498">
                  <c:v>14.010999999999999</c:v>
                </c:pt>
                <c:pt idx="499">
                  <c:v>13.638</c:v>
                </c:pt>
                <c:pt idx="500">
                  <c:v>14</c:v>
                </c:pt>
                <c:pt idx="501">
                  <c:v>14.178000000000001</c:v>
                </c:pt>
                <c:pt idx="502">
                  <c:v>14.666</c:v>
                </c:pt>
                <c:pt idx="503">
                  <c:v>14.666</c:v>
                </c:pt>
                <c:pt idx="504">
                  <c:v>14.343</c:v>
                </c:pt>
                <c:pt idx="505">
                  <c:v>13.728</c:v>
                </c:pt>
                <c:pt idx="506">
                  <c:v>13.238</c:v>
                </c:pt>
                <c:pt idx="507">
                  <c:v>13.579000000000001</c:v>
                </c:pt>
                <c:pt idx="508">
                  <c:v>13.702999999999999</c:v>
                </c:pt>
                <c:pt idx="509">
                  <c:v>13.382</c:v>
                </c:pt>
                <c:pt idx="510">
                  <c:v>14.031000000000001</c:v>
                </c:pt>
                <c:pt idx="511">
                  <c:v>13.257</c:v>
                </c:pt>
                <c:pt idx="512">
                  <c:v>15.944000000000001</c:v>
                </c:pt>
                <c:pt idx="513">
                  <c:v>16.791</c:v>
                </c:pt>
                <c:pt idx="514">
                  <c:v>17.062000000000001</c:v>
                </c:pt>
                <c:pt idx="515">
                  <c:v>17.38</c:v>
                </c:pt>
                <c:pt idx="516">
                  <c:v>17.128</c:v>
                </c:pt>
                <c:pt idx="517">
                  <c:v>17.405999999999999</c:v>
                </c:pt>
                <c:pt idx="518">
                  <c:v>16.774999999999999</c:v>
                </c:pt>
                <c:pt idx="519">
                  <c:v>17.902999999999999</c:v>
                </c:pt>
                <c:pt idx="520">
                  <c:v>17.510999999999999</c:v>
                </c:pt>
                <c:pt idx="521">
                  <c:v>19.222000000000001</c:v>
                </c:pt>
                <c:pt idx="522">
                  <c:v>19.693999999999999</c:v>
                </c:pt>
                <c:pt idx="523">
                  <c:v>20.901</c:v>
                </c:pt>
                <c:pt idx="524">
                  <c:v>17.829000000000001</c:v>
                </c:pt>
                <c:pt idx="525">
                  <c:v>17.22</c:v>
                </c:pt>
                <c:pt idx="526">
                  <c:v>16.687000000000001</c:v>
                </c:pt>
                <c:pt idx="527">
                  <c:v>16.995999999999999</c:v>
                </c:pt>
                <c:pt idx="528">
                  <c:v>17.684000000000001</c:v>
                </c:pt>
                <c:pt idx="529">
                  <c:v>17.5</c:v>
                </c:pt>
                <c:pt idx="530">
                  <c:v>16.724</c:v>
                </c:pt>
                <c:pt idx="531">
                  <c:v>17.059000000000001</c:v>
                </c:pt>
                <c:pt idx="532">
                  <c:v>16.762</c:v>
                </c:pt>
                <c:pt idx="533">
                  <c:v>15.932</c:v>
                </c:pt>
                <c:pt idx="534">
                  <c:v>15.999000000000001</c:v>
                </c:pt>
                <c:pt idx="535">
                  <c:v>16.745000000000001</c:v>
                </c:pt>
                <c:pt idx="536">
                  <c:v>16.491</c:v>
                </c:pt>
                <c:pt idx="537">
                  <c:v>16.242999999999999</c:v>
                </c:pt>
                <c:pt idx="538">
                  <c:v>16.021999999999998</c:v>
                </c:pt>
                <c:pt idx="539">
                  <c:v>16.613</c:v>
                </c:pt>
                <c:pt idx="540">
                  <c:v>16.759</c:v>
                </c:pt>
                <c:pt idx="541">
                  <c:v>16.324999999999999</c:v>
                </c:pt>
                <c:pt idx="542">
                  <c:v>16.754000000000001</c:v>
                </c:pt>
                <c:pt idx="543">
                  <c:v>15.692</c:v>
                </c:pt>
                <c:pt idx="544">
                  <c:v>17.177</c:v>
                </c:pt>
                <c:pt idx="545">
                  <c:v>15.298</c:v>
                </c:pt>
                <c:pt idx="546">
                  <c:v>15.664999999999999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2-4239-B270-F61A6D5C594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3.0310158502790223E-3</c:v>
                </c:pt>
                <c:pt idx="1">
                  <c:v>3.2887356443248241E-3</c:v>
                </c:pt>
                <c:pt idx="2">
                  <c:v>3.1870108789265935E-3</c:v>
                </c:pt>
                <c:pt idx="3">
                  <c:v>3.1831917989265939E-3</c:v>
                </c:pt>
                <c:pt idx="4">
                  <c:v>3.0664212689265934E-3</c:v>
                </c:pt>
                <c:pt idx="5">
                  <c:v>3.1762110095615147E-3</c:v>
                </c:pt>
                <c:pt idx="6">
                  <c:v>3.1715962049461296E-3</c:v>
                </c:pt>
                <c:pt idx="7">
                  <c:v>3.3737276897461291E-3</c:v>
                </c:pt>
                <c:pt idx="8">
                  <c:v>3.692615843294516E-3</c:v>
                </c:pt>
                <c:pt idx="9">
                  <c:v>3.6468435772945168E-3</c:v>
                </c:pt>
                <c:pt idx="10">
                  <c:v>3.5997312671250249E-3</c:v>
                </c:pt>
                <c:pt idx="11">
                  <c:v>3.4497744435535967E-3</c:v>
                </c:pt>
                <c:pt idx="12">
                  <c:v>3.5852083866305205E-3</c:v>
                </c:pt>
                <c:pt idx="13">
                  <c:v>4.5215933730590923E-3</c:v>
                </c:pt>
                <c:pt idx="14">
                  <c:v>4.6366518012943862E-3</c:v>
                </c:pt>
                <c:pt idx="15">
                  <c:v>4.7020492312943871E-3</c:v>
                </c:pt>
                <c:pt idx="16">
                  <c:v>4.6407273544193869E-3</c:v>
                </c:pt>
                <c:pt idx="17">
                  <c:v>4.5573395391812913E-3</c:v>
                </c:pt>
                <c:pt idx="18">
                  <c:v>4.5764101633918187E-3</c:v>
                </c:pt>
                <c:pt idx="19">
                  <c:v>4.6199617740584845E-3</c:v>
                </c:pt>
                <c:pt idx="20">
                  <c:v>4.6426580989156275E-3</c:v>
                </c:pt>
                <c:pt idx="21">
                  <c:v>4.7275542402949386E-3</c:v>
                </c:pt>
                <c:pt idx="22">
                  <c:v>4.7732550327949383E-3</c:v>
                </c:pt>
                <c:pt idx="23">
                  <c:v>4.7944142719498675E-3</c:v>
                </c:pt>
                <c:pt idx="24">
                  <c:v>4.9205521576641542E-3</c:v>
                </c:pt>
                <c:pt idx="25">
                  <c:v>4.9429754120231288E-3</c:v>
                </c:pt>
                <c:pt idx="26">
                  <c:v>4.9496898661407765E-3</c:v>
                </c:pt>
                <c:pt idx="27">
                  <c:v>4.8954922876222572E-3</c:v>
                </c:pt>
                <c:pt idx="28">
                  <c:v>4.9169488699751995E-3</c:v>
                </c:pt>
                <c:pt idx="29">
                  <c:v>4.8990063936115618E-3</c:v>
                </c:pt>
                <c:pt idx="30">
                  <c:v>4.9558357004968086E-3</c:v>
                </c:pt>
                <c:pt idx="31">
                  <c:v>5.0403052341553446E-3</c:v>
                </c:pt>
                <c:pt idx="32">
                  <c:v>5.1323664937707302E-3</c:v>
                </c:pt>
                <c:pt idx="33">
                  <c:v>5.115368792919666E-3</c:v>
                </c:pt>
                <c:pt idx="34">
                  <c:v>5.0277302232181733E-3</c:v>
                </c:pt>
                <c:pt idx="35">
                  <c:v>5.1359458955437549E-3</c:v>
                </c:pt>
                <c:pt idx="36">
                  <c:v>4.9868051399882003E-3</c:v>
                </c:pt>
                <c:pt idx="37">
                  <c:v>4.9988520929293758E-3</c:v>
                </c:pt>
                <c:pt idx="38">
                  <c:v>5.024790765736393E-3</c:v>
                </c:pt>
                <c:pt idx="39">
                  <c:v>5.8672294460555413E-3</c:v>
                </c:pt>
                <c:pt idx="40">
                  <c:v>6.7933621142750042E-3</c:v>
                </c:pt>
                <c:pt idx="41">
                  <c:v>6.7231313855250028E-3</c:v>
                </c:pt>
                <c:pt idx="42">
                  <c:v>6.8037100403076124E-3</c:v>
                </c:pt>
                <c:pt idx="43">
                  <c:v>6.8495001469742788E-3</c:v>
                </c:pt>
                <c:pt idx="44">
                  <c:v>6.7874784863682187E-3</c:v>
                </c:pt>
                <c:pt idx="45">
                  <c:v>6.6778942612618353E-3</c:v>
                </c:pt>
                <c:pt idx="46">
                  <c:v>6.9356791484080343E-3</c:v>
                </c:pt>
                <c:pt idx="47">
                  <c:v>7.0571583898366066E-3</c:v>
                </c:pt>
                <c:pt idx="48">
                  <c:v>7.0526412275289151E-3</c:v>
                </c:pt>
                <c:pt idx="49">
                  <c:v>7.1264293719733593E-3</c:v>
                </c:pt>
                <c:pt idx="50">
                  <c:v>7.3177367582028686E-3</c:v>
                </c:pt>
                <c:pt idx="51">
                  <c:v>7.5589758009614889E-3</c:v>
                </c:pt>
                <c:pt idx="52">
                  <c:v>7.6485509239917924E-3</c:v>
                </c:pt>
                <c:pt idx="53">
                  <c:v>7.5870447751269264E-3</c:v>
                </c:pt>
                <c:pt idx="54">
                  <c:v>7.5565167134830913E-3</c:v>
                </c:pt>
                <c:pt idx="55">
                  <c:v>7.6183074326586645E-3</c:v>
                </c:pt>
                <c:pt idx="56">
                  <c:v>7.6096224155158074E-3</c:v>
                </c:pt>
                <c:pt idx="57">
                  <c:v>7.6177237528131042E-3</c:v>
                </c:pt>
                <c:pt idx="58">
                  <c:v>7.6457225653131042E-3</c:v>
                </c:pt>
                <c:pt idx="59">
                  <c:v>7.6382442723719277E-3</c:v>
                </c:pt>
                <c:pt idx="60">
                  <c:v>7.6155540438004989E-3</c:v>
                </c:pt>
                <c:pt idx="61">
                  <c:v>7.4921426707416751E-3</c:v>
                </c:pt>
                <c:pt idx="62">
                  <c:v>7.3988101236709672E-3</c:v>
                </c:pt>
                <c:pt idx="63">
                  <c:v>7.8222196596498036E-3</c:v>
                </c:pt>
                <c:pt idx="64">
                  <c:v>7.7598886158200151E-3</c:v>
                </c:pt>
                <c:pt idx="65">
                  <c:v>7.7756313434390626E-3</c:v>
                </c:pt>
                <c:pt idx="66">
                  <c:v>7.6695334455517388E-3</c:v>
                </c:pt>
                <c:pt idx="67">
                  <c:v>7.724067615295328E-3</c:v>
                </c:pt>
                <c:pt idx="68">
                  <c:v>7.7115158798407839E-3</c:v>
                </c:pt>
                <c:pt idx="69">
                  <c:v>7.6577231863925073E-3</c:v>
                </c:pt>
                <c:pt idx="70">
                  <c:v>7.6010245897823372E-3</c:v>
                </c:pt>
                <c:pt idx="71">
                  <c:v>7.603342582004559E-3</c:v>
                </c:pt>
                <c:pt idx="72">
                  <c:v>7.5395567324270949E-3</c:v>
                </c:pt>
                <c:pt idx="73">
                  <c:v>7.5651781662366179E-3</c:v>
                </c:pt>
                <c:pt idx="74">
                  <c:v>7.7227790757415675E-3</c:v>
                </c:pt>
                <c:pt idx="75">
                  <c:v>7.578288582182245E-3</c:v>
                </c:pt>
                <c:pt idx="76">
                  <c:v>7.4453459190674904E-3</c:v>
                </c:pt>
                <c:pt idx="77">
                  <c:v>7.3661658690674908E-3</c:v>
                </c:pt>
                <c:pt idx="78">
                  <c:v>7.2814691079438948E-3</c:v>
                </c:pt>
                <c:pt idx="79">
                  <c:v>7.3589070597438952E-3</c:v>
                </c:pt>
                <c:pt idx="80">
                  <c:v>7.3446055217438961E-3</c:v>
                </c:pt>
                <c:pt idx="81">
                  <c:v>7.324930113508603E-3</c:v>
                </c:pt>
                <c:pt idx="82">
                  <c:v>7.2803098941537636E-3</c:v>
                </c:pt>
                <c:pt idx="83">
                  <c:v>7.2021846962590265E-3</c:v>
                </c:pt>
                <c:pt idx="84">
                  <c:v>7.2617999638028858E-3</c:v>
                </c:pt>
                <c:pt idx="85">
                  <c:v>7.3196909872511613E-3</c:v>
                </c:pt>
                <c:pt idx="86">
                  <c:v>7.3749304572511606E-3</c:v>
                </c:pt>
                <c:pt idx="87">
                  <c:v>7.3512003204090556E-3</c:v>
                </c:pt>
                <c:pt idx="88">
                  <c:v>7.4365617504090547E-3</c:v>
                </c:pt>
                <c:pt idx="89">
                  <c:v>7.366812575409055E-3</c:v>
                </c:pt>
                <c:pt idx="90">
                  <c:v>7.3614331561497959E-3</c:v>
                </c:pt>
                <c:pt idx="91">
                  <c:v>7.2759728937401577E-3</c:v>
                </c:pt>
                <c:pt idx="92">
                  <c:v>7.2992337310519859E-3</c:v>
                </c:pt>
                <c:pt idx="93">
                  <c:v>7.3933194779637499E-3</c:v>
                </c:pt>
                <c:pt idx="94">
                  <c:v>7.4182765219277143E-3</c:v>
                </c:pt>
                <c:pt idx="95">
                  <c:v>7.3873381738507916E-3</c:v>
                </c:pt>
                <c:pt idx="96">
                  <c:v>7.4723430182952353E-3</c:v>
                </c:pt>
                <c:pt idx="97">
                  <c:v>7.3818015767567729E-3</c:v>
                </c:pt>
                <c:pt idx="98">
                  <c:v>7.4410110892567738E-3</c:v>
                </c:pt>
                <c:pt idx="99">
                  <c:v>7.4391274615148387E-3</c:v>
                </c:pt>
                <c:pt idx="100">
                  <c:v>7.3847145191097748E-3</c:v>
                </c:pt>
                <c:pt idx="101">
                  <c:v>7.2758357925981473E-3</c:v>
                </c:pt>
                <c:pt idx="102">
                  <c:v>7.2469480769617838E-3</c:v>
                </c:pt>
                <c:pt idx="103">
                  <c:v>7.2367958007117841E-3</c:v>
                </c:pt>
                <c:pt idx="104">
                  <c:v>7.2923577621932661E-3</c:v>
                </c:pt>
                <c:pt idx="105">
                  <c:v>7.3425380023572004E-3</c:v>
                </c:pt>
                <c:pt idx="106">
                  <c:v>7.3704470127919832E-3</c:v>
                </c:pt>
                <c:pt idx="107">
                  <c:v>7.3382958527919828E-3</c:v>
                </c:pt>
                <c:pt idx="108">
                  <c:v>7.3259778753726277E-3</c:v>
                </c:pt>
                <c:pt idx="109">
                  <c:v>7.4458199628523033E-3</c:v>
                </c:pt>
                <c:pt idx="110">
                  <c:v>7.3948230888523023E-3</c:v>
                </c:pt>
                <c:pt idx="111">
                  <c:v>7.3512797988523016E-3</c:v>
                </c:pt>
                <c:pt idx="112">
                  <c:v>7.3592766942369176E-3</c:v>
                </c:pt>
                <c:pt idx="113">
                  <c:v>7.3542044629869166E-3</c:v>
                </c:pt>
                <c:pt idx="114">
                  <c:v>7.2762783908557694E-3</c:v>
                </c:pt>
                <c:pt idx="115">
                  <c:v>7.2618178150375872E-3</c:v>
                </c:pt>
                <c:pt idx="116">
                  <c:v>7.1626363813533777E-3</c:v>
                </c:pt>
                <c:pt idx="117">
                  <c:v>7.1159736984962342E-3</c:v>
                </c:pt>
                <c:pt idx="118">
                  <c:v>7.0612616291345319E-3</c:v>
                </c:pt>
                <c:pt idx="119">
                  <c:v>6.927511806972369E-3</c:v>
                </c:pt>
                <c:pt idx="120">
                  <c:v>6.8598370836846969E-3</c:v>
                </c:pt>
                <c:pt idx="121">
                  <c:v>6.7616785414205457E-3</c:v>
                </c:pt>
                <c:pt idx="122">
                  <c:v>7.0477309708366041E-3</c:v>
                </c:pt>
                <c:pt idx="123">
                  <c:v>7.1607299182911499E-3</c:v>
                </c:pt>
                <c:pt idx="124">
                  <c:v>7.1302977299190573E-3</c:v>
                </c:pt>
                <c:pt idx="125">
                  <c:v>7.171744928898648E-3</c:v>
                </c:pt>
                <c:pt idx="126">
                  <c:v>7.1596684503272201E-3</c:v>
                </c:pt>
                <c:pt idx="127">
                  <c:v>7.1582518998767695E-3</c:v>
                </c:pt>
                <c:pt idx="128">
                  <c:v>6.9429573569259493E-3</c:v>
                </c:pt>
                <c:pt idx="129">
                  <c:v>7.0839177011072958E-3</c:v>
                </c:pt>
                <c:pt idx="130">
                  <c:v>7.1105289440546639E-3</c:v>
                </c:pt>
                <c:pt idx="131">
                  <c:v>7.1325392957788019E-3</c:v>
                </c:pt>
                <c:pt idx="132">
                  <c:v>7.1735754392270781E-3</c:v>
                </c:pt>
                <c:pt idx="133">
                  <c:v>7.2046688744270785E-3</c:v>
                </c:pt>
                <c:pt idx="134">
                  <c:v>7.185872416245259E-3</c:v>
                </c:pt>
                <c:pt idx="135">
                  <c:v>7.178620323821017E-3</c:v>
                </c:pt>
                <c:pt idx="136">
                  <c:v>7.1210545060244063E-3</c:v>
                </c:pt>
                <c:pt idx="137">
                  <c:v>7.1717359921618104E-3</c:v>
                </c:pt>
                <c:pt idx="138">
                  <c:v>7.1602917980877374E-3</c:v>
                </c:pt>
                <c:pt idx="139">
                  <c:v>7.1045206002616499E-3</c:v>
                </c:pt>
                <c:pt idx="140">
                  <c:v>7.234863334365696E-3</c:v>
                </c:pt>
                <c:pt idx="141">
                  <c:v>7.245923537338668E-3</c:v>
                </c:pt>
                <c:pt idx="142">
                  <c:v>7.2541673044931396E-3</c:v>
                </c:pt>
                <c:pt idx="143">
                  <c:v>7.3393898772976729E-3</c:v>
                </c:pt>
                <c:pt idx="144">
                  <c:v>7.3346575887976708E-3</c:v>
                </c:pt>
                <c:pt idx="145">
                  <c:v>7.2773280863386554E-3</c:v>
                </c:pt>
                <c:pt idx="146">
                  <c:v>7.3515318315625364E-3</c:v>
                </c:pt>
                <c:pt idx="147">
                  <c:v>7.3621415502638354E-3</c:v>
                </c:pt>
                <c:pt idx="148">
                  <c:v>7.4173346872162165E-3</c:v>
                </c:pt>
                <c:pt idx="149">
                  <c:v>7.3324031331178556E-3</c:v>
                </c:pt>
                <c:pt idx="150">
                  <c:v>7.2380656215724013E-3</c:v>
                </c:pt>
                <c:pt idx="151">
                  <c:v>7.3116098682390676E-3</c:v>
                </c:pt>
                <c:pt idx="152">
                  <c:v>7.2720699859313755E-3</c:v>
                </c:pt>
                <c:pt idx="153">
                  <c:v>7.2896498886764732E-3</c:v>
                </c:pt>
                <c:pt idx="154">
                  <c:v>7.2414510530401108E-3</c:v>
                </c:pt>
                <c:pt idx="155">
                  <c:v>7.1972000254679862E-3</c:v>
                </c:pt>
                <c:pt idx="156">
                  <c:v>7.1403742702315001E-3</c:v>
                </c:pt>
                <c:pt idx="157">
                  <c:v>7.2075499512766197E-3</c:v>
                </c:pt>
                <c:pt idx="158">
                  <c:v>7.2306411902432173E-3</c:v>
                </c:pt>
                <c:pt idx="159">
                  <c:v>7.2168999246748711E-3</c:v>
                </c:pt>
                <c:pt idx="160">
                  <c:v>7.1634909387890263E-3</c:v>
                </c:pt>
                <c:pt idx="161">
                  <c:v>7.0860442150410289E-3</c:v>
                </c:pt>
                <c:pt idx="162">
                  <c:v>6.9839011246182504E-3</c:v>
                </c:pt>
                <c:pt idx="163">
                  <c:v>7.0281040423640136E-3</c:v>
                </c:pt>
                <c:pt idx="164">
                  <c:v>7.09555527591345E-3</c:v>
                </c:pt>
                <c:pt idx="165">
                  <c:v>7.0969166814290547E-3</c:v>
                </c:pt>
                <c:pt idx="166">
                  <c:v>7.0424609294720292E-3</c:v>
                </c:pt>
                <c:pt idx="167">
                  <c:v>7.0319143550055833E-3</c:v>
                </c:pt>
                <c:pt idx="168">
                  <c:v>6.9049349257897848E-3</c:v>
                </c:pt>
                <c:pt idx="169">
                  <c:v>6.8626793644584886E-3</c:v>
                </c:pt>
                <c:pt idx="170">
                  <c:v>6.9301890792613048E-3</c:v>
                </c:pt>
                <c:pt idx="171">
                  <c:v>6.8642104372560134E-3</c:v>
                </c:pt>
                <c:pt idx="172">
                  <c:v>6.761664441597922E-3</c:v>
                </c:pt>
                <c:pt idx="173">
                  <c:v>6.7038705778811091E-3</c:v>
                </c:pt>
                <c:pt idx="174">
                  <c:v>6.5614092697167548E-3</c:v>
                </c:pt>
                <c:pt idx="175">
                  <c:v>6.402718104503183E-3</c:v>
                </c:pt>
                <c:pt idx="176">
                  <c:v>6.311869799212195E-3</c:v>
                </c:pt>
                <c:pt idx="177">
                  <c:v>6.2053916402785474E-3</c:v>
                </c:pt>
                <c:pt idx="178">
                  <c:v>6.3436326585491346E-3</c:v>
                </c:pt>
                <c:pt idx="179">
                  <c:v>6.5597969327833693E-3</c:v>
                </c:pt>
                <c:pt idx="180">
                  <c:v>6.6334133001277832E-3</c:v>
                </c:pt>
                <c:pt idx="181">
                  <c:v>6.5870024892295794E-3</c:v>
                </c:pt>
                <c:pt idx="182">
                  <c:v>6.490428268941013E-3</c:v>
                </c:pt>
                <c:pt idx="183">
                  <c:v>6.4535904705573148E-3</c:v>
                </c:pt>
                <c:pt idx="184">
                  <c:v>6.4627823272117996E-3</c:v>
                </c:pt>
                <c:pt idx="185">
                  <c:v>6.4188005764197632E-3</c:v>
                </c:pt>
                <c:pt idx="186">
                  <c:v>6.4740888864449463E-3</c:v>
                </c:pt>
                <c:pt idx="187">
                  <c:v>6.4182185266620003E-3</c:v>
                </c:pt>
                <c:pt idx="188">
                  <c:v>6.3596557078108035E-3</c:v>
                </c:pt>
                <c:pt idx="189">
                  <c:v>6.3176522028108046E-3</c:v>
                </c:pt>
                <c:pt idx="190">
                  <c:v>6.2882751727614088E-3</c:v>
                </c:pt>
                <c:pt idx="191">
                  <c:v>6.2061426750449795E-3</c:v>
                </c:pt>
                <c:pt idx="192">
                  <c:v>6.1368613862765589E-3</c:v>
                </c:pt>
                <c:pt idx="193">
                  <c:v>6.1983238037477502E-3</c:v>
                </c:pt>
                <c:pt idx="194">
                  <c:v>6.2132491560169343E-3</c:v>
                </c:pt>
                <c:pt idx="195">
                  <c:v>6.175072907761669E-3</c:v>
                </c:pt>
                <c:pt idx="196">
                  <c:v>6.1727199184759543E-3</c:v>
                </c:pt>
                <c:pt idx="197">
                  <c:v>6.1748952544569665E-3</c:v>
                </c:pt>
                <c:pt idx="198">
                  <c:v>6.2546084093262188E-3</c:v>
                </c:pt>
                <c:pt idx="199">
                  <c:v>6.2727052405481074E-3</c:v>
                </c:pt>
                <c:pt idx="200">
                  <c:v>6.3125322314991107E-3</c:v>
                </c:pt>
                <c:pt idx="201">
                  <c:v>6.3024442533590134E-3</c:v>
                </c:pt>
                <c:pt idx="202">
                  <c:v>6.2697352220493678E-3</c:v>
                </c:pt>
                <c:pt idx="203">
                  <c:v>6.2339279965236208E-3</c:v>
                </c:pt>
                <c:pt idx="204">
                  <c:v>6.342362333887637E-3</c:v>
                </c:pt>
                <c:pt idx="205">
                  <c:v>6.3832943178876375E-3</c:v>
                </c:pt>
                <c:pt idx="206">
                  <c:v>6.3447284864288139E-3</c:v>
                </c:pt>
                <c:pt idx="207">
                  <c:v>6.3377303388919715E-3</c:v>
                </c:pt>
                <c:pt idx="208">
                  <c:v>6.3988828938423914E-3</c:v>
                </c:pt>
                <c:pt idx="209">
                  <c:v>6.3483504465696649E-3</c:v>
                </c:pt>
                <c:pt idx="210">
                  <c:v>6.2606465115269292E-3</c:v>
                </c:pt>
                <c:pt idx="211">
                  <c:v>6.2742927753663509E-3</c:v>
                </c:pt>
                <c:pt idx="212">
                  <c:v>6.262914196710199E-3</c:v>
                </c:pt>
                <c:pt idx="213">
                  <c:v>6.1575895956898895E-3</c:v>
                </c:pt>
                <c:pt idx="214">
                  <c:v>6.1008278131528832E-3</c:v>
                </c:pt>
                <c:pt idx="215">
                  <c:v>5.9022324820528832E-3</c:v>
                </c:pt>
                <c:pt idx="216">
                  <c:v>5.6637004527069022E-3</c:v>
                </c:pt>
                <c:pt idx="217">
                  <c:v>5.6201230814838504E-3</c:v>
                </c:pt>
                <c:pt idx="218">
                  <c:v>5.664583455804376E-3</c:v>
                </c:pt>
                <c:pt idx="219">
                  <c:v>5.6156365544341395E-3</c:v>
                </c:pt>
                <c:pt idx="220">
                  <c:v>5.5859855560858171E-3</c:v>
                </c:pt>
                <c:pt idx="221">
                  <c:v>5.6892260987244023E-3</c:v>
                </c:pt>
                <c:pt idx="222">
                  <c:v>5.6449554723127663E-3</c:v>
                </c:pt>
                <c:pt idx="223">
                  <c:v>5.6100459165604214E-3</c:v>
                </c:pt>
                <c:pt idx="224">
                  <c:v>5.7281942474829437E-3</c:v>
                </c:pt>
                <c:pt idx="225">
                  <c:v>5.7846561764595518E-3</c:v>
                </c:pt>
                <c:pt idx="226">
                  <c:v>5.838187931305425E-3</c:v>
                </c:pt>
                <c:pt idx="227">
                  <c:v>5.7931006673603447E-3</c:v>
                </c:pt>
                <c:pt idx="228">
                  <c:v>5.7287343858084773E-3</c:v>
                </c:pt>
                <c:pt idx="229">
                  <c:v>5.7143785575369532E-3</c:v>
                </c:pt>
                <c:pt idx="230">
                  <c:v>5.7313636558513044E-3</c:v>
                </c:pt>
                <c:pt idx="231">
                  <c:v>5.7237399335846387E-3</c:v>
                </c:pt>
                <c:pt idx="232">
                  <c:v>5.7277363771763212E-3</c:v>
                </c:pt>
                <c:pt idx="233">
                  <c:v>5.6707123095836804E-3</c:v>
                </c:pt>
                <c:pt idx="234">
                  <c:v>5.6174497666179445E-3</c:v>
                </c:pt>
                <c:pt idx="235">
                  <c:v>5.6754340257442601E-3</c:v>
                </c:pt>
                <c:pt idx="236">
                  <c:v>5.6301834429224552E-3</c:v>
                </c:pt>
                <c:pt idx="237">
                  <c:v>5.6344777188804271E-3</c:v>
                </c:pt>
                <c:pt idx="238">
                  <c:v>5.7333170823096408E-3</c:v>
                </c:pt>
                <c:pt idx="239">
                  <c:v>5.7242987088088788E-3</c:v>
                </c:pt>
                <c:pt idx="240">
                  <c:v>5.8654670331045313E-3</c:v>
                </c:pt>
                <c:pt idx="241">
                  <c:v>5.9749375345058055E-3</c:v>
                </c:pt>
                <c:pt idx="242">
                  <c:v>5.8078401870388522E-3</c:v>
                </c:pt>
                <c:pt idx="243">
                  <c:v>5.7269368452587087E-3</c:v>
                </c:pt>
                <c:pt idx="244">
                  <c:v>5.7937424737495623E-3</c:v>
                </c:pt>
                <c:pt idx="245">
                  <c:v>5.79091230714109E-3</c:v>
                </c:pt>
                <c:pt idx="246">
                  <c:v>5.722765105780364E-3</c:v>
                </c:pt>
                <c:pt idx="247">
                  <c:v>5.6414593038488833E-3</c:v>
                </c:pt>
                <c:pt idx="248">
                  <c:v>5.476573601101928E-3</c:v>
                </c:pt>
                <c:pt idx="249">
                  <c:v>5.3137656261835614E-3</c:v>
                </c:pt>
                <c:pt idx="250">
                  <c:v>5.3287167972522536E-3</c:v>
                </c:pt>
                <c:pt idx="251">
                  <c:v>5.3522310375389206E-3</c:v>
                </c:pt>
                <c:pt idx="252">
                  <c:v>5.4028697013014087E-3</c:v>
                </c:pt>
                <c:pt idx="253">
                  <c:v>5.2493244968705608E-3</c:v>
                </c:pt>
                <c:pt idx="254">
                  <c:v>5.4346544570567038E-3</c:v>
                </c:pt>
                <c:pt idx="255">
                  <c:v>5.3968252860857853E-3</c:v>
                </c:pt>
                <c:pt idx="256">
                  <c:v>5.4519917859607841E-3</c:v>
                </c:pt>
                <c:pt idx="257">
                  <c:v>5.4270951448482495E-3</c:v>
                </c:pt>
                <c:pt idx="258">
                  <c:v>5.6529130305705616E-3</c:v>
                </c:pt>
                <c:pt idx="259">
                  <c:v>5.6503682441196145E-3</c:v>
                </c:pt>
                <c:pt idx="260">
                  <c:v>5.6670528018896204E-3</c:v>
                </c:pt>
                <c:pt idx="261">
                  <c:v>5.8423889541519645E-3</c:v>
                </c:pt>
                <c:pt idx="262">
                  <c:v>5.7501799385518727E-3</c:v>
                </c:pt>
                <c:pt idx="263">
                  <c:v>5.8021087781882971E-3</c:v>
                </c:pt>
                <c:pt idx="264">
                  <c:v>5.6706800480215407E-3</c:v>
                </c:pt>
                <c:pt idx="265">
                  <c:v>5.5986048639470303E-3</c:v>
                </c:pt>
                <c:pt idx="266">
                  <c:v>5.5508056639036012E-3</c:v>
                </c:pt>
                <c:pt idx="267">
                  <c:v>5.6194073085661014E-3</c:v>
                </c:pt>
                <c:pt idx="268">
                  <c:v>5.5458561249265726E-3</c:v>
                </c:pt>
                <c:pt idx="269">
                  <c:v>5.6314937003995452E-3</c:v>
                </c:pt>
                <c:pt idx="270">
                  <c:v>5.7087792898833775E-3</c:v>
                </c:pt>
                <c:pt idx="271">
                  <c:v>5.7757508553465354E-3</c:v>
                </c:pt>
                <c:pt idx="272">
                  <c:v>5.6812146953465351E-3</c:v>
                </c:pt>
                <c:pt idx="273">
                  <c:v>5.4126495412656793E-3</c:v>
                </c:pt>
                <c:pt idx="274">
                  <c:v>5.4778380867448045E-3</c:v>
                </c:pt>
                <c:pt idx="275">
                  <c:v>5.4941975022555134E-3</c:v>
                </c:pt>
                <c:pt idx="276">
                  <c:v>5.4220588670114657E-3</c:v>
                </c:pt>
                <c:pt idx="277">
                  <c:v>5.3310067196175532E-3</c:v>
                </c:pt>
                <c:pt idx="278">
                  <c:v>5.3352033082995614E-3</c:v>
                </c:pt>
                <c:pt idx="279">
                  <c:v>5.2901468224221459E-3</c:v>
                </c:pt>
                <c:pt idx="280">
                  <c:v>5.1614864946104627E-3</c:v>
                </c:pt>
                <c:pt idx="281">
                  <c:v>5.291601433987974E-3</c:v>
                </c:pt>
                <c:pt idx="282">
                  <c:v>5.3915651268120609E-3</c:v>
                </c:pt>
                <c:pt idx="283">
                  <c:v>5.2579842092286373E-3</c:v>
                </c:pt>
                <c:pt idx="284">
                  <c:v>5.326027628359719E-3</c:v>
                </c:pt>
                <c:pt idx="285">
                  <c:v>5.1945469609079717E-3</c:v>
                </c:pt>
                <c:pt idx="286">
                  <c:v>5.4012184979951392E-3</c:v>
                </c:pt>
                <c:pt idx="287">
                  <c:v>5.1313412645444499E-3</c:v>
                </c:pt>
                <c:pt idx="288">
                  <c:v>5.019803656461313E-3</c:v>
                </c:pt>
                <c:pt idx="289">
                  <c:v>4.9534623193325834E-3</c:v>
                </c:pt>
                <c:pt idx="290">
                  <c:v>4.6656402738725769E-3</c:v>
                </c:pt>
                <c:pt idx="291">
                  <c:v>4.7432077685604836E-3</c:v>
                </c:pt>
                <c:pt idx="292">
                  <c:v>4.6903318091543128E-3</c:v>
                </c:pt>
                <c:pt idx="293">
                  <c:v>4.6974485918457511E-3</c:v>
                </c:pt>
                <c:pt idx="294">
                  <c:v>4.5728107734799702E-3</c:v>
                </c:pt>
                <c:pt idx="295">
                  <c:v>4.5086867767583578E-3</c:v>
                </c:pt>
                <c:pt idx="296">
                  <c:v>4.5649841389510028E-3</c:v>
                </c:pt>
                <c:pt idx="297">
                  <c:v>4.5726689720907727E-3</c:v>
                </c:pt>
                <c:pt idx="298">
                  <c:v>4.4530355874215274E-3</c:v>
                </c:pt>
                <c:pt idx="299">
                  <c:v>4.3559209396250801E-3</c:v>
                </c:pt>
                <c:pt idx="300">
                  <c:v>4.4630353543932055E-3</c:v>
                </c:pt>
                <c:pt idx="301">
                  <c:v>4.4545818769048959E-3</c:v>
                </c:pt>
                <c:pt idx="302">
                  <c:v>4.3952172798922221E-3</c:v>
                </c:pt>
                <c:pt idx="303">
                  <c:v>4.3099351705113967E-3</c:v>
                </c:pt>
                <c:pt idx="304">
                  <c:v>4.2214597766248663E-3</c:v>
                </c:pt>
                <c:pt idx="305">
                  <c:v>4.1470062152758969E-3</c:v>
                </c:pt>
                <c:pt idx="306">
                  <c:v>4.0858618419181824E-3</c:v>
                </c:pt>
                <c:pt idx="307">
                  <c:v>4.0329263369453016E-3</c:v>
                </c:pt>
                <c:pt idx="308">
                  <c:v>3.9622310909823918E-3</c:v>
                </c:pt>
                <c:pt idx="309">
                  <c:v>3.9570533880120325E-3</c:v>
                </c:pt>
                <c:pt idx="310">
                  <c:v>4.0180166243249452E-3</c:v>
                </c:pt>
                <c:pt idx="311">
                  <c:v>3.9679377512480208E-3</c:v>
                </c:pt>
                <c:pt idx="312">
                  <c:v>4.0702874687828542E-3</c:v>
                </c:pt>
                <c:pt idx="313">
                  <c:v>4.0324284310911613E-3</c:v>
                </c:pt>
                <c:pt idx="314">
                  <c:v>4.0224687327076666E-3</c:v>
                </c:pt>
                <c:pt idx="315">
                  <c:v>4.0220965178429709E-3</c:v>
                </c:pt>
                <c:pt idx="316">
                  <c:v>4.1055342527661935E-3</c:v>
                </c:pt>
                <c:pt idx="317">
                  <c:v>4.0478844174603413E-3</c:v>
                </c:pt>
                <c:pt idx="318">
                  <c:v>3.9298790565322483E-3</c:v>
                </c:pt>
                <c:pt idx="319">
                  <c:v>4.042561681304512E-3</c:v>
                </c:pt>
                <c:pt idx="320">
                  <c:v>4.1128523333892157E-3</c:v>
                </c:pt>
                <c:pt idx="321">
                  <c:v>3.8627232505316065E-3</c:v>
                </c:pt>
                <c:pt idx="322">
                  <c:v>3.8728630725245886E-3</c:v>
                </c:pt>
                <c:pt idx="323">
                  <c:v>3.7583665389361596E-3</c:v>
                </c:pt>
                <c:pt idx="324">
                  <c:v>3.6812401086980025E-3</c:v>
                </c:pt>
                <c:pt idx="325">
                  <c:v>3.5400227501817829E-3</c:v>
                </c:pt>
                <c:pt idx="326">
                  <c:v>3.4928372529314721E-3</c:v>
                </c:pt>
                <c:pt idx="327">
                  <c:v>3.4597661371606335E-3</c:v>
                </c:pt>
                <c:pt idx="328">
                  <c:v>3.3613942462799203E-3</c:v>
                </c:pt>
                <c:pt idx="329">
                  <c:v>3.3079944069429523E-3</c:v>
                </c:pt>
                <c:pt idx="330">
                  <c:v>3.3009890891307079E-3</c:v>
                </c:pt>
                <c:pt idx="331">
                  <c:v>3.2866563423133615E-3</c:v>
                </c:pt>
                <c:pt idx="332">
                  <c:v>3.3128041540238093E-3</c:v>
                </c:pt>
                <c:pt idx="333">
                  <c:v>3.1606006252631528E-3</c:v>
                </c:pt>
                <c:pt idx="334">
                  <c:v>3.1320866370083758E-3</c:v>
                </c:pt>
                <c:pt idx="335">
                  <c:v>3.1218001568264599E-3</c:v>
                </c:pt>
                <c:pt idx="336">
                  <c:v>3.3473635690465199E-3</c:v>
                </c:pt>
                <c:pt idx="337">
                  <c:v>3.3994540923694763E-3</c:v>
                </c:pt>
                <c:pt idx="338">
                  <c:v>3.3454821305743251E-3</c:v>
                </c:pt>
                <c:pt idx="339">
                  <c:v>3.2250439005705152E-3</c:v>
                </c:pt>
                <c:pt idx="340">
                  <c:v>3.0065694086040353E-3</c:v>
                </c:pt>
                <c:pt idx="341">
                  <c:v>2.9215172944639964E-3</c:v>
                </c:pt>
                <c:pt idx="342">
                  <c:v>3.0619109954124137E-3</c:v>
                </c:pt>
                <c:pt idx="343">
                  <c:v>2.9025584546916606E-3</c:v>
                </c:pt>
                <c:pt idx="344">
                  <c:v>3.0427388300904336E-3</c:v>
                </c:pt>
                <c:pt idx="345">
                  <c:v>2.7255280634364354E-3</c:v>
                </c:pt>
                <c:pt idx="346">
                  <c:v>2.3778487726870273E-3</c:v>
                </c:pt>
                <c:pt idx="347">
                  <c:v>2.2639024151267684E-3</c:v>
                </c:pt>
                <c:pt idx="348">
                  <c:v>2.2522945417212626E-3</c:v>
                </c:pt>
                <c:pt idx="349">
                  <c:v>2.274231599020478E-3</c:v>
                </c:pt>
                <c:pt idx="350">
                  <c:v>1.86464845568378E-3</c:v>
                </c:pt>
                <c:pt idx="351">
                  <c:v>1.988301042417305E-3</c:v>
                </c:pt>
                <c:pt idx="352">
                  <c:v>1.6890975524373449E-3</c:v>
                </c:pt>
                <c:pt idx="353">
                  <c:v>1.6885138645379475E-3</c:v>
                </c:pt>
                <c:pt idx="354">
                  <c:v>1.4969415753702238E-3</c:v>
                </c:pt>
                <c:pt idx="355">
                  <c:v>1.6148488776024212E-3</c:v>
                </c:pt>
                <c:pt idx="356">
                  <c:v>1.5087148430112263E-3</c:v>
                </c:pt>
                <c:pt idx="357">
                  <c:v>1.4937384736195256E-3</c:v>
                </c:pt>
                <c:pt idx="358">
                  <c:v>1.7413450637905497E-3</c:v>
                </c:pt>
                <c:pt idx="359">
                  <c:v>1.5411943503629779E-3</c:v>
                </c:pt>
                <c:pt idx="360">
                  <c:v>1.5733910585461104E-3</c:v>
                </c:pt>
                <c:pt idx="361">
                  <c:v>1.5058400021132001E-3</c:v>
                </c:pt>
                <c:pt idx="362">
                  <c:v>1.4768974912954919E-3</c:v>
                </c:pt>
                <c:pt idx="363">
                  <c:v>1.5941985178954917E-3</c:v>
                </c:pt>
                <c:pt idx="364">
                  <c:v>1.4074154492712313E-3</c:v>
                </c:pt>
                <c:pt idx="365">
                  <c:v>1.4885333304915705E-3</c:v>
                </c:pt>
                <c:pt idx="366">
                  <c:v>1.2664551988020968E-3</c:v>
                </c:pt>
                <c:pt idx="367">
                  <c:v>1.3032564354152989E-3</c:v>
                </c:pt>
                <c:pt idx="368">
                  <c:v>1.0516521405163038E-3</c:v>
                </c:pt>
                <c:pt idx="369">
                  <c:v>1.0825751045009781E-3</c:v>
                </c:pt>
                <c:pt idx="370">
                  <c:v>1.1249160859552855E-3</c:v>
                </c:pt>
                <c:pt idx="371">
                  <c:v>1.0098043683190474E-3</c:v>
                </c:pt>
                <c:pt idx="372">
                  <c:v>1.1290150604021975E-3</c:v>
                </c:pt>
                <c:pt idx="373">
                  <c:v>1.041450733390703E-3</c:v>
                </c:pt>
                <c:pt idx="374">
                  <c:v>9.7074609388410132E-4</c:v>
                </c:pt>
                <c:pt idx="375">
                  <c:v>1.0020291503546894E-3</c:v>
                </c:pt>
                <c:pt idx="376">
                  <c:v>9.4454529640112183E-4</c:v>
                </c:pt>
                <c:pt idx="377">
                  <c:v>1.0667375228082317E-3</c:v>
                </c:pt>
                <c:pt idx="378">
                  <c:v>9.9014159246526559E-4</c:v>
                </c:pt>
                <c:pt idx="379">
                  <c:v>7.4734522737472968E-4</c:v>
                </c:pt>
                <c:pt idx="380">
                  <c:v>5.5632592892219045E-4</c:v>
                </c:pt>
                <c:pt idx="381">
                  <c:v>6.4452205621635906E-4</c:v>
                </c:pt>
                <c:pt idx="382">
                  <c:v>3.5394323656793712E-4</c:v>
                </c:pt>
                <c:pt idx="383">
                  <c:v>3.9272960882744508E-4</c:v>
                </c:pt>
                <c:pt idx="384">
                  <c:v>6.0873602538110447E-4</c:v>
                </c:pt>
                <c:pt idx="385">
                  <c:v>4.7865589804230011E-4</c:v>
                </c:pt>
                <c:pt idx="386">
                  <c:v>3.1516603204502898E-4</c:v>
                </c:pt>
                <c:pt idx="387">
                  <c:v>3.9109305093740508E-5</c:v>
                </c:pt>
                <c:pt idx="388">
                  <c:v>1.0012701568656993E-5</c:v>
                </c:pt>
                <c:pt idx="389">
                  <c:v>-2.8780593426501477E-4</c:v>
                </c:pt>
                <c:pt idx="390">
                  <c:v>-3.2292811864198328E-4</c:v>
                </c:pt>
                <c:pt idx="391">
                  <c:v>-4.2095791450599238E-4</c:v>
                </c:pt>
                <c:pt idx="392">
                  <c:v>-3.8814663397478377E-4</c:v>
                </c:pt>
                <c:pt idx="393">
                  <c:v>-3.4838054139953265E-4</c:v>
                </c:pt>
                <c:pt idx="394">
                  <c:v>-5.4109038388462194E-4</c:v>
                </c:pt>
                <c:pt idx="395">
                  <c:v>-4.7162480818331023E-4</c:v>
                </c:pt>
                <c:pt idx="396">
                  <c:v>-5.197131373920708E-4</c:v>
                </c:pt>
                <c:pt idx="397">
                  <c:v>-5.6020904809462072E-4</c:v>
                </c:pt>
                <c:pt idx="398">
                  <c:v>-6.5634719452858285E-4</c:v>
                </c:pt>
                <c:pt idx="399">
                  <c:v>-8.0958194914396674E-4</c:v>
                </c:pt>
                <c:pt idx="400">
                  <c:v>-9.0011189503601784E-4</c:v>
                </c:pt>
                <c:pt idx="401">
                  <c:v>-8.5123041586203981E-4</c:v>
                </c:pt>
                <c:pt idx="402">
                  <c:v>-8.7623667394348497E-4</c:v>
                </c:pt>
                <c:pt idx="403">
                  <c:v>-8.7819900694551781E-4</c:v>
                </c:pt>
                <c:pt idx="404">
                  <c:v>-9.7818249468925047E-4</c:v>
                </c:pt>
                <c:pt idx="405">
                  <c:v>-8.9734565911164625E-4</c:v>
                </c:pt>
                <c:pt idx="406">
                  <c:v>-9.5836727821496854E-4</c:v>
                </c:pt>
                <c:pt idx="407">
                  <c:v>-1.1342535854803842E-3</c:v>
                </c:pt>
                <c:pt idx="408">
                  <c:v>-1.3386137232174672E-3</c:v>
                </c:pt>
                <c:pt idx="409">
                  <c:v>-1.2250234535913852E-3</c:v>
                </c:pt>
                <c:pt idx="410">
                  <c:v>-1.3384742411799179E-3</c:v>
                </c:pt>
                <c:pt idx="411">
                  <c:v>-1.3663465613257353E-3</c:v>
                </c:pt>
                <c:pt idx="412">
                  <c:v>-1.503468142014542E-3</c:v>
                </c:pt>
                <c:pt idx="413">
                  <c:v>-1.4363450440267379E-3</c:v>
                </c:pt>
                <c:pt idx="414">
                  <c:v>-5.4667940613918966E-4</c:v>
                </c:pt>
                <c:pt idx="415">
                  <c:v>-6.068354977665745E-4</c:v>
                </c:pt>
                <c:pt idx="416">
                  <c:v>-5.4118385052273014E-4</c:v>
                </c:pt>
                <c:pt idx="417">
                  <c:v>-4.9701091797141046E-4</c:v>
                </c:pt>
                <c:pt idx="418">
                  <c:v>-6.5734974087879603E-4</c:v>
                </c:pt>
                <c:pt idx="419">
                  <c:v>-7.2383081802773232E-4</c:v>
                </c:pt>
                <c:pt idx="420">
                  <c:v>1.3759082489121065E-5</c:v>
                </c:pt>
                <c:pt idx="421">
                  <c:v>1.0447250432278549E-3</c:v>
                </c:pt>
                <c:pt idx="422">
                  <c:v>9.6661895346635007E-4</c:v>
                </c:pt>
                <c:pt idx="423">
                  <c:v>8.6092320206057485E-4</c:v>
                </c:pt>
                <c:pt idx="424">
                  <c:v>7.4998441010290268E-4</c:v>
                </c:pt>
                <c:pt idx="425">
                  <c:v>6.0593004928911995E-4</c:v>
                </c:pt>
                <c:pt idx="426">
                  <c:v>7.2624908228389627E-4</c:v>
                </c:pt>
                <c:pt idx="427">
                  <c:v>6.2502824792152675E-4</c:v>
                </c:pt>
                <c:pt idx="428">
                  <c:v>4.7163599037590957E-4</c:v>
                </c:pt>
                <c:pt idx="429">
                  <c:v>6.4594229307274201E-4</c:v>
                </c:pt>
                <c:pt idx="430">
                  <c:v>4.2864592307274206E-4</c:v>
                </c:pt>
                <c:pt idx="431">
                  <c:v>4.5892068996126795E-4</c:v>
                </c:pt>
                <c:pt idx="432">
                  <c:v>5.2313652525238163E-4</c:v>
                </c:pt>
                <c:pt idx="433">
                  <c:v>3.5725913716948054E-4</c:v>
                </c:pt>
                <c:pt idx="434">
                  <c:v>1.3824072943735473E-4</c:v>
                </c:pt>
                <c:pt idx="435">
                  <c:v>1.4216802264436023E-5</c:v>
                </c:pt>
                <c:pt idx="436">
                  <c:v>4.3524617494321211E-5</c:v>
                </c:pt>
                <c:pt idx="437">
                  <c:v>-1.4084784255722491E-4</c:v>
                </c:pt>
                <c:pt idx="438">
                  <c:v>-8.0890331351550913E-5</c:v>
                </c:pt>
                <c:pt idx="439">
                  <c:v>-5.2263884844435669E-5</c:v>
                </c:pt>
                <c:pt idx="440">
                  <c:v>-8.1574121448209198E-5</c:v>
                </c:pt>
                <c:pt idx="441">
                  <c:v>-5.3436269144820927E-4</c:v>
                </c:pt>
                <c:pt idx="442">
                  <c:v>-6.2822042190177293E-4</c:v>
                </c:pt>
                <c:pt idx="443">
                  <c:v>-8.5703160365305426E-4</c:v>
                </c:pt>
                <c:pt idx="444">
                  <c:v>-7.7421916446742561E-4</c:v>
                </c:pt>
                <c:pt idx="445">
                  <c:v>-6.781055650214795E-4</c:v>
                </c:pt>
                <c:pt idx="446">
                  <c:v>-8.0272853081377439E-4</c:v>
                </c:pt>
                <c:pt idx="447">
                  <c:v>-8.3692391562410306E-4</c:v>
                </c:pt>
                <c:pt idx="448">
                  <c:v>-9.1822488278512011E-4</c:v>
                </c:pt>
                <c:pt idx="449">
                  <c:v>-1.1584114327851201E-3</c:v>
                </c:pt>
                <c:pt idx="450">
                  <c:v>-1.2110249431074272E-3</c:v>
                </c:pt>
                <c:pt idx="451">
                  <c:v>-1.2175835773284413E-3</c:v>
                </c:pt>
                <c:pt idx="452">
                  <c:v>-1.1755055576269488E-3</c:v>
                </c:pt>
                <c:pt idx="453">
                  <c:v>-1.1760918449087443E-3</c:v>
                </c:pt>
                <c:pt idx="454">
                  <c:v>-1.1905369038514757E-3</c:v>
                </c:pt>
                <c:pt idx="455">
                  <c:v>-1.1948331446109694E-3</c:v>
                </c:pt>
                <c:pt idx="456">
                  <c:v>-1.1612112538027148E-3</c:v>
                </c:pt>
                <c:pt idx="457">
                  <c:v>-1.1680428005355844E-3</c:v>
                </c:pt>
                <c:pt idx="458">
                  <c:v>-1.1576922596905142E-3</c:v>
                </c:pt>
                <c:pt idx="459">
                  <c:v>-1.1560083543401248E-3</c:v>
                </c:pt>
                <c:pt idx="460">
                  <c:v>-1.1670745416248931E-3</c:v>
                </c:pt>
                <c:pt idx="461">
                  <c:v>-1.174965618738295E-3</c:v>
                </c:pt>
                <c:pt idx="462">
                  <c:v>-1.1342839489085078E-3</c:v>
                </c:pt>
                <c:pt idx="463">
                  <c:v>-1.208614075418976E-3</c:v>
                </c:pt>
                <c:pt idx="464">
                  <c:v>-1.2342354112757305E-3</c:v>
                </c:pt>
                <c:pt idx="465">
                  <c:v>-1.0588924520732767E-3</c:v>
                </c:pt>
                <c:pt idx="466">
                  <c:v>-1.0741319010003155E-3</c:v>
                </c:pt>
                <c:pt idx="467">
                  <c:v>-1.0405688060003153E-3</c:v>
                </c:pt>
                <c:pt idx="468">
                  <c:v>-8.3383229886548353E-4</c:v>
                </c:pt>
                <c:pt idx="469">
                  <c:v>-9.0693984517925888E-4</c:v>
                </c:pt>
                <c:pt idx="470">
                  <c:v>-9.2271200877745978E-4</c:v>
                </c:pt>
                <c:pt idx="471">
                  <c:v>-9.016781561771624E-4</c:v>
                </c:pt>
                <c:pt idx="472">
                  <c:v>-8.9796523159772312E-4</c:v>
                </c:pt>
                <c:pt idx="473">
                  <c:v>-9.1956772181179061E-4</c:v>
                </c:pt>
                <c:pt idx="474">
                  <c:v>-9.1510049466893338E-4</c:v>
                </c:pt>
                <c:pt idx="475">
                  <c:v>-6.6461828808210717E-4</c:v>
                </c:pt>
                <c:pt idx="476">
                  <c:v>-6.958867284238933E-4</c:v>
                </c:pt>
                <c:pt idx="477">
                  <c:v>-6.6229938451584731E-4</c:v>
                </c:pt>
                <c:pt idx="478">
                  <c:v>-6.7723813583660231E-4</c:v>
                </c:pt>
                <c:pt idx="479">
                  <c:v>-6.4983607316086549E-4</c:v>
                </c:pt>
                <c:pt idx="480">
                  <c:v>-6.6203230316086534E-4</c:v>
                </c:pt>
                <c:pt idx="481">
                  <c:v>-6.5874647187054262E-4</c:v>
                </c:pt>
                <c:pt idx="482">
                  <c:v>-6.6425009881321761E-4</c:v>
                </c:pt>
                <c:pt idx="483">
                  <c:v>-6.4337204090112983E-4</c:v>
                </c:pt>
                <c:pt idx="484">
                  <c:v>-6.3164179020074084E-4</c:v>
                </c:pt>
                <c:pt idx="485">
                  <c:v>-5.9564857374878747E-4</c:v>
                </c:pt>
                <c:pt idx="486">
                  <c:v>-6.3836436964977736E-4</c:v>
                </c:pt>
                <c:pt idx="487">
                  <c:v>-6.2253668295412503E-4</c:v>
                </c:pt>
                <c:pt idx="488">
                  <c:v>-6.1296560083104836E-4</c:v>
                </c:pt>
                <c:pt idx="489">
                  <c:v>-6.2334304647698139E-4</c:v>
                </c:pt>
                <c:pt idx="490">
                  <c:v>-6.7569665152045991E-4</c:v>
                </c:pt>
                <c:pt idx="491">
                  <c:v>-7.323222615204599E-4</c:v>
                </c:pt>
                <c:pt idx="492">
                  <c:v>-6.0848485152045989E-4</c:v>
                </c:pt>
                <c:pt idx="493">
                  <c:v>-6.1212134109961804E-4</c:v>
                </c:pt>
                <c:pt idx="494">
                  <c:v>-5.2243737933798718E-4</c:v>
                </c:pt>
                <c:pt idx="495">
                  <c:v>-5.1527155497064028E-4</c:v>
                </c:pt>
                <c:pt idx="496">
                  <c:v>-5.4049966526649831E-4</c:v>
                </c:pt>
                <c:pt idx="497">
                  <c:v>-4.0567493208187232E-4</c:v>
                </c:pt>
                <c:pt idx="498">
                  <c:v>-3.8406998614337818E-4</c:v>
                </c:pt>
                <c:pt idx="499">
                  <c:v>-4.2729967374337811E-4</c:v>
                </c:pt>
                <c:pt idx="500">
                  <c:v>-3.9791130374337814E-4</c:v>
                </c:pt>
                <c:pt idx="501">
                  <c:v>-4.2896250528264511E-4</c:v>
                </c:pt>
                <c:pt idx="502">
                  <c:v>-4.243222776731143E-4</c:v>
                </c:pt>
                <c:pt idx="503">
                  <c:v>-4.7905017015258903E-4</c:v>
                </c:pt>
                <c:pt idx="504">
                  <c:v>-5.6265355609153456E-4</c:v>
                </c:pt>
                <c:pt idx="505">
                  <c:v>-6.2930565609153454E-4</c:v>
                </c:pt>
                <c:pt idx="506">
                  <c:v>-6.3753499668237643E-4</c:v>
                </c:pt>
                <c:pt idx="507">
                  <c:v>-6.4511393671641895E-4</c:v>
                </c:pt>
                <c:pt idx="508">
                  <c:v>-6.797352450497524E-4</c:v>
                </c:pt>
                <c:pt idx="509">
                  <c:v>-7.4793003962240199E-4</c:v>
                </c:pt>
                <c:pt idx="510">
                  <c:v>-7.1474358426525911E-4</c:v>
                </c:pt>
                <c:pt idx="511">
                  <c:v>-7.9086719201679027E-4</c:v>
                </c:pt>
                <c:pt idx="512">
                  <c:v>-6.5471378473637377E-4</c:v>
                </c:pt>
                <c:pt idx="513">
                  <c:v>-6.0047183305044578E-4</c:v>
                </c:pt>
                <c:pt idx="514">
                  <c:v>-5.0648812354983684E-4</c:v>
                </c:pt>
                <c:pt idx="515">
                  <c:v>-5.2668688609220987E-4</c:v>
                </c:pt>
                <c:pt idx="516">
                  <c:v>-5.772101871752422E-4</c:v>
                </c:pt>
                <c:pt idx="517">
                  <c:v>-4.744737514737496E-4</c:v>
                </c:pt>
                <c:pt idx="518">
                  <c:v>-5.0138852958762849E-4</c:v>
                </c:pt>
                <c:pt idx="519">
                  <c:v>-4.5309166475509242E-4</c:v>
                </c:pt>
                <c:pt idx="520">
                  <c:v>-4.2048775282362818E-4</c:v>
                </c:pt>
                <c:pt idx="521">
                  <c:v>-3.4627152876661772E-4</c:v>
                </c:pt>
                <c:pt idx="522">
                  <c:v>-2.613619703964148E-4</c:v>
                </c:pt>
                <c:pt idx="523">
                  <c:v>-1.2212231079198431E-4</c:v>
                </c:pt>
                <c:pt idx="524">
                  <c:v>7.8339069709061348E-6</c:v>
                </c:pt>
                <c:pt idx="525">
                  <c:v>1.9794331715979568E-6</c:v>
                </c:pt>
                <c:pt idx="526">
                  <c:v>-4.6062620562357659E-5</c:v>
                </c:pt>
                <c:pt idx="527">
                  <c:v>-6.2505255522357774E-5</c:v>
                </c:pt>
                <c:pt idx="528">
                  <c:v>1.9546145443159848E-5</c:v>
                </c:pt>
                <c:pt idx="529">
                  <c:v>3.8696296165883745E-5</c:v>
                </c:pt>
                <c:pt idx="530">
                  <c:v>9.7420805479061619E-6</c:v>
                </c:pt>
                <c:pt idx="531">
                  <c:v>6.7325566098517804E-5</c:v>
                </c:pt>
                <c:pt idx="532">
                  <c:v>2.5006324821471481E-4</c:v>
                </c:pt>
                <c:pt idx="533">
                  <c:v>9.8172527519001633E-5</c:v>
                </c:pt>
                <c:pt idx="534">
                  <c:v>4.7175635924230248E-5</c:v>
                </c:pt>
                <c:pt idx="535">
                  <c:v>7.4450021056278825E-5</c:v>
                </c:pt>
                <c:pt idx="536">
                  <c:v>1.844887629779943E-5</c:v>
                </c:pt>
                <c:pt idx="537">
                  <c:v>-1.0211881186863291E-5</c:v>
                </c:pt>
                <c:pt idx="538">
                  <c:v>-1.1178499359940063E-5</c:v>
                </c:pt>
                <c:pt idx="539">
                  <c:v>-1.2032604069837389E-5</c:v>
                </c:pt>
                <c:pt idx="540">
                  <c:v>-1.9821235995071055E-5</c:v>
                </c:pt>
                <c:pt idx="541">
                  <c:v>-6.174701717672901E-5</c:v>
                </c:pt>
                <c:pt idx="542">
                  <c:v>-2.5231336842932032E-5</c:v>
                </c:pt>
                <c:pt idx="543">
                  <c:v>-7.5966959845917209E-5</c:v>
                </c:pt>
                <c:pt idx="544">
                  <c:v>1.8498205245884275E-5</c:v>
                </c:pt>
                <c:pt idx="545">
                  <c:v>-1.8643827083804457E-5</c:v>
                </c:pt>
                <c:pt idx="546">
                  <c:v>4.16656610959877E-6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2-4239-B270-F61A6D5C5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2584176"/>
        <c:axId val="1272592080"/>
      </c:lineChart>
      <c:dateAx>
        <c:axId val="1272584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592080"/>
        <c:crosses val="autoZero"/>
        <c:auto val="1"/>
        <c:lblOffset val="100"/>
        <c:baseTimeUnit val="days"/>
      </c:dateAx>
      <c:valAx>
        <c:axId val="12725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58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18741D-E170-43FE-895A-20A76E92A97C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5E305F-6C8E-4DE4-9889-8732D527867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249.999</v>
      </c>
      <c r="D2" s="4">
        <f>MIN(D3:D1912)</f>
        <v>6.0019999999999998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8</v>
      </c>
    </row>
    <row r="5" spans="1:20" x14ac:dyDescent="0.25">
      <c r="A5" s="5">
        <v>44588</v>
      </c>
      <c r="B5">
        <v>61.2</v>
      </c>
      <c r="C5">
        <v>73.8</v>
      </c>
      <c r="D5">
        <v>60.7</v>
      </c>
      <c r="E5">
        <v>61.4</v>
      </c>
      <c r="F5">
        <v>28855.806</v>
      </c>
      <c r="G5">
        <v>61.4</v>
      </c>
      <c r="L5" t="s">
        <v>8</v>
      </c>
      <c r="M5" t="s">
        <v>8</v>
      </c>
      <c r="N5" t="s">
        <v>8</v>
      </c>
      <c r="P5">
        <f t="shared" ref="P5" si="0">IF(C5=D5,0,((E5-D5)-(C5-E5))/(C5-D5))</f>
        <v>-0.89312977099236701</v>
      </c>
      <c r="Q5">
        <f t="shared" ref="Q5" si="1">F5*P5</f>
        <v>-25771.979404580172</v>
      </c>
      <c r="R5">
        <f t="shared" ref="R5" si="2">R6+Q5</f>
        <v>303101.58502790221</v>
      </c>
      <c r="S5">
        <f t="shared" ref="S5" si="3">R5/100000</f>
        <v>3.0310158502790223</v>
      </c>
      <c r="T5">
        <f t="shared" ref="T5" si="4">S5/1000</f>
        <v>3.0310158502790223E-3</v>
      </c>
    </row>
    <row r="6" spans="1:20" x14ac:dyDescent="0.25">
      <c r="A6" s="5">
        <v>44587</v>
      </c>
      <c r="B6">
        <v>54.9</v>
      </c>
      <c r="C6">
        <v>65.3</v>
      </c>
      <c r="D6">
        <v>54</v>
      </c>
      <c r="E6">
        <v>61.1</v>
      </c>
      <c r="F6">
        <v>39637.580999999998</v>
      </c>
      <c r="G6">
        <v>61.1</v>
      </c>
      <c r="L6" t="s">
        <v>8</v>
      </c>
      <c r="M6" t="s">
        <v>8</v>
      </c>
      <c r="N6" t="s">
        <v>7</v>
      </c>
      <c r="P6">
        <f t="shared" ref="P6" si="5">IF(C6=D6,0,((E6-D6)-(C6-E6))/(C6-D6))</f>
        <v>0.25663716814159349</v>
      </c>
      <c r="Q6">
        <f t="shared" ref="Q6" si="6">F6*P6</f>
        <v>10172.47653982303</v>
      </c>
      <c r="R6">
        <f t="shared" ref="R6" si="7">R7+Q6</f>
        <v>328873.56443248241</v>
      </c>
      <c r="S6">
        <f t="shared" ref="S6" si="8">R6/100000</f>
        <v>3.2887356443248241</v>
      </c>
      <c r="T6">
        <f t="shared" ref="T6" si="9">S6/1000</f>
        <v>3.2887356443248241E-3</v>
      </c>
    </row>
    <row r="7" spans="1:20" x14ac:dyDescent="0.25">
      <c r="A7" s="5">
        <v>44586</v>
      </c>
      <c r="B7">
        <v>54.9</v>
      </c>
      <c r="C7">
        <v>56.6</v>
      </c>
      <c r="D7">
        <v>52.9</v>
      </c>
      <c r="E7">
        <v>54.8</v>
      </c>
      <c r="F7">
        <v>14130.596</v>
      </c>
      <c r="G7">
        <v>54.8</v>
      </c>
      <c r="L7" t="s">
        <v>8</v>
      </c>
      <c r="M7" t="s">
        <v>7</v>
      </c>
      <c r="N7" t="s">
        <v>7</v>
      </c>
      <c r="P7">
        <f t="shared" ref="P7" si="10">IF(C7=D7,0,((E7-D7)-(C7-E7))/(C7-D7))</f>
        <v>2.7027027027025471E-2</v>
      </c>
      <c r="Q7">
        <f t="shared" ref="Q7" si="11">F7*P7</f>
        <v>381.90799999997802</v>
      </c>
      <c r="R7">
        <f t="shared" ref="R7" si="12">R8+Q7</f>
        <v>318701.08789265936</v>
      </c>
      <c r="S7">
        <f t="shared" ref="S7" si="13">R7/100000</f>
        <v>3.1870108789265936</v>
      </c>
      <c r="T7">
        <f t="shared" ref="T7" si="14">S7/1000</f>
        <v>3.1870108789265935E-3</v>
      </c>
    </row>
    <row r="8" spans="1:20" x14ac:dyDescent="0.25">
      <c r="A8" s="5">
        <v>44585</v>
      </c>
      <c r="B8">
        <v>56.4</v>
      </c>
      <c r="C8">
        <v>56.5</v>
      </c>
      <c r="D8">
        <v>50.4</v>
      </c>
      <c r="E8">
        <v>54.9</v>
      </c>
      <c r="F8">
        <v>24562.077000000001</v>
      </c>
      <c r="G8">
        <v>54.9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0.47540983606557341</v>
      </c>
      <c r="Q8">
        <f t="shared" ref="Q8" si="16">F8*P8</f>
        <v>11677.052999999991</v>
      </c>
      <c r="R8">
        <f t="shared" ref="R8" si="17">R9+Q8</f>
        <v>318319.17989265936</v>
      </c>
      <c r="S8">
        <f t="shared" ref="S8" si="18">R8/100000</f>
        <v>3.1831917989265937</v>
      </c>
      <c r="T8">
        <f t="shared" ref="T8" si="19">S8/1000</f>
        <v>3.1831917989265939E-3</v>
      </c>
    </row>
    <row r="9" spans="1:20" x14ac:dyDescent="0.25">
      <c r="A9" s="5">
        <v>44584</v>
      </c>
      <c r="B9">
        <v>54.6</v>
      </c>
      <c r="C9">
        <v>60.6</v>
      </c>
      <c r="D9">
        <v>54.3</v>
      </c>
      <c r="E9">
        <v>56.3</v>
      </c>
      <c r="F9">
        <v>30072.842000000001</v>
      </c>
      <c r="G9">
        <v>56.3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-0.3650793650793655</v>
      </c>
      <c r="Q9">
        <f t="shared" ref="Q9" si="21">F9*P9</f>
        <v>-10978.974063492076</v>
      </c>
      <c r="R9">
        <f t="shared" ref="R9" si="22">R10+Q9</f>
        <v>306642.12689265935</v>
      </c>
      <c r="S9">
        <f t="shared" ref="S9" si="23">R9/100000</f>
        <v>3.0664212689265935</v>
      </c>
      <c r="T9">
        <f t="shared" ref="T9" si="24">S9/1000</f>
        <v>3.0664212689265934E-3</v>
      </c>
    </row>
    <row r="10" spans="1:20" x14ac:dyDescent="0.25">
      <c r="A10" s="5">
        <v>44583</v>
      </c>
      <c r="B10">
        <v>53.7</v>
      </c>
      <c r="C10">
        <v>59.1</v>
      </c>
      <c r="D10">
        <v>50</v>
      </c>
      <c r="E10">
        <v>54.6</v>
      </c>
      <c r="F10">
        <v>41994.722000000002</v>
      </c>
      <c r="G10">
        <v>54.6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1.0989010989011144E-2</v>
      </c>
      <c r="Q10">
        <f t="shared" ref="Q10" si="26">F10*P10</f>
        <v>461.48046153846809</v>
      </c>
      <c r="R10">
        <f t="shared" ref="R10" si="27">R11+Q10</f>
        <v>317621.10095615144</v>
      </c>
      <c r="S10">
        <f t="shared" ref="S10" si="28">R10/100000</f>
        <v>3.1762110095615146</v>
      </c>
      <c r="T10">
        <f t="shared" ref="T10" si="29">S10/1000</f>
        <v>3.1762110095615147E-3</v>
      </c>
    </row>
    <row r="11" spans="1:20" x14ac:dyDescent="0.25">
      <c r="A11" s="5">
        <v>44582</v>
      </c>
      <c r="B11">
        <v>65.7</v>
      </c>
      <c r="C11">
        <v>67</v>
      </c>
      <c r="D11">
        <v>52</v>
      </c>
      <c r="E11">
        <v>53.7</v>
      </c>
      <c r="F11">
        <v>26137.691999999999</v>
      </c>
      <c r="G11">
        <v>53.7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-0.77333333333333298</v>
      </c>
      <c r="Q11">
        <f t="shared" ref="Q11" si="31">F11*P11</f>
        <v>-20213.148479999989</v>
      </c>
      <c r="R11">
        <f t="shared" ref="R11" si="32">R12+Q11</f>
        <v>317159.62049461296</v>
      </c>
      <c r="S11">
        <f t="shared" ref="S11" si="33">R11/100000</f>
        <v>3.1715962049461295</v>
      </c>
      <c r="T11">
        <f t="shared" ref="T11" si="34">S11/1000</f>
        <v>3.1715962049461296E-3</v>
      </c>
    </row>
    <row r="12" spans="1:20" x14ac:dyDescent="0.25">
      <c r="A12" s="5">
        <v>44581</v>
      </c>
      <c r="B12">
        <v>67.7</v>
      </c>
      <c r="C12">
        <v>71.900000000000006</v>
      </c>
      <c r="D12">
        <v>65.7</v>
      </c>
      <c r="E12">
        <v>65.900000000000006</v>
      </c>
      <c r="F12">
        <v>34088.044000000002</v>
      </c>
      <c r="G12">
        <v>65.900000000000006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-0.93548387096774099</v>
      </c>
      <c r="Q12">
        <f t="shared" ref="Q12" si="36">F12*P12</f>
        <v>-31888.81535483868</v>
      </c>
      <c r="R12">
        <f t="shared" ref="R12" si="37">R13+Q12</f>
        <v>337372.76897461293</v>
      </c>
      <c r="S12">
        <f t="shared" ref="S12" si="38">R12/100000</f>
        <v>3.3737276897461292</v>
      </c>
      <c r="T12">
        <f t="shared" ref="T12" si="39">S12/1000</f>
        <v>3.3737276897461291E-3</v>
      </c>
    </row>
    <row r="13" spans="1:20" x14ac:dyDescent="0.25">
      <c r="A13" s="5">
        <v>44580</v>
      </c>
      <c r="B13">
        <v>67.099999999999994</v>
      </c>
      <c r="C13">
        <v>69</v>
      </c>
      <c r="D13">
        <v>65</v>
      </c>
      <c r="E13">
        <v>67.599999999999994</v>
      </c>
      <c r="F13">
        <v>15257.422</v>
      </c>
      <c r="G13">
        <v>67.599999999999994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0.29999999999999716</v>
      </c>
      <c r="Q13">
        <f t="shared" ref="Q13" si="41">F13*P13</f>
        <v>4577.2265999999572</v>
      </c>
      <c r="R13">
        <f t="shared" ref="R13" si="42">R14+Q13</f>
        <v>369261.58432945161</v>
      </c>
      <c r="S13">
        <f t="shared" ref="S13" si="43">R13/100000</f>
        <v>3.692615843294516</v>
      </c>
      <c r="T13">
        <f t="shared" ref="T13" si="44">S13/1000</f>
        <v>3.692615843294516E-3</v>
      </c>
    </row>
    <row r="14" spans="1:20" x14ac:dyDescent="0.25">
      <c r="A14" s="5">
        <v>44579</v>
      </c>
      <c r="B14">
        <v>68.2</v>
      </c>
      <c r="C14">
        <v>69.2</v>
      </c>
      <c r="D14">
        <v>63.3</v>
      </c>
      <c r="E14">
        <v>67</v>
      </c>
      <c r="F14">
        <v>18530.842000000001</v>
      </c>
      <c r="G14">
        <v>67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0.25423728813559299</v>
      </c>
      <c r="Q14">
        <f t="shared" ref="Q14" si="46">F14*P14</f>
        <v>4711.2310169491484</v>
      </c>
      <c r="R14">
        <f t="shared" ref="R14" si="47">R15+Q14</f>
        <v>364684.35772945167</v>
      </c>
      <c r="S14">
        <f t="shared" ref="S14" si="48">R14/100000</f>
        <v>3.6468435772945167</v>
      </c>
      <c r="T14">
        <f t="shared" ref="T14" si="49">S14/1000</f>
        <v>3.6468435772945168E-3</v>
      </c>
    </row>
    <row r="15" spans="1:20" x14ac:dyDescent="0.25">
      <c r="A15" s="5">
        <v>44578</v>
      </c>
      <c r="B15">
        <v>67.900000000000006</v>
      </c>
      <c r="C15">
        <v>69.2</v>
      </c>
      <c r="D15">
        <v>63.6</v>
      </c>
      <c r="E15">
        <v>68.2</v>
      </c>
      <c r="F15">
        <v>23326.616999999998</v>
      </c>
      <c r="G15">
        <v>68.2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0.6428571428571429</v>
      </c>
      <c r="Q15">
        <f t="shared" ref="Q15" si="51">F15*P15</f>
        <v>14995.682357142858</v>
      </c>
      <c r="R15">
        <f t="shared" ref="R15" si="52">R16+Q15</f>
        <v>359973.1267125025</v>
      </c>
      <c r="S15">
        <f t="shared" ref="S15" si="53">R15/100000</f>
        <v>3.599731267125025</v>
      </c>
      <c r="T15">
        <f t="shared" ref="T15" si="54">S15/1000</f>
        <v>3.5997312671250249E-3</v>
      </c>
    </row>
    <row r="16" spans="1:20" x14ac:dyDescent="0.25">
      <c r="A16" s="5">
        <v>44577</v>
      </c>
      <c r="B16">
        <v>69.599999999999994</v>
      </c>
      <c r="C16">
        <v>71.099999999999994</v>
      </c>
      <c r="D16">
        <v>67.2</v>
      </c>
      <c r="E16">
        <v>68.099999999999994</v>
      </c>
      <c r="F16">
        <v>25152.018</v>
      </c>
      <c r="G16">
        <v>68.099999999999994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-0.53846153846154188</v>
      </c>
      <c r="Q16">
        <f t="shared" ref="Q16" si="56">F16*P16</f>
        <v>-13543.394307692393</v>
      </c>
      <c r="R16">
        <f t="shared" ref="R16" si="57">R17+Q16</f>
        <v>344977.44435535965</v>
      </c>
      <c r="S16">
        <f t="shared" ref="S16" si="58">R16/100000</f>
        <v>3.4497744435535966</v>
      </c>
      <c r="T16">
        <f t="shared" ref="T16" si="59">S16/1000</f>
        <v>3.4497744435535967E-3</v>
      </c>
    </row>
    <row r="17" spans="1:20" x14ac:dyDescent="0.25">
      <c r="A17" s="5">
        <v>44576</v>
      </c>
      <c r="B17">
        <v>74.099999999999994</v>
      </c>
      <c r="C17">
        <v>79.8</v>
      </c>
      <c r="D17">
        <v>68.599999999999994</v>
      </c>
      <c r="E17">
        <v>69.599999999999994</v>
      </c>
      <c r="F17">
        <v>113994.694</v>
      </c>
      <c r="G17">
        <v>69.599999999999994</v>
      </c>
      <c r="L17" t="s">
        <v>7</v>
      </c>
      <c r="M17" t="s">
        <v>7</v>
      </c>
      <c r="N17" t="s">
        <v>8</v>
      </c>
      <c r="P17">
        <f t="shared" ref="P17" si="60">IF(C17=D17,0,((E17-D17)-(C17-E17))/(C17-D17))</f>
        <v>-0.82142857142857151</v>
      </c>
      <c r="Q17">
        <f t="shared" ref="Q17" si="61">F17*P17</f>
        <v>-93638.498642857157</v>
      </c>
      <c r="R17">
        <f t="shared" ref="R17" si="62">R18+Q17</f>
        <v>358520.83866305207</v>
      </c>
      <c r="S17">
        <f t="shared" ref="S17" si="63">R17/100000</f>
        <v>3.5852083866305207</v>
      </c>
      <c r="T17">
        <f t="shared" ref="T17" si="64">S17/1000</f>
        <v>3.5852083866305205E-3</v>
      </c>
    </row>
    <row r="18" spans="1:20" x14ac:dyDescent="0.25">
      <c r="A18" s="5">
        <v>44575</v>
      </c>
      <c r="B18">
        <v>58</v>
      </c>
      <c r="C18">
        <v>93</v>
      </c>
      <c r="D18">
        <v>57.3</v>
      </c>
      <c r="E18">
        <v>74.099999999999994</v>
      </c>
      <c r="F18">
        <v>195599.32800000001</v>
      </c>
      <c r="G18">
        <v>74.099999999999994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-5.8823529411764941E-2</v>
      </c>
      <c r="Q18">
        <f t="shared" ref="Q18" si="66">F18*P18</f>
        <v>-11505.842823529458</v>
      </c>
      <c r="R18">
        <f t="shared" ref="R18" si="67">R19+Q18</f>
        <v>452159.3373059092</v>
      </c>
      <c r="S18">
        <f t="shared" ref="S18" si="68">R18/100000</f>
        <v>4.5215933730590923</v>
      </c>
      <c r="T18">
        <f t="shared" ref="T18" si="69">S18/1000</f>
        <v>4.5215933730590923E-3</v>
      </c>
    </row>
    <row r="19" spans="1:20" x14ac:dyDescent="0.25">
      <c r="A19" s="5">
        <v>44574</v>
      </c>
      <c r="B19">
        <v>62.3</v>
      </c>
      <c r="C19">
        <v>62.8</v>
      </c>
      <c r="D19">
        <v>57</v>
      </c>
      <c r="E19">
        <v>58</v>
      </c>
      <c r="F19">
        <v>9981.7129999999997</v>
      </c>
      <c r="G19">
        <v>58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-0.65517241379310331</v>
      </c>
      <c r="Q19">
        <f t="shared" ref="Q19" si="71">F19*P19</f>
        <v>-6539.7429999999986</v>
      </c>
      <c r="R19">
        <f t="shared" ref="R19" si="72">R20+Q19</f>
        <v>463665.18012943864</v>
      </c>
      <c r="S19">
        <f t="shared" ref="S19" si="73">R19/100000</f>
        <v>4.636651801294386</v>
      </c>
      <c r="T19">
        <f t="shared" ref="T19" si="74">S19/1000</f>
        <v>4.6366518012943862E-3</v>
      </c>
    </row>
    <row r="20" spans="1:20" x14ac:dyDescent="0.25">
      <c r="A20" s="5">
        <v>44573</v>
      </c>
      <c r="B20">
        <v>57</v>
      </c>
      <c r="C20">
        <v>62.8</v>
      </c>
      <c r="D20">
        <v>56.4</v>
      </c>
      <c r="E20">
        <v>62.3</v>
      </c>
      <c r="F20">
        <v>7267.7780000000002</v>
      </c>
      <c r="G20">
        <v>62.3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0.84375</v>
      </c>
      <c r="Q20">
        <f t="shared" ref="Q20" si="76">F20*P20</f>
        <v>6132.1876874999998</v>
      </c>
      <c r="R20">
        <f t="shared" ref="R20" si="77">R21+Q20</f>
        <v>470204.92312943866</v>
      </c>
      <c r="S20">
        <f t="shared" ref="S20" si="78">R20/100000</f>
        <v>4.7020492312943869</v>
      </c>
      <c r="T20">
        <f t="shared" ref="T20" si="79">S20/1000</f>
        <v>4.7020492312943871E-3</v>
      </c>
    </row>
    <row r="21" spans="1:20" x14ac:dyDescent="0.25">
      <c r="A21" s="5">
        <v>44572</v>
      </c>
      <c r="B21">
        <v>54</v>
      </c>
      <c r="C21">
        <v>57.4</v>
      </c>
      <c r="D21">
        <v>53.2</v>
      </c>
      <c r="E21">
        <v>57.2</v>
      </c>
      <c r="F21">
        <v>9216.5480000000007</v>
      </c>
      <c r="G21">
        <v>57.2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0.90476190476190665</v>
      </c>
      <c r="Q21">
        <f t="shared" ref="Q21" si="81">F21*P21</f>
        <v>8338.7815238095427</v>
      </c>
      <c r="R21">
        <f t="shared" ref="R21" si="82">R22+Q21</f>
        <v>464072.73544193868</v>
      </c>
      <c r="S21">
        <f t="shared" ref="S21" si="83">R21/100000</f>
        <v>4.6407273544193872</v>
      </c>
      <c r="T21">
        <f t="shared" ref="T21" si="84">S21/1000</f>
        <v>4.6407273544193869E-3</v>
      </c>
    </row>
    <row r="22" spans="1:20" x14ac:dyDescent="0.25">
      <c r="A22" s="5">
        <v>44571</v>
      </c>
      <c r="B22">
        <v>56.5</v>
      </c>
      <c r="C22">
        <v>57.3</v>
      </c>
      <c r="D22">
        <v>51.6</v>
      </c>
      <c r="E22">
        <v>54</v>
      </c>
      <c r="F22">
        <v>12078.062</v>
      </c>
      <c r="G22">
        <v>54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-0.15789473684210514</v>
      </c>
      <c r="Q22">
        <f t="shared" ref="Q22" si="86">F22*P22</f>
        <v>-1907.06242105263</v>
      </c>
      <c r="R22">
        <f t="shared" ref="R22" si="87">R23+Q22</f>
        <v>455733.95391812915</v>
      </c>
      <c r="S22">
        <f t="shared" ref="S22" si="88">R22/100000</f>
        <v>4.5573395391812914</v>
      </c>
      <c r="T22">
        <f t="shared" ref="T22" si="89">S22/1000</f>
        <v>4.5573395391812913E-3</v>
      </c>
    </row>
    <row r="23" spans="1:20" x14ac:dyDescent="0.25">
      <c r="A23" s="5">
        <v>44570</v>
      </c>
      <c r="B23">
        <v>56.3</v>
      </c>
      <c r="C23">
        <v>58.7</v>
      </c>
      <c r="D23">
        <v>55.7</v>
      </c>
      <c r="E23">
        <v>56.5</v>
      </c>
      <c r="F23">
        <v>9332.4879999999994</v>
      </c>
      <c r="G23">
        <v>56.5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-0.46666666666666856</v>
      </c>
      <c r="Q23">
        <f t="shared" ref="Q23" si="91">F23*P23</f>
        <v>-4355.1610666666838</v>
      </c>
      <c r="R23">
        <f t="shared" ref="R23" si="92">R24+Q23</f>
        <v>457641.01633918181</v>
      </c>
      <c r="S23">
        <f t="shared" ref="S23" si="93">R23/100000</f>
        <v>4.5764101633918184</v>
      </c>
      <c r="T23">
        <f t="shared" ref="T23" si="94">S23/1000</f>
        <v>4.5764101633918187E-3</v>
      </c>
    </row>
    <row r="24" spans="1:20" x14ac:dyDescent="0.25">
      <c r="A24" s="5">
        <v>44569</v>
      </c>
      <c r="B24">
        <v>59.2</v>
      </c>
      <c r="C24">
        <v>60.3</v>
      </c>
      <c r="D24">
        <v>54</v>
      </c>
      <c r="E24">
        <v>56.5</v>
      </c>
      <c r="F24">
        <v>10998.9882</v>
      </c>
      <c r="G24">
        <v>56.5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-0.206349206349206</v>
      </c>
      <c r="Q24">
        <f t="shared" ref="Q24" si="96">F24*P24</f>
        <v>-2269.6324857142818</v>
      </c>
      <c r="R24">
        <f t="shared" ref="R24" si="97">R25+Q24</f>
        <v>461996.17740584852</v>
      </c>
      <c r="S24">
        <f t="shared" ref="S24" si="98">R24/100000</f>
        <v>4.6199617740584848</v>
      </c>
      <c r="T24">
        <f t="shared" ref="T24" si="99">S24/1000</f>
        <v>4.6199617740584845E-3</v>
      </c>
    </row>
    <row r="25" spans="1:20" x14ac:dyDescent="0.25">
      <c r="A25" s="5">
        <v>44568</v>
      </c>
      <c r="B25">
        <v>64</v>
      </c>
      <c r="C25">
        <v>64.099999999999994</v>
      </c>
      <c r="D25">
        <v>58.3</v>
      </c>
      <c r="E25">
        <v>59</v>
      </c>
      <c r="F25">
        <v>11190.855</v>
      </c>
      <c r="G25">
        <v>59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-0.75862068965517127</v>
      </c>
      <c r="Q25">
        <f t="shared" ref="Q25" si="101">F25*P25</f>
        <v>-8489.6141379310211</v>
      </c>
      <c r="R25">
        <f t="shared" ref="R25" si="102">R26+Q25</f>
        <v>464265.80989156279</v>
      </c>
      <c r="S25">
        <f t="shared" ref="S25" si="103">R25/100000</f>
        <v>4.6426580989156276</v>
      </c>
      <c r="T25">
        <f t="shared" ref="T25" si="104">S25/1000</f>
        <v>4.6426580989156275E-3</v>
      </c>
    </row>
    <row r="26" spans="1:20" x14ac:dyDescent="0.25">
      <c r="A26" s="5">
        <v>44567</v>
      </c>
      <c r="B26">
        <v>66.7</v>
      </c>
      <c r="C26">
        <v>67.5</v>
      </c>
      <c r="D26">
        <v>62.7</v>
      </c>
      <c r="E26">
        <v>64</v>
      </c>
      <c r="F26">
        <v>9971.0820000000003</v>
      </c>
      <c r="G26">
        <v>64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-0.4583333333333342</v>
      </c>
      <c r="Q26">
        <f t="shared" ref="Q26" si="106">F26*P26</f>
        <v>-4570.0792500000089</v>
      </c>
      <c r="R26">
        <f t="shared" ref="R26" si="107">R27+Q26</f>
        <v>472755.42402949382</v>
      </c>
      <c r="S26">
        <f t="shared" ref="S26" si="108">R26/100000</f>
        <v>4.7275542402949382</v>
      </c>
      <c r="T26">
        <f t="shared" ref="T26" si="109">S26/1000</f>
        <v>4.7275542402949386E-3</v>
      </c>
    </row>
    <row r="27" spans="1:20" x14ac:dyDescent="0.25">
      <c r="A27" s="5">
        <v>44566</v>
      </c>
      <c r="B27">
        <v>69.7</v>
      </c>
      <c r="C27">
        <v>71.3</v>
      </c>
      <c r="D27">
        <v>64.2</v>
      </c>
      <c r="E27">
        <v>66.900000000000006</v>
      </c>
      <c r="F27">
        <v>8837.0939999999991</v>
      </c>
      <c r="G27">
        <v>66.900000000000006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-0.23943661971830846</v>
      </c>
      <c r="Q27">
        <f t="shared" ref="Q27" si="111">F27*P27</f>
        <v>-2115.9239154929451</v>
      </c>
      <c r="R27">
        <f t="shared" ref="R27" si="112">R28+Q27</f>
        <v>477325.50327949383</v>
      </c>
      <c r="S27">
        <f t="shared" ref="S27" si="113">R27/100000</f>
        <v>4.7732550327949381</v>
      </c>
      <c r="T27">
        <f t="shared" ref="T27" si="114">S27/1000</f>
        <v>4.7732550327949383E-3</v>
      </c>
    </row>
    <row r="28" spans="1:20" x14ac:dyDescent="0.25">
      <c r="A28" s="5">
        <v>44565</v>
      </c>
      <c r="B28">
        <v>71.400000000000006</v>
      </c>
      <c r="C28">
        <v>72</v>
      </c>
      <c r="D28">
        <v>69.2</v>
      </c>
      <c r="E28">
        <v>69.599999999999994</v>
      </c>
      <c r="F28">
        <v>17659.304</v>
      </c>
      <c r="G28">
        <v>69.599999999999994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-0.71428571428572007</v>
      </c>
      <c r="Q28">
        <f t="shared" ref="Q28" si="116">F28*P28</f>
        <v>-12613.788571428673</v>
      </c>
      <c r="R28">
        <f t="shared" ref="R28" si="117">R29+Q28</f>
        <v>479441.42719498678</v>
      </c>
      <c r="S28">
        <f t="shared" ref="S28" si="118">R28/100000</f>
        <v>4.7944142719498677</v>
      </c>
      <c r="T28">
        <f t="shared" ref="T28" si="119">S28/1000</f>
        <v>4.7944142719498675E-3</v>
      </c>
    </row>
    <row r="29" spans="1:20" x14ac:dyDescent="0.25">
      <c r="A29" s="5">
        <v>44564</v>
      </c>
      <c r="B29">
        <v>73.8</v>
      </c>
      <c r="C29">
        <v>74.400000000000006</v>
      </c>
      <c r="D29">
        <v>70.5</v>
      </c>
      <c r="E29">
        <v>71.5</v>
      </c>
      <c r="F29">
        <v>4602.6679999999997</v>
      </c>
      <c r="G29">
        <v>71.5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-0.48717948717948795</v>
      </c>
      <c r="Q29">
        <f t="shared" ref="Q29" si="121">F29*P29</f>
        <v>-2242.3254358974391</v>
      </c>
      <c r="R29">
        <f t="shared" ref="R29" si="122">R30+Q29</f>
        <v>492055.21576641547</v>
      </c>
      <c r="S29">
        <f t="shared" ref="S29" si="123">R29/100000</f>
        <v>4.9205521576641544</v>
      </c>
      <c r="T29">
        <f t="shared" ref="T29" si="124">S29/1000</f>
        <v>4.9205521576641542E-3</v>
      </c>
    </row>
    <row r="30" spans="1:20" x14ac:dyDescent="0.25">
      <c r="A30" s="5">
        <v>44563</v>
      </c>
      <c r="B30">
        <v>75</v>
      </c>
      <c r="C30">
        <v>75.5</v>
      </c>
      <c r="D30">
        <v>72.099999999999994</v>
      </c>
      <c r="E30">
        <v>73.599999999999994</v>
      </c>
      <c r="F30">
        <v>5707.2860000000001</v>
      </c>
      <c r="G30">
        <v>73.599999999999994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-0.11764705882353088</v>
      </c>
      <c r="Q30">
        <f t="shared" ref="Q30" si="126">F30*P30</f>
        <v>-671.44541176471432</v>
      </c>
      <c r="R30">
        <f t="shared" ref="R30" si="127">R31+Q30</f>
        <v>494297.54120231292</v>
      </c>
      <c r="S30">
        <f t="shared" ref="S30" si="128">R30/100000</f>
        <v>4.9429754120231291</v>
      </c>
      <c r="T30">
        <f t="shared" ref="T30" si="129">S30/1000</f>
        <v>4.9429754120231288E-3</v>
      </c>
    </row>
    <row r="31" spans="1:20" x14ac:dyDescent="0.25">
      <c r="A31" s="5">
        <v>44562</v>
      </c>
      <c r="B31">
        <v>70.099999999999994</v>
      </c>
      <c r="C31">
        <v>75.3</v>
      </c>
      <c r="D31">
        <v>69.900000000000006</v>
      </c>
      <c r="E31">
        <v>74.8</v>
      </c>
      <c r="F31">
        <v>6651.5209999999997</v>
      </c>
      <c r="G31">
        <v>74.8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0.81481481481481455</v>
      </c>
      <c r="Q31">
        <f t="shared" ref="Q31" si="131">F31*P31</f>
        <v>5419.7578518518494</v>
      </c>
      <c r="R31">
        <f t="shared" ref="R31" si="132">R32+Q31</f>
        <v>494968.98661407764</v>
      </c>
      <c r="S31">
        <f t="shared" ref="S31" si="133">R31/100000</f>
        <v>4.9496898661407762</v>
      </c>
      <c r="T31">
        <f t="shared" ref="T31" si="134">S31/1000</f>
        <v>4.9496898661407765E-3</v>
      </c>
    </row>
    <row r="32" spans="1:20" x14ac:dyDescent="0.25">
      <c r="A32" s="5">
        <v>44561</v>
      </c>
      <c r="B32">
        <v>72.099999999999994</v>
      </c>
      <c r="C32">
        <v>73.2</v>
      </c>
      <c r="D32">
        <v>68.099999999999994</v>
      </c>
      <c r="E32">
        <v>69.900000000000006</v>
      </c>
      <c r="F32">
        <v>7295.2380000000003</v>
      </c>
      <c r="G32">
        <v>69.900000000000006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-0.29411764705882026</v>
      </c>
      <c r="Q32">
        <f t="shared" ref="Q32" si="136">F32*P32</f>
        <v>-2145.6582352940941</v>
      </c>
      <c r="R32">
        <f t="shared" ref="R32" si="137">R33+Q32</f>
        <v>489549.22876222577</v>
      </c>
      <c r="S32">
        <f t="shared" ref="S32" si="138">R32/100000</f>
        <v>4.8954922876222575</v>
      </c>
      <c r="T32">
        <f t="shared" ref="T32" si="139">S32/1000</f>
        <v>4.8954922876222572E-3</v>
      </c>
    </row>
    <row r="33" spans="1:20" x14ac:dyDescent="0.25">
      <c r="A33" s="5">
        <v>44560</v>
      </c>
      <c r="B33">
        <v>69.099999999999994</v>
      </c>
      <c r="C33">
        <v>73.3</v>
      </c>
      <c r="D33">
        <v>68.900000000000006</v>
      </c>
      <c r="E33">
        <v>71.900000000000006</v>
      </c>
      <c r="F33">
        <v>4934.1809999999996</v>
      </c>
      <c r="G33">
        <v>71.900000000000006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0.36363636363636626</v>
      </c>
      <c r="Q33">
        <f t="shared" ref="Q33" si="141">F33*P33</f>
        <v>1794.2476363636492</v>
      </c>
      <c r="R33">
        <f t="shared" ref="R33" si="142">R34+Q33</f>
        <v>491694.88699751988</v>
      </c>
      <c r="S33">
        <f t="shared" ref="S33" si="143">R33/100000</f>
        <v>4.9169488699751991</v>
      </c>
      <c r="T33">
        <f t="shared" ref="T33" si="144">S33/1000</f>
        <v>4.9169488699751995E-3</v>
      </c>
    </row>
    <row r="34" spans="1:20" x14ac:dyDescent="0.25">
      <c r="A34" s="5">
        <v>44559</v>
      </c>
      <c r="B34">
        <v>72.599999999999994</v>
      </c>
      <c r="C34">
        <v>74.400000000000006</v>
      </c>
      <c r="D34">
        <v>68.3</v>
      </c>
      <c r="E34">
        <v>69.3</v>
      </c>
      <c r="F34">
        <v>8455.0920000000006</v>
      </c>
      <c r="G34">
        <v>69.3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-0.67213114754098402</v>
      </c>
      <c r="Q34">
        <f t="shared" ref="Q34" si="146">F34*P34</f>
        <v>-5682.9306885245942</v>
      </c>
      <c r="R34">
        <f t="shared" ref="R34" si="147">R35+Q34</f>
        <v>489900.63936115621</v>
      </c>
      <c r="S34">
        <f t="shared" ref="S34" si="148">R34/100000</f>
        <v>4.899006393611562</v>
      </c>
      <c r="T34">
        <f t="shared" ref="T34" si="149">S34/1000</f>
        <v>4.8990063936115618E-3</v>
      </c>
    </row>
    <row r="35" spans="1:20" x14ac:dyDescent="0.25">
      <c r="A35" s="5">
        <v>44558</v>
      </c>
      <c r="B35">
        <v>79</v>
      </c>
      <c r="C35">
        <v>79.099999999999994</v>
      </c>
      <c r="D35">
        <v>70.900000000000006</v>
      </c>
      <c r="E35">
        <v>72.599999999999994</v>
      </c>
      <c r="F35">
        <v>14430.212</v>
      </c>
      <c r="G35">
        <v>72.599999999999994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-0.58536585365853877</v>
      </c>
      <c r="Q35">
        <f t="shared" ref="Q35" si="151">F35*P35</f>
        <v>-8446.9533658536893</v>
      </c>
      <c r="R35">
        <f t="shared" ref="R35" si="152">R36+Q35</f>
        <v>495583.57004968083</v>
      </c>
      <c r="S35">
        <f t="shared" ref="S35" si="153">R35/100000</f>
        <v>4.9558357004968085</v>
      </c>
      <c r="T35">
        <f t="shared" ref="T35" si="154">S35/1000</f>
        <v>4.9558357004968086E-3</v>
      </c>
    </row>
    <row r="36" spans="1:20" x14ac:dyDescent="0.25">
      <c r="A36" s="5">
        <v>44557</v>
      </c>
      <c r="B36">
        <v>80.3</v>
      </c>
      <c r="C36">
        <v>84.1</v>
      </c>
      <c r="D36">
        <v>78.900000000000006</v>
      </c>
      <c r="E36">
        <v>79</v>
      </c>
      <c r="F36">
        <v>9574.3709999999992</v>
      </c>
      <c r="G36">
        <v>79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-0.96153846153846367</v>
      </c>
      <c r="Q36">
        <f t="shared" ref="Q36" si="156">F36*P36</f>
        <v>-9206.1259615384806</v>
      </c>
      <c r="R36">
        <f t="shared" ref="R36" si="157">R37+Q36</f>
        <v>504030.52341553452</v>
      </c>
      <c r="S36">
        <f t="shared" ref="S36" si="158">R36/100000</f>
        <v>5.0403052341553449</v>
      </c>
      <c r="T36">
        <f t="shared" ref="T36" si="159">S36/1000</f>
        <v>5.0403052341553446E-3</v>
      </c>
    </row>
    <row r="37" spans="1:20" x14ac:dyDescent="0.25">
      <c r="A37" s="5">
        <v>44556</v>
      </c>
      <c r="B37">
        <v>80.8</v>
      </c>
      <c r="C37">
        <v>82</v>
      </c>
      <c r="D37">
        <v>77.3</v>
      </c>
      <c r="E37">
        <v>80</v>
      </c>
      <c r="F37">
        <v>11412.742</v>
      </c>
      <c r="G37">
        <v>80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0.14893617021276648</v>
      </c>
      <c r="Q37">
        <f t="shared" ref="Q37" si="161">F37*P37</f>
        <v>1699.7700851063889</v>
      </c>
      <c r="R37">
        <f t="shared" ref="R37" si="162">R38+Q37</f>
        <v>513236.64937707299</v>
      </c>
      <c r="S37">
        <f t="shared" ref="S37" si="163">R37/100000</f>
        <v>5.1323664937707303</v>
      </c>
      <c r="T37">
        <f t="shared" ref="T37" si="164">S37/1000</f>
        <v>5.1323664937707302E-3</v>
      </c>
    </row>
    <row r="38" spans="1:20" x14ac:dyDescent="0.25">
      <c r="A38" s="5">
        <v>44555</v>
      </c>
      <c r="B38">
        <v>75.2</v>
      </c>
      <c r="C38">
        <v>81.8</v>
      </c>
      <c r="D38">
        <v>75.099999999999994</v>
      </c>
      <c r="E38">
        <v>80.900000000000006</v>
      </c>
      <c r="F38">
        <v>11983.233</v>
      </c>
      <c r="G38">
        <v>80.900000000000006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0.73134328358209222</v>
      </c>
      <c r="Q38">
        <f t="shared" ref="Q38" si="166">F38*P38</f>
        <v>8763.8569701492852</v>
      </c>
      <c r="R38">
        <f t="shared" ref="R38" si="167">R39+Q38</f>
        <v>511536.87929196662</v>
      </c>
      <c r="S38">
        <f t="shared" ref="S38" si="168">R38/100000</f>
        <v>5.1153687929196661</v>
      </c>
      <c r="T38">
        <f t="shared" ref="T38" si="169">S38/1000</f>
        <v>5.115368792919666E-3</v>
      </c>
    </row>
    <row r="39" spans="1:20" x14ac:dyDescent="0.25">
      <c r="A39" s="5">
        <v>44554</v>
      </c>
      <c r="B39">
        <v>76.599999999999994</v>
      </c>
      <c r="C39">
        <v>79</v>
      </c>
      <c r="D39">
        <v>74.7</v>
      </c>
      <c r="E39">
        <v>75.3</v>
      </c>
      <c r="F39">
        <v>15010.561</v>
      </c>
      <c r="G39">
        <v>75.3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-0.72093023255814204</v>
      </c>
      <c r="Q39">
        <f t="shared" ref="Q39" si="171">F39*P39</f>
        <v>-10821.567232558176</v>
      </c>
      <c r="R39">
        <f t="shared" ref="R39" si="172">R40+Q39</f>
        <v>502773.02232181735</v>
      </c>
      <c r="S39">
        <f t="shared" ref="S39" si="173">R39/100000</f>
        <v>5.0277302232181738</v>
      </c>
      <c r="T39">
        <f t="shared" ref="T39" si="174">S39/1000</f>
        <v>5.0277302232181733E-3</v>
      </c>
    </row>
    <row r="40" spans="1:20" x14ac:dyDescent="0.25">
      <c r="A40" s="5">
        <v>44553</v>
      </c>
      <c r="B40">
        <v>70.2</v>
      </c>
      <c r="C40">
        <v>79.2</v>
      </c>
      <c r="D40">
        <v>68.400000000000006</v>
      </c>
      <c r="E40">
        <v>76.8</v>
      </c>
      <c r="F40">
        <v>26845.335999999999</v>
      </c>
      <c r="G40">
        <v>76.8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0.55555555555555436</v>
      </c>
      <c r="Q40">
        <f t="shared" ref="Q40" si="176">F40*P40</f>
        <v>14914.075555555522</v>
      </c>
      <c r="R40">
        <f t="shared" ref="R40" si="177">R41+Q40</f>
        <v>513594.5895543755</v>
      </c>
      <c r="S40">
        <f t="shared" ref="S40" si="178">R40/100000</f>
        <v>5.1359458955437551</v>
      </c>
      <c r="T40">
        <f t="shared" ref="T40" si="179">S40/1000</f>
        <v>5.1359458955437549E-3</v>
      </c>
    </row>
    <row r="41" spans="1:20" x14ac:dyDescent="0.25">
      <c r="A41" s="5">
        <v>44552</v>
      </c>
      <c r="B41">
        <v>70.900000000000006</v>
      </c>
      <c r="C41">
        <v>72</v>
      </c>
      <c r="D41">
        <v>68.599999999999994</v>
      </c>
      <c r="E41">
        <v>70.2</v>
      </c>
      <c r="F41">
        <v>20479.82</v>
      </c>
      <c r="G41">
        <v>70.2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-5.8823529411761263E-2</v>
      </c>
      <c r="Q41">
        <f t="shared" ref="Q41" si="181">F41*P41</f>
        <v>-1204.6952941175766</v>
      </c>
      <c r="R41">
        <f t="shared" ref="R41" si="182">R42+Q41</f>
        <v>498680.51399881998</v>
      </c>
      <c r="S41">
        <f t="shared" ref="S41" si="183">R41/100000</f>
        <v>4.9868051399882001</v>
      </c>
      <c r="T41">
        <f t="shared" ref="T41" si="184">S41/1000</f>
        <v>4.9868051399882003E-3</v>
      </c>
    </row>
    <row r="42" spans="1:20" x14ac:dyDescent="0.25">
      <c r="A42" s="5">
        <v>44551</v>
      </c>
      <c r="B42">
        <v>71.7</v>
      </c>
      <c r="C42">
        <v>74.099999999999994</v>
      </c>
      <c r="D42">
        <v>68.400000000000006</v>
      </c>
      <c r="E42">
        <v>71</v>
      </c>
      <c r="F42">
        <v>29570.087</v>
      </c>
      <c r="G42">
        <v>71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-8.7719298245614211E-2</v>
      </c>
      <c r="Q42">
        <f t="shared" ref="Q42" si="186">F42*P42</f>
        <v>-2593.8672807017597</v>
      </c>
      <c r="R42">
        <f t="shared" ref="R42" si="187">R43+Q42</f>
        <v>499885.20929293754</v>
      </c>
      <c r="S42">
        <f t="shared" ref="S42" si="188">R42/100000</f>
        <v>4.9988520929293756</v>
      </c>
      <c r="T42">
        <f t="shared" ref="T42" si="189">S42/1000</f>
        <v>4.9988520929293758E-3</v>
      </c>
    </row>
    <row r="43" spans="1:20" x14ac:dyDescent="0.25">
      <c r="A43" s="5">
        <v>44550</v>
      </c>
      <c r="B43">
        <v>83.9</v>
      </c>
      <c r="C43">
        <v>86.6</v>
      </c>
      <c r="D43">
        <v>67.8</v>
      </c>
      <c r="E43">
        <v>71.7</v>
      </c>
      <c r="F43">
        <v>143980.429</v>
      </c>
      <c r="G43">
        <v>71.7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-0.58510638297872275</v>
      </c>
      <c r="Q43">
        <f t="shared" ref="Q43" si="191">F43*P43</f>
        <v>-84243.868031914797</v>
      </c>
      <c r="R43">
        <f t="shared" ref="R43" si="192">R44+Q43</f>
        <v>502479.07657363929</v>
      </c>
      <c r="S43">
        <f t="shared" ref="S43" si="193">R43/100000</f>
        <v>5.0247907657363928</v>
      </c>
      <c r="T43">
        <f t="shared" ref="T43" si="194">S43/1000</f>
        <v>5.024790765736393E-3</v>
      </c>
    </row>
    <row r="44" spans="1:20" x14ac:dyDescent="0.25">
      <c r="A44" s="5">
        <v>44549</v>
      </c>
      <c r="B44">
        <v>66.599999999999994</v>
      </c>
      <c r="C44">
        <v>114.2</v>
      </c>
      <c r="D44">
        <v>65.900000000000006</v>
      </c>
      <c r="E44">
        <v>83.8</v>
      </c>
      <c r="F44">
        <v>357857.663</v>
      </c>
      <c r="G44">
        <v>83.8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-0.25879917184265039</v>
      </c>
      <c r="Q44">
        <f t="shared" ref="Q44" si="196">F44*P44</f>
        <v>-92613.266821946265</v>
      </c>
      <c r="R44">
        <f t="shared" ref="R44" si="197">R45+Q44</f>
        <v>586722.9446055541</v>
      </c>
      <c r="S44">
        <f t="shared" ref="S44" si="198">R44/100000</f>
        <v>5.867229446055541</v>
      </c>
      <c r="T44">
        <f t="shared" ref="T44" si="199">S44/1000</f>
        <v>5.8672294460555413E-3</v>
      </c>
    </row>
    <row r="45" spans="1:20" x14ac:dyDescent="0.25">
      <c r="A45" s="5">
        <v>44548</v>
      </c>
      <c r="B45">
        <v>62.5</v>
      </c>
      <c r="C45">
        <v>67.099999999999994</v>
      </c>
      <c r="D45">
        <v>60.7</v>
      </c>
      <c r="E45">
        <v>66.7</v>
      </c>
      <c r="F45">
        <v>8026.3689999999997</v>
      </c>
      <c r="G45">
        <v>66.7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0.87500000000000244</v>
      </c>
      <c r="Q45">
        <f t="shared" ref="Q45" si="201">F45*P45</f>
        <v>7023.0728750000189</v>
      </c>
      <c r="R45">
        <f t="shared" ref="R45" si="202">R46+Q45</f>
        <v>679336.21142750036</v>
      </c>
      <c r="S45">
        <f t="shared" ref="S45" si="203">R45/100000</f>
        <v>6.7933621142750038</v>
      </c>
      <c r="T45">
        <f t="shared" ref="T45" si="204">S45/1000</f>
        <v>6.7933621142750042E-3</v>
      </c>
    </row>
    <row r="46" spans="1:20" x14ac:dyDescent="0.25">
      <c r="A46" s="5">
        <v>44547</v>
      </c>
      <c r="B46">
        <v>66.900000000000006</v>
      </c>
      <c r="C46">
        <v>67.8</v>
      </c>
      <c r="D46">
        <v>60.9</v>
      </c>
      <c r="E46">
        <v>62.3</v>
      </c>
      <c r="F46">
        <v>13560.798000000001</v>
      </c>
      <c r="G46">
        <v>62.3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-0.59420289855072495</v>
      </c>
      <c r="Q46">
        <f t="shared" ref="Q46" si="206">F46*P46</f>
        <v>-8057.8654782608737</v>
      </c>
      <c r="R46">
        <f t="shared" ref="R46" si="207">R47+Q46</f>
        <v>672313.13855250028</v>
      </c>
      <c r="S46">
        <f t="shared" ref="S46" si="208">R46/100000</f>
        <v>6.7231313855250026</v>
      </c>
      <c r="T46">
        <f t="shared" ref="T46" si="209">S46/1000</f>
        <v>6.7231313855250028E-3</v>
      </c>
    </row>
    <row r="47" spans="1:20" x14ac:dyDescent="0.25">
      <c r="A47" s="5">
        <v>44546</v>
      </c>
      <c r="B47">
        <v>66</v>
      </c>
      <c r="C47">
        <v>69</v>
      </c>
      <c r="D47">
        <v>66</v>
      </c>
      <c r="E47">
        <v>66.7</v>
      </c>
      <c r="F47">
        <v>8585.6450000000004</v>
      </c>
      <c r="G47">
        <v>66.7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-0.53333333333333144</v>
      </c>
      <c r="Q47">
        <f t="shared" ref="Q47" si="211">F47*P47</f>
        <v>-4579.0106666666506</v>
      </c>
      <c r="R47">
        <f t="shared" ref="R47" si="212">R48+Q47</f>
        <v>680371.00403076119</v>
      </c>
      <c r="S47">
        <f t="shared" ref="S47" si="213">R47/100000</f>
        <v>6.8037100403076121</v>
      </c>
      <c r="T47">
        <f t="shared" ref="T47" si="214">S47/1000</f>
        <v>6.8037100403076124E-3</v>
      </c>
    </row>
    <row r="48" spans="1:20" x14ac:dyDescent="0.25">
      <c r="A48" s="5">
        <v>44545</v>
      </c>
      <c r="B48">
        <v>63.6</v>
      </c>
      <c r="C48">
        <v>68</v>
      </c>
      <c r="D48">
        <v>61.4</v>
      </c>
      <c r="E48">
        <v>66</v>
      </c>
      <c r="F48">
        <v>15743.96</v>
      </c>
      <c r="G48">
        <v>66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0.39393939393939409</v>
      </c>
      <c r="Q48">
        <f t="shared" ref="Q48" si="216">F48*P48</f>
        <v>6202.1660606060623</v>
      </c>
      <c r="R48">
        <f t="shared" ref="R48" si="217">R49+Q48</f>
        <v>684950.01469742786</v>
      </c>
      <c r="S48">
        <f t="shared" ref="S48" si="218">R48/100000</f>
        <v>6.8495001469742789</v>
      </c>
      <c r="T48">
        <f t="shared" ref="T48" si="219">S48/1000</f>
        <v>6.8495001469742788E-3</v>
      </c>
    </row>
    <row r="49" spans="1:20" x14ac:dyDescent="0.25">
      <c r="A49" s="5">
        <v>44544</v>
      </c>
      <c r="B49">
        <v>62.1</v>
      </c>
      <c r="C49">
        <v>64.400000000000006</v>
      </c>
      <c r="D49">
        <v>59.7</v>
      </c>
      <c r="E49">
        <v>63.5</v>
      </c>
      <c r="F49">
        <v>17760.202000000001</v>
      </c>
      <c r="G49">
        <v>63.5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0.61702127659574246</v>
      </c>
      <c r="Q49">
        <f t="shared" ref="Q49" si="221">F49*P49</f>
        <v>10958.42251063826</v>
      </c>
      <c r="R49">
        <f t="shared" ref="R49" si="222">R50+Q49</f>
        <v>678747.84863682184</v>
      </c>
      <c r="S49">
        <f t="shared" ref="S49" si="223">R49/100000</f>
        <v>6.7874784863682187</v>
      </c>
      <c r="T49">
        <f t="shared" ref="T49" si="224">S49/1000</f>
        <v>6.7874784863682187E-3</v>
      </c>
    </row>
    <row r="50" spans="1:20" x14ac:dyDescent="0.25">
      <c r="A50" s="5">
        <v>44543</v>
      </c>
      <c r="B50">
        <v>76.099999999999994</v>
      </c>
      <c r="C50">
        <v>76.3</v>
      </c>
      <c r="D50">
        <v>59.2</v>
      </c>
      <c r="E50">
        <v>62.1</v>
      </c>
      <c r="F50">
        <v>39009.9254</v>
      </c>
      <c r="G50">
        <v>62.1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-0.66081871345029242</v>
      </c>
      <c r="Q50">
        <f t="shared" ref="Q50" si="226">F50*P50</f>
        <v>-25778.488714619885</v>
      </c>
      <c r="R50">
        <f t="shared" ref="R50" si="227">R51+Q50</f>
        <v>667789.42612618359</v>
      </c>
      <c r="S50">
        <f t="shared" ref="S50" si="228">R50/100000</f>
        <v>6.6778942612618355</v>
      </c>
      <c r="T50">
        <f t="shared" ref="T50" si="229">S50/1000</f>
        <v>6.6778942612618353E-3</v>
      </c>
    </row>
    <row r="51" spans="1:20" x14ac:dyDescent="0.25">
      <c r="A51" s="5">
        <v>44542</v>
      </c>
      <c r="B51">
        <v>77.5</v>
      </c>
      <c r="C51">
        <v>82.1</v>
      </c>
      <c r="D51">
        <v>75.8</v>
      </c>
      <c r="E51">
        <v>76.099999999999994</v>
      </c>
      <c r="F51">
        <v>13426.653</v>
      </c>
      <c r="G51">
        <v>76.099999999999994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-0.90476190476190566</v>
      </c>
      <c r="Q51">
        <f t="shared" ref="Q51" si="231">F51*P51</f>
        <v>-12147.924142857155</v>
      </c>
      <c r="R51">
        <f t="shared" ref="R51" si="232">R52+Q51</f>
        <v>693567.91484080348</v>
      </c>
      <c r="S51">
        <f t="shared" ref="S51" si="233">R51/100000</f>
        <v>6.9356791484080347</v>
      </c>
      <c r="T51">
        <f t="shared" ref="T51" si="234">S51/1000</f>
        <v>6.9356791484080343E-3</v>
      </c>
    </row>
    <row r="52" spans="1:20" x14ac:dyDescent="0.25">
      <c r="A52" s="5">
        <v>44541</v>
      </c>
      <c r="B52">
        <v>77.8</v>
      </c>
      <c r="C52">
        <v>78.5</v>
      </c>
      <c r="D52">
        <v>75.900000000000006</v>
      </c>
      <c r="E52">
        <v>78.099999999999994</v>
      </c>
      <c r="F52">
        <v>652.47900000000004</v>
      </c>
      <c r="G52">
        <v>78.099999999999994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0.69230769230768729</v>
      </c>
      <c r="Q52">
        <f t="shared" ref="Q52" si="236">F52*P52</f>
        <v>451.71623076922754</v>
      </c>
      <c r="R52">
        <f t="shared" ref="R52" si="237">R53+Q52</f>
        <v>705715.83898366068</v>
      </c>
      <c r="S52">
        <f t="shared" ref="S52" si="238">R52/100000</f>
        <v>7.0571583898366068</v>
      </c>
      <c r="T52">
        <f t="shared" ref="T52" si="239">S52/1000</f>
        <v>7.0571583898366066E-3</v>
      </c>
    </row>
    <row r="53" spans="1:20" x14ac:dyDescent="0.25">
      <c r="A53" s="5">
        <v>44540</v>
      </c>
      <c r="B53">
        <v>80.8</v>
      </c>
      <c r="C53">
        <v>85.1</v>
      </c>
      <c r="D53">
        <v>77</v>
      </c>
      <c r="E53">
        <v>77.8</v>
      </c>
      <c r="F53">
        <v>9195.1380000000008</v>
      </c>
      <c r="G53">
        <v>77.8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-0.8024691358024697</v>
      </c>
      <c r="Q53">
        <f t="shared" ref="Q53" si="241">F53*P53</f>
        <v>-7378.8144444444506</v>
      </c>
      <c r="R53">
        <f t="shared" ref="R53" si="242">R54+Q53</f>
        <v>705264.1227528915</v>
      </c>
      <c r="S53">
        <f t="shared" ref="S53" si="243">R53/100000</f>
        <v>7.0526412275289152</v>
      </c>
      <c r="T53">
        <f t="shared" ref="T53" si="244">S53/1000</f>
        <v>7.0526412275289151E-3</v>
      </c>
    </row>
    <row r="54" spans="1:20" x14ac:dyDescent="0.25">
      <c r="A54" s="5">
        <v>44539</v>
      </c>
      <c r="B54">
        <v>91.4</v>
      </c>
      <c r="C54">
        <v>92.2</v>
      </c>
      <c r="D54">
        <v>80</v>
      </c>
      <c r="E54">
        <v>80.900000000000006</v>
      </c>
      <c r="F54">
        <v>22441.828000000001</v>
      </c>
      <c r="G54">
        <v>80.900000000000006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-0.85245901639344168</v>
      </c>
      <c r="Q54">
        <f t="shared" ref="Q54" si="246">F54*P54</f>
        <v>-19130.738622950801</v>
      </c>
      <c r="R54">
        <f t="shared" ref="R54" si="247">R55+Q54</f>
        <v>712642.937197336</v>
      </c>
      <c r="S54">
        <f t="shared" ref="S54" si="248">R54/100000</f>
        <v>7.1264293719733596</v>
      </c>
      <c r="T54">
        <f t="shared" ref="T54" si="249">S54/1000</f>
        <v>7.1264293719733593E-3</v>
      </c>
    </row>
    <row r="55" spans="1:20" x14ac:dyDescent="0.25">
      <c r="A55" s="5">
        <v>44538</v>
      </c>
      <c r="B55">
        <v>94.3</v>
      </c>
      <c r="C55">
        <v>101</v>
      </c>
      <c r="D55">
        <v>89.4</v>
      </c>
      <c r="E55">
        <v>91.4</v>
      </c>
      <c r="F55">
        <v>36820.696000000004</v>
      </c>
      <c r="G55">
        <v>91.4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-0.65517241379310331</v>
      </c>
      <c r="Q55">
        <f t="shared" ref="Q55" si="251">F55*P55</f>
        <v>-24123.904275862067</v>
      </c>
      <c r="R55">
        <f t="shared" ref="R55" si="252">R56+Q55</f>
        <v>731773.67582028685</v>
      </c>
      <c r="S55">
        <f t="shared" ref="S55" si="253">R55/100000</f>
        <v>7.3177367582028685</v>
      </c>
      <c r="T55">
        <f t="shared" ref="T55" si="254">S55/1000</f>
        <v>7.3177367582028686E-3</v>
      </c>
    </row>
    <row r="56" spans="1:20" x14ac:dyDescent="0.25">
      <c r="A56" s="5">
        <v>44537</v>
      </c>
      <c r="B56">
        <v>96.9</v>
      </c>
      <c r="C56">
        <v>102.5</v>
      </c>
      <c r="D56">
        <v>92.6</v>
      </c>
      <c r="E56">
        <v>94.6</v>
      </c>
      <c r="F56">
        <v>15030.402</v>
      </c>
      <c r="G56">
        <v>94.6</v>
      </c>
      <c r="L56" t="s">
        <v>7</v>
      </c>
      <c r="M56" t="s">
        <v>8</v>
      </c>
      <c r="N56" t="s">
        <v>7</v>
      </c>
      <c r="P56">
        <f t="shared" ref="P56" si="255">IF(C56=D56,0,((E56-D56)-(C56-E56))/(C56-D56))</f>
        <v>-0.59595959595959624</v>
      </c>
      <c r="Q56">
        <f t="shared" ref="Q56" si="256">F56*P56</f>
        <v>-8957.5123030303075</v>
      </c>
      <c r="R56">
        <f t="shared" ref="R56" si="257">R57+Q56</f>
        <v>755897.58009614889</v>
      </c>
      <c r="S56">
        <f t="shared" ref="S56" si="258">R56/100000</f>
        <v>7.5589758009614885</v>
      </c>
      <c r="T56">
        <f t="shared" ref="T56" si="259">S56/1000</f>
        <v>7.5589758009614889E-3</v>
      </c>
    </row>
    <row r="57" spans="1:20" x14ac:dyDescent="0.25">
      <c r="A57" s="5">
        <v>44536</v>
      </c>
      <c r="B57">
        <v>95.9</v>
      </c>
      <c r="C57">
        <v>104.8</v>
      </c>
      <c r="D57">
        <v>86.3</v>
      </c>
      <c r="E57">
        <v>96.9</v>
      </c>
      <c r="F57">
        <v>42143.101999999999</v>
      </c>
      <c r="G57">
        <v>96.9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0.14594594594594687</v>
      </c>
      <c r="Q57">
        <f t="shared" ref="Q57" si="261">F57*P57</f>
        <v>6150.6148864865254</v>
      </c>
      <c r="R57">
        <f t="shared" ref="R57" si="262">R58+Q57</f>
        <v>764855.09239917924</v>
      </c>
      <c r="S57">
        <f t="shared" ref="S57" si="263">R57/100000</f>
        <v>7.6485509239917926</v>
      </c>
      <c r="T57">
        <f t="shared" ref="T57" si="264">S57/1000</f>
        <v>7.6485509239917924E-3</v>
      </c>
    </row>
    <row r="58" spans="1:20" x14ac:dyDescent="0.25">
      <c r="A58" s="5">
        <v>44535</v>
      </c>
      <c r="B58">
        <v>89.6</v>
      </c>
      <c r="C58">
        <v>102.2</v>
      </c>
      <c r="D58">
        <v>87.6</v>
      </c>
      <c r="E58">
        <v>95.9</v>
      </c>
      <c r="F58">
        <v>22285.485000000001</v>
      </c>
      <c r="G58">
        <v>95.9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0.13698630136986389</v>
      </c>
      <c r="Q58">
        <f t="shared" ref="Q58" si="266">F58*P58</f>
        <v>3052.8061643835813</v>
      </c>
      <c r="R58">
        <f t="shared" ref="R58" si="267">R59+Q58</f>
        <v>758704.47751269268</v>
      </c>
      <c r="S58">
        <f t="shared" ref="S58" si="268">R58/100000</f>
        <v>7.5870447751269268</v>
      </c>
      <c r="T58">
        <f t="shared" ref="T58" si="269">S58/1000</f>
        <v>7.5870447751269264E-3</v>
      </c>
    </row>
    <row r="59" spans="1:20" x14ac:dyDescent="0.25">
      <c r="A59" s="5">
        <v>44534</v>
      </c>
      <c r="B59">
        <v>106.1</v>
      </c>
      <c r="C59">
        <v>106.8</v>
      </c>
      <c r="D59">
        <v>80.599999999999994</v>
      </c>
      <c r="E59">
        <v>89.1</v>
      </c>
      <c r="F59">
        <v>17596.922200000001</v>
      </c>
      <c r="G59">
        <v>89.1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-0.35114503816793902</v>
      </c>
      <c r="Q59">
        <f t="shared" ref="Q59" si="271">F59*P59</f>
        <v>-6179.071917557254</v>
      </c>
      <c r="R59">
        <f t="shared" ref="R59" si="272">R60+Q59</f>
        <v>755651.67134830914</v>
      </c>
      <c r="S59">
        <f t="shared" ref="S59" si="273">R59/100000</f>
        <v>7.5565167134830915</v>
      </c>
      <c r="T59">
        <f t="shared" ref="T59" si="274">S59/1000</f>
        <v>7.5565167134830913E-3</v>
      </c>
    </row>
    <row r="60" spans="1:20" x14ac:dyDescent="0.25">
      <c r="A60" s="5">
        <v>44533</v>
      </c>
      <c r="B60">
        <v>105.4</v>
      </c>
      <c r="C60">
        <v>109.9</v>
      </c>
      <c r="D60">
        <v>101.5</v>
      </c>
      <c r="E60">
        <v>106.1</v>
      </c>
      <c r="F60">
        <v>9119.268</v>
      </c>
      <c r="G60">
        <v>106.1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9.5238095238093137E-2</v>
      </c>
      <c r="Q60">
        <f t="shared" ref="Q60" si="276">F60*P60</f>
        <v>868.50171428569513</v>
      </c>
      <c r="R60">
        <f t="shared" ref="R60" si="277">R61+Q60</f>
        <v>761830.74326586642</v>
      </c>
      <c r="S60">
        <f t="shared" ref="S60" si="278">R60/100000</f>
        <v>7.6183074326586642</v>
      </c>
      <c r="T60">
        <f t="shared" ref="T60" si="279">S60/1000</f>
        <v>7.6183074326586645E-3</v>
      </c>
    </row>
    <row r="61" spans="1:20" x14ac:dyDescent="0.25">
      <c r="A61" s="5">
        <v>44532</v>
      </c>
      <c r="B61">
        <v>105.6</v>
      </c>
      <c r="C61">
        <v>109.3</v>
      </c>
      <c r="D61">
        <v>101.9</v>
      </c>
      <c r="E61">
        <v>105.4</v>
      </c>
      <c r="F61">
        <v>14987.474</v>
      </c>
      <c r="G61">
        <v>105.4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-5.4054054054052961E-2</v>
      </c>
      <c r="Q61">
        <f t="shared" ref="Q61" si="281">F61*P61</f>
        <v>-810.13372972971331</v>
      </c>
      <c r="R61">
        <f t="shared" ref="R61" si="282">R62+Q61</f>
        <v>760962.24155158072</v>
      </c>
      <c r="S61">
        <f t="shared" ref="S61" si="283">R61/100000</f>
        <v>7.6096224155158074</v>
      </c>
      <c r="T61">
        <f t="shared" ref="T61" si="284">S61/1000</f>
        <v>7.6096224155158074E-3</v>
      </c>
    </row>
    <row r="62" spans="1:20" x14ac:dyDescent="0.25">
      <c r="A62" s="5">
        <v>44531</v>
      </c>
      <c r="B62">
        <v>104.3</v>
      </c>
      <c r="C62">
        <v>108.8</v>
      </c>
      <c r="D62">
        <v>104</v>
      </c>
      <c r="E62">
        <v>105.5</v>
      </c>
      <c r="F62">
        <v>7466.35</v>
      </c>
      <c r="G62">
        <v>105.5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-0.37499999999999961</v>
      </c>
      <c r="Q62">
        <f t="shared" ref="Q62" si="286">F62*P62</f>
        <v>-2799.8812499999972</v>
      </c>
      <c r="R62">
        <f t="shared" ref="R62" si="287">R63+Q62</f>
        <v>761772.37528131041</v>
      </c>
      <c r="S62">
        <f t="shared" ref="S62" si="288">R62/100000</f>
        <v>7.6177237528131041</v>
      </c>
      <c r="T62">
        <f t="shared" ref="T62" si="289">S62/1000</f>
        <v>7.6177237528131042E-3</v>
      </c>
    </row>
    <row r="63" spans="1:20" x14ac:dyDescent="0.25">
      <c r="A63" s="5">
        <v>44530</v>
      </c>
      <c r="B63">
        <v>105.4</v>
      </c>
      <c r="C63">
        <v>108</v>
      </c>
      <c r="D63">
        <v>101.2</v>
      </c>
      <c r="E63">
        <v>105</v>
      </c>
      <c r="F63">
        <v>6356.549</v>
      </c>
      <c r="G63">
        <v>105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0.11764705882352905</v>
      </c>
      <c r="Q63">
        <f t="shared" ref="Q63" si="291">F63*P63</f>
        <v>747.82929411764474</v>
      </c>
      <c r="R63">
        <f t="shared" ref="R63" si="292">R64+Q63</f>
        <v>764572.25653131038</v>
      </c>
      <c r="S63">
        <f t="shared" ref="S63" si="293">R63/100000</f>
        <v>7.645722565313104</v>
      </c>
      <c r="T63">
        <f t="shared" ref="T63" si="294">S63/1000</f>
        <v>7.6457225653131042E-3</v>
      </c>
    </row>
    <row r="64" spans="1:20" x14ac:dyDescent="0.25">
      <c r="A64" s="5">
        <v>44529</v>
      </c>
      <c r="B64">
        <v>105.9</v>
      </c>
      <c r="C64">
        <v>107</v>
      </c>
      <c r="D64">
        <v>102.8</v>
      </c>
      <c r="E64">
        <v>105.5</v>
      </c>
      <c r="F64">
        <v>7941.58</v>
      </c>
      <c r="G64">
        <v>105.5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0.2857142857142862</v>
      </c>
      <c r="Q64">
        <f t="shared" ref="Q64" si="296">F64*P64</f>
        <v>2269.0228571428611</v>
      </c>
      <c r="R64">
        <f t="shared" ref="R64" si="297">R65+Q64</f>
        <v>763824.42723719275</v>
      </c>
      <c r="S64">
        <f t="shared" ref="S64" si="298">R64/100000</f>
        <v>7.6382442723719279</v>
      </c>
      <c r="T64">
        <f t="shared" ref="T64" si="299">S64/1000</f>
        <v>7.6382442723719277E-3</v>
      </c>
    </row>
    <row r="65" spans="1:20" x14ac:dyDescent="0.25">
      <c r="A65" s="5">
        <v>44528</v>
      </c>
      <c r="B65">
        <v>101.9</v>
      </c>
      <c r="C65">
        <v>106.6</v>
      </c>
      <c r="D65">
        <v>98.1</v>
      </c>
      <c r="E65">
        <v>105.9</v>
      </c>
      <c r="F65">
        <v>14774.601000000001</v>
      </c>
      <c r="G65">
        <v>105.9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0.83529411764706152</v>
      </c>
      <c r="Q65">
        <f t="shared" ref="Q65" si="301">F65*P65</f>
        <v>12341.137305882394</v>
      </c>
      <c r="R65">
        <f t="shared" ref="R65" si="302">R66+Q65</f>
        <v>761555.40438004991</v>
      </c>
      <c r="S65">
        <f t="shared" ref="S65" si="303">R65/100000</f>
        <v>7.6155540438004987</v>
      </c>
      <c r="T65">
        <f t="shared" ref="T65" si="304">S65/1000</f>
        <v>7.6155540438004989E-3</v>
      </c>
    </row>
    <row r="66" spans="1:20" x14ac:dyDescent="0.25">
      <c r="A66" s="5">
        <v>44527</v>
      </c>
      <c r="B66">
        <v>94</v>
      </c>
      <c r="C66">
        <v>103</v>
      </c>
      <c r="D66">
        <v>93.1</v>
      </c>
      <c r="E66">
        <v>102</v>
      </c>
      <c r="F66">
        <v>11696.103999999999</v>
      </c>
      <c r="G66">
        <v>102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0.79797979797979812</v>
      </c>
      <c r="Q66">
        <f t="shared" ref="Q66" si="306">F66*P66</f>
        <v>9333.2547070707078</v>
      </c>
      <c r="R66">
        <f t="shared" ref="R66" si="307">R67+Q66</f>
        <v>749214.2670741675</v>
      </c>
      <c r="S66">
        <f t="shared" ref="S66" si="308">R66/100000</f>
        <v>7.4921426707416749</v>
      </c>
      <c r="T66">
        <f t="shared" ref="T66" si="309">S66/1000</f>
        <v>7.4921426707416751E-3</v>
      </c>
    </row>
    <row r="67" spans="1:20" x14ac:dyDescent="0.25">
      <c r="A67" s="5">
        <v>44526</v>
      </c>
      <c r="B67">
        <v>108.9</v>
      </c>
      <c r="C67">
        <v>109.5</v>
      </c>
      <c r="D67">
        <v>90.6</v>
      </c>
      <c r="E67">
        <v>93.5</v>
      </c>
      <c r="F67">
        <v>61087.33</v>
      </c>
      <c r="G67">
        <v>93.5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-0.69312169312169258</v>
      </c>
      <c r="Q67">
        <f t="shared" ref="Q67" si="311">F67*P67</f>
        <v>-42340.953597883563</v>
      </c>
      <c r="R67">
        <f t="shared" ref="R67" si="312">R68+Q67</f>
        <v>739881.01236709673</v>
      </c>
      <c r="S67">
        <f t="shared" ref="S67" si="313">R67/100000</f>
        <v>7.3988101236709669</v>
      </c>
      <c r="T67">
        <f t="shared" ref="T67" si="314">S67/1000</f>
        <v>7.3988101236709672E-3</v>
      </c>
    </row>
    <row r="68" spans="1:20" x14ac:dyDescent="0.25">
      <c r="A68" s="5">
        <v>44525</v>
      </c>
      <c r="B68">
        <v>106.9</v>
      </c>
      <c r="C68">
        <v>109.2</v>
      </c>
      <c r="D68">
        <v>104.5</v>
      </c>
      <c r="E68">
        <v>108.9</v>
      </c>
      <c r="F68">
        <v>7145.2659999999996</v>
      </c>
      <c r="G68">
        <v>108.9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0.87234042553191615</v>
      </c>
      <c r="Q68">
        <f t="shared" ref="Q68" si="316">F68*P68</f>
        <v>6233.1043829787322</v>
      </c>
      <c r="R68">
        <f t="shared" ref="R68" si="317">R69+Q68</f>
        <v>782221.96596498031</v>
      </c>
      <c r="S68">
        <f t="shared" ref="S68" si="318">R68/100000</f>
        <v>7.8222196596498028</v>
      </c>
      <c r="T68">
        <f t="shared" ref="T68" si="319">S68/1000</f>
        <v>7.8222196596498036E-3</v>
      </c>
    </row>
    <row r="69" spans="1:20" x14ac:dyDescent="0.25">
      <c r="A69" s="5">
        <v>44524</v>
      </c>
      <c r="B69">
        <v>110.1</v>
      </c>
      <c r="C69">
        <v>110.3</v>
      </c>
      <c r="D69">
        <v>106.1</v>
      </c>
      <c r="E69">
        <v>106.6</v>
      </c>
      <c r="F69">
        <v>2066.2330000000002</v>
      </c>
      <c r="G69">
        <v>106.6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-0.76190476190476208</v>
      </c>
      <c r="Q69">
        <f t="shared" ref="Q69" si="321">F69*P69</f>
        <v>-1574.2727619047623</v>
      </c>
      <c r="R69">
        <f t="shared" ref="R69" si="322">R70+Q69</f>
        <v>775988.86158200155</v>
      </c>
      <c r="S69">
        <f t="shared" ref="S69" si="323">R69/100000</f>
        <v>7.7598886158200155</v>
      </c>
      <c r="T69">
        <f t="shared" ref="T69" si="324">S69/1000</f>
        <v>7.7598886158200151E-3</v>
      </c>
    </row>
    <row r="70" spans="1:20" x14ac:dyDescent="0.25">
      <c r="A70" s="5">
        <v>44523</v>
      </c>
      <c r="B70">
        <v>107.3</v>
      </c>
      <c r="C70">
        <v>110.3</v>
      </c>
      <c r="D70">
        <v>103.2</v>
      </c>
      <c r="E70">
        <v>110</v>
      </c>
      <c r="F70">
        <v>11589.155000000001</v>
      </c>
      <c r="G70">
        <v>110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0.91549295774647965</v>
      </c>
      <c r="Q70">
        <f t="shared" ref="Q70" si="326">F70*P70</f>
        <v>10609.789788732403</v>
      </c>
      <c r="R70">
        <f t="shared" ref="R70" si="327">R71+Q70</f>
        <v>777563.13434390631</v>
      </c>
      <c r="S70">
        <f t="shared" ref="S70" si="328">R70/100000</f>
        <v>7.7756313434390627</v>
      </c>
      <c r="T70">
        <f t="shared" ref="T70" si="329">S70/1000</f>
        <v>7.7756313434390626E-3</v>
      </c>
    </row>
    <row r="71" spans="1:20" x14ac:dyDescent="0.25">
      <c r="A71" s="5">
        <v>44522</v>
      </c>
      <c r="B71">
        <v>111.6</v>
      </c>
      <c r="C71">
        <v>113.6</v>
      </c>
      <c r="D71">
        <v>105.8</v>
      </c>
      <c r="E71">
        <v>107.5</v>
      </c>
      <c r="F71">
        <v>9667.4210000000003</v>
      </c>
      <c r="G71">
        <v>107.5</v>
      </c>
      <c r="L71" t="s">
        <v>8</v>
      </c>
      <c r="M71" t="s">
        <v>7</v>
      </c>
      <c r="N71" t="s">
        <v>8</v>
      </c>
      <c r="P71">
        <f t="shared" ref="P71" si="330">IF(C71=D71,0,((E71-D71)-(C71-E71))/(C71-D71))</f>
        <v>-0.56410256410256321</v>
      </c>
      <c r="Q71">
        <f t="shared" ref="Q71" si="331">F71*P71</f>
        <v>-5453.4169743589655</v>
      </c>
      <c r="R71">
        <f t="shared" ref="R71" si="332">R72+Q71</f>
        <v>766953.34455517388</v>
      </c>
      <c r="S71">
        <f t="shared" ref="S71" si="333">R71/100000</f>
        <v>7.669533445551739</v>
      </c>
      <c r="T71">
        <f t="shared" ref="T71" si="334">S71/1000</f>
        <v>7.6695334455517388E-3</v>
      </c>
    </row>
    <row r="72" spans="1:20" x14ac:dyDescent="0.25">
      <c r="A72" s="5">
        <v>44521</v>
      </c>
      <c r="B72">
        <v>110.9</v>
      </c>
      <c r="C72">
        <v>113.5</v>
      </c>
      <c r="D72">
        <v>109.1</v>
      </c>
      <c r="E72">
        <v>111.6</v>
      </c>
      <c r="F72">
        <v>9204.6059999999998</v>
      </c>
      <c r="G72">
        <v>111.6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0.13636363636363488</v>
      </c>
      <c r="Q72">
        <f t="shared" ref="Q72" si="336">F72*P72</f>
        <v>1255.1735454545317</v>
      </c>
      <c r="R72">
        <f t="shared" ref="R72" si="337">R73+Q72</f>
        <v>772406.76152953284</v>
      </c>
      <c r="S72">
        <f t="shared" ref="S72" si="338">R72/100000</f>
        <v>7.7240676152953283</v>
      </c>
      <c r="T72">
        <f t="shared" ref="T72" si="339">S72/1000</f>
        <v>7.724067615295328E-3</v>
      </c>
    </row>
    <row r="73" spans="1:20" x14ac:dyDescent="0.25">
      <c r="A73" s="5">
        <v>44520</v>
      </c>
      <c r="B73">
        <v>108.1</v>
      </c>
      <c r="C73">
        <v>111.5</v>
      </c>
      <c r="D73">
        <v>105.7</v>
      </c>
      <c r="E73">
        <v>110.9</v>
      </c>
      <c r="F73">
        <v>6782.5569999999998</v>
      </c>
      <c r="G73">
        <v>110.9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0.79310344827586388</v>
      </c>
      <c r="Q73">
        <f t="shared" ref="Q73" si="341">F73*P73</f>
        <v>5379.2693448275986</v>
      </c>
      <c r="R73">
        <f t="shared" ref="R73" si="342">R74+Q73</f>
        <v>771151.58798407833</v>
      </c>
      <c r="S73">
        <f t="shared" ref="S73" si="343">R73/100000</f>
        <v>7.7115158798407837</v>
      </c>
      <c r="T73">
        <f t="shared" ref="T73" si="344">S73/1000</f>
        <v>7.7115158798407839E-3</v>
      </c>
    </row>
    <row r="74" spans="1:20" x14ac:dyDescent="0.25">
      <c r="A74" s="5">
        <v>44519</v>
      </c>
      <c r="B74">
        <v>107.4</v>
      </c>
      <c r="C74">
        <v>109.1</v>
      </c>
      <c r="D74">
        <v>103.2</v>
      </c>
      <c r="E74">
        <v>108.1</v>
      </c>
      <c r="F74">
        <v>8577.48</v>
      </c>
      <c r="G74">
        <v>108.1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0.66101694915254183</v>
      </c>
      <c r="Q74">
        <f t="shared" ref="Q74" si="346">F74*P74</f>
        <v>5669.8596610169443</v>
      </c>
      <c r="R74">
        <f t="shared" ref="R74" si="347">R75+Q74</f>
        <v>765772.31863925071</v>
      </c>
      <c r="S74">
        <f t="shared" ref="S74" si="348">R74/100000</f>
        <v>7.6577231863925075</v>
      </c>
      <c r="T74">
        <f t="shared" ref="T74" si="349">S74/1000</f>
        <v>7.6577231863925073E-3</v>
      </c>
    </row>
    <row r="75" spans="1:20" x14ac:dyDescent="0.25">
      <c r="A75" s="5">
        <v>44518</v>
      </c>
      <c r="B75">
        <v>110.1</v>
      </c>
      <c r="C75">
        <v>112.3</v>
      </c>
      <c r="D75">
        <v>103.3</v>
      </c>
      <c r="E75">
        <v>107.7</v>
      </c>
      <c r="F75">
        <v>10430.965</v>
      </c>
      <c r="G75">
        <v>107.7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-2.222222222222096E-2</v>
      </c>
      <c r="Q75">
        <f t="shared" ref="Q75" si="351">F75*P75</f>
        <v>-231.79922222220907</v>
      </c>
      <c r="R75">
        <f t="shared" ref="R75" si="352">R76+Q75</f>
        <v>760102.45897823374</v>
      </c>
      <c r="S75">
        <f t="shared" ref="S75" si="353">R75/100000</f>
        <v>7.6010245897823374</v>
      </c>
      <c r="T75">
        <f t="shared" ref="T75" si="354">S75/1000</f>
        <v>7.6010245897823372E-3</v>
      </c>
    </row>
    <row r="76" spans="1:20" x14ac:dyDescent="0.25">
      <c r="A76" s="5">
        <v>44517</v>
      </c>
      <c r="B76">
        <v>107.5</v>
      </c>
      <c r="C76">
        <v>110.6</v>
      </c>
      <c r="D76">
        <v>103.5</v>
      </c>
      <c r="E76">
        <v>110.2</v>
      </c>
      <c r="F76">
        <v>7188.5640000000003</v>
      </c>
      <c r="G76">
        <v>110.2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0.88732394366197409</v>
      </c>
      <c r="Q76">
        <f t="shared" ref="Q76" si="356">F76*P76</f>
        <v>6378.5849577464951</v>
      </c>
      <c r="R76">
        <f t="shared" ref="R76" si="357">R77+Q76</f>
        <v>760334.25820045592</v>
      </c>
      <c r="S76">
        <f t="shared" ref="S76" si="358">R76/100000</f>
        <v>7.6033425820045588</v>
      </c>
      <c r="T76">
        <f t="shared" ref="T76" si="359">S76/1000</f>
        <v>7.603342582004559E-3</v>
      </c>
    </row>
    <row r="77" spans="1:20" x14ac:dyDescent="0.25">
      <c r="A77" s="5">
        <v>44516</v>
      </c>
      <c r="B77">
        <v>113.3</v>
      </c>
      <c r="C77">
        <v>113.3</v>
      </c>
      <c r="D77">
        <v>102.8</v>
      </c>
      <c r="E77">
        <v>107.4</v>
      </c>
      <c r="F77">
        <v>20694.235000000001</v>
      </c>
      <c r="G77">
        <v>107.4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-0.12380952380952219</v>
      </c>
      <c r="Q77">
        <f t="shared" ref="Q77" si="361">F77*P77</f>
        <v>-2562.1433809523473</v>
      </c>
      <c r="R77">
        <f t="shared" ref="R77" si="362">R78+Q77</f>
        <v>753955.67324270948</v>
      </c>
      <c r="S77">
        <f t="shared" ref="S77" si="363">R77/100000</f>
        <v>7.5395567324270951</v>
      </c>
      <c r="T77">
        <f t="shared" ref="T77" si="364">S77/1000</f>
        <v>7.5395567324270949E-3</v>
      </c>
    </row>
    <row r="78" spans="1:20" x14ac:dyDescent="0.25">
      <c r="A78" s="5">
        <v>44515</v>
      </c>
      <c r="B78">
        <v>119</v>
      </c>
      <c r="C78">
        <v>122.6</v>
      </c>
      <c r="D78">
        <v>112.5</v>
      </c>
      <c r="E78">
        <v>113.4</v>
      </c>
      <c r="F78">
        <v>19177.941999999999</v>
      </c>
      <c r="G78">
        <v>113.4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-0.82178217821782051</v>
      </c>
      <c r="Q78">
        <f t="shared" ref="Q78" si="366">F78*P78</f>
        <v>-15760.090950495025</v>
      </c>
      <c r="R78">
        <f t="shared" ref="R78" si="367">R79+Q78</f>
        <v>756517.81662366178</v>
      </c>
      <c r="S78">
        <f t="shared" ref="S78" si="368">R78/100000</f>
        <v>7.5651781662366178</v>
      </c>
      <c r="T78">
        <f t="shared" ref="T78" si="369">S78/1000</f>
        <v>7.5651781662366179E-3</v>
      </c>
    </row>
    <row r="79" spans="1:20" x14ac:dyDescent="0.25">
      <c r="A79" s="5">
        <v>44514</v>
      </c>
      <c r="B79">
        <v>114.3</v>
      </c>
      <c r="C79">
        <v>120.1</v>
      </c>
      <c r="D79">
        <v>114.2</v>
      </c>
      <c r="E79">
        <v>119</v>
      </c>
      <c r="F79">
        <v>23040.376</v>
      </c>
      <c r="G79">
        <v>119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0.62711864406779805</v>
      </c>
      <c r="Q79">
        <f t="shared" ref="Q79" si="371">F79*P79</f>
        <v>14449.049355932237</v>
      </c>
      <c r="R79">
        <f t="shared" ref="R79" si="372">R80+Q79</f>
        <v>772277.90757415676</v>
      </c>
      <c r="S79">
        <f t="shared" ref="S79" si="373">R79/100000</f>
        <v>7.7227790757415677</v>
      </c>
      <c r="T79">
        <f t="shared" ref="T79" si="374">S79/1000</f>
        <v>7.7227790757415675E-3</v>
      </c>
    </row>
    <row r="80" spans="1:20" x14ac:dyDescent="0.25">
      <c r="A80" s="5">
        <v>44513</v>
      </c>
      <c r="B80">
        <v>113.1</v>
      </c>
      <c r="C80">
        <v>115</v>
      </c>
      <c r="D80">
        <v>108.9</v>
      </c>
      <c r="E80">
        <v>114.4</v>
      </c>
      <c r="F80">
        <v>16550.005000000001</v>
      </c>
      <c r="G80">
        <v>114.4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0.80327868852459183</v>
      </c>
      <c r="Q80">
        <f t="shared" ref="Q80" si="376">F80*P80</f>
        <v>13294.266311475438</v>
      </c>
      <c r="R80">
        <f t="shared" ref="R80" si="377">R81+Q80</f>
        <v>757828.85821822449</v>
      </c>
      <c r="S80">
        <f t="shared" ref="S80" si="378">R80/100000</f>
        <v>7.5782885821822452</v>
      </c>
      <c r="T80">
        <f t="shared" ref="T80" si="379">S80/1000</f>
        <v>7.578288582182245E-3</v>
      </c>
    </row>
    <row r="81" spans="1:20" x14ac:dyDescent="0.25">
      <c r="A81" s="5">
        <v>44512</v>
      </c>
      <c r="B81">
        <v>108.3</v>
      </c>
      <c r="C81">
        <v>116.9</v>
      </c>
      <c r="D81">
        <v>105.2</v>
      </c>
      <c r="E81">
        <v>113</v>
      </c>
      <c r="F81">
        <v>23754.014999999999</v>
      </c>
      <c r="G81">
        <v>113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0.33333333333333254</v>
      </c>
      <c r="Q81">
        <f t="shared" ref="Q81" si="381">F81*P81</f>
        <v>7918.004999999981</v>
      </c>
      <c r="R81">
        <f t="shared" ref="R81" si="382">R82+Q81</f>
        <v>744534.59190674906</v>
      </c>
      <c r="S81">
        <f t="shared" ref="S81" si="383">R81/100000</f>
        <v>7.4453459190674902</v>
      </c>
      <c r="T81">
        <f t="shared" ref="T81" si="384">S81/1000</f>
        <v>7.4453459190674904E-3</v>
      </c>
    </row>
    <row r="82" spans="1:20" x14ac:dyDescent="0.25">
      <c r="A82" s="5">
        <v>44511</v>
      </c>
      <c r="B82">
        <v>102</v>
      </c>
      <c r="C82">
        <v>110</v>
      </c>
      <c r="D82">
        <v>101.1</v>
      </c>
      <c r="E82">
        <v>108.7</v>
      </c>
      <c r="F82">
        <v>11965.098</v>
      </c>
      <c r="G82">
        <v>108.7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0.70786516853932668</v>
      </c>
      <c r="Q82">
        <f t="shared" ref="Q82" si="386">F82*P82</f>
        <v>8469.6761123595606</v>
      </c>
      <c r="R82">
        <f t="shared" ref="R82" si="387">R83+Q82</f>
        <v>736616.58690674906</v>
      </c>
      <c r="S82">
        <f t="shared" ref="S82" si="388">R82/100000</f>
        <v>7.3661658690674905</v>
      </c>
      <c r="T82">
        <f t="shared" ref="T82" si="389">S82/1000</f>
        <v>7.3661658690674908E-3</v>
      </c>
    </row>
    <row r="83" spans="1:20" x14ac:dyDescent="0.25">
      <c r="A83" s="5">
        <v>44510</v>
      </c>
      <c r="B83">
        <v>107.4</v>
      </c>
      <c r="C83">
        <v>110</v>
      </c>
      <c r="D83">
        <v>100</v>
      </c>
      <c r="E83">
        <v>102.1</v>
      </c>
      <c r="F83">
        <v>13351.370999999999</v>
      </c>
      <c r="G83">
        <v>102.1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-0.58000000000000118</v>
      </c>
      <c r="Q83">
        <f t="shared" ref="Q83" si="391">F83*P83</f>
        <v>-7743.7951800000155</v>
      </c>
      <c r="R83">
        <f t="shared" ref="R83" si="392">R84+Q83</f>
        <v>728146.91079438955</v>
      </c>
      <c r="S83">
        <f t="shared" ref="S83" si="393">R83/100000</f>
        <v>7.2814691079438951</v>
      </c>
      <c r="T83">
        <f t="shared" ref="T83" si="394">S83/1000</f>
        <v>7.2814691079438948E-3</v>
      </c>
    </row>
    <row r="84" spans="1:20" x14ac:dyDescent="0.25">
      <c r="A84" s="5">
        <v>44509</v>
      </c>
      <c r="B84">
        <v>108.5</v>
      </c>
      <c r="C84">
        <v>109</v>
      </c>
      <c r="D84">
        <v>105</v>
      </c>
      <c r="E84">
        <v>107.2</v>
      </c>
      <c r="F84">
        <v>14301.538</v>
      </c>
      <c r="G84">
        <v>107.2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0.10000000000000142</v>
      </c>
      <c r="Q84">
        <f t="shared" ref="Q84" si="396">F84*P84</f>
        <v>1430.1538000000203</v>
      </c>
      <c r="R84">
        <f t="shared" ref="R84" si="397">R85+Q84</f>
        <v>735890.70597438957</v>
      </c>
      <c r="S84">
        <f t="shared" ref="S84" si="398">R84/100000</f>
        <v>7.3589070597438955</v>
      </c>
      <c r="T84">
        <f t="shared" ref="T84" si="399">S84/1000</f>
        <v>7.3589070597438952E-3</v>
      </c>
    </row>
    <row r="85" spans="1:20" x14ac:dyDescent="0.25">
      <c r="A85" s="5">
        <v>44508</v>
      </c>
      <c r="B85">
        <v>107.8</v>
      </c>
      <c r="C85">
        <v>109.9</v>
      </c>
      <c r="D85">
        <v>106.5</v>
      </c>
      <c r="E85">
        <v>108.5</v>
      </c>
      <c r="F85">
        <v>11149.397999999999</v>
      </c>
      <c r="G85">
        <v>108.5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0.17647058823529216</v>
      </c>
      <c r="Q85">
        <f t="shared" ref="Q85" si="401">F85*P85</f>
        <v>1967.5408235293899</v>
      </c>
      <c r="R85">
        <f t="shared" ref="R85" si="402">R86+Q85</f>
        <v>734460.5521743896</v>
      </c>
      <c r="S85">
        <f t="shared" ref="S85" si="403">R85/100000</f>
        <v>7.3446055217438957</v>
      </c>
      <c r="T85">
        <f t="shared" ref="T85" si="404">S85/1000</f>
        <v>7.3446055217438961E-3</v>
      </c>
    </row>
    <row r="86" spans="1:20" x14ac:dyDescent="0.25">
      <c r="A86" s="5">
        <v>44507</v>
      </c>
      <c r="B86">
        <v>106.7</v>
      </c>
      <c r="C86">
        <v>108.6</v>
      </c>
      <c r="D86">
        <v>105.5</v>
      </c>
      <c r="E86">
        <v>107.8</v>
      </c>
      <c r="F86">
        <v>9221.5120000000006</v>
      </c>
      <c r="G86">
        <v>107.8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0.48387096774193639</v>
      </c>
      <c r="Q86">
        <f t="shared" ref="Q86" si="406">F86*P86</f>
        <v>4462.02193548388</v>
      </c>
      <c r="R86">
        <f t="shared" ref="R86" si="407">R87+Q86</f>
        <v>732493.01135086024</v>
      </c>
      <c r="S86">
        <f t="shared" ref="S86" si="408">R86/100000</f>
        <v>7.3249301135086027</v>
      </c>
      <c r="T86">
        <f t="shared" ref="T86" si="409">S86/1000</f>
        <v>7.324930113508603E-3</v>
      </c>
    </row>
    <row r="87" spans="1:20" x14ac:dyDescent="0.25">
      <c r="A87" s="5">
        <v>44506</v>
      </c>
      <c r="B87">
        <v>104.1</v>
      </c>
      <c r="C87">
        <v>107.8</v>
      </c>
      <c r="D87">
        <v>102.1</v>
      </c>
      <c r="E87">
        <v>107</v>
      </c>
      <c r="F87">
        <v>10861.308000000001</v>
      </c>
      <c r="G87">
        <v>107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0.71929824561403621</v>
      </c>
      <c r="Q87">
        <f t="shared" ref="Q87" si="411">F87*P87</f>
        <v>7812.5197894736975</v>
      </c>
      <c r="R87">
        <f t="shared" ref="R87" si="412">R88+Q87</f>
        <v>728030.98941537633</v>
      </c>
      <c r="S87">
        <f t="shared" ref="S87" si="413">R87/100000</f>
        <v>7.2803098941537634</v>
      </c>
      <c r="T87">
        <f t="shared" ref="T87" si="414">S87/1000</f>
        <v>7.2803098941537636E-3</v>
      </c>
    </row>
    <row r="88" spans="1:20" x14ac:dyDescent="0.25">
      <c r="A88" s="5">
        <v>44505</v>
      </c>
      <c r="B88">
        <v>107.6</v>
      </c>
      <c r="C88">
        <v>108.3</v>
      </c>
      <c r="D88">
        <v>102.6</v>
      </c>
      <c r="E88">
        <v>104.2</v>
      </c>
      <c r="F88">
        <v>13592.281000000001</v>
      </c>
      <c r="G88">
        <v>104.2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-0.43859649122806749</v>
      </c>
      <c r="Q88">
        <f t="shared" ref="Q88" si="416">F88*P88</f>
        <v>-5961.5267543859291</v>
      </c>
      <c r="R88">
        <f t="shared" ref="R88" si="417">R89+Q88</f>
        <v>720218.46962590259</v>
      </c>
      <c r="S88">
        <f t="shared" ref="S88" si="418">R88/100000</f>
        <v>7.2021846962590264</v>
      </c>
      <c r="T88">
        <f t="shared" ref="T88" si="419">S88/1000</f>
        <v>7.2021846962590265E-3</v>
      </c>
    </row>
    <row r="89" spans="1:20" x14ac:dyDescent="0.25">
      <c r="A89" s="5">
        <v>44504</v>
      </c>
      <c r="B89">
        <v>111.6</v>
      </c>
      <c r="C89">
        <v>111.9</v>
      </c>
      <c r="D89">
        <v>106.1</v>
      </c>
      <c r="E89">
        <v>107.6</v>
      </c>
      <c r="F89">
        <v>11991.712</v>
      </c>
      <c r="G89">
        <v>107.6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-0.48275862068965619</v>
      </c>
      <c r="Q89">
        <f t="shared" ref="Q89" si="421">F89*P89</f>
        <v>-5789.1023448275982</v>
      </c>
      <c r="R89">
        <f t="shared" ref="R89" si="422">R90+Q89</f>
        <v>726179.9963802885</v>
      </c>
      <c r="S89">
        <f t="shared" ref="S89" si="423">R89/100000</f>
        <v>7.2617999638028854</v>
      </c>
      <c r="T89">
        <f t="shared" ref="T89" si="424">S89/1000</f>
        <v>7.2617999638028858E-3</v>
      </c>
    </row>
    <row r="90" spans="1:20" x14ac:dyDescent="0.25">
      <c r="A90" s="5">
        <v>44503</v>
      </c>
      <c r="B90">
        <v>113.4</v>
      </c>
      <c r="C90">
        <v>116.9</v>
      </c>
      <c r="D90">
        <v>109.1</v>
      </c>
      <c r="E90">
        <v>111.7</v>
      </c>
      <c r="F90">
        <v>16571.841</v>
      </c>
      <c r="G90">
        <v>111.7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-0.33333333333333209</v>
      </c>
      <c r="Q90">
        <f t="shared" ref="Q90" si="426">F90*P90</f>
        <v>-5523.9469999999792</v>
      </c>
      <c r="R90">
        <f t="shared" ref="R90" si="427">R91+Q90</f>
        <v>731969.09872511611</v>
      </c>
      <c r="S90">
        <f t="shared" ref="S90" si="428">R90/100000</f>
        <v>7.3196909872511613</v>
      </c>
      <c r="T90">
        <f t="shared" ref="T90" si="429">S90/1000</f>
        <v>7.3196909872511613E-3</v>
      </c>
    </row>
    <row r="91" spans="1:20" x14ac:dyDescent="0.25">
      <c r="A91" s="5">
        <v>44502</v>
      </c>
      <c r="B91">
        <v>112</v>
      </c>
      <c r="C91">
        <v>114.7</v>
      </c>
      <c r="D91">
        <v>110.9</v>
      </c>
      <c r="E91">
        <v>113.3</v>
      </c>
      <c r="F91">
        <v>9017.4519999999993</v>
      </c>
      <c r="G91">
        <v>113.3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0.26315789473683854</v>
      </c>
      <c r="Q91">
        <f t="shared" ref="Q91" si="431">F91*P91</f>
        <v>2373.0136842104939</v>
      </c>
      <c r="R91">
        <f t="shared" ref="R91" si="432">R92+Q91</f>
        <v>737493.04572511604</v>
      </c>
      <c r="S91">
        <f t="shared" ref="S91" si="433">R91/100000</f>
        <v>7.3749304572511605</v>
      </c>
      <c r="T91">
        <f t="shared" ref="T91" si="434">S91/1000</f>
        <v>7.3749304572511606E-3</v>
      </c>
    </row>
    <row r="92" spans="1:20" x14ac:dyDescent="0.25">
      <c r="A92" s="5">
        <v>44501</v>
      </c>
      <c r="B92">
        <v>114.8</v>
      </c>
      <c r="C92">
        <v>118.1</v>
      </c>
      <c r="D92">
        <v>110.1</v>
      </c>
      <c r="E92">
        <v>111.9</v>
      </c>
      <c r="F92">
        <v>15520.26</v>
      </c>
      <c r="G92">
        <v>111.9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-0.54999999999999716</v>
      </c>
      <c r="Q92">
        <f t="shared" ref="Q92" si="436">F92*P92</f>
        <v>-8536.1429999999564</v>
      </c>
      <c r="R92">
        <f t="shared" ref="R92" si="437">R93+Q92</f>
        <v>735120.03204090556</v>
      </c>
      <c r="S92">
        <f t="shared" ref="S92" si="438">R92/100000</f>
        <v>7.3512003204090552</v>
      </c>
      <c r="T92">
        <f t="shared" ref="T92" si="439">S92/1000</f>
        <v>7.3512003204090556E-3</v>
      </c>
    </row>
    <row r="93" spans="1:20" x14ac:dyDescent="0.25">
      <c r="A93" s="5">
        <v>44500</v>
      </c>
      <c r="B93">
        <v>116.4</v>
      </c>
      <c r="C93">
        <v>116.7</v>
      </c>
      <c r="D93">
        <v>105.5</v>
      </c>
      <c r="E93">
        <v>114.6</v>
      </c>
      <c r="F93">
        <v>11159.868</v>
      </c>
      <c r="G93">
        <v>114.6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0.62499999999999856</v>
      </c>
      <c r="Q93">
        <f t="shared" ref="Q93" si="441">F93*P93</f>
        <v>6974.9174999999841</v>
      </c>
      <c r="R93">
        <f t="shared" ref="R93" si="442">R94+Q93</f>
        <v>743656.17504090548</v>
      </c>
      <c r="S93">
        <f t="shared" ref="S93" si="443">R93/100000</f>
        <v>7.4365617504090551</v>
      </c>
      <c r="T93">
        <f t="shared" ref="T93" si="444">S93/1000</f>
        <v>7.4365617504090547E-3</v>
      </c>
    </row>
    <row r="94" spans="1:20" x14ac:dyDescent="0.25">
      <c r="A94" s="5">
        <v>44499</v>
      </c>
      <c r="B94">
        <v>116.9</v>
      </c>
      <c r="C94">
        <v>118.9</v>
      </c>
      <c r="D94">
        <v>113.5</v>
      </c>
      <c r="E94">
        <v>116.4</v>
      </c>
      <c r="F94">
        <v>7262.2160000000003</v>
      </c>
      <c r="G94">
        <v>116.4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7.4074074074075055E-2</v>
      </c>
      <c r="Q94">
        <f t="shared" ref="Q94" si="446">F94*P94</f>
        <v>537.94192592593311</v>
      </c>
      <c r="R94">
        <f t="shared" ref="R94" si="447">R95+Q94</f>
        <v>736681.2575409055</v>
      </c>
      <c r="S94">
        <f t="shared" ref="S94" si="448">R94/100000</f>
        <v>7.366812575409055</v>
      </c>
      <c r="T94">
        <f t="shared" ref="T94" si="449">S94/1000</f>
        <v>7.366812575409055E-3</v>
      </c>
    </row>
    <row r="95" spans="1:20" x14ac:dyDescent="0.25">
      <c r="A95" s="5">
        <v>44498</v>
      </c>
      <c r="B95">
        <v>111.3</v>
      </c>
      <c r="C95">
        <v>118.8</v>
      </c>
      <c r="D95">
        <v>110.5</v>
      </c>
      <c r="E95">
        <v>117.1</v>
      </c>
      <c r="F95">
        <v>14475.922</v>
      </c>
      <c r="G95">
        <v>117.1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0.59036144578313166</v>
      </c>
      <c r="Q95">
        <f t="shared" ref="Q95" si="451">F95*P95</f>
        <v>8546.0262409638435</v>
      </c>
      <c r="R95">
        <f t="shared" ref="R95" si="452">R96+Q95</f>
        <v>736143.3156149796</v>
      </c>
      <c r="S95">
        <f t="shared" ref="S95" si="453">R95/100000</f>
        <v>7.3614331561497961</v>
      </c>
      <c r="T95">
        <f t="shared" ref="T95" si="454">S95/1000</f>
        <v>7.3614331561497959E-3</v>
      </c>
    </row>
    <row r="96" spans="1:20" x14ac:dyDescent="0.25">
      <c r="A96" s="5">
        <v>44497</v>
      </c>
      <c r="B96">
        <v>109.2</v>
      </c>
      <c r="C96">
        <v>117.1</v>
      </c>
      <c r="D96">
        <v>107.8</v>
      </c>
      <c r="E96">
        <v>111.3</v>
      </c>
      <c r="F96">
        <v>9405.4689999999991</v>
      </c>
      <c r="G96">
        <v>111.3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-0.24731182795698903</v>
      </c>
      <c r="Q96">
        <f t="shared" ref="Q96" si="456">F96*P96</f>
        <v>-2326.0837311827936</v>
      </c>
      <c r="R96">
        <f t="shared" ref="R96" si="457">R97+Q96</f>
        <v>727597.28937401576</v>
      </c>
      <c r="S96">
        <f t="shared" ref="S96" si="458">R96/100000</f>
        <v>7.2759728937401578</v>
      </c>
      <c r="T96">
        <f t="shared" ref="T96" si="459">S96/1000</f>
        <v>7.2759728937401577E-3</v>
      </c>
    </row>
    <row r="97" spans="1:20" x14ac:dyDescent="0.25">
      <c r="A97" s="5">
        <v>44496</v>
      </c>
      <c r="B97">
        <v>119.5</v>
      </c>
      <c r="C97">
        <v>122.1</v>
      </c>
      <c r="D97">
        <v>108.5</v>
      </c>
      <c r="E97">
        <v>109.4</v>
      </c>
      <c r="F97">
        <v>10843.781000000001</v>
      </c>
      <c r="G97">
        <v>109.4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-0.86764705882352855</v>
      </c>
      <c r="Q97">
        <f t="shared" ref="Q97" si="461">F97*P97</f>
        <v>-9408.5746911764618</v>
      </c>
      <c r="R97">
        <f t="shared" ref="R97" si="462">R98+Q97</f>
        <v>729923.37310519861</v>
      </c>
      <c r="S97">
        <f t="shared" ref="S97" si="463">R97/100000</f>
        <v>7.2992337310519861</v>
      </c>
      <c r="T97">
        <f t="shared" ref="T97" si="464">S97/1000</f>
        <v>7.2992337310519859E-3</v>
      </c>
    </row>
    <row r="98" spans="1:20" x14ac:dyDescent="0.25">
      <c r="A98" s="5">
        <v>44495</v>
      </c>
      <c r="B98">
        <v>125.5</v>
      </c>
      <c r="C98">
        <v>125.7</v>
      </c>
      <c r="D98">
        <v>114.6</v>
      </c>
      <c r="E98">
        <v>119.5</v>
      </c>
      <c r="F98">
        <v>21309.475999999999</v>
      </c>
      <c r="G98">
        <v>119.5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-0.11711711711711677</v>
      </c>
      <c r="Q98">
        <f t="shared" ref="Q98" si="466">F98*P98</f>
        <v>-2495.7043963963888</v>
      </c>
      <c r="R98">
        <f t="shared" ref="R98" si="467">R99+Q98</f>
        <v>739331.94779637503</v>
      </c>
      <c r="S98">
        <f t="shared" ref="S98" si="468">R98/100000</f>
        <v>7.3933194779637503</v>
      </c>
      <c r="T98">
        <f t="shared" ref="T98" si="469">S98/1000</f>
        <v>7.3933194779637499E-3</v>
      </c>
    </row>
    <row r="99" spans="1:20" x14ac:dyDescent="0.25">
      <c r="A99" s="5">
        <v>44494</v>
      </c>
      <c r="B99">
        <v>122.4</v>
      </c>
      <c r="C99">
        <v>127.1</v>
      </c>
      <c r="D99">
        <v>121.9</v>
      </c>
      <c r="E99">
        <v>125.4</v>
      </c>
      <c r="F99">
        <v>8937.7450000000008</v>
      </c>
      <c r="G99">
        <v>125.4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0.34615384615384909</v>
      </c>
      <c r="Q99">
        <f t="shared" ref="Q99" si="471">F99*P99</f>
        <v>3093.8348076923344</v>
      </c>
      <c r="R99">
        <f t="shared" ref="R99" si="472">R100+Q99</f>
        <v>741827.65219277143</v>
      </c>
      <c r="S99">
        <f t="shared" ref="S99" si="473">R99/100000</f>
        <v>7.418276521927714</v>
      </c>
      <c r="T99">
        <f t="shared" ref="T99" si="474">S99/1000</f>
        <v>7.4182765219277143E-3</v>
      </c>
    </row>
    <row r="100" spans="1:20" x14ac:dyDescent="0.25">
      <c r="A100" s="5">
        <v>44493</v>
      </c>
      <c r="B100">
        <v>131.5</v>
      </c>
      <c r="C100">
        <v>131.9</v>
      </c>
      <c r="D100">
        <v>121.1</v>
      </c>
      <c r="E100">
        <v>122.5</v>
      </c>
      <c r="F100">
        <v>11475.654</v>
      </c>
      <c r="G100">
        <v>122.5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-0.74074074074073992</v>
      </c>
      <c r="Q100">
        <f t="shared" ref="Q100" si="476">F100*P100</f>
        <v>-8500.4844444444352</v>
      </c>
      <c r="R100">
        <f t="shared" ref="R100" si="477">R101+Q100</f>
        <v>738733.81738507911</v>
      </c>
      <c r="S100">
        <f t="shared" ref="S100" si="478">R100/100000</f>
        <v>7.3873381738507913</v>
      </c>
      <c r="T100">
        <f t="shared" ref="T100" si="479">S100/1000</f>
        <v>7.3873381738507916E-3</v>
      </c>
    </row>
    <row r="101" spans="1:20" x14ac:dyDescent="0.25">
      <c r="A101" s="5">
        <v>44492</v>
      </c>
      <c r="B101">
        <v>122.5</v>
      </c>
      <c r="C101">
        <v>132.4</v>
      </c>
      <c r="D101">
        <v>120.7</v>
      </c>
      <c r="E101">
        <v>131.4</v>
      </c>
      <c r="F101">
        <v>10920.977999999999</v>
      </c>
      <c r="G101">
        <v>131.4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0.82905982905982911</v>
      </c>
      <c r="Q101">
        <f t="shared" ref="Q101" si="481">F101*P101</f>
        <v>9054.1441538461531</v>
      </c>
      <c r="R101">
        <f t="shared" ref="R101" si="482">R102+Q101</f>
        <v>747234.30182952352</v>
      </c>
      <c r="S101">
        <f t="shared" ref="S101" si="483">R101/100000</f>
        <v>7.4723430182952351</v>
      </c>
      <c r="T101">
        <f t="shared" ref="T101" si="484">S101/1000</f>
        <v>7.4723430182952353E-3</v>
      </c>
    </row>
    <row r="102" spans="1:20" x14ac:dyDescent="0.25">
      <c r="A102" s="5">
        <v>44491</v>
      </c>
      <c r="B102">
        <v>123.3</v>
      </c>
      <c r="C102">
        <v>127.6</v>
      </c>
      <c r="D102">
        <v>121.2</v>
      </c>
      <c r="E102">
        <v>122.7</v>
      </c>
      <c r="F102">
        <v>11145.32</v>
      </c>
      <c r="G102">
        <v>122.7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-0.53124999999999933</v>
      </c>
      <c r="Q102">
        <f t="shared" ref="Q102" si="486">F102*P102</f>
        <v>-5920.9512499999928</v>
      </c>
      <c r="R102">
        <f t="shared" ref="R102" si="487">R103+Q102</f>
        <v>738180.15767567733</v>
      </c>
      <c r="S102">
        <f t="shared" ref="S102" si="488">R102/100000</f>
        <v>7.3818015767567733</v>
      </c>
      <c r="T102">
        <f t="shared" ref="T102" si="489">S102/1000</f>
        <v>7.3818015767567729E-3</v>
      </c>
    </row>
    <row r="103" spans="1:20" x14ac:dyDescent="0.25">
      <c r="A103" s="5">
        <v>44490</v>
      </c>
      <c r="B103">
        <v>126.4</v>
      </c>
      <c r="C103">
        <v>127.9</v>
      </c>
      <c r="D103">
        <v>118.6</v>
      </c>
      <c r="E103">
        <v>123.3</v>
      </c>
      <c r="F103">
        <v>17517.738000000001</v>
      </c>
      <c r="G103">
        <v>123.3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1.0752688172042387E-2</v>
      </c>
      <c r="Q103">
        <f t="shared" ref="Q103" si="491">F103*P103</f>
        <v>188.36277419353746</v>
      </c>
      <c r="R103">
        <f t="shared" ref="R103" si="492">R104+Q103</f>
        <v>744101.10892567737</v>
      </c>
      <c r="S103">
        <f t="shared" ref="S103" si="493">R103/100000</f>
        <v>7.441011089256774</v>
      </c>
      <c r="T103">
        <f t="shared" ref="T103" si="494">S103/1000</f>
        <v>7.4410110892567738E-3</v>
      </c>
    </row>
    <row r="104" spans="1:20" x14ac:dyDescent="0.25">
      <c r="A104" s="5">
        <v>44489</v>
      </c>
      <c r="B104">
        <v>123.1</v>
      </c>
      <c r="C104">
        <v>128.4</v>
      </c>
      <c r="D104">
        <v>120.5</v>
      </c>
      <c r="E104">
        <v>126.5</v>
      </c>
      <c r="F104">
        <v>10484.445</v>
      </c>
      <c r="G104">
        <v>126.5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0.51898734177215078</v>
      </c>
      <c r="Q104">
        <f t="shared" ref="Q104" si="496">F104*P104</f>
        <v>5441.2942405063168</v>
      </c>
      <c r="R104">
        <f t="shared" ref="R104" si="497">R105+Q104</f>
        <v>743912.74615148385</v>
      </c>
      <c r="S104">
        <f t="shared" ref="S104" si="498">R104/100000</f>
        <v>7.4391274615148388</v>
      </c>
      <c r="T104">
        <f t="shared" ref="T104" si="499">S104/1000</f>
        <v>7.4391274615148387E-3</v>
      </c>
    </row>
    <row r="105" spans="1:20" x14ac:dyDescent="0.25">
      <c r="A105" s="5">
        <v>44488</v>
      </c>
      <c r="B105">
        <v>117</v>
      </c>
      <c r="C105">
        <v>124.2</v>
      </c>
      <c r="D105">
        <v>115.6</v>
      </c>
      <c r="E105">
        <v>123.2</v>
      </c>
      <c r="F105">
        <v>14187.227999999999</v>
      </c>
      <c r="G105">
        <v>123.2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0.76744186046511653</v>
      </c>
      <c r="Q105">
        <f t="shared" ref="Q105" si="501">F105*P105</f>
        <v>10887.872651162794</v>
      </c>
      <c r="R105">
        <f t="shared" ref="R105" si="502">R106+Q105</f>
        <v>738471.45191097748</v>
      </c>
      <c r="S105">
        <f t="shared" ref="S105" si="503">R105/100000</f>
        <v>7.3847145191097745</v>
      </c>
      <c r="T105">
        <f t="shared" ref="T105" si="504">S105/1000</f>
        <v>7.3847145191097748E-3</v>
      </c>
    </row>
    <row r="106" spans="1:20" x14ac:dyDescent="0.25">
      <c r="A106" s="5">
        <v>44487</v>
      </c>
      <c r="B106">
        <v>116.9</v>
      </c>
      <c r="C106">
        <v>118.9</v>
      </c>
      <c r="D106">
        <v>113.4</v>
      </c>
      <c r="E106">
        <v>117.3</v>
      </c>
      <c r="F106">
        <v>6907.9319999999998</v>
      </c>
      <c r="G106">
        <v>117.3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0.4181818181818151</v>
      </c>
      <c r="Q106">
        <f t="shared" ref="Q106" si="506">F106*P106</f>
        <v>2888.7715636363423</v>
      </c>
      <c r="R106">
        <f t="shared" ref="R106" si="507">R107+Q106</f>
        <v>727583.57925981469</v>
      </c>
      <c r="S106">
        <f t="shared" ref="S106" si="508">R106/100000</f>
        <v>7.2758357925981469</v>
      </c>
      <c r="T106">
        <f t="shared" ref="T106" si="509">S106/1000</f>
        <v>7.2758357925981473E-3</v>
      </c>
    </row>
    <row r="107" spans="1:20" x14ac:dyDescent="0.25">
      <c r="A107" s="5">
        <v>44486</v>
      </c>
      <c r="B107">
        <v>118</v>
      </c>
      <c r="C107">
        <v>119.9</v>
      </c>
      <c r="D107">
        <v>113.5</v>
      </c>
      <c r="E107">
        <v>117.1</v>
      </c>
      <c r="F107">
        <v>8121.8209999999999</v>
      </c>
      <c r="G107">
        <v>117.1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0.12499999999999722</v>
      </c>
      <c r="Q107">
        <f t="shared" ref="Q107" si="511">F107*P107</f>
        <v>1015.2276249999775</v>
      </c>
      <c r="R107">
        <f t="shared" ref="R107" si="512">R108+Q107</f>
        <v>724694.80769617832</v>
      </c>
      <c r="S107">
        <f t="shared" ref="S107" si="513">R107/100000</f>
        <v>7.2469480769617833</v>
      </c>
      <c r="T107">
        <f t="shared" ref="T107" si="514">S107/1000</f>
        <v>7.2469480769617838E-3</v>
      </c>
    </row>
    <row r="108" spans="1:20" x14ac:dyDescent="0.25">
      <c r="A108" s="5">
        <v>44485</v>
      </c>
      <c r="B108">
        <v>121</v>
      </c>
      <c r="C108">
        <v>122.9</v>
      </c>
      <c r="D108">
        <v>117.5</v>
      </c>
      <c r="E108">
        <v>118</v>
      </c>
      <c r="F108">
        <v>6818.9679999999998</v>
      </c>
      <c r="G108">
        <v>118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-0.81481481481481499</v>
      </c>
      <c r="Q108">
        <f t="shared" ref="Q108" si="516">F108*P108</f>
        <v>-5556.1961481481494</v>
      </c>
      <c r="R108">
        <f t="shared" ref="R108" si="517">R109+Q108</f>
        <v>723679.58007117838</v>
      </c>
      <c r="S108">
        <f t="shared" ref="S108" si="518">R108/100000</f>
        <v>7.2367958007117839</v>
      </c>
      <c r="T108">
        <f t="shared" ref="T108" si="519">S108/1000</f>
        <v>7.2367958007117841E-3</v>
      </c>
    </row>
    <row r="109" spans="1:20" x14ac:dyDescent="0.25">
      <c r="A109" s="5">
        <v>44484</v>
      </c>
      <c r="B109">
        <v>123.3</v>
      </c>
      <c r="C109">
        <v>125.7</v>
      </c>
      <c r="D109">
        <v>119.6</v>
      </c>
      <c r="E109">
        <v>120.9</v>
      </c>
      <c r="F109">
        <v>8745.6990000000005</v>
      </c>
      <c r="G109">
        <v>120.9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-0.57377049180327555</v>
      </c>
      <c r="Q109">
        <f t="shared" ref="Q109" si="521">F109*P109</f>
        <v>-5018.0240163934159</v>
      </c>
      <c r="R109">
        <f t="shared" ref="R109" si="522">R110+Q109</f>
        <v>729235.77621932654</v>
      </c>
      <c r="S109">
        <f t="shared" ref="S109" si="523">R109/100000</f>
        <v>7.2923577621932658</v>
      </c>
      <c r="T109">
        <f t="shared" ref="T109" si="524">S109/1000</f>
        <v>7.2923577621932661E-3</v>
      </c>
    </row>
    <row r="110" spans="1:20" x14ac:dyDescent="0.25">
      <c r="A110" s="5">
        <v>44483</v>
      </c>
      <c r="B110">
        <v>124.9</v>
      </c>
      <c r="C110">
        <v>126.8</v>
      </c>
      <c r="D110">
        <v>122.2</v>
      </c>
      <c r="E110">
        <v>123.3</v>
      </c>
      <c r="F110">
        <v>5349.2269999999999</v>
      </c>
      <c r="G110">
        <v>123.3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-0.52173913043478448</v>
      </c>
      <c r="Q110">
        <f t="shared" ref="Q110" si="526">F110*P110</f>
        <v>-2790.9010434782708</v>
      </c>
      <c r="R110">
        <f t="shared" ref="R110" si="527">R111+Q110</f>
        <v>734253.80023572</v>
      </c>
      <c r="S110">
        <f t="shared" ref="S110" si="528">R110/100000</f>
        <v>7.3425380023572</v>
      </c>
      <c r="T110">
        <f t="shared" ref="T110" si="529">S110/1000</f>
        <v>7.3425380023572004E-3</v>
      </c>
    </row>
    <row r="111" spans="1:20" x14ac:dyDescent="0.25">
      <c r="A111" s="5">
        <v>44482</v>
      </c>
      <c r="B111">
        <v>125.9</v>
      </c>
      <c r="C111">
        <v>127</v>
      </c>
      <c r="D111">
        <v>120</v>
      </c>
      <c r="E111">
        <v>124.9</v>
      </c>
      <c r="F111">
        <v>8037.79</v>
      </c>
      <c r="G111">
        <v>124.9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0.40000000000000163</v>
      </c>
      <c r="Q111">
        <f t="shared" ref="Q111" si="531">F111*P111</f>
        <v>3215.1160000000132</v>
      </c>
      <c r="R111">
        <f t="shared" ref="R111" si="532">R112+Q111</f>
        <v>737044.70127919829</v>
      </c>
      <c r="S111">
        <f t="shared" ref="S111" si="533">R111/100000</f>
        <v>7.370447012791983</v>
      </c>
      <c r="T111">
        <f t="shared" ref="T111" si="534">S111/1000</f>
        <v>7.3704470127919832E-3</v>
      </c>
    </row>
    <row r="112" spans="1:20" x14ac:dyDescent="0.25">
      <c r="A112" s="5">
        <v>44481</v>
      </c>
      <c r="B112">
        <v>130.4</v>
      </c>
      <c r="C112">
        <v>130.5</v>
      </c>
      <c r="D112">
        <v>121.2</v>
      </c>
      <c r="E112">
        <v>126.4</v>
      </c>
      <c r="F112">
        <v>10414.290000000001</v>
      </c>
      <c r="G112">
        <v>126.4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0.11827956989247407</v>
      </c>
      <c r="Q112">
        <f t="shared" ref="Q112" si="536">F112*P112</f>
        <v>1231.7977419354938</v>
      </c>
      <c r="R112">
        <f t="shared" ref="R112" si="537">R113+Q112</f>
        <v>733829.58527919825</v>
      </c>
      <c r="S112">
        <f t="shared" ref="S112" si="538">R112/100000</f>
        <v>7.3382958527919824</v>
      </c>
      <c r="T112">
        <f t="shared" ref="T112" si="539">S112/1000</f>
        <v>7.3382958527919828E-3</v>
      </c>
    </row>
    <row r="113" spans="1:20" x14ac:dyDescent="0.25">
      <c r="A113" s="5">
        <v>44480</v>
      </c>
      <c r="B113">
        <v>137.1</v>
      </c>
      <c r="C113">
        <v>141.19999999999999</v>
      </c>
      <c r="D113">
        <v>128.9</v>
      </c>
      <c r="E113">
        <v>130.5</v>
      </c>
      <c r="F113">
        <v>16198.436</v>
      </c>
      <c r="G113">
        <v>130.5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-0.73983739837398432</v>
      </c>
      <c r="Q113">
        <f t="shared" ref="Q113" si="541">F113*P113</f>
        <v>-11984.208747967488</v>
      </c>
      <c r="R113">
        <f t="shared" ref="R113" si="542">R114+Q113</f>
        <v>732597.78753726278</v>
      </c>
      <c r="S113">
        <f t="shared" ref="S113" si="543">R113/100000</f>
        <v>7.3259778753726277</v>
      </c>
      <c r="T113">
        <f t="shared" ref="T113" si="544">S113/1000</f>
        <v>7.3259778753726277E-3</v>
      </c>
    </row>
    <row r="114" spans="1:20" x14ac:dyDescent="0.25">
      <c r="A114" s="5">
        <v>44479</v>
      </c>
      <c r="B114">
        <v>132.6</v>
      </c>
      <c r="C114">
        <v>139.69999999999999</v>
      </c>
      <c r="D114">
        <v>130.69999999999999</v>
      </c>
      <c r="E114">
        <v>137.1</v>
      </c>
      <c r="F114">
        <v>12078.207</v>
      </c>
      <c r="G114">
        <v>137.1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0.4222222222222235</v>
      </c>
      <c r="Q114">
        <f t="shared" ref="Q114" si="546">F114*P114</f>
        <v>5099.6874000000153</v>
      </c>
      <c r="R114">
        <f t="shared" ref="R114" si="547">R115+Q114</f>
        <v>744581.99628523027</v>
      </c>
      <c r="S114">
        <f t="shared" ref="S114" si="548">R114/100000</f>
        <v>7.445819962852303</v>
      </c>
      <c r="T114">
        <f t="shared" ref="T114" si="549">S114/1000</f>
        <v>7.4458199628523033E-3</v>
      </c>
    </row>
    <row r="115" spans="1:20" x14ac:dyDescent="0.25">
      <c r="A115" s="5">
        <v>44478</v>
      </c>
      <c r="B115">
        <v>126.6</v>
      </c>
      <c r="C115">
        <v>133.4</v>
      </c>
      <c r="D115">
        <v>126.1</v>
      </c>
      <c r="E115">
        <v>132.30000000000001</v>
      </c>
      <c r="F115">
        <v>6232.6670000000004</v>
      </c>
      <c r="G115">
        <v>132.30000000000001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0.69863013698630338</v>
      </c>
      <c r="Q115">
        <f t="shared" ref="Q115" si="551">F115*P115</f>
        <v>4354.3290000000125</v>
      </c>
      <c r="R115">
        <f t="shared" ref="R115" si="552">R116+Q115</f>
        <v>739482.30888523022</v>
      </c>
      <c r="S115">
        <f t="shared" ref="S115" si="553">R115/100000</f>
        <v>7.3948230888523021</v>
      </c>
      <c r="T115">
        <f t="shared" ref="T115" si="554">S115/1000</f>
        <v>7.3948230888523023E-3</v>
      </c>
    </row>
    <row r="116" spans="1:20" x14ac:dyDescent="0.25">
      <c r="A116" s="5">
        <v>44477</v>
      </c>
      <c r="B116">
        <v>126</v>
      </c>
      <c r="C116">
        <v>129.4</v>
      </c>
      <c r="D116">
        <v>124.2</v>
      </c>
      <c r="E116">
        <v>126.4</v>
      </c>
      <c r="F116">
        <v>5197.982</v>
      </c>
      <c r="G116">
        <v>126.4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-0.15384615384615322</v>
      </c>
      <c r="Q116">
        <f t="shared" ref="Q116" si="556">F116*P116</f>
        <v>-799.68953846153522</v>
      </c>
      <c r="R116">
        <f t="shared" ref="R116" si="557">R117+Q116</f>
        <v>735127.97988523019</v>
      </c>
      <c r="S116">
        <f t="shared" ref="S116" si="558">R116/100000</f>
        <v>7.3512797988523015</v>
      </c>
      <c r="T116">
        <f t="shared" ref="T116" si="559">S116/1000</f>
        <v>7.3512797988523016E-3</v>
      </c>
    </row>
    <row r="117" spans="1:20" x14ac:dyDescent="0.25">
      <c r="A117" s="5">
        <v>44476</v>
      </c>
      <c r="B117">
        <v>128.4</v>
      </c>
      <c r="C117">
        <v>129</v>
      </c>
      <c r="D117">
        <v>122.6</v>
      </c>
      <c r="E117">
        <v>126</v>
      </c>
      <c r="F117">
        <v>8115.57</v>
      </c>
      <c r="G117">
        <v>126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6.2500000000000833E-2</v>
      </c>
      <c r="Q117">
        <f t="shared" ref="Q117" si="561">F117*P117</f>
        <v>507.22312500000675</v>
      </c>
      <c r="R117">
        <f t="shared" ref="R117" si="562">R118+Q117</f>
        <v>735927.6694236917</v>
      </c>
      <c r="S117">
        <f t="shared" ref="S117" si="563">R117/100000</f>
        <v>7.3592766942369172</v>
      </c>
      <c r="T117">
        <f t="shared" ref="T117" si="564">S117/1000</f>
        <v>7.3592766942369176E-3</v>
      </c>
    </row>
    <row r="118" spans="1:20" x14ac:dyDescent="0.25">
      <c r="A118" s="5">
        <v>44475</v>
      </c>
      <c r="B118">
        <v>125.5</v>
      </c>
      <c r="C118">
        <v>129.80000000000001</v>
      </c>
      <c r="D118">
        <v>117.6</v>
      </c>
      <c r="E118">
        <v>128.19999999999999</v>
      </c>
      <c r="F118">
        <v>10563.312</v>
      </c>
      <c r="G118">
        <v>128.19999999999999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0.73770491803278349</v>
      </c>
      <c r="Q118">
        <f t="shared" ref="Q118" si="566">F118*P118</f>
        <v>7792.6072131147184</v>
      </c>
      <c r="R118">
        <f t="shared" ref="R118" si="567">R119+Q118</f>
        <v>735420.44629869168</v>
      </c>
      <c r="S118">
        <f t="shared" ref="S118" si="568">R118/100000</f>
        <v>7.3542044629869165</v>
      </c>
      <c r="T118">
        <f t="shared" ref="T118" si="569">S118/1000</f>
        <v>7.3542044629869166E-3</v>
      </c>
    </row>
    <row r="119" spans="1:20" x14ac:dyDescent="0.25">
      <c r="A119" s="5">
        <v>44474</v>
      </c>
      <c r="B119">
        <v>126.3</v>
      </c>
      <c r="C119">
        <v>127.8</v>
      </c>
      <c r="D119">
        <v>122.3</v>
      </c>
      <c r="E119">
        <v>125.4</v>
      </c>
      <c r="F119">
        <v>11361.880999999999</v>
      </c>
      <c r="G119">
        <v>125.4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0.12727272727273037</v>
      </c>
      <c r="Q119">
        <f t="shared" ref="Q119" si="571">F119*P119</f>
        <v>1446.0575818182169</v>
      </c>
      <c r="R119">
        <f t="shared" ref="R119" si="572">R120+Q119</f>
        <v>727627.83908557694</v>
      </c>
      <c r="S119">
        <f t="shared" ref="S119" si="573">R119/100000</f>
        <v>7.2762783908557696</v>
      </c>
      <c r="T119">
        <f t="shared" ref="T119" si="574">S119/1000</f>
        <v>7.2762783908557694E-3</v>
      </c>
    </row>
    <row r="120" spans="1:20" x14ac:dyDescent="0.25">
      <c r="A120" s="5">
        <v>44473</v>
      </c>
      <c r="B120">
        <v>118.5</v>
      </c>
      <c r="C120">
        <v>127.2</v>
      </c>
      <c r="D120">
        <v>115.8</v>
      </c>
      <c r="E120">
        <v>126.7</v>
      </c>
      <c r="F120">
        <v>10871.811</v>
      </c>
      <c r="G120">
        <v>126.7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0.91228070175438603</v>
      </c>
      <c r="Q120">
        <f t="shared" ref="Q120" si="576">F120*P120</f>
        <v>9918.1433684210533</v>
      </c>
      <c r="R120">
        <f t="shared" ref="R120" si="577">R121+Q120</f>
        <v>726181.78150375874</v>
      </c>
      <c r="S120">
        <f t="shared" ref="S120" si="578">R120/100000</f>
        <v>7.2618178150375874</v>
      </c>
      <c r="T120">
        <f t="shared" ref="T120" si="579">S120/1000</f>
        <v>7.2618178150375872E-3</v>
      </c>
    </row>
    <row r="121" spans="1:20" x14ac:dyDescent="0.25">
      <c r="A121" s="5">
        <v>44472</v>
      </c>
      <c r="B121">
        <v>114.8</v>
      </c>
      <c r="C121">
        <v>120</v>
      </c>
      <c r="D121">
        <v>113.7</v>
      </c>
      <c r="E121">
        <v>118.8</v>
      </c>
      <c r="F121">
        <v>7537.8180000000002</v>
      </c>
      <c r="G121">
        <v>118.8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0.61904761904761796</v>
      </c>
      <c r="Q121">
        <f t="shared" ref="Q121" si="581">F121*P121</f>
        <v>4666.2682857142772</v>
      </c>
      <c r="R121">
        <f t="shared" ref="R121" si="582">R122+Q121</f>
        <v>716263.63813533774</v>
      </c>
      <c r="S121">
        <f t="shared" ref="S121" si="583">R121/100000</f>
        <v>7.1626363813533773</v>
      </c>
      <c r="T121">
        <f t="shared" ref="T121" si="584">S121/1000</f>
        <v>7.1626363813533777E-3</v>
      </c>
    </row>
    <row r="122" spans="1:20" x14ac:dyDescent="0.25">
      <c r="A122" s="5">
        <v>44471</v>
      </c>
      <c r="B122">
        <v>111.4</v>
      </c>
      <c r="C122">
        <v>116.3</v>
      </c>
      <c r="D122">
        <v>106.9</v>
      </c>
      <c r="E122">
        <v>115</v>
      </c>
      <c r="F122">
        <v>7563.1390000000001</v>
      </c>
      <c r="G122">
        <v>115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0.72340425531914931</v>
      </c>
      <c r="Q122">
        <f t="shared" ref="Q122" si="586">F122*P122</f>
        <v>5471.2069361702161</v>
      </c>
      <c r="R122">
        <f t="shared" ref="R122" si="587">R123+Q122</f>
        <v>711597.36984962341</v>
      </c>
      <c r="S122">
        <f t="shared" ref="S122" si="588">R122/100000</f>
        <v>7.1159736984962345</v>
      </c>
      <c r="T122">
        <f t="shared" ref="T122" si="589">S122/1000</f>
        <v>7.1159736984962342E-3</v>
      </c>
    </row>
    <row r="123" spans="1:20" x14ac:dyDescent="0.25">
      <c r="A123" s="5">
        <v>44470</v>
      </c>
      <c r="B123">
        <v>105.9</v>
      </c>
      <c r="C123">
        <v>113.1</v>
      </c>
      <c r="D123">
        <v>98.3</v>
      </c>
      <c r="E123">
        <v>111.4</v>
      </c>
      <c r="F123">
        <v>17364.011999999999</v>
      </c>
      <c r="G123">
        <v>111.4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0.77027027027027173</v>
      </c>
      <c r="Q123">
        <f t="shared" ref="Q123" si="591">F123*P123</f>
        <v>13374.98221621624</v>
      </c>
      <c r="R123">
        <f t="shared" ref="R123" si="592">R124+Q123</f>
        <v>706126.16291345318</v>
      </c>
      <c r="S123">
        <f t="shared" ref="S123" si="593">R123/100000</f>
        <v>7.061261629134532</v>
      </c>
      <c r="T123">
        <f t="shared" ref="T123" si="594">S123/1000</f>
        <v>7.0612616291345319E-3</v>
      </c>
    </row>
    <row r="124" spans="1:20" x14ac:dyDescent="0.25">
      <c r="A124" s="5">
        <v>44469</v>
      </c>
      <c r="B124">
        <v>100.5</v>
      </c>
      <c r="C124">
        <v>107.3</v>
      </c>
      <c r="D124">
        <v>100</v>
      </c>
      <c r="E124">
        <v>105.9</v>
      </c>
      <c r="F124">
        <v>10978.343999999999</v>
      </c>
      <c r="G124">
        <v>105.9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0.6164383561643858</v>
      </c>
      <c r="Q124">
        <f t="shared" ref="Q124" si="596">F124*P124</f>
        <v>6767.4723287671477</v>
      </c>
      <c r="R124">
        <f t="shared" ref="R124" si="597">R125+Q124</f>
        <v>692751.18069723691</v>
      </c>
      <c r="S124">
        <f t="shared" ref="S124" si="598">R124/100000</f>
        <v>6.9275118069723689</v>
      </c>
      <c r="T124">
        <f t="shared" ref="T124" si="599">S124/1000</f>
        <v>6.927511806972369E-3</v>
      </c>
    </row>
    <row r="125" spans="1:20" x14ac:dyDescent="0.25">
      <c r="A125" s="5">
        <v>44468</v>
      </c>
      <c r="B125">
        <v>96.2</v>
      </c>
      <c r="C125">
        <v>100.8</v>
      </c>
      <c r="D125">
        <v>95.5</v>
      </c>
      <c r="E125">
        <v>100.5</v>
      </c>
      <c r="F125">
        <v>11068.941999999999</v>
      </c>
      <c r="G125">
        <v>100.5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0.8867924528301897</v>
      </c>
      <c r="Q125">
        <f t="shared" ref="Q125" si="601">F125*P125</f>
        <v>9815.8542264151056</v>
      </c>
      <c r="R125">
        <f t="shared" ref="R125" si="602">R126+Q125</f>
        <v>685983.70836846973</v>
      </c>
      <c r="S125">
        <f t="shared" ref="S125" si="603">R125/100000</f>
        <v>6.8598370836846971</v>
      </c>
      <c r="T125">
        <f t="shared" ref="T125" si="604">S125/1000</f>
        <v>6.8598370836846969E-3</v>
      </c>
    </row>
    <row r="126" spans="1:20" x14ac:dyDescent="0.25">
      <c r="A126" s="5">
        <v>44467</v>
      </c>
      <c r="B126">
        <v>106.9</v>
      </c>
      <c r="C126">
        <v>109.7</v>
      </c>
      <c r="D126">
        <v>96</v>
      </c>
      <c r="E126">
        <v>96.2</v>
      </c>
      <c r="F126">
        <v>29465.550999999999</v>
      </c>
      <c r="G126">
        <v>96.2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-0.97080291970802879</v>
      </c>
      <c r="Q126">
        <f t="shared" ref="Q126" si="606">F126*P126</f>
        <v>-28605.242941605826</v>
      </c>
      <c r="R126">
        <f t="shared" ref="R126" si="607">R127+Q126</f>
        <v>676167.85414205457</v>
      </c>
      <c r="S126">
        <f t="shared" ref="S126" si="608">R126/100000</f>
        <v>6.7616785414205456</v>
      </c>
      <c r="T126">
        <f t="shared" ref="T126" si="609">S126/1000</f>
        <v>6.7616785414205457E-3</v>
      </c>
    </row>
    <row r="127" spans="1:20" x14ac:dyDescent="0.25">
      <c r="A127" s="5">
        <v>44466</v>
      </c>
      <c r="B127">
        <v>113</v>
      </c>
      <c r="C127">
        <v>116.3</v>
      </c>
      <c r="D127">
        <v>105.3</v>
      </c>
      <c r="E127">
        <v>106.9</v>
      </c>
      <c r="F127">
        <v>15935.749</v>
      </c>
      <c r="G127">
        <v>106.9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-0.70909090909090755</v>
      </c>
      <c r="Q127">
        <f t="shared" ref="Q127" si="611">F127*P127</f>
        <v>-11299.894745454521</v>
      </c>
      <c r="R127">
        <f t="shared" ref="R127" si="612">R128+Q127</f>
        <v>704773.09708366042</v>
      </c>
      <c r="S127">
        <f t="shared" ref="S127" si="613">R127/100000</f>
        <v>7.0477309708366045</v>
      </c>
      <c r="T127">
        <f t="shared" ref="T127" si="614">S127/1000</f>
        <v>7.0477309708366041E-3</v>
      </c>
    </row>
    <row r="128" spans="1:20" x14ac:dyDescent="0.25">
      <c r="A128" s="5">
        <v>44465</v>
      </c>
      <c r="B128">
        <v>115.4</v>
      </c>
      <c r="C128">
        <v>116</v>
      </c>
      <c r="D128">
        <v>107.4</v>
      </c>
      <c r="E128">
        <v>113.2</v>
      </c>
      <c r="F128">
        <v>8723.8940000000002</v>
      </c>
      <c r="G128">
        <v>113.2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0.34883720930232581</v>
      </c>
      <c r="Q128">
        <f t="shared" ref="Q128" si="616">F128*P128</f>
        <v>3043.2188372093046</v>
      </c>
      <c r="R128">
        <f t="shared" ref="R128" si="617">R129+Q128</f>
        <v>716072.99182911497</v>
      </c>
      <c r="S128">
        <f t="shared" ref="S128" si="618">R128/100000</f>
        <v>7.1607299182911497</v>
      </c>
      <c r="T128">
        <f t="shared" ref="T128" si="619">S128/1000</f>
        <v>7.1607299182911499E-3</v>
      </c>
    </row>
    <row r="129" spans="1:20" x14ac:dyDescent="0.25">
      <c r="A129" s="5">
        <v>44464</v>
      </c>
      <c r="B129">
        <v>116.8</v>
      </c>
      <c r="C129">
        <v>118.9</v>
      </c>
      <c r="D129">
        <v>114</v>
      </c>
      <c r="E129">
        <v>115.2</v>
      </c>
      <c r="F129">
        <v>8123.6509999999998</v>
      </c>
      <c r="G129">
        <v>115.2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-0.51020408163265252</v>
      </c>
      <c r="Q129">
        <f t="shared" ref="Q129" si="621">F129*P129</f>
        <v>-4144.7198979591794</v>
      </c>
      <c r="R129">
        <f t="shared" ref="R129" si="622">R130+Q129</f>
        <v>713029.77299190569</v>
      </c>
      <c r="S129">
        <f t="shared" ref="S129" si="623">R129/100000</f>
        <v>7.1302977299190573</v>
      </c>
      <c r="T129">
        <f t="shared" ref="T129" si="624">S129/1000</f>
        <v>7.1302977299190573E-3</v>
      </c>
    </row>
    <row r="130" spans="1:20" x14ac:dyDescent="0.25">
      <c r="A130" s="5">
        <v>44463</v>
      </c>
      <c r="B130">
        <v>120.4</v>
      </c>
      <c r="C130">
        <v>122.3</v>
      </c>
      <c r="D130">
        <v>109</v>
      </c>
      <c r="E130">
        <v>116.4</v>
      </c>
      <c r="F130">
        <v>10707.811</v>
      </c>
      <c r="G130">
        <v>116.4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0.11278195488721914</v>
      </c>
      <c r="Q130">
        <f t="shared" ref="Q130" si="626">F130*P130</f>
        <v>1207.6478571428688</v>
      </c>
      <c r="R130">
        <f t="shared" ref="R130" si="627">R131+Q130</f>
        <v>717174.49288986484</v>
      </c>
      <c r="S130">
        <f t="shared" ref="S130" si="628">R130/100000</f>
        <v>7.1717449288986481</v>
      </c>
      <c r="T130">
        <f t="shared" ref="T130" si="629">S130/1000</f>
        <v>7.171744928898648E-3</v>
      </c>
    </row>
    <row r="131" spans="1:20" x14ac:dyDescent="0.25">
      <c r="A131" s="5">
        <v>44462</v>
      </c>
      <c r="B131">
        <v>117.7</v>
      </c>
      <c r="C131">
        <v>125.8</v>
      </c>
      <c r="D131">
        <v>114.7</v>
      </c>
      <c r="E131">
        <v>120.3</v>
      </c>
      <c r="F131">
        <v>15723.71</v>
      </c>
      <c r="G131">
        <v>120.3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9.0090090090085007E-3</v>
      </c>
      <c r="Q131">
        <f t="shared" ref="Q131" si="631">F131*P131</f>
        <v>141.65504504503704</v>
      </c>
      <c r="R131">
        <f t="shared" ref="R131" si="632">R132+Q131</f>
        <v>715966.84503272199</v>
      </c>
      <c r="S131">
        <f t="shared" ref="S131" si="633">R131/100000</f>
        <v>7.1596684503272199</v>
      </c>
      <c r="T131">
        <f t="shared" ref="T131" si="634">S131/1000</f>
        <v>7.1596684503272201E-3</v>
      </c>
    </row>
    <row r="132" spans="1:20" x14ac:dyDescent="0.25">
      <c r="A132" s="5">
        <v>44461</v>
      </c>
      <c r="B132">
        <v>106.6</v>
      </c>
      <c r="C132">
        <v>117.9</v>
      </c>
      <c r="D132">
        <v>105.7</v>
      </c>
      <c r="E132">
        <v>117.4</v>
      </c>
      <c r="F132">
        <v>23451.726999999999</v>
      </c>
      <c r="G132">
        <v>117.4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0.91803278688524592</v>
      </c>
      <c r="Q132">
        <f t="shared" ref="Q132" si="636">F132*P132</f>
        <v>21529.454295081967</v>
      </c>
      <c r="R132">
        <f t="shared" ref="R132" si="637">R133+Q132</f>
        <v>715825.18998767692</v>
      </c>
      <c r="S132">
        <f t="shared" ref="S132" si="638">R132/100000</f>
        <v>7.1582518998767695</v>
      </c>
      <c r="T132">
        <f t="shared" ref="T132" si="639">S132/1000</f>
        <v>7.1582518998767695E-3</v>
      </c>
    </row>
    <row r="133" spans="1:20" x14ac:dyDescent="0.25">
      <c r="A133" s="5">
        <v>44460</v>
      </c>
      <c r="B133">
        <v>123.1</v>
      </c>
      <c r="C133">
        <v>123.1</v>
      </c>
      <c r="D133">
        <v>103.8</v>
      </c>
      <c r="E133">
        <v>106.6</v>
      </c>
      <c r="F133">
        <v>19857.917099999999</v>
      </c>
      <c r="G133">
        <v>106.6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-0.70984455958549253</v>
      </c>
      <c r="Q133">
        <f t="shared" ref="Q133" si="641">F133*P133</f>
        <v>-14096.034418134721</v>
      </c>
      <c r="R133">
        <f t="shared" ref="R133" si="642">R134+Q133</f>
        <v>694295.7356925949</v>
      </c>
      <c r="S133">
        <f t="shared" ref="S133" si="643">R133/100000</f>
        <v>6.9429573569259491</v>
      </c>
      <c r="T133">
        <f t="shared" ref="T133" si="644">S133/1000</f>
        <v>6.9429573569259493E-3</v>
      </c>
    </row>
    <row r="134" spans="1:20" x14ac:dyDescent="0.25">
      <c r="A134" s="5">
        <v>44459</v>
      </c>
      <c r="B134">
        <v>139.1</v>
      </c>
      <c r="C134">
        <v>139.6</v>
      </c>
      <c r="D134">
        <v>128.19999999999999</v>
      </c>
      <c r="E134">
        <v>130.30000000000001</v>
      </c>
      <c r="F134">
        <v>4213.4467999999997</v>
      </c>
      <c r="G134">
        <v>130.30000000000001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-0.63157894736841724</v>
      </c>
      <c r="Q134">
        <f t="shared" ref="Q134" si="646">F134*P134</f>
        <v>-2661.124294736826</v>
      </c>
      <c r="R134">
        <f t="shared" ref="R134" si="647">R135+Q134</f>
        <v>708391.77011072962</v>
      </c>
      <c r="S134">
        <f t="shared" ref="S134" si="648">R134/100000</f>
        <v>7.0839177011072962</v>
      </c>
      <c r="T134">
        <f t="shared" ref="T134" si="649">S134/1000</f>
        <v>7.0839177011072958E-3</v>
      </c>
    </row>
    <row r="135" spans="1:20" x14ac:dyDescent="0.25">
      <c r="A135" s="5">
        <v>44458</v>
      </c>
      <c r="B135">
        <v>143</v>
      </c>
      <c r="C135">
        <v>143.1</v>
      </c>
      <c r="D135">
        <v>137.30000000000001</v>
      </c>
      <c r="E135">
        <v>139.19999999999999</v>
      </c>
      <c r="F135">
        <v>6383.0020000000004</v>
      </c>
      <c r="G135">
        <v>139.19999999999999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-0.34482758620690246</v>
      </c>
      <c r="Q135">
        <f t="shared" ref="Q135" si="651">F135*P135</f>
        <v>-2201.0351724138309</v>
      </c>
      <c r="R135">
        <f t="shared" ref="R135" si="652">R136+Q135</f>
        <v>711052.89440546639</v>
      </c>
      <c r="S135">
        <f t="shared" ref="S135" si="653">R135/100000</f>
        <v>7.1105289440546642</v>
      </c>
      <c r="T135">
        <f t="shared" ref="T135" si="654">S135/1000</f>
        <v>7.1105289440546639E-3</v>
      </c>
    </row>
    <row r="136" spans="1:20" x14ac:dyDescent="0.25">
      <c r="A136" s="5">
        <v>44457</v>
      </c>
      <c r="B136">
        <v>145.30000000000001</v>
      </c>
      <c r="C136">
        <v>150.6</v>
      </c>
      <c r="D136">
        <v>141.9</v>
      </c>
      <c r="E136">
        <v>143.1</v>
      </c>
      <c r="F136">
        <v>5666.8959999999997</v>
      </c>
      <c r="G136">
        <v>143.1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-0.72413793103448498</v>
      </c>
      <c r="Q136">
        <f t="shared" ref="Q136" si="656">F136*P136</f>
        <v>-4103.6143448275989</v>
      </c>
      <c r="R136">
        <f t="shared" ref="R136" si="657">R137+Q136</f>
        <v>713253.92957788019</v>
      </c>
      <c r="S136">
        <f t="shared" ref="S136" si="658">R136/100000</f>
        <v>7.1325392957788019</v>
      </c>
      <c r="T136">
        <f t="shared" ref="T136" si="659">S136/1000</f>
        <v>7.1325392957788019E-3</v>
      </c>
    </row>
    <row r="137" spans="1:20" x14ac:dyDescent="0.25">
      <c r="A137" s="5">
        <v>44456</v>
      </c>
      <c r="B137">
        <v>143.19999999999999</v>
      </c>
      <c r="C137">
        <v>152</v>
      </c>
      <c r="D137">
        <v>142</v>
      </c>
      <c r="E137">
        <v>145.30000000000001</v>
      </c>
      <c r="F137">
        <v>9145.1280000000006</v>
      </c>
      <c r="G137">
        <v>145.30000000000001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-0.33999999999999775</v>
      </c>
      <c r="Q137">
        <f t="shared" ref="Q137" si="661">F137*P137</f>
        <v>-3109.3435199999794</v>
      </c>
      <c r="R137">
        <f t="shared" ref="R137" si="662">R138+Q137</f>
        <v>717357.54392270779</v>
      </c>
      <c r="S137">
        <f t="shared" ref="S137" si="663">R137/100000</f>
        <v>7.1735754392270783</v>
      </c>
      <c r="T137">
        <f t="shared" ref="T137" si="664">S137/1000</f>
        <v>7.1735754392270781E-3</v>
      </c>
    </row>
    <row r="138" spans="1:20" x14ac:dyDescent="0.25">
      <c r="A138" s="5">
        <v>44455</v>
      </c>
      <c r="B138">
        <v>144.69999999999999</v>
      </c>
      <c r="C138">
        <v>146.1</v>
      </c>
      <c r="D138">
        <v>138.4</v>
      </c>
      <c r="E138">
        <v>143.19999999999999</v>
      </c>
      <c r="F138">
        <v>7617.5119999999997</v>
      </c>
      <c r="G138">
        <v>143.19999999999999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0.24675324675324417</v>
      </c>
      <c r="Q138">
        <f t="shared" ref="Q138" si="666">F138*P138</f>
        <v>1879.6458181817984</v>
      </c>
      <c r="R138">
        <f t="shared" ref="R138" si="667">R139+Q138</f>
        <v>720466.88744270778</v>
      </c>
      <c r="S138">
        <f t="shared" ref="S138" si="668">R138/100000</f>
        <v>7.2046688744270782</v>
      </c>
      <c r="T138">
        <f t="shared" ref="T138" si="669">S138/1000</f>
        <v>7.2046688744270785E-3</v>
      </c>
    </row>
    <row r="139" spans="1:20" x14ac:dyDescent="0.25">
      <c r="A139" s="5">
        <v>44454</v>
      </c>
      <c r="B139">
        <v>145.5</v>
      </c>
      <c r="C139">
        <v>146.19999999999999</v>
      </c>
      <c r="D139">
        <v>142.9</v>
      </c>
      <c r="E139">
        <v>144.80000000000001</v>
      </c>
      <c r="F139">
        <v>4786.3810000000003</v>
      </c>
      <c r="G139">
        <v>144.80000000000001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0.1515151515151609</v>
      </c>
      <c r="Q139">
        <f t="shared" ref="Q139" si="671">F139*P139</f>
        <v>725.20924242428737</v>
      </c>
      <c r="R139">
        <f t="shared" ref="R139" si="672">R140+Q139</f>
        <v>718587.24162452598</v>
      </c>
      <c r="S139">
        <f t="shared" ref="S139" si="673">R139/100000</f>
        <v>7.1858724162452594</v>
      </c>
      <c r="T139">
        <f t="shared" ref="T139" si="674">S139/1000</f>
        <v>7.185872416245259E-3</v>
      </c>
    </row>
    <row r="140" spans="1:20" x14ac:dyDescent="0.25">
      <c r="A140" s="5">
        <v>44453</v>
      </c>
      <c r="B140">
        <v>135</v>
      </c>
      <c r="C140">
        <v>146.1</v>
      </c>
      <c r="D140">
        <v>134.30000000000001</v>
      </c>
      <c r="E140">
        <v>145.30000000000001</v>
      </c>
      <c r="F140">
        <v>6659.5749999999998</v>
      </c>
      <c r="G140">
        <v>145.30000000000001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0.86440677966101964</v>
      </c>
      <c r="Q140">
        <f t="shared" ref="Q140" si="676">F140*P140</f>
        <v>5756.5817796610345</v>
      </c>
      <c r="R140">
        <f t="shared" ref="R140" si="677">R141+Q140</f>
        <v>717862.03238210164</v>
      </c>
      <c r="S140">
        <f t="shared" ref="S140" si="678">R140/100000</f>
        <v>7.1786203238210167</v>
      </c>
      <c r="T140">
        <f t="shared" ref="T140" si="679">S140/1000</f>
        <v>7.178620323821017E-3</v>
      </c>
    </row>
    <row r="141" spans="1:20" x14ac:dyDescent="0.25">
      <c r="A141" s="5">
        <v>44452</v>
      </c>
      <c r="B141">
        <v>144.1</v>
      </c>
      <c r="C141">
        <v>144.69999999999999</v>
      </c>
      <c r="D141">
        <v>131.6</v>
      </c>
      <c r="E141">
        <v>134.80000000000001</v>
      </c>
      <c r="F141">
        <v>9909.3652000000002</v>
      </c>
      <c r="G141">
        <v>134.80000000000001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-0.5114503816793865</v>
      </c>
      <c r="Q141">
        <f t="shared" ref="Q141" si="681">F141*P141</f>
        <v>-5068.1486137404299</v>
      </c>
      <c r="R141">
        <f t="shared" ref="R141" si="682">R142+Q141</f>
        <v>712105.45060244063</v>
      </c>
      <c r="S141">
        <f t="shared" ref="S141" si="683">R141/100000</f>
        <v>7.1210545060244064</v>
      </c>
      <c r="T141">
        <f t="shared" ref="T141" si="684">S141/1000</f>
        <v>7.1210545060244063E-3</v>
      </c>
    </row>
    <row r="142" spans="1:20" x14ac:dyDescent="0.25">
      <c r="A142" s="5">
        <v>44451</v>
      </c>
      <c r="B142">
        <v>145</v>
      </c>
      <c r="C142">
        <v>146.4</v>
      </c>
      <c r="D142">
        <v>141</v>
      </c>
      <c r="E142">
        <v>144.1</v>
      </c>
      <c r="F142">
        <v>7724.8310000000001</v>
      </c>
      <c r="G142">
        <v>144.1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0.14814814814814484</v>
      </c>
      <c r="Q142">
        <f t="shared" ref="Q142" si="686">F142*P142</f>
        <v>1144.4194074073819</v>
      </c>
      <c r="R142">
        <f t="shared" ref="R142" si="687">R143+Q142</f>
        <v>717173.59921618109</v>
      </c>
      <c r="S142">
        <f t="shared" ref="S142" si="688">R142/100000</f>
        <v>7.1717359921618105</v>
      </c>
      <c r="T142">
        <f t="shared" ref="T142" si="689">S142/1000</f>
        <v>7.1717359921618104E-3</v>
      </c>
    </row>
    <row r="143" spans="1:20" x14ac:dyDescent="0.25">
      <c r="A143" s="5">
        <v>44450</v>
      </c>
      <c r="B143">
        <v>141.80000000000001</v>
      </c>
      <c r="C143">
        <v>146.6</v>
      </c>
      <c r="D143">
        <v>135.1</v>
      </c>
      <c r="E143">
        <v>145.1</v>
      </c>
      <c r="F143">
        <v>7545.5150000000003</v>
      </c>
      <c r="G143">
        <v>145.1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0.73913043478260865</v>
      </c>
      <c r="Q143">
        <f t="shared" ref="Q143" si="691">F143*P143</f>
        <v>5577.1197826086955</v>
      </c>
      <c r="R143">
        <f t="shared" ref="R143" si="692">R144+Q143</f>
        <v>716029.17980877368</v>
      </c>
      <c r="S143">
        <f t="shared" ref="S143" si="693">R143/100000</f>
        <v>7.1602917980877372</v>
      </c>
      <c r="T143">
        <f t="shared" ref="T143" si="694">S143/1000</f>
        <v>7.1602917980877374E-3</v>
      </c>
    </row>
    <row r="144" spans="1:20" x14ac:dyDescent="0.25">
      <c r="A144" s="5">
        <v>44449</v>
      </c>
      <c r="B144">
        <v>145.80000000000001</v>
      </c>
      <c r="C144">
        <v>156.9</v>
      </c>
      <c r="D144">
        <v>139.6</v>
      </c>
      <c r="E144">
        <v>141.5</v>
      </c>
      <c r="F144">
        <v>16703.18</v>
      </c>
      <c r="G144">
        <v>141.5</v>
      </c>
      <c r="L144" t="s">
        <v>8</v>
      </c>
      <c r="M144" t="s">
        <v>7</v>
      </c>
      <c r="N144" t="s">
        <v>8</v>
      </c>
      <c r="P144">
        <f t="shared" ref="P144" si="695">IF(C144=D144,0,((E144-D144)-(C144-E144))/(C144-D144))</f>
        <v>-0.780346820809248</v>
      </c>
      <c r="Q144">
        <f t="shared" ref="Q144" si="696">F144*P144</f>
        <v>-13034.273410404616</v>
      </c>
      <c r="R144">
        <f t="shared" ref="R144" si="697">R145+Q144</f>
        <v>710452.06002616498</v>
      </c>
      <c r="S144">
        <f t="shared" ref="S144" si="698">R144/100000</f>
        <v>7.1045206002616501</v>
      </c>
      <c r="T144">
        <f t="shared" ref="T144" si="699">S144/1000</f>
        <v>7.1045206002616499E-3</v>
      </c>
    </row>
    <row r="145" spans="1:20" x14ac:dyDescent="0.25">
      <c r="A145" s="5">
        <v>44448</v>
      </c>
      <c r="B145">
        <v>145.4</v>
      </c>
      <c r="C145">
        <v>149.80000000000001</v>
      </c>
      <c r="D145">
        <v>142.4</v>
      </c>
      <c r="E145">
        <v>145.80000000000001</v>
      </c>
      <c r="F145">
        <v>13640.916999999999</v>
      </c>
      <c r="G145">
        <v>145.80000000000001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-8.1081081081080253E-2</v>
      </c>
      <c r="Q145">
        <f t="shared" ref="Q145" si="701">F145*P145</f>
        <v>-1106.0202972972859</v>
      </c>
      <c r="R145">
        <f t="shared" ref="R145" si="702">R146+Q145</f>
        <v>723486.33343656955</v>
      </c>
      <c r="S145">
        <f t="shared" ref="S145" si="703">R145/100000</f>
        <v>7.2348633343656958</v>
      </c>
      <c r="T145">
        <f t="shared" ref="T145" si="704">S145/1000</f>
        <v>7.234863334365696E-3</v>
      </c>
    </row>
    <row r="146" spans="1:20" x14ac:dyDescent="0.25">
      <c r="A146" s="5">
        <v>44447</v>
      </c>
      <c r="B146">
        <v>148.69999999999999</v>
      </c>
      <c r="C146">
        <v>152.30000000000001</v>
      </c>
      <c r="D146">
        <v>140</v>
      </c>
      <c r="E146">
        <v>145.5</v>
      </c>
      <c r="F146">
        <v>7799.8720000000003</v>
      </c>
      <c r="G146">
        <v>145.5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-0.10569105691056993</v>
      </c>
      <c r="Q146">
        <f t="shared" ref="Q146" si="706">F146*P146</f>
        <v>-824.3767154471609</v>
      </c>
      <c r="R146">
        <f t="shared" ref="R146" si="707">R147+Q146</f>
        <v>724592.35373386682</v>
      </c>
      <c r="S146">
        <f t="shared" ref="S146" si="708">R146/100000</f>
        <v>7.2459235373386681</v>
      </c>
      <c r="T146">
        <f t="shared" ref="T146" si="709">S146/1000</f>
        <v>7.245923537338668E-3</v>
      </c>
    </row>
    <row r="147" spans="1:20" x14ac:dyDescent="0.25">
      <c r="A147" s="5">
        <v>44446</v>
      </c>
      <c r="B147">
        <v>174.5</v>
      </c>
      <c r="C147">
        <v>174.9</v>
      </c>
      <c r="D147">
        <v>139.6</v>
      </c>
      <c r="E147">
        <v>148.5</v>
      </c>
      <c r="F147">
        <v>17190.610400000001</v>
      </c>
      <c r="G147">
        <v>148.5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-0.49575070821529726</v>
      </c>
      <c r="Q147">
        <f t="shared" ref="Q147" si="711">F147*P147</f>
        <v>-8522.2572804532556</v>
      </c>
      <c r="R147">
        <f t="shared" ref="R147" si="712">R148+Q147</f>
        <v>725416.730449314</v>
      </c>
      <c r="S147">
        <f t="shared" ref="S147" si="713">R147/100000</f>
        <v>7.2541673044931398</v>
      </c>
      <c r="T147">
        <f t="shared" ref="T147" si="714">S147/1000</f>
        <v>7.2541673044931396E-3</v>
      </c>
    </row>
    <row r="148" spans="1:20" x14ac:dyDescent="0.25">
      <c r="A148" s="5">
        <v>44445</v>
      </c>
      <c r="B148">
        <v>176.2</v>
      </c>
      <c r="C148">
        <v>178.2</v>
      </c>
      <c r="D148">
        <v>170.2</v>
      </c>
      <c r="E148">
        <v>174.4</v>
      </c>
      <c r="F148">
        <v>9464.5769999999993</v>
      </c>
      <c r="G148">
        <v>174.4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5.0000000000004263E-2</v>
      </c>
      <c r="Q148">
        <f t="shared" ref="Q148" si="716">F148*P148</f>
        <v>473.22885000004032</v>
      </c>
      <c r="R148">
        <f t="shared" ref="R148" si="717">R149+Q148</f>
        <v>733938.98772976722</v>
      </c>
      <c r="S148">
        <f t="shared" ref="S148" si="718">R148/100000</f>
        <v>7.3393898772976724</v>
      </c>
      <c r="T148">
        <f t="shared" ref="T148" si="719">S148/1000</f>
        <v>7.3393898772976729E-3</v>
      </c>
    </row>
    <row r="149" spans="1:20" x14ac:dyDescent="0.25">
      <c r="A149" s="5">
        <v>44444</v>
      </c>
      <c r="B149">
        <v>173</v>
      </c>
      <c r="C149">
        <v>176.8</v>
      </c>
      <c r="D149">
        <v>170.7</v>
      </c>
      <c r="E149">
        <v>176.5</v>
      </c>
      <c r="F149">
        <v>6358.3630000000003</v>
      </c>
      <c r="G149">
        <v>176.5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0.90163934426229175</v>
      </c>
      <c r="Q149">
        <f t="shared" ref="Q149" si="721">F149*P149</f>
        <v>5732.9502459016185</v>
      </c>
      <c r="R149">
        <f t="shared" ref="R149" si="722">R150+Q149</f>
        <v>733465.75887976715</v>
      </c>
      <c r="S149">
        <f t="shared" ref="S149" si="723">R149/100000</f>
        <v>7.334657588797671</v>
      </c>
      <c r="T149">
        <f t="shared" ref="T149" si="724">S149/1000</f>
        <v>7.3346575887976708E-3</v>
      </c>
    </row>
    <row r="150" spans="1:20" x14ac:dyDescent="0.25">
      <c r="A150" s="5">
        <v>44443</v>
      </c>
      <c r="B150">
        <v>178.2</v>
      </c>
      <c r="C150">
        <v>178.9</v>
      </c>
      <c r="D150">
        <v>172.2</v>
      </c>
      <c r="E150">
        <v>172.6</v>
      </c>
      <c r="F150">
        <v>8426.527</v>
      </c>
      <c r="G150">
        <v>172.6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-0.88059701492537179</v>
      </c>
      <c r="Q150">
        <f t="shared" ref="Q150" si="726">F150*P150</f>
        <v>-7420.3745223880487</v>
      </c>
      <c r="R150">
        <f t="shared" ref="R150" si="727">R151+Q150</f>
        <v>727732.80863386556</v>
      </c>
      <c r="S150">
        <f t="shared" ref="S150" si="728">R150/100000</f>
        <v>7.2773280863386551</v>
      </c>
      <c r="T150">
        <f t="shared" ref="T150" si="729">S150/1000</f>
        <v>7.2773280863386554E-3</v>
      </c>
    </row>
    <row r="151" spans="1:20" x14ac:dyDescent="0.25">
      <c r="A151" s="5">
        <v>44442</v>
      </c>
      <c r="B151">
        <v>177.7</v>
      </c>
      <c r="C151">
        <v>182.7</v>
      </c>
      <c r="D151">
        <v>175</v>
      </c>
      <c r="E151">
        <v>178.2</v>
      </c>
      <c r="F151">
        <v>6284.2179999999998</v>
      </c>
      <c r="G151">
        <v>178.2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-0.16883116883117055</v>
      </c>
      <c r="Q151">
        <f t="shared" ref="Q151" si="731">F151*P151</f>
        <v>-1060.9718701298809</v>
      </c>
      <c r="R151">
        <f t="shared" ref="R151" si="732">R152+Q151</f>
        <v>735153.18315625365</v>
      </c>
      <c r="S151">
        <f t="shared" ref="S151" si="733">R151/100000</f>
        <v>7.3515318315625366</v>
      </c>
      <c r="T151">
        <f t="shared" ref="T151" si="734">S151/1000</f>
        <v>7.3515318315625364E-3</v>
      </c>
    </row>
    <row r="152" spans="1:20" x14ac:dyDescent="0.25">
      <c r="A152" s="5">
        <v>44441</v>
      </c>
      <c r="B152">
        <v>182</v>
      </c>
      <c r="C152">
        <v>186.1</v>
      </c>
      <c r="D152">
        <v>175.6</v>
      </c>
      <c r="E152">
        <v>178.1</v>
      </c>
      <c r="F152">
        <v>10536.8716</v>
      </c>
      <c r="G152">
        <v>178.1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-0.52380952380952384</v>
      </c>
      <c r="Q152">
        <f t="shared" ref="Q152" si="736">F152*P152</f>
        <v>-5519.3136952380955</v>
      </c>
      <c r="R152">
        <f t="shared" ref="R152" si="737">R153+Q152</f>
        <v>736214.15502638358</v>
      </c>
      <c r="S152">
        <f t="shared" ref="S152" si="738">R152/100000</f>
        <v>7.3621415502638357</v>
      </c>
      <c r="T152">
        <f t="shared" ref="T152" si="739">S152/1000</f>
        <v>7.3621415502638354E-3</v>
      </c>
    </row>
    <row r="153" spans="1:20" x14ac:dyDescent="0.25">
      <c r="A153" s="5">
        <v>44440</v>
      </c>
      <c r="B153">
        <v>174.9</v>
      </c>
      <c r="C153">
        <v>183</v>
      </c>
      <c r="D153">
        <v>170.8</v>
      </c>
      <c r="E153">
        <v>182</v>
      </c>
      <c r="F153">
        <v>10158.48</v>
      </c>
      <c r="G153">
        <v>182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0.83606557377049162</v>
      </c>
      <c r="Q153">
        <f t="shared" ref="Q153" si="741">F153*P153</f>
        <v>8493.155409836063</v>
      </c>
      <c r="R153">
        <f t="shared" ref="R153" si="742">R154+Q153</f>
        <v>741733.46872162167</v>
      </c>
      <c r="S153">
        <f t="shared" ref="S153" si="743">R153/100000</f>
        <v>7.4173346872162167</v>
      </c>
      <c r="T153">
        <f t="shared" ref="T153" si="744">S153/1000</f>
        <v>7.4173346872162165E-3</v>
      </c>
    </row>
    <row r="154" spans="1:20" x14ac:dyDescent="0.25">
      <c r="A154" s="5">
        <v>44439</v>
      </c>
      <c r="B154">
        <v>166.5</v>
      </c>
      <c r="C154">
        <v>176.2</v>
      </c>
      <c r="D154">
        <v>161.9</v>
      </c>
      <c r="E154">
        <v>174.9</v>
      </c>
      <c r="F154">
        <v>11530.140299999999</v>
      </c>
      <c r="G154">
        <v>174.9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0.81818181818182034</v>
      </c>
      <c r="Q154">
        <f t="shared" ref="Q154" si="746">F154*P154</f>
        <v>9433.7511545454781</v>
      </c>
      <c r="R154">
        <f t="shared" ref="R154" si="747">R155+Q154</f>
        <v>733240.31331178558</v>
      </c>
      <c r="S154">
        <f t="shared" ref="S154" si="748">R154/100000</f>
        <v>7.3324031331178556</v>
      </c>
      <c r="T154">
        <f t="shared" ref="T154" si="749">S154/1000</f>
        <v>7.3324031331178556E-3</v>
      </c>
    </row>
    <row r="155" spans="1:20" x14ac:dyDescent="0.25">
      <c r="A155" s="5">
        <v>44438</v>
      </c>
      <c r="B155">
        <v>178.9</v>
      </c>
      <c r="C155">
        <v>179</v>
      </c>
      <c r="D155">
        <v>164.6</v>
      </c>
      <c r="E155">
        <v>167</v>
      </c>
      <c r="F155">
        <v>11031.637000000001</v>
      </c>
      <c r="G155">
        <v>167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-0.66666666666666596</v>
      </c>
      <c r="Q155">
        <f t="shared" ref="Q155" si="751">F155*P155</f>
        <v>-7354.4246666666595</v>
      </c>
      <c r="R155">
        <f t="shared" ref="R155" si="752">R156+Q155</f>
        <v>723806.56215724011</v>
      </c>
      <c r="S155">
        <f t="shared" ref="S155" si="753">R155/100000</f>
        <v>7.2380656215724013</v>
      </c>
      <c r="T155">
        <f t="shared" ref="T155" si="754">S155/1000</f>
        <v>7.2380656215724013E-3</v>
      </c>
    </row>
    <row r="156" spans="1:20" x14ac:dyDescent="0.25">
      <c r="A156" s="5">
        <v>44437</v>
      </c>
      <c r="B156">
        <v>173</v>
      </c>
      <c r="C156">
        <v>182.3</v>
      </c>
      <c r="D156">
        <v>166.7</v>
      </c>
      <c r="E156">
        <v>179</v>
      </c>
      <c r="F156">
        <v>6853.5796</v>
      </c>
      <c r="G156">
        <v>179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0.57692307692307609</v>
      </c>
      <c r="Q156">
        <f t="shared" ref="Q156" si="756">F156*P156</f>
        <v>3953.9882307692251</v>
      </c>
      <c r="R156">
        <f t="shared" ref="R156" si="757">R157+Q156</f>
        <v>731160.98682390677</v>
      </c>
      <c r="S156">
        <f t="shared" ref="S156" si="758">R156/100000</f>
        <v>7.311609868239068</v>
      </c>
      <c r="T156">
        <f t="shared" ref="T156" si="759">S156/1000</f>
        <v>7.3116098682390676E-3</v>
      </c>
    </row>
    <row r="157" spans="1:20" x14ac:dyDescent="0.25">
      <c r="A157" s="5">
        <v>44436</v>
      </c>
      <c r="B157">
        <v>179.1</v>
      </c>
      <c r="C157">
        <v>179.7</v>
      </c>
      <c r="D157">
        <v>169.5</v>
      </c>
      <c r="E157">
        <v>173</v>
      </c>
      <c r="F157">
        <v>5603.5940000000001</v>
      </c>
      <c r="G157">
        <v>173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-0.31372549019607765</v>
      </c>
      <c r="Q157">
        <f t="shared" ref="Q157" si="761">F157*P157</f>
        <v>-1757.9902745097995</v>
      </c>
      <c r="R157">
        <f t="shared" ref="R157" si="762">R158+Q157</f>
        <v>727206.9985931376</v>
      </c>
      <c r="S157">
        <f t="shared" ref="S157" si="763">R157/100000</f>
        <v>7.2720699859313758</v>
      </c>
      <c r="T157">
        <f t="shared" ref="T157" si="764">S157/1000</f>
        <v>7.2720699859313755E-3</v>
      </c>
    </row>
    <row r="158" spans="1:20" x14ac:dyDescent="0.25">
      <c r="A158" s="5">
        <v>44435</v>
      </c>
      <c r="B158">
        <v>175.5</v>
      </c>
      <c r="C158">
        <v>181</v>
      </c>
      <c r="D158">
        <v>170</v>
      </c>
      <c r="E158">
        <v>179.1</v>
      </c>
      <c r="F158">
        <v>7363.7110000000002</v>
      </c>
      <c r="G158">
        <v>179.1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0.65454545454545354</v>
      </c>
      <c r="Q158">
        <f t="shared" ref="Q158" si="766">F158*P158</f>
        <v>4819.8835636363565</v>
      </c>
      <c r="R158">
        <f t="shared" ref="R158" si="767">R159+Q158</f>
        <v>728964.98886764736</v>
      </c>
      <c r="S158">
        <f t="shared" ref="S158" si="768">R158/100000</f>
        <v>7.2896498886764736</v>
      </c>
      <c r="T158">
        <f t="shared" ref="T158" si="769">S158/1000</f>
        <v>7.2896498886764732E-3</v>
      </c>
    </row>
    <row r="159" spans="1:20" x14ac:dyDescent="0.25">
      <c r="A159" s="5">
        <v>44434</v>
      </c>
      <c r="B159">
        <v>177.81</v>
      </c>
      <c r="C159">
        <v>178.95</v>
      </c>
      <c r="D159">
        <v>162.52000000000001</v>
      </c>
      <c r="E159">
        <v>175.7</v>
      </c>
      <c r="F159">
        <v>7321.6957000000002</v>
      </c>
      <c r="G159">
        <v>175.7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0.60438222763237925</v>
      </c>
      <c r="Q159">
        <f t="shared" ref="Q159" si="771">F159*P159</f>
        <v>4425.1027572124121</v>
      </c>
      <c r="R159">
        <f t="shared" ref="R159" si="772">R160+Q159</f>
        <v>724145.10530401103</v>
      </c>
      <c r="S159">
        <f t="shared" ref="S159" si="773">R159/100000</f>
        <v>7.2414510530401106</v>
      </c>
      <c r="T159">
        <f t="shared" ref="T159" si="774">S159/1000</f>
        <v>7.2414510530401108E-3</v>
      </c>
    </row>
    <row r="160" spans="1:20" x14ac:dyDescent="0.25">
      <c r="A160" s="5">
        <v>44433</v>
      </c>
      <c r="B160">
        <v>165.07</v>
      </c>
      <c r="C160">
        <v>179.8</v>
      </c>
      <c r="D160">
        <v>162.04</v>
      </c>
      <c r="E160">
        <v>178.21</v>
      </c>
      <c r="F160">
        <v>6921.9849999999997</v>
      </c>
      <c r="G160">
        <v>178.21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0.82094594594594572</v>
      </c>
      <c r="Q160">
        <f t="shared" ref="Q160" si="776">F160*P160</f>
        <v>5682.5755236486466</v>
      </c>
      <c r="R160">
        <f t="shared" ref="R160" si="777">R161+Q160</f>
        <v>719720.00254679867</v>
      </c>
      <c r="S160">
        <f t="shared" ref="S160" si="778">R160/100000</f>
        <v>7.1972000254679864</v>
      </c>
      <c r="T160">
        <f t="shared" ref="T160" si="779">S160/1000</f>
        <v>7.1972000254679862E-3</v>
      </c>
    </row>
    <row r="161" spans="1:20" x14ac:dyDescent="0.25">
      <c r="A161" s="5">
        <v>44432</v>
      </c>
      <c r="B161">
        <v>176.16</v>
      </c>
      <c r="C161">
        <v>177.2</v>
      </c>
      <c r="D161">
        <v>165.01</v>
      </c>
      <c r="E161">
        <v>165.07</v>
      </c>
      <c r="F161">
        <v>6784.3541999999998</v>
      </c>
      <c r="G161">
        <v>165.07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-0.99015586546349432</v>
      </c>
      <c r="Q161">
        <f t="shared" ref="Q161" si="781">F161*P161</f>
        <v>-6717.5681045118927</v>
      </c>
      <c r="R161">
        <f t="shared" ref="R161" si="782">R162+Q161</f>
        <v>714037.42702315003</v>
      </c>
      <c r="S161">
        <f t="shared" ref="S161" si="783">R161/100000</f>
        <v>7.1403742702314998</v>
      </c>
      <c r="T161">
        <f t="shared" ref="T161" si="784">S161/1000</f>
        <v>7.1403742702315001E-3</v>
      </c>
    </row>
    <row r="162" spans="1:20" x14ac:dyDescent="0.25">
      <c r="A162" s="5">
        <v>44431</v>
      </c>
      <c r="B162">
        <v>177.26</v>
      </c>
      <c r="C162">
        <v>182</v>
      </c>
      <c r="D162">
        <v>172.42</v>
      </c>
      <c r="E162">
        <v>176.16</v>
      </c>
      <c r="F162">
        <v>10534.0033</v>
      </c>
      <c r="G162">
        <v>176.16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-0.21920668058455026</v>
      </c>
      <c r="Q162">
        <f t="shared" ref="Q162" si="786">F162*P162</f>
        <v>-2309.1238966596984</v>
      </c>
      <c r="R162">
        <f t="shared" ref="R162" si="787">R163+Q162</f>
        <v>720754.99512766197</v>
      </c>
      <c r="S162">
        <f t="shared" ref="S162" si="788">R162/100000</f>
        <v>7.2075499512766195</v>
      </c>
      <c r="T162">
        <f t="shared" ref="T162" si="789">S162/1000</f>
        <v>7.2075499512766197E-3</v>
      </c>
    </row>
    <row r="163" spans="1:20" x14ac:dyDescent="0.25">
      <c r="A163" s="5">
        <v>44430</v>
      </c>
      <c r="B163">
        <v>178.21</v>
      </c>
      <c r="C163">
        <v>180</v>
      </c>
      <c r="D163">
        <v>175.83</v>
      </c>
      <c r="E163">
        <v>179.46</v>
      </c>
      <c r="F163">
        <v>1854.4038</v>
      </c>
      <c r="G163">
        <v>179.46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0.74100719424460737</v>
      </c>
      <c r="Q163">
        <f t="shared" ref="Q163" si="791">F163*P163</f>
        <v>1374.1265568345382</v>
      </c>
      <c r="R163">
        <f t="shared" ref="R163" si="792">R164+Q163</f>
        <v>723064.11902432167</v>
      </c>
      <c r="S163">
        <f t="shared" ref="S163" si="793">R163/100000</f>
        <v>7.2306411902432171</v>
      </c>
      <c r="T163">
        <f t="shared" ref="T163" si="794">S163/1000</f>
        <v>7.2306411902432173E-3</v>
      </c>
    </row>
    <row r="164" spans="1:20" x14ac:dyDescent="0.25">
      <c r="A164" s="5">
        <v>44429</v>
      </c>
      <c r="B164">
        <v>174.62</v>
      </c>
      <c r="C164">
        <v>180</v>
      </c>
      <c r="D164">
        <v>169.05</v>
      </c>
      <c r="E164">
        <v>178.75</v>
      </c>
      <c r="F164">
        <v>6921.0460999999996</v>
      </c>
      <c r="G164">
        <v>178.75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0.77168949771689477</v>
      </c>
      <c r="Q164">
        <f t="shared" ref="Q164" si="796">F164*P164</f>
        <v>5340.8985885844731</v>
      </c>
      <c r="R164">
        <f t="shared" ref="R164" si="797">R165+Q164</f>
        <v>721689.99246748711</v>
      </c>
      <c r="S164">
        <f t="shared" ref="S164" si="798">R164/100000</f>
        <v>7.2168999246748715</v>
      </c>
      <c r="T164">
        <f t="shared" ref="T164" si="799">S164/1000</f>
        <v>7.2168999246748711E-3</v>
      </c>
    </row>
    <row r="165" spans="1:20" x14ac:dyDescent="0.25">
      <c r="A165" s="5">
        <v>44428</v>
      </c>
      <c r="B165">
        <v>164.53</v>
      </c>
      <c r="C165">
        <v>175.26</v>
      </c>
      <c r="D165">
        <v>161.53</v>
      </c>
      <c r="E165">
        <v>174.61</v>
      </c>
      <c r="F165">
        <v>8554.6542000000009</v>
      </c>
      <c r="G165">
        <v>174.61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0.90531682447196249</v>
      </c>
      <c r="Q165">
        <f t="shared" ref="Q165" si="801">F165*P165</f>
        <v>7744.6723747997376</v>
      </c>
      <c r="R165">
        <f t="shared" ref="R165" si="802">R166+Q165</f>
        <v>716349.09387890261</v>
      </c>
      <c r="S165">
        <f t="shared" ref="S165" si="803">R165/100000</f>
        <v>7.1634909387890264</v>
      </c>
      <c r="T165">
        <f t="shared" ref="T165" si="804">S165/1000</f>
        <v>7.1634909387890263E-3</v>
      </c>
    </row>
    <row r="166" spans="1:20" x14ac:dyDescent="0.25">
      <c r="A166" s="5">
        <v>44427</v>
      </c>
      <c r="B166">
        <v>159.26</v>
      </c>
      <c r="C166">
        <v>164.92</v>
      </c>
      <c r="D166">
        <v>153.33000000000001</v>
      </c>
      <c r="E166">
        <v>164.48</v>
      </c>
      <c r="F166">
        <v>11053.58</v>
      </c>
      <c r="G166">
        <v>164.48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0.9240724762726491</v>
      </c>
      <c r="Q166">
        <f t="shared" ref="Q166" si="806">F166*P166</f>
        <v>10214.309042277828</v>
      </c>
      <c r="R166">
        <f t="shared" ref="R166" si="807">R167+Q166</f>
        <v>708604.42150410288</v>
      </c>
      <c r="S166">
        <f t="shared" ref="S166" si="808">R166/100000</f>
        <v>7.0860442150410288</v>
      </c>
      <c r="T166">
        <f t="shared" ref="T166" si="809">S166/1000</f>
        <v>7.0860442150410289E-3</v>
      </c>
    </row>
    <row r="167" spans="1:20" x14ac:dyDescent="0.25">
      <c r="A167" s="5">
        <v>44426</v>
      </c>
      <c r="B167">
        <v>163.30000000000001</v>
      </c>
      <c r="C167">
        <v>165.17</v>
      </c>
      <c r="D167">
        <v>157.5</v>
      </c>
      <c r="E167">
        <v>159.19</v>
      </c>
      <c r="F167">
        <v>7902.9458999999997</v>
      </c>
      <c r="G167">
        <v>159.19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-0.55932203389830493</v>
      </c>
      <c r="Q167">
        <f t="shared" ref="Q167" si="811">F167*P167</f>
        <v>-4420.2917745762697</v>
      </c>
      <c r="R167">
        <f t="shared" ref="R167" si="812">R168+Q167</f>
        <v>698390.11246182502</v>
      </c>
      <c r="S167">
        <f t="shared" ref="S167" si="813">R167/100000</f>
        <v>6.9839011246182503</v>
      </c>
      <c r="T167">
        <f t="shared" ref="T167" si="814">S167/1000</f>
        <v>6.9839011246182504E-3</v>
      </c>
    </row>
    <row r="168" spans="1:20" x14ac:dyDescent="0.25">
      <c r="A168" s="5">
        <v>44425</v>
      </c>
      <c r="B168">
        <v>174.95</v>
      </c>
      <c r="C168">
        <v>180</v>
      </c>
      <c r="D168">
        <v>163.11000000000001</v>
      </c>
      <c r="E168">
        <v>163.30000000000001</v>
      </c>
      <c r="F168">
        <v>6900.3715000000002</v>
      </c>
      <c r="G168">
        <v>163.30000000000001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-0.97750148016577887</v>
      </c>
      <c r="Q168">
        <f t="shared" ref="Q168" si="816">F168*P168</f>
        <v>-6745.1233549437557</v>
      </c>
      <c r="R168">
        <f t="shared" ref="R168" si="817">R169+Q168</f>
        <v>702810.40423640131</v>
      </c>
      <c r="S168">
        <f t="shared" ref="S168" si="818">R168/100000</f>
        <v>7.0281040423640135</v>
      </c>
      <c r="T168">
        <f t="shared" ref="T168" si="819">S168/1000</f>
        <v>7.0281040423640136E-3</v>
      </c>
    </row>
    <row r="169" spans="1:20" x14ac:dyDescent="0.25">
      <c r="A169" s="5">
        <v>44424</v>
      </c>
      <c r="B169">
        <v>174.88</v>
      </c>
      <c r="C169">
        <v>178.36</v>
      </c>
      <c r="D169">
        <v>170.99</v>
      </c>
      <c r="E169">
        <v>174.6</v>
      </c>
      <c r="F169">
        <v>6689.0391</v>
      </c>
      <c r="G169">
        <v>174.6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-2.0352781546816013E-2</v>
      </c>
      <c r="Q169">
        <f t="shared" ref="Q169" si="821">F169*P169</f>
        <v>-136.14055156041078</v>
      </c>
      <c r="R169">
        <f t="shared" ref="R169" si="822">R170+Q169</f>
        <v>709555.52759134502</v>
      </c>
      <c r="S169">
        <f t="shared" ref="S169" si="823">R169/100000</f>
        <v>7.0955552759134504</v>
      </c>
      <c r="T169">
        <f t="shared" ref="T169" si="824">S169/1000</f>
        <v>7.09555527591345E-3</v>
      </c>
    </row>
    <row r="170" spans="1:20" x14ac:dyDescent="0.25">
      <c r="A170" s="5">
        <v>44423</v>
      </c>
      <c r="B170">
        <v>171.91</v>
      </c>
      <c r="C170">
        <v>176</v>
      </c>
      <c r="D170">
        <v>163.9</v>
      </c>
      <c r="E170">
        <v>174.89</v>
      </c>
      <c r="F170">
        <v>6669.1760999999997</v>
      </c>
      <c r="G170">
        <v>174.89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0.81652892561983237</v>
      </c>
      <c r="Q170">
        <f t="shared" ref="Q170" si="826">F170*P170</f>
        <v>5445.5751957024631</v>
      </c>
      <c r="R170">
        <f t="shared" ref="R170" si="827">R171+Q170</f>
        <v>709691.66814290546</v>
      </c>
      <c r="S170">
        <f t="shared" ref="S170" si="828">R170/100000</f>
        <v>7.0969166814290547</v>
      </c>
      <c r="T170">
        <f t="shared" ref="T170" si="829">S170/1000</f>
        <v>7.0969166814290547E-3</v>
      </c>
    </row>
    <row r="171" spans="1:20" x14ac:dyDescent="0.25">
      <c r="A171" s="5">
        <v>44422</v>
      </c>
      <c r="B171">
        <v>174.38</v>
      </c>
      <c r="C171">
        <v>176.53</v>
      </c>
      <c r="D171">
        <v>164.46</v>
      </c>
      <c r="E171">
        <v>171.49</v>
      </c>
      <c r="F171">
        <v>6396.8419000000004</v>
      </c>
      <c r="G171">
        <v>171.49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0.16487158243579206</v>
      </c>
      <c r="Q171">
        <f t="shared" ref="Q171" si="831">F171*P171</f>
        <v>1054.6574466445788</v>
      </c>
      <c r="R171">
        <f t="shared" ref="R171" si="832">R172+Q171</f>
        <v>704246.09294720297</v>
      </c>
      <c r="S171">
        <f t="shared" ref="S171" si="833">R171/100000</f>
        <v>7.0424609294720293</v>
      </c>
      <c r="T171">
        <f t="shared" ref="T171" si="834">S171/1000</f>
        <v>7.0424609294720292E-3</v>
      </c>
    </row>
    <row r="172" spans="1:20" x14ac:dyDescent="0.25">
      <c r="A172" s="5">
        <v>44421</v>
      </c>
      <c r="B172">
        <v>159.27000000000001</v>
      </c>
      <c r="C172">
        <v>174.45</v>
      </c>
      <c r="D172">
        <v>156.97999999999999</v>
      </c>
      <c r="E172">
        <v>173.98</v>
      </c>
      <c r="F172">
        <v>13420.028</v>
      </c>
      <c r="G172">
        <v>173.98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0.94619347452776204</v>
      </c>
      <c r="Q172">
        <f t="shared" ref="Q172" si="836">F172*P172</f>
        <v>12697.942921579854</v>
      </c>
      <c r="R172">
        <f t="shared" ref="R172" si="837">R173+Q172</f>
        <v>703191.43550055835</v>
      </c>
      <c r="S172">
        <f t="shared" ref="S172" si="838">R172/100000</f>
        <v>7.0319143550055836</v>
      </c>
      <c r="T172">
        <f t="shared" ref="T172" si="839">S172/1000</f>
        <v>7.0319143550055833E-3</v>
      </c>
    </row>
    <row r="173" spans="1:20" x14ac:dyDescent="0.25">
      <c r="A173" s="5">
        <v>44420</v>
      </c>
      <c r="B173">
        <v>155.19999999999999</v>
      </c>
      <c r="C173">
        <v>163</v>
      </c>
      <c r="D173">
        <v>149.9</v>
      </c>
      <c r="E173">
        <v>159.29</v>
      </c>
      <c r="F173">
        <v>9745.5607999999993</v>
      </c>
      <c r="G173">
        <v>159.29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0.43358778625954053</v>
      </c>
      <c r="Q173">
        <f t="shared" ref="Q173" si="841">F173*P173</f>
        <v>4225.5561331297567</v>
      </c>
      <c r="R173">
        <f t="shared" ref="R173" si="842">R174+Q173</f>
        <v>690493.49257897853</v>
      </c>
      <c r="S173">
        <f t="shared" ref="S173" si="843">R173/100000</f>
        <v>6.9049349257897852</v>
      </c>
      <c r="T173">
        <f t="shared" ref="T173" si="844">S173/1000</f>
        <v>6.9049349257897848E-3</v>
      </c>
    </row>
    <row r="174" spans="1:20" x14ac:dyDescent="0.25">
      <c r="A174" s="5">
        <v>44419</v>
      </c>
      <c r="B174">
        <v>159.77000000000001</v>
      </c>
      <c r="C174">
        <v>161.38999999999999</v>
      </c>
      <c r="D174">
        <v>155</v>
      </c>
      <c r="E174">
        <v>155.36000000000001</v>
      </c>
      <c r="F174">
        <v>7608.2376999999997</v>
      </c>
      <c r="G174">
        <v>155.36000000000001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-0.88732394366196732</v>
      </c>
      <c r="Q174">
        <f t="shared" ref="Q174" si="846">F174*P174</f>
        <v>-6750.9714802816552</v>
      </c>
      <c r="R174">
        <f t="shared" ref="R174" si="847">R175+Q174</f>
        <v>686267.93644584878</v>
      </c>
      <c r="S174">
        <f t="shared" ref="S174" si="848">R174/100000</f>
        <v>6.8626793644584883</v>
      </c>
      <c r="T174">
        <f t="shared" ref="T174" si="849">S174/1000</f>
        <v>6.8626793644584886E-3</v>
      </c>
    </row>
    <row r="175" spans="1:20" x14ac:dyDescent="0.25">
      <c r="A175" s="5">
        <v>44418</v>
      </c>
      <c r="B175">
        <v>157.78</v>
      </c>
      <c r="C175">
        <v>160.16999999999999</v>
      </c>
      <c r="D175">
        <v>154.5</v>
      </c>
      <c r="E175">
        <v>159.32</v>
      </c>
      <c r="F175">
        <v>9423.1460999999999</v>
      </c>
      <c r="G175">
        <v>159.32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0.70017636684303486</v>
      </c>
      <c r="Q175">
        <f t="shared" ref="Q175" si="851">F175*P175</f>
        <v>6597.8642005291131</v>
      </c>
      <c r="R175">
        <f t="shared" ref="R175" si="852">R176+Q175</f>
        <v>693018.90792613046</v>
      </c>
      <c r="S175">
        <f t="shared" ref="S175" si="853">R175/100000</f>
        <v>6.9301890792613046</v>
      </c>
      <c r="T175">
        <f t="shared" ref="T175" si="854">S175/1000</f>
        <v>6.9301890792613048E-3</v>
      </c>
    </row>
    <row r="176" spans="1:20" x14ac:dyDescent="0.25">
      <c r="A176" s="5">
        <v>44417</v>
      </c>
      <c r="B176">
        <v>150.88999999999999</v>
      </c>
      <c r="C176">
        <v>158.82</v>
      </c>
      <c r="D176">
        <v>146.77000000000001</v>
      </c>
      <c r="E176">
        <v>157.78</v>
      </c>
      <c r="F176">
        <v>12393.974399999999</v>
      </c>
      <c r="G176">
        <v>157.78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0.82738589211618363</v>
      </c>
      <c r="Q176">
        <f t="shared" ref="Q176" si="856">F176*P176</f>
        <v>10254.599565809141</v>
      </c>
      <c r="R176">
        <f t="shared" ref="R176" si="857">R177+Q176</f>
        <v>686421.0437256014</v>
      </c>
      <c r="S176">
        <f t="shared" ref="S176" si="858">R176/100000</f>
        <v>6.8642104372560135</v>
      </c>
      <c r="T176">
        <f t="shared" ref="T176" si="859">S176/1000</f>
        <v>6.8642104372560134E-3</v>
      </c>
    </row>
    <row r="177" spans="1:20" x14ac:dyDescent="0.25">
      <c r="A177" s="5">
        <v>44416</v>
      </c>
      <c r="B177">
        <v>145.4</v>
      </c>
      <c r="C177">
        <v>155</v>
      </c>
      <c r="D177">
        <v>140.31</v>
      </c>
      <c r="E177">
        <v>150.79</v>
      </c>
      <c r="F177">
        <v>13540.54</v>
      </c>
      <c r="G177">
        <v>150.79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0.42682096664397434</v>
      </c>
      <c r="Q177">
        <f t="shared" ref="Q177" si="861">F177*P177</f>
        <v>5779.3863716814003</v>
      </c>
      <c r="R177">
        <f t="shared" ref="R177" si="862">R178+Q177</f>
        <v>676166.44415979227</v>
      </c>
      <c r="S177">
        <f t="shared" ref="S177" si="863">R177/100000</f>
        <v>6.7616644415979223</v>
      </c>
      <c r="T177">
        <f t="shared" ref="T177" si="864">S177/1000</f>
        <v>6.761664441597922E-3</v>
      </c>
    </row>
    <row r="178" spans="1:20" x14ac:dyDescent="0.25">
      <c r="A178" s="5">
        <v>44415</v>
      </c>
      <c r="B178">
        <v>142.16999999999999</v>
      </c>
      <c r="C178">
        <v>146</v>
      </c>
      <c r="D178">
        <v>136.63</v>
      </c>
      <c r="E178">
        <v>145.44</v>
      </c>
      <c r="F178">
        <v>16180.151</v>
      </c>
      <c r="G178">
        <v>145.44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0.88046958377801454</v>
      </c>
      <c r="Q178">
        <f t="shared" ref="Q178" si="866">F178*P178</f>
        <v>14246.130816435425</v>
      </c>
      <c r="R178">
        <f t="shared" ref="R178" si="867">R179+Q178</f>
        <v>670387.05778811092</v>
      </c>
      <c r="S178">
        <f t="shared" ref="S178" si="868">R178/100000</f>
        <v>6.7038705778811094</v>
      </c>
      <c r="T178">
        <f t="shared" ref="T178" si="869">S178/1000</f>
        <v>6.7038705778811091E-3</v>
      </c>
    </row>
    <row r="179" spans="1:20" x14ac:dyDescent="0.25">
      <c r="A179" s="5">
        <v>44414</v>
      </c>
      <c r="B179">
        <v>139.36000000000001</v>
      </c>
      <c r="C179">
        <v>142.27000000000001</v>
      </c>
      <c r="D179">
        <v>132.25</v>
      </c>
      <c r="E179">
        <v>141.78</v>
      </c>
      <c r="F179">
        <v>17589.4411</v>
      </c>
      <c r="G179">
        <v>141.78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0.90219560878243343</v>
      </c>
      <c r="Q179">
        <f t="shared" ref="Q179" si="871">F179*P179</f>
        <v>15869.116521357255</v>
      </c>
      <c r="R179">
        <f t="shared" ref="R179" si="872">R180+Q179</f>
        <v>656140.92697167548</v>
      </c>
      <c r="S179">
        <f t="shared" ref="S179" si="873">R179/100000</f>
        <v>6.561409269716755</v>
      </c>
      <c r="T179">
        <f t="shared" ref="T179" si="874">S179/1000</f>
        <v>6.5614092697167548E-3</v>
      </c>
    </row>
    <row r="180" spans="1:20" x14ac:dyDescent="0.25">
      <c r="A180" s="5">
        <v>44413</v>
      </c>
      <c r="B180">
        <v>136.54</v>
      </c>
      <c r="C180">
        <v>140.4</v>
      </c>
      <c r="D180">
        <v>131.19</v>
      </c>
      <c r="E180">
        <v>138.88</v>
      </c>
      <c r="F180">
        <v>13560.9869</v>
      </c>
      <c r="G180">
        <v>138.88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0.66992399565689276</v>
      </c>
      <c r="Q180">
        <f t="shared" ref="Q180" si="876">F180*P180</f>
        <v>9084.8305290987792</v>
      </c>
      <c r="R180">
        <f t="shared" ref="R180" si="877">R181+Q180</f>
        <v>640271.81045031827</v>
      </c>
      <c r="S180">
        <f t="shared" ref="S180" si="878">R180/100000</f>
        <v>6.4027181045031831</v>
      </c>
      <c r="T180">
        <f t="shared" ref="T180" si="879">S180/1000</f>
        <v>6.402718104503183E-3</v>
      </c>
    </row>
    <row r="181" spans="1:20" x14ac:dyDescent="0.25">
      <c r="A181" s="5">
        <v>44412</v>
      </c>
      <c r="B181">
        <v>126.79</v>
      </c>
      <c r="C181">
        <v>136.77000000000001</v>
      </c>
      <c r="D181">
        <v>126.22</v>
      </c>
      <c r="E181">
        <v>136.16999999999999</v>
      </c>
      <c r="F181">
        <v>12014.380499999999</v>
      </c>
      <c r="G181">
        <v>136.16999999999999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0.88625592417061194</v>
      </c>
      <c r="Q181">
        <f t="shared" ref="Q181" si="881">F181*P181</f>
        <v>10647.815893364877</v>
      </c>
      <c r="R181">
        <f t="shared" ref="R181" si="882">R182+Q181</f>
        <v>631186.97992121952</v>
      </c>
      <c r="S181">
        <f t="shared" ref="S181" si="883">R181/100000</f>
        <v>6.3118697992121948</v>
      </c>
      <c r="T181">
        <f t="shared" ref="T181" si="884">S181/1000</f>
        <v>6.311869799212195E-3</v>
      </c>
    </row>
    <row r="182" spans="1:20" x14ac:dyDescent="0.25">
      <c r="A182" s="5">
        <v>44411</v>
      </c>
      <c r="B182">
        <v>134.80000000000001</v>
      </c>
      <c r="C182">
        <v>135.19999999999999</v>
      </c>
      <c r="D182">
        <v>125</v>
      </c>
      <c r="E182">
        <v>126.59</v>
      </c>
      <c r="F182">
        <v>20086.301800000001</v>
      </c>
      <c r="G182">
        <v>126.59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-0.68823529411764606</v>
      </c>
      <c r="Q182">
        <f t="shared" ref="Q182" si="886">F182*P182</f>
        <v>-13824.101827058805</v>
      </c>
      <c r="R182">
        <f t="shared" ref="R182" si="887">R183+Q182</f>
        <v>620539.16402785468</v>
      </c>
      <c r="S182">
        <f t="shared" ref="S182" si="888">R182/100000</f>
        <v>6.2053916402785472</v>
      </c>
      <c r="T182">
        <f t="shared" ref="T182" si="889">S182/1000</f>
        <v>6.2053916402785474E-3</v>
      </c>
    </row>
    <row r="183" spans="1:20" x14ac:dyDescent="0.25">
      <c r="A183" s="5">
        <v>44410</v>
      </c>
      <c r="B183">
        <v>148.96</v>
      </c>
      <c r="C183">
        <v>150.33000000000001</v>
      </c>
      <c r="D183">
        <v>134.79</v>
      </c>
      <c r="E183">
        <v>134.86000000000001</v>
      </c>
      <c r="F183">
        <v>21812.940399999999</v>
      </c>
      <c r="G183">
        <v>134.86000000000001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-0.9909909909909882</v>
      </c>
      <c r="Q183">
        <f t="shared" ref="Q183" si="891">F183*P183</f>
        <v>-21616.427423423364</v>
      </c>
      <c r="R183">
        <f t="shared" ref="R183" si="892">R184+Q183</f>
        <v>634363.26585491351</v>
      </c>
      <c r="S183">
        <f t="shared" ref="S183" si="893">R183/100000</f>
        <v>6.3436326585491347</v>
      </c>
      <c r="T183">
        <f t="shared" ref="T183" si="894">S183/1000</f>
        <v>6.3436326585491346E-3</v>
      </c>
    </row>
    <row r="184" spans="1:20" x14ac:dyDescent="0.25">
      <c r="A184" s="5">
        <v>44409</v>
      </c>
      <c r="B184">
        <v>155.72</v>
      </c>
      <c r="C184">
        <v>158.93</v>
      </c>
      <c r="D184">
        <v>148.1</v>
      </c>
      <c r="E184">
        <v>149.02000000000001</v>
      </c>
      <c r="F184">
        <v>8868.3565999999992</v>
      </c>
      <c r="G184">
        <v>149.02000000000001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-0.83010156971375537</v>
      </c>
      <c r="Q184">
        <f t="shared" ref="Q184" si="896">F184*P184</f>
        <v>-7361.636734441342</v>
      </c>
      <c r="R184">
        <f t="shared" ref="R184" si="897">R185+Q184</f>
        <v>655979.6932783369</v>
      </c>
      <c r="S184">
        <f t="shared" ref="S184" si="898">R184/100000</f>
        <v>6.5597969327833692</v>
      </c>
      <c r="T184">
        <f t="shared" ref="T184" si="899">S184/1000</f>
        <v>6.5597969327833693E-3</v>
      </c>
    </row>
    <row r="185" spans="1:20" x14ac:dyDescent="0.25">
      <c r="A185" s="5">
        <v>44408</v>
      </c>
      <c r="B185">
        <v>152.91999999999999</v>
      </c>
      <c r="C185">
        <v>158</v>
      </c>
      <c r="D185">
        <v>147.97999999999999</v>
      </c>
      <c r="E185">
        <v>155.69</v>
      </c>
      <c r="F185">
        <v>8611.7837999999992</v>
      </c>
      <c r="G185">
        <v>155.69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0.53892215568862278</v>
      </c>
      <c r="Q185">
        <f t="shared" ref="Q185" si="901">F185*P185</f>
        <v>4641.081089820359</v>
      </c>
      <c r="R185">
        <f t="shared" ref="R185" si="902">R186+Q185</f>
        <v>663341.33001277829</v>
      </c>
      <c r="S185">
        <f t="shared" ref="S185" si="903">R185/100000</f>
        <v>6.6334133001277831</v>
      </c>
      <c r="T185">
        <f t="shared" ref="T185" si="904">S185/1000</f>
        <v>6.6334133001277832E-3</v>
      </c>
    </row>
    <row r="186" spans="1:20" x14ac:dyDescent="0.25">
      <c r="A186" s="5">
        <v>44407</v>
      </c>
      <c r="B186">
        <v>143.29</v>
      </c>
      <c r="C186">
        <v>152.96</v>
      </c>
      <c r="D186">
        <v>128.91</v>
      </c>
      <c r="E186">
        <v>152.30000000000001</v>
      </c>
      <c r="F186">
        <v>10218.257799999999</v>
      </c>
      <c r="G186">
        <v>152.30000000000001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0.94511434511434544</v>
      </c>
      <c r="Q186">
        <f t="shared" ref="Q186" si="906">F186*P186</f>
        <v>9657.4220288565521</v>
      </c>
      <c r="R186">
        <f t="shared" ref="R186" si="907">R187+Q186</f>
        <v>658700.24892295792</v>
      </c>
      <c r="S186">
        <f t="shared" ref="S186" si="908">R186/100000</f>
        <v>6.5870024892295795</v>
      </c>
      <c r="T186">
        <f t="shared" ref="T186" si="909">S186/1000</f>
        <v>6.5870024892295794E-3</v>
      </c>
    </row>
    <row r="187" spans="1:20" x14ac:dyDescent="0.25">
      <c r="A187" s="5">
        <v>44406</v>
      </c>
      <c r="B187">
        <v>138.53</v>
      </c>
      <c r="C187">
        <v>144.6</v>
      </c>
      <c r="D187">
        <v>134.54</v>
      </c>
      <c r="E187">
        <v>142.86000000000001</v>
      </c>
      <c r="F187">
        <v>5632.0402999999997</v>
      </c>
      <c r="G187">
        <v>142.86000000000001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0.65407554671968582</v>
      </c>
      <c r="Q187">
        <f t="shared" ref="Q187" si="911">F187*P187</f>
        <v>3683.7798383698032</v>
      </c>
      <c r="R187">
        <f t="shared" ref="R187" si="912">R188+Q187</f>
        <v>649042.82689410134</v>
      </c>
      <c r="S187">
        <f t="shared" ref="S187" si="913">R187/100000</f>
        <v>6.4904282689410131</v>
      </c>
      <c r="T187">
        <f t="shared" ref="T187" si="914">S187/1000</f>
        <v>6.490428268941013E-3</v>
      </c>
    </row>
    <row r="188" spans="1:20" x14ac:dyDescent="0.25">
      <c r="A188" s="5">
        <v>44405</v>
      </c>
      <c r="B188">
        <v>136.44999999999999</v>
      </c>
      <c r="C188">
        <v>143.19999999999999</v>
      </c>
      <c r="D188">
        <v>134.16999999999999</v>
      </c>
      <c r="E188">
        <v>138.22</v>
      </c>
      <c r="F188">
        <v>8924.9963000000007</v>
      </c>
      <c r="G188">
        <v>138.22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-0.10299003322258896</v>
      </c>
      <c r="Q188">
        <f t="shared" ref="Q188" si="916">F188*P188</f>
        <v>-919.18566544848363</v>
      </c>
      <c r="R188">
        <f t="shared" ref="R188" si="917">R189+Q188</f>
        <v>645359.04705573153</v>
      </c>
      <c r="S188">
        <f t="shared" ref="S188" si="918">R188/100000</f>
        <v>6.4535904705573151</v>
      </c>
      <c r="T188">
        <f t="shared" ref="T188" si="919">S188/1000</f>
        <v>6.4535904705573148E-3</v>
      </c>
    </row>
    <row r="189" spans="1:20" x14ac:dyDescent="0.25">
      <c r="A189" s="5">
        <v>44404</v>
      </c>
      <c r="B189">
        <v>130.04</v>
      </c>
      <c r="C189">
        <v>136.38999999999999</v>
      </c>
      <c r="D189">
        <v>122.83</v>
      </c>
      <c r="E189">
        <v>136</v>
      </c>
      <c r="F189">
        <v>4666.6082999999999</v>
      </c>
      <c r="G189">
        <v>136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0.9424778761061966</v>
      </c>
      <c r="Q189">
        <f t="shared" ref="Q189" si="921">F189*P189</f>
        <v>4398.1750792035482</v>
      </c>
      <c r="R189">
        <f t="shared" ref="R189" si="922">R190+Q189</f>
        <v>646278.23272117996</v>
      </c>
      <c r="S189">
        <f t="shared" ref="S189" si="923">R189/100000</f>
        <v>6.4627823272117997</v>
      </c>
      <c r="T189">
        <f t="shared" ref="T189" si="924">S189/1000</f>
        <v>6.4627823272117996E-3</v>
      </c>
    </row>
    <row r="190" spans="1:20" x14ac:dyDescent="0.25">
      <c r="A190" s="5">
        <v>44403</v>
      </c>
      <c r="B190">
        <v>131.22999999999999</v>
      </c>
      <c r="C190">
        <v>142.31</v>
      </c>
      <c r="D190">
        <v>127.22</v>
      </c>
      <c r="E190">
        <v>130.03</v>
      </c>
      <c r="F190">
        <v>8809.9323999999997</v>
      </c>
      <c r="G190">
        <v>130.03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-0.62756792577866116</v>
      </c>
      <c r="Q190">
        <f t="shared" ref="Q190" si="926">F190*P190</f>
        <v>-5528.8310025182218</v>
      </c>
      <c r="R190">
        <f t="shared" ref="R190" si="927">R191+Q190</f>
        <v>641880.0576419764</v>
      </c>
      <c r="S190">
        <f t="shared" ref="S190" si="928">R190/100000</f>
        <v>6.4188005764197635</v>
      </c>
      <c r="T190">
        <f t="shared" ref="T190" si="929">S190/1000</f>
        <v>6.4188005764197632E-3</v>
      </c>
    </row>
    <row r="191" spans="1:20" x14ac:dyDescent="0.25">
      <c r="A191" s="5">
        <v>44402</v>
      </c>
      <c r="B191">
        <v>128.86000000000001</v>
      </c>
      <c r="C191">
        <v>131.53</v>
      </c>
      <c r="D191">
        <v>123.79</v>
      </c>
      <c r="E191">
        <v>131.22999999999999</v>
      </c>
      <c r="F191">
        <v>6056.5348000000004</v>
      </c>
      <c r="G191">
        <v>131.22999999999999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0.92248062015503574</v>
      </c>
      <c r="Q191">
        <f t="shared" ref="Q191" si="931">F191*P191</f>
        <v>5587.0359782945552</v>
      </c>
      <c r="R191">
        <f t="shared" ref="R191" si="932">R192+Q191</f>
        <v>647408.88864449458</v>
      </c>
      <c r="S191">
        <f t="shared" ref="S191" si="933">R191/100000</f>
        <v>6.474088886444946</v>
      </c>
      <c r="T191">
        <f t="shared" ref="T191:T197" si="934">S191/1000</f>
        <v>6.4740888864449463E-3</v>
      </c>
    </row>
    <row r="192" spans="1:20" x14ac:dyDescent="0.25">
      <c r="A192" s="5">
        <v>44401</v>
      </c>
      <c r="B192">
        <v>120.55</v>
      </c>
      <c r="C192">
        <v>129.46</v>
      </c>
      <c r="D192">
        <v>119.85</v>
      </c>
      <c r="E192">
        <v>128.91999999999999</v>
      </c>
      <c r="F192">
        <v>6597.7572</v>
      </c>
      <c r="G192">
        <v>128.91999999999999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0.88761706555670761</v>
      </c>
      <c r="Q192">
        <f t="shared" ref="Q192" si="936">F192*P192</f>
        <v>5856.2818851196398</v>
      </c>
      <c r="R192">
        <f t="shared" ref="R192" si="937">R193+Q192</f>
        <v>641821.85266620002</v>
      </c>
      <c r="S192">
        <f t="shared" ref="S192" si="938">R192/100000</f>
        <v>6.4182185266620007</v>
      </c>
      <c r="T192">
        <f t="shared" si="934"/>
        <v>6.4182185266620003E-3</v>
      </c>
    </row>
    <row r="193" spans="1:20" x14ac:dyDescent="0.25">
      <c r="A193" s="5">
        <v>44400</v>
      </c>
      <c r="B193">
        <v>117.44</v>
      </c>
      <c r="C193">
        <v>121</v>
      </c>
      <c r="D193">
        <v>112.21</v>
      </c>
      <c r="E193">
        <v>121</v>
      </c>
      <c r="F193">
        <v>4200.3504999999996</v>
      </c>
      <c r="G193">
        <v>121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1</v>
      </c>
      <c r="Q193">
        <f t="shared" ref="Q193" si="940">F193*P193</f>
        <v>4200.3504999999996</v>
      </c>
      <c r="R193">
        <f t="shared" ref="R193" si="941">R194+Q193</f>
        <v>635965.5707810804</v>
      </c>
      <c r="S193">
        <f t="shared" ref="S193" si="942">R193/100000</f>
        <v>6.3596557078108038</v>
      </c>
      <c r="T193">
        <f t="shared" si="934"/>
        <v>6.3596557078108035E-3</v>
      </c>
    </row>
    <row r="194" spans="1:20" x14ac:dyDescent="0.25">
      <c r="A194" s="5">
        <v>44399</v>
      </c>
      <c r="B194">
        <v>111.9</v>
      </c>
      <c r="C194">
        <v>120</v>
      </c>
      <c r="D194">
        <v>110.89</v>
      </c>
      <c r="E194">
        <v>117.46</v>
      </c>
      <c r="F194">
        <v>6640.8125</v>
      </c>
      <c r="G194">
        <v>117.46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0.44237102085620056</v>
      </c>
      <c r="Q194">
        <f t="shared" ref="Q194" si="944">F194*P194</f>
        <v>2937.7030049396176</v>
      </c>
      <c r="R194">
        <f t="shared" ref="R194" si="945">R195+Q194</f>
        <v>631765.22028108046</v>
      </c>
      <c r="S194">
        <f t="shared" ref="S194" si="946">R194/100000</f>
        <v>6.3176522028108044</v>
      </c>
      <c r="T194">
        <f t="shared" si="934"/>
        <v>6.3176522028108046E-3</v>
      </c>
    </row>
    <row r="195" spans="1:20" x14ac:dyDescent="0.25">
      <c r="A195" s="5">
        <v>44398</v>
      </c>
      <c r="B195">
        <v>100.78</v>
      </c>
      <c r="C195">
        <v>112.58</v>
      </c>
      <c r="D195">
        <v>97.91</v>
      </c>
      <c r="E195">
        <v>111.87</v>
      </c>
      <c r="F195">
        <v>9093.4621999999999</v>
      </c>
      <c r="G195">
        <v>111.87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0.90320381731424759</v>
      </c>
      <c r="Q195">
        <f t="shared" ref="Q195" si="948">F195*P195</f>
        <v>8213.2497716428152</v>
      </c>
      <c r="R195">
        <f t="shared" ref="R195" si="949">R196+Q195</f>
        <v>628827.51727614086</v>
      </c>
      <c r="S195">
        <f t="shared" ref="S195" si="950">R195/100000</f>
        <v>6.2882751727614083</v>
      </c>
      <c r="T195">
        <f t="shared" si="934"/>
        <v>6.2882751727614088E-3</v>
      </c>
    </row>
    <row r="196" spans="1:20" x14ac:dyDescent="0.25">
      <c r="A196" s="5">
        <v>44397</v>
      </c>
      <c r="B196">
        <v>101.41</v>
      </c>
      <c r="C196">
        <v>102.38</v>
      </c>
      <c r="D196">
        <v>90.98</v>
      </c>
      <c r="E196">
        <v>100.97</v>
      </c>
      <c r="F196">
        <v>9205.2062000000005</v>
      </c>
      <c r="G196">
        <v>100.97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0.75263157894736887</v>
      </c>
      <c r="Q196">
        <f t="shared" ref="Q196" si="952">F196*P196</f>
        <v>6928.12887684211</v>
      </c>
      <c r="R196">
        <f t="shared" ref="R196" si="953">R197+Q196</f>
        <v>620614.26750449801</v>
      </c>
      <c r="S196">
        <f t="shared" ref="S196" si="954">R196/100000</f>
        <v>6.2061426750449797</v>
      </c>
      <c r="T196">
        <f t="shared" si="934"/>
        <v>6.2061426750449795E-3</v>
      </c>
    </row>
    <row r="197" spans="1:20" x14ac:dyDescent="0.25">
      <c r="A197" s="5">
        <v>44396</v>
      </c>
      <c r="B197">
        <v>115.14</v>
      </c>
      <c r="C197">
        <v>115.83</v>
      </c>
      <c r="D197">
        <v>100.21</v>
      </c>
      <c r="E197">
        <v>101.81</v>
      </c>
      <c r="F197">
        <v>7729.8145000000004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-0.79513444302176595</v>
      </c>
      <c r="Q197">
        <f t="shared" ref="Q197" si="956">F197*P197</f>
        <v>-6146.2417471190702</v>
      </c>
      <c r="R197">
        <f t="shared" ref="R197" si="957">R198+Q197</f>
        <v>613686.13862765592</v>
      </c>
      <c r="S197">
        <f t="shared" ref="S197" si="958">R197/100000</f>
        <v>6.1368613862765589</v>
      </c>
      <c r="T197">
        <f t="shared" si="934"/>
        <v>6.1368613862765589E-3</v>
      </c>
    </row>
    <row r="198" spans="1:20" x14ac:dyDescent="0.25">
      <c r="A198" s="5">
        <v>44395</v>
      </c>
      <c r="B198">
        <v>115.97</v>
      </c>
      <c r="C198">
        <v>120</v>
      </c>
      <c r="D198">
        <v>111.79</v>
      </c>
      <c r="E198">
        <v>114.66</v>
      </c>
      <c r="F198">
        <v>4961.0178999999998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-0.30085261875761449</v>
      </c>
      <c r="Q198">
        <f t="shared" ref="Q198:Q261" si="960">F198*P198</f>
        <v>-1492.5352269184011</v>
      </c>
      <c r="R198">
        <f t="shared" ref="R198:R261" si="961">R199+Q198</f>
        <v>619832.38037477504</v>
      </c>
      <c r="S198">
        <f t="shared" ref="S198:S261" si="962">R198/100000</f>
        <v>6.1983238037477504</v>
      </c>
      <c r="T198">
        <f t="shared" ref="T198:T261" si="963">S198/1000</f>
        <v>6.1983238037477502E-3</v>
      </c>
    </row>
    <row r="199" spans="1:20" x14ac:dyDescent="0.25">
      <c r="A199" s="5">
        <v>44394</v>
      </c>
      <c r="B199">
        <v>113.11</v>
      </c>
      <c r="C199">
        <v>118</v>
      </c>
      <c r="D199">
        <v>109.93</v>
      </c>
      <c r="E199">
        <v>116.58</v>
      </c>
      <c r="F199">
        <v>5890.6754000000001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0.64807930607187036</v>
      </c>
      <c r="Q199">
        <f t="shared" si="960"/>
        <v>3817.6248255266373</v>
      </c>
      <c r="R199">
        <f t="shared" si="961"/>
        <v>621324.91560169344</v>
      </c>
      <c r="S199">
        <f t="shared" si="962"/>
        <v>6.2132491560169347</v>
      </c>
      <c r="T199">
        <f t="shared" si="963"/>
        <v>6.2132491560169343E-3</v>
      </c>
    </row>
    <row r="200" spans="1:20" x14ac:dyDescent="0.25">
      <c r="A200" s="5">
        <v>44393</v>
      </c>
      <c r="B200">
        <v>113.07</v>
      </c>
      <c r="C200">
        <v>115.94</v>
      </c>
      <c r="D200">
        <v>110.06</v>
      </c>
      <c r="E200">
        <v>113.1</v>
      </c>
      <c r="F200">
        <v>6917.7884999999997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3.4013605442174966E-2</v>
      </c>
      <c r="Q200">
        <f t="shared" si="960"/>
        <v>235.29892857141539</v>
      </c>
      <c r="R200">
        <f t="shared" si="961"/>
        <v>617507.29077616683</v>
      </c>
      <c r="S200">
        <f t="shared" si="962"/>
        <v>6.1750729077616686</v>
      </c>
      <c r="T200">
        <f t="shared" si="963"/>
        <v>6.175072907761669E-3</v>
      </c>
    </row>
    <row r="201" spans="1:20" x14ac:dyDescent="0.25">
      <c r="A201" s="5">
        <v>44392</v>
      </c>
      <c r="B201">
        <v>114.74</v>
      </c>
      <c r="C201">
        <v>116.1</v>
      </c>
      <c r="D201">
        <v>109.78</v>
      </c>
      <c r="E201">
        <v>112.83</v>
      </c>
      <c r="F201">
        <v>6249.1469999999999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-3.481012658227834E-2</v>
      </c>
      <c r="Q201">
        <f t="shared" si="960"/>
        <v>-217.53359810126494</v>
      </c>
      <c r="R201">
        <f t="shared" si="961"/>
        <v>617271.99184759543</v>
      </c>
      <c r="S201">
        <f t="shared" si="962"/>
        <v>6.1727199184759547</v>
      </c>
      <c r="T201">
        <f t="shared" si="963"/>
        <v>6.1727199184759543E-3</v>
      </c>
    </row>
    <row r="202" spans="1:20" x14ac:dyDescent="0.25">
      <c r="A202" s="5">
        <v>44391</v>
      </c>
      <c r="B202">
        <v>123.79</v>
      </c>
      <c r="C202">
        <v>124.79</v>
      </c>
      <c r="D202">
        <v>113.7</v>
      </c>
      <c r="E202">
        <v>114.71</v>
      </c>
      <c r="F202">
        <v>9746.625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-0.81785392245266175</v>
      </c>
      <c r="Q202">
        <f t="shared" si="960"/>
        <v>-7971.3154869251739</v>
      </c>
      <c r="R202">
        <f t="shared" si="961"/>
        <v>617489.52544569666</v>
      </c>
      <c r="S202">
        <f t="shared" si="962"/>
        <v>6.1748952544569669</v>
      </c>
      <c r="T202">
        <f t="shared" si="963"/>
        <v>6.1748952544569665E-3</v>
      </c>
    </row>
    <row r="203" spans="1:20" x14ac:dyDescent="0.25">
      <c r="A203" s="5">
        <v>44390</v>
      </c>
      <c r="B203">
        <v>127.33</v>
      </c>
      <c r="C203">
        <v>128.66999999999999</v>
      </c>
      <c r="D203">
        <v>122</v>
      </c>
      <c r="E203">
        <v>123.78</v>
      </c>
      <c r="F203">
        <v>3881.2175000000002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-0.46626686656671529</v>
      </c>
      <c r="Q203">
        <f t="shared" si="960"/>
        <v>-1809.6831221889004</v>
      </c>
      <c r="R203">
        <f t="shared" si="961"/>
        <v>625460.84093262185</v>
      </c>
      <c r="S203">
        <f t="shared" si="962"/>
        <v>6.2546084093262184</v>
      </c>
      <c r="T203">
        <f t="shared" si="963"/>
        <v>6.2546084093262188E-3</v>
      </c>
    </row>
    <row r="204" spans="1:20" x14ac:dyDescent="0.25">
      <c r="A204" s="5">
        <v>44389</v>
      </c>
      <c r="B204">
        <v>133.57</v>
      </c>
      <c r="C204">
        <v>139</v>
      </c>
      <c r="D204">
        <v>125.53</v>
      </c>
      <c r="E204">
        <v>127.33</v>
      </c>
      <c r="F204">
        <v>5435.3553000000002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-0.73273942093541244</v>
      </c>
      <c r="Q204">
        <f t="shared" si="960"/>
        <v>-3982.6990951002249</v>
      </c>
      <c r="R204">
        <f t="shared" si="961"/>
        <v>627270.52405481075</v>
      </c>
      <c r="S204">
        <f t="shared" si="962"/>
        <v>6.2727052405481079</v>
      </c>
      <c r="T204">
        <f t="shared" si="963"/>
        <v>6.2727052405481074E-3</v>
      </c>
    </row>
    <row r="205" spans="1:20" x14ac:dyDescent="0.25">
      <c r="A205" s="5">
        <v>44388</v>
      </c>
      <c r="B205">
        <v>133.44999999999999</v>
      </c>
      <c r="C205">
        <v>137</v>
      </c>
      <c r="D205">
        <v>128.72</v>
      </c>
      <c r="E205">
        <v>133.56</v>
      </c>
      <c r="F205">
        <v>5966.3185000000003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0.1690821256038654</v>
      </c>
      <c r="Q205">
        <f t="shared" si="960"/>
        <v>1008.7978140096659</v>
      </c>
      <c r="R205">
        <f t="shared" si="961"/>
        <v>631253.22314991103</v>
      </c>
      <c r="S205">
        <f t="shared" si="962"/>
        <v>6.3125322314991106</v>
      </c>
      <c r="T205">
        <f t="shared" si="963"/>
        <v>6.3125322314991107E-3</v>
      </c>
    </row>
    <row r="206" spans="1:20" x14ac:dyDescent="0.25">
      <c r="A206" s="5">
        <v>44387</v>
      </c>
      <c r="B206">
        <v>131.51</v>
      </c>
      <c r="C206">
        <v>134.65</v>
      </c>
      <c r="D206">
        <v>128.74</v>
      </c>
      <c r="E206">
        <v>133.59</v>
      </c>
      <c r="F206">
        <v>5100.5375999999997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0.64128595600676719</v>
      </c>
      <c r="Q206">
        <f t="shared" si="960"/>
        <v>3270.9031309644615</v>
      </c>
      <c r="R206">
        <f t="shared" si="961"/>
        <v>630244.42533590132</v>
      </c>
      <c r="S206">
        <f t="shared" si="962"/>
        <v>6.3024442533590133</v>
      </c>
      <c r="T206">
        <f t="shared" si="963"/>
        <v>6.3024442533590134E-3</v>
      </c>
    </row>
    <row r="207" spans="1:20" x14ac:dyDescent="0.25">
      <c r="A207" s="5">
        <v>44386</v>
      </c>
      <c r="B207">
        <v>121.39</v>
      </c>
      <c r="C207">
        <v>134.09</v>
      </c>
      <c r="D207">
        <v>117.39</v>
      </c>
      <c r="E207">
        <v>131.51</v>
      </c>
      <c r="F207">
        <v>5181.8082000000004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0.6910179640718549</v>
      </c>
      <c r="Q207">
        <f t="shared" si="960"/>
        <v>3580.7225525748436</v>
      </c>
      <c r="R207">
        <f t="shared" si="961"/>
        <v>626973.52220493683</v>
      </c>
      <c r="S207">
        <f t="shared" si="962"/>
        <v>6.2697352220493681</v>
      </c>
      <c r="T207">
        <f t="shared" si="963"/>
        <v>6.2697352220493678E-3</v>
      </c>
    </row>
    <row r="208" spans="1:20" x14ac:dyDescent="0.25">
      <c r="A208" s="5">
        <v>44385</v>
      </c>
      <c r="B208">
        <v>136.6</v>
      </c>
      <c r="C208">
        <v>137.30000000000001</v>
      </c>
      <c r="D208">
        <v>118.18</v>
      </c>
      <c r="E208">
        <v>121.44</v>
      </c>
      <c r="F208">
        <v>16454.4804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-0.65899581589958267</v>
      </c>
      <c r="Q208">
        <f t="shared" si="960"/>
        <v>-10843.433736401692</v>
      </c>
      <c r="R208">
        <f t="shared" si="961"/>
        <v>623392.79965236201</v>
      </c>
      <c r="S208">
        <f t="shared" si="962"/>
        <v>6.2339279965236205</v>
      </c>
      <c r="T208">
        <f t="shared" si="963"/>
        <v>6.2339279965236208E-3</v>
      </c>
    </row>
    <row r="209" spans="1:20" x14ac:dyDescent="0.25">
      <c r="A209" s="5">
        <v>44384</v>
      </c>
      <c r="B209">
        <v>139.77000000000001</v>
      </c>
      <c r="C209">
        <v>141</v>
      </c>
      <c r="D209">
        <v>136.5</v>
      </c>
      <c r="E209">
        <v>136.5</v>
      </c>
      <c r="F209">
        <v>4093.1984000000002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-1</v>
      </c>
      <c r="Q209">
        <f t="shared" si="960"/>
        <v>-4093.1984000000002</v>
      </c>
      <c r="R209">
        <f t="shared" si="961"/>
        <v>634236.23338876374</v>
      </c>
      <c r="S209">
        <f t="shared" si="962"/>
        <v>6.3423623338876371</v>
      </c>
      <c r="T209">
        <f t="shared" si="963"/>
        <v>6.342362333887637E-3</v>
      </c>
    </row>
    <row r="210" spans="1:20" x14ac:dyDescent="0.25">
      <c r="A210" s="5">
        <v>44383</v>
      </c>
      <c r="B210">
        <v>137.13999999999999</v>
      </c>
      <c r="C210">
        <v>141.49</v>
      </c>
      <c r="D210">
        <v>134.69</v>
      </c>
      <c r="E210">
        <v>139.77000000000001</v>
      </c>
      <c r="F210">
        <v>7804.9897000000001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0.49411764705882472</v>
      </c>
      <c r="Q210">
        <f t="shared" si="960"/>
        <v>3856.5831458823623</v>
      </c>
      <c r="R210">
        <f t="shared" si="961"/>
        <v>638329.43178876373</v>
      </c>
      <c r="S210">
        <f t="shared" si="962"/>
        <v>6.3832943178876373</v>
      </c>
      <c r="T210">
        <f t="shared" si="963"/>
        <v>6.3832943178876375E-3</v>
      </c>
    </row>
    <row r="211" spans="1:20" x14ac:dyDescent="0.25">
      <c r="A211" s="5">
        <v>44382</v>
      </c>
      <c r="B211">
        <v>138.88999999999999</v>
      </c>
      <c r="C211">
        <v>141.5</v>
      </c>
      <c r="D211">
        <v>132</v>
      </c>
      <c r="E211">
        <v>137.15</v>
      </c>
      <c r="F211">
        <v>8310.3001999999997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8.4210526315790665E-2</v>
      </c>
      <c r="Q211">
        <f t="shared" si="960"/>
        <v>699.81475368422036</v>
      </c>
      <c r="R211">
        <f t="shared" si="961"/>
        <v>634472.84864288138</v>
      </c>
      <c r="S211">
        <f t="shared" si="962"/>
        <v>6.3447284864288136</v>
      </c>
      <c r="T211">
        <f t="shared" si="963"/>
        <v>6.3447284864288139E-3</v>
      </c>
    </row>
    <row r="212" spans="1:20" x14ac:dyDescent="0.25">
      <c r="A212" s="5">
        <v>44381</v>
      </c>
      <c r="B212">
        <v>148.1</v>
      </c>
      <c r="C212">
        <v>149.80000000000001</v>
      </c>
      <c r="D212">
        <v>136.69</v>
      </c>
      <c r="E212">
        <v>138.41999999999999</v>
      </c>
      <c r="F212">
        <v>8307.8755999999994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-0.73607932875667614</v>
      </c>
      <c r="Q212">
        <f t="shared" si="960"/>
        <v>-6115.2554950419681</v>
      </c>
      <c r="R212">
        <f t="shared" si="961"/>
        <v>633773.03388919716</v>
      </c>
      <c r="S212">
        <f t="shared" si="962"/>
        <v>6.3377303388919719</v>
      </c>
      <c r="T212">
        <f t="shared" si="963"/>
        <v>6.3377303388919715E-3</v>
      </c>
    </row>
    <row r="213" spans="1:20" x14ac:dyDescent="0.25">
      <c r="A213" s="5">
        <v>44380</v>
      </c>
      <c r="B213">
        <v>140.68</v>
      </c>
      <c r="C213">
        <v>149</v>
      </c>
      <c r="D213">
        <v>138</v>
      </c>
      <c r="E213">
        <v>148.13999999999999</v>
      </c>
      <c r="F213">
        <v>5989.8374999999996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0.84363636363636119</v>
      </c>
      <c r="Q213">
        <f t="shared" si="960"/>
        <v>5053.2447272727122</v>
      </c>
      <c r="R213">
        <f t="shared" si="961"/>
        <v>639888.28938423912</v>
      </c>
      <c r="S213">
        <f t="shared" si="962"/>
        <v>6.3988828938423916</v>
      </c>
      <c r="T213">
        <f t="shared" si="963"/>
        <v>6.3988828938423914E-3</v>
      </c>
    </row>
    <row r="214" spans="1:20" x14ac:dyDescent="0.25">
      <c r="A214" s="5">
        <v>44379</v>
      </c>
      <c r="B214">
        <v>135.02000000000001</v>
      </c>
      <c r="C214">
        <v>143.26</v>
      </c>
      <c r="D214">
        <v>129.22</v>
      </c>
      <c r="E214">
        <v>140.99</v>
      </c>
      <c r="F214">
        <v>12961.7184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0.67663817663817905</v>
      </c>
      <c r="Q214">
        <f t="shared" si="960"/>
        <v>8770.3935042735357</v>
      </c>
      <c r="R214">
        <f t="shared" si="961"/>
        <v>634835.04465696646</v>
      </c>
      <c r="S214">
        <f t="shared" si="962"/>
        <v>6.3483504465696647</v>
      </c>
      <c r="T214">
        <f t="shared" si="963"/>
        <v>6.3483504465696649E-3</v>
      </c>
    </row>
    <row r="215" spans="1:20" x14ac:dyDescent="0.25">
      <c r="A215" s="5">
        <v>44378</v>
      </c>
      <c r="B215">
        <v>143.18</v>
      </c>
      <c r="C215">
        <v>144.61000000000001</v>
      </c>
      <c r="D215">
        <v>127.36</v>
      </c>
      <c r="E215">
        <v>135.03</v>
      </c>
      <c r="F215">
        <v>12324.505300000001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-0.11072463768115995</v>
      </c>
      <c r="Q215">
        <f t="shared" si="960"/>
        <v>-1364.6263839420355</v>
      </c>
      <c r="R215">
        <f t="shared" si="961"/>
        <v>626064.65115269297</v>
      </c>
      <c r="S215">
        <f t="shared" si="962"/>
        <v>6.2606465115269296</v>
      </c>
      <c r="T215">
        <f t="shared" si="963"/>
        <v>6.2606465115269292E-3</v>
      </c>
    </row>
    <row r="216" spans="1:20" x14ac:dyDescent="0.25">
      <c r="A216" s="5">
        <v>44377</v>
      </c>
      <c r="B216">
        <v>147.47</v>
      </c>
      <c r="C216">
        <v>149.94999999999999</v>
      </c>
      <c r="D216">
        <v>134.1</v>
      </c>
      <c r="E216">
        <v>142.69999999999999</v>
      </c>
      <c r="F216">
        <v>13359.2942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8.5173501577286745E-2</v>
      </c>
      <c r="Q216">
        <f t="shared" si="960"/>
        <v>1137.8578656151376</v>
      </c>
      <c r="R216">
        <f t="shared" si="961"/>
        <v>627429.27753663505</v>
      </c>
      <c r="S216">
        <f t="shared" si="962"/>
        <v>6.2742927753663507</v>
      </c>
      <c r="T216">
        <f t="shared" si="963"/>
        <v>6.2742927753663509E-3</v>
      </c>
    </row>
    <row r="217" spans="1:20" x14ac:dyDescent="0.25">
      <c r="A217" s="5">
        <v>44376</v>
      </c>
      <c r="B217">
        <v>131.72</v>
      </c>
      <c r="C217">
        <v>148.80000000000001</v>
      </c>
      <c r="D217">
        <v>130.09</v>
      </c>
      <c r="E217">
        <v>147.69</v>
      </c>
      <c r="F217">
        <v>11950.4141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0.8813468733297688</v>
      </c>
      <c r="Q217">
        <f t="shared" si="960"/>
        <v>10532.460102030984</v>
      </c>
      <c r="R217">
        <f t="shared" si="961"/>
        <v>626291.41967101989</v>
      </c>
      <c r="S217">
        <f t="shared" si="962"/>
        <v>6.2629141967101987</v>
      </c>
      <c r="T217">
        <f t="shared" si="963"/>
        <v>6.262914196710199E-3</v>
      </c>
    </row>
    <row r="218" spans="1:20" x14ac:dyDescent="0.25">
      <c r="A218" s="5">
        <v>44375</v>
      </c>
      <c r="B218">
        <v>123.91</v>
      </c>
      <c r="C218">
        <v>134.38</v>
      </c>
      <c r="D218">
        <v>122.76</v>
      </c>
      <c r="E218">
        <v>131.34</v>
      </c>
      <c r="F218">
        <v>11905.6302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0.47676419965576683</v>
      </c>
      <c r="Q218">
        <f t="shared" si="960"/>
        <v>5676.1782537005274</v>
      </c>
      <c r="R218">
        <f t="shared" si="961"/>
        <v>615758.95956898888</v>
      </c>
      <c r="S218">
        <f t="shared" si="962"/>
        <v>6.1575895956898892</v>
      </c>
      <c r="T218">
        <f t="shared" si="963"/>
        <v>6.1575895956898895E-3</v>
      </c>
    </row>
    <row r="219" spans="1:20" x14ac:dyDescent="0.25">
      <c r="A219" s="5">
        <v>44374</v>
      </c>
      <c r="B219">
        <v>116.68</v>
      </c>
      <c r="C219">
        <v>124.46</v>
      </c>
      <c r="D219">
        <v>111.66</v>
      </c>
      <c r="E219">
        <v>123.48</v>
      </c>
      <c r="F219">
        <v>23450.371200000001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0.8468750000000016</v>
      </c>
      <c r="Q219">
        <f t="shared" si="960"/>
        <v>19859.53311000004</v>
      </c>
      <c r="R219">
        <f t="shared" si="961"/>
        <v>610082.78131528839</v>
      </c>
      <c r="S219">
        <f t="shared" si="962"/>
        <v>6.1008278131528835</v>
      </c>
      <c r="T219">
        <f t="shared" si="963"/>
        <v>6.1008278131528832E-3</v>
      </c>
    </row>
    <row r="220" spans="1:20" x14ac:dyDescent="0.25">
      <c r="A220" s="5">
        <v>44373</v>
      </c>
      <c r="B220">
        <v>112.21</v>
      </c>
      <c r="C220">
        <v>119.03</v>
      </c>
      <c r="D220">
        <v>99</v>
      </c>
      <c r="E220">
        <v>116.94</v>
      </c>
      <c r="F220">
        <v>30143.826799999999</v>
      </c>
      <c r="G220">
        <v>0</v>
      </c>
      <c r="L220" t="s">
        <v>8</v>
      </c>
      <c r="M220" t="s">
        <v>8</v>
      </c>
      <c r="N220" t="s">
        <v>8</v>
      </c>
      <c r="P220">
        <f t="shared" si="959"/>
        <v>0.79131303045431822</v>
      </c>
      <c r="Q220">
        <f t="shared" si="960"/>
        <v>23853.202934598092</v>
      </c>
      <c r="R220">
        <f t="shared" si="961"/>
        <v>590223.24820528831</v>
      </c>
      <c r="S220">
        <f t="shared" si="962"/>
        <v>5.9022324820528835</v>
      </c>
      <c r="T220">
        <f t="shared" si="963"/>
        <v>5.9022324820528832E-3</v>
      </c>
    </row>
    <row r="221" spans="1:20" x14ac:dyDescent="0.25">
      <c r="A221" s="5">
        <v>44372</v>
      </c>
      <c r="B221">
        <v>107.04</v>
      </c>
      <c r="C221">
        <v>114.36</v>
      </c>
      <c r="D221">
        <v>104.99</v>
      </c>
      <c r="E221">
        <v>111.78</v>
      </c>
      <c r="F221">
        <v>9698.8116000000009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0.44930629669156946</v>
      </c>
      <c r="Q221">
        <f t="shared" si="960"/>
        <v>4357.737122305236</v>
      </c>
      <c r="R221">
        <f t="shared" si="961"/>
        <v>566370.04527069023</v>
      </c>
      <c r="S221">
        <f t="shared" si="962"/>
        <v>5.6637004527069026</v>
      </c>
      <c r="T221">
        <f t="shared" si="963"/>
        <v>5.6637004527069022E-3</v>
      </c>
    </row>
    <row r="222" spans="1:20" x14ac:dyDescent="0.25">
      <c r="A222" s="5">
        <v>44371</v>
      </c>
      <c r="B222">
        <v>111.44</v>
      </c>
      <c r="C222">
        <v>112.31</v>
      </c>
      <c r="D222">
        <v>102.42</v>
      </c>
      <c r="E222">
        <v>106.73</v>
      </c>
      <c r="F222">
        <v>34623.0789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-0.12841253791708757</v>
      </c>
      <c r="Q222">
        <f t="shared" si="960"/>
        <v>-4446.0374320525643</v>
      </c>
      <c r="R222">
        <f t="shared" si="961"/>
        <v>562012.30814838503</v>
      </c>
      <c r="S222">
        <f t="shared" si="962"/>
        <v>5.6201230814838503</v>
      </c>
      <c r="T222">
        <f t="shared" si="963"/>
        <v>5.6201230814838504E-3</v>
      </c>
    </row>
    <row r="223" spans="1:20" x14ac:dyDescent="0.25">
      <c r="A223" s="5">
        <v>44370</v>
      </c>
      <c r="B223">
        <v>101.5</v>
      </c>
      <c r="C223">
        <v>115</v>
      </c>
      <c r="D223">
        <v>98.47</v>
      </c>
      <c r="E223">
        <v>111.71</v>
      </c>
      <c r="F223">
        <v>8131.5807000000004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0.60193587416817829</v>
      </c>
      <c r="Q223">
        <f t="shared" si="960"/>
        <v>4894.6901370235873</v>
      </c>
      <c r="R223">
        <f t="shared" si="961"/>
        <v>566458.34558043757</v>
      </c>
      <c r="S223">
        <f t="shared" si="962"/>
        <v>5.6645834558043759</v>
      </c>
      <c r="T223">
        <f t="shared" si="963"/>
        <v>5.664583455804376E-3</v>
      </c>
    </row>
    <row r="224" spans="1:20" x14ac:dyDescent="0.25">
      <c r="A224" s="5">
        <v>44369</v>
      </c>
      <c r="B224">
        <v>104.24</v>
      </c>
      <c r="C224">
        <v>112.99</v>
      </c>
      <c r="D224">
        <v>85.86</v>
      </c>
      <c r="E224">
        <v>101.33</v>
      </c>
      <c r="F224">
        <v>21113.689900000001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0.14043494286767427</v>
      </c>
      <c r="Q224">
        <f t="shared" si="960"/>
        <v>2965.0998348322914</v>
      </c>
      <c r="R224">
        <f t="shared" si="961"/>
        <v>561563.655443414</v>
      </c>
      <c r="S224">
        <f t="shared" si="962"/>
        <v>5.6156365544341398</v>
      </c>
      <c r="T224">
        <f t="shared" si="963"/>
        <v>5.6156365544341395E-3</v>
      </c>
    </row>
    <row r="225" spans="1:20" x14ac:dyDescent="0.25">
      <c r="A225" s="5">
        <v>44368</v>
      </c>
      <c r="B225">
        <v>125.04</v>
      </c>
      <c r="C225">
        <v>126.94</v>
      </c>
      <c r="D225">
        <v>103.2</v>
      </c>
      <c r="E225">
        <v>104.11</v>
      </c>
      <c r="F225">
        <v>11181.252200000001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-0.92333614153327748</v>
      </c>
      <c r="Q225">
        <f t="shared" si="960"/>
        <v>-10324.05426385847</v>
      </c>
      <c r="R225">
        <f t="shared" si="961"/>
        <v>558598.55560858175</v>
      </c>
      <c r="S225">
        <f t="shared" si="962"/>
        <v>5.5859855560858174</v>
      </c>
      <c r="T225">
        <f t="shared" si="963"/>
        <v>5.5859855560858171E-3</v>
      </c>
    </row>
    <row r="226" spans="1:20" x14ac:dyDescent="0.25">
      <c r="A226" s="5">
        <v>44367</v>
      </c>
      <c r="B226">
        <v>123.42</v>
      </c>
      <c r="C226">
        <v>127.38</v>
      </c>
      <c r="D226">
        <v>113.63</v>
      </c>
      <c r="E226">
        <v>125.14</v>
      </c>
      <c r="F226">
        <v>6566.5708000000004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0.67418181818181888</v>
      </c>
      <c r="Q226">
        <f t="shared" si="960"/>
        <v>4427.0626411636413</v>
      </c>
      <c r="R226">
        <f t="shared" si="961"/>
        <v>568922.60987244023</v>
      </c>
      <c r="S226">
        <f t="shared" si="962"/>
        <v>5.6892260987244025</v>
      </c>
      <c r="T226">
        <f t="shared" si="963"/>
        <v>5.6892260987244023E-3</v>
      </c>
    </row>
    <row r="227" spans="1:20" x14ac:dyDescent="0.25">
      <c r="A227" s="5">
        <v>44366</v>
      </c>
      <c r="B227">
        <v>115.87</v>
      </c>
      <c r="C227">
        <v>125</v>
      </c>
      <c r="D227">
        <v>114.34</v>
      </c>
      <c r="E227">
        <v>123.08</v>
      </c>
      <c r="F227">
        <v>5456.5375999999997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0.63977485928705402</v>
      </c>
      <c r="Q227">
        <f t="shared" si="960"/>
        <v>3490.9555752345191</v>
      </c>
      <c r="R227">
        <f t="shared" si="961"/>
        <v>564495.54723127664</v>
      </c>
      <c r="S227">
        <f t="shared" si="962"/>
        <v>5.6449554723127662</v>
      </c>
      <c r="T227">
        <f t="shared" si="963"/>
        <v>5.6449554723127663E-3</v>
      </c>
    </row>
    <row r="228" spans="1:20" x14ac:dyDescent="0.25">
      <c r="A228" s="5">
        <v>44365</v>
      </c>
      <c r="B228">
        <v>128.69999999999999</v>
      </c>
      <c r="C228">
        <v>130</v>
      </c>
      <c r="D228">
        <v>113.35</v>
      </c>
      <c r="E228">
        <v>115.58</v>
      </c>
      <c r="F228">
        <v>16137.5694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-0.7321321321321318</v>
      </c>
      <c r="Q228">
        <f t="shared" si="960"/>
        <v>-11814.833092252247</v>
      </c>
      <c r="R228">
        <f t="shared" si="961"/>
        <v>561004.59165604215</v>
      </c>
      <c r="S228">
        <f t="shared" si="962"/>
        <v>5.6100459165604217</v>
      </c>
      <c r="T228">
        <f t="shared" si="963"/>
        <v>5.6100459165604214E-3</v>
      </c>
    </row>
    <row r="229" spans="1:20" x14ac:dyDescent="0.25">
      <c r="A229" s="5">
        <v>44364</v>
      </c>
      <c r="B229">
        <v>131.53</v>
      </c>
      <c r="C229">
        <v>137</v>
      </c>
      <c r="D229">
        <v>125.03</v>
      </c>
      <c r="E229">
        <v>128.46</v>
      </c>
      <c r="F229">
        <v>13226.013499999999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-0.42690058479532045</v>
      </c>
      <c r="Q229">
        <f t="shared" si="960"/>
        <v>-5646.1928976608024</v>
      </c>
      <c r="R229">
        <f t="shared" si="961"/>
        <v>572819.4247482944</v>
      </c>
      <c r="S229">
        <f t="shared" si="962"/>
        <v>5.7281942474829437</v>
      </c>
      <c r="T229">
        <f t="shared" si="963"/>
        <v>5.7281942474829437E-3</v>
      </c>
    </row>
    <row r="230" spans="1:20" x14ac:dyDescent="0.25">
      <c r="A230" s="5">
        <v>44363</v>
      </c>
      <c r="B230">
        <v>142.13</v>
      </c>
      <c r="C230">
        <v>142.13</v>
      </c>
      <c r="D230">
        <v>128.44</v>
      </c>
      <c r="E230">
        <v>131.44999999999999</v>
      </c>
      <c r="F230">
        <v>9554.7551999999996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-0.5602629656683723</v>
      </c>
      <c r="Q230">
        <f t="shared" si="960"/>
        <v>-5353.1754845873011</v>
      </c>
      <c r="R230">
        <f t="shared" si="961"/>
        <v>578465.61764595518</v>
      </c>
      <c r="S230">
        <f t="shared" si="962"/>
        <v>5.7846561764595519</v>
      </c>
      <c r="T230">
        <f t="shared" si="963"/>
        <v>5.7846561764595518E-3</v>
      </c>
    </row>
    <row r="231" spans="1:20" x14ac:dyDescent="0.25">
      <c r="A231" s="5">
        <v>44362</v>
      </c>
      <c r="B231">
        <v>138.69</v>
      </c>
      <c r="C231">
        <v>144</v>
      </c>
      <c r="D231">
        <v>135.26</v>
      </c>
      <c r="E231">
        <v>141.63999999999999</v>
      </c>
      <c r="F231">
        <v>9802.5544000000009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0.45995423340960845</v>
      </c>
      <c r="Q231">
        <f t="shared" si="960"/>
        <v>4508.7263945079849</v>
      </c>
      <c r="R231">
        <f t="shared" si="961"/>
        <v>583818.7931305425</v>
      </c>
      <c r="S231">
        <f t="shared" si="962"/>
        <v>5.8381879313054252</v>
      </c>
      <c r="T231">
        <f t="shared" si="963"/>
        <v>5.838187931305425E-3</v>
      </c>
    </row>
    <row r="232" spans="1:20" x14ac:dyDescent="0.25">
      <c r="A232" s="5">
        <v>44361</v>
      </c>
      <c r="B232">
        <v>137.19</v>
      </c>
      <c r="C232">
        <v>139.19</v>
      </c>
      <c r="D232">
        <v>131.96</v>
      </c>
      <c r="E232">
        <v>138.71</v>
      </c>
      <c r="F232">
        <v>7422.1405999999997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0.86721991701245082</v>
      </c>
      <c r="Q232">
        <f t="shared" si="960"/>
        <v>6436.6281551867414</v>
      </c>
      <c r="R232">
        <f t="shared" si="961"/>
        <v>579310.06673603447</v>
      </c>
      <c r="S232">
        <f t="shared" si="962"/>
        <v>5.7931006673603447</v>
      </c>
      <c r="T232">
        <f t="shared" si="963"/>
        <v>5.7931006673603447E-3</v>
      </c>
    </row>
    <row r="233" spans="1:20" x14ac:dyDescent="0.25">
      <c r="A233" s="5">
        <v>44360</v>
      </c>
      <c r="B233">
        <v>130.80000000000001</v>
      </c>
      <c r="C233">
        <v>144.29</v>
      </c>
      <c r="D233">
        <v>126.17</v>
      </c>
      <c r="E233">
        <v>137.29</v>
      </c>
      <c r="F233">
        <v>6313.7768999999998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0.22737306843267066</v>
      </c>
      <c r="Q233">
        <f t="shared" si="960"/>
        <v>1435.5828271523151</v>
      </c>
      <c r="R233">
        <f t="shared" si="961"/>
        <v>572873.43858084769</v>
      </c>
      <c r="S233">
        <f t="shared" si="962"/>
        <v>5.7287343858084769</v>
      </c>
      <c r="T233">
        <f t="shared" si="963"/>
        <v>5.7287343858084773E-3</v>
      </c>
    </row>
    <row r="234" spans="1:20" x14ac:dyDescent="0.25">
      <c r="A234" s="5">
        <v>44359</v>
      </c>
      <c r="B234">
        <v>139.44</v>
      </c>
      <c r="C234">
        <v>140.91999999999999</v>
      </c>
      <c r="D234">
        <v>123.71</v>
      </c>
      <c r="E234">
        <v>130.86000000000001</v>
      </c>
      <c r="F234">
        <v>10045.1389</v>
      </c>
      <c r="G234">
        <v>0</v>
      </c>
      <c r="L234" t="s">
        <v>7</v>
      </c>
      <c r="M234" t="s">
        <v>8</v>
      </c>
      <c r="N234" t="s">
        <v>7</v>
      </c>
      <c r="P234">
        <f t="shared" si="959"/>
        <v>-0.16908773968622631</v>
      </c>
      <c r="Q234">
        <f t="shared" si="960"/>
        <v>-1698.5098314351858</v>
      </c>
      <c r="R234">
        <f t="shared" si="961"/>
        <v>571437.85575369536</v>
      </c>
      <c r="S234">
        <f t="shared" si="962"/>
        <v>5.7143785575369535</v>
      </c>
      <c r="T234">
        <f t="shared" si="963"/>
        <v>5.7143785575369532E-3</v>
      </c>
    </row>
    <row r="235" spans="1:20" x14ac:dyDescent="0.25">
      <c r="A235" s="5">
        <v>44358</v>
      </c>
      <c r="B235">
        <v>137.19</v>
      </c>
      <c r="C235">
        <v>142.30000000000001</v>
      </c>
      <c r="D235">
        <v>135.4</v>
      </c>
      <c r="E235">
        <v>139.31</v>
      </c>
      <c r="F235">
        <v>5717.7916999999998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0.13333333333333142</v>
      </c>
      <c r="Q235">
        <f t="shared" si="960"/>
        <v>762.37222666665571</v>
      </c>
      <c r="R235">
        <f t="shared" si="961"/>
        <v>573136.36558513052</v>
      </c>
      <c r="S235">
        <f t="shared" si="962"/>
        <v>5.7313636558513048</v>
      </c>
      <c r="T235">
        <f t="shared" si="963"/>
        <v>5.7313636558513044E-3</v>
      </c>
    </row>
    <row r="236" spans="1:20" x14ac:dyDescent="0.25">
      <c r="A236" s="5">
        <v>44357</v>
      </c>
      <c r="B236">
        <v>139.44</v>
      </c>
      <c r="C236">
        <v>141.84</v>
      </c>
      <c r="D236">
        <v>131.26</v>
      </c>
      <c r="E236">
        <v>136.25</v>
      </c>
      <c r="F236">
        <v>7047.0622000000003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-5.6710775047258376E-2</v>
      </c>
      <c r="Q236">
        <f t="shared" si="960"/>
        <v>-399.64435916823771</v>
      </c>
      <c r="R236">
        <f t="shared" si="961"/>
        <v>572373.99335846386</v>
      </c>
      <c r="S236">
        <f t="shared" si="962"/>
        <v>5.7237399335846391</v>
      </c>
      <c r="T236">
        <f t="shared" si="963"/>
        <v>5.7237399335846387E-3</v>
      </c>
    </row>
    <row r="237" spans="1:20" x14ac:dyDescent="0.25">
      <c r="A237" s="5">
        <v>44356</v>
      </c>
      <c r="B237">
        <v>129.69</v>
      </c>
      <c r="C237">
        <v>141.91999999999999</v>
      </c>
      <c r="D237">
        <v>126.43</v>
      </c>
      <c r="E237">
        <v>139.31</v>
      </c>
      <c r="F237">
        <v>8600.8063000000002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0.66300839251129906</v>
      </c>
      <c r="Q237">
        <f t="shared" si="960"/>
        <v>5702.406759264054</v>
      </c>
      <c r="R237">
        <f t="shared" si="961"/>
        <v>572773.63771763211</v>
      </c>
      <c r="S237">
        <f t="shared" si="962"/>
        <v>5.7277363771763214</v>
      </c>
      <c r="T237">
        <f t="shared" si="963"/>
        <v>5.7277363771763212E-3</v>
      </c>
    </row>
    <row r="238" spans="1:20" x14ac:dyDescent="0.25">
      <c r="A238" s="5">
        <v>44355</v>
      </c>
      <c r="B238">
        <v>132.38999999999999</v>
      </c>
      <c r="C238">
        <v>133.86000000000001</v>
      </c>
      <c r="D238">
        <v>118.1</v>
      </c>
      <c r="E238">
        <v>129.69</v>
      </c>
      <c r="F238">
        <v>11312.9067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0.47081218274111536</v>
      </c>
      <c r="Q238">
        <f t="shared" si="960"/>
        <v>5326.2542965735884</v>
      </c>
      <c r="R238">
        <f t="shared" si="961"/>
        <v>567071.23095836805</v>
      </c>
      <c r="S238">
        <f t="shared" si="962"/>
        <v>5.6707123095836804</v>
      </c>
      <c r="T238">
        <f t="shared" si="963"/>
        <v>5.6707123095836804E-3</v>
      </c>
    </row>
    <row r="239" spans="1:20" x14ac:dyDescent="0.25">
      <c r="A239" s="5">
        <v>44354</v>
      </c>
      <c r="B239">
        <v>145.68</v>
      </c>
      <c r="C239">
        <v>149.66</v>
      </c>
      <c r="D239">
        <v>130.66</v>
      </c>
      <c r="E239">
        <v>132.46</v>
      </c>
      <c r="F239">
        <v>7153.9021000000002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-0.81052631578947254</v>
      </c>
      <c r="Q239">
        <f t="shared" si="960"/>
        <v>-5798.425912631571</v>
      </c>
      <c r="R239">
        <f t="shared" si="961"/>
        <v>561744.97666179447</v>
      </c>
      <c r="S239">
        <f t="shared" si="962"/>
        <v>5.6174497666179448</v>
      </c>
      <c r="T239">
        <f t="shared" si="963"/>
        <v>5.6174497666179445E-3</v>
      </c>
    </row>
    <row r="240" spans="1:20" x14ac:dyDescent="0.25">
      <c r="A240" s="5">
        <v>44353</v>
      </c>
      <c r="B240">
        <v>138.43</v>
      </c>
      <c r="C240">
        <v>146.34</v>
      </c>
      <c r="D240">
        <v>137.81</v>
      </c>
      <c r="E240">
        <v>145.57</v>
      </c>
      <c r="F240">
        <v>5521.9952999999996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0.81946072684642202</v>
      </c>
      <c r="Q240">
        <f t="shared" si="960"/>
        <v>4525.0582821805256</v>
      </c>
      <c r="R240">
        <f t="shared" si="961"/>
        <v>567543.40257442603</v>
      </c>
      <c r="S240">
        <f t="shared" si="962"/>
        <v>5.6754340257442601</v>
      </c>
      <c r="T240">
        <f t="shared" si="963"/>
        <v>5.6754340257442601E-3</v>
      </c>
    </row>
    <row r="241" spans="1:20" x14ac:dyDescent="0.25">
      <c r="A241" s="5">
        <v>44352</v>
      </c>
      <c r="B241">
        <v>142.22999999999999</v>
      </c>
      <c r="C241">
        <v>146.16999999999999</v>
      </c>
      <c r="D241">
        <v>131.18</v>
      </c>
      <c r="E241">
        <v>138.43</v>
      </c>
      <c r="F241">
        <v>13136.9789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-3.2688458972647189E-2</v>
      </c>
      <c r="Q241">
        <f t="shared" si="960"/>
        <v>-429.42759579718182</v>
      </c>
      <c r="R241">
        <f t="shared" si="961"/>
        <v>563018.34429224546</v>
      </c>
      <c r="S241">
        <f t="shared" si="962"/>
        <v>5.6301834429224549</v>
      </c>
      <c r="T241">
        <f t="shared" si="963"/>
        <v>5.6301834429224552E-3</v>
      </c>
    </row>
    <row r="242" spans="1:20" x14ac:dyDescent="0.25">
      <c r="A242" s="5">
        <v>44351</v>
      </c>
      <c r="B242">
        <v>158.77000000000001</v>
      </c>
      <c r="C242">
        <v>158.83000000000001</v>
      </c>
      <c r="D242">
        <v>136.58000000000001</v>
      </c>
      <c r="E242">
        <v>141.9</v>
      </c>
      <c r="F242">
        <v>18942.082999999999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-0.52179775280898932</v>
      </c>
      <c r="Q242">
        <f t="shared" si="960"/>
        <v>-9883.936342921359</v>
      </c>
      <c r="R242">
        <f t="shared" si="961"/>
        <v>563447.77188804268</v>
      </c>
      <c r="S242">
        <f t="shared" si="962"/>
        <v>5.6344777188804267</v>
      </c>
      <c r="T242">
        <f t="shared" si="963"/>
        <v>5.6344777188804271E-3</v>
      </c>
    </row>
    <row r="243" spans="1:20" x14ac:dyDescent="0.25">
      <c r="A243" s="5">
        <v>44350</v>
      </c>
      <c r="B243">
        <v>158.21</v>
      </c>
      <c r="C243">
        <v>164.97</v>
      </c>
      <c r="D243">
        <v>151.83000000000001</v>
      </c>
      <c r="E243">
        <v>158.75</v>
      </c>
      <c r="F243">
        <v>16928.775399999999</v>
      </c>
      <c r="G243">
        <v>0</v>
      </c>
      <c r="L243" t="s">
        <v>7</v>
      </c>
      <c r="M243" t="s">
        <v>7</v>
      </c>
      <c r="N243" t="s">
        <v>8</v>
      </c>
      <c r="P243">
        <f t="shared" si="959"/>
        <v>5.3272450532723697E-2</v>
      </c>
      <c r="Q243">
        <f t="shared" si="960"/>
        <v>901.83735007608971</v>
      </c>
      <c r="R243">
        <f t="shared" si="961"/>
        <v>573331.70823096402</v>
      </c>
      <c r="S243">
        <f t="shared" si="962"/>
        <v>5.7333170823096404</v>
      </c>
      <c r="T243">
        <f t="shared" si="963"/>
        <v>5.7333170823096408E-3</v>
      </c>
    </row>
    <row r="244" spans="1:20" x14ac:dyDescent="0.25">
      <c r="A244" s="5">
        <v>44349</v>
      </c>
      <c r="B244">
        <v>161.9</v>
      </c>
      <c r="C244">
        <v>166.09</v>
      </c>
      <c r="D244">
        <v>156.88999999999999</v>
      </c>
      <c r="E244">
        <v>158.21</v>
      </c>
      <c r="F244">
        <v>19797.9967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-0.71304347826086545</v>
      </c>
      <c r="Q244">
        <f t="shared" si="960"/>
        <v>-14116.832429565136</v>
      </c>
      <c r="R244">
        <f t="shared" si="961"/>
        <v>572429.87088088796</v>
      </c>
      <c r="S244">
        <f t="shared" si="962"/>
        <v>5.7242987088088793</v>
      </c>
      <c r="T244">
        <f t="shared" si="963"/>
        <v>5.7242987088088788E-3</v>
      </c>
    </row>
    <row r="245" spans="1:20" x14ac:dyDescent="0.25">
      <c r="A245" s="5">
        <v>44348</v>
      </c>
      <c r="B245">
        <v>170.88</v>
      </c>
      <c r="C245">
        <v>177.08</v>
      </c>
      <c r="D245">
        <v>158.24</v>
      </c>
      <c r="E245">
        <v>161.51</v>
      </c>
      <c r="F245">
        <v>16767.676800000001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-0.65286624203821852</v>
      </c>
      <c r="Q245">
        <f t="shared" si="960"/>
        <v>-10947.050140127421</v>
      </c>
      <c r="R245">
        <f t="shared" si="961"/>
        <v>586546.7033104531</v>
      </c>
      <c r="S245">
        <f t="shared" si="962"/>
        <v>5.8654670331045313</v>
      </c>
      <c r="T245">
        <f t="shared" si="963"/>
        <v>5.8654670331045313E-3</v>
      </c>
    </row>
    <row r="246" spans="1:20" x14ac:dyDescent="0.25">
      <c r="A246" s="5">
        <v>44347</v>
      </c>
      <c r="B246">
        <v>154.97</v>
      </c>
      <c r="C246">
        <v>174.75</v>
      </c>
      <c r="D246">
        <v>153.72</v>
      </c>
      <c r="E246">
        <v>170.87</v>
      </c>
      <c r="F246">
        <v>26481.214899999999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0.63100332857822206</v>
      </c>
      <c r="Q246">
        <f t="shared" si="960"/>
        <v>16709.734746695209</v>
      </c>
      <c r="R246">
        <f t="shared" si="961"/>
        <v>597493.75345058052</v>
      </c>
      <c r="S246">
        <f t="shared" si="962"/>
        <v>5.9749375345058056</v>
      </c>
      <c r="T246">
        <f t="shared" si="963"/>
        <v>5.9749375345058055E-3</v>
      </c>
    </row>
    <row r="247" spans="1:20" x14ac:dyDescent="0.25">
      <c r="A247" s="5">
        <v>44346</v>
      </c>
      <c r="B247">
        <v>138.35</v>
      </c>
      <c r="C247">
        <v>159.6</v>
      </c>
      <c r="D247">
        <v>133.31</v>
      </c>
      <c r="E247">
        <v>154.78</v>
      </c>
      <c r="F247">
        <v>12774.4676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0.63332065424115669</v>
      </c>
      <c r="Q247">
        <f t="shared" si="960"/>
        <v>8090.3341780144583</v>
      </c>
      <c r="R247">
        <f t="shared" si="961"/>
        <v>580784.01870388526</v>
      </c>
      <c r="S247">
        <f t="shared" si="962"/>
        <v>5.8078401870388525</v>
      </c>
      <c r="T247">
        <f t="shared" si="963"/>
        <v>5.8078401870388522E-3</v>
      </c>
    </row>
    <row r="248" spans="1:20" x14ac:dyDescent="0.25">
      <c r="A248" s="5">
        <v>44345</v>
      </c>
      <c r="B248">
        <v>145.51</v>
      </c>
      <c r="C248">
        <v>154.79</v>
      </c>
      <c r="D248">
        <v>128</v>
      </c>
      <c r="E248">
        <v>138.15</v>
      </c>
      <c r="F248">
        <v>27576.622299999999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-0.2422545726017164</v>
      </c>
      <c r="Q248">
        <f t="shared" si="960"/>
        <v>-6680.5628490854615</v>
      </c>
      <c r="R248">
        <f t="shared" si="961"/>
        <v>572693.68452587083</v>
      </c>
      <c r="S248">
        <f t="shared" si="962"/>
        <v>5.7269368452587086</v>
      </c>
      <c r="T248">
        <f t="shared" si="963"/>
        <v>5.7269368452587087E-3</v>
      </c>
    </row>
    <row r="249" spans="1:20" x14ac:dyDescent="0.25">
      <c r="A249" s="5">
        <v>44344</v>
      </c>
      <c r="B249">
        <v>151.05000000000001</v>
      </c>
      <c r="C249">
        <v>154</v>
      </c>
      <c r="D249">
        <v>136.53</v>
      </c>
      <c r="E249">
        <v>145.49</v>
      </c>
      <c r="F249">
        <v>10987.3357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2.5758443045221357E-2</v>
      </c>
      <c r="Q249">
        <f t="shared" si="960"/>
        <v>283.01666084717732</v>
      </c>
      <c r="R249">
        <f t="shared" si="961"/>
        <v>579374.24737495626</v>
      </c>
      <c r="S249">
        <f t="shared" si="962"/>
        <v>5.7937424737495622</v>
      </c>
      <c r="T249">
        <f t="shared" si="963"/>
        <v>5.7937424737495623E-3</v>
      </c>
    </row>
    <row r="250" spans="1:20" x14ac:dyDescent="0.25">
      <c r="A250" s="5">
        <v>44343</v>
      </c>
      <c r="B250">
        <v>145.80000000000001</v>
      </c>
      <c r="C250">
        <v>154.63</v>
      </c>
      <c r="D250">
        <v>135.88999999999999</v>
      </c>
      <c r="E250">
        <v>151.01</v>
      </c>
      <c r="F250">
        <v>11105.0309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0.61366061899679802</v>
      </c>
      <c r="Q250">
        <f t="shared" si="960"/>
        <v>6814.7201360725685</v>
      </c>
      <c r="R250">
        <f t="shared" si="961"/>
        <v>579091.23071410903</v>
      </c>
      <c r="S250">
        <f t="shared" si="962"/>
        <v>5.79091230714109</v>
      </c>
      <c r="T250">
        <f t="shared" si="963"/>
        <v>5.79091230714109E-3</v>
      </c>
    </row>
    <row r="251" spans="1:20" x14ac:dyDescent="0.25">
      <c r="A251" s="5">
        <v>44342</v>
      </c>
      <c r="B251">
        <v>138.78</v>
      </c>
      <c r="C251">
        <v>152</v>
      </c>
      <c r="D251">
        <v>131.13</v>
      </c>
      <c r="E251">
        <v>145.43</v>
      </c>
      <c r="F251">
        <v>21951.5147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0.37038811691423174</v>
      </c>
      <c r="Q251">
        <f t="shared" si="960"/>
        <v>8130.5801931480764</v>
      </c>
      <c r="R251">
        <f t="shared" si="961"/>
        <v>572276.51057803642</v>
      </c>
      <c r="S251">
        <f t="shared" si="962"/>
        <v>5.7227651057803639</v>
      </c>
      <c r="T251">
        <f t="shared" si="963"/>
        <v>5.722765105780364E-3</v>
      </c>
    </row>
    <row r="252" spans="1:20" x14ac:dyDescent="0.25">
      <c r="A252" s="5">
        <v>44341</v>
      </c>
      <c r="B252">
        <v>132.57</v>
      </c>
      <c r="C252">
        <v>140</v>
      </c>
      <c r="D252">
        <v>117.83</v>
      </c>
      <c r="E252">
        <v>139.74</v>
      </c>
      <c r="F252">
        <v>16884.600600000002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0.97654488046910326</v>
      </c>
      <c r="Q252">
        <f t="shared" si="960"/>
        <v>16488.57027469555</v>
      </c>
      <c r="R252">
        <f t="shared" si="961"/>
        <v>564145.93038488831</v>
      </c>
      <c r="S252">
        <f t="shared" si="962"/>
        <v>5.6414593038488832</v>
      </c>
      <c r="T252">
        <f t="shared" si="963"/>
        <v>5.6414593038488833E-3</v>
      </c>
    </row>
    <row r="253" spans="1:20" x14ac:dyDescent="0.25">
      <c r="A253" s="5">
        <v>44340</v>
      </c>
      <c r="B253">
        <v>105.81</v>
      </c>
      <c r="C253">
        <v>134.72999999999999</v>
      </c>
      <c r="D253">
        <v>99.45</v>
      </c>
      <c r="E253">
        <v>131.07</v>
      </c>
      <c r="F253">
        <v>20543.1522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0.79251700680272119</v>
      </c>
      <c r="Q253">
        <f t="shared" si="960"/>
        <v>16280.797491836736</v>
      </c>
      <c r="R253">
        <f t="shared" si="961"/>
        <v>547657.36011019279</v>
      </c>
      <c r="S253">
        <f t="shared" si="962"/>
        <v>5.4765736011019284</v>
      </c>
      <c r="T253">
        <f t="shared" si="963"/>
        <v>5.476573601101928E-3</v>
      </c>
    </row>
    <row r="254" spans="1:20" x14ac:dyDescent="0.25">
      <c r="A254" s="5">
        <v>44339</v>
      </c>
      <c r="B254">
        <v>121.14</v>
      </c>
      <c r="C254">
        <v>125.42</v>
      </c>
      <c r="D254">
        <v>87.57</v>
      </c>
      <c r="E254">
        <v>105.67</v>
      </c>
      <c r="F254">
        <v>34297.080300000001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-4.35931307793921E-2</v>
      </c>
      <c r="Q254">
        <f t="shared" si="960"/>
        <v>-1495.1171068692124</v>
      </c>
      <c r="R254">
        <f t="shared" si="961"/>
        <v>531376.56261835608</v>
      </c>
      <c r="S254">
        <f t="shared" si="962"/>
        <v>5.3137656261835611</v>
      </c>
      <c r="T254">
        <f t="shared" si="963"/>
        <v>5.3137656261835614E-3</v>
      </c>
    </row>
    <row r="255" spans="1:20" x14ac:dyDescent="0.25">
      <c r="A255" s="5">
        <v>44338</v>
      </c>
      <c r="B255">
        <v>127.84</v>
      </c>
      <c r="C255">
        <v>134</v>
      </c>
      <c r="D255">
        <v>113</v>
      </c>
      <c r="E255">
        <v>121.89</v>
      </c>
      <c r="F255">
        <v>15335.374100000001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-0.15333333333333327</v>
      </c>
      <c r="Q255">
        <f t="shared" si="960"/>
        <v>-2351.4240286666659</v>
      </c>
      <c r="R255">
        <f t="shared" si="961"/>
        <v>532871.67972522532</v>
      </c>
      <c r="S255">
        <f t="shared" si="962"/>
        <v>5.3287167972522536</v>
      </c>
      <c r="T255">
        <f t="shared" si="963"/>
        <v>5.3287167972522536E-3</v>
      </c>
    </row>
    <row r="256" spans="1:20" x14ac:dyDescent="0.25">
      <c r="A256" s="5">
        <v>44337</v>
      </c>
      <c r="B256">
        <v>144.22999999999999</v>
      </c>
      <c r="C256">
        <v>149.35</v>
      </c>
      <c r="D256">
        <v>114.32</v>
      </c>
      <c r="E256">
        <v>128.01</v>
      </c>
      <c r="F256">
        <v>23187.874400000001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-0.21838424207821883</v>
      </c>
      <c r="Q256">
        <f t="shared" si="960"/>
        <v>-5063.8663762489332</v>
      </c>
      <c r="R256">
        <f t="shared" si="961"/>
        <v>535223.10375389201</v>
      </c>
      <c r="S256">
        <f t="shared" si="962"/>
        <v>5.3522310375389202</v>
      </c>
      <c r="T256">
        <f t="shared" si="963"/>
        <v>5.3522310375389206E-3</v>
      </c>
    </row>
    <row r="257" spans="1:20" x14ac:dyDescent="0.25">
      <c r="A257" s="5">
        <v>44336</v>
      </c>
      <c r="B257">
        <v>124.57</v>
      </c>
      <c r="C257">
        <v>147.5</v>
      </c>
      <c r="D257">
        <v>116.12</v>
      </c>
      <c r="E257">
        <v>144.30000000000001</v>
      </c>
      <c r="F257">
        <v>19288.424800000001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0.79604843849585794</v>
      </c>
      <c r="Q257">
        <f t="shared" si="960"/>
        <v>15354.520443084781</v>
      </c>
      <c r="R257">
        <f t="shared" si="961"/>
        <v>540286.97013014089</v>
      </c>
      <c r="S257">
        <f t="shared" si="962"/>
        <v>5.4028697013014089</v>
      </c>
      <c r="T257">
        <f t="shared" si="963"/>
        <v>5.4028697013014087E-3</v>
      </c>
    </row>
    <row r="258" spans="1:20" x14ac:dyDescent="0.25">
      <c r="A258" s="5">
        <v>44335</v>
      </c>
      <c r="B258">
        <v>181.21</v>
      </c>
      <c r="C258">
        <v>182.36</v>
      </c>
      <c r="D258">
        <v>105</v>
      </c>
      <c r="E258">
        <v>123.68</v>
      </c>
      <c r="F258">
        <v>35842.814299999998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-0.51706308169596682</v>
      </c>
      <c r="Q258">
        <f t="shared" si="960"/>
        <v>-18532.996018614267</v>
      </c>
      <c r="R258">
        <f t="shared" si="961"/>
        <v>524932.44968705613</v>
      </c>
      <c r="S258">
        <f t="shared" si="962"/>
        <v>5.2493244968705612</v>
      </c>
      <c r="T258">
        <f t="shared" si="963"/>
        <v>5.2493244968705608E-3</v>
      </c>
    </row>
    <row r="259" spans="1:20" x14ac:dyDescent="0.25">
      <c r="A259" s="5">
        <v>44334</v>
      </c>
      <c r="B259">
        <v>169.76</v>
      </c>
      <c r="C259">
        <v>188</v>
      </c>
      <c r="D259">
        <v>166.68</v>
      </c>
      <c r="E259">
        <v>180.03</v>
      </c>
      <c r="F259">
        <v>14991.039500000001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0.25234521575984975</v>
      </c>
      <c r="Q259">
        <f t="shared" si="960"/>
        <v>3782.9170970919304</v>
      </c>
      <c r="R259">
        <f t="shared" si="961"/>
        <v>543465.4457056704</v>
      </c>
      <c r="S259">
        <f t="shared" si="962"/>
        <v>5.4346544570567037</v>
      </c>
      <c r="T259">
        <f t="shared" si="963"/>
        <v>5.4346544570567038E-3</v>
      </c>
    </row>
    <row r="260" spans="1:20" x14ac:dyDescent="0.25">
      <c r="A260" s="5">
        <v>44333</v>
      </c>
      <c r="B260">
        <v>183.2</v>
      </c>
      <c r="C260">
        <v>183.79</v>
      </c>
      <c r="D260">
        <v>161.38999999999999</v>
      </c>
      <c r="E260">
        <v>169.27</v>
      </c>
      <c r="F260">
        <v>18610.3855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-0.29642857142856949</v>
      </c>
      <c r="Q260">
        <f t="shared" si="960"/>
        <v>-5516.6499874999636</v>
      </c>
      <c r="R260">
        <f t="shared" si="961"/>
        <v>539682.52860857849</v>
      </c>
      <c r="S260">
        <f t="shared" si="962"/>
        <v>5.396825286085785</v>
      </c>
      <c r="T260">
        <f t="shared" si="963"/>
        <v>5.3968252860857853E-3</v>
      </c>
    </row>
    <row r="261" spans="1:20" x14ac:dyDescent="0.25">
      <c r="A261" s="5">
        <v>44332</v>
      </c>
      <c r="B261">
        <v>184.74</v>
      </c>
      <c r="C261">
        <v>194</v>
      </c>
      <c r="D261">
        <v>169.03</v>
      </c>
      <c r="E261">
        <v>183.18</v>
      </c>
      <c r="F261">
        <v>18668.742600000001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0.13336003203844665</v>
      </c>
      <c r="Q261">
        <f t="shared" si="960"/>
        <v>2489.664111253514</v>
      </c>
      <c r="R261">
        <f t="shared" si="961"/>
        <v>545199.17859607842</v>
      </c>
      <c r="S261">
        <f t="shared" si="962"/>
        <v>5.451991785960784</v>
      </c>
      <c r="T261">
        <f t="shared" si="963"/>
        <v>5.4519917859607841E-3</v>
      </c>
    </row>
    <row r="262" spans="1:20" x14ac:dyDescent="0.25">
      <c r="A262" s="5">
        <v>44331</v>
      </c>
      <c r="B262">
        <v>199.87</v>
      </c>
      <c r="C262">
        <v>202.55</v>
      </c>
      <c r="D262">
        <v>183.86</v>
      </c>
      <c r="E262">
        <v>184.76</v>
      </c>
      <c r="F262">
        <v>24988.373500000002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-0.90369181380417574</v>
      </c>
      <c r="Q262">
        <f t="shared" ref="Q262:Q325" si="965">F262*P262</f>
        <v>-22581.788572231202</v>
      </c>
      <c r="R262">
        <f t="shared" ref="R262:R325" si="966">R263+Q262</f>
        <v>542709.51448482496</v>
      </c>
      <c r="S262">
        <f t="shared" ref="S262:S325" si="967">R262/100000</f>
        <v>5.4270951448482494</v>
      </c>
      <c r="T262">
        <f t="shared" ref="T262:T325" si="968">S262/1000</f>
        <v>5.4270951448482495E-3</v>
      </c>
    </row>
    <row r="263" spans="1:20" x14ac:dyDescent="0.25">
      <c r="A263" s="5">
        <v>44330</v>
      </c>
      <c r="B263">
        <v>197.38</v>
      </c>
      <c r="C263">
        <v>205.98</v>
      </c>
      <c r="D263">
        <v>194.36</v>
      </c>
      <c r="E263">
        <v>200.25</v>
      </c>
      <c r="F263">
        <v>18481.511600000002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1.3769363166953263E-2</v>
      </c>
      <c r="Q263">
        <f t="shared" si="965"/>
        <v>254.4786450946595</v>
      </c>
      <c r="R263">
        <f t="shared" si="966"/>
        <v>565291.30305705615</v>
      </c>
      <c r="S263">
        <f t="shared" si="967"/>
        <v>5.6529130305705619</v>
      </c>
      <c r="T263">
        <f t="shared" si="968"/>
        <v>5.6529130305705616E-3</v>
      </c>
    </row>
    <row r="264" spans="1:20" x14ac:dyDescent="0.25">
      <c r="A264" s="5">
        <v>44329</v>
      </c>
      <c r="B264">
        <v>194.6</v>
      </c>
      <c r="C264">
        <v>207.87</v>
      </c>
      <c r="D264">
        <v>188</v>
      </c>
      <c r="E264">
        <v>197.05</v>
      </c>
      <c r="F264">
        <v>18730.065699999999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-8.9079013588323167E-2</v>
      </c>
      <c r="Q264">
        <f t="shared" si="965"/>
        <v>-1668.4557770004856</v>
      </c>
      <c r="R264">
        <f t="shared" si="966"/>
        <v>565036.82441196148</v>
      </c>
      <c r="S264">
        <f t="shared" si="967"/>
        <v>5.6503682441196146</v>
      </c>
      <c r="T264">
        <f t="shared" si="968"/>
        <v>5.6503682441196145E-3</v>
      </c>
    </row>
    <row r="265" spans="1:20" x14ac:dyDescent="0.25">
      <c r="A265" s="5">
        <v>44328</v>
      </c>
      <c r="B265">
        <v>219.85</v>
      </c>
      <c r="C265">
        <v>226.62</v>
      </c>
      <c r="D265">
        <v>193</v>
      </c>
      <c r="E265">
        <v>195.48</v>
      </c>
      <c r="F265">
        <v>20568.044099999999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-0.85246876859012555</v>
      </c>
      <c r="Q265">
        <f t="shared" si="965"/>
        <v>-17533.615226234397</v>
      </c>
      <c r="R265">
        <f t="shared" si="966"/>
        <v>566705.280188962</v>
      </c>
      <c r="S265">
        <f t="shared" si="967"/>
        <v>5.6670528018896205</v>
      </c>
      <c r="T265">
        <f t="shared" si="968"/>
        <v>5.6670528018896204E-3</v>
      </c>
    </row>
    <row r="266" spans="1:20" x14ac:dyDescent="0.25">
      <c r="A266" s="5">
        <v>44327</v>
      </c>
      <c r="B266">
        <v>209.99</v>
      </c>
      <c r="C266">
        <v>222.07</v>
      </c>
      <c r="D266">
        <v>200.04</v>
      </c>
      <c r="E266">
        <v>219.42</v>
      </c>
      <c r="F266">
        <v>12142.0479</v>
      </c>
      <c r="G266">
        <v>0</v>
      </c>
      <c r="L266" t="s">
        <v>7</v>
      </c>
      <c r="M266" t="s">
        <v>8</v>
      </c>
      <c r="N266" t="s">
        <v>8</v>
      </c>
      <c r="P266">
        <f t="shared" si="964"/>
        <v>0.75941897412619108</v>
      </c>
      <c r="Q266">
        <f t="shared" si="965"/>
        <v>9220.9015600090715</v>
      </c>
      <c r="R266">
        <f t="shared" si="966"/>
        <v>584238.89541519643</v>
      </c>
      <c r="S266">
        <f t="shared" si="967"/>
        <v>5.8423889541519642</v>
      </c>
      <c r="T266">
        <f t="shared" si="968"/>
        <v>5.8423889541519645E-3</v>
      </c>
    </row>
    <row r="267" spans="1:20" x14ac:dyDescent="0.25">
      <c r="A267" s="5">
        <v>44326</v>
      </c>
      <c r="B267">
        <v>218.2</v>
      </c>
      <c r="C267">
        <v>229.98</v>
      </c>
      <c r="D267">
        <v>200</v>
      </c>
      <c r="E267">
        <v>210.88</v>
      </c>
      <c r="F267">
        <v>18939.496500000001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-0.27418278852568384</v>
      </c>
      <c r="Q267">
        <f t="shared" si="965"/>
        <v>-5192.88396364243</v>
      </c>
      <c r="R267">
        <f t="shared" si="966"/>
        <v>575017.99385518732</v>
      </c>
      <c r="S267">
        <f t="shared" si="967"/>
        <v>5.7501799385518728</v>
      </c>
      <c r="T267">
        <f t="shared" si="968"/>
        <v>5.7501799385518727E-3</v>
      </c>
    </row>
    <row r="268" spans="1:20" x14ac:dyDescent="0.25">
      <c r="A268" s="5">
        <v>44325</v>
      </c>
      <c r="B268">
        <v>207.48</v>
      </c>
      <c r="C268">
        <v>221.68</v>
      </c>
      <c r="D268">
        <v>203.21</v>
      </c>
      <c r="E268">
        <v>218.19</v>
      </c>
      <c r="F268">
        <v>21126.968199999999</v>
      </c>
      <c r="G268">
        <v>0</v>
      </c>
      <c r="L268" t="s">
        <v>8</v>
      </c>
      <c r="M268" t="s">
        <v>8</v>
      </c>
      <c r="N268" t="s">
        <v>7</v>
      </c>
      <c r="P268">
        <f t="shared" si="964"/>
        <v>0.62208987547374017</v>
      </c>
      <c r="Q268">
        <f t="shared" si="965"/>
        <v>13142.873016675669</v>
      </c>
      <c r="R268">
        <f t="shared" si="966"/>
        <v>580210.87781882973</v>
      </c>
      <c r="S268">
        <f t="shared" si="967"/>
        <v>5.8021087781882974</v>
      </c>
      <c r="T268">
        <f t="shared" si="968"/>
        <v>5.8021087781882971E-3</v>
      </c>
    </row>
    <row r="269" spans="1:20" x14ac:dyDescent="0.25">
      <c r="A269" s="5">
        <v>44324</v>
      </c>
      <c r="B269">
        <v>202.24</v>
      </c>
      <c r="C269">
        <v>210.2</v>
      </c>
      <c r="D269">
        <v>200</v>
      </c>
      <c r="E269">
        <v>207.49</v>
      </c>
      <c r="F269">
        <v>15380.0602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0.4686274509803956</v>
      </c>
      <c r="Q269">
        <f t="shared" si="965"/>
        <v>7207.5184074510335</v>
      </c>
      <c r="R269">
        <f t="shared" si="966"/>
        <v>567068.00480215403</v>
      </c>
      <c r="S269">
        <f t="shared" si="967"/>
        <v>5.6706800480215405</v>
      </c>
      <c r="T269">
        <f t="shared" si="968"/>
        <v>5.6706800480215407E-3</v>
      </c>
    </row>
    <row r="270" spans="1:20" x14ac:dyDescent="0.25">
      <c r="A270" s="5">
        <v>44323</v>
      </c>
      <c r="B270">
        <v>195.45</v>
      </c>
      <c r="C270">
        <v>209</v>
      </c>
      <c r="D270">
        <v>191.5</v>
      </c>
      <c r="E270">
        <v>202.24</v>
      </c>
      <c r="F270">
        <v>21017.236199999999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0.22742857142857248</v>
      </c>
      <c r="Q270">
        <f t="shared" si="965"/>
        <v>4779.9200043428791</v>
      </c>
      <c r="R270">
        <f t="shared" si="966"/>
        <v>559860.48639470304</v>
      </c>
      <c r="S270">
        <f t="shared" si="967"/>
        <v>5.5986048639470303</v>
      </c>
      <c r="T270">
        <f t="shared" si="968"/>
        <v>5.5986048639470303E-3</v>
      </c>
    </row>
    <row r="271" spans="1:20" x14ac:dyDescent="0.25">
      <c r="A271" s="5">
        <v>44322</v>
      </c>
      <c r="B271">
        <v>197.83</v>
      </c>
      <c r="C271">
        <v>206</v>
      </c>
      <c r="D271">
        <v>190</v>
      </c>
      <c r="E271">
        <v>195.45</v>
      </c>
      <c r="F271">
        <v>21522.084599999998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-0.31875000000000142</v>
      </c>
      <c r="Q271">
        <f t="shared" si="965"/>
        <v>-6860.1644662500303</v>
      </c>
      <c r="R271">
        <f t="shared" si="966"/>
        <v>555080.56639036012</v>
      </c>
      <c r="S271">
        <f t="shared" si="967"/>
        <v>5.550805663903601</v>
      </c>
      <c r="T271">
        <f t="shared" si="968"/>
        <v>5.5508056639036012E-3</v>
      </c>
    </row>
    <row r="272" spans="1:20" x14ac:dyDescent="0.25">
      <c r="A272" s="5">
        <v>44321</v>
      </c>
      <c r="B272">
        <v>187.38</v>
      </c>
      <c r="C272">
        <v>202.14</v>
      </c>
      <c r="D272">
        <v>186.05</v>
      </c>
      <c r="E272">
        <v>197.83</v>
      </c>
      <c r="F272">
        <v>15842.550800000001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0.46426351771286756</v>
      </c>
      <c r="Q272">
        <f t="shared" si="965"/>
        <v>7355.1183639528044</v>
      </c>
      <c r="R272">
        <f t="shared" si="966"/>
        <v>561940.73085661011</v>
      </c>
      <c r="S272">
        <f t="shared" si="967"/>
        <v>5.6194073085661014</v>
      </c>
      <c r="T272">
        <f t="shared" si="968"/>
        <v>5.6194073085661014E-3</v>
      </c>
    </row>
    <row r="273" spans="1:20" x14ac:dyDescent="0.25">
      <c r="A273" s="5">
        <v>44320</v>
      </c>
      <c r="B273">
        <v>202.89</v>
      </c>
      <c r="C273">
        <v>203.05</v>
      </c>
      <c r="D273">
        <v>182.33</v>
      </c>
      <c r="E273">
        <v>187.39</v>
      </c>
      <c r="F273">
        <v>16739.722300000001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-0.51158301158301411</v>
      </c>
      <c r="Q273">
        <f t="shared" si="965"/>
        <v>-8563.7575472973404</v>
      </c>
      <c r="R273">
        <f t="shared" si="966"/>
        <v>554585.61249265727</v>
      </c>
      <c r="S273">
        <f t="shared" si="967"/>
        <v>5.5458561249265728</v>
      </c>
      <c r="T273">
        <f t="shared" si="968"/>
        <v>5.5458561249265726E-3</v>
      </c>
    </row>
    <row r="274" spans="1:20" x14ac:dyDescent="0.25">
      <c r="A274" s="5">
        <v>44319</v>
      </c>
      <c r="B274">
        <v>205</v>
      </c>
      <c r="C274">
        <v>209.7</v>
      </c>
      <c r="D274">
        <v>201.35</v>
      </c>
      <c r="E274">
        <v>202.89</v>
      </c>
      <c r="F274">
        <v>12245.439700000001</v>
      </c>
      <c r="G274">
        <v>0</v>
      </c>
      <c r="L274" t="s">
        <v>8</v>
      </c>
      <c r="M274" t="s">
        <v>8</v>
      </c>
      <c r="N274" t="s">
        <v>7</v>
      </c>
      <c r="P274">
        <f t="shared" si="964"/>
        <v>-0.63113772455089989</v>
      </c>
      <c r="Q274">
        <f t="shared" si="965"/>
        <v>-7728.5589483832546</v>
      </c>
      <c r="R274">
        <f t="shared" si="966"/>
        <v>563149.37003995455</v>
      </c>
      <c r="S274">
        <f t="shared" si="967"/>
        <v>5.6314937003995453</v>
      </c>
      <c r="T274">
        <f t="shared" si="968"/>
        <v>5.6314937003995452E-3</v>
      </c>
    </row>
    <row r="275" spans="1:20" x14ac:dyDescent="0.25">
      <c r="A275" s="5">
        <v>44318</v>
      </c>
      <c r="B275">
        <v>209.95</v>
      </c>
      <c r="C275">
        <v>212.8</v>
      </c>
      <c r="D275">
        <v>203.3</v>
      </c>
      <c r="E275">
        <v>205</v>
      </c>
      <c r="F275">
        <v>10429.9979</v>
      </c>
      <c r="G275">
        <v>0</v>
      </c>
      <c r="L275" t="s">
        <v>8</v>
      </c>
      <c r="M275" t="s">
        <v>8</v>
      </c>
      <c r="N275" t="s">
        <v>7</v>
      </c>
      <c r="P275">
        <f t="shared" si="964"/>
        <v>-0.64210526315789718</v>
      </c>
      <c r="Q275">
        <f t="shared" si="965"/>
        <v>-6697.1565463158149</v>
      </c>
      <c r="R275">
        <f t="shared" si="966"/>
        <v>570877.92898833775</v>
      </c>
      <c r="S275">
        <f t="shared" si="967"/>
        <v>5.7087792898833776</v>
      </c>
      <c r="T275">
        <f t="shared" si="968"/>
        <v>5.7087792898833775E-3</v>
      </c>
    </row>
    <row r="276" spans="1:20" x14ac:dyDescent="0.25">
      <c r="A276" s="5">
        <v>44317</v>
      </c>
      <c r="B276">
        <v>206.01</v>
      </c>
      <c r="C276">
        <v>210</v>
      </c>
      <c r="D276">
        <v>200</v>
      </c>
      <c r="E276">
        <v>210</v>
      </c>
      <c r="F276">
        <v>9453.616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1</v>
      </c>
      <c r="Q276">
        <f t="shared" si="965"/>
        <v>9453.616</v>
      </c>
      <c r="R276">
        <f t="shared" si="966"/>
        <v>577575.08553465351</v>
      </c>
      <c r="S276">
        <f t="shared" si="967"/>
        <v>5.7757508553465353</v>
      </c>
      <c r="T276">
        <f t="shared" si="968"/>
        <v>5.7757508553465354E-3</v>
      </c>
    </row>
    <row r="277" spans="1:20" x14ac:dyDescent="0.25">
      <c r="A277" s="5">
        <v>44316</v>
      </c>
      <c r="B277">
        <v>207.89</v>
      </c>
      <c r="C277">
        <v>208.7</v>
      </c>
      <c r="D277">
        <v>195.59</v>
      </c>
      <c r="E277">
        <v>206.02</v>
      </c>
      <c r="F277">
        <v>45430.828000000001</v>
      </c>
      <c r="G277">
        <v>0</v>
      </c>
      <c r="L277" t="s">
        <v>7</v>
      </c>
      <c r="M277" t="s">
        <v>8</v>
      </c>
      <c r="N277" t="s">
        <v>7</v>
      </c>
      <c r="P277">
        <f t="shared" si="964"/>
        <v>0.59115179252479311</v>
      </c>
      <c r="Q277">
        <f t="shared" si="965"/>
        <v>26856.515408085561</v>
      </c>
      <c r="R277">
        <f t="shared" si="966"/>
        <v>568121.46953465347</v>
      </c>
      <c r="S277">
        <f t="shared" si="967"/>
        <v>5.6812146953465348</v>
      </c>
      <c r="T277">
        <f t="shared" si="968"/>
        <v>5.6812146953465351E-3</v>
      </c>
    </row>
    <row r="278" spans="1:20" x14ac:dyDescent="0.25">
      <c r="A278" s="5">
        <v>44315</v>
      </c>
      <c r="B278">
        <v>208.34</v>
      </c>
      <c r="C278">
        <v>215.9</v>
      </c>
      <c r="D278">
        <v>205.84</v>
      </c>
      <c r="E278">
        <v>207.91</v>
      </c>
      <c r="F278">
        <v>11077.6481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-0.58846918489065747</v>
      </c>
      <c r="Q278">
        <f t="shared" si="965"/>
        <v>-6518.8545479125405</v>
      </c>
      <c r="R278">
        <f t="shared" si="966"/>
        <v>541264.95412656793</v>
      </c>
      <c r="S278">
        <f t="shared" si="967"/>
        <v>5.4126495412656794</v>
      </c>
      <c r="T278">
        <f t="shared" si="968"/>
        <v>5.4126495412656793E-3</v>
      </c>
    </row>
    <row r="279" spans="1:20" x14ac:dyDescent="0.25">
      <c r="A279" s="5">
        <v>44314</v>
      </c>
      <c r="B279">
        <v>213.93</v>
      </c>
      <c r="C279">
        <v>215</v>
      </c>
      <c r="D279">
        <v>202.86</v>
      </c>
      <c r="E279">
        <v>208.34</v>
      </c>
      <c r="F279">
        <v>16830.788499999999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-9.7199341021417474E-2</v>
      </c>
      <c r="Q279">
        <f t="shared" si="965"/>
        <v>-1635.9415510708513</v>
      </c>
      <c r="R279">
        <f t="shared" si="966"/>
        <v>547783.80867448042</v>
      </c>
      <c r="S279">
        <f t="shared" si="967"/>
        <v>5.4778380867448044</v>
      </c>
      <c r="T279">
        <f t="shared" si="968"/>
        <v>5.4778380867448045E-3</v>
      </c>
    </row>
    <row r="280" spans="1:20" x14ac:dyDescent="0.25">
      <c r="A280" s="5">
        <v>44313</v>
      </c>
      <c r="B280">
        <v>206.22</v>
      </c>
      <c r="C280">
        <v>215.09</v>
      </c>
      <c r="D280">
        <v>205.01</v>
      </c>
      <c r="E280">
        <v>213.94</v>
      </c>
      <c r="F280">
        <v>9346.4966999999997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0.77182539682539597</v>
      </c>
      <c r="Q280">
        <f t="shared" si="965"/>
        <v>7213.8635244047537</v>
      </c>
      <c r="R280">
        <f t="shared" si="966"/>
        <v>549419.75022555131</v>
      </c>
      <c r="S280">
        <f t="shared" si="967"/>
        <v>5.4941975022555134</v>
      </c>
      <c r="T280">
        <f t="shared" si="968"/>
        <v>5.4941975022555134E-3</v>
      </c>
    </row>
    <row r="281" spans="1:20" x14ac:dyDescent="0.25">
      <c r="A281" s="5">
        <v>44312</v>
      </c>
      <c r="B281">
        <v>186.78</v>
      </c>
      <c r="C281">
        <v>208.14</v>
      </c>
      <c r="D281">
        <v>185.47</v>
      </c>
      <c r="E281">
        <v>205.82</v>
      </c>
      <c r="F281">
        <v>11448.431399999999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0.79532421702690825</v>
      </c>
      <c r="Q281">
        <f t="shared" si="965"/>
        <v>9105.214739391271</v>
      </c>
      <c r="R281">
        <f t="shared" si="966"/>
        <v>542205.88670114661</v>
      </c>
      <c r="S281">
        <f t="shared" si="967"/>
        <v>5.422058867011466</v>
      </c>
      <c r="T281">
        <f t="shared" si="968"/>
        <v>5.4220588670114657E-3</v>
      </c>
    </row>
    <row r="282" spans="1:20" x14ac:dyDescent="0.25">
      <c r="A282" s="5">
        <v>44311</v>
      </c>
      <c r="B282">
        <v>185.435</v>
      </c>
      <c r="C282">
        <v>198</v>
      </c>
      <c r="D282">
        <v>176.49</v>
      </c>
      <c r="E282">
        <v>186.78</v>
      </c>
      <c r="F282">
        <v>9706.3035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-4.3235704323570767E-2</v>
      </c>
      <c r="Q282">
        <f t="shared" si="965"/>
        <v>-419.65886820084006</v>
      </c>
      <c r="R282">
        <f t="shared" si="966"/>
        <v>533100.67196175538</v>
      </c>
      <c r="S282">
        <f t="shared" si="967"/>
        <v>5.3310067196175535</v>
      </c>
      <c r="T282">
        <f t="shared" si="968"/>
        <v>5.3310067196175532E-3</v>
      </c>
    </row>
    <row r="283" spans="1:20" x14ac:dyDescent="0.25">
      <c r="A283" s="5">
        <v>44310</v>
      </c>
      <c r="B283">
        <v>185.858</v>
      </c>
      <c r="C283">
        <v>191.999</v>
      </c>
      <c r="D283">
        <v>172.81200000000001</v>
      </c>
      <c r="E283">
        <v>185.4</v>
      </c>
      <c r="F283">
        <v>14434.777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0.31213842705998901</v>
      </c>
      <c r="Q283">
        <f t="shared" si="965"/>
        <v>4505.6485877417072</v>
      </c>
      <c r="R283">
        <f t="shared" si="966"/>
        <v>533520.33082995622</v>
      </c>
      <c r="S283">
        <f t="shared" si="967"/>
        <v>5.3352033082995618</v>
      </c>
      <c r="T283">
        <f t="shared" si="968"/>
        <v>5.3352033082995614E-3</v>
      </c>
    </row>
    <row r="284" spans="1:20" x14ac:dyDescent="0.25">
      <c r="A284" s="5">
        <v>44309</v>
      </c>
      <c r="B284">
        <v>190.60900000000001</v>
      </c>
      <c r="C284">
        <v>193.03200000000001</v>
      </c>
      <c r="D284">
        <v>164.357</v>
      </c>
      <c r="E284">
        <v>185.55699999999999</v>
      </c>
      <c r="F284">
        <v>26880.400000000001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0.47863993025283208</v>
      </c>
      <c r="Q284">
        <f t="shared" si="965"/>
        <v>12866.032781168227</v>
      </c>
      <c r="R284">
        <f t="shared" si="966"/>
        <v>529014.68224221456</v>
      </c>
      <c r="S284">
        <f t="shared" si="967"/>
        <v>5.2901468224221455</v>
      </c>
      <c r="T284">
        <f t="shared" si="968"/>
        <v>5.2901468224221459E-3</v>
      </c>
    </row>
    <row r="285" spans="1:20" x14ac:dyDescent="0.25">
      <c r="A285" s="5">
        <v>44308</v>
      </c>
      <c r="B285">
        <v>207.38499999999999</v>
      </c>
      <c r="C285">
        <v>213.779</v>
      </c>
      <c r="D285">
        <v>189.63399999999999</v>
      </c>
      <c r="E285">
        <v>191</v>
      </c>
      <c r="F285">
        <v>14671.579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-0.88685027956098461</v>
      </c>
      <c r="Q285">
        <f t="shared" si="965"/>
        <v>-13011.493937751071</v>
      </c>
      <c r="R285">
        <f t="shared" si="966"/>
        <v>516148.64946104633</v>
      </c>
      <c r="S285">
        <f t="shared" si="967"/>
        <v>5.1614864946104628</v>
      </c>
      <c r="T285">
        <f t="shared" si="968"/>
        <v>5.1614864946104627E-3</v>
      </c>
    </row>
    <row r="286" spans="1:20" x14ac:dyDescent="0.25">
      <c r="A286" s="5">
        <v>44307</v>
      </c>
      <c r="B286">
        <v>214.6</v>
      </c>
      <c r="C286">
        <v>216.636</v>
      </c>
      <c r="D286">
        <v>206.30699999999999</v>
      </c>
      <c r="E286">
        <v>207.386</v>
      </c>
      <c r="F286">
        <v>12636.458000000001</v>
      </c>
      <c r="G286">
        <v>0</v>
      </c>
      <c r="L286" t="s">
        <v>8</v>
      </c>
      <c r="M286" t="s">
        <v>7</v>
      </c>
      <c r="N286" t="s">
        <v>8</v>
      </c>
      <c r="P286">
        <f t="shared" si="964"/>
        <v>-0.79107367605770029</v>
      </c>
      <c r="Q286">
        <f t="shared" si="965"/>
        <v>-9996.3692824087357</v>
      </c>
      <c r="R286">
        <f t="shared" si="966"/>
        <v>529160.14339879737</v>
      </c>
      <c r="S286">
        <f t="shared" si="967"/>
        <v>5.2916014339879736</v>
      </c>
      <c r="T286">
        <f t="shared" si="968"/>
        <v>5.291601433987974E-3</v>
      </c>
    </row>
    <row r="287" spans="1:20" x14ac:dyDescent="0.25">
      <c r="A287" s="5">
        <v>44306</v>
      </c>
      <c r="B287">
        <v>215.233</v>
      </c>
      <c r="C287">
        <v>219.351</v>
      </c>
      <c r="D287">
        <v>189.863</v>
      </c>
      <c r="E287">
        <v>214.602</v>
      </c>
      <c r="F287">
        <v>19705.023000000001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0.67790287574606656</v>
      </c>
      <c r="Q287">
        <f t="shared" si="965"/>
        <v>13358.091758342385</v>
      </c>
      <c r="R287">
        <f t="shared" si="966"/>
        <v>539156.51268120611</v>
      </c>
      <c r="S287">
        <f t="shared" si="967"/>
        <v>5.3915651268120612</v>
      </c>
      <c r="T287">
        <f t="shared" si="968"/>
        <v>5.3915651268120609E-3</v>
      </c>
    </row>
    <row r="288" spans="1:20" x14ac:dyDescent="0.25">
      <c r="A288" s="5">
        <v>44305</v>
      </c>
      <c r="B288">
        <v>224.024</v>
      </c>
      <c r="C288">
        <v>231.53800000000001</v>
      </c>
      <c r="D288">
        <v>209.994</v>
      </c>
      <c r="E288">
        <v>216.01</v>
      </c>
      <c r="F288">
        <v>15411.348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-0.44151503898997513</v>
      </c>
      <c r="Q288">
        <f t="shared" si="965"/>
        <v>-6804.3419131080755</v>
      </c>
      <c r="R288">
        <f t="shared" si="966"/>
        <v>525798.42092286376</v>
      </c>
      <c r="S288">
        <f t="shared" si="967"/>
        <v>5.2579842092286375</v>
      </c>
      <c r="T288">
        <f t="shared" si="968"/>
        <v>5.2579842092286373E-3</v>
      </c>
    </row>
    <row r="289" spans="1:20" x14ac:dyDescent="0.25">
      <c r="A289" s="5">
        <v>44304</v>
      </c>
      <c r="B289">
        <v>231.34</v>
      </c>
      <c r="C289">
        <v>233.90100000000001</v>
      </c>
      <c r="D289">
        <v>191.001</v>
      </c>
      <c r="E289">
        <v>224.52699999999999</v>
      </c>
      <c r="F289">
        <v>23354.258999999998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0.56298368298368195</v>
      </c>
      <c r="Q289">
        <f t="shared" si="965"/>
        <v>13148.0667451748</v>
      </c>
      <c r="R289">
        <f t="shared" si="966"/>
        <v>532602.76283597189</v>
      </c>
      <c r="S289">
        <f t="shared" si="967"/>
        <v>5.3260276283597188</v>
      </c>
      <c r="T289">
        <f t="shared" si="968"/>
        <v>5.326027628359719E-3</v>
      </c>
    </row>
    <row r="290" spans="1:20" x14ac:dyDescent="0.25">
      <c r="A290" s="5">
        <v>44303</v>
      </c>
      <c r="B290">
        <v>246.33199999999999</v>
      </c>
      <c r="C290">
        <v>249.7</v>
      </c>
      <c r="D290">
        <v>231.23</v>
      </c>
      <c r="E290">
        <v>231.34</v>
      </c>
      <c r="F290">
        <v>20916.292000000001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-0.98808879263670668</v>
      </c>
      <c r="Q290">
        <f t="shared" si="965"/>
        <v>-20667.153708716807</v>
      </c>
      <c r="R290">
        <f t="shared" si="966"/>
        <v>519454.69609079714</v>
      </c>
      <c r="S290">
        <f t="shared" si="967"/>
        <v>5.1945469609079717</v>
      </c>
      <c r="T290">
        <f t="shared" si="968"/>
        <v>5.1945469609079717E-3</v>
      </c>
    </row>
    <row r="291" spans="1:20" x14ac:dyDescent="0.25">
      <c r="A291" s="5">
        <v>44302</v>
      </c>
      <c r="B291">
        <v>207.93100000000001</v>
      </c>
      <c r="C291">
        <v>249.999</v>
      </c>
      <c r="D291">
        <v>203.70099999999999</v>
      </c>
      <c r="E291">
        <v>245.971</v>
      </c>
      <c r="F291">
        <v>32672.915000000001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0.82599680331763825</v>
      </c>
      <c r="Q291">
        <f t="shared" si="965"/>
        <v>26987.723345068913</v>
      </c>
      <c r="R291">
        <f t="shared" si="966"/>
        <v>540121.84979951393</v>
      </c>
      <c r="S291">
        <f t="shared" si="967"/>
        <v>5.4012184979951394</v>
      </c>
      <c r="T291">
        <f t="shared" si="968"/>
        <v>5.4012184979951392E-3</v>
      </c>
    </row>
    <row r="292" spans="1:20" x14ac:dyDescent="0.25">
      <c r="A292" s="5">
        <v>44301</v>
      </c>
      <c r="B292">
        <v>207.67</v>
      </c>
      <c r="C292">
        <v>208.99299999999999</v>
      </c>
      <c r="D292">
        <v>201.75200000000001</v>
      </c>
      <c r="E292">
        <v>207.58799999999999</v>
      </c>
      <c r="F292">
        <v>18227.123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0.61193205358375802</v>
      </c>
      <c r="Q292">
        <f t="shared" si="965"/>
        <v>11153.760808313747</v>
      </c>
      <c r="R292">
        <f t="shared" si="966"/>
        <v>513134.12645444507</v>
      </c>
      <c r="S292">
        <f t="shared" si="967"/>
        <v>5.1313412645444503</v>
      </c>
      <c r="T292">
        <f t="shared" si="968"/>
        <v>5.1313412645444499E-3</v>
      </c>
    </row>
    <row r="293" spans="1:20" x14ac:dyDescent="0.25">
      <c r="A293" s="5">
        <v>44300</v>
      </c>
      <c r="B293">
        <v>203.32599999999999</v>
      </c>
      <c r="C293">
        <v>211.33600000000001</v>
      </c>
      <c r="D293">
        <v>200.11099999999999</v>
      </c>
      <c r="E293">
        <v>207.87799999999999</v>
      </c>
      <c r="F293">
        <v>17282.003000000001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0.38387527839643298</v>
      </c>
      <c r="Q293">
        <f t="shared" si="965"/>
        <v>6634.1337128729901</v>
      </c>
      <c r="R293">
        <f t="shared" si="966"/>
        <v>501980.36564613134</v>
      </c>
      <c r="S293">
        <f t="shared" si="967"/>
        <v>5.0198036564613133</v>
      </c>
      <c r="T293">
        <f t="shared" si="968"/>
        <v>5.019803656461313E-3</v>
      </c>
    </row>
    <row r="294" spans="1:20" x14ac:dyDescent="0.25">
      <c r="A294" s="5">
        <v>44299</v>
      </c>
      <c r="B294">
        <v>191.029</v>
      </c>
      <c r="C294">
        <v>203.33</v>
      </c>
      <c r="D294">
        <v>188.352</v>
      </c>
      <c r="E294">
        <v>203.15799999999999</v>
      </c>
      <c r="F294">
        <v>29458.785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0.97703298170649944</v>
      </c>
      <c r="Q294">
        <f t="shared" si="965"/>
        <v>28782.204546000699</v>
      </c>
      <c r="R294">
        <f t="shared" si="966"/>
        <v>495346.23193325836</v>
      </c>
      <c r="S294">
        <f t="shared" si="967"/>
        <v>4.9534623193325835</v>
      </c>
      <c r="T294">
        <f t="shared" si="968"/>
        <v>4.9534623193325834E-3</v>
      </c>
    </row>
    <row r="295" spans="1:20" x14ac:dyDescent="0.25">
      <c r="A295" s="5">
        <v>44298</v>
      </c>
      <c r="B295">
        <v>196.93799999999999</v>
      </c>
      <c r="C295">
        <v>199.02799999999999</v>
      </c>
      <c r="D295">
        <v>189.8</v>
      </c>
      <c r="E295">
        <v>190.97499999999999</v>
      </c>
      <c r="F295">
        <v>10406.991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-0.74534026874729398</v>
      </c>
      <c r="Q295">
        <f t="shared" si="965"/>
        <v>-7756.7494687906701</v>
      </c>
      <c r="R295">
        <f t="shared" si="966"/>
        <v>466564.02738725767</v>
      </c>
      <c r="S295">
        <f t="shared" si="967"/>
        <v>4.6656402738725768</v>
      </c>
      <c r="T295">
        <f t="shared" si="968"/>
        <v>4.6656402738725769E-3</v>
      </c>
    </row>
    <row r="296" spans="1:20" x14ac:dyDescent="0.25">
      <c r="A296" s="5">
        <v>44297</v>
      </c>
      <c r="B296">
        <v>194</v>
      </c>
      <c r="C296">
        <v>198.18</v>
      </c>
      <c r="D296">
        <v>189.55799999999999</v>
      </c>
      <c r="E296">
        <v>196.50700000000001</v>
      </c>
      <c r="F296">
        <v>8640.9500000000007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0.61192298770586895</v>
      </c>
      <c r="Q296">
        <f t="shared" si="965"/>
        <v>5287.5959406170286</v>
      </c>
      <c r="R296">
        <f t="shared" si="966"/>
        <v>474320.77685604832</v>
      </c>
      <c r="S296">
        <f t="shared" si="967"/>
        <v>4.7432077685604837</v>
      </c>
      <c r="T296">
        <f t="shared" si="968"/>
        <v>4.7432077685604836E-3</v>
      </c>
    </row>
    <row r="297" spans="1:20" x14ac:dyDescent="0.25">
      <c r="A297" s="5">
        <v>44296</v>
      </c>
      <c r="B297">
        <v>191.226</v>
      </c>
      <c r="C297">
        <v>198.50299999999999</v>
      </c>
      <c r="D297">
        <v>190.10599999999999</v>
      </c>
      <c r="E297">
        <v>194.02799999999999</v>
      </c>
      <c r="F297">
        <v>10806.441999999999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-6.5856853638203858E-2</v>
      </c>
      <c r="Q297">
        <f t="shared" si="965"/>
        <v>-711.67826914373893</v>
      </c>
      <c r="R297">
        <f t="shared" si="966"/>
        <v>469033.18091543129</v>
      </c>
      <c r="S297">
        <f t="shared" si="967"/>
        <v>4.6903318091543129</v>
      </c>
      <c r="T297">
        <f t="shared" si="968"/>
        <v>4.6903318091543128E-3</v>
      </c>
    </row>
    <row r="298" spans="1:20" x14ac:dyDescent="0.25">
      <c r="A298" s="5">
        <v>44295</v>
      </c>
      <c r="B298">
        <v>189.501</v>
      </c>
      <c r="C298">
        <v>191.9</v>
      </c>
      <c r="D298">
        <v>184.60599999999999</v>
      </c>
      <c r="E298">
        <v>191.68600000000001</v>
      </c>
      <c r="F298">
        <v>13240.726000000001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0.94132163421990722</v>
      </c>
      <c r="Q298">
        <f t="shared" si="965"/>
        <v>12463.781836578015</v>
      </c>
      <c r="R298">
        <f t="shared" si="966"/>
        <v>469744.85918457503</v>
      </c>
      <c r="S298">
        <f t="shared" si="967"/>
        <v>4.6974485918457507</v>
      </c>
      <c r="T298">
        <f t="shared" si="968"/>
        <v>4.6974485918457511E-3</v>
      </c>
    </row>
    <row r="299" spans="1:20" x14ac:dyDescent="0.25">
      <c r="A299" s="5">
        <v>44294</v>
      </c>
      <c r="B299">
        <v>181.46199999999999</v>
      </c>
      <c r="C299">
        <v>189.995</v>
      </c>
      <c r="D299">
        <v>180.167</v>
      </c>
      <c r="E299">
        <v>188.99199999999999</v>
      </c>
      <c r="F299">
        <v>8056.8990000000003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0.79588929588929302</v>
      </c>
      <c r="Q299">
        <f t="shared" si="965"/>
        <v>6412.3996721611493</v>
      </c>
      <c r="R299">
        <f t="shared" si="966"/>
        <v>457281.07734799699</v>
      </c>
      <c r="S299">
        <f t="shared" si="967"/>
        <v>4.5728107734799703</v>
      </c>
      <c r="T299">
        <f t="shared" si="968"/>
        <v>4.5728107734799702E-3</v>
      </c>
    </row>
    <row r="300" spans="1:20" x14ac:dyDescent="0.25">
      <c r="A300" s="5">
        <v>44293</v>
      </c>
      <c r="B300">
        <v>189.792</v>
      </c>
      <c r="C300">
        <v>189.846</v>
      </c>
      <c r="D300">
        <v>177.149</v>
      </c>
      <c r="E300">
        <v>180.86600000000001</v>
      </c>
      <c r="F300">
        <v>13581.752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-0.41450736394423687</v>
      </c>
      <c r="Q300">
        <f t="shared" si="965"/>
        <v>-5629.7362192643668</v>
      </c>
      <c r="R300">
        <f t="shared" si="966"/>
        <v>450868.67767583585</v>
      </c>
      <c r="S300">
        <f t="shared" si="967"/>
        <v>4.5086867767583581</v>
      </c>
      <c r="T300">
        <f t="shared" si="968"/>
        <v>4.5086867767583578E-3</v>
      </c>
    </row>
    <row r="301" spans="1:20" x14ac:dyDescent="0.25">
      <c r="A301" s="5">
        <v>44292</v>
      </c>
      <c r="B301">
        <v>193.45699999999999</v>
      </c>
      <c r="C301">
        <v>194.452</v>
      </c>
      <c r="D301">
        <v>185.566</v>
      </c>
      <c r="E301">
        <v>189.78100000000001</v>
      </c>
      <c r="F301">
        <v>14975.313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-5.1316677920322878E-2</v>
      </c>
      <c r="Q301">
        <f t="shared" si="965"/>
        <v>-768.48331397702418</v>
      </c>
      <c r="R301">
        <f t="shared" si="966"/>
        <v>456498.41389510024</v>
      </c>
      <c r="S301">
        <f t="shared" si="967"/>
        <v>4.5649841389510026</v>
      </c>
      <c r="T301">
        <f t="shared" si="968"/>
        <v>4.5649841389510028E-3</v>
      </c>
    </row>
    <row r="302" spans="1:20" x14ac:dyDescent="0.25">
      <c r="A302" s="5">
        <v>44291</v>
      </c>
      <c r="B302">
        <v>186.499</v>
      </c>
      <c r="C302">
        <v>193.458</v>
      </c>
      <c r="D302">
        <v>183.63200000000001</v>
      </c>
      <c r="E302">
        <v>193.45699999999999</v>
      </c>
      <c r="F302">
        <v>11965.773999999999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0.99979645837573683</v>
      </c>
      <c r="Q302">
        <f t="shared" si="965"/>
        <v>11963.338466924473</v>
      </c>
      <c r="R302">
        <f t="shared" si="966"/>
        <v>457266.89720907726</v>
      </c>
      <c r="S302">
        <f t="shared" si="967"/>
        <v>4.5726689720907725</v>
      </c>
      <c r="T302">
        <f t="shared" si="968"/>
        <v>4.5726689720907727E-3</v>
      </c>
    </row>
    <row r="303" spans="1:20" x14ac:dyDescent="0.25">
      <c r="A303" s="5">
        <v>44290</v>
      </c>
      <c r="B303">
        <v>177.29300000000001</v>
      </c>
      <c r="C303">
        <v>188</v>
      </c>
      <c r="D303">
        <v>175.50200000000001</v>
      </c>
      <c r="E303">
        <v>186.33500000000001</v>
      </c>
      <c r="F303">
        <v>13238.861999999999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0.73355736917906977</v>
      </c>
      <c r="Q303">
        <f t="shared" si="965"/>
        <v>9711.4647796447571</v>
      </c>
      <c r="R303">
        <f t="shared" si="966"/>
        <v>445303.55874215276</v>
      </c>
      <c r="S303">
        <f t="shared" si="967"/>
        <v>4.4530355874215273</v>
      </c>
      <c r="T303">
        <f t="shared" si="968"/>
        <v>4.4530355874215274E-3</v>
      </c>
    </row>
    <row r="304" spans="1:20" x14ac:dyDescent="0.25">
      <c r="A304" s="5">
        <v>44289</v>
      </c>
      <c r="B304">
        <v>182.82499999999999</v>
      </c>
      <c r="C304">
        <v>185.88</v>
      </c>
      <c r="D304">
        <v>176.69399999999999</v>
      </c>
      <c r="E304">
        <v>176.91</v>
      </c>
      <c r="F304">
        <v>11240.039000000001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-0.95297191378184021</v>
      </c>
      <c r="Q304">
        <f t="shared" si="965"/>
        <v>-10711.441476812523</v>
      </c>
      <c r="R304">
        <f t="shared" si="966"/>
        <v>435592.09396250802</v>
      </c>
      <c r="S304">
        <f t="shared" si="967"/>
        <v>4.3559209396250802</v>
      </c>
      <c r="T304">
        <f t="shared" si="968"/>
        <v>4.3559209396250801E-3</v>
      </c>
    </row>
    <row r="305" spans="1:20" x14ac:dyDescent="0.25">
      <c r="A305" s="5">
        <v>44288</v>
      </c>
      <c r="B305">
        <v>182.172</v>
      </c>
      <c r="C305">
        <v>185</v>
      </c>
      <c r="D305">
        <v>180.50899999999999</v>
      </c>
      <c r="E305">
        <v>182.893</v>
      </c>
      <c r="F305">
        <v>13705.62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6.1678913382323397E-2</v>
      </c>
      <c r="Q305">
        <f t="shared" si="965"/>
        <v>845.34774883103921</v>
      </c>
      <c r="R305">
        <f t="shared" si="966"/>
        <v>446303.53543932055</v>
      </c>
      <c r="S305">
        <f t="shared" si="967"/>
        <v>4.4630353543932051</v>
      </c>
      <c r="T305">
        <f t="shared" si="968"/>
        <v>4.4630353543932055E-3</v>
      </c>
    </row>
    <row r="306" spans="1:20" x14ac:dyDescent="0.25">
      <c r="A306" s="5">
        <v>44287</v>
      </c>
      <c r="B306">
        <v>179.952</v>
      </c>
      <c r="C306">
        <v>182.54</v>
      </c>
      <c r="D306">
        <v>177.56899999999999</v>
      </c>
      <c r="E306">
        <v>181.43199999999999</v>
      </c>
      <c r="F306">
        <v>10711.485000000001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0.55421444377388729</v>
      </c>
      <c r="Q306">
        <f t="shared" si="965"/>
        <v>5936.4597012673376</v>
      </c>
      <c r="R306">
        <f t="shared" si="966"/>
        <v>445458.18769048952</v>
      </c>
      <c r="S306">
        <f t="shared" si="967"/>
        <v>4.4545818769048955</v>
      </c>
      <c r="T306">
        <f t="shared" si="968"/>
        <v>4.4545818769048959E-3</v>
      </c>
    </row>
    <row r="307" spans="1:20" x14ac:dyDescent="0.25">
      <c r="A307" s="5">
        <v>44286</v>
      </c>
      <c r="B307">
        <v>181.10499999999999</v>
      </c>
      <c r="C307">
        <v>182.3</v>
      </c>
      <c r="D307">
        <v>170.28399999999999</v>
      </c>
      <c r="E307">
        <v>179.483</v>
      </c>
      <c r="F307">
        <v>16056.876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0.53112516644473995</v>
      </c>
      <c r="Q307">
        <f t="shared" si="965"/>
        <v>8528.2109380825495</v>
      </c>
      <c r="R307">
        <f t="shared" si="966"/>
        <v>439521.72798922216</v>
      </c>
      <c r="S307">
        <f t="shared" si="967"/>
        <v>4.395217279892222</v>
      </c>
      <c r="T307">
        <f t="shared" si="968"/>
        <v>4.3952172798922221E-3</v>
      </c>
    </row>
    <row r="308" spans="1:20" x14ac:dyDescent="0.25">
      <c r="A308" s="5">
        <v>44285</v>
      </c>
      <c r="B308">
        <v>172.92</v>
      </c>
      <c r="C308">
        <v>181.268</v>
      </c>
      <c r="D308">
        <v>170.19900000000001</v>
      </c>
      <c r="E308">
        <v>180.38300000000001</v>
      </c>
      <c r="F308">
        <v>10531.607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0.84009395609359616</v>
      </c>
      <c r="Q308">
        <f t="shared" si="965"/>
        <v>8847.5393886530092</v>
      </c>
      <c r="R308">
        <f t="shared" si="966"/>
        <v>430993.51705113961</v>
      </c>
      <c r="S308">
        <f t="shared" si="967"/>
        <v>4.3099351705113964</v>
      </c>
      <c r="T308">
        <f t="shared" si="968"/>
        <v>4.3099351705113967E-3</v>
      </c>
    </row>
    <row r="309" spans="1:20" x14ac:dyDescent="0.25">
      <c r="A309" s="5">
        <v>44284</v>
      </c>
      <c r="B309">
        <v>166.673</v>
      </c>
      <c r="C309">
        <v>175</v>
      </c>
      <c r="D309">
        <v>162.29400000000001</v>
      </c>
      <c r="E309">
        <v>172.90600000000001</v>
      </c>
      <c r="F309">
        <v>11105.975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0.67039194081536346</v>
      </c>
      <c r="Q309">
        <f t="shared" si="965"/>
        <v>7445.356134896906</v>
      </c>
      <c r="R309">
        <f t="shared" si="966"/>
        <v>422145.97766248661</v>
      </c>
      <c r="S309">
        <f t="shared" si="967"/>
        <v>4.221459776624866</v>
      </c>
      <c r="T309">
        <f t="shared" si="968"/>
        <v>4.2214597766248663E-3</v>
      </c>
    </row>
    <row r="310" spans="1:20" x14ac:dyDescent="0.25">
      <c r="A310" s="5">
        <v>44283</v>
      </c>
      <c r="B310">
        <v>165.011</v>
      </c>
      <c r="C310">
        <v>168.76900000000001</v>
      </c>
      <c r="D310">
        <v>160.01900000000001</v>
      </c>
      <c r="E310">
        <v>166.672</v>
      </c>
      <c r="F310">
        <v>11743.048000000001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0.52068571428571231</v>
      </c>
      <c r="Q310">
        <f t="shared" si="965"/>
        <v>6114.4373357714057</v>
      </c>
      <c r="R310">
        <f t="shared" si="966"/>
        <v>414700.62152758968</v>
      </c>
      <c r="S310">
        <f t="shared" si="967"/>
        <v>4.1470062152758969</v>
      </c>
      <c r="T310">
        <f t="shared" si="968"/>
        <v>4.1470062152758969E-3</v>
      </c>
    </row>
    <row r="311" spans="1:20" x14ac:dyDescent="0.25">
      <c r="A311" s="5">
        <v>44282</v>
      </c>
      <c r="B311">
        <v>156.84899999999999</v>
      </c>
      <c r="C311">
        <v>167.8</v>
      </c>
      <c r="D311">
        <v>156</v>
      </c>
      <c r="E311">
        <v>165.75299999999999</v>
      </c>
      <c r="F311">
        <v>8105.8779999999997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0.6530508474576231</v>
      </c>
      <c r="Q311">
        <f t="shared" si="965"/>
        <v>5293.5504972881026</v>
      </c>
      <c r="R311">
        <f t="shared" si="966"/>
        <v>408586.18419181829</v>
      </c>
      <c r="S311">
        <f t="shared" si="967"/>
        <v>4.0858618419181827</v>
      </c>
      <c r="T311">
        <f t="shared" si="968"/>
        <v>4.0858618419181824E-3</v>
      </c>
    </row>
    <row r="312" spans="1:20" x14ac:dyDescent="0.25">
      <c r="A312" s="5">
        <v>44281</v>
      </c>
      <c r="B312">
        <v>147.23400000000001</v>
      </c>
      <c r="C312">
        <v>157.69499999999999</v>
      </c>
      <c r="D312">
        <v>146.47900000000001</v>
      </c>
      <c r="E312">
        <v>157.279</v>
      </c>
      <c r="F312">
        <v>7635.9579999999996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0.92582025677603463</v>
      </c>
      <c r="Q312">
        <f t="shared" si="965"/>
        <v>7069.5245962910158</v>
      </c>
      <c r="R312">
        <f t="shared" si="966"/>
        <v>403292.63369453017</v>
      </c>
      <c r="S312">
        <f t="shared" si="967"/>
        <v>4.0329263369453017</v>
      </c>
      <c r="T312">
        <f t="shared" si="968"/>
        <v>4.0329263369453016E-3</v>
      </c>
    </row>
    <row r="313" spans="1:20" x14ac:dyDescent="0.25">
      <c r="A313" s="5">
        <v>44280</v>
      </c>
      <c r="B313">
        <v>147.392</v>
      </c>
      <c r="C313">
        <v>151.63</v>
      </c>
      <c r="D313">
        <v>142.11600000000001</v>
      </c>
      <c r="E313">
        <v>147.232</v>
      </c>
      <c r="F313">
        <v>6860.817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7.5467731763715656E-2</v>
      </c>
      <c r="Q313">
        <f t="shared" si="965"/>
        <v>517.7702970359403</v>
      </c>
      <c r="R313">
        <f t="shared" si="966"/>
        <v>396223.10909823916</v>
      </c>
      <c r="S313">
        <f t="shared" si="967"/>
        <v>3.9622310909823915</v>
      </c>
      <c r="T313">
        <f t="shared" si="968"/>
        <v>3.9622310909823918E-3</v>
      </c>
    </row>
    <row r="314" spans="1:20" x14ac:dyDescent="0.25">
      <c r="A314" s="5">
        <v>44279</v>
      </c>
      <c r="B314">
        <v>154.565</v>
      </c>
      <c r="C314">
        <v>165</v>
      </c>
      <c r="D314">
        <v>143.78</v>
      </c>
      <c r="E314">
        <v>147.39400000000001</v>
      </c>
      <c r="F314">
        <v>9245.5679999999993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-0.6593779453345896</v>
      </c>
      <c r="Q314">
        <f t="shared" si="965"/>
        <v>-6096.3236312912304</v>
      </c>
      <c r="R314">
        <f t="shared" si="966"/>
        <v>395705.33880120324</v>
      </c>
      <c r="S314">
        <f t="shared" si="967"/>
        <v>3.9570533880120324</v>
      </c>
      <c r="T314">
        <f t="shared" si="968"/>
        <v>3.9570533880120325E-3</v>
      </c>
    </row>
    <row r="315" spans="1:20" x14ac:dyDescent="0.25">
      <c r="A315" s="5">
        <v>44278</v>
      </c>
      <c r="B315">
        <v>153</v>
      </c>
      <c r="C315">
        <v>156.898</v>
      </c>
      <c r="D315">
        <v>147.17400000000001</v>
      </c>
      <c r="E315">
        <v>154.446</v>
      </c>
      <c r="F315">
        <v>10103.049000000001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0.49568078979843672</v>
      </c>
      <c r="Q315">
        <f t="shared" si="965"/>
        <v>5007.8873076923064</v>
      </c>
      <c r="R315">
        <f t="shared" si="966"/>
        <v>401801.66243249446</v>
      </c>
      <c r="S315">
        <f t="shared" si="967"/>
        <v>4.0180166243249449</v>
      </c>
      <c r="T315">
        <f t="shared" si="968"/>
        <v>4.0180166243249452E-3</v>
      </c>
    </row>
    <row r="316" spans="1:20" x14ac:dyDescent="0.25">
      <c r="A316" s="5">
        <v>44277</v>
      </c>
      <c r="B316">
        <v>166.39400000000001</v>
      </c>
      <c r="C316">
        <v>168.399</v>
      </c>
      <c r="D316">
        <v>152.035</v>
      </c>
      <c r="E316">
        <v>153</v>
      </c>
      <c r="F316">
        <v>11603.511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-0.88205817648496665</v>
      </c>
      <c r="Q316">
        <f t="shared" si="965"/>
        <v>-10234.971753483253</v>
      </c>
      <c r="R316">
        <f t="shared" si="966"/>
        <v>396793.77512480214</v>
      </c>
      <c r="S316">
        <f t="shared" si="967"/>
        <v>3.9679377512480212</v>
      </c>
      <c r="T316">
        <f t="shared" si="968"/>
        <v>3.9679377512480208E-3</v>
      </c>
    </row>
    <row r="317" spans="1:20" x14ac:dyDescent="0.25">
      <c r="A317" s="5">
        <v>44276</v>
      </c>
      <c r="B317">
        <v>165.69300000000001</v>
      </c>
      <c r="C317">
        <v>167.5</v>
      </c>
      <c r="D317">
        <v>160.001</v>
      </c>
      <c r="E317">
        <v>165.81800000000001</v>
      </c>
      <c r="F317">
        <v>6865.8990000000003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0.5514068542472359</v>
      </c>
      <c r="Q317">
        <f t="shared" si="965"/>
        <v>3785.9037691692429</v>
      </c>
      <c r="R317">
        <f t="shared" si="966"/>
        <v>407028.74687828537</v>
      </c>
      <c r="S317">
        <f t="shared" si="967"/>
        <v>4.0702874687828539</v>
      </c>
      <c r="T317">
        <f t="shared" si="968"/>
        <v>4.0702874687828542E-3</v>
      </c>
    </row>
    <row r="318" spans="1:20" x14ac:dyDescent="0.25">
      <c r="A318" s="5">
        <v>44275</v>
      </c>
      <c r="B318">
        <v>162.471</v>
      </c>
      <c r="C318">
        <v>168.988</v>
      </c>
      <c r="D318">
        <v>161.64500000000001</v>
      </c>
      <c r="E318">
        <v>165.69499999999999</v>
      </c>
      <c r="F318">
        <v>9661.0390000000007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0.103091379545142</v>
      </c>
      <c r="Q318">
        <f t="shared" si="965"/>
        <v>995.96983834941921</v>
      </c>
      <c r="R318">
        <f t="shared" si="966"/>
        <v>403242.84310911613</v>
      </c>
      <c r="S318">
        <f t="shared" si="967"/>
        <v>4.0324284310911613</v>
      </c>
      <c r="T318">
        <f t="shared" si="968"/>
        <v>4.0324284310911613E-3</v>
      </c>
    </row>
    <row r="319" spans="1:20" x14ac:dyDescent="0.25">
      <c r="A319" s="5">
        <v>44274</v>
      </c>
      <c r="B319">
        <v>165.077</v>
      </c>
      <c r="C319">
        <v>166.46799999999999</v>
      </c>
      <c r="D319">
        <v>158.44900000000001</v>
      </c>
      <c r="E319">
        <v>162.471</v>
      </c>
      <c r="F319">
        <v>11939.164000000001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3.1175957101890204E-3</v>
      </c>
      <c r="Q319">
        <f t="shared" si="965"/>
        <v>37.221486469643189</v>
      </c>
      <c r="R319">
        <f t="shared" si="966"/>
        <v>402246.87327076669</v>
      </c>
      <c r="S319">
        <f t="shared" si="967"/>
        <v>4.0224687327076669</v>
      </c>
      <c r="T319">
        <f t="shared" si="968"/>
        <v>4.0224687327076666E-3</v>
      </c>
    </row>
    <row r="320" spans="1:20" x14ac:dyDescent="0.25">
      <c r="A320" s="5">
        <v>44273</v>
      </c>
      <c r="B320">
        <v>167.471</v>
      </c>
      <c r="C320">
        <v>172.75</v>
      </c>
      <c r="D320">
        <v>162.19999999999999</v>
      </c>
      <c r="E320">
        <v>165.077</v>
      </c>
      <c r="F320">
        <v>18354.214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-0.45459715639810305</v>
      </c>
      <c r="Q320">
        <f t="shared" si="965"/>
        <v>-8343.7734923222524</v>
      </c>
      <c r="R320">
        <f t="shared" si="966"/>
        <v>402209.65178429708</v>
      </c>
      <c r="S320">
        <f t="shared" si="967"/>
        <v>4.0220965178429706</v>
      </c>
      <c r="T320">
        <f t="shared" si="968"/>
        <v>4.0220965178429709E-3</v>
      </c>
    </row>
    <row r="321" spans="1:20" x14ac:dyDescent="0.25">
      <c r="A321" s="5">
        <v>44272</v>
      </c>
      <c r="B321">
        <v>169.364</v>
      </c>
      <c r="C321">
        <v>170.89699999999999</v>
      </c>
      <c r="D321">
        <v>158.86500000000001</v>
      </c>
      <c r="E321">
        <v>167.471</v>
      </c>
      <c r="F321">
        <v>13390.788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0.43051861702127781</v>
      </c>
      <c r="Q321">
        <f t="shared" si="965"/>
        <v>5764.9835305851229</v>
      </c>
      <c r="R321">
        <f t="shared" si="966"/>
        <v>410553.42527661932</v>
      </c>
      <c r="S321">
        <f t="shared" si="967"/>
        <v>4.1055342527661933</v>
      </c>
      <c r="T321">
        <f t="shared" si="968"/>
        <v>4.1055342527661935E-3</v>
      </c>
    </row>
    <row r="322" spans="1:20" x14ac:dyDescent="0.25">
      <c r="A322" s="5">
        <v>44271</v>
      </c>
      <c r="B322">
        <v>167.667</v>
      </c>
      <c r="C322">
        <v>169.23500000000001</v>
      </c>
      <c r="D322">
        <v>159.667</v>
      </c>
      <c r="E322">
        <v>168.56</v>
      </c>
      <c r="F322">
        <v>13739.052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0.85890468227424532</v>
      </c>
      <c r="Q322">
        <f t="shared" si="965"/>
        <v>11800.536092809334</v>
      </c>
      <c r="R322">
        <f t="shared" si="966"/>
        <v>404788.44174603419</v>
      </c>
      <c r="S322">
        <f t="shared" si="967"/>
        <v>4.0478844174603417</v>
      </c>
      <c r="T322">
        <f t="shared" si="968"/>
        <v>4.0478844174603413E-3</v>
      </c>
    </row>
    <row r="323" spans="1:20" x14ac:dyDescent="0.25">
      <c r="A323" s="5">
        <v>44270</v>
      </c>
      <c r="B323">
        <v>177.01</v>
      </c>
      <c r="C323">
        <v>182.988</v>
      </c>
      <c r="D323">
        <v>165.33600000000001</v>
      </c>
      <c r="E323">
        <v>167.21100000000001</v>
      </c>
      <c r="F323">
        <v>14307.824000000001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-0.7875594833446633</v>
      </c>
      <c r="Q323">
        <f t="shared" si="965"/>
        <v>-11268.262477226373</v>
      </c>
      <c r="R323">
        <f t="shared" si="966"/>
        <v>392987.90565322485</v>
      </c>
      <c r="S323">
        <f t="shared" si="967"/>
        <v>3.9298790565322483</v>
      </c>
      <c r="T323">
        <f t="shared" si="968"/>
        <v>3.9298790565322483E-3</v>
      </c>
    </row>
    <row r="324" spans="1:20" x14ac:dyDescent="0.25">
      <c r="A324" s="5">
        <v>44269</v>
      </c>
      <c r="B324">
        <v>179.27</v>
      </c>
      <c r="C324">
        <v>184</v>
      </c>
      <c r="D324">
        <v>174.27199999999999</v>
      </c>
      <c r="E324">
        <v>177.01</v>
      </c>
      <c r="F324">
        <v>16081.549000000001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-0.43708881578947428</v>
      </c>
      <c r="Q324">
        <f t="shared" si="965"/>
        <v>-7029.0652084704052</v>
      </c>
      <c r="R324">
        <f t="shared" si="966"/>
        <v>404256.16813045123</v>
      </c>
      <c r="S324">
        <f t="shared" si="967"/>
        <v>4.0425616813045124</v>
      </c>
      <c r="T324">
        <f t="shared" si="968"/>
        <v>4.042561681304512E-3</v>
      </c>
    </row>
    <row r="325" spans="1:20" x14ac:dyDescent="0.25">
      <c r="A325" s="5">
        <v>44268</v>
      </c>
      <c r="B325">
        <v>170.92</v>
      </c>
      <c r="C325">
        <v>182.637</v>
      </c>
      <c r="D325">
        <v>164.3</v>
      </c>
      <c r="E325">
        <v>178.84399999999999</v>
      </c>
      <c r="F325">
        <v>42662.235999999997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0.58630092163385406</v>
      </c>
      <c r="Q325">
        <f t="shared" si="965"/>
        <v>25012.908285760986</v>
      </c>
      <c r="R325">
        <f t="shared" si="966"/>
        <v>411285.23333892162</v>
      </c>
      <c r="S325">
        <f t="shared" si="967"/>
        <v>4.112852333389216</v>
      </c>
      <c r="T325">
        <f t="shared" si="968"/>
        <v>4.1128523333892157E-3</v>
      </c>
    </row>
    <row r="326" spans="1:20" x14ac:dyDescent="0.25">
      <c r="A326" s="5">
        <v>44267</v>
      </c>
      <c r="B326">
        <v>177.42</v>
      </c>
      <c r="C326">
        <v>177.53899999999999</v>
      </c>
      <c r="D326">
        <v>165</v>
      </c>
      <c r="E326">
        <v>170.92</v>
      </c>
      <c r="F326">
        <v>18189.303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-5.5746072254566792E-2</v>
      </c>
      <c r="Q326">
        <f t="shared" ref="Q326:Q389" si="970">F326*P326</f>
        <v>-1013.9821992982085</v>
      </c>
      <c r="R326">
        <f t="shared" ref="R326:R389" si="971">R327+Q326</f>
        <v>386272.32505316066</v>
      </c>
      <c r="S326">
        <f t="shared" ref="S326:S389" si="972">R326/100000</f>
        <v>3.8627232505316065</v>
      </c>
      <c r="T326">
        <f t="shared" ref="T326:T389" si="973">S326/1000</f>
        <v>3.8627232505316065E-3</v>
      </c>
    </row>
    <row r="327" spans="1:20" x14ac:dyDescent="0.25">
      <c r="A327" s="5">
        <v>44266</v>
      </c>
      <c r="B327">
        <v>169.36500000000001</v>
      </c>
      <c r="C327">
        <v>179.17099999999999</v>
      </c>
      <c r="D327">
        <v>165.51599999999999</v>
      </c>
      <c r="E327">
        <v>176.95099999999999</v>
      </c>
      <c r="F327">
        <v>16966.361000000001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0.67484437934822428</v>
      </c>
      <c r="Q327">
        <f t="shared" si="970"/>
        <v>11449.653358842917</v>
      </c>
      <c r="R327">
        <f t="shared" si="971"/>
        <v>387286.30725245888</v>
      </c>
      <c r="S327">
        <f t="shared" si="972"/>
        <v>3.8728630725245887</v>
      </c>
      <c r="T327">
        <f t="shared" si="973"/>
        <v>3.8728630725245886E-3</v>
      </c>
    </row>
    <row r="328" spans="1:20" x14ac:dyDescent="0.25">
      <c r="A328" s="5">
        <v>44265</v>
      </c>
      <c r="B328">
        <v>163.649</v>
      </c>
      <c r="C328">
        <v>174.452</v>
      </c>
      <c r="D328">
        <v>159</v>
      </c>
      <c r="E328">
        <v>169.364</v>
      </c>
      <c r="F328">
        <v>22588.278999999999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0.34144447320735249</v>
      </c>
      <c r="Q328">
        <f t="shared" si="970"/>
        <v>7712.6430238157027</v>
      </c>
      <c r="R328">
        <f t="shared" si="971"/>
        <v>375836.65389361593</v>
      </c>
      <c r="S328">
        <f t="shared" si="972"/>
        <v>3.7583665389361594</v>
      </c>
      <c r="T328">
        <f t="shared" si="973"/>
        <v>3.7583665389361596E-3</v>
      </c>
    </row>
    <row r="329" spans="1:20" x14ac:dyDescent="0.25">
      <c r="A329" s="5">
        <v>44264</v>
      </c>
      <c r="B329">
        <v>152.303</v>
      </c>
      <c r="C329">
        <v>167.035</v>
      </c>
      <c r="D329">
        <v>149.95699999999999</v>
      </c>
      <c r="E329">
        <v>163.649</v>
      </c>
      <c r="F329">
        <v>23401.028999999999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0.60346644806183447</v>
      </c>
      <c r="Q329">
        <f t="shared" si="970"/>
        <v>14121.735851621981</v>
      </c>
      <c r="R329">
        <f t="shared" si="971"/>
        <v>368124.01086980023</v>
      </c>
      <c r="S329">
        <f t="shared" si="972"/>
        <v>3.6812401086980024</v>
      </c>
      <c r="T329">
        <f t="shared" si="973"/>
        <v>3.6812401086980025E-3</v>
      </c>
    </row>
    <row r="330" spans="1:20" x14ac:dyDescent="0.25">
      <c r="A330" s="5">
        <v>44263</v>
      </c>
      <c r="B330">
        <v>152.87</v>
      </c>
      <c r="C330">
        <v>156</v>
      </c>
      <c r="D330">
        <v>143.91499999999999</v>
      </c>
      <c r="E330">
        <v>151.76300000000001</v>
      </c>
      <c r="F330">
        <v>15791.656999999999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0.2988001654944159</v>
      </c>
      <c r="Q330">
        <f t="shared" si="970"/>
        <v>4718.5497250310509</v>
      </c>
      <c r="R330">
        <f t="shared" si="971"/>
        <v>354002.27501817828</v>
      </c>
      <c r="S330">
        <f t="shared" si="972"/>
        <v>3.5400227501817829</v>
      </c>
      <c r="T330">
        <f t="shared" si="973"/>
        <v>3.5400227501817829E-3</v>
      </c>
    </row>
    <row r="331" spans="1:20" x14ac:dyDescent="0.25">
      <c r="A331" s="5">
        <v>44262</v>
      </c>
      <c r="B331">
        <v>152.76499999999999</v>
      </c>
      <c r="C331">
        <v>156.333</v>
      </c>
      <c r="D331">
        <v>148.19900000000001</v>
      </c>
      <c r="E331">
        <v>153.13</v>
      </c>
      <c r="F331">
        <v>15567.156000000001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0.21244160314728094</v>
      </c>
      <c r="Q331">
        <f t="shared" si="970"/>
        <v>3307.1115770838137</v>
      </c>
      <c r="R331">
        <f t="shared" si="971"/>
        <v>349283.7252931472</v>
      </c>
      <c r="S331">
        <f t="shared" si="972"/>
        <v>3.492837252931472</v>
      </c>
      <c r="T331">
        <f t="shared" si="973"/>
        <v>3.4928372529314721E-3</v>
      </c>
    </row>
    <row r="332" spans="1:20" x14ac:dyDescent="0.25">
      <c r="A332" s="5">
        <v>44261</v>
      </c>
      <c r="B332">
        <v>146.85900000000001</v>
      </c>
      <c r="C332">
        <v>154</v>
      </c>
      <c r="D332">
        <v>144.13300000000001</v>
      </c>
      <c r="E332">
        <v>152.76599999999999</v>
      </c>
      <c r="F332">
        <v>13118.468000000001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0.74987331509070432</v>
      </c>
      <c r="Q332">
        <f t="shared" si="970"/>
        <v>9837.1890880713217</v>
      </c>
      <c r="R332">
        <f t="shared" si="971"/>
        <v>345976.61371606338</v>
      </c>
      <c r="S332">
        <f t="shared" si="972"/>
        <v>3.4597661371606336</v>
      </c>
      <c r="T332">
        <f t="shared" si="973"/>
        <v>3.4597661371606335E-3</v>
      </c>
    </row>
    <row r="333" spans="1:20" x14ac:dyDescent="0.25">
      <c r="A333" s="5">
        <v>44260</v>
      </c>
      <c r="B333">
        <v>143.50899999999999</v>
      </c>
      <c r="C333">
        <v>148.79599999999999</v>
      </c>
      <c r="D333">
        <v>137.42400000000001</v>
      </c>
      <c r="E333">
        <v>146.26900000000001</v>
      </c>
      <c r="F333">
        <v>9611.6329999999998</v>
      </c>
      <c r="G333">
        <v>0</v>
      </c>
      <c r="L333" t="s">
        <v>8</v>
      </c>
      <c r="M333" t="s">
        <v>8</v>
      </c>
      <c r="N333" t="s">
        <v>7</v>
      </c>
      <c r="P333">
        <f t="shared" si="969"/>
        <v>0.55557509672880934</v>
      </c>
      <c r="Q333">
        <f t="shared" si="970"/>
        <v>5339.9839336968162</v>
      </c>
      <c r="R333">
        <f t="shared" si="971"/>
        <v>336139.42462799203</v>
      </c>
      <c r="S333">
        <f t="shared" si="972"/>
        <v>3.3613942462799202</v>
      </c>
      <c r="T333">
        <f t="shared" si="973"/>
        <v>3.3613942462799203E-3</v>
      </c>
    </row>
    <row r="334" spans="1:20" x14ac:dyDescent="0.25">
      <c r="A334" s="5">
        <v>44259</v>
      </c>
      <c r="B334">
        <v>148.59</v>
      </c>
      <c r="C334">
        <v>154</v>
      </c>
      <c r="D334">
        <v>131.94999999999999</v>
      </c>
      <c r="E334">
        <v>143.58699999999999</v>
      </c>
      <c r="F334">
        <v>12619.874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5.5510204081632153E-2</v>
      </c>
      <c r="Q334">
        <f t="shared" si="970"/>
        <v>700.53178122448344</v>
      </c>
      <c r="R334">
        <f t="shared" si="971"/>
        <v>330799.44069429522</v>
      </c>
      <c r="S334">
        <f t="shared" si="972"/>
        <v>3.3079944069429521</v>
      </c>
      <c r="T334">
        <f t="shared" si="973"/>
        <v>3.3079944069429523E-3</v>
      </c>
    </row>
    <row r="335" spans="1:20" x14ac:dyDescent="0.25">
      <c r="A335" s="5">
        <v>44258</v>
      </c>
      <c r="B335">
        <v>144.04300000000001</v>
      </c>
      <c r="C335">
        <v>153.999</v>
      </c>
      <c r="D335">
        <v>142.584</v>
      </c>
      <c r="E335">
        <v>148.75800000000001</v>
      </c>
      <c r="F335">
        <v>17535.723999999998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8.1734559789752234E-2</v>
      </c>
      <c r="Q335">
        <f t="shared" si="970"/>
        <v>1433.2746817345931</v>
      </c>
      <c r="R335">
        <f t="shared" si="971"/>
        <v>330098.90891307074</v>
      </c>
      <c r="S335">
        <f t="shared" si="972"/>
        <v>3.3009890891307077</v>
      </c>
      <c r="T335">
        <f t="shared" si="973"/>
        <v>3.3009890891307079E-3</v>
      </c>
    </row>
    <row r="336" spans="1:20" x14ac:dyDescent="0.25">
      <c r="A336" s="5">
        <v>44257</v>
      </c>
      <c r="B336">
        <v>149.15100000000001</v>
      </c>
      <c r="C336">
        <v>150.256</v>
      </c>
      <c r="D336">
        <v>140.28200000000001</v>
      </c>
      <c r="E336">
        <v>144.39599999999999</v>
      </c>
      <c r="F336">
        <v>14936.9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-0.17505514337277317</v>
      </c>
      <c r="Q336">
        <f t="shared" si="970"/>
        <v>-2614.7811710447754</v>
      </c>
      <c r="R336">
        <f t="shared" si="971"/>
        <v>328665.63423133612</v>
      </c>
      <c r="S336">
        <f t="shared" si="972"/>
        <v>3.2866563423133615</v>
      </c>
      <c r="T336">
        <f t="shared" si="973"/>
        <v>3.2866563423133615E-3</v>
      </c>
    </row>
    <row r="337" spans="1:20" x14ac:dyDescent="0.25">
      <c r="A337" s="5">
        <v>44256</v>
      </c>
      <c r="B337">
        <v>134.804</v>
      </c>
      <c r="C337">
        <v>149.56399999999999</v>
      </c>
      <c r="D337">
        <v>133.846</v>
      </c>
      <c r="E337">
        <v>149.16399999999999</v>
      </c>
      <c r="F337">
        <v>16036.566999999999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0.94910293930525436</v>
      </c>
      <c r="Q337">
        <f t="shared" si="970"/>
        <v>15220.352876065645</v>
      </c>
      <c r="R337">
        <f t="shared" si="971"/>
        <v>331280.41540238092</v>
      </c>
      <c r="S337">
        <f t="shared" si="972"/>
        <v>3.3128041540238091</v>
      </c>
      <c r="T337">
        <f t="shared" si="973"/>
        <v>3.3128041540238093E-3</v>
      </c>
    </row>
    <row r="338" spans="1:20" x14ac:dyDescent="0.25">
      <c r="A338" s="5">
        <v>44255</v>
      </c>
      <c r="B338">
        <v>135.102</v>
      </c>
      <c r="C338">
        <v>141.5</v>
      </c>
      <c r="D338">
        <v>125.8</v>
      </c>
      <c r="E338">
        <v>134.66999999999999</v>
      </c>
      <c r="F338">
        <v>21944.589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0.12993630573248263</v>
      </c>
      <c r="Q338">
        <f t="shared" si="970"/>
        <v>2851.3988254776755</v>
      </c>
      <c r="R338">
        <f t="shared" si="971"/>
        <v>316060.06252631528</v>
      </c>
      <c r="S338">
        <f t="shared" si="972"/>
        <v>3.1606006252631529</v>
      </c>
      <c r="T338">
        <f t="shared" si="973"/>
        <v>3.1606006252631528E-3</v>
      </c>
    </row>
    <row r="339" spans="1:20" x14ac:dyDescent="0.25">
      <c r="A339" s="5">
        <v>44254</v>
      </c>
      <c r="B339">
        <v>127.538</v>
      </c>
      <c r="C339">
        <v>142.95400000000001</v>
      </c>
      <c r="D339">
        <v>126.35299999999999</v>
      </c>
      <c r="E339">
        <v>135.02099999999999</v>
      </c>
      <c r="F339">
        <v>23233.45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4.4274441298715161E-2</v>
      </c>
      <c r="Q339">
        <f t="shared" si="970"/>
        <v>1028.6480181916338</v>
      </c>
      <c r="R339">
        <f t="shared" si="971"/>
        <v>313208.66370083758</v>
      </c>
      <c r="S339">
        <f t="shared" si="972"/>
        <v>3.132086637008376</v>
      </c>
      <c r="T339">
        <f t="shared" si="973"/>
        <v>3.1320866370083758E-3</v>
      </c>
    </row>
    <row r="340" spans="1:20" x14ac:dyDescent="0.25">
      <c r="A340" s="5">
        <v>44253</v>
      </c>
      <c r="B340">
        <v>141.83199999999999</v>
      </c>
      <c r="C340">
        <v>143.86500000000001</v>
      </c>
      <c r="D340">
        <v>119.708</v>
      </c>
      <c r="E340">
        <v>126.754</v>
      </c>
      <c r="F340">
        <v>54137.46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-0.41664941838804459</v>
      </c>
      <c r="Q340">
        <f t="shared" si="970"/>
        <v>-22556.341222006027</v>
      </c>
      <c r="R340">
        <f t="shared" si="971"/>
        <v>312180.01568264596</v>
      </c>
      <c r="S340">
        <f t="shared" si="972"/>
        <v>3.1218001568264597</v>
      </c>
      <c r="T340">
        <f t="shared" si="973"/>
        <v>3.1218001568264599E-3</v>
      </c>
    </row>
    <row r="341" spans="1:20" x14ac:dyDescent="0.25">
      <c r="A341" s="5">
        <v>44252</v>
      </c>
      <c r="B341">
        <v>144.28700000000001</v>
      </c>
      <c r="C341">
        <v>150</v>
      </c>
      <c r="D341">
        <v>137.79400000000001</v>
      </c>
      <c r="E341">
        <v>142.50899999999999</v>
      </c>
      <c r="F341">
        <v>22904.067999999999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-0.22742913321317723</v>
      </c>
      <c r="Q341">
        <f t="shared" si="970"/>
        <v>-5209.0523322956697</v>
      </c>
      <c r="R341">
        <f t="shared" si="971"/>
        <v>334736.35690465197</v>
      </c>
      <c r="S341">
        <f t="shared" si="972"/>
        <v>3.3473635690465198</v>
      </c>
      <c r="T341">
        <f t="shared" si="973"/>
        <v>3.3473635690465199E-3</v>
      </c>
    </row>
    <row r="342" spans="1:20" x14ac:dyDescent="0.25">
      <c r="A342" s="5">
        <v>44251</v>
      </c>
      <c r="B342">
        <v>141.86099999999999</v>
      </c>
      <c r="C342">
        <v>149.691</v>
      </c>
      <c r="D342">
        <v>135.95400000000001</v>
      </c>
      <c r="E342">
        <v>144.893</v>
      </c>
      <c r="F342">
        <v>17904.198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0.30144864235276936</v>
      </c>
      <c r="Q342">
        <f t="shared" si="970"/>
        <v>5397.1961795151683</v>
      </c>
      <c r="R342">
        <f t="shared" si="971"/>
        <v>339945.40923694766</v>
      </c>
      <c r="S342">
        <f t="shared" si="972"/>
        <v>3.3994540923694765</v>
      </c>
      <c r="T342">
        <f t="shared" si="973"/>
        <v>3.3994540923694763E-3</v>
      </c>
    </row>
    <row r="343" spans="1:20" x14ac:dyDescent="0.25">
      <c r="A343" s="5">
        <v>44250</v>
      </c>
      <c r="B343">
        <v>157.63999999999999</v>
      </c>
      <c r="C343">
        <v>157.87799999999999</v>
      </c>
      <c r="D343">
        <v>110.63</v>
      </c>
      <c r="E343">
        <v>141.86099999999999</v>
      </c>
      <c r="F343">
        <v>37402.822999999997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0.32200304774805288</v>
      </c>
      <c r="Q343">
        <f t="shared" si="970"/>
        <v>12043.823000380969</v>
      </c>
      <c r="R343">
        <f t="shared" si="971"/>
        <v>334548.2130574325</v>
      </c>
      <c r="S343">
        <f t="shared" si="972"/>
        <v>3.3454821305743252</v>
      </c>
      <c r="T343">
        <f t="shared" si="973"/>
        <v>3.3454821305743251E-3</v>
      </c>
    </row>
    <row r="344" spans="1:20" x14ac:dyDescent="0.25">
      <c r="A344" s="5">
        <v>44249</v>
      </c>
      <c r="B344">
        <v>162.03100000000001</v>
      </c>
      <c r="C344">
        <v>165</v>
      </c>
      <c r="D344">
        <v>129.19999999999999</v>
      </c>
      <c r="E344">
        <v>157.63999999999999</v>
      </c>
      <c r="F344">
        <v>37103.353000000003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0.58882681564245742</v>
      </c>
      <c r="Q344">
        <f t="shared" si="970"/>
        <v>21847.44919664802</v>
      </c>
      <c r="R344">
        <f t="shared" si="971"/>
        <v>322504.39005705155</v>
      </c>
      <c r="S344">
        <f t="shared" si="972"/>
        <v>3.2250439005705154</v>
      </c>
      <c r="T344">
        <f t="shared" si="973"/>
        <v>3.2250439005705152E-3</v>
      </c>
    </row>
    <row r="345" spans="1:20" x14ac:dyDescent="0.25">
      <c r="A345" s="5">
        <v>44248</v>
      </c>
      <c r="B345">
        <v>149.71299999999999</v>
      </c>
      <c r="C345">
        <v>172</v>
      </c>
      <c r="D345">
        <v>147.62100000000001</v>
      </c>
      <c r="E345">
        <v>162.22</v>
      </c>
      <c r="F345">
        <v>43027.298000000003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0.19767012592805244</v>
      </c>
      <c r="Q345">
        <f t="shared" si="970"/>
        <v>8505.2114140038393</v>
      </c>
      <c r="R345">
        <f t="shared" si="971"/>
        <v>300656.94086040353</v>
      </c>
      <c r="S345">
        <f t="shared" si="972"/>
        <v>3.0065694086040353</v>
      </c>
      <c r="T345">
        <f t="shared" si="973"/>
        <v>3.0065694086040353E-3</v>
      </c>
    </row>
    <row r="346" spans="1:20" x14ac:dyDescent="0.25">
      <c r="A346" s="5">
        <v>44247</v>
      </c>
      <c r="B346">
        <v>144.542</v>
      </c>
      <c r="C346">
        <v>165</v>
      </c>
      <c r="D346">
        <v>138.809</v>
      </c>
      <c r="E346">
        <v>149.33500000000001</v>
      </c>
      <c r="F346">
        <v>71551.885999999999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-0.19621243938757515</v>
      </c>
      <c r="Q346">
        <f t="shared" si="970"/>
        <v>-14039.370094841686</v>
      </c>
      <c r="R346">
        <f t="shared" si="971"/>
        <v>292151.72944639967</v>
      </c>
      <c r="S346">
        <f t="shared" si="972"/>
        <v>2.9215172944639964</v>
      </c>
      <c r="T346">
        <f t="shared" si="973"/>
        <v>2.9215172944639964E-3</v>
      </c>
    </row>
    <row r="347" spans="1:20" x14ac:dyDescent="0.25">
      <c r="A347" s="5">
        <v>44246</v>
      </c>
      <c r="B347">
        <v>138.292</v>
      </c>
      <c r="C347">
        <v>148.55000000000001</v>
      </c>
      <c r="D347">
        <v>129.001</v>
      </c>
      <c r="E347">
        <v>144.54300000000001</v>
      </c>
      <c r="F347">
        <v>27006.352999999999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0.59005575732774018</v>
      </c>
      <c r="Q347">
        <f t="shared" si="970"/>
        <v>15935.254072075288</v>
      </c>
      <c r="R347">
        <f t="shared" si="971"/>
        <v>306191.09954124136</v>
      </c>
      <c r="S347">
        <f t="shared" si="972"/>
        <v>3.0619109954124135</v>
      </c>
      <c r="T347">
        <f t="shared" si="973"/>
        <v>3.0619109954124137E-3</v>
      </c>
    </row>
    <row r="348" spans="1:20" x14ac:dyDescent="0.25">
      <c r="A348" s="5">
        <v>44245</v>
      </c>
      <c r="B348">
        <v>141.899</v>
      </c>
      <c r="C348">
        <v>150</v>
      </c>
      <c r="D348">
        <v>133.69999999999999</v>
      </c>
      <c r="E348">
        <v>138</v>
      </c>
      <c r="F348">
        <v>29674.546999999999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-0.47239263803680881</v>
      </c>
      <c r="Q348">
        <f t="shared" si="970"/>
        <v>-14018.03753987727</v>
      </c>
      <c r="R348">
        <f t="shared" si="971"/>
        <v>290255.84546916606</v>
      </c>
      <c r="S348">
        <f t="shared" si="972"/>
        <v>2.9025584546916607</v>
      </c>
      <c r="T348">
        <f t="shared" si="973"/>
        <v>2.9025584546916606E-3</v>
      </c>
    </row>
    <row r="349" spans="1:20" x14ac:dyDescent="0.25">
      <c r="A349" s="5">
        <v>44244</v>
      </c>
      <c r="B349">
        <v>133.63800000000001</v>
      </c>
      <c r="C349">
        <v>145</v>
      </c>
      <c r="D349">
        <v>121.84399999999999</v>
      </c>
      <c r="E349">
        <v>141.38999999999999</v>
      </c>
      <c r="F349">
        <v>46092.699000000001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0.68820176196234129</v>
      </c>
      <c r="Q349">
        <f t="shared" si="970"/>
        <v>31721.076665399847</v>
      </c>
      <c r="R349">
        <f t="shared" si="971"/>
        <v>304273.88300904335</v>
      </c>
      <c r="S349">
        <f t="shared" si="972"/>
        <v>3.0427388300904337</v>
      </c>
      <c r="T349">
        <f t="shared" si="973"/>
        <v>3.0427388300904336E-3</v>
      </c>
    </row>
    <row r="350" spans="1:20" x14ac:dyDescent="0.25">
      <c r="A350" s="5">
        <v>44243</v>
      </c>
      <c r="B350">
        <v>115.642</v>
      </c>
      <c r="C350">
        <v>135</v>
      </c>
      <c r="D350">
        <v>113.46299999999999</v>
      </c>
      <c r="E350">
        <v>133.63800000000001</v>
      </c>
      <c r="F350">
        <v>39802.099000000002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0.87351998885638715</v>
      </c>
      <c r="Q350">
        <f t="shared" si="970"/>
        <v>34767.929074940817</v>
      </c>
      <c r="R350">
        <f t="shared" si="971"/>
        <v>272552.80634364352</v>
      </c>
      <c r="S350">
        <f t="shared" si="972"/>
        <v>2.7255280634364354</v>
      </c>
      <c r="T350">
        <f t="shared" si="973"/>
        <v>2.7255280634364354E-3</v>
      </c>
    </row>
    <row r="351" spans="1:20" x14ac:dyDescent="0.25">
      <c r="A351" s="5">
        <v>44242</v>
      </c>
      <c r="B351">
        <v>113.48099999999999</v>
      </c>
      <c r="C351">
        <v>119.71</v>
      </c>
      <c r="D351">
        <v>100.999</v>
      </c>
      <c r="E351">
        <v>115.64</v>
      </c>
      <c r="F351">
        <v>20168.861000000001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0.56496178718401013</v>
      </c>
      <c r="Q351">
        <f t="shared" si="970"/>
        <v>11394.635756025882</v>
      </c>
      <c r="R351">
        <f t="shared" si="971"/>
        <v>237784.87726870272</v>
      </c>
      <c r="S351">
        <f t="shared" si="972"/>
        <v>2.3778487726870274</v>
      </c>
      <c r="T351">
        <f t="shared" si="973"/>
        <v>2.3778487726870273E-3</v>
      </c>
    </row>
    <row r="352" spans="1:20" x14ac:dyDescent="0.25">
      <c r="A352" s="5">
        <v>44241</v>
      </c>
      <c r="B352">
        <v>113.48099999999999</v>
      </c>
      <c r="C352">
        <v>116.997</v>
      </c>
      <c r="D352">
        <v>110.53100000000001</v>
      </c>
      <c r="E352">
        <v>114.06100000000001</v>
      </c>
      <c r="F352">
        <v>12635.776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9.1865140736159742E-2</v>
      </c>
      <c r="Q352">
        <f t="shared" si="970"/>
        <v>1160.7873405505895</v>
      </c>
      <c r="R352">
        <f t="shared" si="971"/>
        <v>226390.24151267685</v>
      </c>
      <c r="S352">
        <f t="shared" si="972"/>
        <v>2.2639024151267684</v>
      </c>
      <c r="T352">
        <f t="shared" si="973"/>
        <v>2.2639024151267684E-3</v>
      </c>
    </row>
    <row r="353" spans="1:20" x14ac:dyDescent="0.25">
      <c r="A353" s="5">
        <v>44240</v>
      </c>
      <c r="B353">
        <v>107.831</v>
      </c>
      <c r="C353">
        <v>121.768</v>
      </c>
      <c r="D353">
        <v>107.113</v>
      </c>
      <c r="E353">
        <v>113.925</v>
      </c>
      <c r="F353">
        <v>31182.112000000001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-7.0351415899010977E-2</v>
      </c>
      <c r="Q353">
        <f t="shared" si="970"/>
        <v>-2193.7057299215412</v>
      </c>
      <c r="R353">
        <f t="shared" si="971"/>
        <v>225229.45417212625</v>
      </c>
      <c r="S353">
        <f t="shared" si="972"/>
        <v>2.2522945417212625</v>
      </c>
      <c r="T353">
        <f t="shared" si="973"/>
        <v>2.2522945417212626E-3</v>
      </c>
    </row>
    <row r="354" spans="1:20" x14ac:dyDescent="0.25">
      <c r="A354" s="5">
        <v>44239</v>
      </c>
      <c r="B354">
        <v>106.61199999999999</v>
      </c>
      <c r="C354">
        <v>112.87</v>
      </c>
      <c r="D354">
        <v>99</v>
      </c>
      <c r="E354">
        <v>107.861</v>
      </c>
      <c r="F354">
        <v>147479.704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0.27772170151405928</v>
      </c>
      <c r="Q354">
        <f t="shared" si="970"/>
        <v>40958.314333669812</v>
      </c>
      <c r="R354">
        <f t="shared" si="971"/>
        <v>227423.1599020478</v>
      </c>
      <c r="S354">
        <f t="shared" si="972"/>
        <v>2.274231599020478</v>
      </c>
      <c r="T354">
        <f t="shared" si="973"/>
        <v>2.274231599020478E-3</v>
      </c>
    </row>
    <row r="355" spans="1:20" x14ac:dyDescent="0.25">
      <c r="A355" s="5">
        <v>44238</v>
      </c>
      <c r="B355">
        <v>104.01300000000001</v>
      </c>
      <c r="C355">
        <v>111.49299999999999</v>
      </c>
      <c r="D355">
        <v>102.22</v>
      </c>
      <c r="E355">
        <v>106.39700000000001</v>
      </c>
      <c r="F355">
        <v>124769.36199999999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-9.9104928286421132E-2</v>
      </c>
      <c r="Q355">
        <f t="shared" si="970"/>
        <v>-12365.258673352517</v>
      </c>
      <c r="R355">
        <f t="shared" si="971"/>
        <v>186464.84556837799</v>
      </c>
      <c r="S355">
        <f t="shared" si="972"/>
        <v>1.8646484556837799</v>
      </c>
      <c r="T355">
        <f t="shared" si="973"/>
        <v>1.86464845568378E-3</v>
      </c>
    </row>
    <row r="356" spans="1:20" x14ac:dyDescent="0.25">
      <c r="A356" s="5">
        <v>44237</v>
      </c>
      <c r="B356">
        <v>97.733000000000004</v>
      </c>
      <c r="C356">
        <v>105</v>
      </c>
      <c r="D356">
        <v>90.03</v>
      </c>
      <c r="E356">
        <v>103.605</v>
      </c>
      <c r="F356">
        <v>36774.025000000001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0.81362725450901852</v>
      </c>
      <c r="Q356">
        <f t="shared" si="970"/>
        <v>29920.34899799601</v>
      </c>
      <c r="R356">
        <f t="shared" si="971"/>
        <v>198830.1042417305</v>
      </c>
      <c r="S356">
        <f t="shared" si="972"/>
        <v>1.9883010424173051</v>
      </c>
      <c r="T356">
        <f t="shared" si="973"/>
        <v>1.988301042417305E-3</v>
      </c>
    </row>
    <row r="357" spans="1:20" x14ac:dyDescent="0.25">
      <c r="A357" s="5">
        <v>44236</v>
      </c>
      <c r="B357">
        <v>97.834000000000003</v>
      </c>
      <c r="C357">
        <v>101.999</v>
      </c>
      <c r="D357">
        <v>94.206000000000003</v>
      </c>
      <c r="E357">
        <v>98.111000000000004</v>
      </c>
      <c r="F357">
        <v>26756.94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2.1814448864378461E-3</v>
      </c>
      <c r="Q357">
        <f t="shared" si="970"/>
        <v>58.368789939724259</v>
      </c>
      <c r="R357">
        <f t="shared" si="971"/>
        <v>168909.75524373449</v>
      </c>
      <c r="S357">
        <f t="shared" si="972"/>
        <v>1.6890975524373448</v>
      </c>
      <c r="T357">
        <f t="shared" si="973"/>
        <v>1.6890975524373449E-3</v>
      </c>
    </row>
    <row r="358" spans="1:20" x14ac:dyDescent="0.25">
      <c r="A358" s="5">
        <v>44235</v>
      </c>
      <c r="B358">
        <v>81.210999999999999</v>
      </c>
      <c r="C358">
        <v>104</v>
      </c>
      <c r="D358">
        <v>79.561000000000007</v>
      </c>
      <c r="E358">
        <v>98.037000000000006</v>
      </c>
      <c r="F358">
        <v>37415.769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0.51200949302344645</v>
      </c>
      <c r="Q358">
        <f t="shared" si="970"/>
        <v>19157.228916772383</v>
      </c>
      <c r="R358">
        <f t="shared" si="971"/>
        <v>168851.38645379475</v>
      </c>
      <c r="S358">
        <f t="shared" si="972"/>
        <v>1.6885138645379476</v>
      </c>
      <c r="T358">
        <f t="shared" si="973"/>
        <v>1.6885138645379475E-3</v>
      </c>
    </row>
    <row r="359" spans="1:20" x14ac:dyDescent="0.25">
      <c r="A359" s="5">
        <v>44234</v>
      </c>
      <c r="B359">
        <v>86.608999999999995</v>
      </c>
      <c r="C359">
        <v>87.789000000000001</v>
      </c>
      <c r="D359">
        <v>79.546000000000006</v>
      </c>
      <c r="E359">
        <v>81.209999999999994</v>
      </c>
      <c r="F359">
        <v>19774.362000000001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-0.59626349629989361</v>
      </c>
      <c r="Q359">
        <f t="shared" si="970"/>
        <v>-11790.730223219758</v>
      </c>
      <c r="R359">
        <f t="shared" si="971"/>
        <v>149694.15753702237</v>
      </c>
      <c r="S359">
        <f t="shared" si="972"/>
        <v>1.4969415753702238</v>
      </c>
      <c r="T359">
        <f t="shared" si="973"/>
        <v>1.4969415753702238E-3</v>
      </c>
    </row>
    <row r="360" spans="1:20" x14ac:dyDescent="0.25">
      <c r="A360" s="5">
        <v>44233</v>
      </c>
      <c r="B360">
        <v>77.584999999999994</v>
      </c>
      <c r="C360">
        <v>94.899000000000001</v>
      </c>
      <c r="D360">
        <v>75.501000000000005</v>
      </c>
      <c r="E360">
        <v>86.545000000000002</v>
      </c>
      <c r="F360">
        <v>76534.87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0.13867409011238263</v>
      </c>
      <c r="Q360">
        <f t="shared" si="970"/>
        <v>10613.403459119489</v>
      </c>
      <c r="R360">
        <f t="shared" si="971"/>
        <v>161484.88776024213</v>
      </c>
      <c r="S360">
        <f t="shared" si="972"/>
        <v>1.6148488776024212</v>
      </c>
      <c r="T360">
        <f t="shared" si="973"/>
        <v>1.6148488776024212E-3</v>
      </c>
    </row>
    <row r="361" spans="1:20" x14ac:dyDescent="0.25">
      <c r="A361" s="5">
        <v>44232</v>
      </c>
      <c r="B361">
        <v>76.704999999999998</v>
      </c>
      <c r="C361">
        <v>79.67</v>
      </c>
      <c r="D361">
        <v>75.066999999999993</v>
      </c>
      <c r="E361">
        <v>77.584999999999994</v>
      </c>
      <c r="F361">
        <v>15920.607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9.4069085379098832E-2</v>
      </c>
      <c r="Q361">
        <f t="shared" si="970"/>
        <v>1497.6369391700784</v>
      </c>
      <c r="R361">
        <f t="shared" si="971"/>
        <v>150871.48430112263</v>
      </c>
      <c r="S361">
        <f t="shared" si="972"/>
        <v>1.5087148430112263</v>
      </c>
      <c r="T361">
        <f t="shared" si="973"/>
        <v>1.5087148430112263E-3</v>
      </c>
    </row>
    <row r="362" spans="1:20" x14ac:dyDescent="0.25">
      <c r="A362" s="5">
        <v>44231</v>
      </c>
      <c r="B362">
        <v>80.573999999999998</v>
      </c>
      <c r="C362">
        <v>88.619</v>
      </c>
      <c r="D362">
        <v>73.358000000000004</v>
      </c>
      <c r="E362">
        <v>76.706000000000003</v>
      </c>
      <c r="F362">
        <v>44118.203999999998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-0.56123451936308233</v>
      </c>
      <c r="Q362">
        <f t="shared" si="970"/>
        <v>-24760.659017102415</v>
      </c>
      <c r="R362">
        <f t="shared" si="971"/>
        <v>149373.84736195256</v>
      </c>
      <c r="S362">
        <f t="shared" si="972"/>
        <v>1.4937384736195256</v>
      </c>
      <c r="T362">
        <f t="shared" si="973"/>
        <v>1.4937384736195256E-3</v>
      </c>
    </row>
    <row r="363" spans="1:20" x14ac:dyDescent="0.25">
      <c r="A363" s="5">
        <v>44230</v>
      </c>
      <c r="B363">
        <v>67.658000000000001</v>
      </c>
      <c r="C363">
        <v>81.3</v>
      </c>
      <c r="D363">
        <v>67.010000000000005</v>
      </c>
      <c r="E363">
        <v>80.278999999999996</v>
      </c>
      <c r="F363">
        <v>23352.006000000001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0.85710286913925804</v>
      </c>
      <c r="Q363">
        <f t="shared" si="970"/>
        <v>20015.071342757168</v>
      </c>
      <c r="R363">
        <f t="shared" si="971"/>
        <v>174134.50637905498</v>
      </c>
      <c r="S363">
        <f t="shared" si="972"/>
        <v>1.7413450637905497</v>
      </c>
      <c r="T363">
        <f t="shared" si="973"/>
        <v>1.7413450637905497E-3</v>
      </c>
    </row>
    <row r="364" spans="1:20" x14ac:dyDescent="0.25">
      <c r="A364" s="5">
        <v>44229</v>
      </c>
      <c r="B364">
        <v>66.936999999999998</v>
      </c>
      <c r="C364">
        <v>69.995000000000005</v>
      </c>
      <c r="D364">
        <v>65.844999999999999</v>
      </c>
      <c r="E364">
        <v>67.361000000000004</v>
      </c>
      <c r="F364">
        <v>11951.371999999999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-0.26939759036144423</v>
      </c>
      <c r="Q364">
        <f t="shared" si="970"/>
        <v>-3219.6708183132341</v>
      </c>
      <c r="R364">
        <f t="shared" si="971"/>
        <v>154119.4350362978</v>
      </c>
      <c r="S364">
        <f t="shared" si="972"/>
        <v>1.5411943503629779</v>
      </c>
      <c r="T364">
        <f t="shared" si="973"/>
        <v>1.5411943503629779E-3</v>
      </c>
    </row>
    <row r="365" spans="1:20" x14ac:dyDescent="0.25">
      <c r="A365" s="5">
        <v>44228</v>
      </c>
      <c r="B365">
        <v>66.021000000000001</v>
      </c>
      <c r="C365">
        <v>67.453999999999994</v>
      </c>
      <c r="D365">
        <v>63.832000000000001</v>
      </c>
      <c r="E365">
        <v>66.923000000000002</v>
      </c>
      <c r="F365">
        <v>9557.4189999999999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0.706791827719496</v>
      </c>
      <c r="Q365">
        <f t="shared" si="970"/>
        <v>6755.1056432910373</v>
      </c>
      <c r="R365">
        <f t="shared" si="971"/>
        <v>157339.10585461103</v>
      </c>
      <c r="S365">
        <f t="shared" si="972"/>
        <v>1.5733910585461104</v>
      </c>
      <c r="T365">
        <f t="shared" si="973"/>
        <v>1.5733910585461104E-3</v>
      </c>
    </row>
    <row r="366" spans="1:20" x14ac:dyDescent="0.25">
      <c r="A366" s="5">
        <v>44227</v>
      </c>
      <c r="B366">
        <v>62.444000000000003</v>
      </c>
      <c r="C366">
        <v>68.88</v>
      </c>
      <c r="D366">
        <v>61.2</v>
      </c>
      <c r="E366">
        <v>65.757999999999996</v>
      </c>
      <c r="F366">
        <v>15479.003000000001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0.18697916666666592</v>
      </c>
      <c r="Q366">
        <f t="shared" si="970"/>
        <v>2894.2510817708217</v>
      </c>
      <c r="R366">
        <f t="shared" si="971"/>
        <v>150584.00021132</v>
      </c>
      <c r="S366">
        <f t="shared" si="972"/>
        <v>1.5058400021132001</v>
      </c>
      <c r="T366">
        <f t="shared" si="973"/>
        <v>1.5058400021132001E-3</v>
      </c>
    </row>
    <row r="367" spans="1:20" x14ac:dyDescent="0.25">
      <c r="A367" s="5">
        <v>44226</v>
      </c>
      <c r="B367">
        <v>66.808999999999997</v>
      </c>
      <c r="C367">
        <v>69.8</v>
      </c>
      <c r="D367">
        <v>61</v>
      </c>
      <c r="E367">
        <v>62.444000000000003</v>
      </c>
      <c r="F367">
        <v>17460.234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-0.67181818181818109</v>
      </c>
      <c r="Q367">
        <f t="shared" si="970"/>
        <v>-11730.102659999988</v>
      </c>
      <c r="R367">
        <f t="shared" si="971"/>
        <v>147689.74912954919</v>
      </c>
      <c r="S367">
        <f t="shared" si="972"/>
        <v>1.476897491295492</v>
      </c>
      <c r="T367">
        <f t="shared" si="973"/>
        <v>1.4768974912954919E-3</v>
      </c>
    </row>
    <row r="368" spans="1:20" x14ac:dyDescent="0.25">
      <c r="A368" s="5">
        <v>44225</v>
      </c>
      <c r="B368">
        <v>58.393000000000001</v>
      </c>
      <c r="C368">
        <v>69.738</v>
      </c>
      <c r="D368">
        <v>56.218000000000004</v>
      </c>
      <c r="E368">
        <v>66.724000000000004</v>
      </c>
      <c r="F368">
        <v>33706.714999999997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0.55414201183431999</v>
      </c>
      <c r="Q368">
        <f t="shared" si="970"/>
        <v>18678.306862426049</v>
      </c>
      <c r="R368">
        <f t="shared" si="971"/>
        <v>159419.85178954917</v>
      </c>
      <c r="S368">
        <f t="shared" si="972"/>
        <v>1.5941985178954916</v>
      </c>
      <c r="T368">
        <f t="shared" si="973"/>
        <v>1.5941985178954917E-3</v>
      </c>
    </row>
    <row r="369" spans="1:20" x14ac:dyDescent="0.25">
      <c r="A369" s="5">
        <v>44224</v>
      </c>
      <c r="B369">
        <v>60.71</v>
      </c>
      <c r="C369">
        <v>62.5</v>
      </c>
      <c r="D369">
        <v>56.6</v>
      </c>
      <c r="E369">
        <v>58.485999999999997</v>
      </c>
      <c r="F369">
        <v>22490.39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-0.36067796610169622</v>
      </c>
      <c r="Q369">
        <f t="shared" si="970"/>
        <v>-8111.7881220339277</v>
      </c>
      <c r="R369">
        <f t="shared" si="971"/>
        <v>140741.54492712312</v>
      </c>
      <c r="S369">
        <f t="shared" si="972"/>
        <v>1.4074154492712312</v>
      </c>
      <c r="T369">
        <f t="shared" si="973"/>
        <v>1.4074154492712313E-3</v>
      </c>
    </row>
    <row r="370" spans="1:20" x14ac:dyDescent="0.25">
      <c r="A370" s="5">
        <v>44223</v>
      </c>
      <c r="B370">
        <v>57.48</v>
      </c>
      <c r="C370">
        <v>61.4</v>
      </c>
      <c r="D370">
        <v>50</v>
      </c>
      <c r="E370">
        <v>60.732999999999997</v>
      </c>
      <c r="F370">
        <v>25150.911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0.88298245614035054</v>
      </c>
      <c r="Q370">
        <f t="shared" si="970"/>
        <v>22207.813168947359</v>
      </c>
      <c r="R370">
        <f t="shared" si="971"/>
        <v>148853.33304915705</v>
      </c>
      <c r="S370">
        <f t="shared" si="972"/>
        <v>1.4885333304915704</v>
      </c>
      <c r="T370">
        <f t="shared" si="973"/>
        <v>1.4885333304915705E-3</v>
      </c>
    </row>
    <row r="371" spans="1:20" x14ac:dyDescent="0.25">
      <c r="A371" s="5">
        <v>44222</v>
      </c>
      <c r="B371">
        <v>58.216999999999999</v>
      </c>
      <c r="C371">
        <v>62</v>
      </c>
      <c r="D371">
        <v>53.895000000000003</v>
      </c>
      <c r="E371">
        <v>57.48</v>
      </c>
      <c r="F371">
        <v>31900.965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-0.11536088834053174</v>
      </c>
      <c r="Q371">
        <f t="shared" si="970"/>
        <v>-3680.1236613202109</v>
      </c>
      <c r="R371">
        <f t="shared" si="971"/>
        <v>126645.51988020969</v>
      </c>
      <c r="S371">
        <f t="shared" si="972"/>
        <v>1.2664551988020969</v>
      </c>
      <c r="T371">
        <f t="shared" si="973"/>
        <v>1.2664551988020968E-3</v>
      </c>
    </row>
    <row r="372" spans="1:20" x14ac:dyDescent="0.25">
      <c r="A372" s="5">
        <v>44221</v>
      </c>
      <c r="B372">
        <v>50.055999999999997</v>
      </c>
      <c r="C372">
        <v>59.662999999999997</v>
      </c>
      <c r="D372">
        <v>50.01</v>
      </c>
      <c r="E372">
        <v>58.226999999999997</v>
      </c>
      <c r="F372">
        <v>35816.786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0.70247591422355737</v>
      </c>
      <c r="Q372">
        <f t="shared" si="970"/>
        <v>25160.42948989951</v>
      </c>
      <c r="R372">
        <f t="shared" si="971"/>
        <v>130325.64354152989</v>
      </c>
      <c r="S372">
        <f t="shared" si="972"/>
        <v>1.3032564354152989</v>
      </c>
      <c r="T372">
        <f t="shared" si="973"/>
        <v>1.3032564354152989E-3</v>
      </c>
    </row>
    <row r="373" spans="1:20" x14ac:dyDescent="0.25">
      <c r="A373" s="5">
        <v>44220</v>
      </c>
      <c r="B373">
        <v>50.463000000000001</v>
      </c>
      <c r="C373">
        <v>51.863999999999997</v>
      </c>
      <c r="D373">
        <v>48.731999999999999</v>
      </c>
      <c r="E373">
        <v>49.781999999999996</v>
      </c>
      <c r="F373">
        <v>9384.76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-0.3295019157088136</v>
      </c>
      <c r="Q373">
        <f t="shared" si="970"/>
        <v>-3092.2963984674457</v>
      </c>
      <c r="R373">
        <f t="shared" si="971"/>
        <v>105165.21405163038</v>
      </c>
      <c r="S373">
        <f t="shared" si="972"/>
        <v>1.0516521405163037</v>
      </c>
      <c r="T373">
        <f t="shared" si="973"/>
        <v>1.0516521405163038E-3</v>
      </c>
    </row>
    <row r="374" spans="1:20" x14ac:dyDescent="0.25">
      <c r="A374" s="5">
        <v>44219</v>
      </c>
      <c r="B374">
        <v>52.103000000000002</v>
      </c>
      <c r="C374">
        <v>53.042999999999999</v>
      </c>
      <c r="D374">
        <v>49.99</v>
      </c>
      <c r="E374">
        <v>50.500999999999998</v>
      </c>
      <c r="F374">
        <v>6364.6980000000003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-0.66524729773993052</v>
      </c>
      <c r="Q374">
        <f t="shared" si="970"/>
        <v>-4234.0981454307403</v>
      </c>
      <c r="R374">
        <f t="shared" si="971"/>
        <v>108257.51045009782</v>
      </c>
      <c r="S374">
        <f t="shared" si="972"/>
        <v>1.0825751045009782</v>
      </c>
      <c r="T374">
        <f t="shared" si="973"/>
        <v>1.0825751045009781E-3</v>
      </c>
    </row>
    <row r="375" spans="1:20" x14ac:dyDescent="0.25">
      <c r="A375" s="5">
        <v>44218</v>
      </c>
      <c r="B375">
        <v>48.661999999999999</v>
      </c>
      <c r="C375">
        <v>54.075000000000003</v>
      </c>
      <c r="D375">
        <v>45.377000000000002</v>
      </c>
      <c r="E375">
        <v>52.051000000000002</v>
      </c>
      <c r="F375">
        <v>21532.080000000002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0.53460565647275216</v>
      </c>
      <c r="Q375">
        <f t="shared" si="970"/>
        <v>11511.171763623819</v>
      </c>
      <c r="R375">
        <f t="shared" si="971"/>
        <v>112491.60859552855</v>
      </c>
      <c r="S375">
        <f t="shared" si="972"/>
        <v>1.1249160859552856</v>
      </c>
      <c r="T375">
        <f t="shared" si="973"/>
        <v>1.1249160859552855E-3</v>
      </c>
    </row>
    <row r="376" spans="1:20" x14ac:dyDescent="0.25">
      <c r="A376" s="5">
        <v>44217</v>
      </c>
      <c r="B376">
        <v>57.817999999999998</v>
      </c>
      <c r="C376">
        <v>57.819000000000003</v>
      </c>
      <c r="D376">
        <v>46.442</v>
      </c>
      <c r="E376">
        <v>48.701000000000001</v>
      </c>
      <c r="F376">
        <v>19773.437000000002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-0.60288300958073304</v>
      </c>
      <c r="Q376">
        <f t="shared" si="970"/>
        <v>-11921.069208315022</v>
      </c>
      <c r="R376">
        <f t="shared" si="971"/>
        <v>100980.43683190474</v>
      </c>
      <c r="S376">
        <f t="shared" si="972"/>
        <v>1.0098043683190474</v>
      </c>
      <c r="T376">
        <f t="shared" si="973"/>
        <v>1.0098043683190474E-3</v>
      </c>
    </row>
    <row r="377" spans="1:20" x14ac:dyDescent="0.25">
      <c r="A377" s="5">
        <v>44216</v>
      </c>
      <c r="B377">
        <v>56.814999999999998</v>
      </c>
      <c r="C377">
        <v>60</v>
      </c>
      <c r="D377">
        <v>53.735999999999997</v>
      </c>
      <c r="E377">
        <v>57.819000000000003</v>
      </c>
      <c r="F377">
        <v>28838.22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0.30363984674329619</v>
      </c>
      <c r="Q377">
        <f t="shared" si="970"/>
        <v>8756.4327011494588</v>
      </c>
      <c r="R377">
        <f t="shared" si="971"/>
        <v>112901.50604021976</v>
      </c>
      <c r="S377">
        <f t="shared" si="972"/>
        <v>1.1290150604021976</v>
      </c>
      <c r="T377">
        <f t="shared" si="973"/>
        <v>1.1290150604021975E-3</v>
      </c>
    </row>
    <row r="378" spans="1:20" x14ac:dyDescent="0.25">
      <c r="A378" s="5">
        <v>44215</v>
      </c>
      <c r="B378">
        <v>55.204999999999998</v>
      </c>
      <c r="C378">
        <v>58</v>
      </c>
      <c r="D378">
        <v>53.683</v>
      </c>
      <c r="E378">
        <v>56.817999999999998</v>
      </c>
      <c r="F378">
        <v>15628.875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0.45239749826268144</v>
      </c>
      <c r="Q378">
        <f t="shared" si="970"/>
        <v>7070.4639506601652</v>
      </c>
      <c r="R378">
        <f t="shared" si="971"/>
        <v>104145.0733390703</v>
      </c>
      <c r="S378">
        <f t="shared" si="972"/>
        <v>1.041450733390703</v>
      </c>
      <c r="T378">
        <f t="shared" si="973"/>
        <v>1.041450733390703E-3</v>
      </c>
    </row>
    <row r="379" spans="1:20" x14ac:dyDescent="0.25">
      <c r="A379" s="5">
        <v>44214</v>
      </c>
      <c r="B379">
        <v>56.713999999999999</v>
      </c>
      <c r="C379">
        <v>57.332000000000001</v>
      </c>
      <c r="D379">
        <v>54</v>
      </c>
      <c r="E379">
        <v>55.064</v>
      </c>
      <c r="F379">
        <v>8657.4040000000005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-0.36134453781512615</v>
      </c>
      <c r="Q379">
        <f t="shared" si="970"/>
        <v>-3128.3056470588244</v>
      </c>
      <c r="R379">
        <f t="shared" si="971"/>
        <v>97074.609388410128</v>
      </c>
      <c r="S379">
        <f t="shared" si="972"/>
        <v>0.97074609388410127</v>
      </c>
      <c r="T379">
        <f t="shared" si="973"/>
        <v>9.7074609388410132E-4</v>
      </c>
    </row>
    <row r="380" spans="1:20" x14ac:dyDescent="0.25">
      <c r="A380" s="5">
        <v>44213</v>
      </c>
      <c r="B380">
        <v>57.002000000000002</v>
      </c>
      <c r="C380">
        <v>58.243000000000002</v>
      </c>
      <c r="D380">
        <v>52.384999999999998</v>
      </c>
      <c r="E380">
        <v>56.634999999999998</v>
      </c>
      <c r="F380">
        <v>12745.663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0.4510071696824845</v>
      </c>
      <c r="Q380">
        <f t="shared" si="970"/>
        <v>5748.385395356765</v>
      </c>
      <c r="R380">
        <f t="shared" si="971"/>
        <v>100202.91503546895</v>
      </c>
      <c r="S380">
        <f t="shared" si="972"/>
        <v>1.0020291503546894</v>
      </c>
      <c r="T380">
        <f t="shared" si="973"/>
        <v>1.0020291503546894E-3</v>
      </c>
    </row>
    <row r="381" spans="1:20" x14ac:dyDescent="0.25">
      <c r="A381" s="5">
        <v>44212</v>
      </c>
      <c r="B381">
        <v>57.57</v>
      </c>
      <c r="C381">
        <v>61</v>
      </c>
      <c r="D381">
        <v>56.274000000000001</v>
      </c>
      <c r="E381">
        <v>57.024999999999999</v>
      </c>
      <c r="F381">
        <v>17911.924999999999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-0.68218366483284054</v>
      </c>
      <c r="Q381">
        <f t="shared" si="970"/>
        <v>-12219.222640710977</v>
      </c>
      <c r="R381">
        <f t="shared" si="971"/>
        <v>94454.529640112189</v>
      </c>
      <c r="S381">
        <f t="shared" si="972"/>
        <v>0.94454529640112184</v>
      </c>
      <c r="T381">
        <f t="shared" si="973"/>
        <v>9.4454529640112183E-4</v>
      </c>
    </row>
    <row r="382" spans="1:20" x14ac:dyDescent="0.25">
      <c r="A382" s="5">
        <v>44211</v>
      </c>
      <c r="B382">
        <v>58.844999999999999</v>
      </c>
      <c r="C382">
        <v>61.563000000000002</v>
      </c>
      <c r="D382">
        <v>52.116</v>
      </c>
      <c r="E382">
        <v>57.804000000000002</v>
      </c>
      <c r="F382">
        <v>37511.754999999997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0.20419180692283281</v>
      </c>
      <c r="Q382">
        <f t="shared" si="970"/>
        <v>7659.5930342966076</v>
      </c>
      <c r="R382">
        <f t="shared" si="971"/>
        <v>106673.75228082317</v>
      </c>
      <c r="S382">
        <f t="shared" si="972"/>
        <v>1.0667375228082316</v>
      </c>
      <c r="T382">
        <f t="shared" si="973"/>
        <v>1.0667375228082317E-3</v>
      </c>
    </row>
    <row r="383" spans="1:20" x14ac:dyDescent="0.25">
      <c r="A383" s="5">
        <v>44210</v>
      </c>
      <c r="B383">
        <v>55.889000000000003</v>
      </c>
      <c r="C383">
        <v>58.860999999999997</v>
      </c>
      <c r="D383">
        <v>53.503999999999998</v>
      </c>
      <c r="E383">
        <v>58.756</v>
      </c>
      <c r="F383">
        <v>25270.257000000001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0.9607989546387915</v>
      </c>
      <c r="Q383">
        <f t="shared" si="970"/>
        <v>24279.636509053606</v>
      </c>
      <c r="R383">
        <f t="shared" si="971"/>
        <v>99014.159246526571</v>
      </c>
      <c r="S383">
        <f t="shared" si="972"/>
        <v>0.99014159246526567</v>
      </c>
      <c r="T383">
        <f t="shared" si="973"/>
        <v>9.9014159246526559E-4</v>
      </c>
    </row>
    <row r="384" spans="1:20" x14ac:dyDescent="0.25">
      <c r="A384" s="5">
        <v>44209</v>
      </c>
      <c r="B384">
        <v>48.755000000000003</v>
      </c>
      <c r="C384">
        <v>56.283000000000001</v>
      </c>
      <c r="D384">
        <v>45</v>
      </c>
      <c r="E384">
        <v>55.695999999999998</v>
      </c>
      <c r="F384">
        <v>21320.315999999999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0.89594965877869304</v>
      </c>
      <c r="Q384">
        <f t="shared" si="970"/>
        <v>19101.929845253908</v>
      </c>
      <c r="R384">
        <f t="shared" si="971"/>
        <v>74734.522737472958</v>
      </c>
      <c r="S384">
        <f t="shared" si="972"/>
        <v>0.74734522737472964</v>
      </c>
      <c r="T384">
        <f t="shared" si="973"/>
        <v>7.4734522737472968E-4</v>
      </c>
    </row>
    <row r="385" spans="1:20" x14ac:dyDescent="0.25">
      <c r="A385" s="5">
        <v>44208</v>
      </c>
      <c r="B385">
        <v>53.158000000000001</v>
      </c>
      <c r="C385">
        <v>53.920999999999999</v>
      </c>
      <c r="D385">
        <v>47.01</v>
      </c>
      <c r="E385">
        <v>48.755000000000003</v>
      </c>
      <c r="F385">
        <v>17817.113000000001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-0.4950079583273031</v>
      </c>
      <c r="Q385">
        <f t="shared" si="970"/>
        <v>-8819.6127294168509</v>
      </c>
      <c r="R385">
        <f t="shared" si="971"/>
        <v>55632.592892219051</v>
      </c>
      <c r="S385">
        <f t="shared" si="972"/>
        <v>0.55632592892219046</v>
      </c>
      <c r="T385">
        <f t="shared" si="973"/>
        <v>5.5632592892219045E-4</v>
      </c>
    </row>
    <row r="386" spans="1:20" x14ac:dyDescent="0.25">
      <c r="A386" s="5">
        <v>44207</v>
      </c>
      <c r="B386">
        <v>55.667999999999999</v>
      </c>
      <c r="C386">
        <v>56.515000000000001</v>
      </c>
      <c r="D386">
        <v>44</v>
      </c>
      <c r="E386">
        <v>53.405000000000001</v>
      </c>
      <c r="F386">
        <v>57769.561999999998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0.50299640431482229</v>
      </c>
      <c r="Q386">
        <f t="shared" si="970"/>
        <v>29057.881964842192</v>
      </c>
      <c r="R386">
        <f t="shared" si="971"/>
        <v>64452.205621635905</v>
      </c>
      <c r="S386">
        <f t="shared" si="972"/>
        <v>0.64452205621635905</v>
      </c>
      <c r="T386">
        <f t="shared" si="973"/>
        <v>6.4452205621635906E-4</v>
      </c>
    </row>
    <row r="387" spans="1:20" x14ac:dyDescent="0.25">
      <c r="A387" s="5">
        <v>44206</v>
      </c>
      <c r="B387">
        <v>60.210999999999999</v>
      </c>
      <c r="C387">
        <v>62.988</v>
      </c>
      <c r="D387">
        <v>49.578000000000003</v>
      </c>
      <c r="E387">
        <v>55.488</v>
      </c>
      <c r="F387">
        <v>32712.28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-0.11856823266219267</v>
      </c>
      <c r="Q387">
        <f t="shared" si="970"/>
        <v>-3878.6372259507921</v>
      </c>
      <c r="R387">
        <f t="shared" si="971"/>
        <v>35394.323656793713</v>
      </c>
      <c r="S387">
        <f t="shared" si="972"/>
        <v>0.35394323656793714</v>
      </c>
      <c r="T387">
        <f t="shared" si="973"/>
        <v>3.5394323656793712E-4</v>
      </c>
    </row>
    <row r="388" spans="1:20" x14ac:dyDescent="0.25">
      <c r="A388" s="5">
        <v>44205</v>
      </c>
      <c r="B388">
        <v>64.007000000000005</v>
      </c>
      <c r="C388">
        <v>67.015000000000001</v>
      </c>
      <c r="D388">
        <v>58.283999999999999</v>
      </c>
      <c r="E388">
        <v>60.277999999999999</v>
      </c>
      <c r="F388">
        <v>39762.851000000002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-0.54323674264116384</v>
      </c>
      <c r="Q388">
        <f t="shared" si="970"/>
        <v>-21600.641655365944</v>
      </c>
      <c r="R388">
        <f t="shared" si="971"/>
        <v>39272.960882744504</v>
      </c>
      <c r="S388">
        <f t="shared" si="972"/>
        <v>0.39272960882744506</v>
      </c>
      <c r="T388">
        <f t="shared" si="973"/>
        <v>3.9272960882744508E-4</v>
      </c>
    </row>
    <row r="389" spans="1:20" x14ac:dyDescent="0.25">
      <c r="A389" s="5">
        <v>44204</v>
      </c>
      <c r="B389">
        <v>58.305999999999997</v>
      </c>
      <c r="C389">
        <v>71.06</v>
      </c>
      <c r="D389">
        <v>54</v>
      </c>
      <c r="E389">
        <v>64.215000000000003</v>
      </c>
      <c r="F389">
        <v>65850.652000000002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0.19753810082063331</v>
      </c>
      <c r="Q389">
        <f t="shared" si="970"/>
        <v>13008.012733880438</v>
      </c>
      <c r="R389">
        <f t="shared" si="971"/>
        <v>60873.602538110448</v>
      </c>
      <c r="S389">
        <f t="shared" si="972"/>
        <v>0.6087360253811045</v>
      </c>
      <c r="T389">
        <f t="shared" si="973"/>
        <v>6.0873602538110447E-4</v>
      </c>
    </row>
    <row r="390" spans="1:20" x14ac:dyDescent="0.25">
      <c r="A390" s="5">
        <v>44203</v>
      </c>
      <c r="B390">
        <v>54.871000000000002</v>
      </c>
      <c r="C390">
        <v>59.98</v>
      </c>
      <c r="D390">
        <v>51.186</v>
      </c>
      <c r="E390">
        <v>58.1</v>
      </c>
      <c r="F390">
        <v>28560.386999999999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0.57243575164885241</v>
      </c>
      <c r="Q390">
        <f t="shared" ref="Q390:Q453" si="975">F390*P390</f>
        <v>16348.986599727112</v>
      </c>
      <c r="R390">
        <f t="shared" ref="R390:R453" si="976">R391+Q390</f>
        <v>47865.58980423001</v>
      </c>
      <c r="S390">
        <f t="shared" ref="S390:S453" si="977">R390/100000</f>
        <v>0.47865589804230013</v>
      </c>
      <c r="T390">
        <f t="shared" ref="T390:T453" si="978">S390/1000</f>
        <v>4.7865589804230011E-4</v>
      </c>
    </row>
    <row r="391" spans="1:20" x14ac:dyDescent="0.25">
      <c r="A391" s="5">
        <v>44202</v>
      </c>
      <c r="B391">
        <v>47.097999999999999</v>
      </c>
      <c r="C391">
        <v>56</v>
      </c>
      <c r="D391">
        <v>45.366</v>
      </c>
      <c r="E391">
        <v>54.728000000000002</v>
      </c>
      <c r="F391">
        <v>36286.616000000002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0.7607673500094041</v>
      </c>
      <c r="Q391">
        <f t="shared" si="975"/>
        <v>27605.672695128844</v>
      </c>
      <c r="R391">
        <f t="shared" si="976"/>
        <v>31516.603204502895</v>
      </c>
      <c r="S391">
        <f t="shared" si="977"/>
        <v>0.31516603204502897</v>
      </c>
      <c r="T391">
        <f t="shared" si="978"/>
        <v>3.1516603204502898E-4</v>
      </c>
    </row>
    <row r="392" spans="1:20" x14ac:dyDescent="0.25">
      <c r="A392" s="5">
        <v>44201</v>
      </c>
      <c r="B392">
        <v>48.326999999999998</v>
      </c>
      <c r="C392">
        <v>49.98</v>
      </c>
      <c r="D392">
        <v>44</v>
      </c>
      <c r="E392">
        <v>47.302999999999997</v>
      </c>
      <c r="F392">
        <v>27795.157999999999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0.1046822742474913</v>
      </c>
      <c r="Q392">
        <f t="shared" si="975"/>
        <v>2909.6603525083515</v>
      </c>
      <c r="R392">
        <f t="shared" si="976"/>
        <v>3910.9305093740509</v>
      </c>
      <c r="S392">
        <f t="shared" si="977"/>
        <v>3.9109305093740505E-2</v>
      </c>
      <c r="T392">
        <f t="shared" si="978"/>
        <v>3.9109305093740508E-5</v>
      </c>
    </row>
    <row r="393" spans="1:20" x14ac:dyDescent="0.25">
      <c r="A393" s="5">
        <v>44200</v>
      </c>
      <c r="B393">
        <v>48.289000000000001</v>
      </c>
      <c r="C393">
        <v>48.883000000000003</v>
      </c>
      <c r="D393">
        <v>41.5</v>
      </c>
      <c r="E393">
        <v>48.512</v>
      </c>
      <c r="F393">
        <v>33109.396000000001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0.89949884870648733</v>
      </c>
      <c r="Q393">
        <f t="shared" si="975"/>
        <v>29781.863583367176</v>
      </c>
      <c r="R393">
        <f t="shared" si="976"/>
        <v>1001.2701568656994</v>
      </c>
      <c r="S393">
        <f t="shared" si="977"/>
        <v>1.0012701568656994E-2</v>
      </c>
      <c r="T393">
        <f t="shared" si="978"/>
        <v>1.0012701568656993E-5</v>
      </c>
    </row>
    <row r="394" spans="1:20" x14ac:dyDescent="0.25">
      <c r="A394" s="5">
        <v>44199</v>
      </c>
      <c r="B394">
        <v>45.726999999999997</v>
      </c>
      <c r="C394">
        <v>51.268999999999998</v>
      </c>
      <c r="D394">
        <v>44.6</v>
      </c>
      <c r="E394">
        <v>48.215000000000003</v>
      </c>
      <c r="F394">
        <v>41752.201000000001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8.412055780476943E-2</v>
      </c>
      <c r="Q394">
        <f t="shared" si="975"/>
        <v>3512.2184376968521</v>
      </c>
      <c r="R394">
        <f t="shared" si="976"/>
        <v>-28780.593426501477</v>
      </c>
      <c r="S394">
        <f t="shared" si="977"/>
        <v>-0.28780593426501477</v>
      </c>
      <c r="T394">
        <f t="shared" si="978"/>
        <v>-2.8780593426501477E-4</v>
      </c>
    </row>
    <row r="395" spans="1:20" x14ac:dyDescent="0.25">
      <c r="A395" s="5">
        <v>44198</v>
      </c>
      <c r="B395">
        <v>41.16</v>
      </c>
      <c r="C395">
        <v>49</v>
      </c>
      <c r="D395">
        <v>40.47</v>
      </c>
      <c r="E395">
        <v>45.726999999999997</v>
      </c>
      <c r="F395">
        <v>42146.883000000002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0.23259085580304742</v>
      </c>
      <c r="Q395">
        <f t="shared" si="975"/>
        <v>9802.9795864009102</v>
      </c>
      <c r="R395">
        <f t="shared" si="976"/>
        <v>-32292.811864198327</v>
      </c>
      <c r="S395">
        <f t="shared" si="977"/>
        <v>-0.32292811864198329</v>
      </c>
      <c r="T395">
        <f t="shared" si="978"/>
        <v>-3.2292811864198328E-4</v>
      </c>
    </row>
    <row r="396" spans="1:20" x14ac:dyDescent="0.25">
      <c r="A396" s="5">
        <v>44197</v>
      </c>
      <c r="B396">
        <v>40.726999999999997</v>
      </c>
      <c r="C396">
        <v>43.792999999999999</v>
      </c>
      <c r="D396">
        <v>39.274999999999999</v>
      </c>
      <c r="E396">
        <v>41.125999999999998</v>
      </c>
      <c r="F396">
        <v>18166.833999999999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-0.18061088977423692</v>
      </c>
      <c r="Q396">
        <f t="shared" si="975"/>
        <v>-3281.1280531208595</v>
      </c>
      <c r="R396">
        <f t="shared" si="976"/>
        <v>-42095.791450599238</v>
      </c>
      <c r="S396">
        <f t="shared" si="977"/>
        <v>-0.4209579145059924</v>
      </c>
      <c r="T396">
        <f t="shared" si="978"/>
        <v>-4.2095791450599238E-4</v>
      </c>
    </row>
    <row r="397" spans="1:20" x14ac:dyDescent="0.25">
      <c r="A397" s="5">
        <v>44196</v>
      </c>
      <c r="B397">
        <v>39.295999999999999</v>
      </c>
      <c r="C397">
        <v>43.384</v>
      </c>
      <c r="D397">
        <v>38.6</v>
      </c>
      <c r="E397">
        <v>40.728999999999999</v>
      </c>
      <c r="F397">
        <v>36167.487999999998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-0.10994983277592046</v>
      </c>
      <c r="Q397">
        <f t="shared" si="975"/>
        <v>-3976.60925752511</v>
      </c>
      <c r="R397">
        <f t="shared" si="976"/>
        <v>-38814.663397478376</v>
      </c>
      <c r="S397">
        <f t="shared" si="977"/>
        <v>-0.38814663397478377</v>
      </c>
      <c r="T397">
        <f t="shared" si="978"/>
        <v>-3.8814663397478377E-4</v>
      </c>
    </row>
    <row r="398" spans="1:20" x14ac:dyDescent="0.25">
      <c r="A398" s="5">
        <v>44195</v>
      </c>
      <c r="B398">
        <v>38.439</v>
      </c>
      <c r="C398">
        <v>41.021000000000001</v>
      </c>
      <c r="D398">
        <v>34.984999999999999</v>
      </c>
      <c r="E398">
        <v>39.295999999999999</v>
      </c>
      <c r="F398">
        <v>44980.534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0.42842942345924417</v>
      </c>
      <c r="Q398">
        <f t="shared" si="975"/>
        <v>19270.984248508928</v>
      </c>
      <c r="R398">
        <f t="shared" si="976"/>
        <v>-34838.054139953267</v>
      </c>
      <c r="S398">
        <f t="shared" si="977"/>
        <v>-0.34838054139953267</v>
      </c>
      <c r="T398">
        <f t="shared" si="978"/>
        <v>-3.4838054139953265E-4</v>
      </c>
    </row>
    <row r="399" spans="1:20" x14ac:dyDescent="0.25">
      <c r="A399" s="5">
        <v>44194</v>
      </c>
      <c r="B399">
        <v>40.601999999999997</v>
      </c>
      <c r="C399">
        <v>41.146000000000001</v>
      </c>
      <c r="D399">
        <v>37.182000000000002</v>
      </c>
      <c r="E399">
        <v>38.313000000000002</v>
      </c>
      <c r="F399">
        <v>16178.704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-0.42936427850655873</v>
      </c>
      <c r="Q399">
        <f t="shared" si="975"/>
        <v>-6946.5575701311755</v>
      </c>
      <c r="R399">
        <f t="shared" si="976"/>
        <v>-54109.038388462199</v>
      </c>
      <c r="S399">
        <f t="shared" si="977"/>
        <v>-0.54109038388462194</v>
      </c>
      <c r="T399">
        <f t="shared" si="978"/>
        <v>-5.4109038388462194E-4</v>
      </c>
    </row>
    <row r="400" spans="1:20" x14ac:dyDescent="0.25">
      <c r="A400" s="5">
        <v>44193</v>
      </c>
      <c r="B400">
        <v>39.104999999999997</v>
      </c>
      <c r="C400">
        <v>41.83</v>
      </c>
      <c r="D400">
        <v>38.999000000000002</v>
      </c>
      <c r="E400">
        <v>40.779000000000003</v>
      </c>
      <c r="F400">
        <v>18674.631000000001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0.25750618156128835</v>
      </c>
      <c r="Q400">
        <f t="shared" si="975"/>
        <v>4808.8329208760642</v>
      </c>
      <c r="R400">
        <f t="shared" si="976"/>
        <v>-47162.480818331023</v>
      </c>
      <c r="S400">
        <f t="shared" si="977"/>
        <v>-0.47162480818331021</v>
      </c>
      <c r="T400">
        <f t="shared" si="978"/>
        <v>-4.7162480818331023E-4</v>
      </c>
    </row>
    <row r="401" spans="1:20" x14ac:dyDescent="0.25">
      <c r="A401" s="5">
        <v>44192</v>
      </c>
      <c r="B401">
        <v>37.140999999999998</v>
      </c>
      <c r="C401">
        <v>40.661999999999999</v>
      </c>
      <c r="D401">
        <v>37.131999999999998</v>
      </c>
      <c r="E401">
        <v>39.134</v>
      </c>
      <c r="F401">
        <v>30158.347000000002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0.1342776203966016</v>
      </c>
      <c r="Q401">
        <f t="shared" si="975"/>
        <v>4049.5910702549891</v>
      </c>
      <c r="R401">
        <f t="shared" si="976"/>
        <v>-51971.313739207086</v>
      </c>
      <c r="S401">
        <f t="shared" si="977"/>
        <v>-0.51971313739207081</v>
      </c>
      <c r="T401">
        <f t="shared" si="978"/>
        <v>-5.197131373920708E-4</v>
      </c>
    </row>
    <row r="402" spans="1:20" x14ac:dyDescent="0.25">
      <c r="A402" s="5">
        <v>44191</v>
      </c>
      <c r="B402">
        <v>36.781999999999996</v>
      </c>
      <c r="C402">
        <v>38.200000000000003</v>
      </c>
      <c r="D402">
        <v>35.020000000000003</v>
      </c>
      <c r="E402">
        <v>37.399000000000001</v>
      </c>
      <c r="F402">
        <v>19373.847000000002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0.49622641509433835</v>
      </c>
      <c r="Q402">
        <f t="shared" si="975"/>
        <v>9613.8146433962029</v>
      </c>
      <c r="R402">
        <f t="shared" si="976"/>
        <v>-56020.904809462074</v>
      </c>
      <c r="S402">
        <f t="shared" si="977"/>
        <v>-0.56020904809462069</v>
      </c>
      <c r="T402">
        <f t="shared" si="978"/>
        <v>-5.6020904809462072E-4</v>
      </c>
    </row>
    <row r="403" spans="1:20" x14ac:dyDescent="0.25">
      <c r="A403" s="5">
        <v>44190</v>
      </c>
      <c r="B403">
        <v>35.674999999999997</v>
      </c>
      <c r="C403">
        <v>36.950000000000003</v>
      </c>
      <c r="D403">
        <v>33.31</v>
      </c>
      <c r="E403">
        <v>36.781999999999996</v>
      </c>
      <c r="F403">
        <v>16881.794999999998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0.90769230769230425</v>
      </c>
      <c r="Q403">
        <f t="shared" si="975"/>
        <v>15323.475461538403</v>
      </c>
      <c r="R403">
        <f t="shared" si="976"/>
        <v>-65634.719452858277</v>
      </c>
      <c r="S403">
        <f t="shared" si="977"/>
        <v>-0.65634719452858281</v>
      </c>
      <c r="T403">
        <f t="shared" si="978"/>
        <v>-6.5634719452858285E-4</v>
      </c>
    </row>
    <row r="404" spans="1:20" x14ac:dyDescent="0.25">
      <c r="A404" s="5">
        <v>44189</v>
      </c>
      <c r="B404">
        <v>32.335999999999999</v>
      </c>
      <c r="C404">
        <v>36.814999999999998</v>
      </c>
      <c r="D404">
        <v>31.72</v>
      </c>
      <c r="E404">
        <v>35.985999999999997</v>
      </c>
      <c r="F404">
        <v>13420.136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0.67458292443572099</v>
      </c>
      <c r="Q404">
        <f t="shared" si="975"/>
        <v>9052.9945892051001</v>
      </c>
      <c r="R404">
        <f t="shared" si="976"/>
        <v>-80958.194914396678</v>
      </c>
      <c r="S404">
        <f t="shared" si="977"/>
        <v>-0.80958194914396675</v>
      </c>
      <c r="T404">
        <f t="shared" si="978"/>
        <v>-8.0958194914396674E-4</v>
      </c>
    </row>
    <row r="405" spans="1:20" x14ac:dyDescent="0.25">
      <c r="A405" s="5">
        <v>44188</v>
      </c>
      <c r="B405">
        <v>34.920999999999999</v>
      </c>
      <c r="C405">
        <v>35.173000000000002</v>
      </c>
      <c r="D405">
        <v>30.5</v>
      </c>
      <c r="E405">
        <v>32.057000000000002</v>
      </c>
      <c r="F405">
        <v>14651.902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-0.33361866038947074</v>
      </c>
      <c r="Q405">
        <f t="shared" si="975"/>
        <v>-4888.1479173978069</v>
      </c>
      <c r="R405">
        <f t="shared" si="976"/>
        <v>-90011.189503601781</v>
      </c>
      <c r="S405">
        <f t="shared" si="977"/>
        <v>-0.90011189503601785</v>
      </c>
      <c r="T405">
        <f t="shared" si="978"/>
        <v>-9.0011189503601784E-4</v>
      </c>
    </row>
    <row r="406" spans="1:20" x14ac:dyDescent="0.25">
      <c r="A406" s="5">
        <v>44187</v>
      </c>
      <c r="B406">
        <v>33.299999999999997</v>
      </c>
      <c r="C406">
        <v>36.206000000000003</v>
      </c>
      <c r="D406">
        <v>32.719000000000001</v>
      </c>
      <c r="E406">
        <v>34.686</v>
      </c>
      <c r="F406">
        <v>19507.118999999999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0.12819042156581456</v>
      </c>
      <c r="Q406">
        <f t="shared" si="975"/>
        <v>2500.6258081445108</v>
      </c>
      <c r="R406">
        <f t="shared" si="976"/>
        <v>-85123.041586203981</v>
      </c>
      <c r="S406">
        <f t="shared" si="977"/>
        <v>-0.85123041586203985</v>
      </c>
      <c r="T406">
        <f t="shared" si="978"/>
        <v>-8.5123041586203981E-4</v>
      </c>
    </row>
    <row r="407" spans="1:20" x14ac:dyDescent="0.25">
      <c r="A407" s="5">
        <v>44186</v>
      </c>
      <c r="B407">
        <v>34.116</v>
      </c>
      <c r="C407">
        <v>35.476999999999997</v>
      </c>
      <c r="D407">
        <v>31.05</v>
      </c>
      <c r="E407">
        <v>33.299999999999997</v>
      </c>
      <c r="F407">
        <v>11900.34</v>
      </c>
      <c r="G407">
        <v>0</v>
      </c>
      <c r="L407" t="s">
        <v>8</v>
      </c>
      <c r="M407" t="s">
        <v>7</v>
      </c>
      <c r="N407" t="s">
        <v>8</v>
      </c>
      <c r="P407">
        <f t="shared" si="974"/>
        <v>1.6489722159475244E-2</v>
      </c>
      <c r="Q407">
        <f t="shared" si="975"/>
        <v>196.23330020328962</v>
      </c>
      <c r="R407">
        <f t="shared" si="976"/>
        <v>-87623.667394348493</v>
      </c>
      <c r="S407">
        <f t="shared" si="977"/>
        <v>-0.87623667394348492</v>
      </c>
      <c r="T407">
        <f t="shared" si="978"/>
        <v>-8.7623667394348497E-4</v>
      </c>
    </row>
    <row r="408" spans="1:20" x14ac:dyDescent="0.25">
      <c r="A408" s="5">
        <v>44185</v>
      </c>
      <c r="B408">
        <v>34.069000000000003</v>
      </c>
      <c r="C408">
        <v>34.734000000000002</v>
      </c>
      <c r="D408">
        <v>32.58</v>
      </c>
      <c r="E408">
        <v>34.487000000000002</v>
      </c>
      <c r="F408">
        <v>12973.761</v>
      </c>
      <c r="G408">
        <v>0</v>
      </c>
      <c r="L408" t="s">
        <v>8</v>
      </c>
      <c r="M408" t="s">
        <v>7</v>
      </c>
      <c r="N408" t="s">
        <v>8</v>
      </c>
      <c r="P408">
        <f t="shared" si="974"/>
        <v>0.77065923862581287</v>
      </c>
      <c r="Q408">
        <f t="shared" si="975"/>
        <v>9998.3487743732658</v>
      </c>
      <c r="R408">
        <f t="shared" si="976"/>
        <v>-87819.900694551776</v>
      </c>
      <c r="S408">
        <f t="shared" si="977"/>
        <v>-0.87819900694551778</v>
      </c>
      <c r="T408">
        <f t="shared" si="978"/>
        <v>-8.7819900694551781E-4</v>
      </c>
    </row>
    <row r="409" spans="1:20" x14ac:dyDescent="0.25">
      <c r="A409" s="5">
        <v>44184</v>
      </c>
      <c r="B409">
        <v>36.396999999999998</v>
      </c>
      <c r="C409">
        <v>36.773000000000003</v>
      </c>
      <c r="D409">
        <v>32.54</v>
      </c>
      <c r="E409">
        <v>34.069000000000003</v>
      </c>
      <c r="F409">
        <v>29121.9</v>
      </c>
      <c r="G409">
        <v>0</v>
      </c>
      <c r="L409" t="s">
        <v>7</v>
      </c>
      <c r="M409" t="s">
        <v>7</v>
      </c>
      <c r="N409" t="s">
        <v>8</v>
      </c>
      <c r="P409">
        <f t="shared" si="974"/>
        <v>-0.27758091188282447</v>
      </c>
      <c r="Q409">
        <f t="shared" si="975"/>
        <v>-8083.6835577604261</v>
      </c>
      <c r="R409">
        <f t="shared" si="976"/>
        <v>-97818.249468925045</v>
      </c>
      <c r="S409">
        <f t="shared" si="977"/>
        <v>-0.97818249468925045</v>
      </c>
      <c r="T409">
        <f t="shared" si="978"/>
        <v>-9.7818249468925047E-4</v>
      </c>
    </row>
    <row r="410" spans="1:20" x14ac:dyDescent="0.25">
      <c r="A410" s="5">
        <v>44183</v>
      </c>
      <c r="B410">
        <v>31.311</v>
      </c>
      <c r="C410">
        <v>42.468000000000004</v>
      </c>
      <c r="D410">
        <v>29.798999999999999</v>
      </c>
      <c r="E410">
        <v>36.396999999999998</v>
      </c>
      <c r="F410">
        <v>146695.046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4.1597600442023347E-2</v>
      </c>
      <c r="Q410">
        <f t="shared" si="975"/>
        <v>6102.1619103322355</v>
      </c>
      <c r="R410">
        <f t="shared" si="976"/>
        <v>-89734.565911164624</v>
      </c>
      <c r="S410">
        <f t="shared" si="977"/>
        <v>-0.89734565911164621</v>
      </c>
      <c r="T410">
        <f t="shared" si="978"/>
        <v>-8.9734565911164625E-4</v>
      </c>
    </row>
    <row r="411" spans="1:20" x14ac:dyDescent="0.25">
      <c r="A411" s="5">
        <v>44182</v>
      </c>
      <c r="B411">
        <v>31.315000000000001</v>
      </c>
      <c r="C411">
        <v>31.594999999999999</v>
      </c>
      <c r="D411">
        <v>28.984000000000002</v>
      </c>
      <c r="E411">
        <v>31.312999999999999</v>
      </c>
      <c r="F411">
        <v>22434.741000000002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0.78399080811949418</v>
      </c>
      <c r="Q411">
        <f t="shared" si="975"/>
        <v>17588.630726541549</v>
      </c>
      <c r="R411">
        <f t="shared" si="976"/>
        <v>-95836.727821496854</v>
      </c>
      <c r="S411">
        <f t="shared" si="977"/>
        <v>-0.95836727821496859</v>
      </c>
      <c r="T411">
        <f t="shared" si="978"/>
        <v>-9.5836727821496854E-4</v>
      </c>
    </row>
    <row r="412" spans="1:20" x14ac:dyDescent="0.25">
      <c r="A412" s="5">
        <v>44181</v>
      </c>
      <c r="B412">
        <v>27.439</v>
      </c>
      <c r="C412">
        <v>32.4</v>
      </c>
      <c r="D412">
        <v>26.283999999999999</v>
      </c>
      <c r="E412">
        <v>31.58</v>
      </c>
      <c r="F412">
        <v>27923.74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0.73185088293001954</v>
      </c>
      <c r="Q412">
        <f t="shared" si="975"/>
        <v>20436.013773708306</v>
      </c>
      <c r="R412">
        <f t="shared" si="976"/>
        <v>-113425.35854803841</v>
      </c>
      <c r="S412">
        <f t="shared" si="977"/>
        <v>-1.1342535854803841</v>
      </c>
      <c r="T412">
        <f t="shared" si="978"/>
        <v>-1.1342535854803842E-3</v>
      </c>
    </row>
    <row r="413" spans="1:20" x14ac:dyDescent="0.25">
      <c r="A413" s="5">
        <v>44180</v>
      </c>
      <c r="B413">
        <v>27.847000000000001</v>
      </c>
      <c r="C413">
        <v>31.198</v>
      </c>
      <c r="D413">
        <v>25.768999999999998</v>
      </c>
      <c r="E413">
        <v>27.439</v>
      </c>
      <c r="F413">
        <v>29520.42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-0.38478541167802505</v>
      </c>
      <c r="Q413">
        <f t="shared" si="975"/>
        <v>-11359.026962608203</v>
      </c>
      <c r="R413">
        <f t="shared" si="976"/>
        <v>-133861.37232174672</v>
      </c>
      <c r="S413">
        <f t="shared" si="977"/>
        <v>-1.3386137232174673</v>
      </c>
      <c r="T413">
        <f t="shared" si="978"/>
        <v>-1.3386137232174672E-3</v>
      </c>
    </row>
    <row r="414" spans="1:20" x14ac:dyDescent="0.25">
      <c r="A414" s="5">
        <v>44179</v>
      </c>
      <c r="B414">
        <v>26.878</v>
      </c>
      <c r="C414">
        <v>28.074999999999999</v>
      </c>
      <c r="D414">
        <v>25.702999999999999</v>
      </c>
      <c r="E414">
        <v>27.832999999999998</v>
      </c>
      <c r="F414">
        <v>14253.457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0.79595278246205659</v>
      </c>
      <c r="Q414">
        <f t="shared" si="975"/>
        <v>11345.078758853278</v>
      </c>
      <c r="R414">
        <f t="shared" si="976"/>
        <v>-122502.3453591385</v>
      </c>
      <c r="S414">
        <f t="shared" si="977"/>
        <v>-1.2250234535913851</v>
      </c>
      <c r="T414">
        <f t="shared" si="978"/>
        <v>-1.2250234535913852E-3</v>
      </c>
    </row>
    <row r="415" spans="1:20" x14ac:dyDescent="0.25">
      <c r="A415" s="5">
        <v>44178</v>
      </c>
      <c r="B415">
        <v>26.905999999999999</v>
      </c>
      <c r="C415">
        <v>27.12</v>
      </c>
      <c r="D415">
        <v>25.817</v>
      </c>
      <c r="E415">
        <v>26.684000000000001</v>
      </c>
      <c r="F415">
        <v>8426.3649999999998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0.33077513430544947</v>
      </c>
      <c r="Q415">
        <f t="shared" si="975"/>
        <v>2787.2320145817384</v>
      </c>
      <c r="R415">
        <f t="shared" si="976"/>
        <v>-133847.42411799179</v>
      </c>
      <c r="S415">
        <f t="shared" si="977"/>
        <v>-1.338474241179918</v>
      </c>
      <c r="T415">
        <f t="shared" si="978"/>
        <v>-1.3384742411799179E-3</v>
      </c>
    </row>
    <row r="416" spans="1:20" x14ac:dyDescent="0.25">
      <c r="A416" s="5">
        <v>44177</v>
      </c>
      <c r="B416">
        <v>24.943999999999999</v>
      </c>
      <c r="C416">
        <v>27.184999999999999</v>
      </c>
      <c r="D416">
        <v>24.745999999999999</v>
      </c>
      <c r="E416">
        <v>27.116</v>
      </c>
      <c r="F416">
        <v>14534.53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0.94341943419434271</v>
      </c>
      <c r="Q416">
        <f t="shared" si="975"/>
        <v>13712.158068880701</v>
      </c>
      <c r="R416">
        <f t="shared" si="976"/>
        <v>-136634.65613257352</v>
      </c>
      <c r="S416">
        <f t="shared" si="977"/>
        <v>-1.3663465613257353</v>
      </c>
      <c r="T416">
        <f t="shared" si="978"/>
        <v>-1.3663465613257353E-3</v>
      </c>
    </row>
    <row r="417" spans="1:20" x14ac:dyDescent="0.25">
      <c r="A417" s="5">
        <v>44176</v>
      </c>
      <c r="B417">
        <v>26.776</v>
      </c>
      <c r="C417">
        <v>27.181999999999999</v>
      </c>
      <c r="D417">
        <v>23.245999999999999</v>
      </c>
      <c r="E417">
        <v>24.821000000000002</v>
      </c>
      <c r="F417">
        <v>33612.788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-0.19969512195121805</v>
      </c>
      <c r="Q417">
        <f t="shared" si="975"/>
        <v>-6712.3097987804385</v>
      </c>
      <c r="R417">
        <f t="shared" si="976"/>
        <v>-150346.81420145422</v>
      </c>
      <c r="S417">
        <f t="shared" si="977"/>
        <v>-1.5034681420145422</v>
      </c>
      <c r="T417">
        <f t="shared" si="978"/>
        <v>-1.503468142014542E-3</v>
      </c>
    </row>
    <row r="418" spans="1:20" x14ac:dyDescent="0.25">
      <c r="A418" s="5">
        <v>44175</v>
      </c>
      <c r="B418">
        <v>26.215</v>
      </c>
      <c r="C418">
        <v>34.960999999999999</v>
      </c>
      <c r="D418">
        <v>26.175000000000001</v>
      </c>
      <c r="E418">
        <v>26.699000000000002</v>
      </c>
      <c r="F418">
        <v>101015.796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-0.88071932620077376</v>
      </c>
      <c r="Q418">
        <f t="shared" si="975"/>
        <v>-88966.563788754822</v>
      </c>
      <c r="R418">
        <f t="shared" si="976"/>
        <v>-143634.50440267377</v>
      </c>
      <c r="S418">
        <f t="shared" si="977"/>
        <v>-1.4363450440267378</v>
      </c>
      <c r="T418">
        <f t="shared" si="978"/>
        <v>-1.4363450440267379E-3</v>
      </c>
    </row>
    <row r="419" spans="1:20" x14ac:dyDescent="0.25">
      <c r="A419" s="5">
        <v>44174</v>
      </c>
      <c r="B419">
        <v>25.663</v>
      </c>
      <c r="C419">
        <v>26.922999999999998</v>
      </c>
      <c r="D419">
        <v>24.25</v>
      </c>
      <c r="E419">
        <v>26.172999999999998</v>
      </c>
      <c r="F419">
        <v>13708.204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0.43883277216610511</v>
      </c>
      <c r="Q419">
        <f t="shared" si="975"/>
        <v>6015.6091627384903</v>
      </c>
      <c r="R419">
        <f t="shared" si="976"/>
        <v>-54667.94061391896</v>
      </c>
      <c r="S419">
        <f t="shared" si="977"/>
        <v>-0.54667940613918964</v>
      </c>
      <c r="T419">
        <f t="shared" si="978"/>
        <v>-5.4667940613918966E-4</v>
      </c>
    </row>
    <row r="420" spans="1:20" x14ac:dyDescent="0.25">
      <c r="A420" s="5">
        <v>44173</v>
      </c>
      <c r="B420">
        <v>27.233000000000001</v>
      </c>
      <c r="C420">
        <v>27.617999999999999</v>
      </c>
      <c r="D420">
        <v>25.1</v>
      </c>
      <c r="E420">
        <v>25.843</v>
      </c>
      <c r="F420">
        <v>16018.493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-0.40984908657664859</v>
      </c>
      <c r="Q420">
        <f t="shared" si="975"/>
        <v>-6565.16472438444</v>
      </c>
      <c r="R420">
        <f t="shared" si="976"/>
        <v>-60683.549776657448</v>
      </c>
      <c r="S420">
        <f t="shared" si="977"/>
        <v>-0.60683549776657453</v>
      </c>
      <c r="T420">
        <f t="shared" si="978"/>
        <v>-6.068354977665745E-4</v>
      </c>
    </row>
    <row r="421" spans="1:20" x14ac:dyDescent="0.25">
      <c r="A421" s="5">
        <v>44172</v>
      </c>
      <c r="B421">
        <v>27.509</v>
      </c>
      <c r="C421">
        <v>28.641999999999999</v>
      </c>
      <c r="D421">
        <v>25.914000000000001</v>
      </c>
      <c r="E421">
        <v>27.018000000000001</v>
      </c>
      <c r="F421">
        <v>23173.8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-0.1906158357771261</v>
      </c>
      <c r="Q421">
        <f t="shared" si="975"/>
        <v>-4417.2932551319645</v>
      </c>
      <c r="R421">
        <f t="shared" si="976"/>
        <v>-54118.385052273006</v>
      </c>
      <c r="S421">
        <f t="shared" si="977"/>
        <v>-0.5411838505227301</v>
      </c>
      <c r="T421">
        <f t="shared" si="978"/>
        <v>-5.4118385052273014E-4</v>
      </c>
    </row>
    <row r="422" spans="1:20" x14ac:dyDescent="0.25">
      <c r="A422" s="5">
        <v>44171</v>
      </c>
      <c r="B422">
        <v>27.791</v>
      </c>
      <c r="C422">
        <v>27.905000000000001</v>
      </c>
      <c r="D422">
        <v>25.346</v>
      </c>
      <c r="E422">
        <v>27.509</v>
      </c>
      <c r="F422">
        <v>23220.545999999998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0.69050410316529842</v>
      </c>
      <c r="Q422">
        <f t="shared" si="975"/>
        <v>16033.882290738557</v>
      </c>
      <c r="R422">
        <f t="shared" si="976"/>
        <v>-49701.091797141045</v>
      </c>
      <c r="S422">
        <f t="shared" si="977"/>
        <v>-0.49701091797141045</v>
      </c>
      <c r="T422">
        <f t="shared" si="978"/>
        <v>-4.9701091797141046E-4</v>
      </c>
    </row>
    <row r="423" spans="1:20" x14ac:dyDescent="0.25">
      <c r="A423" s="5">
        <v>44170</v>
      </c>
      <c r="B423">
        <v>25.888999999999999</v>
      </c>
      <c r="C423">
        <v>29.7</v>
      </c>
      <c r="D423">
        <v>25</v>
      </c>
      <c r="E423">
        <v>27.864000000000001</v>
      </c>
      <c r="F423">
        <v>30395.044999999998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0.21872340425531966</v>
      </c>
      <c r="Q423">
        <f t="shared" si="975"/>
        <v>6648.107714893632</v>
      </c>
      <c r="R423">
        <f t="shared" si="976"/>
        <v>-65734.9740878796</v>
      </c>
      <c r="S423">
        <f t="shared" si="977"/>
        <v>-0.65734974087879605</v>
      </c>
      <c r="T423">
        <f t="shared" si="978"/>
        <v>-6.5734974087879603E-4</v>
      </c>
    </row>
    <row r="424" spans="1:20" x14ac:dyDescent="0.25">
      <c r="A424" s="5">
        <v>44169</v>
      </c>
      <c r="B424">
        <v>31.244</v>
      </c>
      <c r="C424">
        <v>32</v>
      </c>
      <c r="D424">
        <v>25.77</v>
      </c>
      <c r="E424">
        <v>26.042000000000002</v>
      </c>
      <c r="F424">
        <v>80815.777000000002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-0.91268057784911649</v>
      </c>
      <c r="Q424">
        <f t="shared" si="975"/>
        <v>-73758.990051685338</v>
      </c>
      <c r="R424">
        <f t="shared" si="976"/>
        <v>-72383.081802773231</v>
      </c>
      <c r="S424">
        <f t="shared" si="977"/>
        <v>-0.7238308180277323</v>
      </c>
      <c r="T424">
        <f t="shared" si="978"/>
        <v>-7.2383081802773232E-4</v>
      </c>
    </row>
    <row r="425" spans="1:20" x14ac:dyDescent="0.25">
      <c r="A425" s="5">
        <v>44168</v>
      </c>
      <c r="B425">
        <v>26.309000000000001</v>
      </c>
      <c r="C425">
        <v>42.432000000000002</v>
      </c>
      <c r="D425">
        <v>26.187999999999999</v>
      </c>
      <c r="E425">
        <v>31.367000000000001</v>
      </c>
      <c r="F425">
        <v>284522.78399999999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-0.36234917508002945</v>
      </c>
      <c r="Q425">
        <f t="shared" si="975"/>
        <v>-103096.5960738734</v>
      </c>
      <c r="R425">
        <f t="shared" si="976"/>
        <v>1375.9082489121065</v>
      </c>
      <c r="S425">
        <f t="shared" si="977"/>
        <v>1.3759082489121065E-2</v>
      </c>
      <c r="T425">
        <f t="shared" si="978"/>
        <v>1.3759082489121065E-5</v>
      </c>
    </row>
    <row r="426" spans="1:20" x14ac:dyDescent="0.25">
      <c r="A426" s="5">
        <v>44167</v>
      </c>
      <c r="B426">
        <v>25.311</v>
      </c>
      <c r="C426">
        <v>26.588999999999999</v>
      </c>
      <c r="D426">
        <v>23.611999999999998</v>
      </c>
      <c r="E426">
        <v>26.309000000000001</v>
      </c>
      <c r="F426">
        <v>9620.2659999999996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0.8118911656029576</v>
      </c>
      <c r="Q426">
        <f t="shared" si="975"/>
        <v>7810.6089761505018</v>
      </c>
      <c r="R426">
        <f t="shared" si="976"/>
        <v>104472.50432278551</v>
      </c>
      <c r="S426">
        <f t="shared" si="977"/>
        <v>1.044725043227855</v>
      </c>
      <c r="T426">
        <f t="shared" si="978"/>
        <v>1.0447250432278549E-3</v>
      </c>
    </row>
    <row r="427" spans="1:20" x14ac:dyDescent="0.25">
      <c r="A427" s="5">
        <v>44166</v>
      </c>
      <c r="B427">
        <v>24.683</v>
      </c>
      <c r="C427">
        <v>25.861999999999998</v>
      </c>
      <c r="D427">
        <v>23.23</v>
      </c>
      <c r="E427">
        <v>25.317</v>
      </c>
      <c r="F427">
        <v>18040.935000000001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0.58586626139817732</v>
      </c>
      <c r="Q427">
        <f t="shared" si="975"/>
        <v>10569.575140577526</v>
      </c>
      <c r="R427">
        <f t="shared" si="976"/>
        <v>96661.895346635007</v>
      </c>
      <c r="S427">
        <f t="shared" si="977"/>
        <v>0.96661895346635007</v>
      </c>
      <c r="T427">
        <f t="shared" si="978"/>
        <v>9.6661895346635007E-4</v>
      </c>
    </row>
    <row r="428" spans="1:20" x14ac:dyDescent="0.25">
      <c r="A428" s="5">
        <v>44165</v>
      </c>
      <c r="B428">
        <v>23.998999999999999</v>
      </c>
      <c r="C428">
        <v>24.989000000000001</v>
      </c>
      <c r="D428">
        <v>23.099</v>
      </c>
      <c r="E428">
        <v>24.684000000000001</v>
      </c>
      <c r="F428">
        <v>16380.806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0.67724867724867766</v>
      </c>
      <c r="Q428">
        <f t="shared" si="975"/>
        <v>11093.879195767202</v>
      </c>
      <c r="R428">
        <f t="shared" si="976"/>
        <v>86092.320206057484</v>
      </c>
      <c r="S428">
        <f t="shared" si="977"/>
        <v>0.86092320206057482</v>
      </c>
      <c r="T428">
        <f t="shared" si="978"/>
        <v>8.6092320206057485E-4</v>
      </c>
    </row>
    <row r="429" spans="1:20" x14ac:dyDescent="0.25">
      <c r="A429" s="5">
        <v>44164</v>
      </c>
      <c r="B429">
        <v>21.701000000000001</v>
      </c>
      <c r="C429">
        <v>24</v>
      </c>
      <c r="D429">
        <v>21.271999999999998</v>
      </c>
      <c r="E429">
        <v>23.998999999999999</v>
      </c>
      <c r="F429">
        <v>14416.004999999999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0.99926686217008709</v>
      </c>
      <c r="Q429">
        <f t="shared" si="975"/>
        <v>14405.436081378286</v>
      </c>
      <c r="R429">
        <f t="shared" si="976"/>
        <v>74998.441010290277</v>
      </c>
      <c r="S429">
        <f t="shared" si="977"/>
        <v>0.74998441010290273</v>
      </c>
      <c r="T429">
        <f t="shared" si="978"/>
        <v>7.4998441010290268E-4</v>
      </c>
    </row>
    <row r="430" spans="1:20" x14ac:dyDescent="0.25">
      <c r="A430" s="5">
        <v>44163</v>
      </c>
      <c r="B430">
        <v>21.722999999999999</v>
      </c>
      <c r="C430">
        <v>23.1</v>
      </c>
      <c r="D430">
        <v>21.376999999999999</v>
      </c>
      <c r="E430">
        <v>21.698</v>
      </c>
      <c r="F430">
        <v>19177.584999999999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-0.62739408009286013</v>
      </c>
      <c r="Q430">
        <f t="shared" si="975"/>
        <v>-12031.903299477632</v>
      </c>
      <c r="R430">
        <f t="shared" si="976"/>
        <v>60593.004928911992</v>
      </c>
      <c r="S430">
        <f t="shared" si="977"/>
        <v>0.60593004928911998</v>
      </c>
      <c r="T430">
        <f t="shared" si="978"/>
        <v>6.0593004928911995E-4</v>
      </c>
    </row>
    <row r="431" spans="1:20" x14ac:dyDescent="0.25">
      <c r="A431" s="5">
        <v>44162</v>
      </c>
      <c r="B431">
        <v>20.548999999999999</v>
      </c>
      <c r="C431">
        <v>22</v>
      </c>
      <c r="D431">
        <v>19.13</v>
      </c>
      <c r="E431">
        <v>21.722000000000001</v>
      </c>
      <c r="F431">
        <v>12554.183000000001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0.80627177700348529</v>
      </c>
      <c r="Q431">
        <f t="shared" si="975"/>
        <v>10122.083436236946</v>
      </c>
      <c r="R431">
        <f t="shared" si="976"/>
        <v>72624.908228389628</v>
      </c>
      <c r="S431">
        <f t="shared" si="977"/>
        <v>0.72624908228389629</v>
      </c>
      <c r="T431">
        <f t="shared" si="978"/>
        <v>7.2624908228389627E-4</v>
      </c>
    </row>
    <row r="432" spans="1:20" x14ac:dyDescent="0.25">
      <c r="A432" s="5">
        <v>44161</v>
      </c>
      <c r="B432">
        <v>20.623999999999999</v>
      </c>
      <c r="C432">
        <v>21.5</v>
      </c>
      <c r="D432">
        <v>15.91</v>
      </c>
      <c r="E432">
        <v>20.581</v>
      </c>
      <c r="F432">
        <v>22853.484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0.67119856887298734</v>
      </c>
      <c r="Q432">
        <f t="shared" si="975"/>
        <v>15339.225754561714</v>
      </c>
      <c r="R432">
        <f t="shared" si="976"/>
        <v>62502.824792152678</v>
      </c>
      <c r="S432">
        <f t="shared" si="977"/>
        <v>0.62502824792152678</v>
      </c>
      <c r="T432">
        <f t="shared" si="978"/>
        <v>6.2502824792152675E-4</v>
      </c>
    </row>
    <row r="433" spans="1:20" x14ac:dyDescent="0.25">
      <c r="A433" s="5">
        <v>44160</v>
      </c>
      <c r="B433">
        <v>22.506</v>
      </c>
      <c r="C433">
        <v>23.815000000000001</v>
      </c>
      <c r="D433">
        <v>20.5</v>
      </c>
      <c r="E433">
        <v>20.626000000000001</v>
      </c>
      <c r="F433">
        <v>18864.687999999998</v>
      </c>
      <c r="G433">
        <v>0</v>
      </c>
      <c r="L433" t="s">
        <v>8</v>
      </c>
      <c r="M433" t="s">
        <v>7</v>
      </c>
      <c r="N433" t="s">
        <v>8</v>
      </c>
      <c r="P433">
        <f t="shared" si="974"/>
        <v>-0.92398190045248796</v>
      </c>
      <c r="Q433">
        <f t="shared" si="975"/>
        <v>-17430.630269683243</v>
      </c>
      <c r="R433">
        <f t="shared" si="976"/>
        <v>47163.599037590961</v>
      </c>
      <c r="S433">
        <f t="shared" si="977"/>
        <v>0.47163599037590959</v>
      </c>
      <c r="T433">
        <f t="shared" si="978"/>
        <v>4.7163599037590957E-4</v>
      </c>
    </row>
    <row r="434" spans="1:20" x14ac:dyDescent="0.25">
      <c r="A434" s="5">
        <v>44159</v>
      </c>
      <c r="B434">
        <v>21.437999999999999</v>
      </c>
      <c r="C434">
        <v>22.652000000000001</v>
      </c>
      <c r="D434">
        <v>20.550999999999998</v>
      </c>
      <c r="E434">
        <v>22.652000000000001</v>
      </c>
      <c r="F434">
        <v>21729.636999999999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1</v>
      </c>
      <c r="Q434">
        <f t="shared" si="975"/>
        <v>21729.636999999999</v>
      </c>
      <c r="R434">
        <f t="shared" si="976"/>
        <v>64594.229307274203</v>
      </c>
      <c r="S434">
        <f t="shared" si="977"/>
        <v>0.64594229307274198</v>
      </c>
      <c r="T434">
        <f t="shared" si="978"/>
        <v>6.4594229307274201E-4</v>
      </c>
    </row>
    <row r="435" spans="1:20" x14ac:dyDescent="0.25">
      <c r="A435" s="5">
        <v>44158</v>
      </c>
      <c r="B435">
        <v>21.960999999999999</v>
      </c>
      <c r="C435">
        <v>22.937000000000001</v>
      </c>
      <c r="D435">
        <v>20.488</v>
      </c>
      <c r="E435">
        <v>21.486000000000001</v>
      </c>
      <c r="F435">
        <v>16367.087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-0.18497345855451167</v>
      </c>
      <c r="Q435">
        <f t="shared" si="975"/>
        <v>-3027.4766888525864</v>
      </c>
      <c r="R435">
        <f t="shared" si="976"/>
        <v>42864.592307274208</v>
      </c>
      <c r="S435">
        <f t="shared" si="977"/>
        <v>0.42864592307274207</v>
      </c>
      <c r="T435">
        <f t="shared" si="978"/>
        <v>4.2864592307274206E-4</v>
      </c>
    </row>
    <row r="436" spans="1:20" x14ac:dyDescent="0.25">
      <c r="A436" s="5">
        <v>44157</v>
      </c>
      <c r="B436">
        <v>24.280999999999999</v>
      </c>
      <c r="C436">
        <v>24.484000000000002</v>
      </c>
      <c r="D436">
        <v>20.568000000000001</v>
      </c>
      <c r="E436">
        <v>22.06</v>
      </c>
      <c r="F436">
        <v>26981.674999999999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-0.23799795709908214</v>
      </c>
      <c r="Q436">
        <f t="shared" si="975"/>
        <v>-6421.5835291113772</v>
      </c>
      <c r="R436">
        <f t="shared" si="976"/>
        <v>45892.068996126793</v>
      </c>
      <c r="S436">
        <f t="shared" si="977"/>
        <v>0.45892068996126795</v>
      </c>
      <c r="T436">
        <f t="shared" si="978"/>
        <v>4.5892068996126795E-4</v>
      </c>
    </row>
    <row r="437" spans="1:20" x14ac:dyDescent="0.25">
      <c r="A437" s="5">
        <v>44156</v>
      </c>
      <c r="B437">
        <v>23.039000000000001</v>
      </c>
      <c r="C437">
        <v>24.6</v>
      </c>
      <c r="D437">
        <v>22.283999999999999</v>
      </c>
      <c r="E437">
        <v>24.411999999999999</v>
      </c>
      <c r="F437">
        <v>19802.682000000001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0.83765112262521402</v>
      </c>
      <c r="Q437">
        <f t="shared" si="975"/>
        <v>16587.73880829012</v>
      </c>
      <c r="R437">
        <f t="shared" si="976"/>
        <v>52313.652525238169</v>
      </c>
      <c r="S437">
        <f t="shared" si="977"/>
        <v>0.52313652525238163</v>
      </c>
      <c r="T437">
        <f t="shared" si="978"/>
        <v>5.2313652525238163E-4</v>
      </c>
    </row>
    <row r="438" spans="1:20" x14ac:dyDescent="0.25">
      <c r="A438" s="5">
        <v>44155</v>
      </c>
      <c r="B438">
        <v>20.7</v>
      </c>
      <c r="C438">
        <v>23.498999999999999</v>
      </c>
      <c r="D438">
        <v>20.408000000000001</v>
      </c>
      <c r="E438">
        <v>23.05</v>
      </c>
      <c r="F438">
        <v>30870.31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0.70947913296667842</v>
      </c>
      <c r="Q438">
        <f t="shared" si="975"/>
        <v>21901.840773212582</v>
      </c>
      <c r="R438">
        <f t="shared" si="976"/>
        <v>35725.913716948053</v>
      </c>
      <c r="S438">
        <f t="shared" si="977"/>
        <v>0.35725913716948055</v>
      </c>
      <c r="T438">
        <f t="shared" si="978"/>
        <v>3.5725913716948054E-4</v>
      </c>
    </row>
    <row r="439" spans="1:20" x14ac:dyDescent="0.25">
      <c r="A439" s="5">
        <v>44154</v>
      </c>
      <c r="B439">
        <v>19.405000000000001</v>
      </c>
      <c r="C439">
        <v>20.971</v>
      </c>
      <c r="D439">
        <v>18.785</v>
      </c>
      <c r="E439">
        <v>20.78</v>
      </c>
      <c r="F439">
        <v>15028.62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0.82525160109789664</v>
      </c>
      <c r="Q439">
        <f t="shared" si="975"/>
        <v>12402.392717291872</v>
      </c>
      <c r="R439">
        <f t="shared" si="976"/>
        <v>13824.072943735475</v>
      </c>
      <c r="S439">
        <f t="shared" si="977"/>
        <v>0.13824072943735474</v>
      </c>
      <c r="T439">
        <f t="shared" si="978"/>
        <v>1.3824072943735473E-4</v>
      </c>
    </row>
    <row r="440" spans="1:20" x14ac:dyDescent="0.25">
      <c r="A440" s="5">
        <v>44153</v>
      </c>
      <c r="B440">
        <v>18.760000000000002</v>
      </c>
      <c r="C440">
        <v>20.937999999999999</v>
      </c>
      <c r="D440">
        <v>18.154</v>
      </c>
      <c r="E440">
        <v>19.405999999999999</v>
      </c>
      <c r="F440">
        <v>29140.342000000001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-0.10057471264367861</v>
      </c>
      <c r="Q440">
        <f t="shared" si="975"/>
        <v>-2930.7815229885186</v>
      </c>
      <c r="R440">
        <f t="shared" si="976"/>
        <v>1421.6802264436024</v>
      </c>
      <c r="S440">
        <f t="shared" si="977"/>
        <v>1.4216802264436024E-2</v>
      </c>
      <c r="T440">
        <f t="shared" si="978"/>
        <v>1.4216802264436023E-5</v>
      </c>
    </row>
    <row r="441" spans="1:20" x14ac:dyDescent="0.25">
      <c r="A441" s="5">
        <v>44152</v>
      </c>
      <c r="B441">
        <v>18.452000000000002</v>
      </c>
      <c r="C441">
        <v>18.939</v>
      </c>
      <c r="D441">
        <v>17.387</v>
      </c>
      <c r="E441">
        <v>18.937999999999999</v>
      </c>
      <c r="F441">
        <v>18461.036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0.99871134020618402</v>
      </c>
      <c r="Q441">
        <f t="shared" si="975"/>
        <v>18437.246005154611</v>
      </c>
      <c r="R441">
        <f t="shared" si="976"/>
        <v>4352.461749432121</v>
      </c>
      <c r="S441">
        <f t="shared" si="977"/>
        <v>4.3524617494321211E-2</v>
      </c>
      <c r="T441">
        <f t="shared" si="978"/>
        <v>4.3524617494321211E-5</v>
      </c>
    </row>
    <row r="442" spans="1:20" x14ac:dyDescent="0.25">
      <c r="A442" s="5">
        <v>44151</v>
      </c>
      <c r="B442">
        <v>19.390999999999998</v>
      </c>
      <c r="C442">
        <v>19.391999999999999</v>
      </c>
      <c r="D442">
        <v>18.123000000000001</v>
      </c>
      <c r="E442">
        <v>18.388999999999999</v>
      </c>
      <c r="F442">
        <v>10323.755999999999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-0.58077226162332773</v>
      </c>
      <c r="Q442">
        <f t="shared" si="975"/>
        <v>-5995.7511205673991</v>
      </c>
      <c r="R442">
        <f t="shared" si="976"/>
        <v>-14084.78425572249</v>
      </c>
      <c r="S442">
        <f t="shared" si="977"/>
        <v>-0.14084784255722491</v>
      </c>
      <c r="T442">
        <f t="shared" si="978"/>
        <v>-1.4084784255722491E-4</v>
      </c>
    </row>
    <row r="443" spans="1:20" x14ac:dyDescent="0.25">
      <c r="A443" s="5">
        <v>44150</v>
      </c>
      <c r="B443">
        <v>18.649999999999999</v>
      </c>
      <c r="C443">
        <v>20.98</v>
      </c>
      <c r="D443">
        <v>17.888000000000002</v>
      </c>
      <c r="E443">
        <v>19.265000000000001</v>
      </c>
      <c r="F443">
        <v>26187.27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-0.10931435963777526</v>
      </c>
      <c r="Q443">
        <f t="shared" si="975"/>
        <v>-2862.6446507115229</v>
      </c>
      <c r="R443">
        <f t="shared" si="976"/>
        <v>-8089.0331351550903</v>
      </c>
      <c r="S443">
        <f t="shared" si="977"/>
        <v>-8.0890331351550909E-2</v>
      </c>
      <c r="T443">
        <f t="shared" si="978"/>
        <v>-8.0890331351550913E-5</v>
      </c>
    </row>
    <row r="444" spans="1:20" x14ac:dyDescent="0.25">
      <c r="A444" s="5">
        <v>44149</v>
      </c>
      <c r="B444">
        <v>19.8</v>
      </c>
      <c r="C444">
        <v>19.8</v>
      </c>
      <c r="D444">
        <v>17.202999999999999</v>
      </c>
      <c r="E444">
        <v>18.651</v>
      </c>
      <c r="F444">
        <v>25457.754000000001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0.11513284559106636</v>
      </c>
      <c r="Q444">
        <f t="shared" si="975"/>
        <v>2931.0236603773519</v>
      </c>
      <c r="R444">
        <f t="shared" si="976"/>
        <v>-5226.388484443567</v>
      </c>
      <c r="S444">
        <f t="shared" si="977"/>
        <v>-5.2263884844435671E-2</v>
      </c>
      <c r="T444">
        <f t="shared" si="978"/>
        <v>-5.2263884844435669E-5</v>
      </c>
    </row>
    <row r="445" spans="1:20" x14ac:dyDescent="0.25">
      <c r="A445" s="5">
        <v>44148</v>
      </c>
      <c r="B445">
        <v>17.087</v>
      </c>
      <c r="C445">
        <v>19.8</v>
      </c>
      <c r="D445">
        <v>16.434999999999999</v>
      </c>
      <c r="E445">
        <v>19.8</v>
      </c>
      <c r="F445">
        <v>45278.857000000004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1</v>
      </c>
      <c r="Q445">
        <f t="shared" si="975"/>
        <v>45278.857000000004</v>
      </c>
      <c r="R445">
        <f t="shared" si="976"/>
        <v>-8157.4121448209189</v>
      </c>
      <c r="S445">
        <f t="shared" si="977"/>
        <v>-8.1574121448209191E-2</v>
      </c>
      <c r="T445">
        <f t="shared" si="978"/>
        <v>-8.1574121448209198E-5</v>
      </c>
    </row>
    <row r="446" spans="1:20" x14ac:dyDescent="0.25">
      <c r="A446" s="5">
        <v>44147</v>
      </c>
      <c r="B446">
        <v>16.035</v>
      </c>
      <c r="C446">
        <v>17.908000000000001</v>
      </c>
      <c r="D446">
        <v>15.13</v>
      </c>
      <c r="E446">
        <v>17.059000000000001</v>
      </c>
      <c r="F446">
        <v>24142.294000000002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0.38876889848812091</v>
      </c>
      <c r="Q446">
        <f t="shared" si="975"/>
        <v>9385.7730453563709</v>
      </c>
      <c r="R446">
        <f t="shared" si="976"/>
        <v>-53436.269144820923</v>
      </c>
      <c r="S446">
        <f t="shared" si="977"/>
        <v>-0.53436269144820925</v>
      </c>
      <c r="T446">
        <f t="shared" si="978"/>
        <v>-5.3436269144820927E-4</v>
      </c>
    </row>
    <row r="447" spans="1:20" x14ac:dyDescent="0.25">
      <c r="A447" s="5">
        <v>44146</v>
      </c>
      <c r="B447">
        <v>15.497</v>
      </c>
      <c r="C447">
        <v>16.2</v>
      </c>
      <c r="D447">
        <v>14.053000000000001</v>
      </c>
      <c r="E447">
        <v>16.106000000000002</v>
      </c>
      <c r="F447">
        <v>25076.957999999999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0.91243595714951309</v>
      </c>
      <c r="Q447">
        <f t="shared" si="975"/>
        <v>22881.118175128136</v>
      </c>
      <c r="R447">
        <f t="shared" si="976"/>
        <v>-62822.042190177293</v>
      </c>
      <c r="S447">
        <f t="shared" si="977"/>
        <v>-0.62822042190177296</v>
      </c>
      <c r="T447">
        <f t="shared" si="978"/>
        <v>-6.2822042190177293E-4</v>
      </c>
    </row>
    <row r="448" spans="1:20" x14ac:dyDescent="0.25">
      <c r="A448" s="5">
        <v>44145</v>
      </c>
      <c r="B448">
        <v>16.547999999999998</v>
      </c>
      <c r="C448">
        <v>16.670000000000002</v>
      </c>
      <c r="D448">
        <v>15</v>
      </c>
      <c r="E448">
        <v>15.499000000000001</v>
      </c>
      <c r="F448">
        <v>20579.877</v>
      </c>
      <c r="G448">
        <v>0</v>
      </c>
      <c r="L448" t="s">
        <v>7</v>
      </c>
      <c r="M448" t="s">
        <v>7</v>
      </c>
      <c r="N448" t="s">
        <v>8</v>
      </c>
      <c r="P448">
        <f t="shared" si="974"/>
        <v>-0.40239520958083824</v>
      </c>
      <c r="Q448">
        <f t="shared" si="975"/>
        <v>-8281.2439185628718</v>
      </c>
      <c r="R448">
        <f t="shared" si="976"/>
        <v>-85703.160365305434</v>
      </c>
      <c r="S448">
        <f t="shared" si="977"/>
        <v>-0.85703160365305431</v>
      </c>
      <c r="T448">
        <f t="shared" si="978"/>
        <v>-8.5703160365305426E-4</v>
      </c>
    </row>
    <row r="449" spans="1:20" x14ac:dyDescent="0.25">
      <c r="A449" s="5">
        <v>44144</v>
      </c>
      <c r="B449">
        <v>17.085000000000001</v>
      </c>
      <c r="C449">
        <v>17.5</v>
      </c>
      <c r="D449">
        <v>16.02</v>
      </c>
      <c r="E449">
        <v>16.446999999999999</v>
      </c>
      <c r="F449">
        <v>22723.343000000001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-0.4229729729729737</v>
      </c>
      <c r="Q449">
        <f t="shared" si="975"/>
        <v>-9611.3599445946111</v>
      </c>
      <c r="R449">
        <f t="shared" si="976"/>
        <v>-77421.916446742558</v>
      </c>
      <c r="S449">
        <f t="shared" si="977"/>
        <v>-0.77421916446742556</v>
      </c>
      <c r="T449">
        <f t="shared" si="978"/>
        <v>-7.7421916446742561E-4</v>
      </c>
    </row>
    <row r="450" spans="1:20" x14ac:dyDescent="0.25">
      <c r="A450" s="5">
        <v>44143</v>
      </c>
      <c r="B450">
        <v>15.451000000000001</v>
      </c>
      <c r="C450">
        <v>18.222999999999999</v>
      </c>
      <c r="D450">
        <v>15.238</v>
      </c>
      <c r="E450">
        <v>17.084</v>
      </c>
      <c r="F450">
        <v>52616.627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0.23685092127303212</v>
      </c>
      <c r="Q450">
        <f t="shared" si="975"/>
        <v>12462.296579229496</v>
      </c>
      <c r="R450">
        <f t="shared" si="976"/>
        <v>-67810.556502147942</v>
      </c>
      <c r="S450">
        <f t="shared" si="977"/>
        <v>-0.67810556502147945</v>
      </c>
      <c r="T450">
        <f t="shared" si="978"/>
        <v>-6.781055650214795E-4</v>
      </c>
    </row>
    <row r="451" spans="1:20" x14ac:dyDescent="0.25">
      <c r="A451" s="5">
        <v>44142</v>
      </c>
      <c r="B451">
        <v>14.833</v>
      </c>
      <c r="C451">
        <v>16.899999999999999</v>
      </c>
      <c r="D451">
        <v>13.763</v>
      </c>
      <c r="E451">
        <v>15.489000000000001</v>
      </c>
      <c r="F451">
        <v>34054.260999999999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0.10041440867070552</v>
      </c>
      <c r="Q451">
        <f t="shared" si="975"/>
        <v>3419.5384810328687</v>
      </c>
      <c r="R451">
        <f t="shared" si="976"/>
        <v>-80272.853081377441</v>
      </c>
      <c r="S451">
        <f t="shared" si="977"/>
        <v>-0.80272853081377438</v>
      </c>
      <c r="T451">
        <f t="shared" si="978"/>
        <v>-8.0272853081377439E-4</v>
      </c>
    </row>
    <row r="452" spans="1:20" x14ac:dyDescent="0.25">
      <c r="A452" s="5">
        <v>44141</v>
      </c>
      <c r="B452">
        <v>14.335000000000001</v>
      </c>
      <c r="C452">
        <v>15.215999999999999</v>
      </c>
      <c r="D452">
        <v>13.8</v>
      </c>
      <c r="E452">
        <v>14.833</v>
      </c>
      <c r="F452">
        <v>17711.102999999999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0.45903954802259955</v>
      </c>
      <c r="Q452">
        <f t="shared" si="975"/>
        <v>8130.096716101707</v>
      </c>
      <c r="R452">
        <f t="shared" si="976"/>
        <v>-83692.39156241031</v>
      </c>
      <c r="S452">
        <f t="shared" si="977"/>
        <v>-0.83692391562410307</v>
      </c>
      <c r="T452">
        <f t="shared" si="978"/>
        <v>-8.3692391562410306E-4</v>
      </c>
    </row>
    <row r="453" spans="1:20" x14ac:dyDescent="0.25">
      <c r="A453" s="5">
        <v>44140</v>
      </c>
      <c r="B453">
        <v>13</v>
      </c>
      <c r="C453">
        <v>14.284000000000001</v>
      </c>
      <c r="D453">
        <v>12.56</v>
      </c>
      <c r="E453">
        <v>14.284000000000001</v>
      </c>
      <c r="F453">
        <v>24018.654999999999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1</v>
      </c>
      <c r="Q453">
        <f t="shared" si="975"/>
        <v>24018.654999999999</v>
      </c>
      <c r="R453">
        <f t="shared" si="976"/>
        <v>-91822.488278512013</v>
      </c>
      <c r="S453">
        <f t="shared" si="977"/>
        <v>-0.91822488278512016</v>
      </c>
      <c r="T453">
        <f t="shared" si="978"/>
        <v>-9.1822488278512011E-4</v>
      </c>
    </row>
    <row r="454" spans="1:20" x14ac:dyDescent="0.25">
      <c r="A454" s="5">
        <v>44139</v>
      </c>
      <c r="B454">
        <v>12.170999999999999</v>
      </c>
      <c r="C454">
        <v>13.35</v>
      </c>
      <c r="D454">
        <v>12.170999999999999</v>
      </c>
      <c r="E454">
        <v>13</v>
      </c>
      <c r="F454">
        <v>12950.173000000001</v>
      </c>
      <c r="G454">
        <v>0</v>
      </c>
      <c r="L454" t="s">
        <v>8</v>
      </c>
      <c r="M454" t="s">
        <v>8</v>
      </c>
      <c r="N454" t="s">
        <v>7</v>
      </c>
      <c r="P454">
        <f t="shared" ref="P454:P517" si="979">IF(C454=D454,0,((E454-D454)-(C454-E454))/(C454-D454))</f>
        <v>0.40627650551314748</v>
      </c>
      <c r="Q454">
        <f t="shared" ref="Q454:Q517" si="980">F454*P454</f>
        <v>5261.3510322307138</v>
      </c>
      <c r="R454">
        <f t="shared" ref="R454:R517" si="981">R455+Q454</f>
        <v>-115841.14327851201</v>
      </c>
      <c r="S454">
        <f t="shared" ref="S454:S517" si="982">R454/100000</f>
        <v>-1.15841143278512</v>
      </c>
      <c r="T454">
        <f t="shared" ref="T454:T517" si="983">S454/1000</f>
        <v>-1.1584114327851201E-3</v>
      </c>
    </row>
    <row r="455" spans="1:20" x14ac:dyDescent="0.25">
      <c r="A455" s="5">
        <v>44138</v>
      </c>
      <c r="B455">
        <v>11.742000000000001</v>
      </c>
      <c r="C455">
        <v>12.672000000000001</v>
      </c>
      <c r="D455">
        <v>11.568</v>
      </c>
      <c r="E455">
        <v>12.148999999999999</v>
      </c>
      <c r="F455">
        <v>12484.021000000001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5.2536231884056164E-2</v>
      </c>
      <c r="Q455">
        <f t="shared" si="980"/>
        <v>655.86342210142675</v>
      </c>
      <c r="R455">
        <f t="shared" si="981"/>
        <v>-121102.49431074272</v>
      </c>
      <c r="S455">
        <f t="shared" si="982"/>
        <v>-1.2110249431074271</v>
      </c>
      <c r="T455">
        <f t="shared" si="983"/>
        <v>-1.2110249431074272E-3</v>
      </c>
    </row>
    <row r="456" spans="1:20" x14ac:dyDescent="0.25">
      <c r="A456" s="5">
        <v>44137</v>
      </c>
      <c r="B456">
        <v>12.401999999999999</v>
      </c>
      <c r="C456">
        <v>12.672000000000001</v>
      </c>
      <c r="D456">
        <v>11.6</v>
      </c>
      <c r="E456">
        <v>11.76</v>
      </c>
      <c r="F456">
        <v>5998.3559999999998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-0.70149253731343286</v>
      </c>
      <c r="Q456">
        <f t="shared" si="980"/>
        <v>-4207.801970149254</v>
      </c>
      <c r="R456">
        <f t="shared" si="981"/>
        <v>-121758.35773284415</v>
      </c>
      <c r="S456">
        <f t="shared" si="982"/>
        <v>-1.2175835773284414</v>
      </c>
      <c r="T456">
        <f t="shared" si="983"/>
        <v>-1.2175835773284413E-3</v>
      </c>
    </row>
    <row r="457" spans="1:20" x14ac:dyDescent="0.25">
      <c r="A457" s="5">
        <v>44136</v>
      </c>
      <c r="B457">
        <v>12.38</v>
      </c>
      <c r="C457">
        <v>12.792999999999999</v>
      </c>
      <c r="D457">
        <v>11.991</v>
      </c>
      <c r="E457">
        <v>12.401999999999999</v>
      </c>
      <c r="F457">
        <v>2351.0120000000002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2.4937655860348608E-2</v>
      </c>
      <c r="Q457">
        <f t="shared" si="980"/>
        <v>58.628728179549903</v>
      </c>
      <c r="R457">
        <f t="shared" si="981"/>
        <v>-117550.55576269489</v>
      </c>
      <c r="S457">
        <f t="shared" si="982"/>
        <v>-1.1755055576269489</v>
      </c>
      <c r="T457">
        <f t="shared" si="983"/>
        <v>-1.1755055576269488E-3</v>
      </c>
    </row>
    <row r="458" spans="1:20" x14ac:dyDescent="0.25">
      <c r="A458" s="5">
        <v>44135</v>
      </c>
      <c r="B458">
        <v>11.897</v>
      </c>
      <c r="C458">
        <v>12.61</v>
      </c>
      <c r="D458">
        <v>11.702</v>
      </c>
      <c r="E458">
        <v>12.262</v>
      </c>
      <c r="F458">
        <v>6186.8459999999995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0.23348017621145556</v>
      </c>
      <c r="Q458">
        <f t="shared" si="980"/>
        <v>1444.5058942731389</v>
      </c>
      <c r="R458">
        <f t="shared" si="981"/>
        <v>-117609.18449087444</v>
      </c>
      <c r="S458">
        <f t="shared" si="982"/>
        <v>-1.1760918449087443</v>
      </c>
      <c r="T458">
        <f t="shared" si="983"/>
        <v>-1.1760918449087443E-3</v>
      </c>
    </row>
    <row r="459" spans="1:20" x14ac:dyDescent="0.25">
      <c r="A459" s="5">
        <v>44134</v>
      </c>
      <c r="B459">
        <v>11.962999999999999</v>
      </c>
      <c r="C459">
        <v>12.272</v>
      </c>
      <c r="D459">
        <v>11.324</v>
      </c>
      <c r="E459">
        <v>11.897</v>
      </c>
      <c r="F459">
        <v>2056.9879999999998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0.20886075949367122</v>
      </c>
      <c r="Q459">
        <f t="shared" si="980"/>
        <v>429.62407594936775</v>
      </c>
      <c r="R459">
        <f t="shared" si="981"/>
        <v>-119053.69038514758</v>
      </c>
      <c r="S459">
        <f t="shared" si="982"/>
        <v>-1.1905369038514757</v>
      </c>
      <c r="T459">
        <f t="shared" si="983"/>
        <v>-1.1905369038514757E-3</v>
      </c>
    </row>
    <row r="460" spans="1:20" x14ac:dyDescent="0.25">
      <c r="A460" s="5">
        <v>44133</v>
      </c>
      <c r="B460">
        <v>11.891999999999999</v>
      </c>
      <c r="C460">
        <v>12.7</v>
      </c>
      <c r="D460">
        <v>11.537000000000001</v>
      </c>
      <c r="E460">
        <v>11.89</v>
      </c>
      <c r="F460">
        <v>8556.2929999999997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-0.39294926913155592</v>
      </c>
      <c r="Q460">
        <f t="shared" si="980"/>
        <v>-3362.1890808254479</v>
      </c>
      <c r="R460">
        <f t="shared" si="981"/>
        <v>-119483.31446109695</v>
      </c>
      <c r="S460">
        <f t="shared" si="982"/>
        <v>-1.1948331446109695</v>
      </c>
      <c r="T460">
        <f t="shared" si="983"/>
        <v>-1.1948331446109694E-3</v>
      </c>
    </row>
    <row r="461" spans="1:20" x14ac:dyDescent="0.25">
      <c r="A461" s="5">
        <v>44132</v>
      </c>
      <c r="B461">
        <v>12.23</v>
      </c>
      <c r="C461">
        <v>12.444000000000001</v>
      </c>
      <c r="D461">
        <v>11.436999999999999</v>
      </c>
      <c r="E461">
        <v>11.965999999999999</v>
      </c>
      <c r="F461">
        <v>13488.956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5.0645481628598117E-2</v>
      </c>
      <c r="Q461">
        <f t="shared" si="980"/>
        <v>683.15467328696832</v>
      </c>
      <c r="R461">
        <f t="shared" si="981"/>
        <v>-116121.12538027149</v>
      </c>
      <c r="S461">
        <f t="shared" si="982"/>
        <v>-1.1612112538027148</v>
      </c>
      <c r="T461">
        <f t="shared" si="983"/>
        <v>-1.1612112538027148E-3</v>
      </c>
    </row>
    <row r="462" spans="1:20" x14ac:dyDescent="0.25">
      <c r="A462" s="5">
        <v>44131</v>
      </c>
      <c r="B462">
        <v>12.329000000000001</v>
      </c>
      <c r="C462">
        <v>12.598000000000001</v>
      </c>
      <c r="D462">
        <v>11.888</v>
      </c>
      <c r="E462">
        <v>12.193</v>
      </c>
      <c r="F462">
        <v>7348.884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-0.14084507042253705</v>
      </c>
      <c r="Q462">
        <f t="shared" si="980"/>
        <v>-1035.0540845070557</v>
      </c>
      <c r="R462">
        <f t="shared" si="981"/>
        <v>-116804.28005355845</v>
      </c>
      <c r="S462">
        <f t="shared" si="982"/>
        <v>-1.1680428005355845</v>
      </c>
      <c r="T462">
        <f t="shared" si="983"/>
        <v>-1.1680428005355844E-3</v>
      </c>
    </row>
    <row r="463" spans="1:20" x14ac:dyDescent="0.25">
      <c r="A463" s="5">
        <v>44130</v>
      </c>
      <c r="B463">
        <v>12.605</v>
      </c>
      <c r="C463">
        <v>12.712999999999999</v>
      </c>
      <c r="D463">
        <v>11.814</v>
      </c>
      <c r="E463">
        <v>12.242000000000001</v>
      </c>
      <c r="F463">
        <v>3520.5369999999998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-4.783092324805064E-2</v>
      </c>
      <c r="Q463">
        <f t="shared" si="980"/>
        <v>-168.39053503892245</v>
      </c>
      <c r="R463">
        <f t="shared" si="981"/>
        <v>-115769.2259690514</v>
      </c>
      <c r="S463">
        <f t="shared" si="982"/>
        <v>-1.1576922596905141</v>
      </c>
      <c r="T463">
        <f t="shared" si="983"/>
        <v>-1.1576922596905142E-3</v>
      </c>
    </row>
    <row r="464" spans="1:20" x14ac:dyDescent="0.25">
      <c r="A464" s="5">
        <v>44129</v>
      </c>
      <c r="B464">
        <v>12.670999999999999</v>
      </c>
      <c r="C464">
        <v>12.866</v>
      </c>
      <c r="D464">
        <v>12.262</v>
      </c>
      <c r="E464">
        <v>12.677</v>
      </c>
      <c r="F464">
        <v>2957.5120000000002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0.37417218543046254</v>
      </c>
      <c r="Q464">
        <f t="shared" si="980"/>
        <v>1106.6187284768182</v>
      </c>
      <c r="R464">
        <f t="shared" si="981"/>
        <v>-115600.83543401248</v>
      </c>
      <c r="S464">
        <f t="shared" si="982"/>
        <v>-1.1560083543401247</v>
      </c>
      <c r="T464">
        <f t="shared" si="983"/>
        <v>-1.1560083543401248E-3</v>
      </c>
    </row>
    <row r="465" spans="1:20" x14ac:dyDescent="0.25">
      <c r="A465" s="5">
        <v>44128</v>
      </c>
      <c r="B465">
        <v>12.526</v>
      </c>
      <c r="C465">
        <v>12.792</v>
      </c>
      <c r="D465">
        <v>12.500999999999999</v>
      </c>
      <c r="E465">
        <v>12.680999999999999</v>
      </c>
      <c r="F465">
        <v>3327.9760000000001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0.23711340206185214</v>
      </c>
      <c r="Q465">
        <f t="shared" si="980"/>
        <v>789.10771134019444</v>
      </c>
      <c r="R465">
        <f t="shared" si="981"/>
        <v>-116707.4541624893</v>
      </c>
      <c r="S465">
        <f t="shared" si="982"/>
        <v>-1.1670745416248931</v>
      </c>
      <c r="T465">
        <f t="shared" si="983"/>
        <v>-1.1670745416248931E-3</v>
      </c>
    </row>
    <row r="466" spans="1:20" x14ac:dyDescent="0.25">
      <c r="A466" s="5">
        <v>44127</v>
      </c>
      <c r="B466">
        <v>13.3</v>
      </c>
      <c r="C466">
        <v>13.346</v>
      </c>
      <c r="D466">
        <v>12.406000000000001</v>
      </c>
      <c r="E466">
        <v>12.599</v>
      </c>
      <c r="F466">
        <v>6902.6660000000002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-0.58936170212766015</v>
      </c>
      <c r="Q466">
        <f t="shared" si="980"/>
        <v>-4068.1669829787274</v>
      </c>
      <c r="R466">
        <f t="shared" si="981"/>
        <v>-117496.5618738295</v>
      </c>
      <c r="S466">
        <f t="shared" si="982"/>
        <v>-1.1749656187382951</v>
      </c>
      <c r="T466">
        <f t="shared" si="983"/>
        <v>-1.174965618738295E-3</v>
      </c>
    </row>
    <row r="467" spans="1:20" x14ac:dyDescent="0.25">
      <c r="A467" s="5">
        <v>44126</v>
      </c>
      <c r="B467">
        <v>12.497</v>
      </c>
      <c r="C467">
        <v>13.5</v>
      </c>
      <c r="D467">
        <v>12.497</v>
      </c>
      <c r="E467">
        <v>13.282999999999999</v>
      </c>
      <c r="F467">
        <v>13102.481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0.56729810568295014</v>
      </c>
      <c r="Q467">
        <f t="shared" si="980"/>
        <v>7433.0126510468463</v>
      </c>
      <c r="R467">
        <f t="shared" si="981"/>
        <v>-113428.39489085077</v>
      </c>
      <c r="S467">
        <f t="shared" si="982"/>
        <v>-1.1342839489085077</v>
      </c>
      <c r="T467">
        <f t="shared" si="983"/>
        <v>-1.1342839489085078E-3</v>
      </c>
    </row>
    <row r="468" spans="1:20" x14ac:dyDescent="0.25">
      <c r="A468" s="5">
        <v>44125</v>
      </c>
      <c r="B468">
        <v>11.839</v>
      </c>
      <c r="C468">
        <v>12.843</v>
      </c>
      <c r="D468">
        <v>11.74</v>
      </c>
      <c r="E468">
        <v>12.438000000000001</v>
      </c>
      <c r="F468">
        <v>9645.1650000000009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0.26563916591115239</v>
      </c>
      <c r="Q468">
        <f t="shared" si="980"/>
        <v>2562.1335856754404</v>
      </c>
      <c r="R468">
        <f t="shared" si="981"/>
        <v>-120861.40754189761</v>
      </c>
      <c r="S468">
        <f t="shared" si="982"/>
        <v>-1.208614075418976</v>
      </c>
      <c r="T468">
        <f t="shared" si="983"/>
        <v>-1.208614075418976E-3</v>
      </c>
    </row>
    <row r="469" spans="1:20" x14ac:dyDescent="0.25">
      <c r="A469" s="5">
        <v>44124</v>
      </c>
      <c r="B469">
        <v>12.23</v>
      </c>
      <c r="C469">
        <v>13.577</v>
      </c>
      <c r="D469">
        <v>11.621</v>
      </c>
      <c r="E469">
        <v>11.829000000000001</v>
      </c>
      <c r="F469">
        <v>22270.832999999999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-0.78732106339468277</v>
      </c>
      <c r="Q469">
        <f t="shared" si="980"/>
        <v>-17534.295920245393</v>
      </c>
      <c r="R469">
        <f t="shared" si="981"/>
        <v>-123423.54112757306</v>
      </c>
      <c r="S469">
        <f t="shared" si="982"/>
        <v>-1.2342354112757306</v>
      </c>
      <c r="T469">
        <f t="shared" si="983"/>
        <v>-1.2342354112757305E-3</v>
      </c>
    </row>
    <row r="470" spans="1:20" x14ac:dyDescent="0.25">
      <c r="A470" s="5">
        <v>44123</v>
      </c>
      <c r="B470">
        <v>12.103</v>
      </c>
      <c r="C470">
        <v>12.384</v>
      </c>
      <c r="D470">
        <v>11.917999999999999</v>
      </c>
      <c r="E470">
        <v>12.271000000000001</v>
      </c>
      <c r="F470">
        <v>2958.9929999999999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0.51502145922747089</v>
      </c>
      <c r="Q470">
        <f t="shared" si="980"/>
        <v>1523.9448927038718</v>
      </c>
      <c r="R470">
        <f t="shared" si="981"/>
        <v>-105889.24520732767</v>
      </c>
      <c r="S470">
        <f t="shared" si="982"/>
        <v>-1.0588924520732768</v>
      </c>
      <c r="T470">
        <f t="shared" si="983"/>
        <v>-1.0588924520732767E-3</v>
      </c>
    </row>
    <row r="471" spans="1:20" x14ac:dyDescent="0.25">
      <c r="A471" s="5">
        <v>44122</v>
      </c>
      <c r="B471">
        <v>12.433</v>
      </c>
      <c r="C471">
        <v>12.587</v>
      </c>
      <c r="D471">
        <v>11.999000000000001</v>
      </c>
      <c r="E471">
        <v>12.132</v>
      </c>
      <c r="F471">
        <v>6128.9129999999996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-0.54761904761905</v>
      </c>
      <c r="Q471">
        <f t="shared" si="980"/>
        <v>-3356.3095000000144</v>
      </c>
      <c r="R471">
        <f t="shared" si="981"/>
        <v>-107413.19010003154</v>
      </c>
      <c r="S471">
        <f t="shared" si="982"/>
        <v>-1.0741319010003154</v>
      </c>
      <c r="T471">
        <f t="shared" si="983"/>
        <v>-1.0741319010003155E-3</v>
      </c>
    </row>
    <row r="472" spans="1:20" x14ac:dyDescent="0.25">
      <c r="A472" s="5">
        <v>44121</v>
      </c>
      <c r="B472">
        <v>12.302</v>
      </c>
      <c r="C472">
        <v>13.699</v>
      </c>
      <c r="D472">
        <v>12.275</v>
      </c>
      <c r="E472">
        <v>12.337999999999999</v>
      </c>
      <c r="F472">
        <v>22680.491999999998</v>
      </c>
      <c r="G472">
        <v>0</v>
      </c>
      <c r="L472" t="s">
        <v>8</v>
      </c>
      <c r="M472" t="s">
        <v>8</v>
      </c>
      <c r="N472" t="s">
        <v>7</v>
      </c>
      <c r="P472">
        <f t="shared" si="979"/>
        <v>-0.91151685393258586</v>
      </c>
      <c r="Q472">
        <f t="shared" si="980"/>
        <v>-20673.650713483181</v>
      </c>
      <c r="R472">
        <f t="shared" si="981"/>
        <v>-104056.88060003152</v>
      </c>
      <c r="S472">
        <f t="shared" si="982"/>
        <v>-1.0405688060003153</v>
      </c>
      <c r="T472">
        <f t="shared" si="983"/>
        <v>-1.0405688060003153E-3</v>
      </c>
    </row>
    <row r="473" spans="1:20" x14ac:dyDescent="0.25">
      <c r="A473" s="5">
        <v>44120</v>
      </c>
      <c r="B473">
        <v>11.47</v>
      </c>
      <c r="C473">
        <v>12.608000000000001</v>
      </c>
      <c r="D473">
        <v>11.04</v>
      </c>
      <c r="E473">
        <v>12.231</v>
      </c>
      <c r="F473">
        <v>14082.633</v>
      </c>
      <c r="G473">
        <v>0</v>
      </c>
      <c r="L473" t="s">
        <v>8</v>
      </c>
      <c r="M473" t="s">
        <v>7</v>
      </c>
      <c r="N473" t="s">
        <v>7</v>
      </c>
      <c r="P473">
        <f t="shared" si="979"/>
        <v>0.51913265306122403</v>
      </c>
      <c r="Q473">
        <f t="shared" si="980"/>
        <v>7310.7546313775447</v>
      </c>
      <c r="R473">
        <f t="shared" si="981"/>
        <v>-83383.229886548346</v>
      </c>
      <c r="S473">
        <f t="shared" si="982"/>
        <v>-0.83383229886548349</v>
      </c>
      <c r="T473">
        <f t="shared" si="983"/>
        <v>-8.3383229886548353E-4</v>
      </c>
    </row>
    <row r="474" spans="1:20" x14ac:dyDescent="0.25">
      <c r="A474" s="5">
        <v>44119</v>
      </c>
      <c r="B474">
        <v>11.701000000000001</v>
      </c>
      <c r="C474">
        <v>11.717000000000001</v>
      </c>
      <c r="D474">
        <v>11.05</v>
      </c>
      <c r="E474">
        <v>11.47</v>
      </c>
      <c r="F474">
        <v>6080.9440000000004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0.25937031484257883</v>
      </c>
      <c r="Q474">
        <f t="shared" si="980"/>
        <v>1577.2163598200907</v>
      </c>
      <c r="R474">
        <f t="shared" si="981"/>
        <v>-90693.984517925885</v>
      </c>
      <c r="S474">
        <f t="shared" si="982"/>
        <v>-0.90693984517925885</v>
      </c>
      <c r="T474">
        <f t="shared" si="983"/>
        <v>-9.0693984517925888E-4</v>
      </c>
    </row>
    <row r="475" spans="1:20" x14ac:dyDescent="0.25">
      <c r="A475" s="5">
        <v>44118</v>
      </c>
      <c r="B475">
        <v>12.145</v>
      </c>
      <c r="C475">
        <v>12.247</v>
      </c>
      <c r="D475">
        <v>11.574</v>
      </c>
      <c r="E475">
        <v>11.702999999999999</v>
      </c>
      <c r="F475">
        <v>3411.0320000000002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-0.61664190193165069</v>
      </c>
      <c r="Q475">
        <f t="shared" si="980"/>
        <v>-2103.3852600297223</v>
      </c>
      <c r="R475">
        <f t="shared" si="981"/>
        <v>-92271.200877745971</v>
      </c>
      <c r="S475">
        <f t="shared" si="982"/>
        <v>-0.92271200877745974</v>
      </c>
      <c r="T475">
        <f t="shared" si="983"/>
        <v>-9.2271200877745978E-4</v>
      </c>
    </row>
    <row r="476" spans="1:20" x14ac:dyDescent="0.25">
      <c r="A476" s="5">
        <v>44117</v>
      </c>
      <c r="B476">
        <v>12.180999999999999</v>
      </c>
      <c r="C476">
        <v>12.3</v>
      </c>
      <c r="D476">
        <v>11.872</v>
      </c>
      <c r="E476">
        <v>12.064</v>
      </c>
      <c r="F476">
        <v>3611.663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-0.10280373831775794</v>
      </c>
      <c r="Q476">
        <f t="shared" si="980"/>
        <v>-371.29245794392858</v>
      </c>
      <c r="R476">
        <f t="shared" si="981"/>
        <v>-90167.815617716245</v>
      </c>
      <c r="S476">
        <f t="shared" si="982"/>
        <v>-0.9016781561771624</v>
      </c>
      <c r="T476">
        <f t="shared" si="983"/>
        <v>-9.016781561771624E-4</v>
      </c>
    </row>
    <row r="477" spans="1:20" x14ac:dyDescent="0.25">
      <c r="A477" s="5">
        <v>44116</v>
      </c>
      <c r="B477">
        <v>12.25</v>
      </c>
      <c r="C477">
        <v>12.477</v>
      </c>
      <c r="D477">
        <v>11.823</v>
      </c>
      <c r="E477">
        <v>12.22</v>
      </c>
      <c r="F477">
        <v>10091.449000000001</v>
      </c>
      <c r="G477">
        <v>0</v>
      </c>
      <c r="L477" t="s">
        <v>7</v>
      </c>
      <c r="M477" t="s">
        <v>7</v>
      </c>
      <c r="N477" t="s">
        <v>7</v>
      </c>
      <c r="P477">
        <f t="shared" si="979"/>
        <v>0.21406727828746266</v>
      </c>
      <c r="Q477">
        <f t="shared" si="980"/>
        <v>2160.249021406737</v>
      </c>
      <c r="R477">
        <f t="shared" si="981"/>
        <v>-89796.523159772318</v>
      </c>
      <c r="S477">
        <f t="shared" si="982"/>
        <v>-0.89796523159772312</v>
      </c>
      <c r="T477">
        <f t="shared" si="983"/>
        <v>-8.9796523159772312E-4</v>
      </c>
    </row>
    <row r="478" spans="1:20" x14ac:dyDescent="0.25">
      <c r="A478" s="5">
        <v>44115</v>
      </c>
      <c r="B478">
        <v>12.384</v>
      </c>
      <c r="C478">
        <v>12.585000000000001</v>
      </c>
      <c r="D478">
        <v>12.122999999999999</v>
      </c>
      <c r="E478">
        <v>12.343</v>
      </c>
      <c r="F478">
        <v>9381.1769999999997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-4.7619047619047984E-2</v>
      </c>
      <c r="Q478">
        <f t="shared" si="980"/>
        <v>-446.7227142857177</v>
      </c>
      <c r="R478">
        <f t="shared" si="981"/>
        <v>-91956.772181179054</v>
      </c>
      <c r="S478">
        <f t="shared" si="982"/>
        <v>-0.91956772181179058</v>
      </c>
      <c r="T478">
        <f t="shared" si="983"/>
        <v>-9.1956772181179061E-4</v>
      </c>
    </row>
    <row r="479" spans="1:20" x14ac:dyDescent="0.25">
      <c r="A479" s="5">
        <v>44114</v>
      </c>
      <c r="B479">
        <v>12.384</v>
      </c>
      <c r="C479">
        <v>14.263</v>
      </c>
      <c r="D479">
        <v>12.259</v>
      </c>
      <c r="E479">
        <v>12.361000000000001</v>
      </c>
      <c r="F479">
        <v>27887.019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-0.8982035928143709</v>
      </c>
      <c r="Q479">
        <f t="shared" si="980"/>
        <v>-25048.220658682625</v>
      </c>
      <c r="R479">
        <f t="shared" si="981"/>
        <v>-91510.049466893339</v>
      </c>
      <c r="S479">
        <f t="shared" si="982"/>
        <v>-0.9151004946689334</v>
      </c>
      <c r="T479">
        <f t="shared" si="983"/>
        <v>-9.1510049466893338E-4</v>
      </c>
    </row>
    <row r="480" spans="1:20" x14ac:dyDescent="0.25">
      <c r="A480" s="5">
        <v>44113</v>
      </c>
      <c r="B480">
        <v>11.646000000000001</v>
      </c>
      <c r="C480">
        <v>12.459</v>
      </c>
      <c r="D480">
        <v>11.552</v>
      </c>
      <c r="E480">
        <v>12.311</v>
      </c>
      <c r="F480">
        <v>4641.6490000000003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0.67364939360529286</v>
      </c>
      <c r="Q480">
        <f t="shared" si="980"/>
        <v>3126.844034178614</v>
      </c>
      <c r="R480">
        <f t="shared" si="981"/>
        <v>-66461.828808210717</v>
      </c>
      <c r="S480">
        <f t="shared" si="982"/>
        <v>-0.66461828808210721</v>
      </c>
      <c r="T480">
        <f t="shared" si="983"/>
        <v>-6.6461828808210717E-4</v>
      </c>
    </row>
    <row r="481" spans="1:20" x14ac:dyDescent="0.25">
      <c r="A481" s="5">
        <v>44112</v>
      </c>
      <c r="B481">
        <v>11.276999999999999</v>
      </c>
      <c r="C481">
        <v>12.335000000000001</v>
      </c>
      <c r="D481">
        <v>11.204000000000001</v>
      </c>
      <c r="E481">
        <v>11.646000000000001</v>
      </c>
      <c r="F481">
        <v>15379.468000000001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-0.21839080459770099</v>
      </c>
      <c r="Q481">
        <f t="shared" si="980"/>
        <v>-3358.7343908045955</v>
      </c>
      <c r="R481">
        <f t="shared" si="981"/>
        <v>-69588.672842389336</v>
      </c>
      <c r="S481">
        <f t="shared" si="982"/>
        <v>-0.69588672842389332</v>
      </c>
      <c r="T481">
        <f t="shared" si="983"/>
        <v>-6.958867284238933E-4</v>
      </c>
    </row>
    <row r="482" spans="1:20" x14ac:dyDescent="0.25">
      <c r="A482" s="5">
        <v>44111</v>
      </c>
      <c r="B482">
        <v>11.191000000000001</v>
      </c>
      <c r="C482">
        <v>11.340999999999999</v>
      </c>
      <c r="D482">
        <v>11.129</v>
      </c>
      <c r="E482">
        <v>11.313000000000001</v>
      </c>
      <c r="F482">
        <v>2030.1379999999999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0.73584905660378563</v>
      </c>
      <c r="Q482">
        <f t="shared" si="980"/>
        <v>1493.8751320754961</v>
      </c>
      <c r="R482">
        <f t="shared" si="981"/>
        <v>-66229.938451584734</v>
      </c>
      <c r="S482">
        <f t="shared" si="982"/>
        <v>-0.66229938451584736</v>
      </c>
      <c r="T482">
        <f t="shared" si="983"/>
        <v>-6.6229938451584731E-4</v>
      </c>
    </row>
    <row r="483" spans="1:20" x14ac:dyDescent="0.25">
      <c r="A483" s="5">
        <v>44110</v>
      </c>
      <c r="B483">
        <v>11.531000000000001</v>
      </c>
      <c r="C483">
        <v>11.613</v>
      </c>
      <c r="D483">
        <v>11.172000000000001</v>
      </c>
      <c r="E483">
        <v>11.191000000000001</v>
      </c>
      <c r="F483">
        <v>2998.5880000000002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-0.91383219954648442</v>
      </c>
      <c r="Q483">
        <f t="shared" si="980"/>
        <v>-2740.2062675736938</v>
      </c>
      <c r="R483">
        <f t="shared" si="981"/>
        <v>-67723.813583660231</v>
      </c>
      <c r="S483">
        <f t="shared" si="982"/>
        <v>-0.67723813583660231</v>
      </c>
      <c r="T483">
        <f t="shared" si="983"/>
        <v>-6.7723813583660231E-4</v>
      </c>
    </row>
    <row r="484" spans="1:20" x14ac:dyDescent="0.25">
      <c r="A484" s="5">
        <v>44109</v>
      </c>
      <c r="B484">
        <v>11.398</v>
      </c>
      <c r="C484">
        <v>11.534000000000001</v>
      </c>
      <c r="D484">
        <v>11.222</v>
      </c>
      <c r="E484">
        <v>11.534000000000001</v>
      </c>
      <c r="F484">
        <v>1219.623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1</v>
      </c>
      <c r="Q484">
        <f t="shared" si="980"/>
        <v>1219.623</v>
      </c>
      <c r="R484">
        <f t="shared" si="981"/>
        <v>-64983.607316086542</v>
      </c>
      <c r="S484">
        <f t="shared" si="982"/>
        <v>-0.64983607316086545</v>
      </c>
      <c r="T484">
        <f t="shared" si="983"/>
        <v>-6.4983607316086549E-4</v>
      </c>
    </row>
    <row r="485" spans="1:20" x14ac:dyDescent="0.25">
      <c r="A485" s="5">
        <v>44108</v>
      </c>
      <c r="B485">
        <v>11.648999999999999</v>
      </c>
      <c r="C485">
        <v>11.679</v>
      </c>
      <c r="D485">
        <v>11.121</v>
      </c>
      <c r="E485">
        <v>11.382999999999999</v>
      </c>
      <c r="F485">
        <v>5392.6289999999999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-6.0931899641581508E-2</v>
      </c>
      <c r="Q485">
        <f t="shared" si="980"/>
        <v>-328.58312903228205</v>
      </c>
      <c r="R485">
        <f t="shared" si="981"/>
        <v>-66203.230316086541</v>
      </c>
      <c r="S485">
        <f t="shared" si="982"/>
        <v>-0.66203230316086537</v>
      </c>
      <c r="T485">
        <f t="shared" si="983"/>
        <v>-6.6203230316086534E-4</v>
      </c>
    </row>
    <row r="486" spans="1:20" x14ac:dyDescent="0.25">
      <c r="A486" s="5">
        <v>44107</v>
      </c>
      <c r="B486">
        <v>11.387</v>
      </c>
      <c r="C486">
        <v>11.701000000000001</v>
      </c>
      <c r="D486">
        <v>11.387</v>
      </c>
      <c r="E486">
        <v>11.593</v>
      </c>
      <c r="F486">
        <v>1763.4069999999999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0.31210191082802219</v>
      </c>
      <c r="Q486">
        <f t="shared" si="980"/>
        <v>550.36269426751005</v>
      </c>
      <c r="R486">
        <f t="shared" si="981"/>
        <v>-65874.647187054259</v>
      </c>
      <c r="S486">
        <f t="shared" si="982"/>
        <v>-0.65874647187054258</v>
      </c>
      <c r="T486">
        <f t="shared" si="983"/>
        <v>-6.5874647187054262E-4</v>
      </c>
    </row>
    <row r="487" spans="1:20" x14ac:dyDescent="0.25">
      <c r="A487" s="5">
        <v>44106</v>
      </c>
      <c r="B487">
        <v>11.795999999999999</v>
      </c>
      <c r="C487">
        <v>11.859</v>
      </c>
      <c r="D487">
        <v>11.222</v>
      </c>
      <c r="E487">
        <v>11.387</v>
      </c>
      <c r="F487">
        <v>4332.027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-0.48194662480376516</v>
      </c>
      <c r="Q487">
        <f t="shared" si="980"/>
        <v>-2087.8057912087802</v>
      </c>
      <c r="R487">
        <f t="shared" si="981"/>
        <v>-66425.009881321763</v>
      </c>
      <c r="S487">
        <f t="shared" si="982"/>
        <v>-0.66425009881321762</v>
      </c>
      <c r="T487">
        <f t="shared" si="983"/>
        <v>-6.6425009881321761E-4</v>
      </c>
    </row>
    <row r="488" spans="1:20" x14ac:dyDescent="0.25">
      <c r="A488" s="5">
        <v>44105</v>
      </c>
      <c r="B488">
        <v>11.692</v>
      </c>
      <c r="C488">
        <v>12.146000000000001</v>
      </c>
      <c r="D488">
        <v>11.632</v>
      </c>
      <c r="E488">
        <v>11.816000000000001</v>
      </c>
      <c r="F488">
        <v>4129.6909999999998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-0.28404669260700138</v>
      </c>
      <c r="Q488">
        <f t="shared" si="980"/>
        <v>-1173.0250700389001</v>
      </c>
      <c r="R488">
        <f t="shared" si="981"/>
        <v>-64337.204090112988</v>
      </c>
      <c r="S488">
        <f t="shared" si="982"/>
        <v>-0.64337204090112987</v>
      </c>
      <c r="T488">
        <f t="shared" si="983"/>
        <v>-6.4337204090112983E-4</v>
      </c>
    </row>
    <row r="489" spans="1:20" x14ac:dyDescent="0.25">
      <c r="A489" s="5">
        <v>44104</v>
      </c>
      <c r="B489">
        <v>11.993</v>
      </c>
      <c r="C489">
        <v>12.448</v>
      </c>
      <c r="D489">
        <v>11.500999999999999</v>
      </c>
      <c r="E489">
        <v>11.673</v>
      </c>
      <c r="F489">
        <v>5652.6660000000002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-0.6367476240760287</v>
      </c>
      <c r="Q489">
        <f t="shared" si="980"/>
        <v>-3599.321645195349</v>
      </c>
      <c r="R489">
        <f t="shared" si="981"/>
        <v>-63164.179020074087</v>
      </c>
      <c r="S489">
        <f t="shared" si="982"/>
        <v>-0.63164179020074085</v>
      </c>
      <c r="T489">
        <f t="shared" si="983"/>
        <v>-6.3164179020074084E-4</v>
      </c>
    </row>
    <row r="490" spans="1:20" x14ac:dyDescent="0.25">
      <c r="A490" s="5">
        <v>44103</v>
      </c>
      <c r="B490">
        <v>11.858000000000001</v>
      </c>
      <c r="C490">
        <v>12.081</v>
      </c>
      <c r="D490">
        <v>11.576000000000001</v>
      </c>
      <c r="E490">
        <v>11.994999999999999</v>
      </c>
      <c r="F490">
        <v>6477.9210000000003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0.65940594059405755</v>
      </c>
      <c r="Q490">
        <f t="shared" si="980"/>
        <v>4271.5795900989979</v>
      </c>
      <c r="R490">
        <f t="shared" si="981"/>
        <v>-59564.857374878738</v>
      </c>
      <c r="S490">
        <f t="shared" si="982"/>
        <v>-0.59564857374878744</v>
      </c>
      <c r="T490">
        <f t="shared" si="983"/>
        <v>-5.9564857374878747E-4</v>
      </c>
    </row>
    <row r="491" spans="1:20" x14ac:dyDescent="0.25">
      <c r="A491" s="5">
        <v>44102</v>
      </c>
      <c r="B491">
        <v>11.952999999999999</v>
      </c>
      <c r="C491">
        <v>12.15</v>
      </c>
      <c r="D491">
        <v>11.69</v>
      </c>
      <c r="E491">
        <v>11.853999999999999</v>
      </c>
      <c r="F491">
        <v>5515.7089999999998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-0.28695652173913305</v>
      </c>
      <c r="Q491">
        <f t="shared" si="980"/>
        <v>-1582.7686695652317</v>
      </c>
      <c r="R491">
        <f t="shared" si="981"/>
        <v>-63836.436964977736</v>
      </c>
      <c r="S491">
        <f t="shared" si="982"/>
        <v>-0.63836436964977739</v>
      </c>
      <c r="T491">
        <f t="shared" si="983"/>
        <v>-6.3836436964977736E-4</v>
      </c>
    </row>
    <row r="492" spans="1:20" x14ac:dyDescent="0.25">
      <c r="A492" s="5">
        <v>44101</v>
      </c>
      <c r="B492">
        <v>12.122999999999999</v>
      </c>
      <c r="C492">
        <v>12.35</v>
      </c>
      <c r="D492">
        <v>11.7</v>
      </c>
      <c r="E492">
        <v>11.944000000000001</v>
      </c>
      <c r="F492">
        <v>3840.2489999999998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-0.24923076923076487</v>
      </c>
      <c r="Q492">
        <f t="shared" si="980"/>
        <v>-957.10821230767556</v>
      </c>
      <c r="R492">
        <f t="shared" si="981"/>
        <v>-62253.668295412506</v>
      </c>
      <c r="S492">
        <f t="shared" si="982"/>
        <v>-0.62253668295412501</v>
      </c>
      <c r="T492">
        <f t="shared" si="983"/>
        <v>-6.2253668295412503E-4</v>
      </c>
    </row>
    <row r="493" spans="1:20" x14ac:dyDescent="0.25">
      <c r="A493" s="5">
        <v>44100</v>
      </c>
      <c r="B493">
        <v>12.106999999999999</v>
      </c>
      <c r="C493">
        <v>12.346</v>
      </c>
      <c r="D493">
        <v>11.718999999999999</v>
      </c>
      <c r="E493">
        <v>12.112</v>
      </c>
      <c r="F493">
        <v>4092.2379999999998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0.25358851674641231</v>
      </c>
      <c r="Q493">
        <f t="shared" si="980"/>
        <v>1037.7445645933049</v>
      </c>
      <c r="R493">
        <f t="shared" si="981"/>
        <v>-61296.560083104829</v>
      </c>
      <c r="S493">
        <f t="shared" si="982"/>
        <v>-0.61296560083104834</v>
      </c>
      <c r="T493">
        <f t="shared" si="983"/>
        <v>-6.1296560083104836E-4</v>
      </c>
    </row>
    <row r="494" spans="1:20" x14ac:dyDescent="0.25">
      <c r="A494" s="5">
        <v>44099</v>
      </c>
      <c r="B494">
        <v>11.738</v>
      </c>
      <c r="C494">
        <v>12.401999999999999</v>
      </c>
      <c r="D494">
        <v>11.367000000000001</v>
      </c>
      <c r="E494">
        <v>12.063000000000001</v>
      </c>
      <c r="F494">
        <v>15178.146000000001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0.34492753623188566</v>
      </c>
      <c r="Q494">
        <f t="shared" si="980"/>
        <v>5235.360504347851</v>
      </c>
      <c r="R494">
        <f t="shared" si="981"/>
        <v>-62334.304647698133</v>
      </c>
      <c r="S494">
        <f t="shared" si="982"/>
        <v>-0.62334304647698136</v>
      </c>
      <c r="T494">
        <f t="shared" si="983"/>
        <v>-6.2334304647698139E-4</v>
      </c>
    </row>
    <row r="495" spans="1:20" x14ac:dyDescent="0.25">
      <c r="A495" s="5">
        <v>44098</v>
      </c>
      <c r="B495">
        <v>11</v>
      </c>
      <c r="C495">
        <v>11.737</v>
      </c>
      <c r="D495">
        <v>10.997999999999999</v>
      </c>
      <c r="E495">
        <v>11.737</v>
      </c>
      <c r="F495">
        <v>5662.5609999999997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1</v>
      </c>
      <c r="Q495">
        <f t="shared" si="980"/>
        <v>5662.5609999999997</v>
      </c>
      <c r="R495">
        <f t="shared" si="981"/>
        <v>-67569.665152045985</v>
      </c>
      <c r="S495">
        <f t="shared" si="982"/>
        <v>-0.67569665152045988</v>
      </c>
      <c r="T495">
        <f t="shared" si="983"/>
        <v>-6.7569665152045991E-4</v>
      </c>
    </row>
    <row r="496" spans="1:20" x14ac:dyDescent="0.25">
      <c r="A496" s="5">
        <v>44097</v>
      </c>
      <c r="B496">
        <v>11.505000000000001</v>
      </c>
      <c r="C496">
        <v>12.337999999999999</v>
      </c>
      <c r="D496">
        <v>11.038</v>
      </c>
      <c r="E496">
        <v>11.038</v>
      </c>
      <c r="F496">
        <v>12383.741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-1</v>
      </c>
      <c r="Q496">
        <f t="shared" si="980"/>
        <v>-12383.741</v>
      </c>
      <c r="R496">
        <f t="shared" si="981"/>
        <v>-73232.226152045987</v>
      </c>
      <c r="S496">
        <f t="shared" si="982"/>
        <v>-0.73232226152045987</v>
      </c>
      <c r="T496">
        <f t="shared" si="983"/>
        <v>-7.323222615204599E-4</v>
      </c>
    </row>
    <row r="497" spans="1:20" x14ac:dyDescent="0.25">
      <c r="A497" s="5">
        <v>44096</v>
      </c>
      <c r="B497">
        <v>11.284000000000001</v>
      </c>
      <c r="C497">
        <v>11.659000000000001</v>
      </c>
      <c r="D497">
        <v>11.16</v>
      </c>
      <c r="E497">
        <v>11.423999999999999</v>
      </c>
      <c r="F497">
        <v>6257.27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5.8116232464926067E-2</v>
      </c>
      <c r="Q497">
        <f t="shared" si="980"/>
        <v>363.64895791580796</v>
      </c>
      <c r="R497">
        <f t="shared" si="981"/>
        <v>-60848.485152045992</v>
      </c>
      <c r="S497">
        <f t="shared" si="982"/>
        <v>-0.60848485152045995</v>
      </c>
      <c r="T497">
        <f t="shared" si="983"/>
        <v>-6.0848485152045989E-4</v>
      </c>
    </row>
    <row r="498" spans="1:20" x14ac:dyDescent="0.25">
      <c r="A498" s="5">
        <v>44095</v>
      </c>
      <c r="B498">
        <v>12.571</v>
      </c>
      <c r="C498">
        <v>12.984</v>
      </c>
      <c r="D498">
        <v>11.071</v>
      </c>
      <c r="E498">
        <v>11.387</v>
      </c>
      <c r="F498">
        <v>13393.084999999999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-0.66962885520125381</v>
      </c>
      <c r="Q498">
        <f t="shared" si="980"/>
        <v>-8968.3961761630835</v>
      </c>
      <c r="R498">
        <f t="shared" si="981"/>
        <v>-61212.1341099618</v>
      </c>
      <c r="S498">
        <f t="shared" si="982"/>
        <v>-0.61212134109961802</v>
      </c>
      <c r="T498">
        <f t="shared" si="983"/>
        <v>-6.1212134109961804E-4</v>
      </c>
    </row>
    <row r="499" spans="1:20" x14ac:dyDescent="0.25">
      <c r="A499" s="5">
        <v>44094</v>
      </c>
      <c r="B499">
        <v>13.103</v>
      </c>
      <c r="C499">
        <v>13.118</v>
      </c>
      <c r="D499">
        <v>12.382999999999999</v>
      </c>
      <c r="E499">
        <v>12.659000000000001</v>
      </c>
      <c r="F499">
        <v>2878.0770000000002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-0.24897959183673163</v>
      </c>
      <c r="Q499">
        <f t="shared" si="980"/>
        <v>-716.58243673468507</v>
      </c>
      <c r="R499">
        <f t="shared" si="981"/>
        <v>-52243.737933798715</v>
      </c>
      <c r="S499">
        <f t="shared" si="982"/>
        <v>-0.52243737933798717</v>
      </c>
      <c r="T499">
        <f t="shared" si="983"/>
        <v>-5.2243737933798718E-4</v>
      </c>
    </row>
    <row r="500" spans="1:20" x14ac:dyDescent="0.25">
      <c r="A500" s="5">
        <v>44093</v>
      </c>
      <c r="B500">
        <v>12.673</v>
      </c>
      <c r="C500">
        <v>13.276999999999999</v>
      </c>
      <c r="D500">
        <v>12.601000000000001</v>
      </c>
      <c r="E500">
        <v>13.103</v>
      </c>
      <c r="F500">
        <v>5199.4520000000002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0.48520710059171623</v>
      </c>
      <c r="Q500">
        <f t="shared" si="980"/>
        <v>2522.8110295858</v>
      </c>
      <c r="R500">
        <f t="shared" si="981"/>
        <v>-51527.155497064028</v>
      </c>
      <c r="S500">
        <f t="shared" si="982"/>
        <v>-0.51527155497064026</v>
      </c>
      <c r="T500">
        <f t="shared" si="983"/>
        <v>-5.1527155497064028E-4</v>
      </c>
    </row>
    <row r="501" spans="1:20" x14ac:dyDescent="0.25">
      <c r="A501" s="5">
        <v>44092</v>
      </c>
      <c r="B501">
        <v>13.686999999999999</v>
      </c>
      <c r="C501">
        <v>13.957000000000001</v>
      </c>
      <c r="D501">
        <v>12.5</v>
      </c>
      <c r="E501">
        <v>12.596</v>
      </c>
      <c r="F501">
        <v>15528.825000000001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-0.86822237474262176</v>
      </c>
      <c r="Q501">
        <f t="shared" si="980"/>
        <v>-13482.473318462595</v>
      </c>
      <c r="R501">
        <f t="shared" si="981"/>
        <v>-54049.966526649827</v>
      </c>
      <c r="S501">
        <f t="shared" si="982"/>
        <v>-0.54049966526649829</v>
      </c>
      <c r="T501">
        <f t="shared" si="983"/>
        <v>-5.4049966526649831E-4</v>
      </c>
    </row>
    <row r="502" spans="1:20" x14ac:dyDescent="0.25">
      <c r="A502" s="5">
        <v>44091</v>
      </c>
      <c r="B502">
        <v>13.962999999999999</v>
      </c>
      <c r="C502">
        <v>14.361000000000001</v>
      </c>
      <c r="D502">
        <v>13.417999999999999</v>
      </c>
      <c r="E502">
        <v>13.728</v>
      </c>
      <c r="F502">
        <v>6307.5739999999996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-0.34252386002120883</v>
      </c>
      <c r="Q502">
        <f t="shared" si="980"/>
        <v>-2160.4945938494161</v>
      </c>
      <c r="R502">
        <f t="shared" si="981"/>
        <v>-40567.493208187232</v>
      </c>
      <c r="S502">
        <f t="shared" si="982"/>
        <v>-0.40567493208187233</v>
      </c>
      <c r="T502">
        <f t="shared" si="983"/>
        <v>-4.0567493208187232E-4</v>
      </c>
    </row>
    <row r="503" spans="1:20" x14ac:dyDescent="0.25">
      <c r="A503" s="5">
        <v>44090</v>
      </c>
      <c r="B503">
        <v>13.747999999999999</v>
      </c>
      <c r="C503">
        <v>14.087</v>
      </c>
      <c r="D503">
        <v>13.186999999999999</v>
      </c>
      <c r="E503">
        <v>14.010999999999999</v>
      </c>
      <c r="F503">
        <v>5201.433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0.83111111111111002</v>
      </c>
      <c r="Q503">
        <f t="shared" si="980"/>
        <v>4322.9687599999943</v>
      </c>
      <c r="R503">
        <f t="shared" si="981"/>
        <v>-38406.998614337819</v>
      </c>
      <c r="S503">
        <f t="shared" si="982"/>
        <v>-0.38406998614337817</v>
      </c>
      <c r="T503">
        <f t="shared" si="983"/>
        <v>-3.8406998614337818E-4</v>
      </c>
    </row>
    <row r="504" spans="1:20" x14ac:dyDescent="0.25">
      <c r="A504" s="5">
        <v>44089</v>
      </c>
      <c r="B504">
        <v>13.999000000000001</v>
      </c>
      <c r="C504">
        <v>14.194000000000001</v>
      </c>
      <c r="D504">
        <v>13.638</v>
      </c>
      <c r="E504">
        <v>13.638</v>
      </c>
      <c r="F504">
        <v>2938.837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-1</v>
      </c>
      <c r="Q504">
        <f t="shared" si="980"/>
        <v>-2938.837</v>
      </c>
      <c r="R504">
        <f t="shared" si="981"/>
        <v>-42729.967374337815</v>
      </c>
      <c r="S504">
        <f t="shared" si="982"/>
        <v>-0.42729967374337813</v>
      </c>
      <c r="T504">
        <f t="shared" si="983"/>
        <v>-4.2729967374337811E-4</v>
      </c>
    </row>
    <row r="505" spans="1:20" x14ac:dyDescent="0.25">
      <c r="A505" s="5">
        <v>44088</v>
      </c>
      <c r="B505">
        <v>14.273</v>
      </c>
      <c r="C505">
        <v>14.282</v>
      </c>
      <c r="D505">
        <v>13.327</v>
      </c>
      <c r="E505">
        <v>14</v>
      </c>
      <c r="F505">
        <v>7584.1170000000002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0.40942408376963352</v>
      </c>
      <c r="Q505">
        <f t="shared" si="980"/>
        <v>3105.1201539267017</v>
      </c>
      <c r="R505">
        <f t="shared" si="981"/>
        <v>-39791.130374337816</v>
      </c>
      <c r="S505">
        <f t="shared" si="982"/>
        <v>-0.39791130374337813</v>
      </c>
      <c r="T505">
        <f t="shared" si="983"/>
        <v>-3.9791130374337814E-4</v>
      </c>
    </row>
    <row r="506" spans="1:20" x14ac:dyDescent="0.25">
      <c r="A506" s="5">
        <v>44087</v>
      </c>
      <c r="B506">
        <v>14.773</v>
      </c>
      <c r="C506">
        <v>14.856999999999999</v>
      </c>
      <c r="D506">
        <v>13.555999999999999</v>
      </c>
      <c r="E506">
        <v>14.178000000000001</v>
      </c>
      <c r="F506">
        <v>10591.116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-4.3812451960028302E-2</v>
      </c>
      <c r="Q506">
        <f t="shared" si="980"/>
        <v>-464.02276095308713</v>
      </c>
      <c r="R506">
        <f t="shared" si="981"/>
        <v>-42896.250528264514</v>
      </c>
      <c r="S506">
        <f t="shared" si="982"/>
        <v>-0.42896250528264512</v>
      </c>
      <c r="T506">
        <f t="shared" si="983"/>
        <v>-4.2896250528264511E-4</v>
      </c>
    </row>
    <row r="507" spans="1:20" x14ac:dyDescent="0.25">
      <c r="A507" s="5">
        <v>44086</v>
      </c>
      <c r="B507">
        <v>14.545</v>
      </c>
      <c r="C507">
        <v>14.802</v>
      </c>
      <c r="D507">
        <v>14.193</v>
      </c>
      <c r="E507">
        <v>14.666</v>
      </c>
      <c r="F507">
        <v>9889.9959999999992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0.55336617405583177</v>
      </c>
      <c r="Q507">
        <f t="shared" si="980"/>
        <v>5472.7892479474795</v>
      </c>
      <c r="R507">
        <f t="shared" si="981"/>
        <v>-42432.227767311429</v>
      </c>
      <c r="S507">
        <f t="shared" si="982"/>
        <v>-0.42432227767311431</v>
      </c>
      <c r="T507">
        <f t="shared" si="983"/>
        <v>-4.243222776731143E-4</v>
      </c>
    </row>
    <row r="508" spans="1:20" x14ac:dyDescent="0.25">
      <c r="A508" s="5">
        <v>44085</v>
      </c>
      <c r="B508">
        <v>14.343</v>
      </c>
      <c r="C508">
        <v>14.843</v>
      </c>
      <c r="D508">
        <v>13.762</v>
      </c>
      <c r="E508">
        <v>14.666</v>
      </c>
      <c r="F508">
        <v>12431.26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0.67252543940795617</v>
      </c>
      <c r="Q508">
        <f t="shared" si="980"/>
        <v>8360.3385938945503</v>
      </c>
      <c r="R508">
        <f t="shared" si="981"/>
        <v>-47905.017015258905</v>
      </c>
      <c r="S508">
        <f t="shared" si="982"/>
        <v>-0.47905017015258905</v>
      </c>
      <c r="T508">
        <f t="shared" si="983"/>
        <v>-4.7905017015258903E-4</v>
      </c>
    </row>
    <row r="509" spans="1:20" x14ac:dyDescent="0.25">
      <c r="A509" s="5">
        <v>44084</v>
      </c>
      <c r="B509">
        <v>13.762</v>
      </c>
      <c r="C509">
        <v>14.343</v>
      </c>
      <c r="D509">
        <v>13.67</v>
      </c>
      <c r="E509">
        <v>14.343</v>
      </c>
      <c r="F509">
        <v>6665.21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1</v>
      </c>
      <c r="Q509">
        <f t="shared" si="980"/>
        <v>6665.21</v>
      </c>
      <c r="R509">
        <f t="shared" si="981"/>
        <v>-56265.355609153456</v>
      </c>
      <c r="S509">
        <f t="shared" si="982"/>
        <v>-0.56265355609153456</v>
      </c>
      <c r="T509">
        <f t="shared" si="983"/>
        <v>-5.6265355609153456E-4</v>
      </c>
    </row>
    <row r="510" spans="1:20" x14ac:dyDescent="0.25">
      <c r="A510" s="5">
        <v>44083</v>
      </c>
      <c r="B510">
        <v>13.238</v>
      </c>
      <c r="C510">
        <v>14.343</v>
      </c>
      <c r="D510">
        <v>12.989000000000001</v>
      </c>
      <c r="E510">
        <v>13.728</v>
      </c>
      <c r="F510">
        <v>8985.9089999999997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9.1580502215656459E-2</v>
      </c>
      <c r="Q510">
        <f t="shared" si="980"/>
        <v>822.93405908418731</v>
      </c>
      <c r="R510">
        <f t="shared" si="981"/>
        <v>-62930.565609153455</v>
      </c>
      <c r="S510">
        <f t="shared" si="982"/>
        <v>-0.62930565609153455</v>
      </c>
      <c r="T510">
        <f t="shared" si="983"/>
        <v>-6.2930565609153454E-4</v>
      </c>
    </row>
    <row r="511" spans="1:20" x14ac:dyDescent="0.25">
      <c r="A511" s="5">
        <v>44082</v>
      </c>
      <c r="B511">
        <v>13.688000000000001</v>
      </c>
      <c r="C511">
        <v>13.744999999999999</v>
      </c>
      <c r="D511">
        <v>12.57</v>
      </c>
      <c r="E511">
        <v>13.238</v>
      </c>
      <c r="F511">
        <v>5531.2139999999999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0.13702127659574445</v>
      </c>
      <c r="Q511">
        <f t="shared" si="980"/>
        <v>757.89400340425402</v>
      </c>
      <c r="R511">
        <f t="shared" si="981"/>
        <v>-63753.499668237644</v>
      </c>
      <c r="S511">
        <f t="shared" si="982"/>
        <v>-0.63753499668237645</v>
      </c>
      <c r="T511">
        <f t="shared" si="983"/>
        <v>-6.3753499668237643E-4</v>
      </c>
    </row>
    <row r="512" spans="1:20" x14ac:dyDescent="0.25">
      <c r="A512" s="5">
        <v>44081</v>
      </c>
      <c r="B512">
        <v>13.61</v>
      </c>
      <c r="C512">
        <v>13.94</v>
      </c>
      <c r="D512">
        <v>12.8</v>
      </c>
      <c r="E512">
        <v>13.579000000000001</v>
      </c>
      <c r="F512">
        <v>9442.1749999999993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0.36666666666666797</v>
      </c>
      <c r="Q512">
        <f t="shared" si="980"/>
        <v>3462.1308333333454</v>
      </c>
      <c r="R512">
        <f t="shared" si="981"/>
        <v>-64511.393671641898</v>
      </c>
      <c r="S512">
        <f t="shared" si="982"/>
        <v>-0.64511393671641892</v>
      </c>
      <c r="T512">
        <f t="shared" si="983"/>
        <v>-6.4511393671641895E-4</v>
      </c>
    </row>
    <row r="513" spans="1:20" x14ac:dyDescent="0.25">
      <c r="A513" s="5">
        <v>44080</v>
      </c>
      <c r="B513">
        <v>13.381</v>
      </c>
      <c r="C513">
        <v>13.78</v>
      </c>
      <c r="D513">
        <v>12.843999999999999</v>
      </c>
      <c r="E513">
        <v>13.702999999999999</v>
      </c>
      <c r="F513">
        <v>8162.4459999999999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0.8354700854700855</v>
      </c>
      <c r="Q513">
        <f t="shared" si="980"/>
        <v>6819.4794572649571</v>
      </c>
      <c r="R513">
        <f t="shared" si="981"/>
        <v>-67973.524504975241</v>
      </c>
      <c r="S513">
        <f t="shared" si="982"/>
        <v>-0.67973524504975236</v>
      </c>
      <c r="T513">
        <f t="shared" si="983"/>
        <v>-6.797352450497524E-4</v>
      </c>
    </row>
    <row r="514" spans="1:20" x14ac:dyDescent="0.25">
      <c r="A514" s="5">
        <v>44079</v>
      </c>
      <c r="B514">
        <v>14.013</v>
      </c>
      <c r="C514">
        <v>14.638</v>
      </c>
      <c r="D514">
        <v>12.846</v>
      </c>
      <c r="E514">
        <v>13.382</v>
      </c>
      <c r="F514">
        <v>8259.74</v>
      </c>
      <c r="G514">
        <v>0</v>
      </c>
      <c r="L514" t="s">
        <v>8</v>
      </c>
      <c r="M514" t="s">
        <v>7</v>
      </c>
      <c r="N514" t="s">
        <v>7</v>
      </c>
      <c r="P514">
        <f t="shared" si="979"/>
        <v>-0.40178571428571469</v>
      </c>
      <c r="Q514">
        <f t="shared" si="980"/>
        <v>-3318.6455357142891</v>
      </c>
      <c r="R514">
        <f t="shared" si="981"/>
        <v>-74793.003962240196</v>
      </c>
      <c r="S514">
        <f t="shared" si="982"/>
        <v>-0.74793003962240201</v>
      </c>
      <c r="T514">
        <f t="shared" si="983"/>
        <v>-7.4793003962240199E-4</v>
      </c>
    </row>
    <row r="515" spans="1:20" x14ac:dyDescent="0.25">
      <c r="A515" s="5">
        <v>44078</v>
      </c>
      <c r="B515">
        <v>13.28</v>
      </c>
      <c r="C515">
        <v>14.252000000000001</v>
      </c>
      <c r="D515">
        <v>13.109</v>
      </c>
      <c r="E515">
        <v>14.031000000000001</v>
      </c>
      <c r="F515">
        <v>12412.165999999999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0.61329833770778663</v>
      </c>
      <c r="Q515">
        <f t="shared" si="980"/>
        <v>7612.3607751531072</v>
      </c>
      <c r="R515">
        <f t="shared" si="981"/>
        <v>-71474.358426525912</v>
      </c>
      <c r="S515">
        <f t="shared" si="982"/>
        <v>-0.71474358426525908</v>
      </c>
      <c r="T515">
        <f t="shared" si="983"/>
        <v>-7.1474358426525911E-4</v>
      </c>
    </row>
    <row r="516" spans="1:20" x14ac:dyDescent="0.25">
      <c r="A516" s="5">
        <v>44077</v>
      </c>
      <c r="B516">
        <v>15.945</v>
      </c>
      <c r="C516">
        <v>16.114999999999998</v>
      </c>
      <c r="D516">
        <v>13.041</v>
      </c>
      <c r="E516">
        <v>13.257</v>
      </c>
      <c r="F516">
        <v>15841.619000000001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-0.85946649316851043</v>
      </c>
      <c r="Q516">
        <f t="shared" si="980"/>
        <v>-13615.340728041645</v>
      </c>
      <c r="R516">
        <f t="shared" si="981"/>
        <v>-79086.719201679021</v>
      </c>
      <c r="S516">
        <f t="shared" si="982"/>
        <v>-0.79086719201679023</v>
      </c>
      <c r="T516">
        <f t="shared" si="983"/>
        <v>-7.9086719201679027E-4</v>
      </c>
    </row>
    <row r="517" spans="1:20" x14ac:dyDescent="0.25">
      <c r="A517" s="5">
        <v>44076</v>
      </c>
      <c r="B517">
        <v>16.907</v>
      </c>
      <c r="C517">
        <v>17.021000000000001</v>
      </c>
      <c r="D517">
        <v>15.55</v>
      </c>
      <c r="E517">
        <v>15.944000000000001</v>
      </c>
      <c r="F517">
        <v>11682.271000000001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-0.4643099932019033</v>
      </c>
      <c r="Q517">
        <f t="shared" si="980"/>
        <v>-5424.1951685927925</v>
      </c>
      <c r="R517">
        <f t="shared" si="981"/>
        <v>-65471.378473637378</v>
      </c>
      <c r="S517">
        <f t="shared" si="982"/>
        <v>-0.65471378473637376</v>
      </c>
      <c r="T517">
        <f t="shared" si="983"/>
        <v>-6.5471378473637377E-4</v>
      </c>
    </row>
    <row r="518" spans="1:20" x14ac:dyDescent="0.25">
      <c r="A518" s="5">
        <v>44075</v>
      </c>
      <c r="B518">
        <v>17.062000000000001</v>
      </c>
      <c r="C518">
        <v>17.463999999999999</v>
      </c>
      <c r="D518">
        <v>16.643000000000001</v>
      </c>
      <c r="E518">
        <v>16.791</v>
      </c>
      <c r="F518">
        <v>14697.262000000001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-0.63946406820950052</v>
      </c>
      <c r="Q518">
        <f t="shared" ref="Q518:Q581" si="985">F518*P518</f>
        <v>-9398.3709500609002</v>
      </c>
      <c r="R518">
        <f t="shared" ref="R518:R581" si="986">R519+Q518</f>
        <v>-60047.183305044586</v>
      </c>
      <c r="S518">
        <f t="shared" ref="S518:S581" si="987">R518/100000</f>
        <v>-0.60047183305044582</v>
      </c>
      <c r="T518">
        <f t="shared" ref="T518:T581" si="988">S518/1000</f>
        <v>-6.0047183305044578E-4</v>
      </c>
    </row>
    <row r="519" spans="1:20" x14ac:dyDescent="0.25">
      <c r="A519" s="5">
        <v>44074</v>
      </c>
      <c r="B519">
        <v>17.405000000000001</v>
      </c>
      <c r="C519">
        <v>17.463000000000001</v>
      </c>
      <c r="D519">
        <v>16.46</v>
      </c>
      <c r="E519">
        <v>17.062000000000001</v>
      </c>
      <c r="F519">
        <v>10079.282999999999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0.20039880358923279</v>
      </c>
      <c r="Q519">
        <f t="shared" si="985"/>
        <v>2019.8762542372929</v>
      </c>
      <c r="R519">
        <f t="shared" si="986"/>
        <v>-50648.812354983689</v>
      </c>
      <c r="S519">
        <f t="shared" si="987"/>
        <v>-0.50648812354983686</v>
      </c>
      <c r="T519">
        <f t="shared" si="988"/>
        <v>-5.0648812354983684E-4</v>
      </c>
    </row>
    <row r="520" spans="1:20" x14ac:dyDescent="0.25">
      <c r="A520" s="5">
        <v>44073</v>
      </c>
      <c r="B520">
        <v>17.02</v>
      </c>
      <c r="C520">
        <v>17.446999999999999</v>
      </c>
      <c r="D520">
        <v>16.893000000000001</v>
      </c>
      <c r="E520">
        <v>17.38</v>
      </c>
      <c r="F520">
        <v>6664.2640000000001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0.75812274368230914</v>
      </c>
      <c r="Q520">
        <f t="shared" si="985"/>
        <v>5052.3301083032402</v>
      </c>
      <c r="R520">
        <f t="shared" si="986"/>
        <v>-52668.688609220982</v>
      </c>
      <c r="S520">
        <f t="shared" si="987"/>
        <v>-0.52668688609220982</v>
      </c>
      <c r="T520">
        <f t="shared" si="988"/>
        <v>-5.2668688609220987E-4</v>
      </c>
    </row>
    <row r="521" spans="1:20" x14ac:dyDescent="0.25">
      <c r="A521" s="5">
        <v>44072</v>
      </c>
      <c r="B521">
        <v>17.463999999999999</v>
      </c>
      <c r="C521">
        <v>17.670000000000002</v>
      </c>
      <c r="D521">
        <v>17</v>
      </c>
      <c r="E521">
        <v>17.128</v>
      </c>
      <c r="F521">
        <v>16626.428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-0.61791044776119464</v>
      </c>
      <c r="Q521">
        <f t="shared" si="985"/>
        <v>-10273.643570149265</v>
      </c>
      <c r="R521">
        <f t="shared" si="986"/>
        <v>-57721.018717524224</v>
      </c>
      <c r="S521">
        <f t="shared" si="987"/>
        <v>-0.5772101871752422</v>
      </c>
      <c r="T521">
        <f t="shared" si="988"/>
        <v>-5.772101871752422E-4</v>
      </c>
    </row>
    <row r="522" spans="1:20" x14ac:dyDescent="0.25">
      <c r="A522" s="5">
        <v>44071</v>
      </c>
      <c r="B522">
        <v>16.774000000000001</v>
      </c>
      <c r="C522">
        <v>17.713000000000001</v>
      </c>
      <c r="D522">
        <v>16.588999999999999</v>
      </c>
      <c r="E522">
        <v>17.405999999999999</v>
      </c>
      <c r="F522">
        <v>5931.8059999999996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0.45373665480426773</v>
      </c>
      <c r="Q522">
        <f t="shared" si="985"/>
        <v>2691.4778113878838</v>
      </c>
      <c r="R522">
        <f t="shared" si="986"/>
        <v>-47447.375147374958</v>
      </c>
      <c r="S522">
        <f t="shared" si="987"/>
        <v>-0.47447375147374959</v>
      </c>
      <c r="T522">
        <f t="shared" si="988"/>
        <v>-4.744737514737496E-4</v>
      </c>
    </row>
    <row r="523" spans="1:20" x14ac:dyDescent="0.25">
      <c r="A523" s="5">
        <v>44070</v>
      </c>
      <c r="B523">
        <v>17.989999999999998</v>
      </c>
      <c r="C523">
        <v>17.997</v>
      </c>
      <c r="D523">
        <v>16.324999999999999</v>
      </c>
      <c r="E523">
        <v>16.774999999999999</v>
      </c>
      <c r="F523">
        <v>10460.15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-0.46172248803827853</v>
      </c>
      <c r="Q523">
        <f t="shared" si="985"/>
        <v>-4829.6864832535994</v>
      </c>
      <c r="R523">
        <f t="shared" si="986"/>
        <v>-50138.852958762844</v>
      </c>
      <c r="S523">
        <f t="shared" si="987"/>
        <v>-0.50138852958762847</v>
      </c>
      <c r="T523">
        <f t="shared" si="988"/>
        <v>-5.0138852958762849E-4</v>
      </c>
    </row>
    <row r="524" spans="1:20" x14ac:dyDescent="0.25">
      <c r="A524" s="5">
        <v>44069</v>
      </c>
      <c r="B524">
        <v>17.510999999999999</v>
      </c>
      <c r="C524">
        <v>19.5</v>
      </c>
      <c r="D524">
        <v>17.253</v>
      </c>
      <c r="E524">
        <v>17.902999999999999</v>
      </c>
      <c r="F524">
        <v>7736.1130000000003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-0.42145082331998346</v>
      </c>
      <c r="Q524">
        <f t="shared" si="985"/>
        <v>-3260.3911931464272</v>
      </c>
      <c r="R524">
        <f t="shared" si="986"/>
        <v>-45309.166475509242</v>
      </c>
      <c r="S524">
        <f t="shared" si="987"/>
        <v>-0.45309166475509244</v>
      </c>
      <c r="T524">
        <f t="shared" si="988"/>
        <v>-4.5309166475509242E-4</v>
      </c>
    </row>
    <row r="525" spans="1:20" x14ac:dyDescent="0.25">
      <c r="A525" s="5">
        <v>44068</v>
      </c>
      <c r="B525">
        <v>19.222000000000001</v>
      </c>
      <c r="C525">
        <v>19.57</v>
      </c>
      <c r="D525">
        <v>16.553000000000001</v>
      </c>
      <c r="E525">
        <v>17.510999999999999</v>
      </c>
      <c r="F525">
        <v>20336.998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-0.36493205170699466</v>
      </c>
      <c r="Q525">
        <f t="shared" si="985"/>
        <v>-7421.6224057010468</v>
      </c>
      <c r="R525">
        <f t="shared" si="986"/>
        <v>-42048.775282362818</v>
      </c>
      <c r="S525">
        <f t="shared" si="987"/>
        <v>-0.42048775282362816</v>
      </c>
      <c r="T525">
        <f t="shared" si="988"/>
        <v>-4.2048775282362818E-4</v>
      </c>
    </row>
    <row r="526" spans="1:20" x14ac:dyDescent="0.25">
      <c r="A526" s="5">
        <v>44067</v>
      </c>
      <c r="B526">
        <v>19.614999999999998</v>
      </c>
      <c r="C526">
        <v>20.75</v>
      </c>
      <c r="D526">
        <v>18.535</v>
      </c>
      <c r="E526">
        <v>19.222000000000001</v>
      </c>
      <c r="F526">
        <v>22363.219000000001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-0.37968397291196276</v>
      </c>
      <c r="Q526">
        <f t="shared" si="985"/>
        <v>-8490.9558370202922</v>
      </c>
      <c r="R526">
        <f t="shared" si="986"/>
        <v>-34627.15287666177</v>
      </c>
      <c r="S526">
        <f t="shared" si="987"/>
        <v>-0.34627152876661771</v>
      </c>
      <c r="T526">
        <f t="shared" si="988"/>
        <v>-3.4627152876661772E-4</v>
      </c>
    </row>
    <row r="527" spans="1:20" x14ac:dyDescent="0.25">
      <c r="A527" s="5">
        <v>44066</v>
      </c>
      <c r="B527">
        <v>20.914000000000001</v>
      </c>
      <c r="C527">
        <v>21.74</v>
      </c>
      <c r="D527">
        <v>19.212</v>
      </c>
      <c r="E527">
        <v>19.693999999999999</v>
      </c>
      <c r="F527">
        <v>22506.257000000001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-0.61867088607594967</v>
      </c>
      <c r="Q527">
        <f t="shared" si="985"/>
        <v>-13923.965960443045</v>
      </c>
      <c r="R527">
        <f t="shared" si="986"/>
        <v>-26136.197039641476</v>
      </c>
      <c r="S527">
        <f t="shared" si="987"/>
        <v>-0.26136197039641479</v>
      </c>
      <c r="T527">
        <f t="shared" si="988"/>
        <v>-2.613619703964148E-4</v>
      </c>
    </row>
    <row r="528" spans="1:20" x14ac:dyDescent="0.25">
      <c r="A528" s="5">
        <v>44065</v>
      </c>
      <c r="B528">
        <v>17.765000000000001</v>
      </c>
      <c r="C528">
        <v>24.99</v>
      </c>
      <c r="D528">
        <v>17.600999999999999</v>
      </c>
      <c r="E528">
        <v>20.901</v>
      </c>
      <c r="F528">
        <v>121704.245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-0.10678034916768142</v>
      </c>
      <c r="Q528">
        <f t="shared" si="985"/>
        <v>-12995.621776289045</v>
      </c>
      <c r="R528">
        <f t="shared" si="986"/>
        <v>-12212.231079198431</v>
      </c>
      <c r="S528">
        <f t="shared" si="987"/>
        <v>-0.12212231079198431</v>
      </c>
      <c r="T528">
        <f t="shared" si="988"/>
        <v>-1.2212231079198431E-4</v>
      </c>
    </row>
    <row r="529" spans="1:20" x14ac:dyDescent="0.25">
      <c r="A529" s="5">
        <v>44064</v>
      </c>
      <c r="B529">
        <v>17.207999999999998</v>
      </c>
      <c r="C529">
        <v>19.25</v>
      </c>
      <c r="D529">
        <v>16.36</v>
      </c>
      <c r="E529">
        <v>17.829000000000001</v>
      </c>
      <c r="F529">
        <v>35248.811000000002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1.6608996539793013E-2</v>
      </c>
      <c r="Q529">
        <f t="shared" si="985"/>
        <v>585.44737993081787</v>
      </c>
      <c r="R529">
        <f t="shared" si="986"/>
        <v>783.39069709061357</v>
      </c>
      <c r="S529">
        <f t="shared" si="987"/>
        <v>7.8339069709061349E-3</v>
      </c>
      <c r="T529">
        <f t="shared" si="988"/>
        <v>7.8339069709061348E-6</v>
      </c>
    </row>
    <row r="530" spans="1:20" x14ac:dyDescent="0.25">
      <c r="A530" s="5">
        <v>44063</v>
      </c>
      <c r="B530">
        <v>16.71</v>
      </c>
      <c r="C530">
        <v>17.29</v>
      </c>
      <c r="D530">
        <v>16.433</v>
      </c>
      <c r="E530">
        <v>17.22</v>
      </c>
      <c r="F530">
        <v>5742.2650000000003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0.83663943990665035</v>
      </c>
      <c r="Q530">
        <f t="shared" si="985"/>
        <v>4804.2053733955618</v>
      </c>
      <c r="R530">
        <f t="shared" si="986"/>
        <v>197.9433171597957</v>
      </c>
      <c r="S530">
        <f t="shared" si="987"/>
        <v>1.9794331715979568E-3</v>
      </c>
      <c r="T530">
        <f t="shared" si="988"/>
        <v>1.9794331715979568E-6</v>
      </c>
    </row>
    <row r="531" spans="1:20" x14ac:dyDescent="0.25">
      <c r="A531" s="5">
        <v>44062</v>
      </c>
      <c r="B531">
        <v>17.001000000000001</v>
      </c>
      <c r="C531">
        <v>17.111000000000001</v>
      </c>
      <c r="D531">
        <v>16.111000000000001</v>
      </c>
      <c r="E531">
        <v>16.687000000000001</v>
      </c>
      <c r="F531">
        <v>10817.522999999999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0.15200000000000102</v>
      </c>
      <c r="Q531">
        <f t="shared" si="985"/>
        <v>1644.2634960000109</v>
      </c>
      <c r="R531">
        <f t="shared" si="986"/>
        <v>-4606.2620562357661</v>
      </c>
      <c r="S531">
        <f t="shared" si="987"/>
        <v>-4.6062620562357659E-2</v>
      </c>
      <c r="T531">
        <f t="shared" si="988"/>
        <v>-4.6062620562357659E-5</v>
      </c>
    </row>
    <row r="532" spans="1:20" x14ac:dyDescent="0.25">
      <c r="A532" s="5">
        <v>44061</v>
      </c>
      <c r="B532">
        <v>17.762</v>
      </c>
      <c r="C532">
        <v>18.16</v>
      </c>
      <c r="D532">
        <v>16.71</v>
      </c>
      <c r="E532">
        <v>16.995999999999999</v>
      </c>
      <c r="F532">
        <v>13550.63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-0.60551724137931318</v>
      </c>
      <c r="Q532">
        <f t="shared" si="985"/>
        <v>-8205.1400965517623</v>
      </c>
      <c r="R532">
        <f t="shared" si="986"/>
        <v>-6250.5255522357775</v>
      </c>
      <c r="S532">
        <f t="shared" si="987"/>
        <v>-6.2505255522357778E-2</v>
      </c>
      <c r="T532">
        <f t="shared" si="988"/>
        <v>-6.2505255522357774E-5</v>
      </c>
    </row>
    <row r="533" spans="1:20" x14ac:dyDescent="0.25">
      <c r="A533" s="5">
        <v>44060</v>
      </c>
      <c r="B533">
        <v>17.498999999999999</v>
      </c>
      <c r="C533">
        <v>18.5</v>
      </c>
      <c r="D533">
        <v>17.061</v>
      </c>
      <c r="E533">
        <v>17.684000000000001</v>
      </c>
      <c r="F533">
        <v>14278.272999999999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-0.13412091730368161</v>
      </c>
      <c r="Q533">
        <f t="shared" si="985"/>
        <v>-1915.0150722723899</v>
      </c>
      <c r="R533">
        <f t="shared" si="986"/>
        <v>1954.6145443159846</v>
      </c>
      <c r="S533">
        <f t="shared" si="987"/>
        <v>1.9546145443159847E-2</v>
      </c>
      <c r="T533">
        <f t="shared" si="988"/>
        <v>1.9546145443159848E-5</v>
      </c>
    </row>
    <row r="534" spans="1:20" x14ac:dyDescent="0.25">
      <c r="A534" s="5">
        <v>44059</v>
      </c>
      <c r="B534">
        <v>16.716999999999999</v>
      </c>
      <c r="C534">
        <v>18</v>
      </c>
      <c r="D534">
        <v>16.664999999999999</v>
      </c>
      <c r="E534">
        <v>17.5</v>
      </c>
      <c r="F534">
        <v>11538.471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0.25093632958801548</v>
      </c>
      <c r="Q534">
        <f t="shared" si="985"/>
        <v>2895.4215617977584</v>
      </c>
      <c r="R534">
        <f t="shared" si="986"/>
        <v>3869.6296165883746</v>
      </c>
      <c r="S534">
        <f t="shared" si="987"/>
        <v>3.8696296165883742E-2</v>
      </c>
      <c r="T534">
        <f t="shared" si="988"/>
        <v>3.8696296165883745E-5</v>
      </c>
    </row>
    <row r="535" spans="1:20" x14ac:dyDescent="0.25">
      <c r="A535" s="5">
        <v>44058</v>
      </c>
      <c r="B535">
        <v>17.056999999999999</v>
      </c>
      <c r="C535">
        <v>17.384</v>
      </c>
      <c r="D535">
        <v>16.484999999999999</v>
      </c>
      <c r="E535">
        <v>16.724</v>
      </c>
      <c r="F535">
        <v>12296.331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-0.46829810901000996</v>
      </c>
      <c r="Q535">
        <f t="shared" si="985"/>
        <v>-5758.3485550611649</v>
      </c>
      <c r="R535">
        <f t="shared" si="986"/>
        <v>974.20805479061619</v>
      </c>
      <c r="S535">
        <f t="shared" si="987"/>
        <v>9.7420805479061616E-3</v>
      </c>
      <c r="T535">
        <f t="shared" si="988"/>
        <v>9.7420805479061619E-6</v>
      </c>
    </row>
    <row r="536" spans="1:20" x14ac:dyDescent="0.25">
      <c r="A536" s="5">
        <v>44057</v>
      </c>
      <c r="B536">
        <v>16.762</v>
      </c>
      <c r="C536">
        <v>21.97</v>
      </c>
      <c r="D536">
        <v>16.29</v>
      </c>
      <c r="E536">
        <v>17.059000000000001</v>
      </c>
      <c r="F536">
        <v>25059.151000000002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-0.72922535211267536</v>
      </c>
      <c r="Q536">
        <f t="shared" si="985"/>
        <v>-18273.768211619703</v>
      </c>
      <c r="R536">
        <f t="shared" si="986"/>
        <v>6732.5566098517811</v>
      </c>
      <c r="S536">
        <f t="shared" si="987"/>
        <v>6.7325566098517808E-2</v>
      </c>
      <c r="T536">
        <f t="shared" si="988"/>
        <v>6.7325566098517804E-5</v>
      </c>
    </row>
    <row r="537" spans="1:20" x14ac:dyDescent="0.25">
      <c r="A537" s="5">
        <v>44056</v>
      </c>
      <c r="B537">
        <v>15.95</v>
      </c>
      <c r="C537">
        <v>16.8</v>
      </c>
      <c r="D537">
        <v>15.377000000000001</v>
      </c>
      <c r="E537">
        <v>16.762</v>
      </c>
      <c r="F537">
        <v>16046.065000000001</v>
      </c>
      <c r="G537">
        <v>0</v>
      </c>
      <c r="L537" t="s">
        <v>8</v>
      </c>
      <c r="M537" t="s">
        <v>7</v>
      </c>
      <c r="N537" t="s">
        <v>7</v>
      </c>
      <c r="P537">
        <f t="shared" si="984"/>
        <v>0.94659170765987311</v>
      </c>
      <c r="Q537">
        <f t="shared" si="985"/>
        <v>15189.072069571323</v>
      </c>
      <c r="R537">
        <f t="shared" si="986"/>
        <v>25006.324821471484</v>
      </c>
      <c r="S537">
        <f t="shared" si="987"/>
        <v>0.25006324821471482</v>
      </c>
      <c r="T537">
        <f t="shared" si="988"/>
        <v>2.5006324821471481E-4</v>
      </c>
    </row>
    <row r="538" spans="1:20" x14ac:dyDescent="0.25">
      <c r="A538" s="5">
        <v>44055</v>
      </c>
      <c r="B538">
        <v>15.834</v>
      </c>
      <c r="C538">
        <v>15.984999999999999</v>
      </c>
      <c r="D538">
        <v>15.22</v>
      </c>
      <c r="E538">
        <v>15.932</v>
      </c>
      <c r="F538">
        <v>5919.973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0.86143790849673429</v>
      </c>
      <c r="Q538">
        <f t="shared" si="985"/>
        <v>5099.6891594771378</v>
      </c>
      <c r="R538">
        <f t="shared" si="986"/>
        <v>9817.2527519001633</v>
      </c>
      <c r="S538">
        <f t="shared" si="987"/>
        <v>9.8172527519001629E-2</v>
      </c>
      <c r="T538">
        <f t="shared" si="988"/>
        <v>9.8172527519001633E-5</v>
      </c>
    </row>
    <row r="539" spans="1:20" x14ac:dyDescent="0.25">
      <c r="A539" s="5">
        <v>44054</v>
      </c>
      <c r="B539">
        <v>16.667999999999999</v>
      </c>
      <c r="C539">
        <v>16.861000000000001</v>
      </c>
      <c r="D539">
        <v>15.46</v>
      </c>
      <c r="E539">
        <v>15.999000000000001</v>
      </c>
      <c r="F539">
        <v>11830.159</v>
      </c>
      <c r="G539">
        <v>0</v>
      </c>
      <c r="L539" t="s">
        <v>7</v>
      </c>
      <c r="M539" t="s">
        <v>7</v>
      </c>
      <c r="N539" t="s">
        <v>7</v>
      </c>
      <c r="P539">
        <f t="shared" si="984"/>
        <v>-0.23054960742326941</v>
      </c>
      <c r="Q539">
        <f t="shared" si="985"/>
        <v>-2727.4385132048574</v>
      </c>
      <c r="R539">
        <f t="shared" si="986"/>
        <v>4717.5635924230246</v>
      </c>
      <c r="S539">
        <f t="shared" si="987"/>
        <v>4.7175635924230248E-2</v>
      </c>
      <c r="T539">
        <f t="shared" si="988"/>
        <v>4.7175635924230248E-5</v>
      </c>
    </row>
    <row r="540" spans="1:20" x14ac:dyDescent="0.25">
      <c r="A540" s="5">
        <v>44053</v>
      </c>
      <c r="B540">
        <v>16.483000000000001</v>
      </c>
      <c r="C540">
        <v>16.998999999999999</v>
      </c>
      <c r="D540">
        <v>16.026</v>
      </c>
      <c r="E540">
        <v>16.745000000000001</v>
      </c>
      <c r="F540">
        <v>11718.089</v>
      </c>
      <c r="G540">
        <v>0</v>
      </c>
      <c r="L540" t="s">
        <v>8</v>
      </c>
      <c r="M540" t="s">
        <v>7</v>
      </c>
      <c r="N540" t="s">
        <v>7</v>
      </c>
      <c r="P540">
        <f t="shared" si="984"/>
        <v>0.47790339157246031</v>
      </c>
      <c r="Q540">
        <f t="shared" si="985"/>
        <v>5600.1144758479395</v>
      </c>
      <c r="R540">
        <f t="shared" si="986"/>
        <v>7445.002105627882</v>
      </c>
      <c r="S540">
        <f t="shared" si="987"/>
        <v>7.445002105627882E-2</v>
      </c>
      <c r="T540">
        <f t="shared" si="988"/>
        <v>7.4450021056278825E-5</v>
      </c>
    </row>
    <row r="541" spans="1:20" x14ac:dyDescent="0.25">
      <c r="A541" s="5">
        <v>44052</v>
      </c>
      <c r="B541">
        <v>16.398</v>
      </c>
      <c r="C541">
        <v>16.702999999999999</v>
      </c>
      <c r="D541">
        <v>16.050999999999998</v>
      </c>
      <c r="E541">
        <v>16.491</v>
      </c>
      <c r="F541">
        <v>8195.9709999999995</v>
      </c>
      <c r="G541">
        <v>0</v>
      </c>
      <c r="L541" t="s">
        <v>8</v>
      </c>
      <c r="M541" t="s">
        <v>7</v>
      </c>
      <c r="N541" t="s">
        <v>7</v>
      </c>
      <c r="P541">
        <f t="shared" si="984"/>
        <v>0.34969325153374414</v>
      </c>
      <c r="Q541">
        <f t="shared" si="985"/>
        <v>2866.0757484662722</v>
      </c>
      <c r="R541">
        <f t="shared" si="986"/>
        <v>1844.8876297799429</v>
      </c>
      <c r="S541">
        <f t="shared" si="987"/>
        <v>1.844887629779943E-2</v>
      </c>
      <c r="T541">
        <f t="shared" si="988"/>
        <v>1.844887629779943E-5</v>
      </c>
    </row>
    <row r="542" spans="1:20" x14ac:dyDescent="0.25">
      <c r="A542" s="5">
        <v>44051</v>
      </c>
      <c r="B542">
        <v>16.129000000000001</v>
      </c>
      <c r="C542">
        <v>16.545999999999999</v>
      </c>
      <c r="D542">
        <v>15.922000000000001</v>
      </c>
      <c r="E542">
        <v>16.242999999999999</v>
      </c>
      <c r="F542">
        <v>3350.9430000000002</v>
      </c>
      <c r="G542">
        <v>0</v>
      </c>
      <c r="L542" t="s">
        <v>7</v>
      </c>
      <c r="M542" t="s">
        <v>7</v>
      </c>
      <c r="N542" t="s">
        <v>7</v>
      </c>
      <c r="P542">
        <f t="shared" si="984"/>
        <v>2.8846153846149303E-2</v>
      </c>
      <c r="Q542">
        <f t="shared" si="985"/>
        <v>96.661817307677083</v>
      </c>
      <c r="R542">
        <f t="shared" si="986"/>
        <v>-1021.1881186863292</v>
      </c>
      <c r="S542">
        <f t="shared" si="987"/>
        <v>-1.0211881186863291E-2</v>
      </c>
      <c r="T542">
        <f t="shared" si="988"/>
        <v>-1.0211881186863291E-5</v>
      </c>
    </row>
    <row r="543" spans="1:20" x14ac:dyDescent="0.25">
      <c r="A543" s="5">
        <v>44050</v>
      </c>
      <c r="B543">
        <v>16.481999999999999</v>
      </c>
      <c r="C543">
        <v>16.600000000000001</v>
      </c>
      <c r="D543">
        <v>15.428000000000001</v>
      </c>
      <c r="E543">
        <v>16.021999999999998</v>
      </c>
      <c r="F543">
        <v>6256.317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1.3651877133101261E-2</v>
      </c>
      <c r="Q543">
        <f t="shared" si="985"/>
        <v>85.410470989732687</v>
      </c>
      <c r="R543">
        <f t="shared" si="986"/>
        <v>-1117.8499359940063</v>
      </c>
      <c r="S543">
        <f t="shared" si="987"/>
        <v>-1.1178499359940064E-2</v>
      </c>
      <c r="T543">
        <f t="shared" si="988"/>
        <v>-1.1178499359940063E-5</v>
      </c>
    </row>
    <row r="544" spans="1:20" x14ac:dyDescent="0.25">
      <c r="A544" s="5">
        <v>44049</v>
      </c>
      <c r="B544">
        <v>16.498999999999999</v>
      </c>
      <c r="C544">
        <v>16.795999999999999</v>
      </c>
      <c r="D544">
        <v>16.260999999999999</v>
      </c>
      <c r="E544">
        <v>16.613</v>
      </c>
      <c r="F544">
        <v>2465.6320000000001</v>
      </c>
      <c r="G544">
        <v>0</v>
      </c>
      <c r="L544" t="s">
        <v>7</v>
      </c>
      <c r="M544" t="s">
        <v>7</v>
      </c>
      <c r="N544" t="s">
        <v>7</v>
      </c>
      <c r="P544">
        <f t="shared" si="984"/>
        <v>0.31588785046729057</v>
      </c>
      <c r="Q544">
        <f t="shared" si="985"/>
        <v>778.86319252336659</v>
      </c>
      <c r="R544">
        <f t="shared" si="986"/>
        <v>-1203.2604069837389</v>
      </c>
      <c r="S544">
        <f t="shared" si="987"/>
        <v>-1.2032604069837388E-2</v>
      </c>
      <c r="T544">
        <f t="shared" si="988"/>
        <v>-1.2032604069837389E-5</v>
      </c>
    </row>
    <row r="545" spans="1:20" x14ac:dyDescent="0.25">
      <c r="A545" s="5">
        <v>44048</v>
      </c>
      <c r="B545">
        <v>16.306000000000001</v>
      </c>
      <c r="C545">
        <v>17.042999999999999</v>
      </c>
      <c r="D545">
        <v>15.909000000000001</v>
      </c>
      <c r="E545">
        <v>16.759</v>
      </c>
      <c r="F545">
        <v>8399.9709999999995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0.4991181657848337</v>
      </c>
      <c r="Q545">
        <f t="shared" si="985"/>
        <v>4192.5781181657949</v>
      </c>
      <c r="R545">
        <f t="shared" si="986"/>
        <v>-1982.1235995071056</v>
      </c>
      <c r="S545">
        <f t="shared" si="987"/>
        <v>-1.9821235995071056E-2</v>
      </c>
      <c r="T545">
        <f t="shared" si="988"/>
        <v>-1.9821235995071055E-5</v>
      </c>
    </row>
    <row r="546" spans="1:20" x14ac:dyDescent="0.25">
      <c r="A546" s="5">
        <v>44047</v>
      </c>
      <c r="B546">
        <v>16.753</v>
      </c>
      <c r="C546">
        <v>17.989999999999998</v>
      </c>
      <c r="D546">
        <v>15.833</v>
      </c>
      <c r="E546">
        <v>16.324999999999999</v>
      </c>
      <c r="F546">
        <v>6714.7759999999998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-0.54381084840055682</v>
      </c>
      <c r="Q546">
        <f t="shared" si="985"/>
        <v>-3651.5680333796972</v>
      </c>
      <c r="R546">
        <f t="shared" si="986"/>
        <v>-6174.7017176729005</v>
      </c>
      <c r="S546">
        <f t="shared" si="987"/>
        <v>-6.1747017176729008E-2</v>
      </c>
      <c r="T546">
        <f t="shared" si="988"/>
        <v>-6.174701717672901E-5</v>
      </c>
    </row>
    <row r="547" spans="1:20" x14ac:dyDescent="0.25">
      <c r="A547" s="5">
        <v>44046</v>
      </c>
      <c r="B547">
        <v>15.571</v>
      </c>
      <c r="C547">
        <v>17.175000000000001</v>
      </c>
      <c r="D547">
        <v>15.5</v>
      </c>
      <c r="E547">
        <v>16.754000000000001</v>
      </c>
      <c r="F547">
        <v>10201.941000000001</v>
      </c>
      <c r="G547">
        <v>0</v>
      </c>
      <c r="L547" t="s">
        <v>7</v>
      </c>
      <c r="M547" t="s">
        <v>7</v>
      </c>
      <c r="N547" t="s">
        <v>7</v>
      </c>
      <c r="P547">
        <f t="shared" si="984"/>
        <v>0.49731343283582186</v>
      </c>
      <c r="Q547">
        <f t="shared" si="985"/>
        <v>5073.5623002985176</v>
      </c>
      <c r="R547">
        <f t="shared" si="986"/>
        <v>-2523.1336842932033</v>
      </c>
      <c r="S547">
        <f t="shared" si="987"/>
        <v>-2.5231336842932033E-2</v>
      </c>
      <c r="T547">
        <f t="shared" si="988"/>
        <v>-2.5231336842932032E-5</v>
      </c>
    </row>
    <row r="548" spans="1:20" x14ac:dyDescent="0.25">
      <c r="A548" s="5">
        <v>44045</v>
      </c>
      <c r="B548">
        <v>17.178000000000001</v>
      </c>
      <c r="C548">
        <v>25</v>
      </c>
      <c r="D548">
        <v>13.997999999999999</v>
      </c>
      <c r="E548">
        <v>15.692</v>
      </c>
      <c r="F548">
        <v>13649.931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-0.69205598982003258</v>
      </c>
      <c r="Q548">
        <f t="shared" si="985"/>
        <v>-9446.5165091801482</v>
      </c>
      <c r="R548">
        <f t="shared" si="986"/>
        <v>-7596.6959845917208</v>
      </c>
      <c r="S548">
        <f t="shared" si="987"/>
        <v>-7.5966959845917212E-2</v>
      </c>
      <c r="T548">
        <f t="shared" si="988"/>
        <v>-7.5966959845917209E-5</v>
      </c>
    </row>
    <row r="549" spans="1:20" x14ac:dyDescent="0.25">
      <c r="A549" s="5">
        <v>44044</v>
      </c>
      <c r="B549">
        <v>15.298</v>
      </c>
      <c r="C549">
        <v>17.577000000000002</v>
      </c>
      <c r="D549">
        <v>15.199</v>
      </c>
      <c r="E549">
        <v>17.177</v>
      </c>
      <c r="F549">
        <v>5597.1959999999999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0.66358284272497747</v>
      </c>
      <c r="Q549">
        <f t="shared" si="985"/>
        <v>3714.2032329688732</v>
      </c>
      <c r="R549">
        <f t="shared" si="986"/>
        <v>1849.8205245884274</v>
      </c>
      <c r="S549">
        <f t="shared" si="987"/>
        <v>1.8498205245884275E-2</v>
      </c>
      <c r="T549">
        <f t="shared" si="988"/>
        <v>1.8498205245884275E-5</v>
      </c>
    </row>
    <row r="550" spans="1:20" x14ac:dyDescent="0.25">
      <c r="A550" s="5">
        <v>44043</v>
      </c>
      <c r="B550">
        <v>15.664</v>
      </c>
      <c r="C550">
        <v>15.8</v>
      </c>
      <c r="D550">
        <v>15.132999999999999</v>
      </c>
      <c r="E550">
        <v>15.298</v>
      </c>
      <c r="F550">
        <v>4514.6980000000003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-0.50524737631184247</v>
      </c>
      <c r="Q550">
        <f t="shared" si="985"/>
        <v>-2281.0393193403229</v>
      </c>
      <c r="R550">
        <f t="shared" si="986"/>
        <v>-1864.3827083804458</v>
      </c>
      <c r="S550">
        <f t="shared" si="987"/>
        <v>-1.8643827083804458E-2</v>
      </c>
      <c r="T550">
        <f t="shared" si="988"/>
        <v>-1.8643827083804457E-5</v>
      </c>
    </row>
    <row r="551" spans="1:20" x14ac:dyDescent="0.25">
      <c r="A551" s="5">
        <v>44042</v>
      </c>
      <c r="B551">
        <v>15.446</v>
      </c>
      <c r="C551">
        <v>22.9</v>
      </c>
      <c r="D551">
        <v>6.0019999999999998</v>
      </c>
      <c r="E551">
        <v>15.664999999999999</v>
      </c>
      <c r="F551">
        <v>2899.779</v>
      </c>
      <c r="G551">
        <v>0</v>
      </c>
      <c r="P551">
        <f t="shared" si="984"/>
        <v>0.1436856432713931</v>
      </c>
      <c r="Q551">
        <f t="shared" si="985"/>
        <v>416.65661095987701</v>
      </c>
      <c r="R551">
        <f t="shared" si="986"/>
        <v>416.65661095987701</v>
      </c>
      <c r="S551">
        <f t="shared" si="987"/>
        <v>4.1665661095987702E-3</v>
      </c>
      <c r="T551">
        <f t="shared" si="988"/>
        <v>4.16656610959877E-6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I370" sqref="II37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$A$369</v>
      </c>
      <c r="D111" s="1" t="str">
        <f>ADDRESS(C121-1,D121,1,1)</f>
        <v>$II$369</v>
      </c>
      <c r="E111"/>
    </row>
    <row r="112" spans="1:5" x14ac:dyDescent="0.25">
      <c r="A112" s="7">
        <v>12164.144957890772</v>
      </c>
      <c r="C112" s="1" t="str">
        <f>ADDRESS(C121,1,1,1)</f>
        <v>$A$370</v>
      </c>
      <c r="D112" s="1" t="str">
        <f>ADDRESS(C121,D121-1,1,1)</f>
        <v>$IH$370</v>
      </c>
      <c r="E112"/>
    </row>
    <row r="113" spans="1:5" x14ac:dyDescent="0.25">
      <c r="A113" s="7">
        <v>11925.63231165762</v>
      </c>
      <c r="C113" s="1" t="str">
        <f>ADDRESS(C121+1,1,1,1)</f>
        <v>$A$371</v>
      </c>
      <c r="D113" s="1" t="str">
        <f>ADDRESS(C121-1,D121+1,1,1)</f>
        <v>$IJ$369</v>
      </c>
    </row>
    <row r="114" spans="1:5" x14ac:dyDescent="0.25">
      <c r="A114" s="7">
        <v>11691.796383978059</v>
      </c>
      <c r="C114" s="1" t="str">
        <f>ADDRESS(C121,D121,1,1)</f>
        <v>$II$370</v>
      </c>
      <c r="D114" s="1" t="str">
        <f>ADDRESS(C121+1,D121+1,1,1)</f>
        <v>$IJ$371</v>
      </c>
    </row>
    <row r="115" spans="1:5" x14ac:dyDescent="0.25">
      <c r="A115" s="7">
        <v>11462.545474488292</v>
      </c>
      <c r="C115" s="1" t="str">
        <f>ADDRESS(C121+1,D121,1,1)</f>
        <v>$II$371</v>
      </c>
    </row>
    <row r="116" spans="1:5" x14ac:dyDescent="0.25">
      <c r="A116" s="7">
        <v>11237.789680870874</v>
      </c>
      <c r="C116" s="1">
        <f>C117-1</f>
        <v>369</v>
      </c>
    </row>
    <row r="117" spans="1:5" x14ac:dyDescent="0.25">
      <c r="A117" s="7">
        <v>11017.440863598895</v>
      </c>
      <c r="C117" s="1">
        <f>C121</f>
        <v>370</v>
      </c>
      <c r="D117" s="1">
        <f>D121</f>
        <v>243</v>
      </c>
    </row>
    <row r="118" spans="1:5" x14ac:dyDescent="0.25">
      <c r="A118" s="7">
        <v>10801.412611371465</v>
      </c>
      <c r="C118" s="1">
        <f>C117+1</f>
        <v>371</v>
      </c>
      <c r="D118" s="1">
        <f>D117+1</f>
        <v>244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370</v>
      </c>
      <c r="D121" s="19">
        <v>243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R370</v>
      </c>
      <c r="D123" s="1" t="str">
        <f>"C"&amp;D121</f>
        <v>C243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73.491527191731976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140" x14ac:dyDescent="0.25">
      <c r="A305" s="7">
        <v>266.22475550472598</v>
      </c>
      <c r="B305"/>
      <c r="C305"/>
      <c r="D305"/>
      <c r="E305"/>
    </row>
    <row r="306" spans="1:140" x14ac:dyDescent="0.25">
      <c r="A306" s="7">
        <v>261.00466225953528</v>
      </c>
      <c r="B306"/>
      <c r="C306"/>
      <c r="D306"/>
      <c r="E306"/>
    </row>
    <row r="307" spans="1:140" x14ac:dyDescent="0.25">
      <c r="A307" s="7">
        <v>255.88692378385809</v>
      </c>
      <c r="B307"/>
      <c r="C307"/>
      <c r="D307"/>
      <c r="E307"/>
    </row>
    <row r="308" spans="1:140" x14ac:dyDescent="0.25">
      <c r="A308" s="7">
        <v>250.8695331214295</v>
      </c>
      <c r="B308"/>
      <c r="C308"/>
      <c r="D308"/>
      <c r="E308"/>
    </row>
    <row r="309" spans="1:140" x14ac:dyDescent="0.25">
      <c r="A309" s="7">
        <v>245.95052266806812</v>
      </c>
      <c r="B309"/>
      <c r="C309"/>
      <c r="D309"/>
      <c r="E309"/>
      <c r="DU309" s="27" t="s">
        <v>8</v>
      </c>
    </row>
    <row r="310" spans="1:140" x14ac:dyDescent="0.25">
      <c r="A310" s="7">
        <v>241.12796340006679</v>
      </c>
      <c r="B310"/>
      <c r="C310"/>
      <c r="D310"/>
      <c r="E310"/>
      <c r="DU310" s="27" t="s">
        <v>8</v>
      </c>
      <c r="DV310" s="27" t="s">
        <v>7</v>
      </c>
    </row>
    <row r="311" spans="1:140" x14ac:dyDescent="0.25">
      <c r="A311" s="7">
        <v>236.39996411771253</v>
      </c>
      <c r="B311"/>
      <c r="C311"/>
      <c r="D311"/>
      <c r="E311"/>
      <c r="DU311" s="27" t="s">
        <v>8</v>
      </c>
      <c r="DV311" s="27" t="s">
        <v>7</v>
      </c>
    </row>
    <row r="312" spans="1:140" x14ac:dyDescent="0.25">
      <c r="A312" s="7">
        <v>231.76467070363972</v>
      </c>
      <c r="B312"/>
      <c r="C312"/>
      <c r="D312"/>
      <c r="E312"/>
      <c r="DU312" s="27" t="s">
        <v>8</v>
      </c>
      <c r="DV312" s="27" t="s">
        <v>7</v>
      </c>
    </row>
    <row r="313" spans="1:140" x14ac:dyDescent="0.25">
      <c r="A313" s="7">
        <v>227.22026539572522</v>
      </c>
      <c r="B313"/>
      <c r="C313"/>
      <c r="D313"/>
      <c r="E313"/>
      <c r="DU313" s="27" t="s">
        <v>8</v>
      </c>
      <c r="DV313" s="27" t="s">
        <v>7</v>
      </c>
      <c r="DW313" s="27" t="s">
        <v>8</v>
      </c>
      <c r="EG313" s="27" t="s">
        <v>8</v>
      </c>
    </row>
    <row r="314" spans="1:140" x14ac:dyDescent="0.25">
      <c r="A314" s="7">
        <v>222.76496607424042</v>
      </c>
      <c r="B314"/>
      <c r="C314"/>
      <c r="D314"/>
      <c r="E314"/>
      <c r="DU314" s="27" t="s">
        <v>8</v>
      </c>
      <c r="DV314" s="27" t="s">
        <v>7</v>
      </c>
      <c r="DW314" s="27" t="s">
        <v>8</v>
      </c>
      <c r="DX314" s="27" t="s">
        <v>7</v>
      </c>
      <c r="EG314" s="27" t="s">
        <v>8</v>
      </c>
      <c r="EH314" s="27" t="s">
        <v>7</v>
      </c>
    </row>
    <row r="315" spans="1:140" x14ac:dyDescent="0.25">
      <c r="A315" s="7">
        <v>218.39702556298079</v>
      </c>
      <c r="B315"/>
      <c r="C315"/>
      <c r="D315"/>
      <c r="E315"/>
      <c r="DU315" s="27" t="s">
        <v>8</v>
      </c>
      <c r="DV315" s="27" t="s">
        <v>7</v>
      </c>
      <c r="DW315" s="27" t="s">
        <v>8</v>
      </c>
      <c r="DX315" s="27" t="s">
        <v>7</v>
      </c>
      <c r="EG315" s="27" t="s">
        <v>8</v>
      </c>
      <c r="EH315" s="27" t="s">
        <v>7</v>
      </c>
    </row>
    <row r="316" spans="1:140" x14ac:dyDescent="0.25">
      <c r="A316" s="7">
        <v>214.1147309440988</v>
      </c>
      <c r="B316"/>
      <c r="C316"/>
      <c r="D316"/>
      <c r="E316"/>
      <c r="DU316" s="27" t="s">
        <v>8</v>
      </c>
      <c r="DV316" s="27" t="s">
        <v>7</v>
      </c>
      <c r="DW316" s="27" t="s">
        <v>8</v>
      </c>
      <c r="DX316" s="27" t="s">
        <v>7</v>
      </c>
      <c r="DY316" s="27" t="s">
        <v>8</v>
      </c>
      <c r="EA316" s="27" t="s">
        <v>8</v>
      </c>
      <c r="EG316" s="27" t="s">
        <v>8</v>
      </c>
      <c r="EH316" s="27" t="s">
        <v>7</v>
      </c>
    </row>
    <row r="317" spans="1:140" x14ac:dyDescent="0.25">
      <c r="A317" s="7">
        <v>209.91640288637137</v>
      </c>
      <c r="B317"/>
      <c r="C317"/>
      <c r="D317"/>
      <c r="E317"/>
      <c r="DU317" s="27" t="s">
        <v>8</v>
      </c>
      <c r="DV317" s="27" t="s">
        <v>7</v>
      </c>
      <c r="DW317" s="27" t="s">
        <v>8</v>
      </c>
      <c r="DX317" s="27" t="s">
        <v>7</v>
      </c>
      <c r="DY317" s="27" t="s">
        <v>8</v>
      </c>
      <c r="DZ317" s="27" t="s">
        <v>7</v>
      </c>
      <c r="EA317" s="27" t="s">
        <v>8</v>
      </c>
      <c r="EB317" s="27" t="s">
        <v>7</v>
      </c>
      <c r="EC317" s="27" t="s">
        <v>8</v>
      </c>
      <c r="EG317" s="27" t="s">
        <v>8</v>
      </c>
      <c r="EH317" s="27" t="s">
        <v>7</v>
      </c>
    </row>
    <row r="318" spans="1:140" x14ac:dyDescent="0.25">
      <c r="A318" s="7">
        <v>205.80039498663859</v>
      </c>
      <c r="B318"/>
      <c r="C318"/>
      <c r="D318"/>
      <c r="E318"/>
      <c r="DU318" s="27" t="s">
        <v>8</v>
      </c>
      <c r="DV318" s="27" t="s">
        <v>7</v>
      </c>
      <c r="DW318" s="27" t="s">
        <v>8</v>
      </c>
      <c r="DX318" s="27" t="s">
        <v>7</v>
      </c>
      <c r="DY318" s="27" t="s">
        <v>8</v>
      </c>
      <c r="DZ318" s="27" t="s">
        <v>7</v>
      </c>
      <c r="EA318" s="27" t="s">
        <v>8</v>
      </c>
      <c r="EB318" s="27" t="s">
        <v>7</v>
      </c>
      <c r="EC318" s="27" t="s">
        <v>8</v>
      </c>
      <c r="ED318" s="27" t="s">
        <v>7</v>
      </c>
      <c r="EE318" s="27" t="s">
        <v>8</v>
      </c>
      <c r="EG318" s="27" t="s">
        <v>8</v>
      </c>
      <c r="EH318" s="27" t="s">
        <v>7</v>
      </c>
      <c r="EI318" s="27" t="s">
        <v>8</v>
      </c>
    </row>
    <row r="319" spans="1:140" x14ac:dyDescent="0.25">
      <c r="A319" s="7">
        <v>201.76509312415547</v>
      </c>
      <c r="B319"/>
      <c r="C319"/>
      <c r="D319"/>
      <c r="E319"/>
      <c r="DU319" s="27" t="s">
        <v>8</v>
      </c>
      <c r="DV319" s="27" t="s">
        <v>7</v>
      </c>
      <c r="DW319" s="27" t="s">
        <v>8</v>
      </c>
      <c r="DX319" s="27" t="s">
        <v>7</v>
      </c>
      <c r="DY319" s="27" t="s">
        <v>8</v>
      </c>
      <c r="DZ319" s="27" t="s">
        <v>7</v>
      </c>
      <c r="EA319" s="27" t="s">
        <v>8</v>
      </c>
      <c r="EB319" s="27" t="s">
        <v>7</v>
      </c>
      <c r="EC319" s="27" t="s">
        <v>8</v>
      </c>
      <c r="ED319" s="27" t="s">
        <v>7</v>
      </c>
      <c r="EE319" s="27" t="s">
        <v>8</v>
      </c>
      <c r="EF319" s="27" t="s">
        <v>7</v>
      </c>
      <c r="EG319" s="27" t="s">
        <v>8</v>
      </c>
      <c r="EH319" s="27" t="s">
        <v>7</v>
      </c>
      <c r="EI319" s="27" t="s">
        <v>8</v>
      </c>
      <c r="EJ319" s="27" t="s">
        <v>7</v>
      </c>
    </row>
    <row r="320" spans="1:140" x14ac:dyDescent="0.25">
      <c r="A320" s="7">
        <v>197.80891482760339</v>
      </c>
      <c r="B320"/>
      <c r="C320"/>
      <c r="D320"/>
      <c r="E320"/>
      <c r="DU320" s="27" t="s">
        <v>8</v>
      </c>
      <c r="DV320" s="27" t="s">
        <v>7</v>
      </c>
      <c r="DW320" s="27" t="s">
        <v>8</v>
      </c>
      <c r="DX320" s="27" t="s">
        <v>7</v>
      </c>
      <c r="DY320" s="27" t="s">
        <v>8</v>
      </c>
      <c r="DZ320" s="27" t="s">
        <v>7</v>
      </c>
      <c r="EA320" s="27" t="s">
        <v>8</v>
      </c>
      <c r="EB320" s="27" t="s">
        <v>7</v>
      </c>
      <c r="ED320" s="27" t="s">
        <v>7</v>
      </c>
      <c r="EE320" s="27" t="s">
        <v>8</v>
      </c>
      <c r="EF320" s="27" t="s">
        <v>7</v>
      </c>
      <c r="EG320" s="27" t="s">
        <v>8</v>
      </c>
      <c r="EH320" s="27" t="s">
        <v>7</v>
      </c>
      <c r="EI320" s="27" t="s">
        <v>8</v>
      </c>
      <c r="EJ320" s="27" t="s">
        <v>7</v>
      </c>
    </row>
    <row r="321" spans="1:192" x14ac:dyDescent="0.25">
      <c r="A321" s="7">
        <v>193.93030865451311</v>
      </c>
      <c r="B321"/>
      <c r="C321"/>
      <c r="D321"/>
      <c r="E321"/>
      <c r="DS321" s="27" t="s">
        <v>8</v>
      </c>
      <c r="DU321" s="27" t="s">
        <v>8</v>
      </c>
      <c r="DV321" s="27" t="s">
        <v>7</v>
      </c>
      <c r="DX321" s="27" t="s">
        <v>7</v>
      </c>
      <c r="DY321" s="27" t="s">
        <v>8</v>
      </c>
      <c r="DZ321" s="27" t="s">
        <v>7</v>
      </c>
      <c r="EA321" s="27" t="s">
        <v>8</v>
      </c>
      <c r="ED321" s="27" t="s">
        <v>7</v>
      </c>
      <c r="EE321" s="27" t="s">
        <v>8</v>
      </c>
      <c r="EF321" s="27" t="s">
        <v>7</v>
      </c>
      <c r="EH321" s="27" t="s">
        <v>7</v>
      </c>
      <c r="EI321" s="27" t="s">
        <v>8</v>
      </c>
      <c r="EJ321" s="27" t="s">
        <v>7</v>
      </c>
    </row>
    <row r="322" spans="1:192" x14ac:dyDescent="0.25">
      <c r="A322" s="7">
        <v>190.127753582856</v>
      </c>
      <c r="B322"/>
      <c r="C322"/>
      <c r="D322"/>
      <c r="E322"/>
      <c r="DS322" s="27" t="s">
        <v>8</v>
      </c>
      <c r="DT322" s="27" t="s">
        <v>7</v>
      </c>
      <c r="DU322" s="27" t="s">
        <v>8</v>
      </c>
      <c r="DX322" s="27" t="s">
        <v>7</v>
      </c>
      <c r="DZ322" s="27" t="s">
        <v>7</v>
      </c>
      <c r="EA322" s="27" t="s">
        <v>8</v>
      </c>
      <c r="ED322" s="27" t="s">
        <v>7</v>
      </c>
      <c r="EE322" s="27" t="s">
        <v>8</v>
      </c>
      <c r="EH322" s="27" t="s">
        <v>7</v>
      </c>
      <c r="EJ322" s="27" t="s">
        <v>7</v>
      </c>
    </row>
    <row r="323" spans="1:192" x14ac:dyDescent="0.25">
      <c r="A323" s="7">
        <v>186.3997584145647</v>
      </c>
      <c r="B323"/>
      <c r="C323"/>
      <c r="D323"/>
      <c r="E323"/>
      <c r="DS323" s="27" t="s">
        <v>8</v>
      </c>
      <c r="DT323" s="27" t="s">
        <v>7</v>
      </c>
      <c r="DU323" s="27" t="s">
        <v>8</v>
      </c>
      <c r="DZ323" s="27" t="s">
        <v>7</v>
      </c>
      <c r="EA323" s="27" t="s">
        <v>8</v>
      </c>
      <c r="ED323" s="27" t="s">
        <v>7</v>
      </c>
      <c r="EE323" s="27" t="s">
        <v>8</v>
      </c>
      <c r="EJ323" s="27" t="s">
        <v>7</v>
      </c>
      <c r="EK323" s="27" t="s">
        <v>8</v>
      </c>
    </row>
    <row r="324" spans="1:192" x14ac:dyDescent="0.25">
      <c r="A324" s="7">
        <v>182.7448611907497</v>
      </c>
      <c r="B324"/>
      <c r="C324"/>
      <c r="D324"/>
      <c r="E324"/>
      <c r="DM324" s="27" t="s">
        <v>8</v>
      </c>
      <c r="DS324" s="27" t="s">
        <v>8</v>
      </c>
      <c r="DT324" s="27" t="s">
        <v>7</v>
      </c>
      <c r="DU324" s="27" t="s">
        <v>8</v>
      </c>
      <c r="DZ324" s="27" t="s">
        <v>7</v>
      </c>
      <c r="EA324" s="27" t="s">
        <v>8</v>
      </c>
      <c r="ED324" s="27" t="s">
        <v>7</v>
      </c>
      <c r="EJ324" s="27" t="s">
        <v>7</v>
      </c>
      <c r="EK324" s="27" t="s">
        <v>8</v>
      </c>
      <c r="EL324" s="27" t="s">
        <v>7</v>
      </c>
      <c r="GC324" s="27" t="s">
        <v>8</v>
      </c>
    </row>
    <row r="325" spans="1:192" x14ac:dyDescent="0.25">
      <c r="A325" s="7">
        <v>179.16162861838205</v>
      </c>
      <c r="B325"/>
      <c r="C325"/>
      <c r="D325"/>
      <c r="E325"/>
      <c r="DK325" s="27" t="s">
        <v>8</v>
      </c>
      <c r="DM325" s="27" t="s">
        <v>8</v>
      </c>
      <c r="DN325" s="27" t="s">
        <v>7</v>
      </c>
      <c r="DS325" s="27" t="s">
        <v>8</v>
      </c>
      <c r="DT325" s="27" t="s">
        <v>7</v>
      </c>
      <c r="DZ325" s="27" t="s">
        <v>7</v>
      </c>
      <c r="EA325" s="27" t="s">
        <v>8</v>
      </c>
      <c r="EJ325" s="27" t="s">
        <v>7</v>
      </c>
      <c r="EK325" s="27" t="s">
        <v>8</v>
      </c>
      <c r="EL325" s="27" t="s">
        <v>7</v>
      </c>
      <c r="FW325" s="27" t="s">
        <v>8</v>
      </c>
      <c r="FY325" s="27" t="s">
        <v>8</v>
      </c>
      <c r="GA325" s="27" t="s">
        <v>8</v>
      </c>
      <c r="GC325" s="27" t="s">
        <v>8</v>
      </c>
      <c r="GD325" s="27" t="s">
        <v>7</v>
      </c>
    </row>
    <row r="326" spans="1:192" x14ac:dyDescent="0.25">
      <c r="A326" s="7">
        <v>175.6486555082177</v>
      </c>
      <c r="B326"/>
      <c r="C326"/>
      <c r="D326"/>
      <c r="E326"/>
      <c r="DK326" s="27" t="s">
        <v>8</v>
      </c>
      <c r="DL326" s="27" t="s">
        <v>7</v>
      </c>
      <c r="DM326" s="27" t="s">
        <v>8</v>
      </c>
      <c r="DN326" s="27" t="s">
        <v>7</v>
      </c>
      <c r="DS326" s="27" t="s">
        <v>8</v>
      </c>
      <c r="DZ326" s="27" t="s">
        <v>7</v>
      </c>
      <c r="EA326" s="27" t="s">
        <v>8</v>
      </c>
      <c r="EJ326" s="27" t="s">
        <v>7</v>
      </c>
      <c r="EK326" s="27" t="s">
        <v>8</v>
      </c>
      <c r="EL326" s="27" t="s">
        <v>7</v>
      </c>
      <c r="EQ326" s="27" t="s">
        <v>8</v>
      </c>
      <c r="FU326" s="27" t="s">
        <v>8</v>
      </c>
      <c r="FW326" s="27" t="s">
        <v>8</v>
      </c>
      <c r="FX326" s="27" t="s">
        <v>7</v>
      </c>
      <c r="FY326" s="27" t="s">
        <v>8</v>
      </c>
      <c r="FZ326" s="27" t="s">
        <v>7</v>
      </c>
      <c r="GA326" s="27" t="s">
        <v>8</v>
      </c>
      <c r="GB326" s="27" t="s">
        <v>7</v>
      </c>
      <c r="GC326" s="27" t="s">
        <v>8</v>
      </c>
      <c r="GD326" s="27" t="s">
        <v>7</v>
      </c>
    </row>
    <row r="327" spans="1:192" x14ac:dyDescent="0.25">
      <c r="A327" s="7">
        <v>172.20456422374284</v>
      </c>
      <c r="B327"/>
      <c r="C327"/>
      <c r="D327"/>
      <c r="E327"/>
      <c r="DK327" s="27" t="s">
        <v>8</v>
      </c>
      <c r="DL327" s="27" t="s">
        <v>7</v>
      </c>
      <c r="DM327" s="27" t="s">
        <v>8</v>
      </c>
      <c r="DN327" s="27" t="s">
        <v>7</v>
      </c>
      <c r="DO327" s="27" t="s">
        <v>8</v>
      </c>
      <c r="DS327" s="27" t="s">
        <v>8</v>
      </c>
      <c r="DZ327" s="27" t="s">
        <v>7</v>
      </c>
      <c r="EA327" s="27" t="s">
        <v>8</v>
      </c>
      <c r="EJ327" s="27" t="s">
        <v>7</v>
      </c>
      <c r="EK327" s="27" t="s">
        <v>8</v>
      </c>
      <c r="EL327" s="27" t="s">
        <v>7</v>
      </c>
      <c r="EQ327" s="27" t="s">
        <v>8</v>
      </c>
      <c r="ER327" s="27" t="s">
        <v>7</v>
      </c>
      <c r="FU327" s="27" t="s">
        <v>8</v>
      </c>
      <c r="FV327" s="27" t="s">
        <v>7</v>
      </c>
      <c r="FW327" s="27" t="s">
        <v>8</v>
      </c>
      <c r="FX327" s="27" t="s">
        <v>7</v>
      </c>
      <c r="FY327" s="27" t="s">
        <v>8</v>
      </c>
      <c r="FZ327" s="27" t="s">
        <v>7</v>
      </c>
      <c r="GA327" s="27" t="s">
        <v>8</v>
      </c>
      <c r="GB327" s="27" t="s">
        <v>7</v>
      </c>
      <c r="GC327" s="27" t="s">
        <v>8</v>
      </c>
      <c r="GD327" s="27" t="s">
        <v>7</v>
      </c>
    </row>
    <row r="328" spans="1:192" x14ac:dyDescent="0.25">
      <c r="A328" s="7">
        <v>168.82800414092435</v>
      </c>
      <c r="B328"/>
      <c r="C328"/>
      <c r="D328"/>
      <c r="E328"/>
      <c r="DA328" s="27" t="s">
        <v>8</v>
      </c>
      <c r="DK328" s="27" t="s">
        <v>8</v>
      </c>
      <c r="DL328" s="27" t="s">
        <v>7</v>
      </c>
      <c r="DM328" s="27" t="s">
        <v>8</v>
      </c>
      <c r="DN328" s="27" t="s">
        <v>7</v>
      </c>
      <c r="DO328" s="27" t="s">
        <v>8</v>
      </c>
      <c r="DP328" s="27" t="s">
        <v>7</v>
      </c>
      <c r="DQ328" s="27" t="s">
        <v>8</v>
      </c>
      <c r="DS328" s="27" t="s">
        <v>8</v>
      </c>
      <c r="DZ328" s="27" t="s">
        <v>7</v>
      </c>
      <c r="EA328" s="27" t="s">
        <v>8</v>
      </c>
      <c r="EJ328" s="27" t="s">
        <v>7</v>
      </c>
      <c r="EK328" s="27" t="s">
        <v>8</v>
      </c>
      <c r="EL328" s="27" t="s">
        <v>7</v>
      </c>
      <c r="EQ328" s="27" t="s">
        <v>8</v>
      </c>
      <c r="ER328" s="27" t="s">
        <v>7</v>
      </c>
      <c r="FU328" s="27" t="s">
        <v>8</v>
      </c>
      <c r="FV328" s="27" t="s">
        <v>7</v>
      </c>
      <c r="FW328" s="27" t="s">
        <v>8</v>
      </c>
      <c r="FX328" s="27" t="s">
        <v>7</v>
      </c>
      <c r="FY328" s="27" t="s">
        <v>8</v>
      </c>
      <c r="FZ328" s="27" t="s">
        <v>7</v>
      </c>
      <c r="GA328" s="27" t="s">
        <v>8</v>
      </c>
      <c r="GB328" s="27" t="s">
        <v>7</v>
      </c>
      <c r="GC328" s="27" t="s">
        <v>8</v>
      </c>
      <c r="GD328" s="27" t="s">
        <v>7</v>
      </c>
    </row>
    <row r="329" spans="1:192" x14ac:dyDescent="0.25">
      <c r="A329" s="7">
        <v>165.51765111855329</v>
      </c>
      <c r="B329"/>
      <c r="C329"/>
      <c r="D329"/>
      <c r="E329"/>
      <c r="DA329" s="27" t="s">
        <v>8</v>
      </c>
      <c r="DB329" s="27" t="s">
        <v>7</v>
      </c>
      <c r="DK329" s="27" t="s">
        <v>8</v>
      </c>
      <c r="DL329" s="27" t="s">
        <v>7</v>
      </c>
      <c r="DN329" s="27" t="s">
        <v>7</v>
      </c>
      <c r="DO329" s="27" t="s">
        <v>8</v>
      </c>
      <c r="DP329" s="27" t="s">
        <v>7</v>
      </c>
      <c r="DQ329" s="27" t="s">
        <v>8</v>
      </c>
      <c r="DR329" s="27" t="s">
        <v>7</v>
      </c>
      <c r="DS329" s="27" t="s">
        <v>8</v>
      </c>
      <c r="DZ329" s="27" t="s">
        <v>7</v>
      </c>
      <c r="EJ329" s="27" t="s">
        <v>7</v>
      </c>
      <c r="EK329" s="27" t="s">
        <v>8</v>
      </c>
      <c r="EL329" s="27" t="s">
        <v>7</v>
      </c>
      <c r="EQ329" s="27" t="s">
        <v>8</v>
      </c>
      <c r="ER329" s="27" t="s">
        <v>7</v>
      </c>
      <c r="FU329" s="27" t="s">
        <v>8</v>
      </c>
      <c r="FV329" s="27" t="s">
        <v>7</v>
      </c>
      <c r="FX329" s="27" t="s">
        <v>7</v>
      </c>
      <c r="FY329" s="27" t="s">
        <v>8</v>
      </c>
      <c r="FZ329" s="27" t="s">
        <v>7</v>
      </c>
      <c r="GA329" s="27" t="s">
        <v>8</v>
      </c>
      <c r="GB329" s="27" t="s">
        <v>7</v>
      </c>
      <c r="GC329" s="27" t="s">
        <v>8</v>
      </c>
      <c r="GD329" s="27" t="s">
        <v>7</v>
      </c>
    </row>
    <row r="330" spans="1:192" x14ac:dyDescent="0.25">
      <c r="A330" s="7">
        <v>162.2722069789738</v>
      </c>
      <c r="B330"/>
      <c r="C330"/>
      <c r="D330"/>
      <c r="E330"/>
      <c r="DA330" s="27" t="s">
        <v>8</v>
      </c>
      <c r="DB330" s="27" t="s">
        <v>7</v>
      </c>
      <c r="DK330" s="27" t="s">
        <v>8</v>
      </c>
      <c r="DN330" s="27" t="s">
        <v>7</v>
      </c>
      <c r="DO330" s="27" t="s">
        <v>8</v>
      </c>
      <c r="DP330" s="27" t="s">
        <v>7</v>
      </c>
      <c r="DQ330" s="27" t="s">
        <v>8</v>
      </c>
      <c r="DR330" s="27" t="s">
        <v>7</v>
      </c>
      <c r="DS330" s="27" t="s">
        <v>8</v>
      </c>
      <c r="EJ330" s="27" t="s">
        <v>7</v>
      </c>
      <c r="EL330" s="27" t="s">
        <v>7</v>
      </c>
      <c r="EQ330" s="27" t="s">
        <v>8</v>
      </c>
      <c r="ER330" s="27" t="s">
        <v>7</v>
      </c>
      <c r="FU330" s="27" t="s">
        <v>8</v>
      </c>
      <c r="FX330" s="27" t="s">
        <v>7</v>
      </c>
      <c r="FY330" s="27" t="s">
        <v>8</v>
      </c>
      <c r="FZ330" s="27" t="s">
        <v>7</v>
      </c>
      <c r="GB330" s="27" t="s">
        <v>7</v>
      </c>
      <c r="GD330" s="27" t="s">
        <v>7</v>
      </c>
    </row>
    <row r="331" spans="1:192" x14ac:dyDescent="0.25">
      <c r="A331" s="7">
        <v>159.09039899899392</v>
      </c>
      <c r="B331"/>
      <c r="C331"/>
      <c r="D331"/>
      <c r="E331"/>
      <c r="DA331" s="27" t="s">
        <v>8</v>
      </c>
      <c r="DB331" s="27" t="s">
        <v>7</v>
      </c>
      <c r="DK331" s="27" t="s">
        <v>8</v>
      </c>
      <c r="DN331" s="27" t="s">
        <v>7</v>
      </c>
      <c r="DP331" s="27" t="s">
        <v>7</v>
      </c>
      <c r="DR331" s="27" t="s">
        <v>7</v>
      </c>
      <c r="DS331" s="27" t="s">
        <v>8</v>
      </c>
      <c r="EL331" s="27" t="s">
        <v>7</v>
      </c>
      <c r="EQ331" s="27" t="s">
        <v>8</v>
      </c>
      <c r="ER331" s="27" t="s">
        <v>7</v>
      </c>
      <c r="FU331" s="27" t="s">
        <v>8</v>
      </c>
      <c r="FX331" s="27" t="s">
        <v>7</v>
      </c>
      <c r="FY331" s="27" t="s">
        <v>8</v>
      </c>
      <c r="GD331" s="27" t="s">
        <v>7</v>
      </c>
    </row>
    <row r="332" spans="1:192" x14ac:dyDescent="0.25">
      <c r="A332" s="7">
        <v>155.97097941077834</v>
      </c>
      <c r="B332"/>
      <c r="C332"/>
      <c r="D332"/>
      <c r="E332"/>
      <c r="DA332" s="27" t="s">
        <v>8</v>
      </c>
      <c r="DB332" s="27" t="s">
        <v>7</v>
      </c>
      <c r="DI332" s="27" t="s">
        <v>8</v>
      </c>
      <c r="DK332" s="27" t="s">
        <v>8</v>
      </c>
      <c r="DR332" s="27" t="s">
        <v>7</v>
      </c>
      <c r="DS332" s="27" t="s">
        <v>8</v>
      </c>
      <c r="EL332" s="27" t="s">
        <v>7</v>
      </c>
      <c r="EQ332" s="27" t="s">
        <v>8</v>
      </c>
      <c r="ER332" s="27" t="s">
        <v>7</v>
      </c>
      <c r="FS332" s="27" t="s">
        <v>8</v>
      </c>
      <c r="FU332" s="27" t="s">
        <v>8</v>
      </c>
      <c r="FX332" s="27" t="s">
        <v>7</v>
      </c>
      <c r="GD332" s="27" t="s">
        <v>7</v>
      </c>
      <c r="GE332" s="27" t="s">
        <v>8</v>
      </c>
    </row>
    <row r="333" spans="1:192" x14ac:dyDescent="0.25">
      <c r="A333" s="7">
        <v>152.91272491252778</v>
      </c>
      <c r="B333"/>
      <c r="C333"/>
      <c r="D333"/>
      <c r="E333"/>
      <c r="DA333" s="27" t="s">
        <v>8</v>
      </c>
      <c r="DB333" s="27" t="s">
        <v>7</v>
      </c>
      <c r="DG333" s="27" t="s">
        <v>8</v>
      </c>
      <c r="DI333" s="27" t="s">
        <v>8</v>
      </c>
      <c r="DJ333" s="27" t="s">
        <v>7</v>
      </c>
      <c r="DK333" s="27" t="s">
        <v>8</v>
      </c>
      <c r="DR333" s="27" t="s">
        <v>7</v>
      </c>
      <c r="DS333" s="27" t="s">
        <v>8</v>
      </c>
      <c r="EL333" s="27" t="s">
        <v>7</v>
      </c>
      <c r="EO333" s="27" t="s">
        <v>8</v>
      </c>
      <c r="EQ333" s="27" t="s">
        <v>8</v>
      </c>
      <c r="ER333" s="27" t="s">
        <v>7</v>
      </c>
      <c r="FS333" s="27" t="s">
        <v>8</v>
      </c>
      <c r="FT333" s="27" t="s">
        <v>7</v>
      </c>
      <c r="FU333" s="27" t="s">
        <v>8</v>
      </c>
      <c r="GD333" s="27" t="s">
        <v>7</v>
      </c>
      <c r="GE333" s="27" t="s">
        <v>8</v>
      </c>
      <c r="GF333" s="27" t="s">
        <v>7</v>
      </c>
    </row>
    <row r="334" spans="1:192" x14ac:dyDescent="0.25">
      <c r="A334" s="7">
        <v>149.91443618875272</v>
      </c>
      <c r="B334"/>
      <c r="C334"/>
      <c r="D334"/>
      <c r="E334"/>
      <c r="CY334" s="27" t="s">
        <v>8</v>
      </c>
      <c r="DA334" s="27" t="s">
        <v>8</v>
      </c>
      <c r="DB334" s="27" t="s">
        <v>7</v>
      </c>
      <c r="DC334" s="27" t="s">
        <v>8</v>
      </c>
      <c r="DG334" s="27" t="s">
        <v>8</v>
      </c>
      <c r="DH334" s="27" t="s">
        <v>7</v>
      </c>
      <c r="DI334" s="27" t="s">
        <v>8</v>
      </c>
      <c r="DJ334" s="27" t="s">
        <v>7</v>
      </c>
      <c r="DK334" s="27" t="s">
        <v>8</v>
      </c>
      <c r="DR334" s="27" t="s">
        <v>7</v>
      </c>
      <c r="DS334" s="27" t="s">
        <v>8</v>
      </c>
      <c r="EL334" s="27" t="s">
        <v>7</v>
      </c>
      <c r="EO334" s="27" t="s">
        <v>8</v>
      </c>
      <c r="EP334" s="27" t="s">
        <v>7</v>
      </c>
      <c r="EQ334" s="27" t="s">
        <v>8</v>
      </c>
      <c r="ER334" s="27" t="s">
        <v>7</v>
      </c>
      <c r="FG334" s="27" t="s">
        <v>8</v>
      </c>
      <c r="FS334" s="27" t="s">
        <v>8</v>
      </c>
      <c r="FT334" s="27" t="s">
        <v>7</v>
      </c>
      <c r="FU334" s="27" t="s">
        <v>8</v>
      </c>
      <c r="GD334" s="27" t="s">
        <v>7</v>
      </c>
      <c r="GE334" s="27" t="s">
        <v>8</v>
      </c>
      <c r="GF334" s="27" t="s">
        <v>7</v>
      </c>
      <c r="GI334" s="27" t="s">
        <v>8</v>
      </c>
    </row>
    <row r="335" spans="1:192" x14ac:dyDescent="0.25">
      <c r="A335" s="7">
        <v>146.97493743995364</v>
      </c>
      <c r="B335"/>
      <c r="C335"/>
      <c r="D335"/>
      <c r="E335"/>
      <c r="CY335" s="27" t="s">
        <v>8</v>
      </c>
      <c r="CZ335" s="27" t="s">
        <v>7</v>
      </c>
      <c r="DA335" s="27" t="s">
        <v>8</v>
      </c>
      <c r="DB335" s="27" t="s">
        <v>7</v>
      </c>
      <c r="DC335" s="27" t="s">
        <v>8</v>
      </c>
      <c r="DD335" s="27" t="s">
        <v>7</v>
      </c>
      <c r="DG335" s="27" t="s">
        <v>8</v>
      </c>
      <c r="DH335" s="27" t="s">
        <v>7</v>
      </c>
      <c r="DI335" s="27" t="s">
        <v>8</v>
      </c>
      <c r="DJ335" s="27" t="s">
        <v>7</v>
      </c>
      <c r="DK335" s="27" t="s">
        <v>8</v>
      </c>
      <c r="DR335" s="27" t="s">
        <v>7</v>
      </c>
      <c r="DS335" s="27" t="s">
        <v>8</v>
      </c>
      <c r="EL335" s="27" t="s">
        <v>7</v>
      </c>
      <c r="EM335" s="27" t="s">
        <v>8</v>
      </c>
      <c r="EO335" s="27" t="s">
        <v>8</v>
      </c>
      <c r="EP335" s="27" t="s">
        <v>7</v>
      </c>
      <c r="EQ335" s="27" t="s">
        <v>8</v>
      </c>
      <c r="ER335" s="27" t="s">
        <v>7</v>
      </c>
      <c r="ES335" s="27" t="s">
        <v>8</v>
      </c>
      <c r="FG335" s="27" t="s">
        <v>8</v>
      </c>
      <c r="FH335" s="27" t="s">
        <v>7</v>
      </c>
      <c r="FI335" s="27" t="s">
        <v>8</v>
      </c>
      <c r="FS335" s="27" t="s">
        <v>8</v>
      </c>
      <c r="FT335" s="27" t="s">
        <v>7</v>
      </c>
      <c r="FU335" s="27" t="s">
        <v>8</v>
      </c>
      <c r="GD335" s="27" t="s">
        <v>7</v>
      </c>
      <c r="GE335" s="27" t="s">
        <v>8</v>
      </c>
      <c r="GF335" s="27" t="s">
        <v>7</v>
      </c>
      <c r="GI335" s="27" t="s">
        <v>8</v>
      </c>
      <c r="GJ335" s="27" t="s">
        <v>7</v>
      </c>
    </row>
    <row r="336" spans="1:192" x14ac:dyDescent="0.25">
      <c r="A336" s="7">
        <v>144.09307592152317</v>
      </c>
      <c r="B336"/>
      <c r="C336"/>
      <c r="D336"/>
      <c r="E336"/>
      <c r="CY336" s="27" t="s">
        <v>8</v>
      </c>
      <c r="CZ336" s="27" t="s">
        <v>7</v>
      </c>
      <c r="DA336" s="27" t="s">
        <v>8</v>
      </c>
      <c r="DB336" s="27" t="s">
        <v>7</v>
      </c>
      <c r="DC336" s="27" t="s">
        <v>8</v>
      </c>
      <c r="DD336" s="27" t="s">
        <v>7</v>
      </c>
      <c r="DG336" s="27" t="s">
        <v>8</v>
      </c>
      <c r="DH336" s="27" t="s">
        <v>7</v>
      </c>
      <c r="DI336" s="27" t="s">
        <v>8</v>
      </c>
      <c r="DJ336" s="27" t="s">
        <v>7</v>
      </c>
      <c r="DR336" s="27" t="s">
        <v>7</v>
      </c>
      <c r="EL336" s="27" t="s">
        <v>7</v>
      </c>
      <c r="EM336" s="27" t="s">
        <v>8</v>
      </c>
      <c r="EN336" s="27" t="s">
        <v>7</v>
      </c>
      <c r="EO336" s="27" t="s">
        <v>8</v>
      </c>
      <c r="EP336" s="27" t="s">
        <v>7</v>
      </c>
      <c r="EQ336" s="27" t="s">
        <v>8</v>
      </c>
      <c r="ER336" s="27" t="s">
        <v>7</v>
      </c>
      <c r="ES336" s="27" t="s">
        <v>8</v>
      </c>
      <c r="ET336" s="27" t="s">
        <v>7</v>
      </c>
      <c r="EY336" s="27" t="s">
        <v>8</v>
      </c>
      <c r="FG336" s="27" t="s">
        <v>8</v>
      </c>
      <c r="FH336" s="27" t="s">
        <v>7</v>
      </c>
      <c r="FI336" s="27" t="s">
        <v>8</v>
      </c>
      <c r="FJ336" s="27" t="s">
        <v>7</v>
      </c>
      <c r="FS336" s="27" t="s">
        <v>8</v>
      </c>
      <c r="FT336" s="27" t="s">
        <v>7</v>
      </c>
      <c r="FU336" s="27" t="s">
        <v>8</v>
      </c>
      <c r="GD336" s="27" t="s">
        <v>7</v>
      </c>
      <c r="GE336" s="27" t="s">
        <v>8</v>
      </c>
      <c r="GF336" s="27" t="s">
        <v>7</v>
      </c>
      <c r="GG336" s="27" t="s">
        <v>8</v>
      </c>
      <c r="GI336" s="27" t="s">
        <v>8</v>
      </c>
      <c r="GJ336" s="27" t="s">
        <v>7</v>
      </c>
    </row>
    <row r="337" spans="1:226" x14ac:dyDescent="0.25">
      <c r="A337" s="7">
        <v>141.26772149168937</v>
      </c>
      <c r="B337"/>
      <c r="C337"/>
      <c r="D337"/>
      <c r="E337"/>
      <c r="CY337" s="27" t="s">
        <v>8</v>
      </c>
      <c r="CZ337" s="27" t="s">
        <v>7</v>
      </c>
      <c r="DA337" s="27" t="s">
        <v>8</v>
      </c>
      <c r="DB337" s="27" t="s">
        <v>7</v>
      </c>
      <c r="DC337" s="27" t="s">
        <v>8</v>
      </c>
      <c r="DD337" s="27" t="s">
        <v>7</v>
      </c>
      <c r="DE337" s="27" t="s">
        <v>8</v>
      </c>
      <c r="DG337" s="27" t="s">
        <v>8</v>
      </c>
      <c r="DH337" s="27" t="s">
        <v>7</v>
      </c>
      <c r="DI337" s="27" t="s">
        <v>8</v>
      </c>
      <c r="EL337" s="27" t="s">
        <v>7</v>
      </c>
      <c r="EM337" s="27" t="s">
        <v>8</v>
      </c>
      <c r="EN337" s="27" t="s">
        <v>7</v>
      </c>
      <c r="EO337" s="27" t="s">
        <v>8</v>
      </c>
      <c r="EP337" s="27" t="s">
        <v>7</v>
      </c>
      <c r="EQ337" s="27" t="s">
        <v>8</v>
      </c>
      <c r="ER337" s="27" t="s">
        <v>7</v>
      </c>
      <c r="ES337" s="27" t="s">
        <v>8</v>
      </c>
      <c r="ET337" s="27" t="s">
        <v>7</v>
      </c>
      <c r="EU337" s="27" t="s">
        <v>8</v>
      </c>
      <c r="EW337" s="27" t="s">
        <v>8</v>
      </c>
      <c r="EY337" s="27" t="s">
        <v>8</v>
      </c>
      <c r="EZ337" s="27" t="s">
        <v>7</v>
      </c>
      <c r="FA337" s="27" t="s">
        <v>8</v>
      </c>
      <c r="FG337" s="27" t="s">
        <v>8</v>
      </c>
      <c r="FH337" s="27" t="s">
        <v>7</v>
      </c>
      <c r="FI337" s="27" t="s">
        <v>8</v>
      </c>
      <c r="FJ337" s="27" t="s">
        <v>7</v>
      </c>
      <c r="FK337" s="27" t="s">
        <v>8</v>
      </c>
      <c r="FQ337" s="27" t="s">
        <v>8</v>
      </c>
      <c r="FS337" s="27" t="s">
        <v>8</v>
      </c>
      <c r="FT337" s="27" t="s">
        <v>7</v>
      </c>
      <c r="FU337" s="27" t="s">
        <v>8</v>
      </c>
      <c r="GD337" s="27" t="s">
        <v>7</v>
      </c>
      <c r="GF337" s="27" t="s">
        <v>7</v>
      </c>
      <c r="GG337" s="27" t="s">
        <v>8</v>
      </c>
      <c r="GH337" s="27" t="s">
        <v>7</v>
      </c>
      <c r="GI337" s="27" t="s">
        <v>8</v>
      </c>
      <c r="GJ337" s="27" t="s">
        <v>7</v>
      </c>
    </row>
    <row r="338" spans="1:226" x14ac:dyDescent="0.25">
      <c r="A338" s="7">
        <v>138.4977661683229</v>
      </c>
      <c r="B338"/>
      <c r="C338"/>
      <c r="D338"/>
      <c r="E338"/>
      <c r="CY338" s="27" t="s">
        <v>8</v>
      </c>
      <c r="CZ338" s="27" t="s">
        <v>7</v>
      </c>
      <c r="DA338" s="27" t="s">
        <v>8</v>
      </c>
      <c r="DB338" s="27" t="s">
        <v>7</v>
      </c>
      <c r="DC338" s="27" t="s">
        <v>8</v>
      </c>
      <c r="DD338" s="27" t="s">
        <v>7</v>
      </c>
      <c r="DE338" s="27" t="s">
        <v>8</v>
      </c>
      <c r="DF338" s="27" t="s">
        <v>7</v>
      </c>
      <c r="DG338" s="27" t="s">
        <v>8</v>
      </c>
      <c r="DH338" s="27" t="s">
        <v>7</v>
      </c>
      <c r="DI338" s="27" t="s">
        <v>8</v>
      </c>
      <c r="EL338" s="27" t="s">
        <v>7</v>
      </c>
      <c r="EM338" s="27" t="s">
        <v>8</v>
      </c>
      <c r="EN338" s="27" t="s">
        <v>7</v>
      </c>
      <c r="EO338" s="27" t="s">
        <v>8</v>
      </c>
      <c r="EP338" s="27" t="s">
        <v>7</v>
      </c>
      <c r="EQ338" s="27" t="s">
        <v>8</v>
      </c>
      <c r="ER338" s="27" t="s">
        <v>7</v>
      </c>
      <c r="ES338" s="27" t="s">
        <v>8</v>
      </c>
      <c r="ET338" s="27" t="s">
        <v>7</v>
      </c>
      <c r="EU338" s="27" t="s">
        <v>8</v>
      </c>
      <c r="EV338" s="27" t="s">
        <v>7</v>
      </c>
      <c r="EW338" s="27" t="s">
        <v>8</v>
      </c>
      <c r="EX338" s="27" t="s">
        <v>7</v>
      </c>
      <c r="EY338" s="27" t="s">
        <v>8</v>
      </c>
      <c r="EZ338" s="27" t="s">
        <v>7</v>
      </c>
      <c r="FA338" s="27" t="s">
        <v>8</v>
      </c>
      <c r="FB338" s="27" t="s">
        <v>7</v>
      </c>
      <c r="FG338" s="27" t="s">
        <v>8</v>
      </c>
      <c r="FH338" s="27" t="s">
        <v>7</v>
      </c>
      <c r="FI338" s="27" t="s">
        <v>8</v>
      </c>
      <c r="FJ338" s="27" t="s">
        <v>7</v>
      </c>
      <c r="FK338" s="27" t="s">
        <v>8</v>
      </c>
      <c r="FL338" s="27" t="s">
        <v>7</v>
      </c>
      <c r="FM338" s="27" t="s">
        <v>8</v>
      </c>
      <c r="FQ338" s="27" t="s">
        <v>8</v>
      </c>
      <c r="FR338" s="27" t="s">
        <v>7</v>
      </c>
      <c r="FS338" s="27" t="s">
        <v>8</v>
      </c>
      <c r="FT338" s="27" t="s">
        <v>7</v>
      </c>
      <c r="FU338" s="27" t="s">
        <v>8</v>
      </c>
      <c r="GF338" s="27" t="s">
        <v>7</v>
      </c>
      <c r="GG338" s="27" t="s">
        <v>8</v>
      </c>
      <c r="GH338" s="27" t="s">
        <v>7</v>
      </c>
      <c r="GI338" s="27" t="s">
        <v>8</v>
      </c>
      <c r="GJ338" s="27" t="s">
        <v>7</v>
      </c>
      <c r="GO338" s="27" t="s">
        <v>8</v>
      </c>
    </row>
    <row r="339" spans="1:226" x14ac:dyDescent="0.25">
      <c r="A339" s="7">
        <v>135.7821236944342</v>
      </c>
      <c r="B339"/>
      <c r="C339"/>
      <c r="D339"/>
      <c r="E339"/>
      <c r="CY339" s="27" t="s">
        <v>8</v>
      </c>
      <c r="CZ339" s="27" t="s">
        <v>7</v>
      </c>
      <c r="DA339" s="27" t="s">
        <v>8</v>
      </c>
      <c r="DB339" s="27" t="s">
        <v>7</v>
      </c>
      <c r="DC339" s="27" t="s">
        <v>8</v>
      </c>
      <c r="DD339" s="27" t="s">
        <v>7</v>
      </c>
      <c r="DE339" s="27" t="s">
        <v>8</v>
      </c>
      <c r="DF339" s="27" t="s">
        <v>7</v>
      </c>
      <c r="DG339" s="27" t="s">
        <v>8</v>
      </c>
      <c r="DH339" s="27" t="s">
        <v>7</v>
      </c>
      <c r="DI339" s="27" t="s">
        <v>8</v>
      </c>
      <c r="EL339" s="27" t="s">
        <v>7</v>
      </c>
      <c r="EM339" s="27" t="s">
        <v>8</v>
      </c>
      <c r="EN339" s="27" t="s">
        <v>7</v>
      </c>
      <c r="EO339" s="27" t="s">
        <v>8</v>
      </c>
      <c r="EP339" s="27" t="s">
        <v>7</v>
      </c>
      <c r="EQ339" s="27" t="s">
        <v>8</v>
      </c>
      <c r="ER339" s="27" t="s">
        <v>7</v>
      </c>
      <c r="ES339" s="27" t="s">
        <v>8</v>
      </c>
      <c r="ET339" s="27" t="s">
        <v>7</v>
      </c>
      <c r="EU339" s="27" t="s">
        <v>8</v>
      </c>
      <c r="EV339" s="27" t="s">
        <v>7</v>
      </c>
      <c r="EW339" s="27" t="s">
        <v>8</v>
      </c>
      <c r="EX339" s="27" t="s">
        <v>7</v>
      </c>
      <c r="EY339" s="27" t="s">
        <v>8</v>
      </c>
      <c r="EZ339" s="27" t="s">
        <v>7</v>
      </c>
      <c r="FA339" s="27" t="s">
        <v>8</v>
      </c>
      <c r="FB339" s="27" t="s">
        <v>7</v>
      </c>
      <c r="FG339" s="27" t="s">
        <v>8</v>
      </c>
      <c r="FH339" s="27" t="s">
        <v>7</v>
      </c>
      <c r="FI339" s="27" t="s">
        <v>8</v>
      </c>
      <c r="FJ339" s="27" t="s">
        <v>7</v>
      </c>
      <c r="FK339" s="27" t="s">
        <v>8</v>
      </c>
      <c r="FL339" s="27" t="s">
        <v>7</v>
      </c>
      <c r="FM339" s="27" t="s">
        <v>8</v>
      </c>
      <c r="FN339" s="27" t="s">
        <v>7</v>
      </c>
      <c r="FQ339" s="27" t="s">
        <v>8</v>
      </c>
      <c r="FR339" s="27" t="s">
        <v>7</v>
      </c>
      <c r="FS339" s="27" t="s">
        <v>8</v>
      </c>
      <c r="FT339" s="27" t="s">
        <v>7</v>
      </c>
      <c r="FU339" s="27" t="s">
        <v>8</v>
      </c>
      <c r="GF339" s="27" t="s">
        <v>7</v>
      </c>
      <c r="GH339" s="27" t="s">
        <v>7</v>
      </c>
      <c r="GI339" s="27" t="s">
        <v>8</v>
      </c>
      <c r="GJ339" s="27" t="s">
        <v>7</v>
      </c>
      <c r="GO339" s="27" t="s">
        <v>8</v>
      </c>
      <c r="GP339" s="27" t="s">
        <v>7</v>
      </c>
    </row>
    <row r="340" spans="1:226" x14ac:dyDescent="0.25">
      <c r="A340" s="7">
        <v>133.11972911219038</v>
      </c>
      <c r="B340"/>
      <c r="C340"/>
      <c r="D340"/>
      <c r="E340"/>
      <c r="CY340" s="27" t="s">
        <v>8</v>
      </c>
      <c r="CZ340" s="27" t="s">
        <v>7</v>
      </c>
      <c r="DA340" s="27" t="s">
        <v>8</v>
      </c>
      <c r="DB340" s="27" t="s">
        <v>7</v>
      </c>
      <c r="DC340" s="27" t="s">
        <v>8</v>
      </c>
      <c r="DD340" s="27" t="s">
        <v>7</v>
      </c>
      <c r="DE340" s="27" t="s">
        <v>8</v>
      </c>
      <c r="DF340" s="27" t="s">
        <v>7</v>
      </c>
      <c r="DG340" s="27" t="s">
        <v>8</v>
      </c>
      <c r="DH340" s="27" t="s">
        <v>7</v>
      </c>
      <c r="EL340" s="27" t="s">
        <v>7</v>
      </c>
      <c r="EM340" s="27" t="s">
        <v>8</v>
      </c>
      <c r="EN340" s="27" t="s">
        <v>7</v>
      </c>
      <c r="EO340" s="27" t="s">
        <v>8</v>
      </c>
      <c r="EP340" s="27" t="s">
        <v>7</v>
      </c>
      <c r="EQ340" s="27" t="s">
        <v>8</v>
      </c>
      <c r="ER340" s="27" t="s">
        <v>7</v>
      </c>
      <c r="ET340" s="27" t="s">
        <v>7</v>
      </c>
      <c r="EU340" s="27" t="s">
        <v>8</v>
      </c>
      <c r="EV340" s="27" t="s">
        <v>7</v>
      </c>
      <c r="EX340" s="27" t="s">
        <v>7</v>
      </c>
      <c r="EY340" s="27" t="s">
        <v>8</v>
      </c>
      <c r="EZ340" s="27" t="s">
        <v>7</v>
      </c>
      <c r="FB340" s="27" t="s">
        <v>7</v>
      </c>
      <c r="FG340" s="27" t="s">
        <v>8</v>
      </c>
      <c r="FH340" s="27" t="s">
        <v>7</v>
      </c>
      <c r="FI340" s="27" t="s">
        <v>8</v>
      </c>
      <c r="FJ340" s="27" t="s">
        <v>7</v>
      </c>
      <c r="FL340" s="27" t="s">
        <v>7</v>
      </c>
      <c r="FM340" s="27" t="s">
        <v>8</v>
      </c>
      <c r="FN340" s="27" t="s">
        <v>7</v>
      </c>
      <c r="FQ340" s="27" t="s">
        <v>8</v>
      </c>
      <c r="FR340" s="27" t="s">
        <v>7</v>
      </c>
      <c r="FS340" s="27" t="s">
        <v>8</v>
      </c>
      <c r="FT340" s="27" t="s">
        <v>7</v>
      </c>
      <c r="FU340" s="27" t="s">
        <v>8</v>
      </c>
      <c r="GH340" s="27" t="s">
        <v>7</v>
      </c>
      <c r="GJ340" s="27" t="s">
        <v>7</v>
      </c>
      <c r="GO340" s="27" t="s">
        <v>8</v>
      </c>
      <c r="GP340" s="27" t="s">
        <v>7</v>
      </c>
    </row>
    <row r="341" spans="1:226" x14ac:dyDescent="0.25">
      <c r="A341" s="7">
        <v>130.50953834528468</v>
      </c>
      <c r="B341"/>
      <c r="C341"/>
      <c r="D341"/>
      <c r="E341"/>
      <c r="CY341" s="27" t="s">
        <v>8</v>
      </c>
      <c r="CZ341" s="27" t="s">
        <v>7</v>
      </c>
      <c r="DB341" s="27" t="s">
        <v>7</v>
      </c>
      <c r="DC341" s="27" t="s">
        <v>8</v>
      </c>
      <c r="DD341" s="27" t="s">
        <v>7</v>
      </c>
      <c r="DE341" s="27" t="s">
        <v>8</v>
      </c>
      <c r="DF341" s="27" t="s">
        <v>7</v>
      </c>
      <c r="DG341" s="27" t="s">
        <v>8</v>
      </c>
      <c r="EL341" s="27" t="s">
        <v>7</v>
      </c>
      <c r="EM341" s="27" t="s">
        <v>8</v>
      </c>
      <c r="EN341" s="27" t="s">
        <v>7</v>
      </c>
      <c r="EO341" s="27" t="s">
        <v>8</v>
      </c>
      <c r="EP341" s="27" t="s">
        <v>7</v>
      </c>
      <c r="ET341" s="27" t="s">
        <v>7</v>
      </c>
      <c r="EU341" s="27" t="s">
        <v>8</v>
      </c>
      <c r="EX341" s="27" t="s">
        <v>7</v>
      </c>
      <c r="EY341" s="27" t="s">
        <v>8</v>
      </c>
      <c r="FB341" s="27" t="s">
        <v>7</v>
      </c>
      <c r="FG341" s="27" t="s">
        <v>8</v>
      </c>
      <c r="FH341" s="27" t="s">
        <v>7</v>
      </c>
      <c r="FI341" s="27" t="s">
        <v>8</v>
      </c>
      <c r="FL341" s="27" t="s">
        <v>7</v>
      </c>
      <c r="FM341" s="27" t="s">
        <v>8</v>
      </c>
      <c r="FN341" s="27" t="s">
        <v>7</v>
      </c>
      <c r="FQ341" s="27" t="s">
        <v>8</v>
      </c>
      <c r="FR341" s="27" t="s">
        <v>7</v>
      </c>
      <c r="FS341" s="27" t="s">
        <v>8</v>
      </c>
      <c r="FT341" s="27" t="s">
        <v>7</v>
      </c>
      <c r="FU341" s="27" t="s">
        <v>8</v>
      </c>
      <c r="GJ341" s="27" t="s">
        <v>7</v>
      </c>
      <c r="GO341" s="27" t="s">
        <v>8</v>
      </c>
      <c r="GP341" s="27" t="s">
        <v>7</v>
      </c>
      <c r="GS341" s="27" t="s">
        <v>8</v>
      </c>
    </row>
    <row r="342" spans="1:226" x14ac:dyDescent="0.25">
      <c r="A342" s="7">
        <v>127.95052778949477</v>
      </c>
      <c r="B342"/>
      <c r="C342"/>
      <c r="D342"/>
      <c r="E342"/>
      <c r="CY342" s="27" t="s">
        <v>8</v>
      </c>
      <c r="DB342" s="27" t="s">
        <v>7</v>
      </c>
      <c r="DC342" s="27" t="s">
        <v>8</v>
      </c>
      <c r="DD342" s="27" t="s">
        <v>7</v>
      </c>
      <c r="DE342" s="27" t="s">
        <v>8</v>
      </c>
      <c r="DF342" s="27" t="s">
        <v>7</v>
      </c>
      <c r="EL342" s="27" t="s">
        <v>7</v>
      </c>
      <c r="EM342" s="27" t="s">
        <v>8</v>
      </c>
      <c r="EN342" s="27" t="s">
        <v>7</v>
      </c>
      <c r="EO342" s="27" t="s">
        <v>8</v>
      </c>
      <c r="ET342" s="27" t="s">
        <v>7</v>
      </c>
      <c r="EU342" s="27" t="s">
        <v>8</v>
      </c>
      <c r="EX342" s="27" t="s">
        <v>7</v>
      </c>
      <c r="EY342" s="27" t="s">
        <v>8</v>
      </c>
      <c r="FB342" s="27" t="s">
        <v>7</v>
      </c>
      <c r="FG342" s="27" t="s">
        <v>8</v>
      </c>
      <c r="FH342" s="27" t="s">
        <v>7</v>
      </c>
      <c r="FL342" s="27" t="s">
        <v>7</v>
      </c>
      <c r="FM342" s="27" t="s">
        <v>8</v>
      </c>
      <c r="FN342" s="27" t="s">
        <v>7</v>
      </c>
      <c r="FQ342" s="27" t="s">
        <v>8</v>
      </c>
      <c r="FR342" s="27" t="s">
        <v>7</v>
      </c>
      <c r="FS342" s="27" t="s">
        <v>8</v>
      </c>
      <c r="FT342" s="27" t="s">
        <v>7</v>
      </c>
      <c r="FU342" s="27" t="s">
        <v>8</v>
      </c>
      <c r="GJ342" s="27" t="s">
        <v>7</v>
      </c>
      <c r="GO342" s="27" t="s">
        <v>8</v>
      </c>
      <c r="GP342" s="27" t="s">
        <v>7</v>
      </c>
      <c r="GQ342" s="27" t="s">
        <v>8</v>
      </c>
      <c r="GS342" s="27" t="s">
        <v>8</v>
      </c>
      <c r="GT342" s="27" t="s">
        <v>7</v>
      </c>
    </row>
    <row r="343" spans="1:226" x14ac:dyDescent="0.25">
      <c r="A343" s="7">
        <v>125.44169391126938</v>
      </c>
      <c r="B343"/>
      <c r="C343"/>
      <c r="D343"/>
      <c r="E343"/>
      <c r="CY343" s="27" t="s">
        <v>8</v>
      </c>
      <c r="DB343" s="27" t="s">
        <v>7</v>
      </c>
      <c r="DC343" s="27" t="s">
        <v>8</v>
      </c>
      <c r="DD343" s="27" t="s">
        <v>7</v>
      </c>
      <c r="DE343" s="27" t="s">
        <v>8</v>
      </c>
      <c r="EL343" s="27" t="s">
        <v>7</v>
      </c>
      <c r="EM343" s="27" t="s">
        <v>8</v>
      </c>
      <c r="EN343" s="27" t="s">
        <v>7</v>
      </c>
      <c r="EO343" s="27" t="s">
        <v>8</v>
      </c>
      <c r="ET343" s="27" t="s">
        <v>7</v>
      </c>
      <c r="EU343" s="27" t="s">
        <v>8</v>
      </c>
      <c r="EX343" s="27" t="s">
        <v>7</v>
      </c>
      <c r="FB343" s="27" t="s">
        <v>7</v>
      </c>
      <c r="FC343" s="27" t="s">
        <v>8</v>
      </c>
      <c r="FG343" s="27" t="s">
        <v>8</v>
      </c>
      <c r="FL343" s="27" t="s">
        <v>7</v>
      </c>
      <c r="FM343" s="27" t="s">
        <v>8</v>
      </c>
      <c r="FN343" s="27" t="s">
        <v>7</v>
      </c>
      <c r="FQ343" s="27" t="s">
        <v>8</v>
      </c>
      <c r="FR343" s="27" t="s">
        <v>7</v>
      </c>
      <c r="FS343" s="27" t="s">
        <v>8</v>
      </c>
      <c r="FT343" s="27" t="s">
        <v>7</v>
      </c>
      <c r="GJ343" s="27" t="s">
        <v>7</v>
      </c>
      <c r="GK343" s="27" t="s">
        <v>8</v>
      </c>
      <c r="GO343" s="27" t="s">
        <v>8</v>
      </c>
      <c r="GP343" s="27" t="s">
        <v>7</v>
      </c>
      <c r="GQ343" s="27" t="s">
        <v>8</v>
      </c>
      <c r="GR343" s="27" t="s">
        <v>7</v>
      </c>
      <c r="GS343" s="27" t="s">
        <v>8</v>
      </c>
      <c r="GT343" s="27" t="s">
        <v>7</v>
      </c>
    </row>
    <row r="344" spans="1:226" x14ac:dyDescent="0.25">
      <c r="A344" s="7">
        <v>122.98205285418567</v>
      </c>
      <c r="B344"/>
      <c r="C344"/>
      <c r="D344"/>
      <c r="E344"/>
      <c r="CY344" s="27" t="s">
        <v>8</v>
      </c>
      <c r="DB344" s="27" t="s">
        <v>7</v>
      </c>
      <c r="DC344" s="27" t="s">
        <v>8</v>
      </c>
      <c r="DD344" s="27" t="s">
        <v>7</v>
      </c>
      <c r="DE344" s="27" t="s">
        <v>8</v>
      </c>
      <c r="EL344" s="27" t="s">
        <v>7</v>
      </c>
      <c r="EM344" s="27" t="s">
        <v>8</v>
      </c>
      <c r="EN344" s="27" t="s">
        <v>7</v>
      </c>
      <c r="EO344" s="27" t="s">
        <v>8</v>
      </c>
      <c r="ET344" s="27" t="s">
        <v>7</v>
      </c>
      <c r="EU344" s="27" t="s">
        <v>8</v>
      </c>
      <c r="FB344" s="27" t="s">
        <v>7</v>
      </c>
      <c r="FC344" s="27" t="s">
        <v>8</v>
      </c>
      <c r="FD344" s="27" t="s">
        <v>7</v>
      </c>
      <c r="FG344" s="27" t="s">
        <v>8</v>
      </c>
      <c r="FL344" s="27" t="s">
        <v>7</v>
      </c>
      <c r="FM344" s="27" t="s">
        <v>8</v>
      </c>
      <c r="FN344" s="27" t="s">
        <v>7</v>
      </c>
      <c r="FQ344" s="27" t="s">
        <v>8</v>
      </c>
      <c r="FR344" s="27" t="s">
        <v>7</v>
      </c>
      <c r="GJ344" s="27" t="s">
        <v>7</v>
      </c>
      <c r="GK344" s="27" t="s">
        <v>8</v>
      </c>
      <c r="GL344" s="27" t="s">
        <v>7</v>
      </c>
      <c r="GO344" s="27" t="s">
        <v>8</v>
      </c>
      <c r="GP344" s="27" t="s">
        <v>7</v>
      </c>
      <c r="GQ344" s="27" t="s">
        <v>8</v>
      </c>
      <c r="GR344" s="27" t="s">
        <v>7</v>
      </c>
      <c r="GS344" s="27" t="s">
        <v>8</v>
      </c>
      <c r="GT344" s="27" t="s">
        <v>7</v>
      </c>
    </row>
    <row r="345" spans="1:226" x14ac:dyDescent="0.25">
      <c r="A345" s="7">
        <v>120.5706400531232</v>
      </c>
      <c r="B345"/>
      <c r="C345"/>
      <c r="D345"/>
      <c r="E345"/>
      <c r="CW345" s="27" t="s">
        <v>8</v>
      </c>
      <c r="CY345" s="27" t="s">
        <v>8</v>
      </c>
      <c r="DB345" s="27" t="s">
        <v>7</v>
      </c>
      <c r="DC345" s="27" t="s">
        <v>8</v>
      </c>
      <c r="DD345" s="27" t="s">
        <v>7</v>
      </c>
      <c r="EL345" s="27" t="s">
        <v>7</v>
      </c>
      <c r="EM345" s="27" t="s">
        <v>8</v>
      </c>
      <c r="EN345" s="27" t="s">
        <v>7</v>
      </c>
      <c r="EO345" s="27" t="s">
        <v>8</v>
      </c>
      <c r="ET345" s="27" t="s">
        <v>7</v>
      </c>
      <c r="EU345" s="27" t="s">
        <v>8</v>
      </c>
      <c r="FB345" s="27" t="s">
        <v>7</v>
      </c>
      <c r="FC345" s="27" t="s">
        <v>8</v>
      </c>
      <c r="FD345" s="27" t="s">
        <v>7</v>
      </c>
      <c r="FG345" s="27" t="s">
        <v>8</v>
      </c>
      <c r="FL345" s="27" t="s">
        <v>7</v>
      </c>
      <c r="FM345" s="27" t="s">
        <v>8</v>
      </c>
      <c r="FN345" s="27" t="s">
        <v>7</v>
      </c>
      <c r="FQ345" s="27" t="s">
        <v>8</v>
      </c>
      <c r="GJ345" s="27" t="s">
        <v>7</v>
      </c>
      <c r="GK345" s="27" t="s">
        <v>8</v>
      </c>
      <c r="GL345" s="27" t="s">
        <v>7</v>
      </c>
      <c r="GO345" s="27" t="s">
        <v>8</v>
      </c>
      <c r="GP345" s="27" t="s">
        <v>7</v>
      </c>
      <c r="GQ345" s="27" t="s">
        <v>8</v>
      </c>
      <c r="GR345" s="27" t="s">
        <v>7</v>
      </c>
      <c r="GT345" s="27" t="s">
        <v>7</v>
      </c>
      <c r="HC345" s="27" t="s">
        <v>8</v>
      </c>
    </row>
    <row r="346" spans="1:226" x14ac:dyDescent="0.25">
      <c r="A346" s="7">
        <v>118.20650985600314</v>
      </c>
      <c r="B346"/>
      <c r="C346"/>
      <c r="D346"/>
      <c r="E346"/>
      <c r="CW346" s="27" t="s">
        <v>8</v>
      </c>
      <c r="CX346" s="27" t="s">
        <v>7</v>
      </c>
      <c r="CY346" s="27" t="s">
        <v>8</v>
      </c>
      <c r="DB346" s="27" t="s">
        <v>7</v>
      </c>
      <c r="DC346" s="27" t="s">
        <v>8</v>
      </c>
      <c r="EL346" s="27" t="s">
        <v>7</v>
      </c>
      <c r="EM346" s="27" t="s">
        <v>8</v>
      </c>
      <c r="EN346" s="27" t="s">
        <v>7</v>
      </c>
      <c r="EO346" s="27" t="s">
        <v>8</v>
      </c>
      <c r="ET346" s="27" t="s">
        <v>7</v>
      </c>
      <c r="FB346" s="27" t="s">
        <v>7</v>
      </c>
      <c r="FC346" s="27" t="s">
        <v>8</v>
      </c>
      <c r="FD346" s="27" t="s">
        <v>7</v>
      </c>
      <c r="FG346" s="27" t="s">
        <v>8</v>
      </c>
      <c r="FL346" s="27" t="s">
        <v>7</v>
      </c>
      <c r="FN346" s="27" t="s">
        <v>7</v>
      </c>
      <c r="FO346" s="27" t="s">
        <v>8</v>
      </c>
      <c r="FQ346" s="27" t="s">
        <v>8</v>
      </c>
      <c r="GJ346" s="27" t="s">
        <v>7</v>
      </c>
      <c r="GK346" s="27" t="s">
        <v>8</v>
      </c>
      <c r="GL346" s="27" t="s">
        <v>7</v>
      </c>
      <c r="GM346" s="27" t="s">
        <v>8</v>
      </c>
      <c r="GO346" s="27" t="s">
        <v>8</v>
      </c>
      <c r="GP346" s="27" t="s">
        <v>7</v>
      </c>
      <c r="GQ346" s="27" t="s">
        <v>8</v>
      </c>
      <c r="GT346" s="27" t="s">
        <v>7</v>
      </c>
      <c r="GU346" s="27" t="s">
        <v>8</v>
      </c>
      <c r="HC346" s="27" t="s">
        <v>8</v>
      </c>
      <c r="HD346" s="27" t="s">
        <v>7</v>
      </c>
    </row>
    <row r="347" spans="1:226" x14ac:dyDescent="0.25">
      <c r="A347" s="7">
        <v>115.88873515294425</v>
      </c>
      <c r="B347"/>
      <c r="C347"/>
      <c r="D347"/>
      <c r="E347"/>
      <c r="CW347" s="27" t="s">
        <v>8</v>
      </c>
      <c r="CX347" s="27" t="s">
        <v>7</v>
      </c>
      <c r="CY347" s="27" t="s">
        <v>8</v>
      </c>
      <c r="DB347" s="27" t="s">
        <v>7</v>
      </c>
      <c r="DC347" s="27" t="s">
        <v>8</v>
      </c>
      <c r="EL347" s="27" t="s">
        <v>7</v>
      </c>
      <c r="EM347" s="27" t="s">
        <v>8</v>
      </c>
      <c r="EN347" s="27" t="s">
        <v>7</v>
      </c>
      <c r="EO347" s="27" t="s">
        <v>8</v>
      </c>
      <c r="FB347" s="27" t="s">
        <v>7</v>
      </c>
      <c r="FC347" s="27" t="s">
        <v>8</v>
      </c>
      <c r="FD347" s="27" t="s">
        <v>7</v>
      </c>
      <c r="FG347" s="27" t="s">
        <v>8</v>
      </c>
      <c r="FN347" s="27" t="s">
        <v>7</v>
      </c>
      <c r="FO347" s="27" t="s">
        <v>8</v>
      </c>
      <c r="FP347" s="27" t="s">
        <v>7</v>
      </c>
      <c r="FQ347" s="27" t="s">
        <v>8</v>
      </c>
      <c r="GJ347" s="27" t="s">
        <v>7</v>
      </c>
      <c r="GK347" s="27" t="s">
        <v>8</v>
      </c>
      <c r="GL347" s="27" t="s">
        <v>7</v>
      </c>
      <c r="GM347" s="27" t="s">
        <v>8</v>
      </c>
      <c r="GN347" s="27" t="s">
        <v>7</v>
      </c>
      <c r="GO347" s="27" t="s">
        <v>8</v>
      </c>
      <c r="GP347" s="27" t="s">
        <v>7</v>
      </c>
      <c r="GQ347" s="27" t="s">
        <v>8</v>
      </c>
      <c r="GT347" s="27" t="s">
        <v>7</v>
      </c>
      <c r="GU347" s="27" t="s">
        <v>8</v>
      </c>
      <c r="GV347" s="27" t="s">
        <v>7</v>
      </c>
      <c r="GW347" s="27" t="s">
        <v>8</v>
      </c>
      <c r="HA347" s="27" t="s">
        <v>8</v>
      </c>
      <c r="HC347" s="27" t="s">
        <v>8</v>
      </c>
      <c r="HD347" s="27" t="s">
        <v>7</v>
      </c>
    </row>
    <row r="348" spans="1:226" x14ac:dyDescent="0.25">
      <c r="A348" s="7">
        <v>113.61640701269044</v>
      </c>
      <c r="B348"/>
      <c r="C348"/>
      <c r="D348"/>
      <c r="E348"/>
      <c r="CW348" s="27" t="s">
        <v>8</v>
      </c>
      <c r="CX348" s="27" t="s">
        <v>7</v>
      </c>
      <c r="CY348" s="27" t="s">
        <v>8</v>
      </c>
      <c r="DB348" s="27" t="s">
        <v>7</v>
      </c>
      <c r="DC348" s="27" t="s">
        <v>8</v>
      </c>
      <c r="EL348" s="27" t="s">
        <v>7</v>
      </c>
      <c r="EM348" s="27" t="s">
        <v>8</v>
      </c>
      <c r="EN348" s="27" t="s">
        <v>7</v>
      </c>
      <c r="EO348" s="27" t="s">
        <v>8</v>
      </c>
      <c r="FB348" s="27" t="s">
        <v>7</v>
      </c>
      <c r="FD348" s="27" t="s">
        <v>7</v>
      </c>
      <c r="FE348" s="27" t="s">
        <v>8</v>
      </c>
      <c r="FG348" s="27" t="s">
        <v>8</v>
      </c>
      <c r="FN348" s="27" t="s">
        <v>7</v>
      </c>
      <c r="FO348" s="27" t="s">
        <v>8</v>
      </c>
      <c r="FP348" s="27" t="s">
        <v>7</v>
      </c>
      <c r="FQ348" s="27" t="s">
        <v>8</v>
      </c>
      <c r="GJ348" s="27" t="s">
        <v>7</v>
      </c>
      <c r="GK348" s="27" t="s">
        <v>8</v>
      </c>
      <c r="GL348" s="27" t="s">
        <v>7</v>
      </c>
      <c r="GM348" s="27" t="s">
        <v>8</v>
      </c>
      <c r="GN348" s="27" t="s">
        <v>7</v>
      </c>
      <c r="GO348" s="27" t="s">
        <v>8</v>
      </c>
      <c r="GP348" s="27" t="s">
        <v>7</v>
      </c>
      <c r="GT348" s="27" t="s">
        <v>7</v>
      </c>
      <c r="GU348" s="27" t="s">
        <v>8</v>
      </c>
      <c r="GV348" s="27" t="s">
        <v>7</v>
      </c>
      <c r="GW348" s="27" t="s">
        <v>8</v>
      </c>
      <c r="GX348" s="27" t="s">
        <v>7</v>
      </c>
      <c r="HA348" s="27" t="s">
        <v>8</v>
      </c>
      <c r="HB348" s="27" t="s">
        <v>7</v>
      </c>
      <c r="HC348" s="27" t="s">
        <v>8</v>
      </c>
      <c r="HD348" s="27" t="s">
        <v>7</v>
      </c>
      <c r="HQ348" s="27" t="s">
        <v>8</v>
      </c>
    </row>
    <row r="349" spans="1:226" x14ac:dyDescent="0.25">
      <c r="A349" s="7">
        <v>111.38863432616711</v>
      </c>
      <c r="B349"/>
      <c r="C349"/>
      <c r="D349"/>
      <c r="E349"/>
      <c r="CU349" s="27" t="s">
        <v>8</v>
      </c>
      <c r="CW349" s="27" t="s">
        <v>8</v>
      </c>
      <c r="CX349" s="27" t="s">
        <v>7</v>
      </c>
      <c r="CY349" s="27" t="s">
        <v>8</v>
      </c>
      <c r="DB349" s="27" t="s">
        <v>7</v>
      </c>
      <c r="EL349" s="27" t="s">
        <v>7</v>
      </c>
      <c r="EM349" s="27" t="s">
        <v>8</v>
      </c>
      <c r="EN349" s="27" t="s">
        <v>7</v>
      </c>
      <c r="EO349" s="27" t="s">
        <v>8</v>
      </c>
      <c r="FD349" s="27" t="s">
        <v>7</v>
      </c>
      <c r="FE349" s="27" t="s">
        <v>8</v>
      </c>
      <c r="FF349" s="27" t="s">
        <v>7</v>
      </c>
      <c r="FG349" s="27" t="s">
        <v>8</v>
      </c>
      <c r="FN349" s="27" t="s">
        <v>7</v>
      </c>
      <c r="FP349" s="27" t="s">
        <v>7</v>
      </c>
      <c r="FQ349" s="27" t="s">
        <v>8</v>
      </c>
      <c r="GJ349" s="27" t="s">
        <v>7</v>
      </c>
      <c r="GK349" s="27" t="s">
        <v>8</v>
      </c>
      <c r="GL349" s="27" t="s">
        <v>7</v>
      </c>
      <c r="GM349" s="27" t="s">
        <v>8</v>
      </c>
      <c r="GN349" s="27" t="s">
        <v>7</v>
      </c>
      <c r="GO349" s="27" t="s">
        <v>8</v>
      </c>
      <c r="GT349" s="27" t="s">
        <v>7</v>
      </c>
      <c r="GU349" s="27" t="s">
        <v>8</v>
      </c>
      <c r="GV349" s="27" t="s">
        <v>7</v>
      </c>
      <c r="GW349" s="27" t="s">
        <v>8</v>
      </c>
      <c r="GX349" s="27" t="s">
        <v>7</v>
      </c>
      <c r="HA349" s="27" t="s">
        <v>8</v>
      </c>
      <c r="HB349" s="27" t="s">
        <v>7</v>
      </c>
      <c r="HC349" s="27" t="s">
        <v>8</v>
      </c>
      <c r="HD349" s="27" t="s">
        <v>7</v>
      </c>
      <c r="HE349" s="27" t="s">
        <v>8</v>
      </c>
      <c r="HG349" s="27" t="s">
        <v>8</v>
      </c>
      <c r="HQ349" s="27" t="s">
        <v>8</v>
      </c>
      <c r="HR349" s="27" t="s">
        <v>7</v>
      </c>
    </row>
    <row r="350" spans="1:226" x14ac:dyDescent="0.25">
      <c r="A350" s="7">
        <v>109.20454345702657</v>
      </c>
      <c r="B350"/>
      <c r="C350"/>
      <c r="D350"/>
      <c r="E350"/>
      <c r="CU350" s="27" t="s">
        <v>8</v>
      </c>
      <c r="CV350" s="27" t="s">
        <v>7</v>
      </c>
      <c r="CW350" s="27" t="s">
        <v>8</v>
      </c>
      <c r="CX350" s="27" t="s">
        <v>7</v>
      </c>
      <c r="CY350" s="27" t="s">
        <v>8</v>
      </c>
      <c r="EL350" s="27" t="s">
        <v>7</v>
      </c>
      <c r="EM350" s="27" t="s">
        <v>8</v>
      </c>
      <c r="EN350" s="27" t="s">
        <v>7</v>
      </c>
      <c r="EO350" s="27" t="s">
        <v>8</v>
      </c>
      <c r="FD350" s="27" t="s">
        <v>7</v>
      </c>
      <c r="FE350" s="27" t="s">
        <v>8</v>
      </c>
      <c r="FF350" s="27" t="s">
        <v>7</v>
      </c>
      <c r="FG350" s="27" t="s">
        <v>8</v>
      </c>
      <c r="FP350" s="27" t="s">
        <v>7</v>
      </c>
      <c r="FQ350" s="27" t="s">
        <v>8</v>
      </c>
      <c r="GJ350" s="27" t="s">
        <v>7</v>
      </c>
      <c r="GK350" s="27" t="s">
        <v>8</v>
      </c>
      <c r="GL350" s="27" t="s">
        <v>7</v>
      </c>
      <c r="GN350" s="27" t="s">
        <v>7</v>
      </c>
      <c r="GO350" s="27" t="s">
        <v>8</v>
      </c>
      <c r="GT350" s="27" t="s">
        <v>7</v>
      </c>
      <c r="GV350" s="27" t="s">
        <v>7</v>
      </c>
      <c r="GW350" s="27" t="s">
        <v>8</v>
      </c>
      <c r="GX350" s="27" t="s">
        <v>7</v>
      </c>
      <c r="GY350" s="27" t="s">
        <v>8</v>
      </c>
      <c r="HA350" s="27" t="s">
        <v>8</v>
      </c>
      <c r="HB350" s="27" t="s">
        <v>7</v>
      </c>
      <c r="HD350" s="27" t="s">
        <v>7</v>
      </c>
      <c r="HE350" s="27" t="s">
        <v>8</v>
      </c>
      <c r="HF350" s="27" t="s">
        <v>7</v>
      </c>
      <c r="HG350" s="27" t="s">
        <v>8</v>
      </c>
      <c r="HH350" s="27" t="s">
        <v>7</v>
      </c>
      <c r="HI350" s="27" t="s">
        <v>8</v>
      </c>
      <c r="HQ350" s="27" t="s">
        <v>8</v>
      </c>
      <c r="HR350" s="27" t="s">
        <v>7</v>
      </c>
    </row>
    <row r="351" spans="1:226" x14ac:dyDescent="0.25">
      <c r="A351" s="7">
        <v>107.06327789904566</v>
      </c>
      <c r="B351"/>
      <c r="C351"/>
      <c r="D351"/>
      <c r="E351"/>
      <c r="CU351" s="27" t="s">
        <v>8</v>
      </c>
      <c r="CV351" s="27" t="s">
        <v>7</v>
      </c>
      <c r="CW351" s="27" t="s">
        <v>8</v>
      </c>
      <c r="CX351" s="27" t="s">
        <v>7</v>
      </c>
      <c r="CY351" s="27" t="s">
        <v>8</v>
      </c>
      <c r="EL351" s="27" t="s">
        <v>7</v>
      </c>
      <c r="EN351" s="27" t="s">
        <v>7</v>
      </c>
      <c r="EO351" s="27" t="s">
        <v>8</v>
      </c>
      <c r="FD351" s="27" t="s">
        <v>7</v>
      </c>
      <c r="FE351" s="27" t="s">
        <v>8</v>
      </c>
      <c r="FF351" s="27" t="s">
        <v>7</v>
      </c>
      <c r="FG351" s="27" t="s">
        <v>8</v>
      </c>
      <c r="FP351" s="27" t="s">
        <v>7</v>
      </c>
      <c r="FQ351" s="27" t="s">
        <v>8</v>
      </c>
      <c r="GJ351" s="27" t="s">
        <v>7</v>
      </c>
      <c r="GK351" s="27" t="s">
        <v>8</v>
      </c>
      <c r="GN351" s="27" t="s">
        <v>7</v>
      </c>
      <c r="GO351" s="27" t="s">
        <v>8</v>
      </c>
      <c r="GV351" s="27" t="s">
        <v>7</v>
      </c>
      <c r="GX351" s="27" t="s">
        <v>7</v>
      </c>
      <c r="GY351" s="27" t="s">
        <v>8</v>
      </c>
      <c r="GZ351" s="27" t="s">
        <v>7</v>
      </c>
      <c r="HA351" s="27" t="s">
        <v>8</v>
      </c>
      <c r="HD351" s="27" t="s">
        <v>7</v>
      </c>
      <c r="HE351" s="27" t="s">
        <v>8</v>
      </c>
      <c r="HF351" s="27" t="s">
        <v>7</v>
      </c>
      <c r="HG351" s="27" t="s">
        <v>8</v>
      </c>
      <c r="HH351" s="27" t="s">
        <v>7</v>
      </c>
      <c r="HI351" s="27" t="s">
        <v>8</v>
      </c>
      <c r="HJ351" s="27" t="s">
        <v>7</v>
      </c>
      <c r="HQ351" s="27" t="s">
        <v>8</v>
      </c>
      <c r="HR351" s="27" t="s">
        <v>7</v>
      </c>
    </row>
    <row r="352" spans="1:226" x14ac:dyDescent="0.25">
      <c r="A352" s="7">
        <v>104.96399794024084</v>
      </c>
      <c r="B352"/>
      <c r="C352"/>
      <c r="D352"/>
      <c r="E352"/>
      <c r="CU352" s="27" t="s">
        <v>8</v>
      </c>
      <c r="CV352" s="27" t="s">
        <v>7</v>
      </c>
      <c r="CW352" s="27" t="s">
        <v>8</v>
      </c>
      <c r="CX352" s="27" t="s">
        <v>7</v>
      </c>
      <c r="CY352" s="27" t="s">
        <v>8</v>
      </c>
      <c r="EN352" s="27" t="s">
        <v>7</v>
      </c>
      <c r="EO352" s="27" t="s">
        <v>8</v>
      </c>
      <c r="FD352" s="27" t="s">
        <v>7</v>
      </c>
      <c r="FE352" s="27" t="s">
        <v>8</v>
      </c>
      <c r="FF352" s="27" t="s">
        <v>7</v>
      </c>
      <c r="FG352" s="27" t="s">
        <v>8</v>
      </c>
      <c r="FP352" s="27" t="s">
        <v>7</v>
      </c>
      <c r="FQ352" s="27" t="s">
        <v>8</v>
      </c>
      <c r="GJ352" s="27" t="s">
        <v>7</v>
      </c>
      <c r="GN352" s="27" t="s">
        <v>7</v>
      </c>
      <c r="GO352" s="27" t="s">
        <v>8</v>
      </c>
      <c r="GX352" s="27" t="s">
        <v>7</v>
      </c>
      <c r="GY352" s="27" t="s">
        <v>8</v>
      </c>
      <c r="GZ352" s="27" t="s">
        <v>7</v>
      </c>
      <c r="HA352" s="27" t="s">
        <v>8</v>
      </c>
      <c r="HD352" s="27" t="s">
        <v>7</v>
      </c>
      <c r="HE352" s="27" t="s">
        <v>8</v>
      </c>
      <c r="HF352" s="27" t="s">
        <v>7</v>
      </c>
      <c r="HH352" s="27" t="s">
        <v>7</v>
      </c>
      <c r="HI352" s="27" t="s">
        <v>8</v>
      </c>
      <c r="HJ352" s="27" t="s">
        <v>7</v>
      </c>
      <c r="HQ352" s="27" t="s">
        <v>8</v>
      </c>
      <c r="HR352" s="27" t="s">
        <v>7</v>
      </c>
    </row>
    <row r="353" spans="1:238" x14ac:dyDescent="0.25">
      <c r="A353" s="7">
        <v>102.90588033356946</v>
      </c>
      <c r="B353"/>
      <c r="C353"/>
      <c r="D353"/>
      <c r="E353"/>
      <c r="CS353" s="27" t="s">
        <v>8</v>
      </c>
      <c r="CU353" s="27" t="s">
        <v>8</v>
      </c>
      <c r="CV353" s="27" t="s">
        <v>7</v>
      </c>
      <c r="CW353" s="27" t="s">
        <v>8</v>
      </c>
      <c r="CX353" s="27" t="s">
        <v>7</v>
      </c>
      <c r="EN353" s="27" t="s">
        <v>7</v>
      </c>
      <c r="EO353" s="27" t="s">
        <v>8</v>
      </c>
      <c r="FD353" s="27" t="s">
        <v>7</v>
      </c>
      <c r="FE353" s="27" t="s">
        <v>8</v>
      </c>
      <c r="FF353" s="27" t="s">
        <v>7</v>
      </c>
      <c r="FP353" s="27" t="s">
        <v>7</v>
      </c>
      <c r="FQ353" s="27" t="s">
        <v>8</v>
      </c>
      <c r="GN353" s="27" t="s">
        <v>7</v>
      </c>
      <c r="GO353" s="27" t="s">
        <v>8</v>
      </c>
      <c r="GX353" s="27" t="s">
        <v>7</v>
      </c>
      <c r="GZ353" s="27" t="s">
        <v>7</v>
      </c>
      <c r="HA353" s="27" t="s">
        <v>8</v>
      </c>
      <c r="HD353" s="27" t="s">
        <v>7</v>
      </c>
      <c r="HH353" s="27" t="s">
        <v>7</v>
      </c>
      <c r="HI353" s="27" t="s">
        <v>8</v>
      </c>
      <c r="HJ353" s="27" t="s">
        <v>7</v>
      </c>
      <c r="HK353" s="27" t="s">
        <v>8</v>
      </c>
      <c r="HQ353" s="27" t="s">
        <v>8</v>
      </c>
      <c r="HR353" s="27" t="s">
        <v>7</v>
      </c>
    </row>
    <row r="354" spans="1:238" x14ac:dyDescent="0.25">
      <c r="A354" s="7">
        <v>100.88811797408771</v>
      </c>
      <c r="B354"/>
      <c r="C354"/>
      <c r="D354"/>
      <c r="E354"/>
      <c r="CS354" s="27" t="s">
        <v>8</v>
      </c>
      <c r="CT354" s="27" t="s">
        <v>7</v>
      </c>
      <c r="CU354" s="27" t="s">
        <v>8</v>
      </c>
      <c r="CV354" s="27" t="s">
        <v>7</v>
      </c>
      <c r="EN354" s="27" t="s">
        <v>7</v>
      </c>
      <c r="EO354" s="27" t="s">
        <v>8</v>
      </c>
      <c r="FD354" s="27" t="s">
        <v>7</v>
      </c>
      <c r="FE354" s="27" t="s">
        <v>8</v>
      </c>
      <c r="FP354" s="18" t="s">
        <v>7</v>
      </c>
      <c r="FQ354" s="27" t="s">
        <v>8</v>
      </c>
      <c r="GN354" s="27" t="s">
        <v>7</v>
      </c>
      <c r="GO354" s="27" t="s">
        <v>8</v>
      </c>
      <c r="GZ354" s="27" t="s">
        <v>7</v>
      </c>
      <c r="HH354" s="27" t="s">
        <v>7</v>
      </c>
      <c r="HI354" s="27" t="s">
        <v>8</v>
      </c>
      <c r="HJ354" s="27" t="s">
        <v>7</v>
      </c>
      <c r="HK354" s="27" t="s">
        <v>8</v>
      </c>
      <c r="HL354" s="27" t="s">
        <v>7</v>
      </c>
      <c r="HQ354" s="27" t="s">
        <v>8</v>
      </c>
      <c r="HR354" s="27" t="s">
        <v>7</v>
      </c>
    </row>
    <row r="355" spans="1:238" x14ac:dyDescent="0.25">
      <c r="A355" s="7">
        <v>98.909919582438931</v>
      </c>
      <c r="B355"/>
      <c r="C355"/>
      <c r="D355"/>
      <c r="E355"/>
      <c r="CS355" s="27" t="s">
        <v>8</v>
      </c>
      <c r="CT355" s="27" t="s">
        <v>7</v>
      </c>
      <c r="CU355" s="27" t="s">
        <v>8</v>
      </c>
      <c r="EN355" s="27" t="s">
        <v>7</v>
      </c>
      <c r="EO355" s="27" t="s">
        <v>8</v>
      </c>
      <c r="FD355" s="27" t="s">
        <v>7</v>
      </c>
      <c r="FE355" s="27" t="s">
        <v>8</v>
      </c>
      <c r="FP355" s="27" t="s">
        <v>7</v>
      </c>
      <c r="FQ355" s="27" t="s">
        <v>8</v>
      </c>
      <c r="GN355" s="27" t="s">
        <v>7</v>
      </c>
      <c r="GO355" s="27" t="s">
        <v>8</v>
      </c>
      <c r="HH355" s="27" t="s">
        <v>7</v>
      </c>
      <c r="HI355" s="27" t="s">
        <v>8</v>
      </c>
      <c r="HJ355" s="27" t="s">
        <v>7</v>
      </c>
      <c r="HK355" s="27" t="s">
        <v>8</v>
      </c>
      <c r="HL355" s="27" t="s">
        <v>7</v>
      </c>
      <c r="HQ355" s="27" t="s">
        <v>8</v>
      </c>
      <c r="HR355" s="27" t="s">
        <v>7</v>
      </c>
    </row>
    <row r="356" spans="1:238" x14ac:dyDescent="0.25">
      <c r="A356" s="7">
        <v>96.970509394547975</v>
      </c>
      <c r="B356"/>
      <c r="C356"/>
      <c r="D356"/>
      <c r="E356"/>
      <c r="CS356" s="27" t="s">
        <v>8</v>
      </c>
      <c r="CT356" s="27" t="s">
        <v>7</v>
      </c>
      <c r="CU356" s="27" t="s">
        <v>8</v>
      </c>
      <c r="EN356" s="27" t="s">
        <v>7</v>
      </c>
      <c r="EO356" s="27" t="s">
        <v>8</v>
      </c>
      <c r="FD356" s="27" t="s">
        <v>7</v>
      </c>
      <c r="FE356" s="27" t="s">
        <v>8</v>
      </c>
      <c r="FP356" s="27" t="s">
        <v>7</v>
      </c>
      <c r="FQ356" s="27" t="s">
        <v>8</v>
      </c>
      <c r="GN356" s="27" t="s">
        <v>7</v>
      </c>
      <c r="HH356" s="27" t="s">
        <v>7</v>
      </c>
      <c r="HI356" s="27" t="s">
        <v>8</v>
      </c>
      <c r="HJ356" s="27" t="s">
        <v>7</v>
      </c>
      <c r="HK356" s="27" t="s">
        <v>8</v>
      </c>
      <c r="HL356" s="27" t="s">
        <v>7</v>
      </c>
      <c r="HQ356" s="27" t="s">
        <v>8</v>
      </c>
      <c r="HR356" s="27" t="s">
        <v>7</v>
      </c>
    </row>
    <row r="357" spans="1:238" x14ac:dyDescent="0.25">
      <c r="A357" s="7">
        <v>95.069126857399979</v>
      </c>
      <c r="B357"/>
      <c r="C357"/>
      <c r="D357"/>
      <c r="E357"/>
      <c r="CS357" s="27" t="s">
        <v>8</v>
      </c>
      <c r="CT357" s="27" t="s">
        <v>7</v>
      </c>
      <c r="CU357" s="27" t="s">
        <v>8</v>
      </c>
      <c r="EN357" s="27" t="s">
        <v>7</v>
      </c>
      <c r="EO357" s="27" t="s">
        <v>8</v>
      </c>
      <c r="FD357" s="27" t="s">
        <v>7</v>
      </c>
      <c r="FE357" s="27" t="s">
        <v>8</v>
      </c>
      <c r="FP357" s="27" t="s">
        <v>7</v>
      </c>
      <c r="FQ357" s="27" t="s">
        <v>8</v>
      </c>
      <c r="HH357" s="27" t="s">
        <v>7</v>
      </c>
      <c r="HI357" s="27" t="s">
        <v>8</v>
      </c>
      <c r="HJ357" s="27" t="s">
        <v>7</v>
      </c>
      <c r="HK357" s="27" t="s">
        <v>8</v>
      </c>
      <c r="HL357" s="27" t="s">
        <v>7</v>
      </c>
      <c r="HQ357" s="27" t="s">
        <v>8</v>
      </c>
      <c r="HR357" s="27" t="s">
        <v>7</v>
      </c>
    </row>
    <row r="358" spans="1:238" x14ac:dyDescent="0.25">
      <c r="A358" s="7">
        <v>93.205026330784293</v>
      </c>
      <c r="B358"/>
      <c r="C358"/>
      <c r="D358"/>
      <c r="E358"/>
      <c r="CQ358" s="27" t="s">
        <v>8</v>
      </c>
      <c r="CS358" s="27" t="s">
        <v>8</v>
      </c>
      <c r="CT358" s="27" t="s">
        <v>7</v>
      </c>
      <c r="CU358" s="27" t="s">
        <v>8</v>
      </c>
      <c r="EN358" s="27" t="s">
        <v>7</v>
      </c>
      <c r="EO358" s="27" t="s">
        <v>8</v>
      </c>
      <c r="FD358" s="27" t="s">
        <v>7</v>
      </c>
      <c r="FE358" s="27" t="s">
        <v>8</v>
      </c>
      <c r="FP358" s="27" t="s">
        <v>7</v>
      </c>
      <c r="FQ358" s="27" t="s">
        <v>8</v>
      </c>
      <c r="HH358" s="27" t="s">
        <v>7</v>
      </c>
      <c r="HI358" s="27" t="s">
        <v>8</v>
      </c>
      <c r="HJ358" s="27" t="s">
        <v>7</v>
      </c>
      <c r="HK358" s="27" t="s">
        <v>8</v>
      </c>
      <c r="HL358" s="27" t="s">
        <v>7</v>
      </c>
      <c r="HQ358" s="27" t="s">
        <v>8</v>
      </c>
      <c r="HR358" s="27" t="s">
        <v>7</v>
      </c>
    </row>
    <row r="359" spans="1:238" x14ac:dyDescent="0.25">
      <c r="A359" s="7">
        <v>91.377476794886562</v>
      </c>
      <c r="B359"/>
      <c r="C359"/>
      <c r="D359"/>
      <c r="E359"/>
      <c r="CQ359" s="27" t="s">
        <v>8</v>
      </c>
      <c r="CR359" s="27" t="s">
        <v>7</v>
      </c>
      <c r="CS359" s="27" t="s">
        <v>8</v>
      </c>
      <c r="CT359" s="27" t="s">
        <v>7</v>
      </c>
      <c r="EN359" s="27" t="s">
        <v>7</v>
      </c>
      <c r="EO359" s="27" t="s">
        <v>8</v>
      </c>
      <c r="FD359" s="27" t="s">
        <v>7</v>
      </c>
      <c r="FE359" s="27" t="s">
        <v>8</v>
      </c>
      <c r="FP359" s="27" t="s">
        <v>7</v>
      </c>
      <c r="HH359" s="27" t="s">
        <v>7</v>
      </c>
      <c r="HJ359" s="27" t="s">
        <v>7</v>
      </c>
      <c r="HK359" s="27" t="s">
        <v>8</v>
      </c>
      <c r="HL359" s="27" t="s">
        <v>7</v>
      </c>
      <c r="HQ359" s="27" t="s">
        <v>8</v>
      </c>
      <c r="HR359" s="27" t="s">
        <v>7</v>
      </c>
      <c r="IC359" s="27" t="s">
        <v>8</v>
      </c>
    </row>
    <row r="360" spans="1:238" x14ac:dyDescent="0.25">
      <c r="A360" s="7">
        <v>89.58576156361427</v>
      </c>
      <c r="B360"/>
      <c r="C360"/>
      <c r="D360"/>
      <c r="E360"/>
      <c r="CQ360" s="27" t="s">
        <v>8</v>
      </c>
      <c r="CR360" s="27" t="s">
        <v>7</v>
      </c>
      <c r="CS360" s="27" t="s">
        <v>8</v>
      </c>
      <c r="EN360" s="27" t="s">
        <v>7</v>
      </c>
      <c r="EO360" s="27" t="s">
        <v>8</v>
      </c>
      <c r="FD360" s="27" t="s">
        <v>7</v>
      </c>
      <c r="FE360" s="27" t="s">
        <v>8</v>
      </c>
      <c r="HJ360" s="27" t="s">
        <v>7</v>
      </c>
      <c r="HK360" s="27" t="s">
        <v>8</v>
      </c>
      <c r="HL360" s="27" t="s">
        <v>7</v>
      </c>
      <c r="HQ360" s="27" t="s">
        <v>8</v>
      </c>
      <c r="HR360" s="27" t="s">
        <v>7</v>
      </c>
      <c r="IC360" s="27" t="s">
        <v>8</v>
      </c>
      <c r="ID360" s="27" t="s">
        <v>7</v>
      </c>
    </row>
    <row r="361" spans="1:238" x14ac:dyDescent="0.25">
      <c r="A361" s="7">
        <v>87.829178003543404</v>
      </c>
      <c r="B361"/>
      <c r="C361"/>
      <c r="D361"/>
      <c r="E361"/>
      <c r="CO361" s="27" t="s">
        <v>8</v>
      </c>
      <c r="CQ361" s="27" t="s">
        <v>8</v>
      </c>
      <c r="CR361" s="27" t="s">
        <v>7</v>
      </c>
      <c r="CS361" s="27" t="s">
        <v>8</v>
      </c>
      <c r="EN361" s="27" t="s">
        <v>7</v>
      </c>
      <c r="FD361" s="27" t="s">
        <v>7</v>
      </c>
      <c r="FE361" s="27" t="s">
        <v>8</v>
      </c>
      <c r="HJ361" s="27" t="s">
        <v>7</v>
      </c>
      <c r="HK361" s="27" t="s">
        <v>8</v>
      </c>
      <c r="HL361" s="27" t="s">
        <v>7</v>
      </c>
      <c r="HQ361" s="27" t="s">
        <v>8</v>
      </c>
      <c r="HR361" s="27" t="s">
        <v>7</v>
      </c>
      <c r="IC361" s="27" t="s">
        <v>8</v>
      </c>
      <c r="ID361" s="27" t="s">
        <v>7</v>
      </c>
    </row>
    <row r="362" spans="1:238" x14ac:dyDescent="0.25">
      <c r="A362" s="7">
        <v>86.107037258375883</v>
      </c>
      <c r="B362"/>
      <c r="C362"/>
      <c r="D362"/>
      <c r="E362"/>
      <c r="CO362" s="27" t="s">
        <v>8</v>
      </c>
      <c r="CP362" s="27" t="s">
        <v>7</v>
      </c>
      <c r="CQ362" s="27" t="s">
        <v>8</v>
      </c>
      <c r="CR362" s="27" t="s">
        <v>7</v>
      </c>
      <c r="CS362" s="27" t="s">
        <v>8</v>
      </c>
      <c r="FD362" s="27" t="s">
        <v>7</v>
      </c>
      <c r="HJ362" s="27" t="s">
        <v>7</v>
      </c>
      <c r="HK362" s="27" t="s">
        <v>8</v>
      </c>
      <c r="HL362" s="27" t="s">
        <v>7</v>
      </c>
      <c r="HQ362" s="27" t="s">
        <v>8</v>
      </c>
      <c r="HR362" s="27" t="s">
        <v>7</v>
      </c>
      <c r="IC362" s="27" t="s">
        <v>8</v>
      </c>
      <c r="ID362" s="27" t="s">
        <v>7</v>
      </c>
    </row>
    <row r="363" spans="1:238" x14ac:dyDescent="0.25">
      <c r="A363" s="7">
        <v>84.418663978799884</v>
      </c>
      <c r="B363"/>
      <c r="C363"/>
      <c r="D363"/>
      <c r="E363"/>
      <c r="CO363" s="27" t="s">
        <v>8</v>
      </c>
      <c r="CP363" s="27" t="s">
        <v>7</v>
      </c>
      <c r="CQ363" s="27" t="s">
        <v>8</v>
      </c>
      <c r="CR363" s="27" t="s">
        <v>7</v>
      </c>
      <c r="CS363" s="27" t="s">
        <v>8</v>
      </c>
      <c r="HJ363" s="27" t="s">
        <v>7</v>
      </c>
      <c r="HK363" s="27" t="s">
        <v>8</v>
      </c>
      <c r="HL363" s="27" t="s">
        <v>7</v>
      </c>
      <c r="HQ363" s="27" t="s">
        <v>8</v>
      </c>
      <c r="HR363" s="27" t="s">
        <v>7</v>
      </c>
      <c r="IC363" s="27" t="s">
        <v>8</v>
      </c>
      <c r="ID363" s="27" t="s">
        <v>7</v>
      </c>
    </row>
    <row r="364" spans="1:238" x14ac:dyDescent="0.25">
      <c r="A364" s="7">
        <v>82.763396057646943</v>
      </c>
      <c r="B364"/>
      <c r="C364"/>
      <c r="D364"/>
      <c r="E364"/>
      <c r="CO364" s="27" t="s">
        <v>8</v>
      </c>
      <c r="CP364" s="27" t="s">
        <v>7</v>
      </c>
      <c r="CQ364" s="27" t="s">
        <v>8</v>
      </c>
      <c r="CR364" s="27" t="s">
        <v>7</v>
      </c>
      <c r="CS364" s="27" t="s">
        <v>8</v>
      </c>
      <c r="HJ364" s="27" t="s">
        <v>7</v>
      </c>
      <c r="HK364" s="27" t="s">
        <v>8</v>
      </c>
      <c r="HL364" s="27" t="s">
        <v>7</v>
      </c>
      <c r="HQ364" s="27" t="s">
        <v>8</v>
      </c>
      <c r="HR364" s="27" t="s">
        <v>7</v>
      </c>
      <c r="HU364" s="27" t="s">
        <v>8</v>
      </c>
      <c r="IC364" s="27" t="s">
        <v>8</v>
      </c>
      <c r="ID364" s="27" t="s">
        <v>7</v>
      </c>
    </row>
    <row r="365" spans="1:238" x14ac:dyDescent="0.25">
      <c r="A365" s="7">
        <v>81.140584370242095</v>
      </c>
      <c r="B365"/>
      <c r="C365"/>
      <c r="D365"/>
      <c r="E365"/>
      <c r="CO365" s="27" t="s">
        <v>8</v>
      </c>
      <c r="CP365" s="27" t="s">
        <v>7</v>
      </c>
      <c r="CQ365" s="27" t="s">
        <v>8</v>
      </c>
      <c r="CR365" s="27" t="s">
        <v>7</v>
      </c>
      <c r="CS365" s="27" t="s">
        <v>8</v>
      </c>
      <c r="HJ365" s="27" t="s">
        <v>7</v>
      </c>
      <c r="HL365" s="27" t="s">
        <v>7</v>
      </c>
      <c r="HM365" s="27" t="s">
        <v>8</v>
      </c>
      <c r="HQ365" s="27" t="s">
        <v>8</v>
      </c>
      <c r="HR365" s="27" t="s">
        <v>7</v>
      </c>
      <c r="HU365" s="27" t="s">
        <v>8</v>
      </c>
      <c r="HV365" s="27" t="s">
        <v>7</v>
      </c>
      <c r="IC365" s="27" t="s">
        <v>8</v>
      </c>
      <c r="ID365" s="27" t="s">
        <v>7</v>
      </c>
    </row>
    <row r="366" spans="1:238" x14ac:dyDescent="0.25">
      <c r="A366" s="7">
        <v>79.549592519845191</v>
      </c>
      <c r="B366"/>
      <c r="C366"/>
      <c r="D366"/>
      <c r="E366"/>
      <c r="CO366" s="27" t="s">
        <v>8</v>
      </c>
      <c r="CP366" s="27" t="s">
        <v>7</v>
      </c>
      <c r="CQ366" s="27" t="s">
        <v>8</v>
      </c>
      <c r="CR366" s="27" t="s">
        <v>7</v>
      </c>
      <c r="HL366" s="27" t="s">
        <v>7</v>
      </c>
      <c r="HM366" s="27" t="s">
        <v>8</v>
      </c>
      <c r="HN366" s="27" t="s">
        <v>7</v>
      </c>
      <c r="HQ366" s="27" t="s">
        <v>8</v>
      </c>
      <c r="HR366" s="27" t="s">
        <v>7</v>
      </c>
      <c r="HU366" s="27" t="s">
        <v>8</v>
      </c>
      <c r="HV366" s="27" t="s">
        <v>7</v>
      </c>
      <c r="IC366" s="27" t="s">
        <v>8</v>
      </c>
      <c r="ID366" s="27" t="s">
        <v>7</v>
      </c>
    </row>
    <row r="367" spans="1:238" x14ac:dyDescent="0.25">
      <c r="A367" s="7">
        <v>77.989796588083522</v>
      </c>
      <c r="B367"/>
      <c r="C367"/>
      <c r="D367"/>
      <c r="E367"/>
      <c r="CO367" s="27" t="s">
        <v>8</v>
      </c>
      <c r="CP367" s="27" t="s">
        <v>7</v>
      </c>
      <c r="CQ367" s="27" t="s">
        <v>8</v>
      </c>
      <c r="HL367" s="27" t="s">
        <v>7</v>
      </c>
      <c r="HM367" s="27" t="s">
        <v>8</v>
      </c>
      <c r="HN367" s="27" t="s">
        <v>7</v>
      </c>
      <c r="HQ367" s="27" t="s">
        <v>8</v>
      </c>
      <c r="HR367" s="27" t="s">
        <v>7</v>
      </c>
      <c r="HU367" s="27" t="s">
        <v>8</v>
      </c>
      <c r="HV367" s="27" t="s">
        <v>7</v>
      </c>
      <c r="IC367" s="27" t="s">
        <v>8</v>
      </c>
      <c r="ID367" s="27" t="s">
        <v>7</v>
      </c>
    </row>
    <row r="368" spans="1:238" x14ac:dyDescent="0.25">
      <c r="A368" s="7">
        <v>76.460584890277957</v>
      </c>
      <c r="B368"/>
      <c r="C368"/>
      <c r="D368"/>
      <c r="E368"/>
      <c r="CO368" s="27" t="s">
        <v>8</v>
      </c>
      <c r="CP368" s="27" t="s">
        <v>7</v>
      </c>
      <c r="HL368" s="27" t="s">
        <v>7</v>
      </c>
      <c r="HN368" s="27" t="s">
        <v>7</v>
      </c>
      <c r="HQ368" s="27" t="s">
        <v>8</v>
      </c>
      <c r="HR368" s="27" t="s">
        <v>7</v>
      </c>
      <c r="HU368" s="27" t="s">
        <v>8</v>
      </c>
      <c r="HV368" s="27" t="s">
        <v>7</v>
      </c>
      <c r="IC368" s="27" t="s">
        <v>8</v>
      </c>
      <c r="ID368" s="27" t="s">
        <v>7</v>
      </c>
    </row>
    <row r="369" spans="1:243" x14ac:dyDescent="0.25">
      <c r="A369" s="7">
        <v>74.961357735566622</v>
      </c>
      <c r="B369"/>
      <c r="C369"/>
      <c r="D369"/>
      <c r="E369"/>
      <c r="CO369" s="27" t="s">
        <v>8</v>
      </c>
      <c r="HN369" s="27" t="s">
        <v>7</v>
      </c>
      <c r="HQ369" s="27" t="s">
        <v>8</v>
      </c>
      <c r="HR369" s="27" t="s">
        <v>7</v>
      </c>
      <c r="HU369" s="27" t="s">
        <v>8</v>
      </c>
      <c r="HV369" s="27" t="s">
        <v>7</v>
      </c>
      <c r="HW369" s="27" t="s">
        <v>8</v>
      </c>
      <c r="IC369" s="27" t="s">
        <v>8</v>
      </c>
      <c r="ID369" s="27" t="s">
        <v>7</v>
      </c>
    </row>
    <row r="370" spans="1:243" x14ac:dyDescent="0.25">
      <c r="A370" s="7">
        <v>73.491527191731976</v>
      </c>
      <c r="B370"/>
      <c r="C370"/>
      <c r="D370"/>
      <c r="E370"/>
      <c r="CO370" s="27" t="s">
        <v>8</v>
      </c>
      <c r="HN370" s="27" t="s">
        <v>7</v>
      </c>
      <c r="HQ370" s="27" t="s">
        <v>8</v>
      </c>
      <c r="HR370" s="27" t="s">
        <v>7</v>
      </c>
      <c r="HS370" s="27" t="s">
        <v>8</v>
      </c>
      <c r="HU370" s="27" t="s">
        <v>8</v>
      </c>
      <c r="HV370" s="27" t="s">
        <v>7</v>
      </c>
      <c r="HW370" s="27" t="s">
        <v>8</v>
      </c>
      <c r="HX370" s="27" t="s">
        <v>7</v>
      </c>
      <c r="IC370" s="27" t="s">
        <v>8</v>
      </c>
      <c r="ID370" s="27" t="s">
        <v>7</v>
      </c>
      <c r="II370" s="27" t="s">
        <v>8</v>
      </c>
    </row>
    <row r="371" spans="1:243" x14ac:dyDescent="0.25">
      <c r="A371" s="7">
        <v>72.050516854639184</v>
      </c>
      <c r="B371"/>
      <c r="C371"/>
      <c r="D371"/>
      <c r="E371"/>
      <c r="CO371" s="27" t="s">
        <v>8</v>
      </c>
      <c r="HN371" s="27" t="s">
        <v>7</v>
      </c>
      <c r="HQ371" s="27" t="s">
        <v>8</v>
      </c>
      <c r="HR371" s="27" t="s">
        <v>7</v>
      </c>
      <c r="HS371" s="27" t="s">
        <v>8</v>
      </c>
      <c r="HT371" s="27" t="s">
        <v>7</v>
      </c>
      <c r="HU371" s="27" t="s">
        <v>8</v>
      </c>
      <c r="HV371" s="27" t="s">
        <v>7</v>
      </c>
      <c r="HW371" s="27" t="s">
        <v>8</v>
      </c>
      <c r="HX371" s="27" t="s">
        <v>7</v>
      </c>
      <c r="IC371" s="27" t="s">
        <v>8</v>
      </c>
      <c r="ID371" s="27" t="s">
        <v>7</v>
      </c>
      <c r="II371" s="27" t="s">
        <v>8</v>
      </c>
    </row>
    <row r="372" spans="1:243" x14ac:dyDescent="0.25">
      <c r="A372" s="7">
        <v>70.637761622195271</v>
      </c>
      <c r="B372"/>
      <c r="C372"/>
      <c r="D372"/>
      <c r="E372"/>
      <c r="CA372" s="27" t="s">
        <v>8</v>
      </c>
      <c r="CO372" s="27" t="s">
        <v>8</v>
      </c>
      <c r="HN372" s="27" t="s">
        <v>7</v>
      </c>
      <c r="HQ372" s="27" t="s">
        <v>8</v>
      </c>
      <c r="HR372" s="27" t="s">
        <v>7</v>
      </c>
      <c r="HS372" s="27" t="s">
        <v>8</v>
      </c>
      <c r="HT372" s="27" t="s">
        <v>7</v>
      </c>
      <c r="HU372" s="27" t="s">
        <v>8</v>
      </c>
      <c r="HV372" s="27" t="s">
        <v>7</v>
      </c>
      <c r="HW372" s="27" t="s">
        <v>8</v>
      </c>
      <c r="HX372" s="27" t="s">
        <v>7</v>
      </c>
      <c r="IC372" s="27" t="s">
        <v>8</v>
      </c>
      <c r="ID372" s="27" t="s">
        <v>7</v>
      </c>
      <c r="IE372" s="27" t="s">
        <v>8</v>
      </c>
      <c r="II372" s="27" t="s">
        <v>8</v>
      </c>
    </row>
    <row r="373" spans="1:243" x14ac:dyDescent="0.25">
      <c r="A373" s="7">
        <v>69.252707472740454</v>
      </c>
      <c r="B373"/>
      <c r="C373"/>
      <c r="D373"/>
      <c r="E373"/>
      <c r="CA373" s="27" t="s">
        <v>8</v>
      </c>
      <c r="CB373" s="27" t="s">
        <v>7</v>
      </c>
      <c r="CK373" s="27" t="s">
        <v>8</v>
      </c>
      <c r="CO373" s="27" t="s">
        <v>8</v>
      </c>
      <c r="HN373" s="27" t="s">
        <v>7</v>
      </c>
      <c r="HQ373" s="27" t="s">
        <v>8</v>
      </c>
      <c r="HR373" s="27" t="s">
        <v>7</v>
      </c>
      <c r="HS373" s="27" t="s">
        <v>8</v>
      </c>
      <c r="HT373" s="27" t="s">
        <v>7</v>
      </c>
      <c r="HV373" s="27" t="s">
        <v>7</v>
      </c>
      <c r="HX373" s="27" t="s">
        <v>7</v>
      </c>
      <c r="IC373" s="27" t="s">
        <v>8</v>
      </c>
      <c r="ID373" s="27" t="s">
        <v>7</v>
      </c>
      <c r="IE373" s="27" t="s">
        <v>8</v>
      </c>
      <c r="IF373" s="27" t="s">
        <v>7</v>
      </c>
      <c r="II373" s="27" t="s">
        <v>8</v>
      </c>
    </row>
    <row r="374" spans="1:243" x14ac:dyDescent="0.25">
      <c r="A374" s="7">
        <v>67.894811247784759</v>
      </c>
      <c r="B374"/>
      <c r="C374"/>
      <c r="D374"/>
      <c r="E374"/>
      <c r="CA374" s="27" t="s">
        <v>8</v>
      </c>
      <c r="CB374" s="27" t="s">
        <v>7</v>
      </c>
      <c r="CK374" s="27" t="s">
        <v>8</v>
      </c>
      <c r="CL374" s="27" t="s">
        <v>7</v>
      </c>
      <c r="CM374" s="27" t="s">
        <v>8</v>
      </c>
      <c r="CO374" s="27" t="s">
        <v>8</v>
      </c>
      <c r="HN374" s="27" t="s">
        <v>7</v>
      </c>
      <c r="HO374" s="27" t="s">
        <v>8</v>
      </c>
      <c r="HQ374" s="27" t="s">
        <v>8</v>
      </c>
      <c r="HR374" s="27" t="s">
        <v>7</v>
      </c>
      <c r="HX374" s="27" t="s">
        <v>7</v>
      </c>
      <c r="IC374" s="27" t="s">
        <v>8</v>
      </c>
      <c r="ID374" s="27" t="s">
        <v>7</v>
      </c>
      <c r="IE374" s="27" t="s">
        <v>8</v>
      </c>
      <c r="IF374" s="27" t="s">
        <v>7</v>
      </c>
      <c r="II374" s="27" t="s">
        <v>8</v>
      </c>
    </row>
    <row r="375" spans="1:243" x14ac:dyDescent="0.25">
      <c r="A375" s="7">
        <v>66.563540439004669</v>
      </c>
      <c r="B375"/>
      <c r="C375"/>
      <c r="D375"/>
      <c r="E375"/>
      <c r="CA375" s="27" t="s">
        <v>8</v>
      </c>
      <c r="CB375" s="27" t="s">
        <v>7</v>
      </c>
      <c r="CK375" s="27" t="s">
        <v>8</v>
      </c>
      <c r="CL375" s="27" t="s">
        <v>7</v>
      </c>
      <c r="CM375" s="27" t="s">
        <v>8</v>
      </c>
      <c r="CN375" s="27" t="s">
        <v>7</v>
      </c>
      <c r="CO375" s="27" t="s">
        <v>8</v>
      </c>
      <c r="HN375" s="27" t="s">
        <v>7</v>
      </c>
      <c r="HO375" s="27" t="s">
        <v>8</v>
      </c>
      <c r="HP375" s="27" t="s">
        <v>7</v>
      </c>
      <c r="HQ375" s="27" t="s">
        <v>8</v>
      </c>
      <c r="HX375" s="27" t="s">
        <v>7</v>
      </c>
      <c r="IC375" s="27" t="s">
        <v>8</v>
      </c>
      <c r="ID375" s="27" t="s">
        <v>7</v>
      </c>
      <c r="IE375" s="27" t="s">
        <v>8</v>
      </c>
      <c r="IF375" s="27" t="s">
        <v>7</v>
      </c>
      <c r="II375" s="27" t="s">
        <v>8</v>
      </c>
    </row>
    <row r="376" spans="1:243" x14ac:dyDescent="0.25">
      <c r="A376" s="7">
        <v>65.258372979416336</v>
      </c>
      <c r="B376"/>
      <c r="C376"/>
      <c r="D376"/>
      <c r="E376"/>
      <c r="CA376" s="27" t="s">
        <v>8</v>
      </c>
      <c r="CB376" s="27" t="s">
        <v>7</v>
      </c>
      <c r="CK376" s="27" t="s">
        <v>8</v>
      </c>
      <c r="CL376" s="27" t="s">
        <v>7</v>
      </c>
      <c r="CM376" s="27" t="s">
        <v>8</v>
      </c>
      <c r="CN376" s="27" t="s">
        <v>7</v>
      </c>
      <c r="CO376" s="27" t="s">
        <v>8</v>
      </c>
      <c r="HN376" s="27" t="s">
        <v>7</v>
      </c>
      <c r="HO376" s="27" t="s">
        <v>8</v>
      </c>
      <c r="HP376" s="27" t="s">
        <v>7</v>
      </c>
      <c r="HQ376" s="27" t="s">
        <v>8</v>
      </c>
      <c r="HX376" s="27" t="s">
        <v>7</v>
      </c>
      <c r="IC376" s="27" t="s">
        <v>8</v>
      </c>
      <c r="ID376" s="27" t="s">
        <v>7</v>
      </c>
      <c r="IE376" s="27" t="s">
        <v>8</v>
      </c>
      <c r="IF376" s="27" t="s">
        <v>7</v>
      </c>
      <c r="II376" s="27" t="s">
        <v>8</v>
      </c>
    </row>
    <row r="377" spans="1:243" x14ac:dyDescent="0.25">
      <c r="A377" s="7">
        <v>63.978797038643471</v>
      </c>
      <c r="B377"/>
      <c r="C377"/>
      <c r="D377"/>
      <c r="E377"/>
      <c r="CA377" s="27" t="s">
        <v>8</v>
      </c>
      <c r="CB377" s="27" t="s">
        <v>7</v>
      </c>
      <c r="CK377" s="27" t="s">
        <v>8</v>
      </c>
      <c r="CL377" s="27" t="s">
        <v>7</v>
      </c>
      <c r="CM377" s="27" t="s">
        <v>8</v>
      </c>
      <c r="CN377" s="27" t="s">
        <v>7</v>
      </c>
      <c r="HN377" s="27" t="s">
        <v>7</v>
      </c>
      <c r="HO377" s="27" t="s">
        <v>8</v>
      </c>
      <c r="HP377" s="27" t="s">
        <v>7</v>
      </c>
      <c r="HQ377" s="27" t="s">
        <v>8</v>
      </c>
      <c r="HX377" s="27" t="s">
        <v>7</v>
      </c>
      <c r="IC377" s="27" t="s">
        <v>8</v>
      </c>
      <c r="ID377" s="27" t="s">
        <v>7</v>
      </c>
      <c r="IF377" s="27" t="s">
        <v>7</v>
      </c>
      <c r="II377" s="27" t="s">
        <v>8</v>
      </c>
    </row>
    <row r="378" spans="1:243" x14ac:dyDescent="0.25">
      <c r="A378" s="7">
        <v>62.724310822199477</v>
      </c>
      <c r="B378"/>
      <c r="C378"/>
      <c r="D378"/>
      <c r="E378"/>
      <c r="CA378" s="27" t="s">
        <v>8</v>
      </c>
      <c r="CB378" s="27" t="s">
        <v>7</v>
      </c>
      <c r="CK378" s="27" t="s">
        <v>8</v>
      </c>
      <c r="CL378" s="27" t="s">
        <v>7</v>
      </c>
      <c r="CM378" s="27" t="s">
        <v>8</v>
      </c>
      <c r="HN378" s="27" t="s">
        <v>7</v>
      </c>
      <c r="HO378" s="27" t="s">
        <v>8</v>
      </c>
      <c r="HP378" s="27" t="s">
        <v>7</v>
      </c>
      <c r="HQ378" s="27" t="s">
        <v>8</v>
      </c>
      <c r="HX378" s="27" t="s">
        <v>7</v>
      </c>
      <c r="IA378" s="27" t="s">
        <v>8</v>
      </c>
      <c r="IC378" s="27" t="s">
        <v>8</v>
      </c>
      <c r="IF378" s="27" t="s">
        <v>7</v>
      </c>
      <c r="II378" s="27" t="s">
        <v>8</v>
      </c>
    </row>
    <row r="379" spans="1:243" x14ac:dyDescent="0.25">
      <c r="A379" s="7">
        <v>61.494422374705366</v>
      </c>
      <c r="B379"/>
      <c r="C379"/>
      <c r="D379"/>
      <c r="E379"/>
      <c r="CA379" s="27" t="s">
        <v>8</v>
      </c>
      <c r="CB379" s="27" t="s">
        <v>7</v>
      </c>
      <c r="CC379" s="27" t="s">
        <v>8</v>
      </c>
      <c r="CI379" s="27" t="s">
        <v>8</v>
      </c>
      <c r="CK379" s="27" t="s">
        <v>8</v>
      </c>
      <c r="CL379" s="27" t="s">
        <v>7</v>
      </c>
      <c r="HN379" s="27" t="s">
        <v>7</v>
      </c>
      <c r="HO379" s="27" t="s">
        <v>8</v>
      </c>
      <c r="HP379" s="27" t="s">
        <v>7</v>
      </c>
      <c r="HX379" s="27" t="s">
        <v>7</v>
      </c>
      <c r="IA379" s="27" t="s">
        <v>8</v>
      </c>
      <c r="IB379" s="27" t="s">
        <v>7</v>
      </c>
      <c r="IC379" s="27" t="s">
        <v>8</v>
      </c>
      <c r="IF379" s="27" t="s">
        <v>7</v>
      </c>
      <c r="II379" s="27" t="s">
        <v>8</v>
      </c>
    </row>
    <row r="380" spans="1:243" x14ac:dyDescent="0.25">
      <c r="A380" s="7">
        <v>60.288649386966043</v>
      </c>
      <c r="B380"/>
      <c r="C380"/>
      <c r="D380"/>
      <c r="E380"/>
      <c r="CA380" s="27" t="s">
        <v>8</v>
      </c>
      <c r="CB380" s="27" t="s">
        <v>7</v>
      </c>
      <c r="CC380" s="27" t="s">
        <v>8</v>
      </c>
      <c r="CD380" s="27" t="s">
        <v>7</v>
      </c>
      <c r="CI380" s="27" t="s">
        <v>8</v>
      </c>
      <c r="CJ380" s="27" t="s">
        <v>7</v>
      </c>
      <c r="CK380" s="27" t="s">
        <v>8</v>
      </c>
      <c r="HN380" s="27" t="s">
        <v>7</v>
      </c>
      <c r="HX380" s="27" t="s">
        <v>7</v>
      </c>
      <c r="IA380" s="27" t="s">
        <v>8</v>
      </c>
      <c r="IB380" s="27" t="s">
        <v>7</v>
      </c>
      <c r="IC380" s="27" t="s">
        <v>8</v>
      </c>
      <c r="IF380" s="27" t="s">
        <v>7</v>
      </c>
      <c r="IG380" s="27" t="s">
        <v>8</v>
      </c>
      <c r="II380" s="27" t="s">
        <v>8</v>
      </c>
    </row>
    <row r="381" spans="1:243" x14ac:dyDescent="0.25">
      <c r="A381" s="7">
        <v>59.106519006829451</v>
      </c>
      <c r="B381"/>
      <c r="C381"/>
      <c r="D381"/>
      <c r="E381"/>
      <c r="CA381" s="27" t="s">
        <v>8</v>
      </c>
      <c r="CB381" s="27" t="s">
        <v>7</v>
      </c>
      <c r="CC381" s="27" t="s">
        <v>8</v>
      </c>
      <c r="CD381" s="27" t="s">
        <v>7</v>
      </c>
      <c r="CE381" s="27" t="s">
        <v>8</v>
      </c>
      <c r="CI381" s="27" t="s">
        <v>8</v>
      </c>
      <c r="CJ381" s="27" t="s">
        <v>7</v>
      </c>
      <c r="CK381" s="27" t="s">
        <v>8</v>
      </c>
      <c r="HX381" s="27" t="s">
        <v>7</v>
      </c>
      <c r="IA381" s="27" t="s">
        <v>8</v>
      </c>
      <c r="IB381" s="27" t="s">
        <v>7</v>
      </c>
      <c r="IC381" s="27" t="s">
        <v>8</v>
      </c>
      <c r="IF381" s="27" t="s">
        <v>7</v>
      </c>
      <c r="IG381" s="27" t="s">
        <v>8</v>
      </c>
      <c r="IH381" s="27" t="s">
        <v>7</v>
      </c>
      <c r="II381" s="27" t="s">
        <v>8</v>
      </c>
    </row>
    <row r="382" spans="1:243" x14ac:dyDescent="0.25">
      <c r="A382" s="7">
        <v>57.947567653754362</v>
      </c>
      <c r="B382"/>
      <c r="C382"/>
      <c r="D382"/>
      <c r="E382"/>
      <c r="CA382" s="27" t="s">
        <v>8</v>
      </c>
      <c r="CB382" s="27" t="s">
        <v>7</v>
      </c>
      <c r="CC382" s="27" t="s">
        <v>8</v>
      </c>
      <c r="CD382" s="27" t="s">
        <v>7</v>
      </c>
      <c r="CE382" s="27" t="s">
        <v>8</v>
      </c>
      <c r="CF382" s="27" t="s">
        <v>7</v>
      </c>
      <c r="CI382" s="27" t="s">
        <v>8</v>
      </c>
      <c r="CJ382" s="27" t="s">
        <v>7</v>
      </c>
      <c r="CK382" s="27" t="s">
        <v>8</v>
      </c>
      <c r="HX382" s="27" t="s">
        <v>7</v>
      </c>
      <c r="HY382" s="27" t="s">
        <v>8</v>
      </c>
      <c r="IA382" s="27" t="s">
        <v>8</v>
      </c>
      <c r="IB382" s="27" t="s">
        <v>7</v>
      </c>
      <c r="IF382" s="27" t="s">
        <v>7</v>
      </c>
      <c r="IG382" s="27" t="s">
        <v>8</v>
      </c>
      <c r="IH382" s="27" t="s">
        <v>7</v>
      </c>
      <c r="II382" s="27" t="s">
        <v>8</v>
      </c>
    </row>
    <row r="383" spans="1:243" x14ac:dyDescent="0.25">
      <c r="A383" s="7">
        <v>56.811340837014079</v>
      </c>
      <c r="B383"/>
      <c r="C383"/>
      <c r="D383"/>
      <c r="E383"/>
      <c r="CA383" s="27" t="s">
        <v>8</v>
      </c>
      <c r="CB383" s="27" t="s">
        <v>7</v>
      </c>
      <c r="CC383" s="27" t="s">
        <v>8</v>
      </c>
      <c r="CD383" s="27" t="s">
        <v>7</v>
      </c>
      <c r="CE383" s="27" t="s">
        <v>8</v>
      </c>
      <c r="CF383" s="27" t="s">
        <v>7</v>
      </c>
      <c r="CI383" s="27" t="s">
        <v>8</v>
      </c>
      <c r="CJ383" s="27" t="s">
        <v>7</v>
      </c>
      <c r="CK383" s="27" t="s">
        <v>8</v>
      </c>
      <c r="HX383" s="27" t="s">
        <v>7</v>
      </c>
      <c r="HY383" s="27" t="s">
        <v>8</v>
      </c>
      <c r="HZ383" s="27" t="s">
        <v>7</v>
      </c>
      <c r="IA383" s="27" t="s">
        <v>8</v>
      </c>
      <c r="IF383" s="27" t="s">
        <v>7</v>
      </c>
      <c r="IG383" s="27" t="s">
        <v>8</v>
      </c>
      <c r="IH383" s="27" t="s">
        <v>7</v>
      </c>
      <c r="II383" s="27" t="s">
        <v>8</v>
      </c>
    </row>
    <row r="384" spans="1:243" x14ac:dyDescent="0.25">
      <c r="A384" s="7">
        <v>55.69739297746478</v>
      </c>
      <c r="B384"/>
      <c r="C384"/>
      <c r="D384"/>
      <c r="E384"/>
      <c r="CA384" s="27" t="s">
        <v>8</v>
      </c>
      <c r="CB384" s="27" t="s">
        <v>7</v>
      </c>
      <c r="CC384" s="27" t="s">
        <v>8</v>
      </c>
      <c r="CD384" s="27" t="s">
        <v>7</v>
      </c>
      <c r="CE384" s="27" t="s">
        <v>8</v>
      </c>
      <c r="CF384" s="27" t="s">
        <v>7</v>
      </c>
      <c r="CI384" s="27" t="s">
        <v>8</v>
      </c>
      <c r="CJ384" s="27" t="s">
        <v>7</v>
      </c>
      <c r="CK384" s="27" t="s">
        <v>8</v>
      </c>
      <c r="HX384" s="27" t="s">
        <v>7</v>
      </c>
      <c r="HY384" s="27" t="s">
        <v>8</v>
      </c>
      <c r="HZ384" s="27" t="s">
        <v>7</v>
      </c>
      <c r="IA384" s="27" t="s">
        <v>8</v>
      </c>
      <c r="IF384" s="27" t="s">
        <v>7</v>
      </c>
      <c r="IG384" s="27" t="s">
        <v>8</v>
      </c>
      <c r="IH384" s="27" t="s">
        <v>7</v>
      </c>
      <c r="II384" s="27" t="s">
        <v>8</v>
      </c>
    </row>
    <row r="385" spans="1:243" x14ac:dyDescent="0.25">
      <c r="A385" s="7">
        <v>54.605287232808607</v>
      </c>
      <c r="B385"/>
      <c r="C385"/>
      <c r="D385"/>
      <c r="E385"/>
      <c r="CA385" s="27" t="s">
        <v>8</v>
      </c>
      <c r="CB385" s="27" t="s">
        <v>7</v>
      </c>
      <c r="CC385" s="27" t="s">
        <v>8</v>
      </c>
      <c r="CD385" s="27" t="s">
        <v>7</v>
      </c>
      <c r="CE385" s="27" t="s">
        <v>8</v>
      </c>
      <c r="CF385" s="27" t="s">
        <v>7</v>
      </c>
      <c r="CI385" s="27" t="s">
        <v>8</v>
      </c>
      <c r="CJ385" s="27" t="s">
        <v>7</v>
      </c>
      <c r="CK385" s="27" t="s">
        <v>8</v>
      </c>
      <c r="HX385" s="27" t="s">
        <v>7</v>
      </c>
      <c r="HZ385" s="27" t="s">
        <v>7</v>
      </c>
      <c r="IA385" s="27" t="s">
        <v>8</v>
      </c>
      <c r="IF385" s="27" t="s">
        <v>7</v>
      </c>
      <c r="IG385" s="27" t="s">
        <v>8</v>
      </c>
      <c r="IH385" s="27" t="s">
        <v>7</v>
      </c>
      <c r="II385" s="27" t="s">
        <v>8</v>
      </c>
    </row>
    <row r="386" spans="1:243" x14ac:dyDescent="0.25">
      <c r="A386" s="7">
        <v>53.534595326282947</v>
      </c>
      <c r="B386"/>
      <c r="C386"/>
      <c r="D386"/>
      <c r="E386"/>
      <c r="CA386" s="27" t="s">
        <v>8</v>
      </c>
      <c r="CB386" s="27" t="s">
        <v>7</v>
      </c>
      <c r="CC386" s="27" t="s">
        <v>8</v>
      </c>
      <c r="CD386" s="27" t="s">
        <v>7</v>
      </c>
      <c r="CE386" s="27" t="s">
        <v>8</v>
      </c>
      <c r="CF386" s="27" t="s">
        <v>7</v>
      </c>
      <c r="CI386" s="27" t="s">
        <v>8</v>
      </c>
      <c r="CJ386" s="27" t="s">
        <v>7</v>
      </c>
      <c r="CK386" s="27" t="s">
        <v>8</v>
      </c>
      <c r="HZ386" s="27" t="s">
        <v>7</v>
      </c>
      <c r="IA386" s="27" t="s">
        <v>8</v>
      </c>
      <c r="IF386" s="27" t="s">
        <v>7</v>
      </c>
      <c r="IG386" s="27" t="s">
        <v>8</v>
      </c>
      <c r="IH386" s="27" t="s">
        <v>7</v>
      </c>
      <c r="II386" s="27" t="s">
        <v>8</v>
      </c>
    </row>
    <row r="387" spans="1:243" x14ac:dyDescent="0.25">
      <c r="A387" s="7">
        <v>52.484897378708773</v>
      </c>
      <c r="B387"/>
      <c r="C387"/>
      <c r="D387"/>
      <c r="E387"/>
      <c r="CA387" s="27" t="s">
        <v>8</v>
      </c>
      <c r="CB387" s="27" t="s">
        <v>7</v>
      </c>
      <c r="CC387" s="27" t="s">
        <v>8</v>
      </c>
      <c r="CD387" s="27" t="s">
        <v>7</v>
      </c>
      <c r="CF387" s="27" t="s">
        <v>7</v>
      </c>
      <c r="CG387" s="27" t="s">
        <v>8</v>
      </c>
      <c r="CI387" s="27" t="s">
        <v>8</v>
      </c>
      <c r="CJ387" s="27" t="s">
        <v>7</v>
      </c>
      <c r="CK387" s="27" t="s">
        <v>8</v>
      </c>
      <c r="HZ387" s="27" t="s">
        <v>7</v>
      </c>
      <c r="IF387" s="27" t="s">
        <v>7</v>
      </c>
      <c r="IG387" s="27" t="s">
        <v>8</v>
      </c>
      <c r="IH387" s="27" t="s">
        <v>7</v>
      </c>
      <c r="II387" s="27" t="s">
        <v>8</v>
      </c>
    </row>
    <row r="388" spans="1:243" x14ac:dyDescent="0.25">
      <c r="A388" s="7">
        <v>51.455781743832127</v>
      </c>
      <c r="B388"/>
      <c r="C388"/>
      <c r="D388"/>
      <c r="E388"/>
      <c r="CA388" s="27" t="s">
        <v>8</v>
      </c>
      <c r="CB388" s="27" t="s">
        <v>7</v>
      </c>
      <c r="CC388" s="27" t="s">
        <v>8</v>
      </c>
      <c r="CF388" s="27" t="s">
        <v>7</v>
      </c>
      <c r="CG388" s="27" t="s">
        <v>8</v>
      </c>
      <c r="CH388" s="27" t="s">
        <v>7</v>
      </c>
      <c r="CI388" s="27" t="s">
        <v>8</v>
      </c>
      <c r="CJ388" s="27" t="s">
        <v>7</v>
      </c>
      <c r="CK388" s="27" t="s">
        <v>8</v>
      </c>
      <c r="IF388" s="27" t="s">
        <v>7</v>
      </c>
      <c r="IG388" s="27" t="s">
        <v>8</v>
      </c>
      <c r="IH388" s="27" t="s">
        <v>7</v>
      </c>
      <c r="II388" s="27" t="s">
        <v>8</v>
      </c>
    </row>
    <row r="389" spans="1:243" x14ac:dyDescent="0.25">
      <c r="A389" s="7">
        <v>50.446844846894244</v>
      </c>
      <c r="B389"/>
      <c r="C389"/>
      <c r="D389"/>
      <c r="E389"/>
      <c r="BY389" s="27" t="s">
        <v>8</v>
      </c>
      <c r="CA389" s="27" t="s">
        <v>8</v>
      </c>
      <c r="CB389" s="27" t="s">
        <v>7</v>
      </c>
      <c r="CC389" s="27" t="s">
        <v>8</v>
      </c>
      <c r="CF389" s="27" t="s">
        <v>7</v>
      </c>
      <c r="CG389" s="27" t="s">
        <v>8</v>
      </c>
      <c r="CH389" s="27" t="s">
        <v>7</v>
      </c>
      <c r="CI389" s="27" t="s">
        <v>8</v>
      </c>
      <c r="CJ389" s="27" t="s">
        <v>7</v>
      </c>
      <c r="IF389" s="27" t="s">
        <v>7</v>
      </c>
      <c r="IH389" s="27" t="s">
        <v>7</v>
      </c>
    </row>
    <row r="390" spans="1:243" x14ac:dyDescent="0.25">
      <c r="A390" s="7">
        <v>49.457691026366902</v>
      </c>
      <c r="B390"/>
      <c r="C390"/>
      <c r="D390"/>
      <c r="E390"/>
      <c r="BY390" s="27" t="s">
        <v>8</v>
      </c>
      <c r="BZ390" s="27" t="s">
        <v>7</v>
      </c>
      <c r="CA390" s="27" t="s">
        <v>8</v>
      </c>
      <c r="CB390" s="27" t="s">
        <v>7</v>
      </c>
      <c r="CC390" s="27" t="s">
        <v>8</v>
      </c>
      <c r="CF390" s="27" t="s">
        <v>7</v>
      </c>
      <c r="CG390" s="27" t="s">
        <v>8</v>
      </c>
      <c r="CH390" s="27" t="s">
        <v>7</v>
      </c>
    </row>
    <row r="391" spans="1:243" x14ac:dyDescent="0.25">
      <c r="A391" s="7">
        <v>48.487932378791079</v>
      </c>
      <c r="B391"/>
      <c r="C391"/>
      <c r="D391"/>
      <c r="E391"/>
      <c r="BY391" s="27" t="s">
        <v>8</v>
      </c>
      <c r="BZ391" s="27" t="s">
        <v>7</v>
      </c>
      <c r="CA391" s="27" t="s">
        <v>8</v>
      </c>
      <c r="CB391" s="27" t="s">
        <v>7</v>
      </c>
      <c r="CC391" s="27" t="s">
        <v>8</v>
      </c>
      <c r="CF391" s="27" t="s">
        <v>7</v>
      </c>
      <c r="CG391" s="27" t="s">
        <v>8</v>
      </c>
    </row>
    <row r="392" spans="1:243" x14ac:dyDescent="0.25">
      <c r="A392" s="7">
        <v>47.537188606657921</v>
      </c>
      <c r="B392"/>
      <c r="C392"/>
      <c r="D392"/>
      <c r="E392"/>
      <c r="BY392" s="27" t="s">
        <v>8</v>
      </c>
      <c r="BZ392" s="27" t="s">
        <v>7</v>
      </c>
      <c r="CA392" s="27" t="s">
        <v>8</v>
      </c>
      <c r="CB392" s="27" t="s">
        <v>7</v>
      </c>
      <c r="CC392" s="27" t="s">
        <v>8</v>
      </c>
      <c r="CF392" s="27" t="s">
        <v>7</v>
      </c>
      <c r="CG392" s="27" t="s">
        <v>8</v>
      </c>
    </row>
    <row r="393" spans="1:243" x14ac:dyDescent="0.25">
      <c r="A393" s="7">
        <v>46.605086869272469</v>
      </c>
      <c r="B393"/>
      <c r="C393"/>
      <c r="D393"/>
      <c r="E393"/>
      <c r="BY393" s="27" t="s">
        <v>8</v>
      </c>
      <c r="BZ393" s="27" t="s">
        <v>7</v>
      </c>
      <c r="CA393" s="27" t="s">
        <v>8</v>
      </c>
      <c r="CB393" s="27" t="s">
        <v>7</v>
      </c>
      <c r="CC393" s="27" t="s">
        <v>8</v>
      </c>
      <c r="CF393" s="27" t="s">
        <v>7</v>
      </c>
      <c r="CG393" s="27" t="s">
        <v>8</v>
      </c>
    </row>
    <row r="394" spans="1:243" x14ac:dyDescent="0.25">
      <c r="A394" s="7">
        <v>45.691261636541633</v>
      </c>
      <c r="B394"/>
      <c r="C394"/>
      <c r="D394"/>
      <c r="E394"/>
      <c r="BY394" s="27" t="s">
        <v>8</v>
      </c>
      <c r="BZ394" s="27" t="s">
        <v>7</v>
      </c>
      <c r="CA394" s="27" t="s">
        <v>8</v>
      </c>
      <c r="CB394" s="27" t="s">
        <v>7</v>
      </c>
      <c r="CC394" s="27" t="s">
        <v>8</v>
      </c>
      <c r="CF394" s="27" t="s">
        <v>7</v>
      </c>
    </row>
    <row r="395" spans="1:243" x14ac:dyDescent="0.25">
      <c r="A395" s="7">
        <v>44.795354545629053</v>
      </c>
      <c r="B395"/>
      <c r="C395"/>
      <c r="D395"/>
      <c r="E395"/>
      <c r="BY395" s="27" t="s">
        <v>8</v>
      </c>
      <c r="BZ395" s="27" t="s">
        <v>7</v>
      </c>
      <c r="CA395" s="27" t="s">
        <v>8</v>
      </c>
      <c r="CB395" s="27" t="s">
        <v>7</v>
      </c>
    </row>
    <row r="396" spans="1:243" x14ac:dyDescent="0.25">
      <c r="A396" s="7">
        <v>43.917014260420636</v>
      </c>
      <c r="B396"/>
      <c r="C396"/>
      <c r="D396"/>
      <c r="E396"/>
      <c r="BY396" s="27" t="s">
        <v>8</v>
      </c>
      <c r="BZ396" s="27" t="s">
        <v>7</v>
      </c>
      <c r="CA396" s="27" t="s">
        <v>8</v>
      </c>
    </row>
    <row r="397" spans="1:243" x14ac:dyDescent="0.25">
      <c r="A397" s="7">
        <v>43.055896333745721</v>
      </c>
      <c r="B397"/>
      <c r="C397"/>
      <c r="D397"/>
      <c r="E397"/>
      <c r="BW397" s="27" t="s">
        <v>8</v>
      </c>
      <c r="BY397" s="27" t="s">
        <v>8</v>
      </c>
      <c r="BZ397" s="27" t="s">
        <v>7</v>
      </c>
      <c r="CA397" s="27" t="s">
        <v>8</v>
      </c>
    </row>
    <row r="398" spans="1:243" x14ac:dyDescent="0.25">
      <c r="A398" s="7">
        <v>42.211663072299729</v>
      </c>
      <c r="B398"/>
      <c r="C398"/>
      <c r="D398"/>
      <c r="E398"/>
      <c r="BG398" s="27" t="s">
        <v>8</v>
      </c>
      <c r="BO398" s="27" t="s">
        <v>8</v>
      </c>
      <c r="BW398" s="27" t="s">
        <v>8</v>
      </c>
      <c r="BX398" s="27" t="s">
        <v>7</v>
      </c>
      <c r="BY398" s="27" t="s">
        <v>8</v>
      </c>
      <c r="BZ398" s="27" t="s">
        <v>7</v>
      </c>
    </row>
    <row r="399" spans="1:243" x14ac:dyDescent="0.25">
      <c r="A399" s="7">
        <v>41.383983404215421</v>
      </c>
      <c r="B399"/>
      <c r="C399"/>
      <c r="D399"/>
      <c r="E399"/>
      <c r="BG399" s="27" t="s">
        <v>8</v>
      </c>
      <c r="BH399" s="27" t="s">
        <v>7</v>
      </c>
      <c r="BO399" s="27" t="s">
        <v>8</v>
      </c>
      <c r="BP399" s="27" t="s">
        <v>7</v>
      </c>
      <c r="BU399" s="27" t="s">
        <v>8</v>
      </c>
      <c r="BW399" s="27" t="s">
        <v>8</v>
      </c>
      <c r="BX399" s="27" t="s">
        <v>7</v>
      </c>
      <c r="BY399" s="27" t="s">
        <v>8</v>
      </c>
    </row>
    <row r="400" spans="1:243" x14ac:dyDescent="0.25">
      <c r="A400" s="7">
        <v>40.572532749230803</v>
      </c>
      <c r="B400"/>
      <c r="C400"/>
      <c r="D400"/>
      <c r="E400"/>
      <c r="BG400" s="27" t="s">
        <v>8</v>
      </c>
      <c r="BH400" s="27" t="s">
        <v>7</v>
      </c>
      <c r="BO400" s="27" t="s">
        <v>8</v>
      </c>
      <c r="BP400" s="27" t="s">
        <v>7</v>
      </c>
      <c r="BU400" s="27" t="s">
        <v>8</v>
      </c>
      <c r="BV400" s="27" t="s">
        <v>7</v>
      </c>
      <c r="BW400" s="27" t="s">
        <v>8</v>
      </c>
      <c r="BX400" s="27" t="s">
        <v>7</v>
      </c>
      <c r="BY400" s="27" t="s">
        <v>8</v>
      </c>
    </row>
    <row r="401" spans="1:76" x14ac:dyDescent="0.25">
      <c r="A401" s="7">
        <v>39.776992891402749</v>
      </c>
      <c r="B401"/>
      <c r="C401"/>
      <c r="D401"/>
      <c r="E401"/>
      <c r="BG401" s="27" t="s">
        <v>8</v>
      </c>
      <c r="BH401" s="27" t="s">
        <v>7</v>
      </c>
      <c r="BO401" s="27" t="s">
        <v>8</v>
      </c>
      <c r="BP401" s="27" t="s">
        <v>7</v>
      </c>
      <c r="BU401" s="27" t="s">
        <v>8</v>
      </c>
      <c r="BV401" s="27" t="s">
        <v>7</v>
      </c>
      <c r="BW401" s="27" t="s">
        <v>8</v>
      </c>
      <c r="BX401" s="27" t="s">
        <v>7</v>
      </c>
    </row>
    <row r="402" spans="1:76" x14ac:dyDescent="0.25">
      <c r="A402" s="7">
        <v>38.997051854316418</v>
      </c>
      <c r="B402"/>
      <c r="C402"/>
      <c r="D402"/>
      <c r="E402"/>
      <c r="BG402" s="27" t="s">
        <v>8</v>
      </c>
      <c r="BH402" s="27" t="s">
        <v>7</v>
      </c>
      <c r="BO402" s="27" t="s">
        <v>8</v>
      </c>
      <c r="BP402" s="27" t="s">
        <v>7</v>
      </c>
      <c r="BU402" s="27" t="s">
        <v>8</v>
      </c>
      <c r="BV402" s="27" t="s">
        <v>7</v>
      </c>
      <c r="BW402" s="27" t="s">
        <v>8</v>
      </c>
    </row>
    <row r="403" spans="1:76" x14ac:dyDescent="0.25">
      <c r="A403" s="7">
        <v>38.232403778741585</v>
      </c>
      <c r="B403"/>
      <c r="C403"/>
      <c r="D403"/>
      <c r="E403"/>
      <c r="BG403" s="27" t="s">
        <v>8</v>
      </c>
      <c r="BH403" s="27" t="s">
        <v>7</v>
      </c>
      <c r="BO403" s="27" t="s">
        <v>8</v>
      </c>
      <c r="BP403" s="27" t="s">
        <v>7</v>
      </c>
      <c r="BU403" s="27" t="s">
        <v>8</v>
      </c>
      <c r="BV403" s="27" t="s">
        <v>7</v>
      </c>
      <c r="BW403" s="27" t="s">
        <v>8</v>
      </c>
    </row>
    <row r="404" spans="1:76" x14ac:dyDescent="0.25">
      <c r="A404" s="7">
        <v>37.48274880268783</v>
      </c>
      <c r="B404"/>
      <c r="C404"/>
      <c r="D404"/>
      <c r="E404"/>
      <c r="BG404" s="27" t="s">
        <v>8</v>
      </c>
      <c r="BH404" s="27" t="s">
        <v>7</v>
      </c>
      <c r="BO404" s="27" t="s">
        <v>8</v>
      </c>
      <c r="BP404" s="27" t="s">
        <v>7</v>
      </c>
      <c r="BU404" s="27" t="s">
        <v>8</v>
      </c>
      <c r="BV404" s="27" t="s">
        <v>7</v>
      </c>
      <c r="BW404" s="27" t="s">
        <v>8</v>
      </c>
    </row>
    <row r="405" spans="1:76" x14ac:dyDescent="0.25">
      <c r="A405" s="7">
        <v>36.747792943811596</v>
      </c>
      <c r="B405"/>
      <c r="C405"/>
      <c r="D405"/>
      <c r="E405"/>
      <c r="BG405" s="27" t="s">
        <v>8</v>
      </c>
      <c r="BH405" s="27" t="s">
        <v>7</v>
      </c>
      <c r="BO405" s="27" t="s">
        <v>8</v>
      </c>
      <c r="BP405" s="27" t="s">
        <v>7</v>
      </c>
      <c r="BS405" s="27" t="s">
        <v>8</v>
      </c>
      <c r="BU405" s="27" t="s">
        <v>8</v>
      </c>
      <c r="BV405" s="27" t="s">
        <v>7</v>
      </c>
      <c r="BW405" s="27" t="s">
        <v>8</v>
      </c>
    </row>
    <row r="406" spans="1:76" x14ac:dyDescent="0.25">
      <c r="A406" s="7">
        <v>36.027247984129012</v>
      </c>
      <c r="B406"/>
      <c r="C406"/>
      <c r="D406"/>
      <c r="E406"/>
      <c r="BG406" s="27" t="s">
        <v>8</v>
      </c>
      <c r="BH406" s="27" t="s">
        <v>7</v>
      </c>
      <c r="BO406" s="27" t="s">
        <v>8</v>
      </c>
      <c r="BP406" s="27" t="s">
        <v>7</v>
      </c>
      <c r="BQ406" s="27" t="s">
        <v>8</v>
      </c>
      <c r="BS406" s="27" t="s">
        <v>8</v>
      </c>
      <c r="BT406" s="27" t="s">
        <v>7</v>
      </c>
      <c r="BU406" s="27" t="s">
        <v>8</v>
      </c>
      <c r="BV406" s="27" t="s">
        <v>7</v>
      </c>
      <c r="BW406" s="27" t="s">
        <v>8</v>
      </c>
    </row>
    <row r="407" spans="1:76" x14ac:dyDescent="0.25">
      <c r="A407" s="7">
        <v>35.320831356989224</v>
      </c>
      <c r="B407"/>
      <c r="C407"/>
      <c r="D407"/>
      <c r="E407"/>
      <c r="BG407" s="27" t="s">
        <v>8</v>
      </c>
      <c r="BH407" s="27" t="s">
        <v>7</v>
      </c>
      <c r="BO407" s="27" t="s">
        <v>8</v>
      </c>
      <c r="BP407" s="27" t="s">
        <v>7</v>
      </c>
      <c r="BQ407" s="27" t="s">
        <v>8</v>
      </c>
      <c r="BR407" s="27" t="s">
        <v>7</v>
      </c>
      <c r="BS407" s="27" t="s">
        <v>8</v>
      </c>
      <c r="BT407" s="27" t="s">
        <v>7</v>
      </c>
      <c r="BU407" s="27" t="s">
        <v>8</v>
      </c>
      <c r="BV407" s="27" t="s">
        <v>7</v>
      </c>
    </row>
    <row r="408" spans="1:76" x14ac:dyDescent="0.25">
      <c r="A408" s="7">
        <v>34.628266036263945</v>
      </c>
      <c r="B408"/>
      <c r="C408"/>
      <c r="D408"/>
      <c r="E408"/>
      <c r="BG408" s="27" t="s">
        <v>8</v>
      </c>
      <c r="BH408" s="27" t="s">
        <v>7</v>
      </c>
      <c r="BK408" s="27" t="s">
        <v>8</v>
      </c>
      <c r="BO408" s="27" t="s">
        <v>8</v>
      </c>
      <c r="BP408" s="27" t="s">
        <v>7</v>
      </c>
      <c r="BQ408" s="27" t="s">
        <v>8</v>
      </c>
      <c r="BR408" s="27" t="s">
        <v>7</v>
      </c>
      <c r="BS408" s="27" t="s">
        <v>8</v>
      </c>
      <c r="BT408" s="27" t="s">
        <v>7</v>
      </c>
      <c r="BU408" s="27" t="s">
        <v>8</v>
      </c>
    </row>
    <row r="409" spans="1:76" x14ac:dyDescent="0.25">
      <c r="A409" s="7">
        <v>33.949280427709752</v>
      </c>
      <c r="B409"/>
      <c r="C409"/>
      <c r="D409"/>
      <c r="E409"/>
      <c r="BG409" s="27" t="s">
        <v>8</v>
      </c>
      <c r="BH409" s="27" t="s">
        <v>7</v>
      </c>
      <c r="BK409" s="27" t="s">
        <v>8</v>
      </c>
      <c r="BL409" s="27" t="s">
        <v>7</v>
      </c>
      <c r="BO409" s="27" t="s">
        <v>8</v>
      </c>
      <c r="BP409" s="27" t="s">
        <v>7</v>
      </c>
      <c r="BQ409" s="27" t="s">
        <v>8</v>
      </c>
      <c r="BR409" s="27" t="s">
        <v>7</v>
      </c>
      <c r="BS409" s="27" t="s">
        <v>8</v>
      </c>
      <c r="BT409" s="27" t="s">
        <v>7</v>
      </c>
    </row>
    <row r="410" spans="1:76" x14ac:dyDescent="0.25">
      <c r="A410" s="7">
        <v>33.28360826246054</v>
      </c>
      <c r="B410"/>
      <c r="C410"/>
      <c r="D410"/>
      <c r="E410"/>
      <c r="BG410" s="27" t="s">
        <v>8</v>
      </c>
      <c r="BH410" s="27" t="s">
        <v>7</v>
      </c>
      <c r="BK410" s="27" t="s">
        <v>8</v>
      </c>
      <c r="BL410" s="27" t="s">
        <v>7</v>
      </c>
      <c r="BO410" s="27" t="s">
        <v>8</v>
      </c>
      <c r="BP410" s="27" t="s">
        <v>7</v>
      </c>
      <c r="BQ410" s="27" t="s">
        <v>8</v>
      </c>
      <c r="BR410" s="27" t="s">
        <v>7</v>
      </c>
      <c r="BS410" s="27" t="s">
        <v>8</v>
      </c>
    </row>
    <row r="411" spans="1:76" x14ac:dyDescent="0.25">
      <c r="A411" s="7">
        <v>32.630988492608374</v>
      </c>
      <c r="B411"/>
      <c r="C411"/>
      <c r="D411"/>
      <c r="E411"/>
      <c r="BG411" s="27" t="s">
        <v>8</v>
      </c>
      <c r="BH411" s="27" t="s">
        <v>7</v>
      </c>
      <c r="BK411" s="27" t="s">
        <v>8</v>
      </c>
      <c r="BL411" s="27" t="s">
        <v>7</v>
      </c>
      <c r="BO411" s="27" t="s">
        <v>8</v>
      </c>
      <c r="BP411" s="27" t="s">
        <v>7</v>
      </c>
      <c r="BR411" s="27" t="s">
        <v>7</v>
      </c>
      <c r="BS411" s="27" t="s">
        <v>8</v>
      </c>
    </row>
    <row r="412" spans="1:76" x14ac:dyDescent="0.25">
      <c r="A412" s="7">
        <v>31.99116518883174</v>
      </c>
      <c r="B412"/>
      <c r="C412"/>
      <c r="D412"/>
      <c r="E412"/>
      <c r="BG412" s="27" t="s">
        <v>8</v>
      </c>
      <c r="BH412" s="27" t="s">
        <v>7</v>
      </c>
      <c r="BK412" s="27" t="s">
        <v>8</v>
      </c>
      <c r="BL412" s="27" t="s">
        <v>7</v>
      </c>
      <c r="BM412" s="27" t="s">
        <v>8</v>
      </c>
      <c r="BO412" s="27" t="s">
        <v>8</v>
      </c>
      <c r="BR412" s="27" t="s">
        <v>7</v>
      </c>
      <c r="BS412" s="27" t="s">
        <v>8</v>
      </c>
    </row>
    <row r="413" spans="1:76" x14ac:dyDescent="0.25">
      <c r="A413" s="7">
        <v>31.363887440031117</v>
      </c>
      <c r="B413"/>
      <c r="C413"/>
      <c r="D413"/>
      <c r="E413"/>
      <c r="BG413" s="27" t="s">
        <v>8</v>
      </c>
      <c r="BH413" s="27" t="s">
        <v>7</v>
      </c>
      <c r="BK413" s="27" t="s">
        <v>8</v>
      </c>
      <c r="BL413" s="27" t="s">
        <v>7</v>
      </c>
      <c r="BM413" s="27" t="s">
        <v>8</v>
      </c>
      <c r="BN413" s="27" t="s">
        <v>7</v>
      </c>
      <c r="BO413" s="27" t="s">
        <v>8</v>
      </c>
      <c r="BR413" s="27" t="s">
        <v>7</v>
      </c>
      <c r="BS413" s="27" t="s">
        <v>8</v>
      </c>
    </row>
    <row r="414" spans="1:76" x14ac:dyDescent="0.25">
      <c r="A414" s="7">
        <v>30.748909254932467</v>
      </c>
      <c r="B414"/>
      <c r="C414"/>
      <c r="D414"/>
      <c r="E414"/>
      <c r="BG414" s="27" t="s">
        <v>8</v>
      </c>
      <c r="BH414" s="27" t="s">
        <v>7</v>
      </c>
      <c r="BK414" s="27" t="s">
        <v>8</v>
      </c>
      <c r="BL414" s="27" t="s">
        <v>7</v>
      </c>
      <c r="BM414" s="27" t="s">
        <v>8</v>
      </c>
      <c r="BN414" s="27" t="s">
        <v>7</v>
      </c>
      <c r="BO414" s="27" t="s">
        <v>8</v>
      </c>
      <c r="BR414" s="27" t="s">
        <v>7</v>
      </c>
    </row>
    <row r="415" spans="1:76" x14ac:dyDescent="0.25">
      <c r="A415" s="7">
        <v>30.145989465620065</v>
      </c>
      <c r="B415"/>
      <c r="C415"/>
      <c r="D415"/>
      <c r="E415"/>
      <c r="BG415" s="27" t="s">
        <v>8</v>
      </c>
      <c r="BH415" s="27" t="s">
        <v>7</v>
      </c>
      <c r="BK415" s="27" t="s">
        <v>8</v>
      </c>
      <c r="BL415" s="27" t="s">
        <v>7</v>
      </c>
      <c r="BM415" s="27" t="s">
        <v>8</v>
      </c>
      <c r="BN415" s="27" t="s">
        <v>7</v>
      </c>
      <c r="BO415" s="27" t="s">
        <v>8</v>
      </c>
    </row>
    <row r="416" spans="1:76" x14ac:dyDescent="0.25">
      <c r="A416" s="7">
        <v>29.55489163296085</v>
      </c>
      <c r="B416"/>
      <c r="C416"/>
      <c r="D416"/>
      <c r="E416"/>
      <c r="BG416" s="27" t="s">
        <v>8</v>
      </c>
      <c r="BH416" s="27" t="s">
        <v>7</v>
      </c>
      <c r="BK416" s="27" t="s">
        <v>8</v>
      </c>
      <c r="BL416" s="27" t="s">
        <v>7</v>
      </c>
      <c r="BM416" s="27" t="s">
        <v>8</v>
      </c>
      <c r="BN416" s="27" t="s">
        <v>7</v>
      </c>
    </row>
    <row r="417" spans="1:65" x14ac:dyDescent="0.25">
      <c r="A417" s="7">
        <v>28.975383953883185</v>
      </c>
      <c r="B417"/>
      <c r="C417"/>
      <c r="D417"/>
      <c r="E417"/>
      <c r="BG417" s="27" t="s">
        <v>8</v>
      </c>
      <c r="BH417" s="27" t="s">
        <v>7</v>
      </c>
      <c r="BK417" s="27" t="s">
        <v>8</v>
      </c>
      <c r="BL417" s="27" t="s">
        <v>7</v>
      </c>
      <c r="BM417" s="27" t="s">
        <v>8</v>
      </c>
    </row>
    <row r="418" spans="1:65" x14ac:dyDescent="0.25">
      <c r="A418" s="7">
        <v>28.407239170473709</v>
      </c>
      <c r="B418"/>
      <c r="C418"/>
      <c r="D418"/>
      <c r="E418"/>
      <c r="BG418" s="27" t="s">
        <v>8</v>
      </c>
      <c r="BH418" s="27" t="s">
        <v>7</v>
      </c>
      <c r="BI418" s="27" t="s">
        <v>8</v>
      </c>
      <c r="BK418" s="27" t="s">
        <v>8</v>
      </c>
      <c r="BL418" s="27" t="s">
        <v>7</v>
      </c>
      <c r="BM418" s="27" t="s">
        <v>8</v>
      </c>
    </row>
    <row r="419" spans="1:65" x14ac:dyDescent="0.25">
      <c r="A419" s="7">
        <v>27.850234480856578</v>
      </c>
      <c r="B419"/>
      <c r="C419"/>
      <c r="D419"/>
      <c r="E419"/>
      <c r="BG419" s="27" t="s">
        <v>8</v>
      </c>
      <c r="BH419" s="27" t="s">
        <v>7</v>
      </c>
      <c r="BI419" s="27" t="s">
        <v>8</v>
      </c>
      <c r="BJ419" s="27" t="s">
        <v>7</v>
      </c>
      <c r="BK419" s="27" t="s">
        <v>8</v>
      </c>
      <c r="BL419" s="27" t="s">
        <v>7</v>
      </c>
      <c r="BM419" s="27" t="s">
        <v>8</v>
      </c>
    </row>
    <row r="420" spans="1:65" x14ac:dyDescent="0.25">
      <c r="A420" s="7">
        <v>27.304151451820175</v>
      </c>
      <c r="B420"/>
      <c r="C420"/>
      <c r="D420"/>
      <c r="E420"/>
      <c r="BG420" s="27" t="s">
        <v>8</v>
      </c>
      <c r="BH420" s="27" t="s">
        <v>7</v>
      </c>
      <c r="BI420" s="27" t="s">
        <v>8</v>
      </c>
      <c r="BJ420" s="27" t="s">
        <v>7</v>
      </c>
      <c r="BK420" s="27" t="s">
        <v>8</v>
      </c>
      <c r="BL420" s="27" t="s">
        <v>7</v>
      </c>
      <c r="BM420" s="27" t="s">
        <v>8</v>
      </c>
    </row>
    <row r="421" spans="1:65" x14ac:dyDescent="0.25">
      <c r="A421" s="7">
        <v>26.768775933157034</v>
      </c>
      <c r="B421"/>
      <c r="C421"/>
      <c r="D421"/>
      <c r="E421"/>
      <c r="BG421" s="27" t="s">
        <v>8</v>
      </c>
      <c r="BH421" s="27" t="s">
        <v>7</v>
      </c>
      <c r="BI421" s="27" t="s">
        <v>8</v>
      </c>
      <c r="BJ421" s="27" t="s">
        <v>7</v>
      </c>
      <c r="BK421" s="27" t="s">
        <v>8</v>
      </c>
      <c r="BL421" s="27" t="s">
        <v>7</v>
      </c>
      <c r="BM421" s="27" t="s">
        <v>8</v>
      </c>
    </row>
    <row r="422" spans="1:65" x14ac:dyDescent="0.25">
      <c r="A422" s="7">
        <v>26.243897973683367</v>
      </c>
      <c r="B422"/>
      <c r="C422"/>
      <c r="D422"/>
      <c r="E422"/>
      <c r="BG422" s="27" t="s">
        <v>8</v>
      </c>
      <c r="BH422" s="27" t="s">
        <v>7</v>
      </c>
      <c r="BI422" s="27" t="s">
        <v>8</v>
      </c>
      <c r="BJ422" s="27" t="s">
        <v>7</v>
      </c>
      <c r="BK422" s="27" t="s">
        <v>8</v>
      </c>
      <c r="BL422" s="27" t="s">
        <v>7</v>
      </c>
      <c r="BM422" s="27" t="s">
        <v>8</v>
      </c>
    </row>
    <row r="423" spans="1:65" x14ac:dyDescent="0.25">
      <c r="A423" s="7">
        <v>25.729311738905263</v>
      </c>
      <c r="B423"/>
      <c r="C423"/>
      <c r="D423"/>
      <c r="E423"/>
      <c r="BG423" s="27" t="s">
        <v>8</v>
      </c>
      <c r="BH423" s="27" t="s">
        <v>7</v>
      </c>
      <c r="BI423" s="27" t="s">
        <v>8</v>
      </c>
      <c r="BJ423" s="27" t="s">
        <v>7</v>
      </c>
      <c r="BK423" s="27" t="s">
        <v>8</v>
      </c>
      <c r="BL423" s="27" t="s">
        <v>7</v>
      </c>
      <c r="BM423" s="27" t="s">
        <v>8</v>
      </c>
    </row>
    <row r="424" spans="1:65" x14ac:dyDescent="0.25">
      <c r="A424" s="7">
        <v>25.224815430299277</v>
      </c>
      <c r="B424"/>
      <c r="C424"/>
      <c r="D424"/>
      <c r="E424"/>
      <c r="BG424" s="27" t="s">
        <v>8</v>
      </c>
      <c r="BH424" s="27" t="s">
        <v>7</v>
      </c>
      <c r="BJ424" s="27" t="s">
        <v>7</v>
      </c>
      <c r="BK424" s="27" t="s">
        <v>8</v>
      </c>
      <c r="BL424" s="27" t="s">
        <v>7</v>
      </c>
      <c r="BM424" s="27" t="s">
        <v>8</v>
      </c>
    </row>
    <row r="425" spans="1:65" x14ac:dyDescent="0.25">
      <c r="A425" s="7">
        <v>24.73021120617576</v>
      </c>
      <c r="B425"/>
      <c r="C425"/>
      <c r="D425"/>
      <c r="E425" t="s">
        <v>8</v>
      </c>
      <c r="O425" s="27" t="s">
        <v>8</v>
      </c>
      <c r="BG425" s="27" t="s">
        <v>8</v>
      </c>
      <c r="BJ425" s="27" t="s">
        <v>7</v>
      </c>
      <c r="BL425" s="27" t="s">
        <v>7</v>
      </c>
      <c r="BM425" s="27" t="s">
        <v>8</v>
      </c>
    </row>
    <row r="426" spans="1:65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O426" s="27" t="s">
        <v>8</v>
      </c>
      <c r="P426" s="27" t="s">
        <v>7</v>
      </c>
      <c r="BA426" s="27" t="s">
        <v>8</v>
      </c>
      <c r="BG426" s="27" t="s">
        <v>8</v>
      </c>
      <c r="BL426" s="27" t="s">
        <v>7</v>
      </c>
      <c r="BM426" s="27" t="s">
        <v>8</v>
      </c>
    </row>
    <row r="427" spans="1:65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O427" s="27" t="s">
        <v>8</v>
      </c>
      <c r="P427" s="27" t="s">
        <v>7</v>
      </c>
      <c r="BA427" s="27" t="s">
        <v>8</v>
      </c>
      <c r="BB427" s="27" t="s">
        <v>7</v>
      </c>
      <c r="BE427" s="27" t="s">
        <v>8</v>
      </c>
      <c r="BG427" s="27" t="s">
        <v>8</v>
      </c>
      <c r="BL427" s="27" t="s">
        <v>7</v>
      </c>
      <c r="BM427" s="27" t="s">
        <v>8</v>
      </c>
    </row>
    <row r="428" spans="1:65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O428" s="27" t="s">
        <v>8</v>
      </c>
      <c r="P428" s="27" t="s">
        <v>7</v>
      </c>
      <c r="BA428" s="27" t="s">
        <v>8</v>
      </c>
      <c r="BB428" s="27" t="s">
        <v>7</v>
      </c>
      <c r="BE428" s="27" t="s">
        <v>8</v>
      </c>
      <c r="BF428" s="27" t="s">
        <v>7</v>
      </c>
      <c r="BG428" s="27" t="s">
        <v>8</v>
      </c>
      <c r="BL428" s="27" t="s">
        <v>7</v>
      </c>
    </row>
    <row r="429" spans="1:65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O429" s="27" t="s">
        <v>8</v>
      </c>
      <c r="P429" s="27" t="s">
        <v>7</v>
      </c>
      <c r="BA429" s="27" t="s">
        <v>8</v>
      </c>
      <c r="BB429" s="27" t="s">
        <v>7</v>
      </c>
      <c r="BC429" s="27" t="s">
        <v>8</v>
      </c>
      <c r="BE429" s="27" t="s">
        <v>8</v>
      </c>
      <c r="BF429" s="27" t="s">
        <v>7</v>
      </c>
      <c r="BG429" s="27" t="s">
        <v>8</v>
      </c>
    </row>
    <row r="430" spans="1:65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O430" s="27" t="s">
        <v>8</v>
      </c>
      <c r="P430" s="27" t="s">
        <v>7</v>
      </c>
      <c r="BA430" s="27" t="s">
        <v>8</v>
      </c>
      <c r="BB430" s="27" t="s">
        <v>7</v>
      </c>
      <c r="BC430" s="27" t="s">
        <v>8</v>
      </c>
      <c r="BD430" s="27" t="s">
        <v>7</v>
      </c>
      <c r="BE430" s="27" t="s">
        <v>8</v>
      </c>
      <c r="BF430" s="27" t="s">
        <v>7</v>
      </c>
      <c r="BG430" s="27" t="s">
        <v>8</v>
      </c>
    </row>
    <row r="431" spans="1:65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K431" s="27" t="s">
        <v>8</v>
      </c>
      <c r="O431" s="27" t="s">
        <v>8</v>
      </c>
      <c r="P431" s="27" t="s">
        <v>7</v>
      </c>
      <c r="BA431" s="27" t="s">
        <v>8</v>
      </c>
      <c r="BB431" s="27" t="s">
        <v>7</v>
      </c>
      <c r="BC431" s="27" t="s">
        <v>8</v>
      </c>
      <c r="BD431" s="27" t="s">
        <v>7</v>
      </c>
      <c r="BE431" s="27" t="s">
        <v>8</v>
      </c>
      <c r="BF431" s="27" t="s">
        <v>7</v>
      </c>
      <c r="BG431" s="27" t="s">
        <v>8</v>
      </c>
    </row>
    <row r="432" spans="1:65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K432" s="27" t="s">
        <v>8</v>
      </c>
      <c r="L432" s="27" t="s">
        <v>7</v>
      </c>
      <c r="O432" s="27" t="s">
        <v>8</v>
      </c>
      <c r="P432" s="27" t="s">
        <v>7</v>
      </c>
      <c r="BA432" s="27" t="s">
        <v>8</v>
      </c>
      <c r="BB432" s="27" t="s">
        <v>7</v>
      </c>
      <c r="BC432" s="27" t="s">
        <v>8</v>
      </c>
      <c r="BD432" s="27" t="s">
        <v>7</v>
      </c>
      <c r="BE432" s="27" t="s">
        <v>8</v>
      </c>
      <c r="BF432" s="27" t="s">
        <v>7</v>
      </c>
      <c r="BG432" s="27" t="s">
        <v>8</v>
      </c>
    </row>
    <row r="433" spans="1:59" x14ac:dyDescent="0.25">
      <c r="A433" s="7">
        <v>21.106997141968804</v>
      </c>
      <c r="B433"/>
      <c r="C433"/>
      <c r="D433"/>
      <c r="E433" t="s">
        <v>8</v>
      </c>
      <c r="F433" s="27" t="s">
        <v>7</v>
      </c>
      <c r="K433" s="27" t="s">
        <v>8</v>
      </c>
      <c r="L433" s="27" t="s">
        <v>7</v>
      </c>
      <c r="O433" s="27" t="s">
        <v>8</v>
      </c>
      <c r="P433" s="27" t="s">
        <v>7</v>
      </c>
      <c r="BA433" s="27" t="s">
        <v>8</v>
      </c>
      <c r="BB433" s="27" t="s">
        <v>7</v>
      </c>
      <c r="BC433" s="27" t="s">
        <v>8</v>
      </c>
      <c r="BD433" s="27" t="s">
        <v>7</v>
      </c>
      <c r="BE433" s="27" t="s">
        <v>8</v>
      </c>
      <c r="BF433" s="27" t="s">
        <v>7</v>
      </c>
      <c r="BG433" s="27" t="s">
        <v>8</v>
      </c>
    </row>
    <row r="434" spans="1:59" x14ac:dyDescent="0.25">
      <c r="A434" s="7">
        <v>20.693134452910591</v>
      </c>
      <c r="B434"/>
      <c r="C434"/>
      <c r="D434"/>
      <c r="E434" t="s">
        <v>8</v>
      </c>
      <c r="F434" s="27" t="s">
        <v>7</v>
      </c>
      <c r="K434" s="27" t="s">
        <v>8</v>
      </c>
      <c r="L434" s="27" t="s">
        <v>7</v>
      </c>
      <c r="O434" s="27" t="s">
        <v>8</v>
      </c>
      <c r="P434" s="27" t="s">
        <v>7</v>
      </c>
      <c r="AW434" s="27" t="s">
        <v>8</v>
      </c>
      <c r="AY434" s="27" t="s">
        <v>8</v>
      </c>
      <c r="BA434" s="27" t="s">
        <v>8</v>
      </c>
      <c r="BB434" s="27" t="s">
        <v>7</v>
      </c>
      <c r="BD434" s="27" t="s">
        <v>7</v>
      </c>
      <c r="BF434" s="27" t="s">
        <v>7</v>
      </c>
      <c r="BG434" s="27" t="s">
        <v>8</v>
      </c>
    </row>
    <row r="435" spans="1:59" x14ac:dyDescent="0.25">
      <c r="A435" s="7">
        <v>20.287386718539796</v>
      </c>
      <c r="B435"/>
      <c r="C435"/>
      <c r="D435"/>
      <c r="E435" t="s">
        <v>8</v>
      </c>
      <c r="F435" s="27" t="s">
        <v>7</v>
      </c>
      <c r="K435" s="27" t="s">
        <v>8</v>
      </c>
      <c r="L435" s="27" t="s">
        <v>7</v>
      </c>
      <c r="O435" s="27" t="s">
        <v>8</v>
      </c>
      <c r="P435" s="27" t="s">
        <v>7</v>
      </c>
      <c r="AW435" s="27" t="s">
        <v>8</v>
      </c>
      <c r="AX435" s="27" t="s">
        <v>7</v>
      </c>
      <c r="AY435" s="27" t="s">
        <v>8</v>
      </c>
      <c r="AZ435" s="27" t="s">
        <v>7</v>
      </c>
      <c r="BA435" s="27" t="s">
        <v>8</v>
      </c>
      <c r="BF435" s="27" t="s">
        <v>7</v>
      </c>
      <c r="BG435" s="27" t="s">
        <v>8</v>
      </c>
    </row>
    <row r="436" spans="1:59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K436" s="27" t="s">
        <v>8</v>
      </c>
      <c r="L436" s="27" t="s">
        <v>7</v>
      </c>
      <c r="O436" s="27" t="s">
        <v>8</v>
      </c>
      <c r="P436" s="27" t="s">
        <v>7</v>
      </c>
      <c r="AW436" s="27" t="s">
        <v>8</v>
      </c>
      <c r="AX436" s="27" t="s">
        <v>7</v>
      </c>
      <c r="AY436" s="27" t="s">
        <v>8</v>
      </c>
      <c r="AZ436" s="27" t="s">
        <v>7</v>
      </c>
      <c r="BA436" s="27" t="s">
        <v>8</v>
      </c>
      <c r="BF436" s="27" t="s">
        <v>7</v>
      </c>
      <c r="BG436" s="27" t="s">
        <v>8</v>
      </c>
    </row>
    <row r="437" spans="1:59" x14ac:dyDescent="0.25">
      <c r="A437" s="7">
        <v>19.499602766762585</v>
      </c>
      <c r="B437"/>
      <c r="C437"/>
      <c r="D437"/>
      <c r="E437" t="s">
        <v>8</v>
      </c>
      <c r="F437" s="27" t="s">
        <v>7</v>
      </c>
      <c r="K437" s="27" t="s">
        <v>8</v>
      </c>
      <c r="L437" s="27" t="s">
        <v>7</v>
      </c>
      <c r="O437" s="27" t="s">
        <v>8</v>
      </c>
      <c r="P437" s="27" t="s">
        <v>7</v>
      </c>
      <c r="Q437" s="27" t="s">
        <v>8</v>
      </c>
      <c r="AU437" s="27" t="s">
        <v>8</v>
      </c>
      <c r="AW437" s="27" t="s">
        <v>8</v>
      </c>
      <c r="AX437" s="27" t="s">
        <v>7</v>
      </c>
      <c r="AY437" s="27" t="s">
        <v>8</v>
      </c>
      <c r="AZ437" s="27" t="s">
        <v>7</v>
      </c>
      <c r="BA437" s="27" t="s">
        <v>8</v>
      </c>
      <c r="BF437" s="27" t="s">
        <v>7</v>
      </c>
      <c r="BG437" s="27" t="s">
        <v>8</v>
      </c>
    </row>
    <row r="438" spans="1:59" x14ac:dyDescent="0.25">
      <c r="A438" s="7">
        <v>19.117257614473122</v>
      </c>
      <c r="B438"/>
      <c r="C438"/>
      <c r="D438"/>
      <c r="E438" t="s">
        <v>8</v>
      </c>
      <c r="F438" s="27" t="s">
        <v>7</v>
      </c>
      <c r="K438" s="27" t="s">
        <v>8</v>
      </c>
      <c r="L438" s="27" t="s">
        <v>7</v>
      </c>
      <c r="O438" s="27" t="s">
        <v>8</v>
      </c>
      <c r="P438" s="27" t="s">
        <v>7</v>
      </c>
      <c r="Q438" s="27" t="s">
        <v>8</v>
      </c>
      <c r="R438" s="27" t="s">
        <v>7</v>
      </c>
      <c r="AU438" s="27" t="s">
        <v>8</v>
      </c>
      <c r="AV438" s="27" t="s">
        <v>7</v>
      </c>
      <c r="AW438" s="27" t="s">
        <v>8</v>
      </c>
      <c r="AX438" s="27" t="s">
        <v>7</v>
      </c>
      <c r="AY438" s="27" t="s">
        <v>8</v>
      </c>
      <c r="AZ438" s="27" t="s">
        <v>7</v>
      </c>
      <c r="BF438" s="27" t="s">
        <v>7</v>
      </c>
      <c r="BG438" s="27" t="s">
        <v>8</v>
      </c>
    </row>
    <row r="439" spans="1:59" x14ac:dyDescent="0.25">
      <c r="A439" s="7">
        <v>18.74240942595404</v>
      </c>
      <c r="B439"/>
      <c r="C439"/>
      <c r="D439"/>
      <c r="E439" t="s">
        <v>8</v>
      </c>
      <c r="F439" s="27" t="s">
        <v>7</v>
      </c>
      <c r="K439" s="27" t="s">
        <v>8</v>
      </c>
      <c r="L439" s="27" t="s">
        <v>7</v>
      </c>
      <c r="O439" s="27" t="s">
        <v>8</v>
      </c>
      <c r="P439" s="27" t="s">
        <v>7</v>
      </c>
      <c r="Q439" s="27" t="s">
        <v>8</v>
      </c>
      <c r="R439" s="27" t="s">
        <v>7</v>
      </c>
      <c r="AU439" s="27" t="s">
        <v>8</v>
      </c>
      <c r="AV439" s="27" t="s">
        <v>7</v>
      </c>
      <c r="AW439" s="27" t="s">
        <v>8</v>
      </c>
      <c r="AX439" s="27" t="s">
        <v>7</v>
      </c>
      <c r="AY439" s="27" t="s">
        <v>8</v>
      </c>
      <c r="BF439" s="27" t="s">
        <v>7</v>
      </c>
      <c r="BG439" s="27" t="s">
        <v>8</v>
      </c>
    </row>
    <row r="440" spans="1:59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K440" s="27" t="s">
        <v>8</v>
      </c>
      <c r="L440" s="27" t="s">
        <v>7</v>
      </c>
      <c r="M440" s="27" t="s">
        <v>8</v>
      </c>
      <c r="O440" s="27" t="s">
        <v>8</v>
      </c>
      <c r="P440" s="27" t="s">
        <v>7</v>
      </c>
      <c r="Q440" s="27" t="s">
        <v>8</v>
      </c>
      <c r="R440" s="27" t="s">
        <v>7</v>
      </c>
      <c r="AU440" s="27" t="s">
        <v>8</v>
      </c>
      <c r="AV440" s="27" t="s">
        <v>7</v>
      </c>
      <c r="AW440" s="27" t="s">
        <v>8</v>
      </c>
      <c r="AX440" s="27" t="s">
        <v>7</v>
      </c>
      <c r="AY440" s="27" t="s">
        <v>8</v>
      </c>
      <c r="BF440" s="27" t="s">
        <v>7</v>
      </c>
      <c r="BG440" s="27" t="s">
        <v>8</v>
      </c>
    </row>
    <row r="441" spans="1:59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K441" s="27" t="s">
        <v>8</v>
      </c>
      <c r="L441" s="27" t="s">
        <v>7</v>
      </c>
      <c r="M441" s="27" t="s">
        <v>8</v>
      </c>
      <c r="N441" s="27" t="s">
        <v>7</v>
      </c>
      <c r="O441" s="27" t="s">
        <v>8</v>
      </c>
      <c r="P441" s="27" t="s">
        <v>7</v>
      </c>
      <c r="Q441" s="27" t="s">
        <v>8</v>
      </c>
      <c r="R441" s="27" t="s">
        <v>7</v>
      </c>
      <c r="AS441" s="27" t="s">
        <v>8</v>
      </c>
      <c r="AU441" s="27" t="s">
        <v>8</v>
      </c>
      <c r="AV441" s="27" t="s">
        <v>7</v>
      </c>
      <c r="AW441" s="27" t="s">
        <v>8</v>
      </c>
      <c r="AX441" s="27" t="s">
        <v>7</v>
      </c>
      <c r="AY441" s="27" t="s">
        <v>8</v>
      </c>
      <c r="BF441" s="27" t="s">
        <v>7</v>
      </c>
      <c r="BG441" s="27" t="s">
        <v>8</v>
      </c>
    </row>
    <row r="442" spans="1:59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G442" s="27" t="s">
        <v>8</v>
      </c>
      <c r="K442" s="27" t="s">
        <v>8</v>
      </c>
      <c r="L442" s="27" t="s">
        <v>7</v>
      </c>
      <c r="M442" s="27" t="s">
        <v>8</v>
      </c>
      <c r="N442" s="27" t="s">
        <v>7</v>
      </c>
      <c r="O442" s="27" t="s">
        <v>8</v>
      </c>
      <c r="P442" s="27" t="s">
        <v>7</v>
      </c>
      <c r="Q442" s="27" t="s">
        <v>8</v>
      </c>
      <c r="R442" s="27" t="s">
        <v>7</v>
      </c>
      <c r="S442" s="27" t="s">
        <v>8</v>
      </c>
      <c r="AS442" s="27" t="s">
        <v>8</v>
      </c>
      <c r="AT442" s="27" t="s">
        <v>7</v>
      </c>
      <c r="AU442" s="27" t="s">
        <v>8</v>
      </c>
      <c r="AV442" s="27" t="s">
        <v>7</v>
      </c>
      <c r="AW442" s="27" t="s">
        <v>8</v>
      </c>
      <c r="AX442" s="27" t="s">
        <v>7</v>
      </c>
      <c r="BF442" s="27" t="s">
        <v>7</v>
      </c>
      <c r="BG442" s="27" t="s">
        <v>8</v>
      </c>
    </row>
    <row r="443" spans="1:59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G443" s="27" t="s">
        <v>8</v>
      </c>
      <c r="H443" s="27" t="s">
        <v>7</v>
      </c>
      <c r="K443" s="27" t="s">
        <v>8</v>
      </c>
      <c r="L443" s="27" t="s">
        <v>7</v>
      </c>
      <c r="M443" s="27" t="s">
        <v>8</v>
      </c>
      <c r="N443" s="27" t="s">
        <v>7</v>
      </c>
      <c r="O443" s="27" t="s">
        <v>8</v>
      </c>
      <c r="P443" s="27" t="s">
        <v>7</v>
      </c>
      <c r="Q443" s="27" t="s">
        <v>8</v>
      </c>
      <c r="R443" s="27" t="s">
        <v>7</v>
      </c>
      <c r="S443" s="27" t="s">
        <v>8</v>
      </c>
      <c r="T443" s="27" t="s">
        <v>7</v>
      </c>
      <c r="AS443" s="27" t="s">
        <v>8</v>
      </c>
      <c r="AT443" s="27" t="s">
        <v>7</v>
      </c>
      <c r="AU443" s="27" t="s">
        <v>8</v>
      </c>
      <c r="AV443" s="27" t="s">
        <v>7</v>
      </c>
      <c r="BF443" s="27" t="s">
        <v>7</v>
      </c>
      <c r="BG443" s="27" t="s">
        <v>8</v>
      </c>
    </row>
    <row r="444" spans="1:59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G444" s="27" t="s">
        <v>8</v>
      </c>
      <c r="H444" s="27" t="s">
        <v>7</v>
      </c>
      <c r="I444" s="27" t="s">
        <v>8</v>
      </c>
      <c r="K444" s="27" t="s">
        <v>8</v>
      </c>
      <c r="L444" s="27" t="s">
        <v>7</v>
      </c>
      <c r="M444" s="27" t="s">
        <v>8</v>
      </c>
      <c r="N444" s="27" t="s">
        <v>7</v>
      </c>
      <c r="O444" s="27" t="s">
        <v>8</v>
      </c>
      <c r="P444" s="27" t="s">
        <v>7</v>
      </c>
      <c r="Q444" s="27" t="s">
        <v>8</v>
      </c>
      <c r="R444" s="27" t="s">
        <v>7</v>
      </c>
      <c r="S444" s="27" t="s">
        <v>8</v>
      </c>
      <c r="T444" s="27" t="s">
        <v>7</v>
      </c>
      <c r="AS444" s="27" t="s">
        <v>8</v>
      </c>
      <c r="AT444" s="27" t="s">
        <v>7</v>
      </c>
      <c r="AU444" s="27" t="s">
        <v>8</v>
      </c>
      <c r="BF444" s="27" t="s">
        <v>7</v>
      </c>
      <c r="BG444" s="27" t="s">
        <v>8</v>
      </c>
    </row>
    <row r="445" spans="1:59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G445" s="27" t="s">
        <v>8</v>
      </c>
      <c r="H445" s="27" t="s">
        <v>7</v>
      </c>
      <c r="I445" s="27" t="s">
        <v>8</v>
      </c>
      <c r="J445" s="27" t="s">
        <v>7</v>
      </c>
      <c r="K445" s="27" t="s">
        <v>8</v>
      </c>
      <c r="L445" s="27" t="s">
        <v>7</v>
      </c>
      <c r="N445" s="27" t="s">
        <v>7</v>
      </c>
      <c r="O445" s="27" t="s">
        <v>8</v>
      </c>
      <c r="P445" s="27" t="s">
        <v>7</v>
      </c>
      <c r="R445" s="27" t="s">
        <v>7</v>
      </c>
      <c r="T445" s="27" t="s">
        <v>7</v>
      </c>
      <c r="AS445" s="27" t="s">
        <v>8</v>
      </c>
      <c r="AT445" s="27" t="s">
        <v>7</v>
      </c>
      <c r="AU445" s="27" t="s">
        <v>8</v>
      </c>
      <c r="BF445" s="27" t="s">
        <v>7</v>
      </c>
      <c r="BG445" s="27" t="s">
        <v>8</v>
      </c>
    </row>
    <row r="446" spans="1:59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G446" s="27" t="s">
        <v>8</v>
      </c>
      <c r="H446" s="27" t="s">
        <v>7</v>
      </c>
      <c r="I446" s="27" t="s">
        <v>8</v>
      </c>
      <c r="J446" s="27" t="s">
        <v>7</v>
      </c>
      <c r="K446" s="27" t="s">
        <v>8</v>
      </c>
      <c r="N446" s="27" t="s">
        <v>7</v>
      </c>
      <c r="T446" s="27" t="s">
        <v>7</v>
      </c>
      <c r="AS446" s="27" t="s">
        <v>8</v>
      </c>
      <c r="AT446" s="27" t="s">
        <v>7</v>
      </c>
      <c r="AU446" s="27" t="s">
        <v>8</v>
      </c>
      <c r="BF446" s="27" t="s">
        <v>7</v>
      </c>
      <c r="BG446" s="27" t="s">
        <v>8</v>
      </c>
    </row>
    <row r="447" spans="1:59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G447" s="27" t="s">
        <v>8</v>
      </c>
      <c r="H447" s="27" t="s">
        <v>7</v>
      </c>
      <c r="I447" s="27" t="s">
        <v>8</v>
      </c>
      <c r="J447" s="27" t="s">
        <v>7</v>
      </c>
      <c r="K447" s="27" t="s">
        <v>8</v>
      </c>
      <c r="T447" s="27" t="s">
        <v>7</v>
      </c>
      <c r="AS447" s="27" t="s">
        <v>8</v>
      </c>
      <c r="AT447" s="27" t="s">
        <v>7</v>
      </c>
      <c r="AU447" s="27" t="s">
        <v>8</v>
      </c>
      <c r="BF447" s="27" t="s">
        <v>7</v>
      </c>
    </row>
    <row r="448" spans="1:59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H448" s="27" t="s">
        <v>7</v>
      </c>
      <c r="J448" s="27" t="s">
        <v>7</v>
      </c>
      <c r="K448" s="27" t="s">
        <v>8</v>
      </c>
      <c r="T448" s="27" t="s">
        <v>7</v>
      </c>
      <c r="AS448" s="27" t="s">
        <v>8</v>
      </c>
      <c r="AT448" s="27" t="s">
        <v>7</v>
      </c>
      <c r="AU448" s="27" t="s">
        <v>8</v>
      </c>
    </row>
    <row r="449" spans="1:47" x14ac:dyDescent="0.25">
      <c r="A449" s="7">
        <v>15.375303708145482</v>
      </c>
      <c r="B449"/>
      <c r="C449"/>
      <c r="D449"/>
      <c r="E449" t="s">
        <v>8</v>
      </c>
      <c r="J449" s="27" t="s">
        <v>7</v>
      </c>
      <c r="T449" s="27" t="s">
        <v>7</v>
      </c>
      <c r="AS449" s="27" t="s">
        <v>8</v>
      </c>
      <c r="AT449" s="27" t="s">
        <v>7</v>
      </c>
      <c r="AU449" s="27" t="s">
        <v>8</v>
      </c>
    </row>
    <row r="450" spans="1:47" x14ac:dyDescent="0.25">
      <c r="A450" s="7">
        <v>15.073827164848511</v>
      </c>
      <c r="B450"/>
      <c r="C450"/>
      <c r="D450"/>
      <c r="E450" t="s">
        <v>8</v>
      </c>
      <c r="T450" s="27" t="s">
        <v>7</v>
      </c>
      <c r="AS450" s="27" t="s">
        <v>8</v>
      </c>
      <c r="AT450" s="27" t="s">
        <v>7</v>
      </c>
      <c r="AU450" s="27" t="s">
        <v>8</v>
      </c>
    </row>
    <row r="451" spans="1:47" x14ac:dyDescent="0.25">
      <c r="A451" s="7">
        <v>14.77826192632207</v>
      </c>
      <c r="B451"/>
      <c r="C451"/>
      <c r="D451"/>
      <c r="E451" t="s">
        <v>8</v>
      </c>
      <c r="T451" s="27" t="s">
        <v>7</v>
      </c>
      <c r="Y451" s="27" t="s">
        <v>8</v>
      </c>
      <c r="AS451" s="27" t="s">
        <v>8</v>
      </c>
      <c r="AT451" s="27" t="s">
        <v>7</v>
      </c>
      <c r="AU451" s="27" t="s">
        <v>8</v>
      </c>
    </row>
    <row r="452" spans="1:47" x14ac:dyDescent="0.25">
      <c r="A452" s="7">
        <v>14.488492084629481</v>
      </c>
      <c r="B452"/>
      <c r="C452"/>
      <c r="D452"/>
      <c r="E452" t="s">
        <v>8</v>
      </c>
      <c r="T452" s="27" t="s">
        <v>7</v>
      </c>
      <c r="U452" s="27" t="s">
        <v>8</v>
      </c>
      <c r="Y452" s="27" t="s">
        <v>8</v>
      </c>
      <c r="Z452" s="27" t="s">
        <v>7</v>
      </c>
      <c r="AS452" s="27" t="s">
        <v>8</v>
      </c>
      <c r="AT452" s="27" t="s">
        <v>7</v>
      </c>
      <c r="AU452" s="27" t="s">
        <v>8</v>
      </c>
    </row>
    <row r="453" spans="1:47" x14ac:dyDescent="0.25">
      <c r="A453" s="7">
        <v>14.204404004538707</v>
      </c>
      <c r="B453"/>
      <c r="C453"/>
      <c r="D453"/>
      <c r="E453" t="s">
        <v>8</v>
      </c>
      <c r="T453" s="27" t="s">
        <v>7</v>
      </c>
      <c r="U453" s="27" t="s">
        <v>8</v>
      </c>
      <c r="V453" s="27" t="s">
        <v>7</v>
      </c>
      <c r="Y453" s="27" t="s">
        <v>8</v>
      </c>
      <c r="Z453" s="27" t="s">
        <v>7</v>
      </c>
      <c r="AA453" s="27" t="s">
        <v>8</v>
      </c>
      <c r="AI453" s="27" t="s">
        <v>8</v>
      </c>
      <c r="AS453" s="27" t="s">
        <v>8</v>
      </c>
      <c r="AT453" s="27" t="s">
        <v>7</v>
      </c>
    </row>
    <row r="454" spans="1:47" x14ac:dyDescent="0.25">
      <c r="A454" s="7">
        <v>13.925886278959517</v>
      </c>
      <c r="B454"/>
      <c r="C454"/>
      <c r="D454"/>
      <c r="E454" t="s">
        <v>8</v>
      </c>
      <c r="T454" s="27" t="s">
        <v>7</v>
      </c>
      <c r="U454" s="27" t="s">
        <v>8</v>
      </c>
      <c r="V454" s="27" t="s">
        <v>7</v>
      </c>
      <c r="W454" s="27" t="s">
        <v>8</v>
      </c>
      <c r="Y454" s="27" t="s">
        <v>8</v>
      </c>
      <c r="Z454" s="27" t="s">
        <v>7</v>
      </c>
      <c r="AA454" s="27" t="s">
        <v>8</v>
      </c>
      <c r="AB454" s="27" t="s">
        <v>7</v>
      </c>
      <c r="AI454" s="27" t="s">
        <v>8</v>
      </c>
      <c r="AJ454" s="27" t="s">
        <v>7</v>
      </c>
      <c r="AS454" s="27" t="s">
        <v>8</v>
      </c>
    </row>
    <row r="455" spans="1:47" x14ac:dyDescent="0.25">
      <c r="A455" s="7">
        <v>13.652829685254428</v>
      </c>
      <c r="B455"/>
      <c r="C455"/>
      <c r="D455"/>
      <c r="E455" t="s">
        <v>8</v>
      </c>
      <c r="T455" s="27" t="s">
        <v>7</v>
      </c>
      <c r="U455" s="27" t="s">
        <v>8</v>
      </c>
      <c r="V455" s="27" t="s">
        <v>7</v>
      </c>
      <c r="W455" s="27" t="s">
        <v>8</v>
      </c>
      <c r="X455" s="27" t="s">
        <v>7</v>
      </c>
      <c r="Y455" s="27" t="s">
        <v>8</v>
      </c>
      <c r="Z455" s="27" t="s">
        <v>7</v>
      </c>
      <c r="AA455" s="27" t="s">
        <v>8</v>
      </c>
      <c r="AB455" s="27" t="s">
        <v>7</v>
      </c>
      <c r="AI455" s="27" t="s">
        <v>8</v>
      </c>
      <c r="AJ455" s="27" t="s">
        <v>7</v>
      </c>
      <c r="AK455" s="27" t="s">
        <v>8</v>
      </c>
      <c r="AS455" s="27" t="s">
        <v>8</v>
      </c>
    </row>
    <row r="456" spans="1:47" x14ac:dyDescent="0.25">
      <c r="A456" s="7">
        <v>13.385127142406303</v>
      </c>
      <c r="B456"/>
      <c r="C456"/>
      <c r="D456"/>
      <c r="E456" t="s">
        <v>8</v>
      </c>
      <c r="T456" s="27" t="s">
        <v>7</v>
      </c>
      <c r="U456" s="27" t="s">
        <v>8</v>
      </c>
      <c r="V456" s="27" t="s">
        <v>7</v>
      </c>
      <c r="W456" s="27" t="s">
        <v>8</v>
      </c>
      <c r="X456" s="27" t="s">
        <v>7</v>
      </c>
      <c r="Y456" s="27" t="s">
        <v>8</v>
      </c>
      <c r="Z456" s="27" t="s">
        <v>7</v>
      </c>
      <c r="AB456" s="27" t="s">
        <v>7</v>
      </c>
      <c r="AI456" s="27" t="s">
        <v>8</v>
      </c>
      <c r="AJ456" s="27" t="s">
        <v>7</v>
      </c>
      <c r="AK456" s="27" t="s">
        <v>8</v>
      </c>
      <c r="AL456" s="27" t="s">
        <v>7</v>
      </c>
      <c r="AM456" s="27" t="s">
        <v>8</v>
      </c>
      <c r="AS456" s="27" t="s">
        <v>8</v>
      </c>
    </row>
    <row r="457" spans="1:47" x14ac:dyDescent="0.25">
      <c r="A457" s="7">
        <v>13.122673669025787</v>
      </c>
      <c r="B457"/>
      <c r="C457"/>
      <c r="D457"/>
      <c r="E457" t="s">
        <v>8</v>
      </c>
      <c r="T457" s="27" t="s">
        <v>7</v>
      </c>
      <c r="V457" s="27" t="s">
        <v>7</v>
      </c>
      <c r="W457" s="27" t="s">
        <v>8</v>
      </c>
      <c r="X457" s="27" t="s">
        <v>7</v>
      </c>
      <c r="Y457" s="27" t="s">
        <v>8</v>
      </c>
      <c r="AB457" s="27" t="s">
        <v>7</v>
      </c>
      <c r="AI457" s="27" t="s">
        <v>8</v>
      </c>
      <c r="AJ457" s="27" t="s">
        <v>7</v>
      </c>
      <c r="AK457" s="27" t="s">
        <v>8</v>
      </c>
      <c r="AL457" s="27" t="s">
        <v>7</v>
      </c>
      <c r="AM457" s="27" t="s">
        <v>8</v>
      </c>
      <c r="AN457" s="27" t="s">
        <v>7</v>
      </c>
      <c r="AS457" s="27" t="s">
        <v>8</v>
      </c>
    </row>
    <row r="458" spans="1:47" x14ac:dyDescent="0.25">
      <c r="A458" s="7">
        <v>12.865366342182144</v>
      </c>
      <c r="B458"/>
      <c r="C458"/>
      <c r="D458"/>
      <c r="E458" t="s">
        <v>8</v>
      </c>
      <c r="V458" s="27" t="s">
        <v>7</v>
      </c>
      <c r="X458" s="27" t="s">
        <v>7</v>
      </c>
      <c r="Y458" s="27" t="s">
        <v>8</v>
      </c>
      <c r="AB458" s="27" t="s">
        <v>7</v>
      </c>
      <c r="AI458" s="27" t="s">
        <v>8</v>
      </c>
      <c r="AJ458" s="27" t="s">
        <v>7</v>
      </c>
      <c r="AK458" s="27" t="s">
        <v>8</v>
      </c>
      <c r="AL458" s="27" t="s">
        <v>7</v>
      </c>
      <c r="AM458" s="27" t="s">
        <v>8</v>
      </c>
      <c r="AN458" s="27" t="s">
        <v>7</v>
      </c>
      <c r="AS458" s="27" t="s">
        <v>8</v>
      </c>
    </row>
    <row r="459" spans="1:47" x14ac:dyDescent="0.25">
      <c r="A459" s="7">
        <v>12.613104257041318</v>
      </c>
      <c r="B459"/>
      <c r="C459"/>
      <c r="D459"/>
      <c r="E459" t="s">
        <v>8</v>
      </c>
      <c r="X459" s="27" t="s">
        <v>7</v>
      </c>
      <c r="AB459" s="27" t="s">
        <v>7</v>
      </c>
      <c r="AI459" s="27" t="s">
        <v>8</v>
      </c>
      <c r="AJ459" s="27" t="s">
        <v>7</v>
      </c>
      <c r="AK459" s="27" t="s">
        <v>8</v>
      </c>
      <c r="AL459" s="27" t="s">
        <v>7</v>
      </c>
      <c r="AM459" s="27" t="s">
        <v>8</v>
      </c>
      <c r="AN459" s="27" t="s">
        <v>7</v>
      </c>
      <c r="AO459" s="27" t="s">
        <v>8</v>
      </c>
      <c r="AQ459" s="27" t="s">
        <v>8</v>
      </c>
      <c r="AS459" s="27" t="s">
        <v>8</v>
      </c>
    </row>
    <row r="460" spans="1:47" x14ac:dyDescent="0.25">
      <c r="A460" s="7">
        <v>12.36578848729541</v>
      </c>
      <c r="B460"/>
      <c r="C460"/>
      <c r="D460"/>
      <c r="E460" t="s">
        <v>8</v>
      </c>
      <c r="AB460" s="27" t="s">
        <v>7</v>
      </c>
      <c r="AE460" s="27" t="s">
        <v>8</v>
      </c>
      <c r="AG460" s="27" t="s">
        <v>8</v>
      </c>
      <c r="AI460" s="27" t="s">
        <v>8</v>
      </c>
      <c r="AJ460" s="27" t="s">
        <v>7</v>
      </c>
      <c r="AK460" s="27" t="s">
        <v>8</v>
      </c>
      <c r="AL460" s="27" t="s">
        <v>7</v>
      </c>
      <c r="AM460" s="27" t="s">
        <v>8</v>
      </c>
      <c r="AN460" s="27" t="s">
        <v>7</v>
      </c>
      <c r="AO460" s="27" t="s">
        <v>8</v>
      </c>
      <c r="AP460" s="27" t="s">
        <v>7</v>
      </c>
      <c r="AQ460" s="27" t="s">
        <v>8</v>
      </c>
      <c r="AR460" s="27" t="s">
        <v>7</v>
      </c>
      <c r="AS460" s="27" t="s">
        <v>8</v>
      </c>
    </row>
    <row r="461" spans="1:47" x14ac:dyDescent="0.25">
      <c r="A461" s="7">
        <v>12.123322046368049</v>
      </c>
      <c r="B461"/>
      <c r="C461"/>
      <c r="D461"/>
      <c r="E461" t="s">
        <v>8</v>
      </c>
      <c r="AB461" s="27" t="s">
        <v>7</v>
      </c>
      <c r="AC461" s="27" t="s">
        <v>8</v>
      </c>
      <c r="AE461" s="27" t="s">
        <v>8</v>
      </c>
      <c r="AF461" s="27" t="s">
        <v>7</v>
      </c>
      <c r="AG461" s="27" t="s">
        <v>8</v>
      </c>
      <c r="AH461" s="27" t="s">
        <v>7</v>
      </c>
      <c r="AI461" s="27" t="s">
        <v>8</v>
      </c>
      <c r="AJ461" s="27" t="s">
        <v>7</v>
      </c>
      <c r="AK461" s="27" t="s">
        <v>8</v>
      </c>
      <c r="AL461" s="27" t="s">
        <v>7</v>
      </c>
      <c r="AM461" s="27" t="s">
        <v>8</v>
      </c>
      <c r="AN461" s="27" t="s">
        <v>7</v>
      </c>
      <c r="AO461" s="27" t="s">
        <v>8</v>
      </c>
      <c r="AP461" s="27" t="s">
        <v>7</v>
      </c>
      <c r="AQ461" s="27" t="s">
        <v>8</v>
      </c>
      <c r="AR461" s="27" t="s">
        <v>7</v>
      </c>
      <c r="AS461" s="27" t="s">
        <v>8</v>
      </c>
    </row>
    <row r="462" spans="1:47" x14ac:dyDescent="0.25">
      <c r="A462" s="7">
        <v>11.88560984938044</v>
      </c>
      <c r="B462"/>
      <c r="C462"/>
      <c r="D462"/>
      <c r="E462" t="s">
        <v>8</v>
      </c>
      <c r="AB462" s="27" t="s">
        <v>7</v>
      </c>
      <c r="AC462" s="27" t="s">
        <v>8</v>
      </c>
      <c r="AD462" s="27" t="s">
        <v>7</v>
      </c>
      <c r="AE462" s="27" t="s">
        <v>8</v>
      </c>
      <c r="AF462" s="27" t="s">
        <v>7</v>
      </c>
      <c r="AG462" s="27" t="s">
        <v>8</v>
      </c>
      <c r="AH462" s="27" t="s">
        <v>7</v>
      </c>
      <c r="AI462" s="27" t="s">
        <v>8</v>
      </c>
      <c r="AJ462" s="27" t="s">
        <v>7</v>
      </c>
      <c r="AK462" s="27" t="s">
        <v>8</v>
      </c>
      <c r="AL462" s="27" t="s">
        <v>7</v>
      </c>
      <c r="AM462" s="27" t="s">
        <v>8</v>
      </c>
      <c r="AN462" s="27" t="s">
        <v>7</v>
      </c>
      <c r="AO462" s="27" t="s">
        <v>8</v>
      </c>
      <c r="AP462" s="27" t="s">
        <v>7</v>
      </c>
      <c r="AQ462" s="27" t="s">
        <v>8</v>
      </c>
      <c r="AR462" s="27" t="s">
        <v>7</v>
      </c>
      <c r="AS462" s="27" t="s">
        <v>8</v>
      </c>
    </row>
    <row r="463" spans="1:47" x14ac:dyDescent="0.25">
      <c r="A463" s="7">
        <v>11.652558675863176</v>
      </c>
      <c r="B463"/>
      <c r="C463"/>
      <c r="D463"/>
      <c r="E463" t="s">
        <v>8</v>
      </c>
      <c r="AB463" s="27" t="s">
        <v>7</v>
      </c>
      <c r="AC463" s="27" t="s">
        <v>8</v>
      </c>
      <c r="AD463" s="27" t="s">
        <v>7</v>
      </c>
      <c r="AE463" s="27" t="s">
        <v>8</v>
      </c>
      <c r="AF463" s="27" t="s">
        <v>7</v>
      </c>
      <c r="AH463" s="27" t="s">
        <v>7</v>
      </c>
      <c r="AI463" s="27" t="s">
        <v>8</v>
      </c>
      <c r="AJ463" s="27" t="s">
        <v>7</v>
      </c>
      <c r="AK463" s="27" t="s">
        <v>8</v>
      </c>
      <c r="AL463" s="27" t="s">
        <v>7</v>
      </c>
      <c r="AN463" s="27" t="s">
        <v>7</v>
      </c>
      <c r="AP463" s="27" t="s">
        <v>7</v>
      </c>
      <c r="AQ463" s="27" t="s">
        <v>8</v>
      </c>
      <c r="AR463" s="27" t="s">
        <v>7</v>
      </c>
    </row>
    <row r="464" spans="1:47" x14ac:dyDescent="0.25">
      <c r="A464" s="7">
        <v>11.424077133199193</v>
      </c>
      <c r="B464"/>
      <c r="C464"/>
      <c r="D464"/>
      <c r="E464" t="s">
        <v>8</v>
      </c>
      <c r="AB464" s="27" t="s">
        <v>7</v>
      </c>
      <c r="AC464" s="27" t="s">
        <v>8</v>
      </c>
      <c r="AD464" s="27" t="s">
        <v>7</v>
      </c>
      <c r="AE464" s="27" t="s">
        <v>8</v>
      </c>
      <c r="AH464" s="27" t="s">
        <v>7</v>
      </c>
      <c r="AI464" s="27" t="s">
        <v>8</v>
      </c>
      <c r="AJ464" s="27" t="s">
        <v>7</v>
      </c>
      <c r="AK464" s="27" t="s">
        <v>8</v>
      </c>
      <c r="AP464" s="27" t="s">
        <v>7</v>
      </c>
    </row>
    <row r="465" spans="1:36" x14ac:dyDescent="0.25">
      <c r="A465" s="7">
        <v>11.200075620783522</v>
      </c>
      <c r="B465"/>
      <c r="C465"/>
      <c r="D465"/>
      <c r="E465" t="s">
        <v>8</v>
      </c>
      <c r="AB465" s="27" t="s">
        <v>7</v>
      </c>
      <c r="AD465" s="27" t="s">
        <v>7</v>
      </c>
      <c r="AH465" s="27" t="s">
        <v>7</v>
      </c>
      <c r="AJ465" s="27" t="s">
        <v>7</v>
      </c>
    </row>
    <row r="466" spans="1:36" x14ac:dyDescent="0.25">
      <c r="A466" s="7">
        <v>10.980466294885806</v>
      </c>
      <c r="B466"/>
      <c r="C466"/>
      <c r="D466"/>
      <c r="E466" t="s">
        <v>8</v>
      </c>
    </row>
    <row r="467" spans="1:36" x14ac:dyDescent="0.25">
      <c r="A467" s="7">
        <v>10.765163034201771</v>
      </c>
      <c r="B467"/>
      <c r="C467"/>
      <c r="D467"/>
      <c r="E467" t="s">
        <v>8</v>
      </c>
    </row>
    <row r="468" spans="1:36" x14ac:dyDescent="0.25">
      <c r="A468" s="7">
        <v>10.554081406080169</v>
      </c>
      <c r="B468"/>
      <c r="C468"/>
      <c r="D468"/>
      <c r="E468" t="s">
        <v>8</v>
      </c>
    </row>
    <row r="469" spans="1:36" x14ac:dyDescent="0.25">
      <c r="A469" s="7">
        <v>10.34713863341193</v>
      </c>
      <c r="B469"/>
      <c r="C469"/>
      <c r="D469"/>
      <c r="E469" t="s">
        <v>8</v>
      </c>
    </row>
    <row r="470" spans="1:36" x14ac:dyDescent="0.25">
      <c r="A470" s="7">
        <v>10.14425356216856</v>
      </c>
      <c r="B470"/>
      <c r="C470"/>
      <c r="D470"/>
      <c r="E470" t="s">
        <v>8</v>
      </c>
    </row>
    <row r="471" spans="1:36" x14ac:dyDescent="0.25">
      <c r="A471" s="7">
        <v>9.9453466295770188</v>
      </c>
      <c r="B471"/>
      <c r="C471"/>
      <c r="D471"/>
      <c r="E471" t="s">
        <v>8</v>
      </c>
    </row>
    <row r="472" spans="1:36" x14ac:dyDescent="0.25">
      <c r="A472" s="7">
        <v>9.7503398329186464</v>
      </c>
      <c r="B472"/>
      <c r="C472"/>
      <c r="D472"/>
      <c r="E472" t="s">
        <v>8</v>
      </c>
    </row>
    <row r="473" spans="1:36" x14ac:dyDescent="0.25">
      <c r="A473" s="7">
        <v>9.5591566989398498</v>
      </c>
      <c r="B473"/>
      <c r="C473"/>
      <c r="D473"/>
      <c r="E473" t="s">
        <v>8</v>
      </c>
    </row>
    <row r="474" spans="1:36" x14ac:dyDescent="0.25">
      <c r="A474" s="7">
        <v>9.3717222538625968</v>
      </c>
      <c r="B474"/>
      <c r="C474"/>
      <c r="D474"/>
      <c r="E474" t="s">
        <v>8</v>
      </c>
    </row>
    <row r="475" spans="1:36" x14ac:dyDescent="0.25">
      <c r="A475" s="7">
        <v>9.1879629939829375</v>
      </c>
      <c r="B475"/>
      <c r="C475"/>
      <c r="D475"/>
      <c r="E475" t="s">
        <v>8</v>
      </c>
    </row>
    <row r="476" spans="1:36" x14ac:dyDescent="0.25">
      <c r="A476" s="7">
        <v>9.0078068568460168</v>
      </c>
      <c r="B476"/>
      <c r="C476"/>
      <c r="D476"/>
      <c r="E476" t="s">
        <v>8</v>
      </c>
    </row>
    <row r="477" spans="1:36" x14ac:dyDescent="0.25">
      <c r="A477" s="7">
        <v>8.8311831929862912</v>
      </c>
      <c r="B477"/>
      <c r="C477"/>
      <c r="D477"/>
      <c r="E477" t="s">
        <v>8</v>
      </c>
    </row>
    <row r="478" spans="1:36" x14ac:dyDescent="0.25">
      <c r="A478" s="7">
        <v>8.6580227382218542</v>
      </c>
      <c r="B478"/>
      <c r="C478"/>
      <c r="D478"/>
      <c r="E478" t="s">
        <v>8</v>
      </c>
    </row>
    <row r="479" spans="1:36" x14ac:dyDescent="0.25">
      <c r="A479" s="7">
        <v>8.4882575864920131</v>
      </c>
      <c r="B479"/>
      <c r="C479"/>
      <c r="D479"/>
      <c r="E479" t="s">
        <v>8</v>
      </c>
    </row>
    <row r="480" spans="1:36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52" operator="equal">
      <formula>$U$1</formula>
    </cfRule>
    <cfRule type="cellIs" dxfId="89" priority="953" operator="equal">
      <formula>$S$1</formula>
    </cfRule>
  </conditionalFormatting>
  <conditionalFormatting sqref="D27">
    <cfRule type="cellIs" dxfId="88" priority="950" operator="equal">
      <formula>$S$1</formula>
    </cfRule>
    <cfRule type="cellIs" dxfId="87" priority="951" operator="equal">
      <formula>$U$1</formula>
    </cfRule>
  </conditionalFormatting>
  <conditionalFormatting sqref="C164">
    <cfRule type="cellIs" dxfId="86" priority="948" operator="equal">
      <formula>$U$1</formula>
    </cfRule>
    <cfRule type="cellIs" dxfId="85" priority="949" operator="equal">
      <formula>$S$1</formula>
    </cfRule>
  </conditionalFormatting>
  <conditionalFormatting sqref="D164">
    <cfRule type="cellIs" dxfId="84" priority="946" operator="equal">
      <formula>$S$1</formula>
    </cfRule>
    <cfRule type="cellIs" dxfId="83" priority="947" operator="equal">
      <formula>$U$1</formula>
    </cfRule>
  </conditionalFormatting>
  <conditionalFormatting sqref="C55">
    <cfRule type="cellIs" dxfId="82" priority="944" operator="equal">
      <formula>$U$1</formula>
    </cfRule>
    <cfRule type="cellIs" dxfId="81" priority="945" operator="equal">
      <formula>$S$1</formula>
    </cfRule>
  </conditionalFormatting>
  <conditionalFormatting sqref="D55">
    <cfRule type="cellIs" dxfId="80" priority="942" operator="equal">
      <formula>$S$1</formula>
    </cfRule>
    <cfRule type="cellIs" dxfId="79" priority="943" operator="equal">
      <formula>$U$1</formula>
    </cfRule>
  </conditionalFormatting>
  <conditionalFormatting sqref="C89">
    <cfRule type="cellIs" dxfId="78" priority="940" operator="equal">
      <formula>$U$1</formula>
    </cfRule>
    <cfRule type="cellIs" dxfId="77" priority="941" operator="equal">
      <formula>$S$1</formula>
    </cfRule>
  </conditionalFormatting>
  <conditionalFormatting sqref="D89">
    <cfRule type="cellIs" dxfId="76" priority="938" operator="equal">
      <formula>$S$1</formula>
    </cfRule>
    <cfRule type="cellIs" dxfId="75" priority="939" operator="equal">
      <formula>$U$1</formula>
    </cfRule>
  </conditionalFormatting>
  <conditionalFormatting sqref="C136">
    <cfRule type="cellIs" dxfId="74" priority="936" operator="equal">
      <formula>$U$1</formula>
    </cfRule>
    <cfRule type="cellIs" dxfId="73" priority="937" operator="equal">
      <formula>$S$1</formula>
    </cfRule>
  </conditionalFormatting>
  <conditionalFormatting sqref="D136">
    <cfRule type="cellIs" dxfId="72" priority="934" operator="equal">
      <formula>$S$1</formula>
    </cfRule>
    <cfRule type="cellIs" dxfId="71" priority="935" operator="equal">
      <formula>$U$1</formula>
    </cfRule>
  </conditionalFormatting>
  <conditionalFormatting sqref="C1">
    <cfRule type="cellIs" dxfId="70" priority="93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7" zoomScale="90" zoomScaleNormal="90" workbookViewId="0">
      <pane xSplit="4" topLeftCell="AH1" activePane="topRight" state="frozen"/>
      <selection activeCell="A109" sqref="A109"/>
      <selection pane="topRight" activeCell="CO152" sqref="CO15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$A$151</v>
      </c>
      <c r="D111" s="1" t="str">
        <f>ADDRESS(C121-1,D121,1,1)</f>
        <v>$CO$151</v>
      </c>
      <c r="E111"/>
    </row>
    <row r="112" spans="1:5" x14ac:dyDescent="0.25">
      <c r="A112" s="30">
        <v>515.50191262726139</v>
      </c>
      <c r="C112" s="1" t="str">
        <f>ADDRESS(C121,1,1,1)</f>
        <v>$A$152</v>
      </c>
      <c r="D112" s="1" t="str">
        <f>ADDRESS(C121,D121-1,1,1)</f>
        <v>$CN$152</v>
      </c>
      <c r="E112"/>
    </row>
    <row r="113" spans="1:50" x14ac:dyDescent="0.25">
      <c r="A113" s="30">
        <v>490.95420250215363</v>
      </c>
      <c r="C113" s="1" t="str">
        <f>ADDRESS(C121+1,1,1,1)</f>
        <v>$A$153</v>
      </c>
      <c r="D113" s="1" t="str">
        <f>ADDRESS(C121-1,D121+1,1,1)</f>
        <v>$CP$151</v>
      </c>
    </row>
    <row r="114" spans="1:50" x14ac:dyDescent="0.25">
      <c r="A114" s="30">
        <v>467.57543095443202</v>
      </c>
      <c r="C114" s="1" t="str">
        <f>ADDRESS(C121,D121,1,1)</f>
        <v>$CO$152</v>
      </c>
      <c r="D114" s="1" t="str">
        <f>ADDRESS(C121+1,D121+1,1,1)</f>
        <v>$CP$153</v>
      </c>
    </row>
    <row r="115" spans="1:50" x14ac:dyDescent="0.25">
      <c r="A115" s="30">
        <v>445.30993424231622</v>
      </c>
      <c r="C115" s="1" t="str">
        <f>ADDRESS(C121+1,D121,1,1)</f>
        <v>$CO$153</v>
      </c>
    </row>
    <row r="116" spans="1:50" x14ac:dyDescent="0.25">
      <c r="A116" s="30">
        <v>424.10469927839637</v>
      </c>
      <c r="C116" s="1">
        <f>C117-1</f>
        <v>151</v>
      </c>
    </row>
    <row r="117" spans="1:50" x14ac:dyDescent="0.25">
      <c r="A117" s="30">
        <v>403.9092374079965</v>
      </c>
      <c r="C117" s="1">
        <f>C121</f>
        <v>152</v>
      </c>
      <c r="D117" s="1">
        <f>D121</f>
        <v>93</v>
      </c>
    </row>
    <row r="118" spans="1:50" x14ac:dyDescent="0.25">
      <c r="A118" s="30">
        <v>384.6754641980919</v>
      </c>
      <c r="C118" s="1">
        <f>C117+1</f>
        <v>153</v>
      </c>
      <c r="D118" s="1">
        <f>D117+1</f>
        <v>94</v>
      </c>
    </row>
    <row r="119" spans="1:50" x14ac:dyDescent="0.25">
      <c r="A119" s="30">
        <v>366.35758495056371</v>
      </c>
    </row>
    <row r="120" spans="1:50" x14ac:dyDescent="0.25">
      <c r="A120" s="30">
        <v>348.91198566720351</v>
      </c>
      <c r="C120" s="1" t="s">
        <v>9</v>
      </c>
    </row>
    <row r="121" spans="1:50" x14ac:dyDescent="0.25">
      <c r="A121" s="30">
        <v>332.29712920686046</v>
      </c>
      <c r="C121" s="18">
        <v>152</v>
      </c>
      <c r="D121" s="19">
        <v>93</v>
      </c>
      <c r="E121" s="19"/>
    </row>
    <row r="122" spans="1:50" x14ac:dyDescent="0.25">
      <c r="A122" s="30">
        <v>316.47345638748612</v>
      </c>
      <c r="C122" s="1" t="str">
        <f>INDEX(1:1048576,C117,D117)</f>
        <v>X</v>
      </c>
    </row>
    <row r="123" spans="1:50" x14ac:dyDescent="0.25">
      <c r="A123" s="30">
        <v>301.40329179760585</v>
      </c>
      <c r="C123" s="1" t="str">
        <f>"R"&amp;C121</f>
        <v>R152</v>
      </c>
      <c r="D123" s="1" t="str">
        <f>"C"&amp;D121</f>
        <v>C93</v>
      </c>
    </row>
    <row r="124" spans="1:50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0" x14ac:dyDescent="0.25">
      <c r="A125" s="30">
        <v>273.38167056472184</v>
      </c>
    </row>
    <row r="126" spans="1:50" x14ac:dyDescent="0.25">
      <c r="A126" s="30">
        <v>260.36349577592557</v>
      </c>
      <c r="C126" s="1" t="s">
        <v>10</v>
      </c>
    </row>
    <row r="127" spans="1:50" x14ac:dyDescent="0.25">
      <c r="A127" s="30">
        <v>247.96523407231004</v>
      </c>
      <c r="C127" s="30">
        <v>73.22482090623744</v>
      </c>
      <c r="D127"/>
      <c r="AW127" s="27" t="s">
        <v>8</v>
      </c>
    </row>
    <row r="128" spans="1:50" x14ac:dyDescent="0.25">
      <c r="A128" s="30">
        <v>236.15736578315241</v>
      </c>
      <c r="AW128" s="27" t="s">
        <v>8</v>
      </c>
      <c r="AX128" s="27" t="s">
        <v>7</v>
      </c>
    </row>
    <row r="129" spans="1:86" x14ac:dyDescent="0.25">
      <c r="A129" s="30">
        <v>224.91177693633563</v>
      </c>
      <c r="C129" s="1" t="s">
        <v>11</v>
      </c>
      <c r="D129" s="1" t="s">
        <v>12</v>
      </c>
      <c r="E129"/>
      <c r="AW129" s="27" t="s">
        <v>8</v>
      </c>
      <c r="AX129" s="27" t="s">
        <v>7</v>
      </c>
      <c r="AY129" s="27" t="s">
        <v>8</v>
      </c>
      <c r="BC129" s="33" t="s">
        <v>8</v>
      </c>
    </row>
    <row r="130" spans="1:86" x14ac:dyDescent="0.25">
      <c r="A130" s="30">
        <v>214.20169232031964</v>
      </c>
      <c r="C130" s="6"/>
      <c r="D130" s="6"/>
      <c r="E130"/>
      <c r="AW130" s="27" t="s">
        <v>8</v>
      </c>
      <c r="AX130" s="27" t="s">
        <v>7</v>
      </c>
      <c r="AY130" s="27" t="s">
        <v>8</v>
      </c>
      <c r="AZ130" s="27" t="s">
        <v>7</v>
      </c>
      <c r="BA130" s="27" t="s">
        <v>8</v>
      </c>
      <c r="BC130" s="27" t="s">
        <v>8</v>
      </c>
      <c r="BD130" s="31" t="s">
        <v>7</v>
      </c>
    </row>
    <row r="131" spans="1:86" x14ac:dyDescent="0.25">
      <c r="A131" s="30">
        <v>204.00161173363773</v>
      </c>
      <c r="E131"/>
      <c r="AW131" s="27" t="s">
        <v>8</v>
      </c>
      <c r="AX131" s="27" t="s">
        <v>7</v>
      </c>
      <c r="AY131" s="27" t="s">
        <v>8</v>
      </c>
      <c r="AZ131" s="27" t="s">
        <v>7</v>
      </c>
      <c r="BA131" s="27" t="s">
        <v>8</v>
      </c>
      <c r="BB131" s="27" t="s">
        <v>7</v>
      </c>
      <c r="BC131" s="27" t="s">
        <v>8</v>
      </c>
      <c r="BD131" s="27" t="s">
        <v>7</v>
      </c>
      <c r="BE131" s="31"/>
    </row>
    <row r="132" spans="1:86" x14ac:dyDescent="0.25">
      <c r="A132" s="30">
        <v>194.28724927013116</v>
      </c>
      <c r="C132" s="1" t="s">
        <v>13</v>
      </c>
      <c r="E132"/>
      <c r="AW132" s="27" t="s">
        <v>8</v>
      </c>
      <c r="AX132" s="27" t="s">
        <v>7</v>
      </c>
      <c r="AZ132" s="27" t="s">
        <v>7</v>
      </c>
      <c r="BA132" s="27" t="s">
        <v>8</v>
      </c>
      <c r="BB132" s="27" t="s">
        <v>7</v>
      </c>
      <c r="BC132" s="27" t="s">
        <v>8</v>
      </c>
      <c r="BD132" s="27" t="s">
        <v>7</v>
      </c>
      <c r="BF132" s="31"/>
    </row>
    <row r="133" spans="1:86" x14ac:dyDescent="0.25">
      <c r="A133" s="30">
        <v>185.03547549536299</v>
      </c>
      <c r="C133" s="1" t="str">
        <f>C122</f>
        <v>X</v>
      </c>
      <c r="E133"/>
      <c r="AW133" s="27" t="s">
        <v>8</v>
      </c>
      <c r="AZ133" s="32" t="s">
        <v>7</v>
      </c>
      <c r="BA133" s="27" t="s">
        <v>8</v>
      </c>
      <c r="BB133" s="27" t="s">
        <v>7</v>
      </c>
      <c r="BD133" s="27" t="s">
        <v>7</v>
      </c>
      <c r="BG133" s="31"/>
      <c r="BS133" s="27" t="s">
        <v>8</v>
      </c>
    </row>
    <row r="134" spans="1:86" x14ac:dyDescent="0.25">
      <c r="A134" s="30">
        <v>176.22426237653616</v>
      </c>
      <c r="C134"/>
      <c r="E134"/>
      <c r="AU134" s="27" t="s">
        <v>8</v>
      </c>
      <c r="AW134" s="27" t="s">
        <v>8</v>
      </c>
      <c r="AZ134" s="27" t="s">
        <v>7</v>
      </c>
      <c r="BA134" s="27" t="s">
        <v>8</v>
      </c>
      <c r="BD134" s="32" t="s">
        <v>7</v>
      </c>
      <c r="BH134" s="31"/>
      <c r="BI134" s="27" t="s">
        <v>8</v>
      </c>
      <c r="BS134" s="27" t="s">
        <v>8</v>
      </c>
      <c r="BT134" s="27" t="s">
        <v>7</v>
      </c>
    </row>
    <row r="135" spans="1:86" x14ac:dyDescent="0.25">
      <c r="A135" s="30">
        <v>167.83263083479633</v>
      </c>
      <c r="C135" s="1" t="s">
        <v>14</v>
      </c>
      <c r="E135"/>
      <c r="AQ135" s="27" t="s">
        <v>8</v>
      </c>
      <c r="AU135" s="27" t="s">
        <v>8</v>
      </c>
      <c r="AV135" s="27" t="s">
        <v>7</v>
      </c>
      <c r="AW135" s="27" t="s">
        <v>8</v>
      </c>
      <c r="AZ135" s="27" t="s">
        <v>7</v>
      </c>
      <c r="BD135" s="27" t="s">
        <v>7</v>
      </c>
      <c r="BI135" s="31" t="s">
        <v>8</v>
      </c>
      <c r="BJ135" s="31" t="s">
        <v>7</v>
      </c>
      <c r="BS135" s="27" t="s">
        <v>8</v>
      </c>
      <c r="BT135" s="27" t="s">
        <v>7</v>
      </c>
    </row>
    <row r="136" spans="1:86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AQ136" s="27" t="s">
        <v>8</v>
      </c>
      <c r="AR136" s="27" t="s">
        <v>7</v>
      </c>
      <c r="AU136" s="27" t="s">
        <v>8</v>
      </c>
      <c r="AV136" s="27" t="s">
        <v>7</v>
      </c>
      <c r="AW136" s="27" t="s">
        <v>8</v>
      </c>
      <c r="BD136" s="27" t="s">
        <v>7</v>
      </c>
      <c r="BI136" s="27" t="s">
        <v>8</v>
      </c>
      <c r="BJ136" s="27" t="s">
        <v>7</v>
      </c>
      <c r="BK136" s="31"/>
      <c r="BS136" s="27" t="s">
        <v>8</v>
      </c>
      <c r="BT136" s="27" t="s">
        <v>7</v>
      </c>
    </row>
    <row r="137" spans="1:86" x14ac:dyDescent="0.25">
      <c r="A137" s="30">
        <v>152.22914361432771</v>
      </c>
      <c r="E137"/>
      <c r="AQ137" s="27" t="s">
        <v>8</v>
      </c>
      <c r="AR137" s="27" t="s">
        <v>7</v>
      </c>
      <c r="AU137" s="27" t="s">
        <v>8</v>
      </c>
      <c r="AV137" s="27" t="s">
        <v>7</v>
      </c>
      <c r="AW137" s="27" t="s">
        <v>8</v>
      </c>
      <c r="BD137" s="27" t="s">
        <v>7</v>
      </c>
      <c r="BG137" s="33" t="s">
        <v>8</v>
      </c>
      <c r="BI137" s="27" t="s">
        <v>8</v>
      </c>
      <c r="BJ137" s="27" t="s">
        <v>7</v>
      </c>
      <c r="BL137" s="31"/>
      <c r="BQ137" s="27" t="s">
        <v>8</v>
      </c>
      <c r="BS137" s="27" t="s">
        <v>8</v>
      </c>
      <c r="BT137" s="27" t="s">
        <v>7</v>
      </c>
    </row>
    <row r="138" spans="1:86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AQ138" s="27" t="s">
        <v>8</v>
      </c>
      <c r="AR138" s="27" t="s">
        <v>7</v>
      </c>
      <c r="AS138" s="27" t="s">
        <v>8</v>
      </c>
      <c r="AU138" s="27" t="s">
        <v>8</v>
      </c>
      <c r="AV138" s="27" t="s">
        <v>7</v>
      </c>
      <c r="BD138" s="27" t="s">
        <v>7</v>
      </c>
      <c r="BE138" s="27" t="s">
        <v>8</v>
      </c>
      <c r="BG138" s="27" t="s">
        <v>8</v>
      </c>
      <c r="BH138" s="27" t="s">
        <v>7</v>
      </c>
      <c r="BI138" s="27" t="s">
        <v>8</v>
      </c>
      <c r="BJ138" s="27" t="s">
        <v>7</v>
      </c>
      <c r="BM138" s="33" t="s">
        <v>8</v>
      </c>
      <c r="BQ138" s="27" t="s">
        <v>8</v>
      </c>
      <c r="BR138" s="27" t="s">
        <v>7</v>
      </c>
      <c r="BS138" s="27" t="s">
        <v>8</v>
      </c>
      <c r="BT138" s="27" t="s">
        <v>7</v>
      </c>
    </row>
    <row r="139" spans="1:86" x14ac:dyDescent="0.25">
      <c r="A139" s="30">
        <v>138.07632073861922</v>
      </c>
      <c r="E139"/>
      <c r="AQ139" s="27" t="s">
        <v>8</v>
      </c>
      <c r="AR139" s="27" t="s">
        <v>7</v>
      </c>
      <c r="AS139" s="27" t="s">
        <v>8</v>
      </c>
      <c r="AT139" s="27" t="s">
        <v>7</v>
      </c>
      <c r="AU139" s="27" t="s">
        <v>8</v>
      </c>
      <c r="BD139" s="27" t="s">
        <v>7</v>
      </c>
      <c r="BE139" s="27" t="s">
        <v>8</v>
      </c>
      <c r="BF139" s="27" t="s">
        <v>7</v>
      </c>
      <c r="BG139" s="27" t="s">
        <v>8</v>
      </c>
      <c r="BH139" s="27" t="s">
        <v>7</v>
      </c>
      <c r="BI139" s="27" t="s">
        <v>8</v>
      </c>
      <c r="BJ139" s="27" t="s">
        <v>7</v>
      </c>
      <c r="BK139" s="27" t="s">
        <v>8</v>
      </c>
      <c r="BM139" s="27" t="s">
        <v>8</v>
      </c>
      <c r="BN139" s="31" t="s">
        <v>7</v>
      </c>
      <c r="BO139" s="27" t="s">
        <v>8</v>
      </c>
      <c r="BQ139" s="27" t="s">
        <v>8</v>
      </c>
      <c r="BR139" s="27" t="s">
        <v>7</v>
      </c>
      <c r="BS139" s="27" t="s">
        <v>8</v>
      </c>
      <c r="BT139" s="27" t="s">
        <v>7</v>
      </c>
      <c r="BW139" s="27" t="s">
        <v>8</v>
      </c>
    </row>
    <row r="140" spans="1:86" x14ac:dyDescent="0.25">
      <c r="A140" s="30">
        <v>131.50125784630401</v>
      </c>
      <c r="C140" s="1">
        <v>0</v>
      </c>
      <c r="E140"/>
      <c r="AQ140" s="27" t="s">
        <v>8</v>
      </c>
      <c r="AR140" s="27" t="s">
        <v>7</v>
      </c>
      <c r="AS140" s="27" t="s">
        <v>8</v>
      </c>
      <c r="AT140" s="27" t="s">
        <v>7</v>
      </c>
      <c r="AU140" s="27" t="s">
        <v>8</v>
      </c>
      <c r="BD140" s="27" t="s">
        <v>7</v>
      </c>
      <c r="BE140" s="27" t="s">
        <v>8</v>
      </c>
      <c r="BF140" s="27" t="s">
        <v>7</v>
      </c>
      <c r="BG140" s="27" t="s">
        <v>8</v>
      </c>
      <c r="BH140" s="27" t="s">
        <v>7</v>
      </c>
      <c r="BJ140" s="27" t="s">
        <v>7</v>
      </c>
      <c r="BK140" s="27" t="s">
        <v>8</v>
      </c>
      <c r="BL140" s="27" t="s">
        <v>7</v>
      </c>
      <c r="BM140" s="27" t="s">
        <v>8</v>
      </c>
      <c r="BN140" s="27" t="s">
        <v>7</v>
      </c>
      <c r="BO140" s="27" t="s">
        <v>8</v>
      </c>
      <c r="BP140" s="27" t="s">
        <v>7</v>
      </c>
      <c r="BQ140" s="27" t="s">
        <v>8</v>
      </c>
      <c r="BR140" s="27" t="s">
        <v>7</v>
      </c>
      <c r="BS140" s="27" t="s">
        <v>8</v>
      </c>
      <c r="BT140" s="27" t="s">
        <v>7</v>
      </c>
      <c r="BW140" s="27" t="s">
        <v>8</v>
      </c>
      <c r="BX140" s="27" t="s">
        <v>7</v>
      </c>
      <c r="BY140" s="27" t="s">
        <v>8</v>
      </c>
    </row>
    <row r="141" spans="1:86" x14ac:dyDescent="0.25">
      <c r="A141" s="30">
        <v>125.23929318695619</v>
      </c>
      <c r="C141" s="1">
        <v>1</v>
      </c>
      <c r="E141"/>
      <c r="AQ141" s="27" t="s">
        <v>8</v>
      </c>
      <c r="AR141" s="27" t="s">
        <v>7</v>
      </c>
      <c r="AS141" s="27" t="s">
        <v>8</v>
      </c>
      <c r="AT141" s="27" t="s">
        <v>7</v>
      </c>
      <c r="BD141" s="27" t="s">
        <v>7</v>
      </c>
      <c r="BE141" s="27" t="s">
        <v>8</v>
      </c>
      <c r="BF141" s="27" t="s">
        <v>7</v>
      </c>
      <c r="BG141" s="27" t="s">
        <v>8</v>
      </c>
      <c r="BJ141" s="32" t="s">
        <v>7</v>
      </c>
      <c r="BK141" s="27" t="s">
        <v>8</v>
      </c>
      <c r="BL141" s="27" t="s">
        <v>7</v>
      </c>
      <c r="BM141" s="27" t="s">
        <v>8</v>
      </c>
      <c r="BN141" s="27" t="s">
        <v>7</v>
      </c>
      <c r="BO141" s="27" t="s">
        <v>8</v>
      </c>
      <c r="BP141" s="27" t="s">
        <v>7</v>
      </c>
      <c r="BQ141" s="27" t="s">
        <v>8</v>
      </c>
      <c r="BR141" s="27" t="s">
        <v>7</v>
      </c>
      <c r="BT141" s="27" t="s">
        <v>7</v>
      </c>
      <c r="BU141" s="27" t="s">
        <v>8</v>
      </c>
      <c r="BW141" s="27" t="s">
        <v>8</v>
      </c>
      <c r="BX141" s="27" t="s">
        <v>7</v>
      </c>
      <c r="BY141" s="27" t="s">
        <v>8</v>
      </c>
      <c r="BZ141" s="27" t="s">
        <v>7</v>
      </c>
    </row>
    <row r="142" spans="1:86" x14ac:dyDescent="0.25">
      <c r="A142" s="30">
        <v>119.27551732091065</v>
      </c>
      <c r="C142" s="1">
        <v>2</v>
      </c>
      <c r="E142"/>
      <c r="AO142" s="27" t="s">
        <v>8</v>
      </c>
      <c r="AQ142" s="27" t="s">
        <v>8</v>
      </c>
      <c r="AR142" s="27" t="s">
        <v>7</v>
      </c>
      <c r="AS142" s="27" t="s">
        <v>8</v>
      </c>
      <c r="BD142" s="27" t="s">
        <v>7</v>
      </c>
      <c r="BE142" s="27" t="s">
        <v>8</v>
      </c>
      <c r="BF142" s="27" t="s">
        <v>7</v>
      </c>
      <c r="BG142" s="27" t="s">
        <v>8</v>
      </c>
      <c r="BJ142" s="27" t="s">
        <v>7</v>
      </c>
      <c r="BL142" s="27" t="s">
        <v>7</v>
      </c>
      <c r="BM142" s="27" t="s">
        <v>8</v>
      </c>
      <c r="BN142" s="27" t="s">
        <v>7</v>
      </c>
      <c r="BP142" s="27" t="s">
        <v>7</v>
      </c>
      <c r="BQ142" s="27" t="s">
        <v>8</v>
      </c>
      <c r="BT142" s="27" t="s">
        <v>7</v>
      </c>
      <c r="BU142" s="27" t="s">
        <v>8</v>
      </c>
      <c r="BV142" s="27" t="s">
        <v>7</v>
      </c>
      <c r="BW142" s="27" t="s">
        <v>8</v>
      </c>
      <c r="BX142" s="27" t="s">
        <v>7</v>
      </c>
      <c r="BY142" s="27" t="s">
        <v>8</v>
      </c>
      <c r="BZ142" s="27" t="s">
        <v>7</v>
      </c>
      <c r="CA142" s="27" t="s">
        <v>8</v>
      </c>
    </row>
    <row r="143" spans="1:86" x14ac:dyDescent="0.25">
      <c r="A143" s="30">
        <v>113.59573078181967</v>
      </c>
      <c r="C143" s="1">
        <v>3</v>
      </c>
      <c r="E143"/>
      <c r="AO143" s="27" t="s">
        <v>8</v>
      </c>
      <c r="AP143" s="27" t="s">
        <v>7</v>
      </c>
      <c r="AQ143" s="27" t="s">
        <v>8</v>
      </c>
      <c r="AR143" s="27" t="s">
        <v>7</v>
      </c>
      <c r="BD143" s="27" t="s">
        <v>7</v>
      </c>
      <c r="BE143" s="27" t="s">
        <v>8</v>
      </c>
      <c r="BF143" s="27" t="s">
        <v>7</v>
      </c>
      <c r="BG143" s="27" t="s">
        <v>8</v>
      </c>
      <c r="BL143" s="27" t="s">
        <v>7</v>
      </c>
      <c r="BM143" s="27" t="s">
        <v>8</v>
      </c>
      <c r="BP143" s="32" t="s">
        <v>7</v>
      </c>
      <c r="BQ143" s="27" t="s">
        <v>8</v>
      </c>
      <c r="BT143" s="31" t="s">
        <v>7</v>
      </c>
      <c r="BU143" s="27" t="s">
        <v>8</v>
      </c>
      <c r="BV143" s="27" t="s">
        <v>7</v>
      </c>
      <c r="BW143" s="27" t="s">
        <v>8</v>
      </c>
      <c r="BX143" s="27" t="s">
        <v>7</v>
      </c>
      <c r="BZ143" s="27" t="s">
        <v>7</v>
      </c>
      <c r="CA143" s="27" t="s">
        <v>8</v>
      </c>
      <c r="CB143" s="27" t="s">
        <v>7</v>
      </c>
      <c r="CG143" s="27" t="s">
        <v>8</v>
      </c>
    </row>
    <row r="144" spans="1:86" x14ac:dyDescent="0.25">
      <c r="A144" s="30">
        <v>108.18641026839968</v>
      </c>
      <c r="C144" s="1">
        <v>4</v>
      </c>
      <c r="E144"/>
      <c r="AO144" s="27" t="s">
        <v>8</v>
      </c>
      <c r="AP144" s="27" t="s">
        <v>7</v>
      </c>
      <c r="AQ144" s="27" t="s">
        <v>8</v>
      </c>
      <c r="BD144" s="27" t="s">
        <v>7</v>
      </c>
      <c r="BF144" s="27" t="s">
        <v>7</v>
      </c>
      <c r="BG144" s="27" t="s">
        <v>8</v>
      </c>
      <c r="BL144" s="27" t="s">
        <v>7</v>
      </c>
      <c r="BM144" s="27" t="s">
        <v>8</v>
      </c>
      <c r="BP144" s="27" t="s">
        <v>7</v>
      </c>
      <c r="BQ144" s="27" t="s">
        <v>8</v>
      </c>
      <c r="BS144" s="31"/>
      <c r="BT144" s="27" t="s">
        <v>7</v>
      </c>
      <c r="BV144" s="27" t="s">
        <v>7</v>
      </c>
      <c r="BW144" s="27" t="s">
        <v>8</v>
      </c>
      <c r="BZ144" s="27" t="s">
        <v>7</v>
      </c>
      <c r="CA144" s="27" t="s">
        <v>8</v>
      </c>
      <c r="CB144" s="27" t="s">
        <v>7</v>
      </c>
      <c r="CC144" s="27" t="s">
        <v>8</v>
      </c>
      <c r="CG144" s="27" t="s">
        <v>8</v>
      </c>
      <c r="CH144" s="27" t="s">
        <v>7</v>
      </c>
    </row>
    <row r="145" spans="1:93" x14ac:dyDescent="0.25">
      <c r="A145" s="30">
        <v>103.03467644609493</v>
      </c>
      <c r="E145"/>
      <c r="AO145" s="27" t="s">
        <v>8</v>
      </c>
      <c r="AP145" s="27" t="s">
        <v>7</v>
      </c>
      <c r="BF145" s="27" t="s">
        <v>7</v>
      </c>
      <c r="BG145" s="27" t="s">
        <v>8</v>
      </c>
      <c r="BL145" s="27" t="s">
        <v>7</v>
      </c>
      <c r="BM145" s="27" t="s">
        <v>8</v>
      </c>
      <c r="BP145" s="18" t="s">
        <v>7</v>
      </c>
      <c r="BQ145" s="27" t="s">
        <v>8</v>
      </c>
      <c r="BR145" s="31"/>
      <c r="BV145" s="27" t="s">
        <v>7</v>
      </c>
      <c r="BW145" s="27" t="s">
        <v>8</v>
      </c>
      <c r="BZ145" s="27" t="s">
        <v>7</v>
      </c>
      <c r="CB145" s="27" t="s">
        <v>7</v>
      </c>
      <c r="CC145" s="27" t="s">
        <v>8</v>
      </c>
      <c r="CD145" s="27" t="s">
        <v>7</v>
      </c>
      <c r="CE145" s="27" t="s">
        <v>8</v>
      </c>
      <c r="CG145" s="27" t="s">
        <v>8</v>
      </c>
      <c r="CH145" s="27" t="s">
        <v>7</v>
      </c>
    </row>
    <row r="146" spans="1:93" x14ac:dyDescent="0.25">
      <c r="A146" s="30">
        <v>98.128263281995174</v>
      </c>
      <c r="E146"/>
      <c r="AO146" s="27" t="s">
        <v>8</v>
      </c>
      <c r="BF146" s="27" t="s">
        <v>7</v>
      </c>
      <c r="BG146" s="27" t="s">
        <v>8</v>
      </c>
      <c r="BL146" s="27" t="s">
        <v>7</v>
      </c>
      <c r="BM146" s="27" t="s">
        <v>8</v>
      </c>
      <c r="BP146" s="27" t="s">
        <v>7</v>
      </c>
      <c r="BQ146" s="31" t="s">
        <v>8</v>
      </c>
      <c r="BV146" s="27" t="s">
        <v>7</v>
      </c>
      <c r="CB146" s="27" t="s">
        <v>7</v>
      </c>
      <c r="CC146" s="27" t="s">
        <v>8</v>
      </c>
      <c r="CD146" s="27" t="s">
        <v>7</v>
      </c>
      <c r="CE146" s="27" t="s">
        <v>8</v>
      </c>
      <c r="CF146" s="27" t="s">
        <v>7</v>
      </c>
      <c r="CG146" s="27" t="s">
        <v>8</v>
      </c>
      <c r="CH146" s="27" t="s">
        <v>7</v>
      </c>
    </row>
    <row r="147" spans="1:93" x14ac:dyDescent="0.25">
      <c r="A147" s="30">
        <v>93.455488839995397</v>
      </c>
      <c r="E147"/>
      <c r="AM147" s="27" t="s">
        <v>8</v>
      </c>
      <c r="AO147" s="27" t="s">
        <v>8</v>
      </c>
      <c r="BF147" s="27" t="s">
        <v>7</v>
      </c>
      <c r="BG147" s="27" t="s">
        <v>8</v>
      </c>
      <c r="BL147" s="27" t="s">
        <v>7</v>
      </c>
      <c r="BM147" s="27" t="s">
        <v>8</v>
      </c>
      <c r="BP147" s="31" t="s">
        <v>7</v>
      </c>
      <c r="CB147" s="27" t="s">
        <v>7</v>
      </c>
      <c r="CD147" s="27" t="s">
        <v>7</v>
      </c>
      <c r="CE147" s="27" t="s">
        <v>8</v>
      </c>
      <c r="CF147" s="27" t="s">
        <v>7</v>
      </c>
      <c r="CG147" s="27" t="s">
        <v>8</v>
      </c>
      <c r="CH147" s="27" t="s">
        <v>7</v>
      </c>
    </row>
    <row r="148" spans="1:93" x14ac:dyDescent="0.25">
      <c r="A148" s="30">
        <v>89.005227466662276</v>
      </c>
      <c r="E148"/>
      <c r="AM148" s="27" t="s">
        <v>8</v>
      </c>
      <c r="AN148" s="27" t="s">
        <v>7</v>
      </c>
      <c r="AO148" s="27" t="s">
        <v>8</v>
      </c>
      <c r="BF148" s="27" t="s">
        <v>7</v>
      </c>
      <c r="BL148" s="27" t="s">
        <v>7</v>
      </c>
      <c r="CD148" s="27" t="s">
        <v>7</v>
      </c>
      <c r="CE148" s="27" t="s">
        <v>8</v>
      </c>
      <c r="CF148" s="27" t="s">
        <v>7</v>
      </c>
      <c r="CG148" s="27" t="s">
        <v>8</v>
      </c>
      <c r="CH148" s="27" t="s">
        <v>7</v>
      </c>
      <c r="CK148" s="27" t="s">
        <v>8</v>
      </c>
    </row>
    <row r="149" spans="1:93" x14ac:dyDescent="0.25">
      <c r="A149" s="30">
        <v>84.766883301583121</v>
      </c>
      <c r="E149"/>
      <c r="AM149" s="27" t="s">
        <v>8</v>
      </c>
      <c r="AN149" s="27" t="s">
        <v>7</v>
      </c>
      <c r="AO149" s="27" t="s">
        <v>8</v>
      </c>
      <c r="CD149" s="27" t="s">
        <v>7</v>
      </c>
      <c r="CE149" s="27" t="s">
        <v>8</v>
      </c>
      <c r="CF149" s="27" t="s">
        <v>7</v>
      </c>
      <c r="CG149" s="27" t="s">
        <v>8</v>
      </c>
      <c r="CH149" s="27" t="s">
        <v>7</v>
      </c>
      <c r="CK149" s="27" t="s">
        <v>8</v>
      </c>
      <c r="CL149" s="27" t="s">
        <v>7</v>
      </c>
    </row>
    <row r="150" spans="1:93" x14ac:dyDescent="0.25">
      <c r="A150" s="30">
        <v>80.730365049126775</v>
      </c>
      <c r="E150"/>
      <c r="AM150" s="27" t="s">
        <v>8</v>
      </c>
      <c r="AN150" s="27" t="s">
        <v>7</v>
      </c>
      <c r="CD150" s="27" t="s">
        <v>7</v>
      </c>
      <c r="CF150" s="27" t="s">
        <v>7</v>
      </c>
      <c r="CG150" s="27" t="s">
        <v>8</v>
      </c>
      <c r="CH150" s="27" t="s">
        <v>7</v>
      </c>
      <c r="CI150" s="27" t="s">
        <v>8</v>
      </c>
      <c r="CK150" s="27" t="s">
        <v>8</v>
      </c>
      <c r="CL150" s="27" t="s">
        <v>7</v>
      </c>
    </row>
    <row r="151" spans="1:93" x14ac:dyDescent="0.25">
      <c r="A151" s="30">
        <v>76.886061951549308</v>
      </c>
      <c r="E151"/>
      <c r="AM151" s="27" t="s">
        <v>8</v>
      </c>
      <c r="CF151" s="27" t="s">
        <v>7</v>
      </c>
      <c r="CG151" s="27" t="s">
        <v>8</v>
      </c>
      <c r="CH151" s="27" t="s">
        <v>7</v>
      </c>
      <c r="CI151" s="27" t="s">
        <v>8</v>
      </c>
      <c r="CJ151" s="27" t="s">
        <v>7</v>
      </c>
      <c r="CK151" s="27" t="s">
        <v>8</v>
      </c>
      <c r="CL151" s="27" t="s">
        <v>7</v>
      </c>
    </row>
    <row r="152" spans="1:93" x14ac:dyDescent="0.25">
      <c r="A152" s="30">
        <v>73.22482090623744</v>
      </c>
      <c r="E152"/>
      <c r="AM152" s="27" t="s">
        <v>8</v>
      </c>
      <c r="CF152" s="27" t="s">
        <v>7</v>
      </c>
      <c r="CG152" s="27" t="s">
        <v>8</v>
      </c>
      <c r="CH152" s="27" t="s">
        <v>7</v>
      </c>
      <c r="CI152" s="27" t="s">
        <v>8</v>
      </c>
      <c r="CJ152" s="27" t="s">
        <v>7</v>
      </c>
      <c r="CK152" s="27" t="s">
        <v>8</v>
      </c>
      <c r="CL152" s="27" t="s">
        <v>7</v>
      </c>
      <c r="CO152" s="27" t="s">
        <v>8</v>
      </c>
    </row>
    <row r="153" spans="1:93" x14ac:dyDescent="0.25">
      <c r="A153" s="30">
        <v>69.737924672607079</v>
      </c>
      <c r="C153" s="7"/>
      <c r="D153"/>
      <c r="E153"/>
      <c r="AG153" s="27" t="s">
        <v>8</v>
      </c>
      <c r="AM153" s="27" t="s">
        <v>8</v>
      </c>
      <c r="CF153" s="27" t="s">
        <v>7</v>
      </c>
      <c r="CG153" s="27" t="s">
        <v>8</v>
      </c>
      <c r="CH153" s="27" t="s">
        <v>7</v>
      </c>
      <c r="CJ153" s="27" t="s">
        <v>7</v>
      </c>
      <c r="CK153" s="27" t="s">
        <v>8</v>
      </c>
      <c r="CL153" s="27" t="s">
        <v>7</v>
      </c>
      <c r="CO153" s="27" t="s">
        <v>8</v>
      </c>
    </row>
    <row r="154" spans="1:93" x14ac:dyDescent="0.25">
      <c r="A154" s="30">
        <v>66.417071116768639</v>
      </c>
      <c r="E154"/>
      <c r="AG154" s="27" t="s">
        <v>8</v>
      </c>
      <c r="AH154" s="27" t="s">
        <v>7</v>
      </c>
      <c r="AM154" s="27" t="s">
        <v>8</v>
      </c>
      <c r="CF154" s="27" t="s">
        <v>7</v>
      </c>
      <c r="CG154" s="27" t="s">
        <v>8</v>
      </c>
      <c r="CJ154" s="27" t="s">
        <v>7</v>
      </c>
      <c r="CK154" s="27" t="s">
        <v>8</v>
      </c>
      <c r="CL154" s="27" t="s">
        <v>7</v>
      </c>
      <c r="CO154" s="27" t="s">
        <v>8</v>
      </c>
    </row>
    <row r="155" spans="1:93" x14ac:dyDescent="0.25">
      <c r="A155" s="30">
        <v>63.254353444541557</v>
      </c>
      <c r="E155"/>
      <c r="AG155" s="27" t="s">
        <v>8</v>
      </c>
      <c r="AH155" s="27" t="s">
        <v>7</v>
      </c>
      <c r="AM155" s="27" t="s">
        <v>8</v>
      </c>
      <c r="CF155" s="27" t="s">
        <v>7</v>
      </c>
      <c r="CG155" s="27" t="s">
        <v>8</v>
      </c>
      <c r="CJ155" s="27" t="s">
        <v>7</v>
      </c>
      <c r="CK155" s="27" t="s">
        <v>8</v>
      </c>
      <c r="CL155" s="27" t="s">
        <v>7</v>
      </c>
      <c r="CO155" s="27" t="s">
        <v>8</v>
      </c>
    </row>
    <row r="156" spans="1:93" x14ac:dyDescent="0.25">
      <c r="A156" s="30">
        <v>60.242241375753864</v>
      </c>
      <c r="C156"/>
      <c r="D156"/>
      <c r="E156"/>
      <c r="AG156" s="27" t="s">
        <v>8</v>
      </c>
      <c r="AH156" s="27" t="s">
        <v>7</v>
      </c>
      <c r="AI156" s="27" t="s">
        <v>8</v>
      </c>
      <c r="AK156" s="27" t="s">
        <v>8</v>
      </c>
      <c r="AM156" s="27" t="s">
        <v>8</v>
      </c>
      <c r="CF156" s="27" t="s">
        <v>7</v>
      </c>
      <c r="CJ156" s="27" t="s">
        <v>7</v>
      </c>
      <c r="CK156" s="27" t="s">
        <v>8</v>
      </c>
      <c r="CL156" s="27" t="s">
        <v>7</v>
      </c>
      <c r="CM156" s="27" t="s">
        <v>8</v>
      </c>
      <c r="CO156" s="27" t="s">
        <v>8</v>
      </c>
    </row>
    <row r="157" spans="1:93" x14ac:dyDescent="0.25">
      <c r="A157" s="30">
        <v>57.373563215003678</v>
      </c>
      <c r="E157"/>
      <c r="AG157" s="27" t="s">
        <v>8</v>
      </c>
      <c r="AH157" s="27" t="s">
        <v>7</v>
      </c>
      <c r="AI157" s="27" t="s">
        <v>8</v>
      </c>
      <c r="AJ157" s="27" t="s">
        <v>7</v>
      </c>
      <c r="AK157" s="27" t="s">
        <v>8</v>
      </c>
      <c r="AL157" s="27" t="s">
        <v>7</v>
      </c>
      <c r="AM157" s="27" t="s">
        <v>8</v>
      </c>
      <c r="CJ157" s="27" t="s">
        <v>7</v>
      </c>
      <c r="CK157" s="27" t="s">
        <v>8</v>
      </c>
      <c r="CL157" s="27" t="s">
        <v>7</v>
      </c>
      <c r="CM157" s="27" t="s">
        <v>8</v>
      </c>
      <c r="CN157" s="27" t="s">
        <v>7</v>
      </c>
      <c r="CO157" s="27" t="s">
        <v>8</v>
      </c>
    </row>
    <row r="158" spans="1:93" x14ac:dyDescent="0.25">
      <c r="A158" s="30">
        <v>54.641488776193974</v>
      </c>
      <c r="E158"/>
      <c r="AG158" s="27" t="s">
        <v>8</v>
      </c>
      <c r="AH158" s="27" t="s">
        <v>7</v>
      </c>
      <c r="AI158" s="27" t="s">
        <v>8</v>
      </c>
      <c r="AJ158" s="27" t="s">
        <v>7</v>
      </c>
      <c r="AK158" s="27" t="s">
        <v>8</v>
      </c>
      <c r="AL158" s="27" t="s">
        <v>7</v>
      </c>
      <c r="AM158" s="27" t="s">
        <v>8</v>
      </c>
      <c r="CJ158" s="27" t="s">
        <v>7</v>
      </c>
      <c r="CK158" s="27" t="s">
        <v>8</v>
      </c>
      <c r="CL158" s="27" t="s">
        <v>7</v>
      </c>
      <c r="CM158" s="27" t="s">
        <v>8</v>
      </c>
      <c r="CN158" s="27" t="s">
        <v>7</v>
      </c>
      <c r="CO158" s="27" t="s">
        <v>8</v>
      </c>
    </row>
    <row r="159" spans="1:93" x14ac:dyDescent="0.25">
      <c r="A159" s="30">
        <v>52.039513120184736</v>
      </c>
      <c r="E159"/>
      <c r="AG159" s="27" t="s">
        <v>8</v>
      </c>
      <c r="AH159" s="27" t="s">
        <v>7</v>
      </c>
      <c r="AI159" s="27" t="s">
        <v>8</v>
      </c>
      <c r="AJ159" s="27" t="s">
        <v>7</v>
      </c>
      <c r="AK159" s="27" t="s">
        <v>8</v>
      </c>
      <c r="AL159" s="27" t="s">
        <v>7</v>
      </c>
      <c r="CJ159" s="27" t="s">
        <v>7</v>
      </c>
      <c r="CL159" s="27" t="s">
        <v>7</v>
      </c>
      <c r="CN159" s="27" t="s">
        <v>7</v>
      </c>
    </row>
    <row r="160" spans="1:93" x14ac:dyDescent="0.25">
      <c r="A160" s="30">
        <v>49.561441066842605</v>
      </c>
      <c r="C160"/>
      <c r="E160"/>
      <c r="AE160" s="27" t="s">
        <v>8</v>
      </c>
      <c r="AG160" s="27" t="s">
        <v>8</v>
      </c>
      <c r="AH160" s="27" t="s">
        <v>7</v>
      </c>
      <c r="AI160" s="27" t="s">
        <v>8</v>
      </c>
      <c r="AJ160" s="27" t="s">
        <v>7</v>
      </c>
      <c r="AK160" s="27" t="s">
        <v>8</v>
      </c>
    </row>
    <row r="161" spans="1:36" x14ac:dyDescent="0.25">
      <c r="A161" s="30">
        <v>47.201372444612005</v>
      </c>
      <c r="E161"/>
      <c r="AE161" s="27" t="s">
        <v>8</v>
      </c>
      <c r="AF161" s="27" t="s">
        <v>7</v>
      </c>
      <c r="AG161" s="27" t="s">
        <v>8</v>
      </c>
      <c r="AH161" s="27" t="s">
        <v>7</v>
      </c>
      <c r="AI161" s="27" t="s">
        <v>8</v>
      </c>
      <c r="AJ161" s="27" t="s">
        <v>7</v>
      </c>
    </row>
    <row r="162" spans="1:36" x14ac:dyDescent="0.25">
      <c r="A162" s="30">
        <v>44.95368804248762</v>
      </c>
      <c r="E162"/>
      <c r="AE162" s="27" t="s">
        <v>8</v>
      </c>
      <c r="AF162" s="27" t="s">
        <v>7</v>
      </c>
      <c r="AG162" s="27" t="s">
        <v>8</v>
      </c>
      <c r="AH162" s="27" t="s">
        <v>7</v>
      </c>
    </row>
    <row r="163" spans="1:36" x14ac:dyDescent="0.25">
      <c r="A163" s="30">
        <v>42.81303623094059</v>
      </c>
      <c r="E163"/>
      <c r="AE163" s="27" t="s">
        <v>8</v>
      </c>
      <c r="AF163" s="27" t="s">
        <v>7</v>
      </c>
    </row>
    <row r="164" spans="1:36" x14ac:dyDescent="0.25">
      <c r="A164" s="30">
        <v>40.774320219943419</v>
      </c>
      <c r="E164"/>
      <c r="W164" s="27" t="s">
        <v>8</v>
      </c>
      <c r="AA164" s="27" t="s">
        <v>8</v>
      </c>
      <c r="AC164" s="27" t="s">
        <v>8</v>
      </c>
      <c r="AE164" s="27" t="s">
        <v>8</v>
      </c>
    </row>
    <row r="165" spans="1:36" x14ac:dyDescent="0.25">
      <c r="A165" s="30">
        <v>38.832685923755633</v>
      </c>
      <c r="E165"/>
      <c r="W165" s="27" t="s">
        <v>8</v>
      </c>
      <c r="X165" s="27" t="s">
        <v>7</v>
      </c>
      <c r="AA165" s="27" t="s">
        <v>8</v>
      </c>
      <c r="AB165" s="27" t="s">
        <v>7</v>
      </c>
      <c r="AC165" s="27" t="s">
        <v>8</v>
      </c>
      <c r="AD165" s="27" t="s">
        <v>7</v>
      </c>
      <c r="AE165" s="27" t="s">
        <v>8</v>
      </c>
    </row>
    <row r="166" spans="1:36" x14ac:dyDescent="0.25">
      <c r="A166" s="30">
        <v>36.983510403576794</v>
      </c>
      <c r="E166"/>
      <c r="W166" s="27" t="s">
        <v>8</v>
      </c>
      <c r="X166" s="27" t="s">
        <v>7</v>
      </c>
      <c r="AA166" s="27" t="s">
        <v>8</v>
      </c>
      <c r="AB166" s="27" t="s">
        <v>7</v>
      </c>
      <c r="AC166" s="27" t="s">
        <v>8</v>
      </c>
      <c r="AD166" s="27" t="s">
        <v>7</v>
      </c>
      <c r="AE166" s="27" t="s">
        <v>8</v>
      </c>
    </row>
    <row r="167" spans="1:36" x14ac:dyDescent="0.25">
      <c r="A167" s="30">
        <v>35.222390860549325</v>
      </c>
      <c r="E167"/>
      <c r="W167" s="27" t="s">
        <v>8</v>
      </c>
      <c r="X167" s="27" t="s">
        <v>7</v>
      </c>
      <c r="AA167" s="27" t="s">
        <v>8</v>
      </c>
      <c r="AB167" s="27" t="s">
        <v>7</v>
      </c>
      <c r="AC167" s="27" t="s">
        <v>8</v>
      </c>
      <c r="AD167" s="27" t="s">
        <v>7</v>
      </c>
    </row>
    <row r="168" spans="1:36" x14ac:dyDescent="0.25">
      <c r="A168" s="30">
        <v>33.545134152904119</v>
      </c>
      <c r="E168"/>
      <c r="W168" s="27" t="s">
        <v>8</v>
      </c>
      <c r="X168" s="27" t="s">
        <v>7</v>
      </c>
      <c r="Y168" s="27" t="s">
        <v>8</v>
      </c>
      <c r="AA168" s="27" t="s">
        <v>8</v>
      </c>
      <c r="AB168" s="27" t="s">
        <v>7</v>
      </c>
      <c r="AC168" s="27" t="s">
        <v>8</v>
      </c>
    </row>
    <row r="169" spans="1:36" x14ac:dyDescent="0.25">
      <c r="A169" s="30">
        <v>31.947746812289637</v>
      </c>
      <c r="E169"/>
      <c r="W169" s="27" t="s">
        <v>8</v>
      </c>
      <c r="X169" s="27" t="s">
        <v>7</v>
      </c>
      <c r="Y169" s="27" t="s">
        <v>8</v>
      </c>
      <c r="Z169" s="27" t="s">
        <v>7</v>
      </c>
      <c r="AA169" s="27" t="s">
        <v>8</v>
      </c>
      <c r="AB169" s="27" t="s">
        <v>7</v>
      </c>
    </row>
    <row r="170" spans="1:36" x14ac:dyDescent="0.25">
      <c r="A170" s="30">
        <v>30.426425535513939</v>
      </c>
      <c r="E170"/>
      <c r="W170" s="27" t="s">
        <v>8</v>
      </c>
      <c r="X170" s="27" t="s">
        <v>7</v>
      </c>
      <c r="Y170" s="27" t="s">
        <v>8</v>
      </c>
      <c r="Z170" s="27" t="s">
        <v>7</v>
      </c>
      <c r="AA170" s="27" t="s">
        <v>8</v>
      </c>
    </row>
    <row r="171" spans="1:36" x14ac:dyDescent="0.25">
      <c r="A171" s="30">
        <v>28.977548129060892</v>
      </c>
      <c r="E171"/>
      <c r="W171" s="27" t="s">
        <v>8</v>
      </c>
      <c r="X171" s="27" t="s">
        <v>7</v>
      </c>
      <c r="Y171" s="27" t="s">
        <v>8</v>
      </c>
      <c r="Z171" s="27" t="s">
        <v>7</v>
      </c>
      <c r="AA171" s="27" t="s">
        <v>8</v>
      </c>
    </row>
    <row r="172" spans="1:36" x14ac:dyDescent="0.25">
      <c r="A172" s="30">
        <v>27.597664884819896</v>
      </c>
      <c r="E172"/>
      <c r="W172" s="27" t="s">
        <v>8</v>
      </c>
      <c r="X172" s="27" t="s">
        <v>7</v>
      </c>
      <c r="Y172" s="27" t="s">
        <v>8</v>
      </c>
      <c r="Z172" s="27" t="s">
        <v>7</v>
      </c>
      <c r="AA172" s="27" t="s">
        <v>8</v>
      </c>
    </row>
    <row r="173" spans="1:36" x14ac:dyDescent="0.25">
      <c r="A173" s="30">
        <v>26.283490366495137</v>
      </c>
      <c r="E173"/>
      <c r="W173" s="27" t="s">
        <v>8</v>
      </c>
      <c r="X173" s="27" t="s">
        <v>7</v>
      </c>
      <c r="Y173" s="27" t="s">
        <v>8</v>
      </c>
      <c r="Z173" s="27" t="s">
        <v>7</v>
      </c>
      <c r="AA173" s="27" t="s">
        <v>8</v>
      </c>
    </row>
    <row r="174" spans="1:36" x14ac:dyDescent="0.25">
      <c r="A174" s="30">
        <v>25.031895587138223</v>
      </c>
      <c r="E174"/>
      <c r="W174" s="27" t="s">
        <v>8</v>
      </c>
      <c r="X174" s="27" t="s">
        <v>7</v>
      </c>
      <c r="Z174" s="27" t="s">
        <v>7</v>
      </c>
      <c r="AA174" s="27" t="s">
        <v>8</v>
      </c>
    </row>
    <row r="175" spans="1:36" x14ac:dyDescent="0.25">
      <c r="A175" s="30">
        <v>23.839900559179259</v>
      </c>
      <c r="E175" t="s">
        <v>8</v>
      </c>
      <c r="I175" s="27" t="s">
        <v>8</v>
      </c>
      <c r="U175" s="27" t="s">
        <v>8</v>
      </c>
      <c r="W175" s="27" t="s">
        <v>8</v>
      </c>
      <c r="Z175" s="27" t="s">
        <v>7</v>
      </c>
    </row>
    <row r="176" spans="1:36" x14ac:dyDescent="0.25">
      <c r="A176" s="30">
        <v>22.704667199218342</v>
      </c>
      <c r="E176" t="s">
        <v>8</v>
      </c>
      <c r="F176" s="27" t="s">
        <v>7</v>
      </c>
      <c r="I176" s="27" t="s">
        <v>8</v>
      </c>
      <c r="J176" s="27" t="s">
        <v>7</v>
      </c>
      <c r="U176" s="27" t="s">
        <v>8</v>
      </c>
      <c r="V176" s="27" t="s">
        <v>7</v>
      </c>
      <c r="W176" s="27" t="s">
        <v>8</v>
      </c>
    </row>
    <row r="177" spans="1:23" x14ac:dyDescent="0.25">
      <c r="A177" s="30">
        <v>21.623492570684135</v>
      </c>
      <c r="E177" t="s">
        <v>8</v>
      </c>
      <c r="F177" s="27" t="s">
        <v>7</v>
      </c>
      <c r="G177" s="27" t="s">
        <v>8</v>
      </c>
      <c r="I177" s="27" t="s">
        <v>8</v>
      </c>
      <c r="J177" s="27" t="s">
        <v>7</v>
      </c>
      <c r="U177" s="27" t="s">
        <v>8</v>
      </c>
      <c r="V177" s="27" t="s">
        <v>7</v>
      </c>
      <c r="W177" s="27" t="s">
        <v>8</v>
      </c>
    </row>
    <row r="178" spans="1:23" x14ac:dyDescent="0.25">
      <c r="A178" s="30">
        <v>20.593802448270605</v>
      </c>
      <c r="C178" s="7"/>
      <c r="D178"/>
      <c r="E178" t="s">
        <v>8</v>
      </c>
      <c r="F178" s="27" t="s">
        <v>7</v>
      </c>
      <c r="G178" s="27" t="s">
        <v>8</v>
      </c>
      <c r="H178" s="27" t="s">
        <v>7</v>
      </c>
      <c r="I178" s="27" t="s">
        <v>8</v>
      </c>
      <c r="J178" s="27" t="s">
        <v>7</v>
      </c>
      <c r="S178" s="27" t="s">
        <v>8</v>
      </c>
      <c r="U178" s="27" t="s">
        <v>8</v>
      </c>
      <c r="V178" s="27" t="s">
        <v>7</v>
      </c>
      <c r="W178" s="27" t="s">
        <v>8</v>
      </c>
    </row>
    <row r="179" spans="1:23" x14ac:dyDescent="0.25">
      <c r="A179" s="30">
        <v>19.613145188829147</v>
      </c>
      <c r="E179" t="s">
        <v>8</v>
      </c>
      <c r="F179" s="27" t="s">
        <v>7</v>
      </c>
      <c r="G179" s="27" t="s">
        <v>8</v>
      </c>
      <c r="H179" s="27" t="s">
        <v>7</v>
      </c>
      <c r="I179" s="27" t="s">
        <v>8</v>
      </c>
      <c r="J179" s="27" t="s">
        <v>7</v>
      </c>
      <c r="S179" s="27" t="s">
        <v>8</v>
      </c>
      <c r="T179" s="27" t="s">
        <v>7</v>
      </c>
      <c r="U179" s="27" t="s">
        <v>8</v>
      </c>
      <c r="V179" s="27" t="s">
        <v>7</v>
      </c>
      <c r="W179" s="27" t="s">
        <v>8</v>
      </c>
    </row>
    <row r="180" spans="1:23" x14ac:dyDescent="0.25">
      <c r="A180" s="30">
        <v>18.679185894122998</v>
      </c>
      <c r="E180" t="s">
        <v>8</v>
      </c>
      <c r="F180" s="27" t="s">
        <v>7</v>
      </c>
      <c r="G180" s="27" t="s">
        <v>8</v>
      </c>
      <c r="H180" s="27" t="s">
        <v>7</v>
      </c>
      <c r="I180" s="27" t="s">
        <v>8</v>
      </c>
      <c r="J180" s="27" t="s">
        <v>7</v>
      </c>
      <c r="S180" s="27" t="s">
        <v>8</v>
      </c>
      <c r="T180" s="27" t="s">
        <v>7</v>
      </c>
      <c r="U180" s="27" t="s">
        <v>8</v>
      </c>
      <c r="V180" s="27" t="s">
        <v>7</v>
      </c>
      <c r="W180" s="27" t="s">
        <v>8</v>
      </c>
    </row>
    <row r="181" spans="1:23" x14ac:dyDescent="0.25">
      <c r="A181" s="30">
        <v>17.78970085154571</v>
      </c>
      <c r="C181"/>
      <c r="D181"/>
      <c r="E181" t="s">
        <v>8</v>
      </c>
      <c r="F181" s="27" t="s">
        <v>7</v>
      </c>
      <c r="G181" s="27" t="s">
        <v>8</v>
      </c>
      <c r="H181" s="27" t="s">
        <v>7</v>
      </c>
      <c r="I181" s="27" t="s">
        <v>8</v>
      </c>
      <c r="J181" s="27" t="s">
        <v>7</v>
      </c>
      <c r="Q181" s="27" t="s">
        <v>8</v>
      </c>
      <c r="S181" s="27" t="s">
        <v>8</v>
      </c>
      <c r="T181" s="27" t="s">
        <v>7</v>
      </c>
      <c r="V181" s="27" t="s">
        <v>7</v>
      </c>
      <c r="W181" s="27" t="s">
        <v>8</v>
      </c>
    </row>
    <row r="182" spans="1:23" x14ac:dyDescent="0.25">
      <c r="A182" s="30">
        <v>16.942572239567344</v>
      </c>
      <c r="E182" t="s">
        <v>8</v>
      </c>
      <c r="F182" s="27" t="s">
        <v>7</v>
      </c>
      <c r="G182" s="27" t="s">
        <v>8</v>
      </c>
      <c r="H182" s="27" t="s">
        <v>7</v>
      </c>
      <c r="I182" s="27" t="s">
        <v>8</v>
      </c>
      <c r="J182" s="27" t="s">
        <v>7</v>
      </c>
      <c r="Q182" s="27" t="s">
        <v>8</v>
      </c>
      <c r="R182" s="27" t="s">
        <v>7</v>
      </c>
      <c r="S182" s="27" t="s">
        <v>8</v>
      </c>
      <c r="V182" s="27" t="s">
        <v>7</v>
      </c>
      <c r="W182" s="27" t="s">
        <v>8</v>
      </c>
    </row>
    <row r="183" spans="1:23" x14ac:dyDescent="0.25">
      <c r="A183" s="30">
        <v>16.135783085302233</v>
      </c>
      <c r="E183" t="s">
        <v>8</v>
      </c>
      <c r="F183" s="27" t="s">
        <v>7</v>
      </c>
      <c r="G183" s="27" t="s">
        <v>8</v>
      </c>
      <c r="H183" s="27" t="s">
        <v>7</v>
      </c>
      <c r="J183" s="27" t="s">
        <v>7</v>
      </c>
      <c r="Q183" s="27" t="s">
        <v>8</v>
      </c>
      <c r="R183" s="27" t="s">
        <v>7</v>
      </c>
      <c r="S183" s="27" t="s">
        <v>8</v>
      </c>
      <c r="V183" s="27" t="s">
        <v>7</v>
      </c>
    </row>
    <row r="184" spans="1:23" x14ac:dyDescent="0.25">
      <c r="A184" s="30">
        <v>15.367412462192602</v>
      </c>
      <c r="E184" t="s">
        <v>8</v>
      </c>
      <c r="F184" s="27" t="s">
        <v>7</v>
      </c>
      <c r="J184" s="27" t="s">
        <v>7</v>
      </c>
      <c r="Q184" s="27" t="s">
        <v>8</v>
      </c>
      <c r="R184" s="27" t="s">
        <v>7</v>
      </c>
      <c r="S184" s="27" t="s">
        <v>8</v>
      </c>
    </row>
    <row r="185" spans="1:23" x14ac:dyDescent="0.25">
      <c r="A185" s="30">
        <v>14.635630916373906</v>
      </c>
      <c r="C185"/>
      <c r="E185" t="s">
        <v>8</v>
      </c>
      <c r="J185" s="27" t="s">
        <v>7</v>
      </c>
      <c r="K185" s="27" t="s">
        <v>8</v>
      </c>
      <c r="Q185" s="27" t="s">
        <v>8</v>
      </c>
      <c r="R185" s="27" t="s">
        <v>7</v>
      </c>
    </row>
    <row r="186" spans="1:23" x14ac:dyDescent="0.25">
      <c r="A186" s="30">
        <v>13.938696110832291</v>
      </c>
      <c r="E186" t="s">
        <v>8</v>
      </c>
      <c r="J186" s="27" t="s">
        <v>7</v>
      </c>
      <c r="K186" s="27" t="s">
        <v>8</v>
      </c>
      <c r="L186" s="27" t="s">
        <v>7</v>
      </c>
      <c r="M186" s="27" t="s">
        <v>8</v>
      </c>
      <c r="Q186" s="27" t="s">
        <v>8</v>
      </c>
    </row>
    <row r="187" spans="1:23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J187" s="27" t="s">
        <v>7</v>
      </c>
      <c r="K187" s="27" t="s">
        <v>8</v>
      </c>
      <c r="L187" s="27" t="s">
        <v>7</v>
      </c>
      <c r="M187" s="27" t="s">
        <v>8</v>
      </c>
      <c r="N187" s="27" t="s">
        <v>7</v>
      </c>
      <c r="O187" s="27" t="s">
        <v>8</v>
      </c>
      <c r="Q187" s="27" t="s">
        <v>8</v>
      </c>
    </row>
    <row r="188" spans="1:23" x14ac:dyDescent="0.25">
      <c r="A188" s="30">
        <v>12.64280826379346</v>
      </c>
      <c r="E188" t="s">
        <v>8</v>
      </c>
      <c r="J188" s="27" t="s">
        <v>7</v>
      </c>
      <c r="L188" s="27" t="s">
        <v>7</v>
      </c>
      <c r="M188" s="27" t="s">
        <v>8</v>
      </c>
      <c r="N188" s="27" t="s">
        <v>7</v>
      </c>
      <c r="O188" s="27" t="s">
        <v>8</v>
      </c>
      <c r="P188" s="27" t="s">
        <v>7</v>
      </c>
      <c r="Q188" s="27" t="s">
        <v>8</v>
      </c>
    </row>
    <row r="189" spans="1:23" x14ac:dyDescent="0.25">
      <c r="A189" s="30">
        <v>12.04076977504139</v>
      </c>
      <c r="E189" t="s">
        <v>8</v>
      </c>
      <c r="L189" s="27" t="s">
        <v>7</v>
      </c>
      <c r="M189" s="27" t="s">
        <v>8</v>
      </c>
      <c r="N189" s="27" t="s">
        <v>7</v>
      </c>
      <c r="O189" s="27" t="s">
        <v>8</v>
      </c>
      <c r="P189" s="27" t="s">
        <v>7</v>
      </c>
      <c r="Q189" s="27" t="s">
        <v>8</v>
      </c>
    </row>
    <row r="190" spans="1:23" x14ac:dyDescent="0.25">
      <c r="A190" s="30">
        <v>11.467399785753704</v>
      </c>
      <c r="E190" t="s">
        <v>8</v>
      </c>
      <c r="L190" s="27" t="s">
        <v>7</v>
      </c>
      <c r="N190" s="27" t="s">
        <v>7</v>
      </c>
      <c r="P190" s="27" t="s">
        <v>7</v>
      </c>
    </row>
    <row r="191" spans="1:23" x14ac:dyDescent="0.25">
      <c r="A191" s="30">
        <v>10.921333129289241</v>
      </c>
      <c r="E191" t="s">
        <v>8</v>
      </c>
    </row>
    <row r="192" spans="1:23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67" operator="equal">
      <formula>$U$1</formula>
    </cfRule>
    <cfRule type="cellIs" dxfId="67" priority="968" operator="equal">
      <formula>$S$1</formula>
    </cfRule>
  </conditionalFormatting>
  <conditionalFormatting sqref="D136">
    <cfRule type="cellIs" dxfId="66" priority="965" operator="equal">
      <formula>$S$1</formula>
    </cfRule>
    <cfRule type="cellIs" dxfId="65" priority="966" operator="equal">
      <formula>$U$1</formula>
    </cfRule>
  </conditionalFormatting>
  <conditionalFormatting sqref="C162">
    <cfRule type="cellIs" dxfId="64" priority="963" operator="equal">
      <formula>$U$1</formula>
    </cfRule>
    <cfRule type="cellIs" dxfId="63" priority="964" operator="equal">
      <formula>$S$1</formula>
    </cfRule>
  </conditionalFormatting>
  <conditionalFormatting sqref="D162">
    <cfRule type="cellIs" dxfId="62" priority="961" operator="equal">
      <formula>$S$1</formula>
    </cfRule>
    <cfRule type="cellIs" dxfId="61" priority="962" operator="equal">
      <formula>$U$1</formula>
    </cfRule>
  </conditionalFormatting>
  <conditionalFormatting sqref="C187">
    <cfRule type="cellIs" dxfId="60" priority="959" operator="equal">
      <formula>$U$1</formula>
    </cfRule>
    <cfRule type="cellIs" dxfId="59" priority="960" operator="equal">
      <formula>$S$1</formula>
    </cfRule>
  </conditionalFormatting>
  <conditionalFormatting sqref="D187">
    <cfRule type="cellIs" dxfId="58" priority="957" operator="equal">
      <formula>$S$1</formula>
    </cfRule>
    <cfRule type="cellIs" dxfId="57" priority="958" operator="equal">
      <formula>$U$1</formula>
    </cfRule>
  </conditionalFormatting>
  <conditionalFormatting sqref="C212">
    <cfRule type="cellIs" dxfId="56" priority="955" operator="equal">
      <formula>$U$1</formula>
    </cfRule>
    <cfRule type="cellIs" dxfId="55" priority="956" operator="equal">
      <formula>$S$1</formula>
    </cfRule>
  </conditionalFormatting>
  <conditionalFormatting sqref="D212">
    <cfRule type="cellIs" dxfId="54" priority="953" operator="equal">
      <formula>$S$1</formula>
    </cfRule>
    <cfRule type="cellIs" dxfId="53" priority="954" operator="equal">
      <formula>$U$1</formula>
    </cfRule>
  </conditionalFormatting>
  <conditionalFormatting sqref="C237">
    <cfRule type="cellIs" dxfId="52" priority="951" operator="equal">
      <formula>$U$1</formula>
    </cfRule>
    <cfRule type="cellIs" dxfId="51" priority="952" operator="equal">
      <formula>$S$1</formula>
    </cfRule>
  </conditionalFormatting>
  <conditionalFormatting sqref="D237">
    <cfRule type="cellIs" dxfId="50" priority="949" operator="equal">
      <formula>$S$1</formula>
    </cfRule>
    <cfRule type="cellIs" dxfId="49" priority="950" operator="equal">
      <formula>$U$1</formula>
    </cfRule>
  </conditionalFormatting>
  <conditionalFormatting sqref="C106">
    <cfRule type="cellIs" dxfId="48" priority="947" operator="equal">
      <formula>$U$1</formula>
    </cfRule>
    <cfRule type="cellIs" dxfId="47" priority="948" operator="equal">
      <formula>$S$1</formula>
    </cfRule>
  </conditionalFormatting>
  <conditionalFormatting sqref="D106">
    <cfRule type="cellIs" dxfId="46" priority="945" operator="equal">
      <formula>$S$1</formula>
    </cfRule>
    <cfRule type="cellIs" dxfId="45" priority="946" operator="equal">
      <formula>$U$1</formula>
    </cfRule>
  </conditionalFormatting>
  <conditionalFormatting sqref="C81">
    <cfRule type="cellIs" dxfId="44" priority="943" operator="equal">
      <formula>$U$1</formula>
    </cfRule>
    <cfRule type="cellIs" dxfId="43" priority="944" operator="equal">
      <formula>$S$1</formula>
    </cfRule>
  </conditionalFormatting>
  <conditionalFormatting sqref="D81">
    <cfRule type="cellIs" dxfId="42" priority="941" operator="equal">
      <formula>$S$1</formula>
    </cfRule>
    <cfRule type="cellIs" dxfId="41" priority="942" operator="equal">
      <formula>$U$1</formula>
    </cfRule>
  </conditionalFormatting>
  <conditionalFormatting sqref="C56">
    <cfRule type="cellIs" dxfId="40" priority="939" operator="equal">
      <formula>$U$1</formula>
    </cfRule>
    <cfRule type="cellIs" dxfId="39" priority="940" operator="equal">
      <formula>$S$1</formula>
    </cfRule>
  </conditionalFormatting>
  <conditionalFormatting sqref="D56">
    <cfRule type="cellIs" dxfId="38" priority="937" operator="equal">
      <formula>$S$1</formula>
    </cfRule>
    <cfRule type="cellIs" dxfId="37" priority="938" operator="equal">
      <formula>$U$1</formula>
    </cfRule>
  </conditionalFormatting>
  <conditionalFormatting sqref="C31">
    <cfRule type="cellIs" dxfId="36" priority="935" operator="equal">
      <formula>$U$1</formula>
    </cfRule>
    <cfRule type="cellIs" dxfId="35" priority="936" operator="equal">
      <formula>$S$1</formula>
    </cfRule>
  </conditionalFormatting>
  <conditionalFormatting sqref="D31">
    <cfRule type="cellIs" dxfId="34" priority="933" operator="equal">
      <formula>$S$1</formula>
    </cfRule>
    <cfRule type="cellIs" dxfId="33" priority="93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56" zoomScale="90" zoomScaleNormal="90" workbookViewId="0">
      <pane xSplit="4" topLeftCell="G1" activePane="topRight" state="frozen"/>
      <selection activeCell="A109" sqref="A109"/>
      <selection pane="topRight" activeCell="AM76" sqref="AM7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23" x14ac:dyDescent="0.25">
      <c r="A49" s="30">
        <v>955.59381772732638</v>
      </c>
      <c r="C49" s="1">
        <f>C38</f>
        <v>0</v>
      </c>
      <c r="E49"/>
    </row>
    <row r="50" spans="1:23" x14ac:dyDescent="0.25">
      <c r="A50" s="30">
        <v>868.72165247938756</v>
      </c>
      <c r="C50"/>
      <c r="D50"/>
      <c r="E50"/>
    </row>
    <row r="51" spans="1:23" x14ac:dyDescent="0.25">
      <c r="A51" s="30">
        <v>789.74695679944318</v>
      </c>
      <c r="C51" s="1" t="s">
        <v>14</v>
      </c>
      <c r="E51"/>
    </row>
    <row r="52" spans="1:23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23" x14ac:dyDescent="0.25">
      <c r="A53" s="30">
        <v>652.68343537144051</v>
      </c>
      <c r="E53"/>
    </row>
    <row r="54" spans="1:23" x14ac:dyDescent="0.25">
      <c r="A54" s="30">
        <v>593.34857761040041</v>
      </c>
      <c r="E54"/>
    </row>
    <row r="55" spans="1:23" x14ac:dyDescent="0.25">
      <c r="A55" s="30">
        <v>539.40779782763673</v>
      </c>
      <c r="E55"/>
    </row>
    <row r="56" spans="1:23" x14ac:dyDescent="0.25">
      <c r="A56" s="30">
        <v>490.37072529785149</v>
      </c>
      <c r="E56"/>
    </row>
    <row r="57" spans="1:23" x14ac:dyDescent="0.25">
      <c r="A57" s="30">
        <v>445.79156845259223</v>
      </c>
      <c r="E57"/>
    </row>
    <row r="58" spans="1:23" x14ac:dyDescent="0.25">
      <c r="A58" s="30">
        <v>405.26506222962928</v>
      </c>
      <c r="E58"/>
    </row>
    <row r="59" spans="1:23" x14ac:dyDescent="0.25">
      <c r="A59" s="30">
        <v>368.42278384511752</v>
      </c>
      <c r="E59"/>
    </row>
    <row r="60" spans="1:23" x14ac:dyDescent="0.25">
      <c r="A60" s="30">
        <v>334.92980349556137</v>
      </c>
      <c r="E60"/>
    </row>
    <row r="61" spans="1:23" x14ac:dyDescent="0.25">
      <c r="A61" s="30">
        <v>304.48163954141938</v>
      </c>
      <c r="E61"/>
    </row>
    <row r="62" spans="1:23" x14ac:dyDescent="0.25">
      <c r="A62" s="30">
        <v>276.80149049219943</v>
      </c>
      <c r="E62"/>
    </row>
    <row r="63" spans="1:23" x14ac:dyDescent="0.25">
      <c r="A63" s="30">
        <v>251.63771862927217</v>
      </c>
      <c r="E63"/>
    </row>
    <row r="64" spans="1:23" x14ac:dyDescent="0.25">
      <c r="A64" s="30">
        <v>228.76156239024741</v>
      </c>
      <c r="E64"/>
      <c r="U64" s="34" t="s">
        <v>8</v>
      </c>
      <c r="W64" s="34" t="s">
        <v>8</v>
      </c>
    </row>
    <row r="65" spans="1:39" x14ac:dyDescent="0.25">
      <c r="A65" s="30">
        <v>207.96505671840671</v>
      </c>
      <c r="E65"/>
      <c r="U65" s="27" t="s">
        <v>8</v>
      </c>
      <c r="V65" s="27" t="s">
        <v>7</v>
      </c>
      <c r="W65" s="27" t="s">
        <v>8</v>
      </c>
      <c r="X65" s="27" t="s">
        <v>7</v>
      </c>
    </row>
    <row r="66" spans="1:39" x14ac:dyDescent="0.25">
      <c r="A66" s="30">
        <v>189.05914247127882</v>
      </c>
      <c r="E66"/>
      <c r="U66" s="27" t="s">
        <v>8</v>
      </c>
      <c r="V66" s="27" t="s">
        <v>7</v>
      </c>
      <c r="W66" s="27" t="s">
        <v>8</v>
      </c>
      <c r="X66" s="27" t="s">
        <v>7</v>
      </c>
    </row>
    <row r="67" spans="1:39" x14ac:dyDescent="0.25">
      <c r="A67" s="30">
        <v>171.87194770116255</v>
      </c>
      <c r="C67" s="1" t="s">
        <v>15</v>
      </c>
      <c r="E67"/>
      <c r="S67" s="27" t="s">
        <v>8</v>
      </c>
      <c r="U67" s="27" t="s">
        <v>8</v>
      </c>
      <c r="V67" s="27" t="s">
        <v>7</v>
      </c>
      <c r="X67" s="27" t="s">
        <v>7</v>
      </c>
      <c r="AA67" s="27" t="s">
        <v>8</v>
      </c>
      <c r="AE67" s="27" t="s">
        <v>8</v>
      </c>
    </row>
    <row r="68" spans="1:39" x14ac:dyDescent="0.25">
      <c r="A68" s="30">
        <v>156.24722518287504</v>
      </c>
      <c r="C68" s="7">
        <v>0.11167815779424731</v>
      </c>
      <c r="D68"/>
      <c r="E68"/>
      <c r="S68" s="27" t="s">
        <v>8</v>
      </c>
      <c r="T68" s="27" t="s">
        <v>7</v>
      </c>
      <c r="U68" s="27" t="s">
        <v>8</v>
      </c>
      <c r="X68" s="32" t="s">
        <v>7</v>
      </c>
      <c r="AA68" s="33" t="s">
        <v>8</v>
      </c>
      <c r="AB68" s="27" t="s">
        <v>7</v>
      </c>
      <c r="AE68" s="27" t="s">
        <v>8</v>
      </c>
      <c r="AF68" s="27" t="s">
        <v>7</v>
      </c>
    </row>
    <row r="69" spans="1:39" x14ac:dyDescent="0.25">
      <c r="A69" s="30">
        <v>142.04293198443185</v>
      </c>
      <c r="E69"/>
      <c r="S69" s="27" t="s">
        <v>8</v>
      </c>
      <c r="T69" s="27" t="s">
        <v>7</v>
      </c>
      <c r="U69" s="27" t="s">
        <v>8</v>
      </c>
      <c r="X69" s="27" t="s">
        <v>7</v>
      </c>
      <c r="Y69" s="27" t="s">
        <v>8</v>
      </c>
      <c r="AA69" s="27" t="s">
        <v>8</v>
      </c>
      <c r="AB69" s="27" t="s">
        <v>7</v>
      </c>
      <c r="AC69" s="27" t="s">
        <v>8</v>
      </c>
      <c r="AE69" s="27" t="s">
        <v>8</v>
      </c>
      <c r="AF69" s="27" t="s">
        <v>7</v>
      </c>
    </row>
    <row r="70" spans="1:39" x14ac:dyDescent="0.25">
      <c r="A70" s="30">
        <v>129.1299381676653</v>
      </c>
      <c r="C70" s="1" t="s">
        <v>11</v>
      </c>
      <c r="D70" s="1" t="s">
        <v>12</v>
      </c>
      <c r="E70"/>
      <c r="S70" s="27" t="s">
        <v>8</v>
      </c>
      <c r="T70" s="27" t="s">
        <v>7</v>
      </c>
      <c r="U70" s="27" t="s">
        <v>8</v>
      </c>
      <c r="X70" s="27" t="s">
        <v>7</v>
      </c>
      <c r="Y70" s="27" t="s">
        <v>8</v>
      </c>
      <c r="Z70" s="27" t="s">
        <v>7</v>
      </c>
      <c r="AA70" s="27" t="s">
        <v>8</v>
      </c>
      <c r="AB70" s="27" t="s">
        <v>7</v>
      </c>
      <c r="AC70" s="27" t="s">
        <v>8</v>
      </c>
      <c r="AD70" s="27" t="s">
        <v>7</v>
      </c>
      <c r="AE70" s="27" t="s">
        <v>8</v>
      </c>
      <c r="AF70" s="27" t="s">
        <v>7</v>
      </c>
      <c r="AG70" s="27" t="s">
        <v>8</v>
      </c>
    </row>
    <row r="71" spans="1:39" x14ac:dyDescent="0.25">
      <c r="A71" s="30">
        <v>117.39085287969573</v>
      </c>
      <c r="C71"/>
      <c r="D71"/>
      <c r="E71"/>
      <c r="S71" s="27" t="s">
        <v>8</v>
      </c>
      <c r="T71" s="27" t="s">
        <v>7</v>
      </c>
      <c r="X71" s="27" t="s">
        <v>7</v>
      </c>
      <c r="Y71" s="27" t="s">
        <v>8</v>
      </c>
      <c r="Z71" s="27" t="s">
        <v>7</v>
      </c>
      <c r="AA71" s="27" t="s">
        <v>8</v>
      </c>
      <c r="AB71" s="27" t="s">
        <v>7</v>
      </c>
      <c r="AC71" s="27" t="s">
        <v>8</v>
      </c>
      <c r="AD71" s="27" t="s">
        <v>7</v>
      </c>
      <c r="AE71" s="27" t="s">
        <v>8</v>
      </c>
      <c r="AF71" s="31" t="s">
        <v>7</v>
      </c>
      <c r="AG71" s="27" t="s">
        <v>8</v>
      </c>
      <c r="AH71" s="27" t="s">
        <v>7</v>
      </c>
    </row>
    <row r="72" spans="1:39" x14ac:dyDescent="0.25">
      <c r="A72" s="30">
        <v>106.71895716335975</v>
      </c>
      <c r="E72"/>
      <c r="S72" s="27" t="s">
        <v>8</v>
      </c>
      <c r="X72" s="27" t="s">
        <v>7</v>
      </c>
      <c r="Z72" s="27" t="s">
        <v>7</v>
      </c>
      <c r="AA72" s="27" t="s">
        <v>8</v>
      </c>
      <c r="AB72" s="27" t="s">
        <v>7</v>
      </c>
      <c r="AC72" s="27" t="s">
        <v>8</v>
      </c>
      <c r="AD72" s="18" t="s">
        <v>7</v>
      </c>
      <c r="AE72" s="31" t="s">
        <v>8</v>
      </c>
      <c r="AF72" s="27" t="s">
        <v>7</v>
      </c>
      <c r="AG72" s="27" t="s">
        <v>8</v>
      </c>
      <c r="AH72" s="27" t="s">
        <v>7</v>
      </c>
      <c r="AI72" s="27" t="s">
        <v>8</v>
      </c>
    </row>
    <row r="73" spans="1:39" x14ac:dyDescent="0.25">
      <c r="A73" s="30">
        <v>97.017233784872488</v>
      </c>
      <c r="C73" s="1" t="s">
        <v>13</v>
      </c>
      <c r="E73"/>
      <c r="S73" s="27" t="s">
        <v>8</v>
      </c>
      <c r="Z73" s="27" t="s">
        <v>7</v>
      </c>
      <c r="AA73" s="27" t="s">
        <v>8</v>
      </c>
      <c r="AB73" s="27" t="s">
        <v>7</v>
      </c>
      <c r="AC73" s="27" t="s">
        <v>8</v>
      </c>
      <c r="AD73" s="31" t="s">
        <v>7</v>
      </c>
      <c r="AF73" s="27" t="s">
        <v>7</v>
      </c>
      <c r="AH73" s="27" t="s">
        <v>7</v>
      </c>
      <c r="AI73" s="27" t="s">
        <v>8</v>
      </c>
      <c r="AJ73" s="27" t="s">
        <v>7</v>
      </c>
    </row>
    <row r="74" spans="1:39" x14ac:dyDescent="0.25">
      <c r="A74" s="30">
        <v>88.197485258974979</v>
      </c>
      <c r="C74" s="1">
        <f>C63</f>
        <v>0</v>
      </c>
      <c r="E74"/>
      <c r="S74" s="27" t="s">
        <v>8</v>
      </c>
      <c r="Z74" s="34" t="s">
        <v>7</v>
      </c>
      <c r="AB74" s="34" t="s">
        <v>7</v>
      </c>
      <c r="AC74" s="31"/>
      <c r="AH74" s="27" t="s">
        <v>7</v>
      </c>
      <c r="AI74" s="27" t="s">
        <v>8</v>
      </c>
      <c r="AJ74" s="27" t="s">
        <v>7</v>
      </c>
      <c r="AK74" s="27" t="s">
        <v>8</v>
      </c>
    </row>
    <row r="75" spans="1:39" x14ac:dyDescent="0.25">
      <c r="A75" s="30">
        <v>80.179532053613613</v>
      </c>
      <c r="C75"/>
      <c r="D75"/>
      <c r="E75"/>
      <c r="S75" s="27" t="s">
        <v>8</v>
      </c>
      <c r="AB75" s="31"/>
      <c r="AH75" s="27" t="s">
        <v>7</v>
      </c>
      <c r="AI75" s="27" t="s">
        <v>8</v>
      </c>
      <c r="AJ75" s="27" t="s">
        <v>7</v>
      </c>
      <c r="AK75" s="27" t="s">
        <v>8</v>
      </c>
      <c r="AL75" s="27" t="s">
        <v>7</v>
      </c>
    </row>
    <row r="76" spans="1:39" x14ac:dyDescent="0.25">
      <c r="A76" s="30">
        <v>72.890483685103277</v>
      </c>
      <c r="C76" s="1" t="s">
        <v>14</v>
      </c>
      <c r="E76"/>
      <c r="S76" s="27" t="s">
        <v>8</v>
      </c>
      <c r="AA76" s="31"/>
      <c r="AH76" s="27" t="s">
        <v>7</v>
      </c>
      <c r="AI76" s="27" t="s">
        <v>8</v>
      </c>
      <c r="AJ76" s="27" t="s">
        <v>7</v>
      </c>
      <c r="AK76" s="27" t="s">
        <v>8</v>
      </c>
      <c r="AL76" s="27" t="s">
        <v>7</v>
      </c>
      <c r="AM76" s="27" t="s">
        <v>8</v>
      </c>
    </row>
    <row r="77" spans="1:39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Q77" s="27" t="s">
        <v>8</v>
      </c>
      <c r="S77" s="27" t="s">
        <v>8</v>
      </c>
      <c r="Z77" s="31"/>
      <c r="AH77" s="27" t="s">
        <v>7</v>
      </c>
      <c r="AI77" s="27" t="s">
        <v>8</v>
      </c>
      <c r="AJ77" s="27" t="s">
        <v>7</v>
      </c>
      <c r="AK77" s="27" t="s">
        <v>8</v>
      </c>
      <c r="AL77" s="27" t="s">
        <v>7</v>
      </c>
      <c r="AM77" s="27" t="s">
        <v>8</v>
      </c>
    </row>
    <row r="78" spans="1:39" x14ac:dyDescent="0.25">
      <c r="A78" s="30">
        <v>60.240069161242367</v>
      </c>
      <c r="E78"/>
      <c r="Q78" s="27" t="s">
        <v>8</v>
      </c>
      <c r="R78" s="27" t="s">
        <v>7</v>
      </c>
      <c r="S78" s="27" t="s">
        <v>8</v>
      </c>
      <c r="Y78" s="31"/>
      <c r="AH78" s="27" t="s">
        <v>7</v>
      </c>
      <c r="AJ78" s="27" t="s">
        <v>7</v>
      </c>
      <c r="AK78" s="27" t="s">
        <v>8</v>
      </c>
      <c r="AL78" s="27" t="s">
        <v>7</v>
      </c>
      <c r="AM78" s="27" t="s">
        <v>8</v>
      </c>
    </row>
    <row r="79" spans="1:39" x14ac:dyDescent="0.25">
      <c r="A79" s="30">
        <v>54.763699237493057</v>
      </c>
      <c r="E79"/>
      <c r="Q79" s="27" t="s">
        <v>8</v>
      </c>
      <c r="R79" s="27" t="s">
        <v>7</v>
      </c>
      <c r="S79" s="27" t="s">
        <v>8</v>
      </c>
      <c r="X79" s="31"/>
      <c r="AJ79" s="27" t="s">
        <v>7</v>
      </c>
      <c r="AL79" s="27" t="s">
        <v>7</v>
      </c>
    </row>
    <row r="80" spans="1:39" x14ac:dyDescent="0.25">
      <c r="A80" s="30">
        <v>49.785181124993684</v>
      </c>
      <c r="E80"/>
      <c r="Q80" s="27" t="s">
        <v>8</v>
      </c>
      <c r="R80" s="27" t="s">
        <v>7</v>
      </c>
      <c r="S80" s="27" t="s">
        <v>8</v>
      </c>
      <c r="W80" s="31"/>
    </row>
    <row r="81" spans="1:22" x14ac:dyDescent="0.25">
      <c r="A81" s="30">
        <v>45.259255568176073</v>
      </c>
      <c r="E81"/>
      <c r="Q81" s="27" t="s">
        <v>8</v>
      </c>
      <c r="R81" s="27" t="s">
        <v>7</v>
      </c>
      <c r="V81" s="31"/>
    </row>
    <row r="82" spans="1:22" x14ac:dyDescent="0.25">
      <c r="A82" s="30">
        <v>41.144777789250973</v>
      </c>
      <c r="E82"/>
      <c r="K82" s="27" t="s">
        <v>8</v>
      </c>
      <c r="O82" s="27" t="s">
        <v>8</v>
      </c>
      <c r="Q82" s="27" t="s">
        <v>8</v>
      </c>
      <c r="U82" s="31"/>
    </row>
    <row r="83" spans="1:22" x14ac:dyDescent="0.25">
      <c r="A83" s="30">
        <v>37.404343444773609</v>
      </c>
      <c r="E83"/>
      <c r="K83" s="27" t="s">
        <v>8</v>
      </c>
      <c r="L83" s="27" t="s">
        <v>7</v>
      </c>
      <c r="O83" s="27" t="s">
        <v>8</v>
      </c>
      <c r="P83" s="27" t="s">
        <v>7</v>
      </c>
      <c r="Q83" s="27" t="s">
        <v>8</v>
      </c>
      <c r="T83" s="31"/>
    </row>
    <row r="84" spans="1:22" x14ac:dyDescent="0.25">
      <c r="A84" s="30">
        <v>34.003948586157826</v>
      </c>
      <c r="E84"/>
      <c r="K84" s="27" t="s">
        <v>8</v>
      </c>
      <c r="L84" s="27" t="s">
        <v>7</v>
      </c>
      <c r="M84" s="27" t="s">
        <v>8</v>
      </c>
      <c r="O84" s="27" t="s">
        <v>8</v>
      </c>
      <c r="P84" s="27" t="s">
        <v>7</v>
      </c>
      <c r="Q84" s="27" t="s">
        <v>8</v>
      </c>
      <c r="S84" s="31"/>
    </row>
    <row r="85" spans="1:22" x14ac:dyDescent="0.25">
      <c r="A85" s="30">
        <v>30.912680532870748</v>
      </c>
      <c r="E85"/>
      <c r="K85" s="27" t="s">
        <v>8</v>
      </c>
      <c r="L85" s="27" t="s">
        <v>7</v>
      </c>
      <c r="M85" s="27" t="s">
        <v>8</v>
      </c>
      <c r="N85" s="27" t="s">
        <v>7</v>
      </c>
      <c r="O85" s="27" t="s">
        <v>8</v>
      </c>
      <c r="P85" s="27" t="s">
        <v>7</v>
      </c>
      <c r="R85" s="31"/>
    </row>
    <row r="86" spans="1:22" x14ac:dyDescent="0.25">
      <c r="A86" s="30">
        <v>28.102436848064315</v>
      </c>
      <c r="E86"/>
      <c r="K86" s="27" t="s">
        <v>8</v>
      </c>
      <c r="L86" s="27" t="s">
        <v>7</v>
      </c>
      <c r="M86" s="27" t="s">
        <v>8</v>
      </c>
      <c r="N86" s="27" t="s">
        <v>7</v>
      </c>
      <c r="O86" s="27" t="s">
        <v>8</v>
      </c>
      <c r="Q86" s="31"/>
    </row>
    <row r="87" spans="1:22" x14ac:dyDescent="0.25">
      <c r="A87" s="30">
        <v>25.547669861876649</v>
      </c>
      <c r="E87"/>
      <c r="K87" s="27" t="s">
        <v>8</v>
      </c>
      <c r="L87" s="34" t="s">
        <v>7</v>
      </c>
      <c r="N87" s="34" t="s">
        <v>7</v>
      </c>
      <c r="P87" s="31"/>
    </row>
    <row r="88" spans="1:22" x14ac:dyDescent="0.25">
      <c r="A88" s="30">
        <v>23.225154419887861</v>
      </c>
      <c r="E88" t="s">
        <v>8</v>
      </c>
      <c r="G88" s="34" t="s">
        <v>8</v>
      </c>
      <c r="I88" s="34" t="s">
        <v>8</v>
      </c>
      <c r="K88" s="27" t="s">
        <v>8</v>
      </c>
      <c r="O88" s="31"/>
    </row>
    <row r="89" spans="1:22" x14ac:dyDescent="0.25">
      <c r="A89" s="30">
        <v>21.113776745352599</v>
      </c>
      <c r="E89" t="s">
        <v>8</v>
      </c>
      <c r="F89" s="27" t="s">
        <v>7</v>
      </c>
      <c r="G89" s="27" t="s">
        <v>8</v>
      </c>
      <c r="H89" s="27" t="s">
        <v>7</v>
      </c>
      <c r="I89" s="27" t="s">
        <v>8</v>
      </c>
      <c r="J89" s="27" t="s">
        <v>7</v>
      </c>
      <c r="K89" s="27" t="s">
        <v>8</v>
      </c>
      <c r="N89" s="31"/>
    </row>
    <row r="90" spans="1:22" x14ac:dyDescent="0.25">
      <c r="A90" s="30">
        <v>19.194342495775089</v>
      </c>
      <c r="E90" t="s">
        <v>8</v>
      </c>
      <c r="F90" s="27" t="s">
        <v>7</v>
      </c>
      <c r="G90" s="27" t="s">
        <v>8</v>
      </c>
      <c r="H90" s="27" t="s">
        <v>7</v>
      </c>
      <c r="I90" s="27" t="s">
        <v>8</v>
      </c>
      <c r="J90" s="27" t="s">
        <v>7</v>
      </c>
      <c r="K90" s="27" t="s">
        <v>8</v>
      </c>
      <c r="M90" s="31"/>
    </row>
    <row r="91" spans="1:22" x14ac:dyDescent="0.25">
      <c r="A91" s="30">
        <v>17.449402268886445</v>
      </c>
      <c r="E91" t="s">
        <v>8</v>
      </c>
      <c r="F91" s="27" t="s">
        <v>7</v>
      </c>
      <c r="G91" s="27" t="s">
        <v>8</v>
      </c>
      <c r="H91" s="27" t="s">
        <v>7</v>
      </c>
      <c r="I91" s="27" t="s">
        <v>8</v>
      </c>
      <c r="J91" s="27" t="s">
        <v>7</v>
      </c>
      <c r="L91" s="31"/>
    </row>
    <row r="92" spans="1:22" x14ac:dyDescent="0.25">
      <c r="A92" s="30">
        <v>15.863092971714948</v>
      </c>
      <c r="C92" s="1" t="s">
        <v>15</v>
      </c>
      <c r="E92" t="s">
        <v>8</v>
      </c>
      <c r="F92" s="27" t="s">
        <v>7</v>
      </c>
      <c r="H92" s="27" t="s">
        <v>7</v>
      </c>
      <c r="I92" s="27" t="s">
        <v>8</v>
      </c>
      <c r="K92" s="31"/>
    </row>
    <row r="93" spans="1:22" x14ac:dyDescent="0.25">
      <c r="A93" s="30">
        <v>14.420993610649951</v>
      </c>
      <c r="C93" s="7">
        <v>0.11167815779424731</v>
      </c>
      <c r="D93"/>
      <c r="E93" t="s">
        <v>8</v>
      </c>
      <c r="H93" s="27" t="s">
        <v>7</v>
      </c>
      <c r="I93" s="27" t="s">
        <v>8</v>
      </c>
      <c r="J93" s="31"/>
    </row>
    <row r="94" spans="1:22" x14ac:dyDescent="0.25">
      <c r="A94" s="30">
        <v>13.109994191499954</v>
      </c>
      <c r="E94" t="s">
        <v>8</v>
      </c>
      <c r="H94" s="27" t="s">
        <v>7</v>
      </c>
      <c r="I94" s="31" t="s">
        <v>8</v>
      </c>
    </row>
    <row r="95" spans="1:22" x14ac:dyDescent="0.25">
      <c r="A95" s="30">
        <v>11.918176537727231</v>
      </c>
      <c r="C95" s="1" t="s">
        <v>11</v>
      </c>
      <c r="D95" s="1" t="s">
        <v>12</v>
      </c>
      <c r="E95" t="s">
        <v>8</v>
      </c>
      <c r="H95" s="31" t="s">
        <v>7</v>
      </c>
    </row>
    <row r="96" spans="1:22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$A$75</v>
      </c>
      <c r="D111" s="1" t="str">
        <f>ADDRESS(C121-1,D121,1,1)</f>
        <v>$AM$75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$A$76</v>
      </c>
      <c r="D112" s="1" t="str">
        <f>ADDRESS(C121,D121-1,1,1)</f>
        <v>$AL$76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$A$77</v>
      </c>
      <c r="D113" s="1" t="str">
        <f>ADDRESS(C121-1,D121+1,1,1)</f>
        <v>$AN$75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$AM$76</v>
      </c>
      <c r="D114" s="1" t="str">
        <f>ADDRESS(C121+1,D121+1,1,1)</f>
        <v>$AN$77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$AM$77</v>
      </c>
      <c r="E115" s="1" t="s">
        <v>8</v>
      </c>
    </row>
    <row r="116" spans="1:5" x14ac:dyDescent="0.25">
      <c r="A116" s="30">
        <v>1.6105100000000008</v>
      </c>
      <c r="C116" s="1">
        <f>C117-1</f>
        <v>75</v>
      </c>
      <c r="E116" s="1" t="s">
        <v>8</v>
      </c>
    </row>
    <row r="117" spans="1:5" x14ac:dyDescent="0.25">
      <c r="A117" s="30">
        <v>1.4641000000000006</v>
      </c>
      <c r="C117" s="1">
        <f>C121</f>
        <v>76</v>
      </c>
      <c r="D117" s="1">
        <f>D121</f>
        <v>39</v>
      </c>
      <c r="E117" s="1" t="s">
        <v>8</v>
      </c>
    </row>
    <row r="118" spans="1:5" x14ac:dyDescent="0.25">
      <c r="A118" s="30">
        <v>1.3310000000000004</v>
      </c>
      <c r="C118" s="1">
        <f>C117+1</f>
        <v>77</v>
      </c>
      <c r="D118" s="1">
        <f>D117+1</f>
        <v>40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76</v>
      </c>
      <c r="D121" s="19">
        <v>39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X</v>
      </c>
    </row>
    <row r="123" spans="1:5" x14ac:dyDescent="0.25">
      <c r="A123" s="30">
        <v>0.82644628099173523</v>
      </c>
      <c r="C123" s="1" t="str">
        <f>"R"&amp;C121</f>
        <v>R76</v>
      </c>
      <c r="D123" s="1" t="str">
        <f>"C"&amp;D121</f>
        <v>C39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72.890483685103277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51" operator="equal">
      <formula>$U$1</formula>
    </cfRule>
    <cfRule type="cellIs" dxfId="30" priority="952" operator="equal">
      <formula>$S$1</formula>
    </cfRule>
  </conditionalFormatting>
  <conditionalFormatting sqref="D136">
    <cfRule type="cellIs" dxfId="29" priority="949" operator="equal">
      <formula>$S$1</formula>
    </cfRule>
    <cfRule type="cellIs" dxfId="28" priority="950" operator="equal">
      <formula>$U$1</formula>
    </cfRule>
  </conditionalFormatting>
  <conditionalFormatting sqref="C102">
    <cfRule type="cellIs" dxfId="27" priority="947" operator="equal">
      <formula>$U$1</formula>
    </cfRule>
    <cfRule type="cellIs" dxfId="26" priority="948" operator="equal">
      <formula>$S$1</formula>
    </cfRule>
  </conditionalFormatting>
  <conditionalFormatting sqref="D102">
    <cfRule type="cellIs" dxfId="25" priority="945" operator="equal">
      <formula>$S$1</formula>
    </cfRule>
    <cfRule type="cellIs" dxfId="24" priority="946" operator="equal">
      <formula>$U$1</formula>
    </cfRule>
  </conditionalFormatting>
  <conditionalFormatting sqref="C77">
    <cfRule type="cellIs" dxfId="23" priority="943" operator="equal">
      <formula>$U$1</formula>
    </cfRule>
    <cfRule type="cellIs" dxfId="22" priority="944" operator="equal">
      <formula>$S$1</formula>
    </cfRule>
  </conditionalFormatting>
  <conditionalFormatting sqref="D77">
    <cfRule type="cellIs" dxfId="21" priority="941" operator="equal">
      <formula>$S$1</formula>
    </cfRule>
    <cfRule type="cellIs" dxfId="20" priority="942" operator="equal">
      <formula>$U$1</formula>
    </cfRule>
  </conditionalFormatting>
  <conditionalFormatting sqref="C52">
    <cfRule type="cellIs" dxfId="19" priority="939" operator="equal">
      <formula>$U$1</formula>
    </cfRule>
    <cfRule type="cellIs" dxfId="18" priority="940" operator="equal">
      <formula>$S$1</formula>
    </cfRule>
  </conditionalFormatting>
  <conditionalFormatting sqref="D52">
    <cfRule type="cellIs" dxfId="17" priority="937" operator="equal">
      <formula>$S$1</formula>
    </cfRule>
    <cfRule type="cellIs" dxfId="16" priority="938" operator="equal">
      <formula>$U$1</formula>
    </cfRule>
  </conditionalFormatting>
  <conditionalFormatting sqref="C26">
    <cfRule type="cellIs" dxfId="15" priority="935" operator="equal">
      <formula>$U$1</formula>
    </cfRule>
    <cfRule type="cellIs" dxfId="14" priority="936" operator="equal">
      <formula>$S$1</formula>
    </cfRule>
  </conditionalFormatting>
  <conditionalFormatting sqref="D26">
    <cfRule type="cellIs" dxfId="13" priority="933" operator="equal">
      <formula>$S$1</formula>
    </cfRule>
    <cfRule type="cellIs" dxfId="12" priority="93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2022-01-28T01:15:36Z</dcterms:modified>
</cp:coreProperties>
</file>