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AD643C10-84D6-4CFE-95FD-4861F99C1EE5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16" i="4"/>
  <c r="C122" i="4"/>
  <c r="C133" i="4" s="1"/>
  <c r="C136" i="4" s="1"/>
  <c r="R765" i="1"/>
  <c r="S766" i="1"/>
  <c r="T766" i="1" s="1"/>
  <c r="C118" i="3"/>
  <c r="C122" i="3"/>
  <c r="C133" i="3" s="1"/>
  <c r="C136" i="3" s="1"/>
  <c r="C136" i="5" l="1"/>
  <c r="C138" i="5" s="1"/>
  <c r="D136" i="4"/>
  <c r="C138" i="4" s="1"/>
  <c r="R764" i="1"/>
  <c r="S765" i="1"/>
  <c r="T765" i="1" s="1"/>
  <c r="D136" i="3"/>
  <c r="C138" i="3" s="1"/>
  <c r="S764" i="1" l="1"/>
  <c r="T764" i="1" s="1"/>
  <c r="R763" i="1"/>
  <c r="S763" i="1" l="1"/>
  <c r="T763" i="1" s="1"/>
  <c r="R762" i="1"/>
  <c r="R761" i="1" l="1"/>
  <c r="S762" i="1"/>
  <c r="T762" i="1" s="1"/>
  <c r="R760" i="1" l="1"/>
  <c r="S761" i="1"/>
  <c r="T761" i="1" s="1"/>
  <c r="S760" i="1" l="1"/>
  <c r="T760" i="1" s="1"/>
  <c r="R759" i="1"/>
  <c r="R758" i="1" l="1"/>
  <c r="S759" i="1"/>
  <c r="T759" i="1" s="1"/>
  <c r="R757" i="1" l="1"/>
  <c r="S758" i="1"/>
  <c r="T758" i="1" s="1"/>
  <c r="S757" i="1" l="1"/>
  <c r="T757" i="1" s="1"/>
  <c r="R756" i="1"/>
  <c r="R755" i="1" l="1"/>
  <c r="S756" i="1"/>
  <c r="T756" i="1" s="1"/>
  <c r="R754" i="1" l="1"/>
  <c r="S755" i="1"/>
  <c r="T755" i="1" s="1"/>
  <c r="S754" i="1" l="1"/>
  <c r="T754" i="1" s="1"/>
  <c r="R753" i="1"/>
  <c r="S753" i="1" l="1"/>
  <c r="T753" i="1" s="1"/>
  <c r="R752" i="1"/>
  <c r="R751" i="1" l="1"/>
  <c r="S752" i="1"/>
  <c r="T752" i="1" s="1"/>
  <c r="R750" i="1" l="1"/>
  <c r="S751" i="1"/>
  <c r="T751" i="1" s="1"/>
  <c r="S750" i="1" l="1"/>
  <c r="T750" i="1" s="1"/>
  <c r="R749" i="1"/>
  <c r="S749" i="1" l="1"/>
  <c r="T749" i="1" s="1"/>
  <c r="R748" i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S744" i="1" l="1"/>
  <c r="T744" i="1" s="1"/>
  <c r="R743" i="1"/>
  <c r="S743" i="1" l="1"/>
  <c r="T743" i="1" s="1"/>
  <c r="R742" i="1"/>
  <c r="R741" i="1" l="1"/>
  <c r="S742" i="1"/>
  <c r="T742" i="1" s="1"/>
  <c r="R740" i="1" l="1"/>
  <c r="S741" i="1"/>
  <c r="T741" i="1" s="1"/>
  <c r="S740" i="1" l="1"/>
  <c r="T740" i="1" s="1"/>
  <c r="R739" i="1"/>
  <c r="S739" i="1" l="1"/>
  <c r="T739" i="1" s="1"/>
  <c r="R738" i="1"/>
  <c r="R737" i="1" l="1"/>
  <c r="S738" i="1"/>
  <c r="T738" i="1" s="1"/>
  <c r="R736" i="1" l="1"/>
  <c r="S737" i="1"/>
  <c r="T737" i="1" s="1"/>
  <c r="S736" i="1" l="1"/>
  <c r="T736" i="1" s="1"/>
  <c r="R735" i="1"/>
  <c r="R734" i="1" l="1"/>
  <c r="S735" i="1"/>
  <c r="T735" i="1" s="1"/>
  <c r="R733" i="1" l="1"/>
  <c r="S734" i="1"/>
  <c r="T734" i="1" s="1"/>
  <c r="S733" i="1" l="1"/>
  <c r="T733" i="1" s="1"/>
  <c r="R732" i="1"/>
  <c r="S732" i="1" l="1"/>
  <c r="T732" i="1" s="1"/>
  <c r="R731" i="1"/>
  <c r="R730" i="1" l="1"/>
  <c r="S731" i="1"/>
  <c r="T731" i="1" s="1"/>
  <c r="R729" i="1" l="1"/>
  <c r="S730" i="1"/>
  <c r="T730" i="1" s="1"/>
  <c r="S729" i="1" l="1"/>
  <c r="T729" i="1" s="1"/>
  <c r="R728" i="1"/>
  <c r="R727" i="1" l="1"/>
  <c r="S728" i="1"/>
  <c r="T728" i="1" s="1"/>
  <c r="R726" i="1" l="1"/>
  <c r="S727" i="1"/>
  <c r="T727" i="1" s="1"/>
  <c r="S726" i="1" l="1"/>
  <c r="T726" i="1" s="1"/>
  <c r="R725" i="1"/>
  <c r="S725" i="1" l="1"/>
  <c r="T725" i="1" s="1"/>
  <c r="R724" i="1"/>
  <c r="R723" i="1" l="1"/>
  <c r="S724" i="1"/>
  <c r="T724" i="1" s="1"/>
  <c r="S723" i="1" l="1"/>
  <c r="T723" i="1" s="1"/>
  <c r="R722" i="1"/>
  <c r="S722" i="1" l="1"/>
  <c r="T722" i="1" s="1"/>
  <c r="R721" i="1"/>
  <c r="R720" i="1" l="1"/>
  <c r="S721" i="1"/>
  <c r="T721" i="1" s="1"/>
  <c r="S720" i="1" l="1"/>
  <c r="T720" i="1" s="1"/>
  <c r="R719" i="1"/>
  <c r="S719" i="1" l="1"/>
  <c r="T719" i="1" s="1"/>
  <c r="R718" i="1"/>
  <c r="R717" i="1" l="1"/>
  <c r="S718" i="1"/>
  <c r="T718" i="1" s="1"/>
  <c r="S717" i="1" l="1"/>
  <c r="T717" i="1" s="1"/>
  <c r="R716" i="1"/>
  <c r="S716" i="1" l="1"/>
  <c r="T716" i="1" s="1"/>
  <c r="R715" i="1"/>
  <c r="S715" i="1" l="1"/>
  <c r="T715" i="1" s="1"/>
  <c r="R714" i="1"/>
  <c r="S714" i="1" l="1"/>
  <c r="T714" i="1" s="1"/>
  <c r="R713" i="1"/>
  <c r="R712" i="1" l="1"/>
  <c r="S713" i="1"/>
  <c r="T713" i="1" s="1"/>
  <c r="R711" i="1" l="1"/>
  <c r="S712" i="1"/>
  <c r="T712" i="1" s="1"/>
  <c r="S711" i="1" l="1"/>
  <c r="T711" i="1" s="1"/>
  <c r="R710" i="1"/>
  <c r="R709" i="1" l="1"/>
  <c r="S710" i="1"/>
  <c r="T710" i="1" s="1"/>
  <c r="R708" i="1" l="1"/>
  <c r="S709" i="1"/>
  <c r="T709" i="1" s="1"/>
  <c r="S708" i="1" l="1"/>
  <c r="T708" i="1" s="1"/>
  <c r="R707" i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S702" i="1" l="1"/>
  <c r="T702" i="1" s="1"/>
  <c r="R701" i="1"/>
  <c r="S701" i="1" l="1"/>
  <c r="T701" i="1" s="1"/>
  <c r="R700" i="1"/>
  <c r="R699" i="1" l="1"/>
  <c r="S700" i="1"/>
  <c r="T700" i="1" s="1"/>
  <c r="R698" i="1" l="1"/>
  <c r="S699" i="1"/>
  <c r="T699" i="1" s="1"/>
  <c r="R697" i="1" l="1"/>
  <c r="S698" i="1"/>
  <c r="T698" i="1" s="1"/>
  <c r="S697" i="1" l="1"/>
  <c r="T697" i="1" s="1"/>
  <c r="R696" i="1"/>
  <c r="S696" i="1" l="1"/>
  <c r="T696" i="1" s="1"/>
  <c r="R695" i="1"/>
  <c r="S695" i="1" l="1"/>
  <c r="T695" i="1" s="1"/>
  <c r="R694" i="1"/>
  <c r="R693" i="1" l="1"/>
  <c r="S694" i="1"/>
  <c r="T694" i="1" s="1"/>
  <c r="R692" i="1" l="1"/>
  <c r="S693" i="1"/>
  <c r="T693" i="1" s="1"/>
  <c r="S692" i="1" l="1"/>
  <c r="T692" i="1" s="1"/>
  <c r="R691" i="1"/>
  <c r="S691" i="1" l="1"/>
  <c r="T691" i="1" s="1"/>
  <c r="R690" i="1"/>
  <c r="R689" i="1" l="1"/>
  <c r="S690" i="1"/>
  <c r="T690" i="1" s="1"/>
  <c r="R688" i="1" l="1"/>
  <c r="S689" i="1"/>
  <c r="T689" i="1" s="1"/>
  <c r="S688" i="1" l="1"/>
  <c r="T688" i="1" s="1"/>
  <c r="R687" i="1"/>
  <c r="S687" i="1" l="1"/>
  <c r="T687" i="1" s="1"/>
  <c r="R686" i="1"/>
  <c r="R685" i="1" l="1"/>
  <c r="S686" i="1"/>
  <c r="T686" i="1" s="1"/>
  <c r="R684" i="1" l="1"/>
  <c r="S685" i="1"/>
  <c r="T685" i="1" s="1"/>
  <c r="S684" i="1" l="1"/>
  <c r="T684" i="1" s="1"/>
  <c r="R683" i="1"/>
  <c r="S683" i="1" l="1"/>
  <c r="T683" i="1" s="1"/>
  <c r="R682" i="1"/>
  <c r="S682" i="1" l="1"/>
  <c r="T682" i="1" s="1"/>
  <c r="R681" i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S666" i="1" l="1"/>
  <c r="T666" i="1" s="1"/>
  <c r="R665" i="1"/>
  <c r="R664" i="1" l="1"/>
  <c r="S665" i="1"/>
  <c r="T665" i="1" s="1"/>
  <c r="R663" i="1" l="1"/>
  <c r="S664" i="1"/>
  <c r="T664" i="1" s="1"/>
  <c r="S663" i="1" l="1"/>
  <c r="T663" i="1" s="1"/>
  <c r="R662" i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S653" i="1" l="1"/>
  <c r="T653" i="1" s="1"/>
  <c r="R652" i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S647" i="1" l="1"/>
  <c r="T647" i="1" s="1"/>
  <c r="R646" i="1"/>
  <c r="S646" i="1" l="1"/>
  <c r="T646" i="1" s="1"/>
  <c r="R645" i="1"/>
  <c r="R644" i="1" l="1"/>
  <c r="S645" i="1"/>
  <c r="T645" i="1" s="1"/>
  <c r="R643" i="1" l="1"/>
  <c r="S644" i="1"/>
  <c r="T644" i="1" s="1"/>
  <c r="S643" i="1" l="1"/>
  <c r="T643" i="1" s="1"/>
  <c r="R642" i="1"/>
  <c r="S642" i="1" l="1"/>
  <c r="T642" i="1" s="1"/>
  <c r="R641" i="1"/>
  <c r="S641" i="1" l="1"/>
  <c r="T641" i="1" s="1"/>
  <c r="R640" i="1"/>
  <c r="R639" i="1" l="1"/>
  <c r="S640" i="1"/>
  <c r="T640" i="1" s="1"/>
  <c r="R638" i="1" l="1"/>
  <c r="S639" i="1"/>
  <c r="T639" i="1" s="1"/>
  <c r="S638" i="1" l="1"/>
  <c r="T638" i="1" s="1"/>
  <c r="R637" i="1"/>
  <c r="S637" i="1" l="1"/>
  <c r="T637" i="1" s="1"/>
  <c r="R636" i="1"/>
  <c r="R635" i="1" l="1"/>
  <c r="S636" i="1"/>
  <c r="T636" i="1" s="1"/>
  <c r="R634" i="1" l="1"/>
  <c r="S635" i="1"/>
  <c r="T635" i="1" s="1"/>
  <c r="S634" i="1" l="1"/>
  <c r="T634" i="1" s="1"/>
  <c r="R633" i="1"/>
  <c r="R632" i="1" l="1"/>
  <c r="S633" i="1"/>
  <c r="T633" i="1" s="1"/>
  <c r="R631" i="1" l="1"/>
  <c r="S632" i="1"/>
  <c r="T632" i="1" s="1"/>
  <c r="R630" i="1" l="1"/>
  <c r="S631" i="1"/>
  <c r="T631" i="1" s="1"/>
  <c r="S630" i="1" l="1"/>
  <c r="T630" i="1" s="1"/>
  <c r="R629" i="1"/>
  <c r="S629" i="1" l="1"/>
  <c r="T629" i="1" s="1"/>
  <c r="R628" i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S623" i="1" l="1"/>
  <c r="T623" i="1" s="1"/>
  <c r="R622" i="1"/>
  <c r="S622" i="1" l="1"/>
  <c r="T622" i="1" s="1"/>
  <c r="R621" i="1"/>
  <c r="R620" i="1" l="1"/>
  <c r="S621" i="1"/>
  <c r="T621" i="1" s="1"/>
  <c r="R619" i="1" l="1"/>
  <c r="S620" i="1"/>
  <c r="T620" i="1" s="1"/>
  <c r="S619" i="1" l="1"/>
  <c r="T619" i="1" s="1"/>
  <c r="R618" i="1"/>
  <c r="S618" i="1" l="1"/>
  <c r="T618" i="1" s="1"/>
  <c r="R617" i="1"/>
  <c r="R616" i="1" l="1"/>
  <c r="S617" i="1"/>
  <c r="T617" i="1" s="1"/>
  <c r="R615" i="1" l="1"/>
  <c r="S616" i="1"/>
  <c r="T616" i="1" s="1"/>
  <c r="S615" i="1" l="1"/>
  <c r="T615" i="1" s="1"/>
  <c r="R614" i="1"/>
  <c r="S614" i="1" l="1"/>
  <c r="T614" i="1" s="1"/>
  <c r="R613" i="1"/>
  <c r="R612" i="1" l="1"/>
  <c r="S613" i="1"/>
  <c r="T613" i="1" s="1"/>
  <c r="S612" i="1" l="1"/>
  <c r="T612" i="1" s="1"/>
  <c r="R611" i="1"/>
  <c r="S611" i="1" l="1"/>
  <c r="T611" i="1" s="1"/>
  <c r="R610" i="1"/>
  <c r="R609" i="1" l="1"/>
  <c r="S610" i="1"/>
  <c r="T610" i="1" s="1"/>
  <c r="R608" i="1" l="1"/>
  <c r="S609" i="1"/>
  <c r="T609" i="1" s="1"/>
  <c r="R607" i="1" l="1"/>
  <c r="S608" i="1"/>
  <c r="T608" i="1" s="1"/>
  <c r="S607" i="1" l="1"/>
  <c r="T607" i="1" s="1"/>
  <c r="R606" i="1"/>
  <c r="R605" i="1" l="1"/>
  <c r="S606" i="1"/>
  <c r="T606" i="1" s="1"/>
  <c r="S605" i="1" l="1"/>
  <c r="T605" i="1" s="1"/>
  <c r="R604" i="1"/>
  <c r="S604" i="1" l="1"/>
  <c r="T604" i="1" s="1"/>
  <c r="R603" i="1"/>
  <c r="R602" i="1" l="1"/>
  <c r="S603" i="1"/>
  <c r="T603" i="1" s="1"/>
  <c r="R601" i="1" l="1"/>
  <c r="S602" i="1"/>
  <c r="T602" i="1" s="1"/>
  <c r="S601" i="1" l="1"/>
  <c r="T601" i="1" s="1"/>
  <c r="R600" i="1"/>
  <c r="S600" i="1" l="1"/>
  <c r="T600" i="1" s="1"/>
  <c r="R599" i="1"/>
  <c r="S599" i="1" l="1"/>
  <c r="T599" i="1" s="1"/>
  <c r="R598" i="1"/>
  <c r="R597" i="1" l="1"/>
  <c r="S598" i="1"/>
  <c r="T598" i="1" s="1"/>
  <c r="R596" i="1" l="1"/>
  <c r="S597" i="1"/>
  <c r="T597" i="1" s="1"/>
  <c r="S596" i="1" l="1"/>
  <c r="T596" i="1" s="1"/>
  <c r="R595" i="1"/>
  <c r="S595" i="1" l="1"/>
  <c r="T595" i="1" s="1"/>
  <c r="R594" i="1"/>
  <c r="R593" i="1" l="1"/>
  <c r="S594" i="1"/>
  <c r="T594" i="1" s="1"/>
  <c r="R592" i="1" l="1"/>
  <c r="S593" i="1"/>
  <c r="T593" i="1" s="1"/>
  <c r="R591" i="1" l="1"/>
  <c r="S592" i="1"/>
  <c r="T592" i="1" s="1"/>
  <c r="S591" i="1" l="1"/>
  <c r="T591" i="1" s="1"/>
  <c r="R590" i="1"/>
  <c r="S590" i="1" l="1"/>
  <c r="T590" i="1" s="1"/>
  <c r="R589" i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S584" i="1" l="1"/>
  <c r="T584" i="1" s="1"/>
  <c r="R583" i="1"/>
  <c r="S583" i="1" l="1"/>
  <c r="T583" i="1" s="1"/>
  <c r="R582" i="1"/>
  <c r="S582" i="1" l="1"/>
  <c r="T582" i="1" s="1"/>
  <c r="R581" i="1"/>
  <c r="R580" i="1" l="1"/>
  <c r="S581" i="1"/>
  <c r="T581" i="1" s="1"/>
  <c r="S580" i="1" l="1"/>
  <c r="T580" i="1" s="1"/>
  <c r="R579" i="1"/>
  <c r="S579" i="1" l="1"/>
  <c r="T579" i="1" s="1"/>
  <c r="R578" i="1"/>
  <c r="R577" i="1" l="1"/>
  <c r="S578" i="1"/>
  <c r="T578" i="1" s="1"/>
  <c r="R576" i="1" l="1"/>
  <c r="S577" i="1"/>
  <c r="T577" i="1" s="1"/>
  <c r="S576" i="1" l="1"/>
  <c r="T576" i="1" s="1"/>
  <c r="R575" i="1"/>
  <c r="R574" i="1" l="1"/>
  <c r="S575" i="1"/>
  <c r="T575" i="1" s="1"/>
  <c r="R573" i="1" l="1"/>
  <c r="S574" i="1"/>
  <c r="T574" i="1" s="1"/>
  <c r="R572" i="1" l="1"/>
  <c r="S573" i="1"/>
  <c r="T573" i="1" s="1"/>
  <c r="S572" i="1" l="1"/>
  <c r="T572" i="1" s="1"/>
  <c r="R571" i="1"/>
  <c r="R570" i="1" l="1"/>
  <c r="S571" i="1"/>
  <c r="T571" i="1" s="1"/>
  <c r="R569" i="1" l="1"/>
  <c r="S570" i="1"/>
  <c r="T570" i="1" s="1"/>
  <c r="S569" i="1" l="1"/>
  <c r="T569" i="1" s="1"/>
  <c r="R568" i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S563" i="1" l="1"/>
  <c r="T563" i="1" s="1"/>
  <c r="R562" i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S557" i="1" l="1"/>
  <c r="T557" i="1" s="1"/>
  <c r="R556" i="1"/>
  <c r="R555" i="1" l="1"/>
  <c r="S556" i="1"/>
  <c r="T556" i="1" s="1"/>
  <c r="R554" i="1" l="1"/>
  <c r="S555" i="1"/>
  <c r="T555" i="1" s="1"/>
  <c r="S554" i="1" l="1"/>
  <c r="T554" i="1" s="1"/>
  <c r="R553" i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S545" i="1" l="1"/>
  <c r="T545" i="1" s="1"/>
  <c r="R544" i="1"/>
  <c r="S544" i="1" l="1"/>
  <c r="T544" i="1" s="1"/>
  <c r="R543" i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S539" i="1" l="1"/>
  <c r="T539" i="1" s="1"/>
  <c r="R538" i="1"/>
  <c r="S538" i="1" l="1"/>
  <c r="T538" i="1" s="1"/>
  <c r="R537" i="1"/>
  <c r="R536" i="1" l="1"/>
  <c r="S537" i="1"/>
  <c r="T537" i="1" s="1"/>
  <c r="R535" i="1" l="1"/>
  <c r="S536" i="1"/>
  <c r="T536" i="1" s="1"/>
  <c r="R534" i="1" l="1"/>
  <c r="S535" i="1"/>
  <c r="T535" i="1" s="1"/>
  <c r="S534" i="1" l="1"/>
  <c r="T534" i="1" s="1"/>
  <c r="R533" i="1"/>
  <c r="R532" i="1" l="1"/>
  <c r="S533" i="1"/>
  <c r="T533" i="1" s="1"/>
  <c r="R531" i="1" l="1"/>
  <c r="S532" i="1"/>
  <c r="T532" i="1" s="1"/>
  <c r="R530" i="1" l="1"/>
  <c r="S531" i="1"/>
  <c r="T531" i="1" s="1"/>
  <c r="S530" i="1" l="1"/>
  <c r="T530" i="1" s="1"/>
  <c r="R529" i="1"/>
  <c r="S529" i="1" l="1"/>
  <c r="T529" i="1" s="1"/>
  <c r="R528" i="1"/>
  <c r="R527" i="1" l="1"/>
  <c r="S528" i="1"/>
  <c r="T528" i="1" s="1"/>
  <c r="R526" i="1" l="1"/>
  <c r="S527" i="1"/>
  <c r="T527" i="1" s="1"/>
  <c r="R525" i="1" l="1"/>
  <c r="S526" i="1"/>
  <c r="T526" i="1" s="1"/>
  <c r="S525" i="1" l="1"/>
  <c r="T525" i="1" s="1"/>
  <c r="R524" i="1"/>
  <c r="S524" i="1" l="1"/>
  <c r="T524" i="1" s="1"/>
  <c r="R523" i="1"/>
  <c r="R522" i="1" l="1"/>
  <c r="S523" i="1"/>
  <c r="T523" i="1" s="1"/>
  <c r="R521" i="1" l="1"/>
  <c r="S522" i="1"/>
  <c r="T522" i="1" s="1"/>
  <c r="S521" i="1" l="1"/>
  <c r="T521" i="1" s="1"/>
  <c r="R520" i="1"/>
  <c r="S520" i="1" l="1"/>
  <c r="T520" i="1" s="1"/>
  <c r="R519" i="1"/>
  <c r="R518" i="1" l="1"/>
  <c r="S519" i="1"/>
  <c r="T519" i="1" s="1"/>
  <c r="R517" i="1" l="1"/>
  <c r="S518" i="1"/>
  <c r="T518" i="1" s="1"/>
  <c r="S517" i="1" l="1"/>
  <c r="T517" i="1" s="1"/>
  <c r="R516" i="1"/>
  <c r="R515" i="1" l="1"/>
  <c r="S516" i="1"/>
  <c r="T516" i="1" s="1"/>
  <c r="R514" i="1" l="1"/>
  <c r="S515" i="1"/>
  <c r="T515" i="1" s="1"/>
  <c r="S514" i="1" l="1"/>
  <c r="T514" i="1" s="1"/>
  <c r="R513" i="1"/>
  <c r="S513" i="1" l="1"/>
  <c r="T513" i="1" s="1"/>
  <c r="R512" i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S508" i="1" l="1"/>
  <c r="T508" i="1" s="1"/>
  <c r="R507" i="1"/>
  <c r="S507" i="1" l="1"/>
  <c r="T507" i="1" s="1"/>
  <c r="R506" i="1"/>
  <c r="R505" i="1" l="1"/>
  <c r="S506" i="1"/>
  <c r="T506" i="1" s="1"/>
  <c r="R504" i="1" l="1"/>
  <c r="S505" i="1"/>
  <c r="T505" i="1" s="1"/>
  <c r="S504" i="1" l="1"/>
  <c r="T504" i="1" s="1"/>
  <c r="R503" i="1"/>
  <c r="S503" i="1" l="1"/>
  <c r="T503" i="1" s="1"/>
  <c r="R502" i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S498" i="1" l="1"/>
  <c r="T498" i="1" s="1"/>
  <c r="R497" i="1"/>
  <c r="S497" i="1" l="1"/>
  <c r="T497" i="1" s="1"/>
  <c r="R496" i="1"/>
  <c r="R495" i="1" l="1"/>
  <c r="S496" i="1"/>
  <c r="T496" i="1" s="1"/>
  <c r="R494" i="1" l="1"/>
  <c r="S495" i="1"/>
  <c r="T495" i="1" s="1"/>
  <c r="S494" i="1" l="1"/>
  <c r="T494" i="1" s="1"/>
  <c r="R493" i="1"/>
  <c r="R492" i="1" l="1"/>
  <c r="S493" i="1"/>
  <c r="T493" i="1" s="1"/>
  <c r="R491" i="1" l="1"/>
  <c r="S492" i="1"/>
  <c r="T492" i="1" s="1"/>
  <c r="S491" i="1" l="1"/>
  <c r="T491" i="1" s="1"/>
  <c r="R490" i="1"/>
  <c r="R489" i="1" l="1"/>
  <c r="S490" i="1"/>
  <c r="T490" i="1" s="1"/>
  <c r="R488" i="1" l="1"/>
  <c r="S489" i="1"/>
  <c r="T489" i="1" s="1"/>
  <c r="S488" i="1" l="1"/>
  <c r="T488" i="1" s="1"/>
  <c r="R487" i="1"/>
  <c r="S487" i="1" l="1"/>
  <c r="T487" i="1" s="1"/>
  <c r="R486" i="1"/>
  <c r="R485" i="1" l="1"/>
  <c r="S486" i="1"/>
  <c r="T486" i="1" s="1"/>
  <c r="R484" i="1" l="1"/>
  <c r="S485" i="1"/>
  <c r="T485" i="1" s="1"/>
  <c r="S484" i="1" l="1"/>
  <c r="T484" i="1" s="1"/>
  <c r="R483" i="1"/>
  <c r="S483" i="1" l="1"/>
  <c r="T483" i="1" s="1"/>
  <c r="R482" i="1"/>
  <c r="R481" i="1" l="1"/>
  <c r="S482" i="1"/>
  <c r="T482" i="1" s="1"/>
  <c r="R480" i="1" l="1"/>
  <c r="S481" i="1"/>
  <c r="T481" i="1" s="1"/>
  <c r="S480" i="1" l="1"/>
  <c r="T480" i="1" s="1"/>
  <c r="R479" i="1"/>
  <c r="S479" i="1" l="1"/>
  <c r="T479" i="1" s="1"/>
  <c r="R478" i="1"/>
  <c r="S478" i="1" l="1"/>
  <c r="T478" i="1" s="1"/>
  <c r="R477" i="1"/>
  <c r="R476" i="1" l="1"/>
  <c r="S477" i="1"/>
  <c r="T477" i="1" s="1"/>
  <c r="S476" i="1" l="1"/>
  <c r="T476" i="1" s="1"/>
  <c r="R475" i="1"/>
  <c r="R474" i="1" l="1"/>
  <c r="S475" i="1"/>
  <c r="T475" i="1" s="1"/>
  <c r="S474" i="1" l="1"/>
  <c r="T474" i="1" s="1"/>
  <c r="R473" i="1"/>
  <c r="R472" i="1" l="1"/>
  <c r="S473" i="1"/>
  <c r="T473" i="1" s="1"/>
  <c r="R471" i="1" l="1"/>
  <c r="S472" i="1"/>
  <c r="T472" i="1" s="1"/>
  <c r="S471" i="1" l="1"/>
  <c r="T471" i="1" s="1"/>
  <c r="R470" i="1"/>
  <c r="S470" i="1" l="1"/>
  <c r="T470" i="1" s="1"/>
  <c r="R469" i="1"/>
  <c r="R468" i="1" l="1"/>
  <c r="S469" i="1"/>
  <c r="T469" i="1" s="1"/>
  <c r="S468" i="1" l="1"/>
  <c r="T468" i="1" s="1"/>
  <c r="R467" i="1"/>
  <c r="R466" i="1" l="1"/>
  <c r="S467" i="1"/>
  <c r="T467" i="1" s="1"/>
  <c r="R465" i="1" l="1"/>
  <c r="S466" i="1"/>
  <c r="T466" i="1" s="1"/>
  <c r="R464" i="1" l="1"/>
  <c r="S465" i="1"/>
  <c r="T465" i="1" s="1"/>
  <c r="S464" i="1" l="1"/>
  <c r="T464" i="1" s="1"/>
  <c r="R463" i="1"/>
  <c r="S463" i="1" l="1"/>
  <c r="T463" i="1" s="1"/>
  <c r="R462" i="1"/>
  <c r="R461" i="1" l="1"/>
  <c r="S462" i="1"/>
  <c r="T462" i="1" s="1"/>
  <c r="R460" i="1" l="1"/>
  <c r="S461" i="1"/>
  <c r="T461" i="1" s="1"/>
  <c r="R459" i="1" l="1"/>
  <c r="S460" i="1"/>
  <c r="T460" i="1" s="1"/>
  <c r="S459" i="1" l="1"/>
  <c r="T459" i="1" s="1"/>
  <c r="R458" i="1"/>
  <c r="R457" i="1" l="1"/>
  <c r="S458" i="1"/>
  <c r="T458" i="1" s="1"/>
  <c r="R456" i="1" l="1"/>
  <c r="S457" i="1"/>
  <c r="T457" i="1" s="1"/>
  <c r="S456" i="1" l="1"/>
  <c r="T456" i="1" s="1"/>
  <c r="R455" i="1"/>
  <c r="R454" i="1" l="1"/>
  <c r="S455" i="1"/>
  <c r="T455" i="1" s="1"/>
  <c r="S454" i="1" l="1"/>
  <c r="T454" i="1" s="1"/>
  <c r="R453" i="1"/>
  <c r="R452" i="1" l="1"/>
  <c r="S453" i="1"/>
  <c r="T453" i="1" s="1"/>
  <c r="R451" i="1" l="1"/>
  <c r="S452" i="1"/>
  <c r="T452" i="1" s="1"/>
  <c r="S451" i="1" l="1"/>
  <c r="T451" i="1" s="1"/>
  <c r="R450" i="1"/>
  <c r="S450" i="1" l="1"/>
  <c r="T450" i="1" s="1"/>
  <c r="R449" i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S436" i="1" l="1"/>
  <c r="T436" i="1" s="1"/>
  <c r="R435" i="1"/>
  <c r="S435" i="1" l="1"/>
  <c r="T435" i="1" s="1"/>
  <c r="R434" i="1"/>
  <c r="S434" i="1" l="1"/>
  <c r="T434" i="1" s="1"/>
  <c r="R433" i="1"/>
  <c r="R432" i="1" l="1"/>
  <c r="S433" i="1"/>
  <c r="T433" i="1" s="1"/>
  <c r="R431" i="1" l="1"/>
  <c r="S432" i="1"/>
  <c r="T432" i="1" s="1"/>
  <c r="S431" i="1" l="1"/>
  <c r="T431" i="1" s="1"/>
  <c r="R430" i="1"/>
  <c r="S430" i="1" l="1"/>
  <c r="T430" i="1" s="1"/>
  <c r="R429" i="1"/>
  <c r="R428" i="1" l="1"/>
  <c r="S429" i="1"/>
  <c r="T429" i="1" s="1"/>
  <c r="R427" i="1" l="1"/>
  <c r="S428" i="1"/>
  <c r="T428" i="1" s="1"/>
  <c r="S427" i="1" l="1"/>
  <c r="T427" i="1" s="1"/>
  <c r="R426" i="1"/>
  <c r="S426" i="1" l="1"/>
  <c r="T426" i="1" s="1"/>
  <c r="R425" i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S416" i="1" l="1"/>
  <c r="T416" i="1" s="1"/>
  <c r="R415" i="1"/>
  <c r="S415" i="1" l="1"/>
  <c r="T415" i="1" s="1"/>
  <c r="R414" i="1"/>
  <c r="S414" i="1" l="1"/>
  <c r="T414" i="1" s="1"/>
  <c r="R413" i="1"/>
  <c r="R412" i="1" l="1"/>
  <c r="S413" i="1"/>
  <c r="T413" i="1" s="1"/>
  <c r="S412" i="1" l="1"/>
  <c r="T412" i="1" s="1"/>
  <c r="R411" i="1"/>
  <c r="S411" i="1" l="1"/>
  <c r="T411" i="1" s="1"/>
  <c r="R410" i="1"/>
  <c r="R409" i="1" l="1"/>
  <c r="S410" i="1"/>
  <c r="T410" i="1" s="1"/>
  <c r="R408" i="1" l="1"/>
  <c r="S409" i="1"/>
  <c r="T409" i="1" s="1"/>
  <c r="R407" i="1" l="1"/>
  <c r="S408" i="1"/>
  <c r="T408" i="1" s="1"/>
  <c r="S407" i="1" l="1"/>
  <c r="T407" i="1" s="1"/>
  <c r="R406" i="1"/>
  <c r="S406" i="1" l="1"/>
  <c r="T406" i="1" s="1"/>
  <c r="R405" i="1"/>
  <c r="R404" i="1" l="1"/>
  <c r="S405" i="1"/>
  <c r="T405" i="1" s="1"/>
  <c r="R403" i="1" l="1"/>
  <c r="S404" i="1"/>
  <c r="T404" i="1" s="1"/>
  <c r="R402" i="1" l="1"/>
  <c r="S403" i="1"/>
  <c r="T403" i="1" s="1"/>
  <c r="S402" i="1" l="1"/>
  <c r="T402" i="1" s="1"/>
  <c r="R401" i="1"/>
  <c r="S401" i="1" l="1"/>
  <c r="T401" i="1" s="1"/>
  <c r="R400" i="1"/>
  <c r="R399" i="1" l="1"/>
  <c r="S400" i="1"/>
  <c r="T400" i="1" s="1"/>
  <c r="R398" i="1" l="1"/>
  <c r="S399" i="1"/>
  <c r="T399" i="1" s="1"/>
  <c r="S398" i="1" l="1"/>
  <c r="T398" i="1" s="1"/>
  <c r="R397" i="1"/>
  <c r="S397" i="1" l="1"/>
  <c r="T397" i="1" s="1"/>
  <c r="R396" i="1"/>
  <c r="S396" i="1" l="1"/>
  <c r="T396" i="1" s="1"/>
  <c r="R395" i="1"/>
  <c r="R394" i="1" l="1"/>
  <c r="S395" i="1"/>
  <c r="T395" i="1" s="1"/>
  <c r="R393" i="1" l="1"/>
  <c r="S394" i="1"/>
  <c r="T394" i="1" s="1"/>
  <c r="S393" i="1" l="1"/>
  <c r="T393" i="1" s="1"/>
  <c r="R392" i="1"/>
  <c r="S392" i="1" l="1"/>
  <c r="T392" i="1" s="1"/>
  <c r="R391" i="1"/>
  <c r="R390" i="1" l="1"/>
  <c r="S391" i="1"/>
  <c r="T391" i="1" s="1"/>
  <c r="R389" i="1" l="1"/>
  <c r="S390" i="1"/>
  <c r="T390" i="1" s="1"/>
  <c r="R388" i="1" l="1"/>
  <c r="S389" i="1"/>
  <c r="T389" i="1" s="1"/>
  <c r="S388" i="1" l="1"/>
  <c r="T388" i="1" s="1"/>
  <c r="R387" i="1"/>
  <c r="S387" i="1" l="1"/>
  <c r="T387" i="1" s="1"/>
  <c r="R386" i="1"/>
  <c r="R385" i="1" l="1"/>
  <c r="S386" i="1"/>
  <c r="T386" i="1" s="1"/>
  <c r="R384" i="1" l="1"/>
  <c r="S385" i="1"/>
  <c r="T385" i="1" s="1"/>
  <c r="S384" i="1" l="1"/>
  <c r="T384" i="1" s="1"/>
  <c r="R383" i="1"/>
  <c r="S383" i="1" l="1"/>
  <c r="T383" i="1" s="1"/>
  <c r="R382" i="1"/>
  <c r="S382" i="1" l="1"/>
  <c r="T382" i="1" s="1"/>
  <c r="R381" i="1"/>
  <c r="R380" i="1" l="1"/>
  <c r="S381" i="1"/>
  <c r="T381" i="1" s="1"/>
  <c r="R379" i="1" l="1"/>
  <c r="S380" i="1"/>
  <c r="T380" i="1" s="1"/>
  <c r="S379" i="1" l="1"/>
  <c r="T379" i="1" s="1"/>
  <c r="R378" i="1"/>
  <c r="R377" i="1" l="1"/>
  <c r="S378" i="1"/>
  <c r="T378" i="1" s="1"/>
  <c r="R376" i="1" l="1"/>
  <c r="S377" i="1"/>
  <c r="T377" i="1" s="1"/>
  <c r="R375" i="1" l="1"/>
  <c r="S376" i="1"/>
  <c r="T376" i="1" s="1"/>
  <c r="S375" i="1" l="1"/>
  <c r="T375" i="1" s="1"/>
  <c r="R374" i="1"/>
  <c r="S374" i="1" l="1"/>
  <c r="T374" i="1" s="1"/>
  <c r="R373" i="1"/>
  <c r="R372" i="1" l="1"/>
  <c r="S373" i="1"/>
  <c r="T373" i="1" s="1"/>
  <c r="R371" i="1" l="1"/>
  <c r="S372" i="1"/>
  <c r="T372" i="1" s="1"/>
  <c r="S371" i="1" l="1"/>
  <c r="T371" i="1" s="1"/>
  <c r="R370" i="1"/>
  <c r="S370" i="1" l="1"/>
  <c r="T370" i="1" s="1"/>
  <c r="R369" i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S365" i="1" l="1"/>
  <c r="T365" i="1" s="1"/>
  <c r="R364" i="1"/>
  <c r="S364" i="1" l="1"/>
  <c r="T364" i="1" s="1"/>
  <c r="R363" i="1"/>
  <c r="S363" i="1" l="1"/>
  <c r="T363" i="1" s="1"/>
  <c r="R362" i="1"/>
  <c r="R361" i="1" l="1"/>
  <c r="S362" i="1"/>
  <c r="T362" i="1" s="1"/>
  <c r="R360" i="1" l="1"/>
  <c r="S361" i="1"/>
  <c r="T361" i="1" s="1"/>
  <c r="R359" i="1" l="1"/>
  <c r="S360" i="1"/>
  <c r="T360" i="1" s="1"/>
  <c r="S359" i="1" l="1"/>
  <c r="T359" i="1" s="1"/>
  <c r="R358" i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S351" i="1" l="1"/>
  <c r="T351" i="1" s="1"/>
  <c r="R350" i="1"/>
  <c r="R349" i="1" l="1"/>
  <c r="S350" i="1"/>
  <c r="T350" i="1" s="1"/>
  <c r="S349" i="1" l="1"/>
  <c r="T349" i="1" s="1"/>
  <c r="R348" i="1"/>
  <c r="S348" i="1" l="1"/>
  <c r="T348" i="1" s="1"/>
  <c r="R347" i="1"/>
  <c r="R346" i="1" l="1"/>
  <c r="S347" i="1"/>
  <c r="T347" i="1" s="1"/>
  <c r="S346" i="1" l="1"/>
  <c r="T346" i="1" s="1"/>
  <c r="R345" i="1"/>
  <c r="R344" i="1" l="1"/>
  <c r="S345" i="1"/>
  <c r="T345" i="1" s="1"/>
  <c r="S344" i="1" l="1"/>
  <c r="T344" i="1" s="1"/>
  <c r="R343" i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S338" i="1" l="1"/>
  <c r="T338" i="1" s="1"/>
  <c r="R337" i="1"/>
  <c r="S337" i="1" l="1"/>
  <c r="T337" i="1" s="1"/>
  <c r="R336" i="1"/>
  <c r="S336" i="1" l="1"/>
  <c r="T336" i="1" s="1"/>
  <c r="R335" i="1"/>
  <c r="R334" i="1" l="1"/>
  <c r="S335" i="1"/>
  <c r="T335" i="1" s="1"/>
  <c r="R333" i="1" l="1"/>
  <c r="S334" i="1"/>
  <c r="T334" i="1" s="1"/>
  <c r="S333" i="1" l="1"/>
  <c r="T333" i="1" s="1"/>
  <c r="R332" i="1"/>
  <c r="R331" i="1" l="1"/>
  <c r="S332" i="1"/>
  <c r="T332" i="1" s="1"/>
  <c r="R330" i="1" l="1"/>
  <c r="S331" i="1"/>
  <c r="T331" i="1" s="1"/>
  <c r="S330" i="1" l="1"/>
  <c r="T330" i="1" s="1"/>
  <c r="R329" i="1"/>
  <c r="S329" i="1" l="1"/>
  <c r="T329" i="1" s="1"/>
  <c r="R328" i="1"/>
  <c r="R327" i="1" l="1"/>
  <c r="S328" i="1"/>
  <c r="T328" i="1" s="1"/>
  <c r="S327" i="1" l="1"/>
  <c r="T327" i="1" s="1"/>
  <c r="R326" i="1"/>
  <c r="S326" i="1" l="1"/>
  <c r="T326" i="1" s="1"/>
  <c r="R325" i="1"/>
  <c r="R324" i="1" l="1"/>
  <c r="S325" i="1"/>
  <c r="T325" i="1" s="1"/>
  <c r="S324" i="1" l="1"/>
  <c r="T324" i="1" s="1"/>
  <c r="R323" i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S319" i="1" l="1"/>
  <c r="T319" i="1" s="1"/>
  <c r="R318" i="1"/>
  <c r="S318" i="1" l="1"/>
  <c r="T318" i="1" s="1"/>
  <c r="R317" i="1"/>
  <c r="R316" i="1" l="1"/>
  <c r="S317" i="1"/>
  <c r="T317" i="1" s="1"/>
  <c r="R315" i="1" l="1"/>
  <c r="S316" i="1"/>
  <c r="T316" i="1" s="1"/>
  <c r="S315" i="1" l="1"/>
  <c r="T315" i="1" s="1"/>
  <c r="R314" i="1"/>
  <c r="R313" i="1" l="1"/>
  <c r="S314" i="1"/>
  <c r="T314" i="1" s="1"/>
  <c r="R312" i="1" l="1"/>
  <c r="S313" i="1"/>
  <c r="T313" i="1" s="1"/>
  <c r="S312" i="1" l="1"/>
  <c r="T312" i="1" s="1"/>
  <c r="R311" i="1"/>
  <c r="R310" i="1" l="1"/>
  <c r="S311" i="1"/>
  <c r="T311" i="1" s="1"/>
  <c r="R309" i="1" l="1"/>
  <c r="S310" i="1"/>
  <c r="T310" i="1" s="1"/>
  <c r="R308" i="1" l="1"/>
  <c r="S309" i="1"/>
  <c r="T309" i="1" s="1"/>
  <c r="S308" i="1" l="1"/>
  <c r="T308" i="1" s="1"/>
  <c r="R307" i="1"/>
  <c r="R306" i="1" l="1"/>
  <c r="S307" i="1"/>
  <c r="T307" i="1" s="1"/>
  <c r="R305" i="1" l="1"/>
  <c r="S306" i="1"/>
  <c r="T306" i="1" s="1"/>
  <c r="S305" i="1" l="1"/>
  <c r="T305" i="1" s="1"/>
  <c r="R304" i="1"/>
  <c r="S304" i="1" l="1"/>
  <c r="T304" i="1" s="1"/>
  <c r="R303" i="1"/>
  <c r="R302" i="1" l="1"/>
  <c r="S303" i="1"/>
  <c r="T303" i="1" s="1"/>
  <c r="R301" i="1" l="1"/>
  <c r="S302" i="1"/>
  <c r="T302" i="1" s="1"/>
  <c r="S301" i="1" l="1"/>
  <c r="T301" i="1" s="1"/>
  <c r="R300" i="1"/>
  <c r="S300" i="1" l="1"/>
  <c r="T300" i="1" s="1"/>
  <c r="R299" i="1"/>
  <c r="R298" i="1" l="1"/>
  <c r="S299" i="1"/>
  <c r="T299" i="1" s="1"/>
  <c r="R297" i="1" l="1"/>
  <c r="S298" i="1"/>
  <c r="T298" i="1" s="1"/>
  <c r="S297" i="1" l="1"/>
  <c r="T297" i="1" s="1"/>
  <c r="R296" i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S289" i="1" l="1"/>
  <c r="T289" i="1" s="1"/>
  <c r="R288" i="1"/>
  <c r="S288" i="1" l="1"/>
  <c r="T288" i="1" s="1"/>
  <c r="R287" i="1"/>
  <c r="R286" i="1" l="1"/>
  <c r="S287" i="1"/>
  <c r="T287" i="1" s="1"/>
  <c r="S286" i="1" l="1"/>
  <c r="T286" i="1" s="1"/>
  <c r="R285" i="1"/>
  <c r="S285" i="1" l="1"/>
  <c r="T285" i="1" s="1"/>
  <c r="R284" i="1"/>
  <c r="S284" i="1" l="1"/>
  <c r="T284" i="1" s="1"/>
  <c r="R283" i="1"/>
  <c r="R282" i="1" l="1"/>
  <c r="S283" i="1"/>
  <c r="T283" i="1" s="1"/>
  <c r="R281" i="1" l="1"/>
  <c r="S282" i="1"/>
  <c r="T282" i="1" s="1"/>
  <c r="R280" i="1" l="1"/>
  <c r="S281" i="1"/>
  <c r="T281" i="1" s="1"/>
  <c r="S280" i="1" l="1"/>
  <c r="T280" i="1" s="1"/>
  <c r="R279" i="1"/>
  <c r="R278" i="1" l="1"/>
  <c r="S279" i="1"/>
  <c r="T279" i="1" s="1"/>
  <c r="R277" i="1" l="1"/>
  <c r="S278" i="1"/>
  <c r="T278" i="1" s="1"/>
  <c r="S277" i="1" l="1"/>
  <c r="T277" i="1" s="1"/>
  <c r="R276" i="1"/>
  <c r="S276" i="1" l="1"/>
  <c r="T276" i="1" s="1"/>
  <c r="R275" i="1"/>
  <c r="S275" i="1" l="1"/>
  <c r="T275" i="1" s="1"/>
  <c r="R274" i="1"/>
  <c r="S274" i="1" l="1"/>
  <c r="T274" i="1" s="1"/>
  <c r="R273" i="1"/>
  <c r="R272" i="1" l="1"/>
  <c r="S273" i="1"/>
  <c r="T273" i="1" s="1"/>
  <c r="R271" i="1" l="1"/>
  <c r="S272" i="1"/>
  <c r="T272" i="1" s="1"/>
  <c r="S271" i="1" l="1"/>
  <c r="T271" i="1" s="1"/>
  <c r="R270" i="1"/>
  <c r="S270" i="1" l="1"/>
  <c r="T270" i="1" s="1"/>
  <c r="R269" i="1"/>
  <c r="S269" i="1" l="1"/>
  <c r="T269" i="1" s="1"/>
  <c r="R268" i="1"/>
  <c r="R267" i="1" l="1"/>
  <c r="S268" i="1"/>
  <c r="T268" i="1" s="1"/>
  <c r="R266" i="1" l="1"/>
  <c r="S267" i="1"/>
  <c r="T267" i="1" s="1"/>
  <c r="S266" i="1" l="1"/>
  <c r="T266" i="1" s="1"/>
  <c r="R265" i="1"/>
  <c r="R264" i="1" l="1"/>
  <c r="S265" i="1"/>
  <c r="T265" i="1" s="1"/>
  <c r="R263" i="1" l="1"/>
  <c r="S264" i="1"/>
  <c r="T264" i="1" s="1"/>
  <c r="S263" i="1" l="1"/>
  <c r="T263" i="1" s="1"/>
  <c r="R262" i="1"/>
  <c r="S262" i="1" l="1"/>
  <c r="T262" i="1" s="1"/>
  <c r="R261" i="1"/>
  <c r="R260" i="1" l="1"/>
  <c r="S261" i="1"/>
  <c r="T261" i="1" s="1"/>
  <c r="R259" i="1" l="1"/>
  <c r="S260" i="1"/>
  <c r="T260" i="1" s="1"/>
  <c r="R258" i="1" l="1"/>
  <c r="S259" i="1"/>
  <c r="T259" i="1" s="1"/>
  <c r="S258" i="1" l="1"/>
  <c r="T258" i="1" s="1"/>
  <c r="R257" i="1"/>
  <c r="S257" i="1" l="1"/>
  <c r="T257" i="1" s="1"/>
  <c r="R256" i="1"/>
  <c r="R255" i="1" l="1"/>
  <c r="S256" i="1"/>
  <c r="T256" i="1" s="1"/>
  <c r="R254" i="1" l="1"/>
  <c r="S255" i="1"/>
  <c r="T255" i="1" s="1"/>
  <c r="S254" i="1" l="1"/>
  <c r="T254" i="1" s="1"/>
  <c r="R253" i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S249" i="1" l="1"/>
  <c r="T249" i="1" s="1"/>
  <c r="R248" i="1"/>
  <c r="S248" i="1" l="1"/>
  <c r="T248" i="1" s="1"/>
  <c r="R247" i="1"/>
  <c r="S247" i="1" l="1"/>
  <c r="T247" i="1" s="1"/>
  <c r="R246" i="1"/>
  <c r="R245" i="1" l="1"/>
  <c r="S246" i="1"/>
  <c r="T246" i="1" s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S238" i="1" l="1"/>
  <c r="T238" i="1" s="1"/>
  <c r="R237" i="1"/>
  <c r="R236" i="1" l="1"/>
  <c r="S237" i="1"/>
  <c r="T237" i="1" s="1"/>
  <c r="R235" i="1" l="1"/>
  <c r="S236" i="1"/>
  <c r="T236" i="1" s="1"/>
  <c r="R234" i="1" l="1"/>
  <c r="S235" i="1"/>
  <c r="T235" i="1" s="1"/>
  <c r="S234" i="1" l="1"/>
  <c r="T234" i="1" s="1"/>
  <c r="R233" i="1"/>
  <c r="R232" i="1" l="1"/>
  <c r="S233" i="1"/>
  <c r="T233" i="1" s="1"/>
  <c r="S232" i="1" l="1"/>
  <c r="T232" i="1" s="1"/>
  <c r="R231" i="1"/>
  <c r="S231" i="1" l="1"/>
  <c r="T231" i="1" s="1"/>
  <c r="R230" i="1"/>
  <c r="S230" i="1" l="1"/>
  <c r="T230" i="1" s="1"/>
  <c r="R229" i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S225" i="1" l="1"/>
  <c r="T225" i="1" s="1"/>
  <c r="R224" i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S220" i="1" l="1"/>
  <c r="T220" i="1" s="1"/>
  <c r="R219" i="1"/>
  <c r="R218" i="1" l="1"/>
  <c r="S219" i="1"/>
  <c r="T219" i="1" s="1"/>
  <c r="R217" i="1" l="1"/>
  <c r="S218" i="1"/>
  <c r="T218" i="1" s="1"/>
  <c r="S217" i="1" l="1"/>
  <c r="T217" i="1" s="1"/>
  <c r="R216" i="1"/>
  <c r="S216" i="1" l="1"/>
  <c r="T216" i="1" s="1"/>
  <c r="R215" i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S207" i="1" l="1"/>
  <c r="T207" i="1" s="1"/>
  <c r="R206" i="1"/>
  <c r="S206" i="1" l="1"/>
  <c r="T206" i="1" s="1"/>
  <c r="R205" i="1"/>
  <c r="R204" i="1" l="1"/>
  <c r="S205" i="1"/>
  <c r="T205" i="1" s="1"/>
  <c r="R203" i="1" l="1"/>
  <c r="S204" i="1"/>
  <c r="T204" i="1" s="1"/>
  <c r="S203" i="1" l="1"/>
  <c r="T203" i="1" s="1"/>
  <c r="R202" i="1"/>
  <c r="S202" i="1" l="1"/>
  <c r="T202" i="1" s="1"/>
  <c r="R201" i="1"/>
  <c r="R200" i="1" l="1"/>
  <c r="S201" i="1"/>
  <c r="T201" i="1" s="1"/>
  <c r="S200" i="1" l="1"/>
  <c r="T200" i="1" s="1"/>
  <c r="R199" i="1"/>
  <c r="S199" i="1" l="1"/>
  <c r="T199" i="1" s="1"/>
  <c r="R198" i="1"/>
  <c r="R197" i="1" l="1"/>
  <c r="S198" i="1"/>
  <c r="T198" i="1" s="1"/>
  <c r="R196" i="1" l="1"/>
  <c r="S197" i="1"/>
  <c r="T197" i="1" s="1"/>
  <c r="S196" i="1" l="1"/>
  <c r="T196" i="1" s="1"/>
  <c r="R195" i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R185" i="1" l="1"/>
  <c r="S186" i="1"/>
  <c r="T186" i="1" s="1"/>
  <c r="S185" i="1" l="1"/>
  <c r="T185" i="1" s="1"/>
  <c r="R184" i="1"/>
  <c r="R183" i="1" l="1"/>
  <c r="S184" i="1"/>
  <c r="T184" i="1" s="1"/>
  <c r="R182" i="1" l="1"/>
  <c r="S183" i="1"/>
  <c r="T183" i="1" s="1"/>
  <c r="S182" i="1" l="1"/>
  <c r="T182" i="1" s="1"/>
  <c r="R181" i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S176" i="1" l="1"/>
  <c r="T176" i="1" s="1"/>
  <c r="R175" i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S168" i="1" l="1"/>
  <c r="T168" i="1" s="1"/>
  <c r="R167" i="1"/>
  <c r="S167" i="1" l="1"/>
  <c r="T167" i="1" s="1"/>
  <c r="R166" i="1"/>
  <c r="S166" i="1" l="1"/>
  <c r="T166" i="1" s="1"/>
  <c r="R165" i="1"/>
  <c r="R164" i="1" l="1"/>
  <c r="S165" i="1"/>
  <c r="T165" i="1" s="1"/>
  <c r="R163" i="1" l="1"/>
  <c r="S164" i="1"/>
  <c r="T164" i="1" s="1"/>
  <c r="S163" i="1" l="1"/>
  <c r="T163" i="1" s="1"/>
  <c r="R162" i="1"/>
  <c r="S162" i="1" l="1"/>
  <c r="T162" i="1" s="1"/>
  <c r="R161" i="1"/>
  <c r="R160" i="1" l="1"/>
  <c r="S161" i="1"/>
  <c r="T161" i="1" s="1"/>
  <c r="S160" i="1" l="1"/>
  <c r="T160" i="1" s="1"/>
  <c r="R159" i="1"/>
  <c r="S159" i="1" l="1"/>
  <c r="T159" i="1" s="1"/>
  <c r="R158" i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S152" i="1" l="1"/>
  <c r="T152" i="1" s="1"/>
  <c r="R151" i="1"/>
  <c r="S151" i="1" l="1"/>
  <c r="T151" i="1" s="1"/>
  <c r="R150" i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S146" i="1" l="1"/>
  <c r="T146" i="1" s="1"/>
  <c r="R145" i="1"/>
  <c r="R144" i="1" l="1"/>
  <c r="S145" i="1"/>
  <c r="T145" i="1" s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S134" i="1" l="1"/>
  <c r="T134" i="1" s="1"/>
  <c r="R133" i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R122" i="1" l="1"/>
  <c r="S123" i="1"/>
  <c r="T123" i="1" s="1"/>
  <c r="S122" i="1" l="1"/>
  <c r="T122" i="1" s="1"/>
  <c r="R121" i="1"/>
  <c r="R120" i="1" l="1"/>
  <c r="S121" i="1"/>
  <c r="T121" i="1" s="1"/>
  <c r="S120" i="1" l="1"/>
  <c r="T120" i="1" s="1"/>
  <c r="R119" i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S110" i="1" l="1"/>
  <c r="T110" i="1" s="1"/>
  <c r="R109" i="1"/>
  <c r="S109" i="1" l="1"/>
  <c r="T109" i="1" s="1"/>
  <c r="R108" i="1"/>
  <c r="S108" i="1" l="1"/>
  <c r="T108" i="1" s="1"/>
  <c r="R107" i="1"/>
  <c r="R106" i="1" l="1"/>
  <c r="S107" i="1"/>
  <c r="T107" i="1" s="1"/>
  <c r="R105" i="1" l="1"/>
  <c r="S106" i="1"/>
  <c r="T106" i="1" s="1"/>
  <c r="S105" i="1" l="1"/>
  <c r="T105" i="1" s="1"/>
  <c r="R104" i="1"/>
  <c r="S104" i="1" l="1"/>
  <c r="T104" i="1" s="1"/>
  <c r="R103" i="1"/>
  <c r="R102" i="1" l="1"/>
  <c r="S103" i="1"/>
  <c r="T103" i="1" s="1"/>
  <c r="R101" i="1" l="1"/>
  <c r="S102" i="1"/>
  <c r="T102" i="1" s="1"/>
  <c r="S101" i="1" l="1"/>
  <c r="T101" i="1" s="1"/>
  <c r="R100" i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S83" i="1" l="1"/>
  <c r="T83" i="1" s="1"/>
  <c r="R82" i="1"/>
  <c r="S82" i="1" l="1"/>
  <c r="T82" i="1" s="1"/>
  <c r="R81" i="1"/>
  <c r="R80" i="1" l="1"/>
  <c r="S81" i="1"/>
  <c r="T81" i="1" s="1"/>
  <c r="R79" i="1" l="1"/>
  <c r="S80" i="1"/>
  <c r="T80" i="1" s="1"/>
  <c r="S79" i="1" l="1"/>
  <c r="T79" i="1" s="1"/>
  <c r="R78" i="1"/>
  <c r="R77" i="1" l="1"/>
  <c r="S78" i="1"/>
  <c r="T78" i="1" s="1"/>
  <c r="R76" i="1" l="1"/>
  <c r="S77" i="1"/>
  <c r="T77" i="1" s="1"/>
  <c r="S76" i="1" l="1"/>
  <c r="T76" i="1" s="1"/>
  <c r="R75" i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R70" i="1" l="1"/>
  <c r="S71" i="1"/>
  <c r="T71" i="1" s="1"/>
  <c r="S70" i="1" l="1"/>
  <c r="T70" i="1" s="1"/>
  <c r="R69" i="1"/>
  <c r="R68" i="1" l="1"/>
  <c r="S69" i="1"/>
  <c r="T69" i="1" s="1"/>
  <c r="S68" i="1" l="1"/>
  <c r="T68" i="1" s="1"/>
  <c r="R67" i="1"/>
  <c r="S67" i="1" l="1"/>
  <c r="T67" i="1" s="1"/>
  <c r="R66" i="1"/>
  <c r="R65" i="1" l="1"/>
  <c r="S66" i="1"/>
  <c r="T66" i="1" s="1"/>
  <c r="S65" i="1" l="1"/>
  <c r="T65" i="1" s="1"/>
  <c r="R64" i="1"/>
  <c r="R63" i="1" l="1"/>
  <c r="S64" i="1"/>
  <c r="T64" i="1" s="1"/>
  <c r="S63" i="1" l="1"/>
  <c r="T63" i="1" s="1"/>
  <c r="R62" i="1"/>
  <c r="R61" i="1" l="1"/>
  <c r="S62" i="1"/>
  <c r="T62" i="1" s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S57" i="1" l="1"/>
  <c r="T57" i="1" s="1"/>
  <c r="R56" i="1"/>
  <c r="S56" i="1" l="1"/>
  <c r="T56" i="1" s="1"/>
  <c r="R55" i="1"/>
  <c r="R54" i="1" l="1"/>
  <c r="S55" i="1"/>
  <c r="T55" i="1" s="1"/>
  <c r="R53" i="1" l="1"/>
  <c r="S54" i="1"/>
  <c r="T54" i="1" s="1"/>
  <c r="R52" i="1" l="1"/>
  <c r="S53" i="1"/>
  <c r="T53" i="1" s="1"/>
  <c r="S52" i="1" l="1"/>
  <c r="T52" i="1" s="1"/>
  <c r="R51" i="1"/>
  <c r="R50" i="1" l="1"/>
  <c r="S51" i="1"/>
  <c r="T51" i="1" s="1"/>
  <c r="R49" i="1" l="1"/>
  <c r="S50" i="1"/>
  <c r="T50" i="1" s="1"/>
  <c r="S49" i="1" l="1"/>
  <c r="T49" i="1" s="1"/>
  <c r="R48" i="1"/>
  <c r="S48" i="1" l="1"/>
  <c r="T48" i="1" s="1"/>
  <c r="R47" i="1"/>
  <c r="R46" i="1" l="1"/>
  <c r="S47" i="1"/>
  <c r="T47" i="1" s="1"/>
  <c r="S46" i="1" l="1"/>
  <c r="T46" i="1" s="1"/>
  <c r="R45" i="1"/>
  <c r="R44" i="1" l="1"/>
  <c r="S45" i="1"/>
  <c r="T45" i="1" s="1"/>
  <c r="S44" i="1" l="1"/>
  <c r="T44" i="1" s="1"/>
  <c r="R43" i="1"/>
  <c r="S43" i="1" l="1"/>
  <c r="T43" i="1" s="1"/>
  <c r="R42" i="1"/>
  <c r="R41" i="1" l="1"/>
  <c r="S42" i="1"/>
  <c r="T42" i="1" s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S36" i="1" l="1"/>
  <c r="T36" i="1" s="1"/>
  <c r="R35" i="1"/>
  <c r="R34" i="1" l="1"/>
  <c r="S35" i="1"/>
  <c r="T35" i="1" s="1"/>
  <c r="S34" i="1" l="1"/>
  <c r="T34" i="1" s="1"/>
  <c r="R33" i="1"/>
  <c r="R32" i="1" l="1"/>
  <c r="S33" i="1"/>
  <c r="T33" i="1" s="1"/>
  <c r="S32" i="1" l="1"/>
  <c r="T32" i="1" s="1"/>
  <c r="R31" i="1"/>
  <c r="R30" i="1" l="1"/>
  <c r="S31" i="1"/>
  <c r="T31" i="1" s="1"/>
  <c r="S30" i="1" l="1"/>
  <c r="T30" i="1" s="1"/>
  <c r="R29" i="1"/>
  <c r="S29" i="1" l="1"/>
  <c r="T29" i="1" s="1"/>
  <c r="R28" i="1"/>
  <c r="S28" i="1" l="1"/>
  <c r="T28" i="1" s="1"/>
  <c r="R27" i="1"/>
  <c r="R26" i="1" l="1"/>
  <c r="S27" i="1"/>
  <c r="T27" i="1" s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<sst xmlns="http://schemas.openxmlformats.org/spreadsheetml/2006/main" count="6705" uniqueCount="34">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</sst>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0.79469999999999996</c:v>
                </c:pt>
                <c:pt idx="1">
                  <c:v>0.80889999999999995</c:v>
                </c:pt>
                <c:pt idx="2">
                  <c:v>0.79420000000000002</c:v>
                </c:pt>
                <c:pt idx="3">
                  <c:v>0.74990000000000001</c:v>
                </c:pt>
                <c:pt idx="4">
                  <c:v>0.76070000000000004</c:v>
                </c:pt>
                <c:pt idx="5">
                  <c:v>0.71760000000000002</c:v>
                </c:pt>
                <c:pt idx="6">
                  <c:v>0.80900000000000005</c:v>
                </c:pt>
                <c:pt idx="7">
                  <c:v>0.90859999999999996</c:v>
                </c:pt>
                <c:pt idx="8">
                  <c:v>0.9546</c:v>
                </c:pt>
                <c:pt idx="9">
                  <c:v>1.0052000000000001</c:v>
                </c:pt>
                <c:pt idx="10">
                  <c:v>1.0141</c:v>
                </c:pt>
                <c:pt idx="11">
                  <c:v>1.0565</c:v>
                </c:pt>
                <c:pt idx="12">
                  <c:v>1.0626</c:v>
                </c:pt>
                <c:pt idx="13">
                  <c:v>1.0562</c:v>
                </c:pt>
                <c:pt idx="14">
                  <c:v>1.0383</c:v>
                </c:pt>
                <c:pt idx="15">
                  <c:v>1.1153999999999999</c:v>
                </c:pt>
                <c:pt idx="16">
                  <c:v>1.0567</c:v>
                </c:pt>
                <c:pt idx="17">
                  <c:v>0.99809999999999999</c:v>
                </c:pt>
                <c:pt idx="18">
                  <c:v>1.0339</c:v>
                </c:pt>
                <c:pt idx="19">
                  <c:v>1.0209999999999999</c:v>
                </c:pt>
                <c:pt idx="20">
                  <c:v>1.0768</c:v>
                </c:pt>
                <c:pt idx="21">
                  <c:v>1.1835</c:v>
                </c:pt>
                <c:pt idx="22">
                  <c:v>1.1763999999999999</c:v>
                </c:pt>
                <c:pt idx="23">
                  <c:v>1.2825</c:v>
                </c:pt>
                <c:pt idx="24">
                  <c:v>1.3017000000000001</c:v>
                </c:pt>
                <c:pt idx="25">
                  <c:v>1.2999000000000001</c:v>
                </c:pt>
                <c:pt idx="26">
                  <c:v>1.256</c:v>
                </c:pt>
                <c:pt idx="27">
                  <c:v>1.2047000000000001</c:v>
                </c:pt>
                <c:pt idx="28">
                  <c:v>1.1886000000000001</c:v>
                </c:pt>
                <c:pt idx="29">
                  <c:v>1.1508</c:v>
                </c:pt>
                <c:pt idx="30">
                  <c:v>1.2195</c:v>
                </c:pt>
                <c:pt idx="31">
                  <c:v>1.381</c:v>
                </c:pt>
                <c:pt idx="32">
                  <c:v>1.3368</c:v>
                </c:pt>
                <c:pt idx="33">
                  <c:v>1.3364</c:v>
                </c:pt>
                <c:pt idx="34">
                  <c:v>1.3143</c:v>
                </c:pt>
                <c:pt idx="35">
                  <c:v>1.3435999999999999</c:v>
                </c:pt>
                <c:pt idx="36">
                  <c:v>1.1872</c:v>
                </c:pt>
                <c:pt idx="37">
                  <c:v>1.1645000000000001</c:v>
                </c:pt>
                <c:pt idx="38">
                  <c:v>1.1069</c:v>
                </c:pt>
                <c:pt idx="39">
                  <c:v>1.1334</c:v>
                </c:pt>
                <c:pt idx="40">
                  <c:v>1.1761999999999999</c:v>
                </c:pt>
                <c:pt idx="41">
                  <c:v>1.1503000000000001</c:v>
                </c:pt>
                <c:pt idx="42">
                  <c:v>1.1308</c:v>
                </c:pt>
                <c:pt idx="43">
                  <c:v>1.1174999999999999</c:v>
                </c:pt>
                <c:pt idx="44">
                  <c:v>1.0668</c:v>
                </c:pt>
                <c:pt idx="45">
                  <c:v>1.0296000000000001</c:v>
                </c:pt>
                <c:pt idx="46">
                  <c:v>1.1997</c:v>
                </c:pt>
                <c:pt idx="47">
                  <c:v>1.0629999999999999</c:v>
                </c:pt>
                <c:pt idx="48">
                  <c:v>1.0653999999999999</c:v>
                </c:pt>
                <c:pt idx="49">
                  <c:v>1.1394</c:v>
                </c:pt>
                <c:pt idx="50">
                  <c:v>1.3012999999999999</c:v>
                </c:pt>
                <c:pt idx="51">
                  <c:v>1.3250999999999999</c:v>
                </c:pt>
                <c:pt idx="52">
                  <c:v>1.3609</c:v>
                </c:pt>
                <c:pt idx="53">
                  <c:v>1.1661999999999999</c:v>
                </c:pt>
                <c:pt idx="54">
                  <c:v>1.1247</c:v>
                </c:pt>
                <c:pt idx="55">
                  <c:v>1.2822</c:v>
                </c:pt>
                <c:pt idx="56">
                  <c:v>1.4261999999999999</c:v>
                </c:pt>
                <c:pt idx="57">
                  <c:v>1.492</c:v>
                </c:pt>
                <c:pt idx="58">
                  <c:v>1.4573</c:v>
                </c:pt>
                <c:pt idx="59">
                  <c:v>1.6143000000000001</c:v>
                </c:pt>
                <c:pt idx="60">
                  <c:v>1.6577999999999999</c:v>
                </c:pt>
                <c:pt idx="61">
                  <c:v>1.7658</c:v>
                </c:pt>
                <c:pt idx="62">
                  <c:v>1.3361000000000001</c:v>
                </c:pt>
                <c:pt idx="63">
                  <c:v>1.4216</c:v>
                </c:pt>
                <c:pt idx="64">
                  <c:v>1.0275000000000001</c:v>
                </c:pt>
                <c:pt idx="65">
                  <c:v>1.0650999999999999</c:v>
                </c:pt>
                <c:pt idx="66">
                  <c:v>1.0389999999999999</c:v>
                </c:pt>
                <c:pt idx="67">
                  <c:v>1.0725</c:v>
                </c:pt>
                <c:pt idx="68">
                  <c:v>1.1094999999999999</c:v>
                </c:pt>
                <c:pt idx="69">
                  <c:v>1.1253</c:v>
                </c:pt>
                <c:pt idx="70">
                  <c:v>0.97809999999999997</c:v>
                </c:pt>
                <c:pt idx="71">
                  <c:v>1.0661</c:v>
                </c:pt>
                <c:pt idx="72">
                  <c:v>1.0636000000000001</c:v>
                </c:pt>
                <c:pt idx="73">
                  <c:v>1.1443000000000001</c:v>
                </c:pt>
                <c:pt idx="74">
                  <c:v>1.1483000000000001</c:v>
                </c:pt>
                <c:pt idx="75">
                  <c:v>1.1424000000000001</c:v>
                </c:pt>
                <c:pt idx="76">
                  <c:v>1.1687000000000001</c:v>
                </c:pt>
                <c:pt idx="77">
                  <c:v>1.1180000000000001</c:v>
                </c:pt>
                <c:pt idx="78">
                  <c:v>1.0810999999999999</c:v>
                </c:pt>
                <c:pt idx="79">
                  <c:v>1.1695</c:v>
                </c:pt>
                <c:pt idx="80">
                  <c:v>1.2763</c:v>
                </c:pt>
                <c:pt idx="81">
                  <c:v>0.99819999999999998</c:v>
                </c:pt>
                <c:pt idx="82">
                  <c:v>1.0109999999999999</c:v>
                </c:pt>
                <c:pt idx="83">
                  <c:v>0.96970000000000001</c:v>
                </c:pt>
                <c:pt idx="84">
                  <c:v>0.97599999999999998</c:v>
                </c:pt>
                <c:pt idx="85">
                  <c:v>0.96860000000000002</c:v>
                </c:pt>
                <c:pt idx="86">
                  <c:v>1.0339</c:v>
                </c:pt>
                <c:pt idx="87">
                  <c:v>1.0204</c:v>
                </c:pt>
                <c:pt idx="88">
                  <c:v>0.99429999999999996</c:v>
                </c:pt>
                <c:pt idx="89">
                  <c:v>1.2418</c:v>
                </c:pt>
                <c:pt idx="90">
                  <c:v>0.85309999999999997</c:v>
                </c:pt>
                <c:pt idx="91">
                  <c:v>0.69479999999999997</c:v>
                </c:pt>
                <c:pt idx="92">
                  <c:v>0.63729999999999998</c:v>
                </c:pt>
                <c:pt idx="93">
                  <c:v>0.7127</c:v>
                </c:pt>
                <c:pt idx="94">
                  <c:v>0.70350000000000001</c:v>
                </c:pt>
                <c:pt idx="95">
                  <c:v>0.6885</c:v>
                </c:pt>
                <c:pt idx="96">
                  <c:v>0.71250000000000002</c:v>
                </c:pt>
                <c:pt idx="97">
                  <c:v>0.69769999999999999</c:v>
                </c:pt>
                <c:pt idx="98">
                  <c:v>0.69069999999999998</c:v>
                </c:pt>
                <c:pt idx="99">
                  <c:v>0.71150000000000002</c:v>
                </c:pt>
                <c:pt idx="100">
                  <c:v>0.6804</c:v>
                </c:pt>
                <c:pt idx="101">
                  <c:v>0.68120000000000003</c:v>
                </c:pt>
                <c:pt idx="102">
                  <c:v>0.69020000000000004</c:v>
                </c:pt>
                <c:pt idx="103">
                  <c:v>0.71779999999999999</c:v>
                </c:pt>
                <c:pt idx="104">
                  <c:v>0.69199999999999995</c:v>
                </c:pt>
                <c:pt idx="105">
                  <c:v>0.70350000000000001</c:v>
                </c:pt>
                <c:pt idx="106">
                  <c:v>0.70599999999999996</c:v>
                </c:pt>
                <c:pt idx="107">
                  <c:v>0.69710000000000005</c:v>
                </c:pt>
                <c:pt idx="108">
                  <c:v>0.70289999999999997</c:v>
                </c:pt>
                <c:pt idx="109">
                  <c:v>0.71879999999999999</c:v>
                </c:pt>
                <c:pt idx="110">
                  <c:v>0.76249999999999996</c:v>
                </c:pt>
                <c:pt idx="111">
                  <c:v>0.74750000000000005</c:v>
                </c:pt>
                <c:pt idx="112">
                  <c:v>0.73329999999999995</c:v>
                </c:pt>
                <c:pt idx="113">
                  <c:v>0.73629999999999995</c:v>
                </c:pt>
                <c:pt idx="114">
                  <c:v>0.74180000000000001</c:v>
                </c:pt>
                <c:pt idx="115">
                  <c:v>0.7046</c:v>
                </c:pt>
                <c:pt idx="116">
                  <c:v>0.72889999999999999</c:v>
                </c:pt>
                <c:pt idx="117">
                  <c:v>0.70830000000000004</c:v>
                </c:pt>
                <c:pt idx="118">
                  <c:v>0.67959999999999998</c:v>
                </c:pt>
                <c:pt idx="119">
                  <c:v>0.63200000000000001</c:v>
                </c:pt>
                <c:pt idx="120">
                  <c:v>0.59419999999999995</c:v>
                </c:pt>
                <c:pt idx="121">
                  <c:v>0.58140000000000003</c:v>
                </c:pt>
                <c:pt idx="122">
                  <c:v>0.60750000000000004</c:v>
                </c:pt>
                <c:pt idx="123">
                  <c:v>0.63790000000000002</c:v>
                </c:pt>
                <c:pt idx="124">
                  <c:v>0.64349999999999996</c:v>
                </c:pt>
                <c:pt idx="125">
                  <c:v>0.65380000000000005</c:v>
                </c:pt>
                <c:pt idx="126">
                  <c:v>0.70240000000000002</c:v>
                </c:pt>
                <c:pt idx="127">
                  <c:v>0.6855</c:v>
                </c:pt>
                <c:pt idx="128">
                  <c:v>0.60619999999999996</c:v>
                </c:pt>
                <c:pt idx="129">
                  <c:v>0.68079999999999996</c:v>
                </c:pt>
                <c:pt idx="130">
                  <c:v>0.73839999999999995</c:v>
                </c:pt>
                <c:pt idx="131">
                  <c:v>0.75449999999999995</c:v>
                </c:pt>
                <c:pt idx="132">
                  <c:v>0.75190000000000001</c:v>
                </c:pt>
                <c:pt idx="133">
                  <c:v>0.77510000000000001</c:v>
                </c:pt>
                <c:pt idx="134">
                  <c:v>0.79269999999999996</c:v>
                </c:pt>
                <c:pt idx="135">
                  <c:v>0.78190000000000004</c:v>
                </c:pt>
                <c:pt idx="136">
                  <c:v>0.75460000000000005</c:v>
                </c:pt>
                <c:pt idx="137">
                  <c:v>0.80979999999999996</c:v>
                </c:pt>
                <c:pt idx="138">
                  <c:v>0.77300000000000002</c:v>
                </c:pt>
                <c:pt idx="139">
                  <c:v>0.76259999999999994</c:v>
                </c:pt>
                <c:pt idx="140">
                  <c:v>0.81210000000000004</c:v>
                </c:pt>
                <c:pt idx="141">
                  <c:v>0.77039999999999997</c:v>
                </c:pt>
                <c:pt idx="142">
                  <c:v>0.77769999999999995</c:v>
                </c:pt>
                <c:pt idx="143">
                  <c:v>0.95530000000000004</c:v>
                </c:pt>
                <c:pt idx="144">
                  <c:v>0.98329999999999995</c:v>
                </c:pt>
                <c:pt idx="145">
                  <c:v>0.92059999999999997</c:v>
                </c:pt>
                <c:pt idx="146">
                  <c:v>0.87870000000000004</c:v>
                </c:pt>
                <c:pt idx="147">
                  <c:v>0.84850000000000003</c:v>
                </c:pt>
                <c:pt idx="148">
                  <c:v>0.86350000000000005</c:v>
                </c:pt>
                <c:pt idx="149">
                  <c:v>0.81459999999999999</c:v>
                </c:pt>
                <c:pt idx="150">
                  <c:v>0.79239999999999999</c:v>
                </c:pt>
                <c:pt idx="151">
                  <c:v>0.81520000000000004</c:v>
                </c:pt>
                <c:pt idx="152">
                  <c:v>0.81940000000000002</c:v>
                </c:pt>
                <c:pt idx="153">
                  <c:v>0.84560000000000002</c:v>
                </c:pt>
                <c:pt idx="154">
                  <c:v>0.79300000000000004</c:v>
                </c:pt>
                <c:pt idx="155">
                  <c:v>0.8619</c:v>
                </c:pt>
                <c:pt idx="156">
                  <c:v>0.81850000000000001</c:v>
                </c:pt>
                <c:pt idx="157">
                  <c:v>0.89410000000000001</c:v>
                </c:pt>
                <c:pt idx="158">
                  <c:v>0.81459999999999999</c:v>
                </c:pt>
                <c:pt idx="159">
                  <c:v>0.77900000000000003</c:v>
                </c:pt>
                <c:pt idx="160">
                  <c:v>0.78269999999999995</c:v>
                </c:pt>
                <c:pt idx="161">
                  <c:v>0.75760000000000005</c:v>
                </c:pt>
                <c:pt idx="162">
                  <c:v>0.71509999999999996</c:v>
                </c:pt>
                <c:pt idx="163">
                  <c:v>0.73580000000000001</c:v>
                </c:pt>
                <c:pt idx="164">
                  <c:v>0.78259999999999996</c:v>
                </c:pt>
                <c:pt idx="165">
                  <c:v>0.81159999999999999</c:v>
                </c:pt>
                <c:pt idx="166">
                  <c:v>0.78</c:v>
                </c:pt>
                <c:pt idx="167">
                  <c:v>0.79010000000000002</c:v>
                </c:pt>
                <c:pt idx="168">
                  <c:v>0.71499999999999997</c:v>
                </c:pt>
                <c:pt idx="169">
                  <c:v>0.74390000000000001</c:v>
                </c:pt>
                <c:pt idx="170">
                  <c:v>0.72199999999999998</c:v>
                </c:pt>
                <c:pt idx="171">
                  <c:v>0.70150000000000001</c:v>
                </c:pt>
                <c:pt idx="172">
                  <c:v>0.67269999999999996</c:v>
                </c:pt>
                <c:pt idx="173">
                  <c:v>0.72040000000000004</c:v>
                </c:pt>
                <c:pt idx="174">
                  <c:v>0.69620000000000004</c:v>
                </c:pt>
                <c:pt idx="175">
                  <c:v>0.67810000000000004</c:v>
                </c:pt>
                <c:pt idx="176">
                  <c:v>0.66930000000000001</c:v>
                </c:pt>
                <c:pt idx="177">
                  <c:v>0.64080000000000004</c:v>
                </c:pt>
                <c:pt idx="178">
                  <c:v>0.65559999999999996</c:v>
                </c:pt>
                <c:pt idx="179">
                  <c:v>0.65900000000000003</c:v>
                </c:pt>
                <c:pt idx="180">
                  <c:v>0.65190000000000003</c:v>
                </c:pt>
                <c:pt idx="181">
                  <c:v>0.61429999999999996</c:v>
                </c:pt>
                <c:pt idx="182">
                  <c:v>0.59460000000000002</c:v>
                </c:pt>
                <c:pt idx="183">
                  <c:v>0.57140000000000002</c:v>
                </c:pt>
                <c:pt idx="184">
                  <c:v>0.57240000000000002</c:v>
                </c:pt>
                <c:pt idx="185">
                  <c:v>0.54749999999999999</c:v>
                </c:pt>
                <c:pt idx="186">
                  <c:v>0.54200000000000004</c:v>
                </c:pt>
                <c:pt idx="187">
                  <c:v>0.53580000000000005</c:v>
                </c:pt>
                <c:pt idx="188">
                  <c:v>0.5252</c:v>
                </c:pt>
                <c:pt idx="189">
                  <c:v>0.51280000000000003</c:v>
                </c:pt>
                <c:pt idx="190">
                  <c:v>0.50329999999999997</c:v>
                </c:pt>
                <c:pt idx="191">
                  <c:v>0.46610000000000001</c:v>
                </c:pt>
                <c:pt idx="192">
                  <c:v>0.4955</c:v>
                </c:pt>
                <c:pt idx="193">
                  <c:v>0.51890000000000003</c:v>
                </c:pt>
                <c:pt idx="194">
                  <c:v>0.53410000000000002</c:v>
                </c:pt>
                <c:pt idx="195">
                  <c:v>0.5494</c:v>
                </c:pt>
                <c:pt idx="196">
                  <c:v>0.50690000000000002</c:v>
                </c:pt>
                <c:pt idx="197">
                  <c:v>0.53100000000000003</c:v>
                </c:pt>
                <c:pt idx="198">
                  <c:v>0.53569999999999995</c:v>
                </c:pt>
                <c:pt idx="199">
                  <c:v>0.5484</c:v>
                </c:pt>
                <c:pt idx="200">
                  <c:v>0.56289999999999996</c:v>
                </c:pt>
                <c:pt idx="201">
                  <c:v>0.5575</c:v>
                </c:pt>
                <c:pt idx="202">
                  <c:v>0.5696</c:v>
                </c:pt>
                <c:pt idx="203">
                  <c:v>0.56789999999999996</c:v>
                </c:pt>
                <c:pt idx="204">
                  <c:v>0.61339999999999995</c:v>
                </c:pt>
                <c:pt idx="205">
                  <c:v>0.59289999999999998</c:v>
                </c:pt>
                <c:pt idx="206">
                  <c:v>0.56630000000000003</c:v>
                </c:pt>
                <c:pt idx="207">
                  <c:v>0.60599999999999998</c:v>
                </c:pt>
                <c:pt idx="208">
                  <c:v>0.58899999999999997</c:v>
                </c:pt>
                <c:pt idx="209">
                  <c:v>0.58120000000000005</c:v>
                </c:pt>
                <c:pt idx="210">
                  <c:v>0.58130000000000004</c:v>
                </c:pt>
                <c:pt idx="211">
                  <c:v>0.61580000000000001</c:v>
                </c:pt>
                <c:pt idx="212">
                  <c:v>0.58660000000000001</c:v>
                </c:pt>
                <c:pt idx="213">
                  <c:v>0.5575</c:v>
                </c:pt>
                <c:pt idx="214">
                  <c:v>0.54100000000000004</c:v>
                </c:pt>
                <c:pt idx="215">
                  <c:v>0.5111</c:v>
                </c:pt>
                <c:pt idx="216">
                  <c:v>0.51790000000000003</c:v>
                </c:pt>
                <c:pt idx="217">
                  <c:v>0.57350000000000001</c:v>
                </c:pt>
                <c:pt idx="218">
                  <c:v>0.55079999999999996</c:v>
                </c:pt>
                <c:pt idx="219">
                  <c:v>0.48359999999999997</c:v>
                </c:pt>
                <c:pt idx="220">
                  <c:v>0.51049999999999995</c:v>
                </c:pt>
                <c:pt idx="221">
                  <c:v>0.60050000000000003</c:v>
                </c:pt>
                <c:pt idx="222">
                  <c:v>0.5958</c:v>
                </c:pt>
                <c:pt idx="223">
                  <c:v>0.61040000000000005</c:v>
                </c:pt>
                <c:pt idx="224">
                  <c:v>0.65759999999999996</c:v>
                </c:pt>
                <c:pt idx="225">
                  <c:v>0.65600000000000003</c:v>
                </c:pt>
                <c:pt idx="226">
                  <c:v>0.69059999999999999</c:v>
                </c:pt>
                <c:pt idx="227">
                  <c:v>0.67159999999999997</c:v>
                </c:pt>
                <c:pt idx="228">
                  <c:v>0.64859999999999995</c:v>
                </c:pt>
                <c:pt idx="229">
                  <c:v>0.61680000000000001</c:v>
                </c:pt>
                <c:pt idx="230">
                  <c:v>0.64659999999999995</c:v>
                </c:pt>
                <c:pt idx="231">
                  <c:v>0.6643</c:v>
                </c:pt>
                <c:pt idx="232">
                  <c:v>0.70289999999999997</c:v>
                </c:pt>
                <c:pt idx="233">
                  <c:v>0.66959999999999997</c:v>
                </c:pt>
                <c:pt idx="234">
                  <c:v>0.69479999999999997</c:v>
                </c:pt>
                <c:pt idx="235">
                  <c:v>0.76280000000000003</c:v>
                </c:pt>
                <c:pt idx="236">
                  <c:v>0.75060000000000004</c:v>
                </c:pt>
                <c:pt idx="237">
                  <c:v>0.76090000000000002</c:v>
                </c:pt>
                <c:pt idx="238">
                  <c:v>0.83</c:v>
                </c:pt>
                <c:pt idx="239">
                  <c:v>0.79690000000000005</c:v>
                </c:pt>
                <c:pt idx="240">
                  <c:v>0.747</c:v>
                </c:pt>
                <c:pt idx="241">
                  <c:v>0.76790000000000003</c:v>
                </c:pt>
                <c:pt idx="242">
                  <c:v>0.7036</c:v>
                </c:pt>
                <c:pt idx="243">
                  <c:v>0.68110000000000004</c:v>
                </c:pt>
                <c:pt idx="244">
                  <c:v>0.74819999999999998</c:v>
                </c:pt>
                <c:pt idx="245">
                  <c:v>0.84450000000000003</c:v>
                </c:pt>
                <c:pt idx="246">
                  <c:v>0.88870000000000005</c:v>
                </c:pt>
                <c:pt idx="247">
                  <c:v>0.73760000000000003</c:v>
                </c:pt>
                <c:pt idx="248">
                  <c:v>0.7258</c:v>
                </c:pt>
                <c:pt idx="249">
                  <c:v>0.55759999999999998</c:v>
                </c:pt>
                <c:pt idx="250">
                  <c:v>0.6804</c:v>
                </c:pt>
                <c:pt idx="251">
                  <c:v>0.75470000000000004</c:v>
                </c:pt>
                <c:pt idx="252">
                  <c:v>0.87609999999999999</c:v>
                </c:pt>
                <c:pt idx="253">
                  <c:v>0.74470000000000003</c:v>
                </c:pt>
                <c:pt idx="254">
                  <c:v>1.1056999999999999</c:v>
                </c:pt>
                <c:pt idx="255">
                  <c:v>1.0590999999999999</c:v>
                </c:pt>
                <c:pt idx="256">
                  <c:v>1.1424000000000001</c:v>
                </c:pt>
                <c:pt idx="257">
                  <c:v>1.1357999999999999</c:v>
                </c:pt>
                <c:pt idx="258">
                  <c:v>1.2185999999999999</c:v>
                </c:pt>
                <c:pt idx="259">
                  <c:v>1.1933</c:v>
                </c:pt>
                <c:pt idx="260">
                  <c:v>1.1644000000000001</c:v>
                </c:pt>
                <c:pt idx="261">
                  <c:v>1.3969</c:v>
                </c:pt>
                <c:pt idx="262">
                  <c:v>1.3121</c:v>
                </c:pt>
                <c:pt idx="263">
                  <c:v>1.4118999999999999</c:v>
                </c:pt>
                <c:pt idx="264">
                  <c:v>1.4182999999999999</c:v>
                </c:pt>
                <c:pt idx="265">
                  <c:v>1.4064000000000001</c:v>
                </c:pt>
                <c:pt idx="266">
                  <c:v>1.4038999999999999</c:v>
                </c:pt>
                <c:pt idx="267">
                  <c:v>1.3631</c:v>
                </c:pt>
                <c:pt idx="268">
                  <c:v>1.1649</c:v>
                </c:pt>
                <c:pt idx="269">
                  <c:v>1.2924</c:v>
                </c:pt>
                <c:pt idx="270">
                  <c:v>1.2546999999999999</c:v>
                </c:pt>
                <c:pt idx="271">
                  <c:v>1.2692000000000001</c:v>
                </c:pt>
                <c:pt idx="272">
                  <c:v>1.2636000000000001</c:v>
                </c:pt>
                <c:pt idx="273">
                  <c:v>1.1881999999999999</c:v>
                </c:pt>
                <c:pt idx="274">
                  <c:v>1.2004999999999999</c:v>
                </c:pt>
                <c:pt idx="275">
                  <c:v>1.2323999999999999</c:v>
                </c:pt>
                <c:pt idx="276">
                  <c:v>1.1640999999999999</c:v>
                </c:pt>
                <c:pt idx="277">
                  <c:v>1.0266999999999999</c:v>
                </c:pt>
                <c:pt idx="278">
                  <c:v>1.0324</c:v>
                </c:pt>
                <c:pt idx="279">
                  <c:v>1.1724000000000001</c:v>
                </c:pt>
                <c:pt idx="280">
                  <c:v>1.0677000000000001</c:v>
                </c:pt>
                <c:pt idx="281">
                  <c:v>1.2063999999999999</c:v>
                </c:pt>
                <c:pt idx="282">
                  <c:v>1.2658</c:v>
                </c:pt>
                <c:pt idx="283">
                  <c:v>1.3198000000000001</c:v>
                </c:pt>
                <c:pt idx="284">
                  <c:v>1.3484</c:v>
                </c:pt>
                <c:pt idx="285">
                  <c:v>1.472</c:v>
                </c:pt>
                <c:pt idx="286">
                  <c:v>1.5259</c:v>
                </c:pt>
                <c:pt idx="287">
                  <c:v>1.5192000000000001</c:v>
                </c:pt>
                <c:pt idx="288">
                  <c:v>1.4628000000000001</c:v>
                </c:pt>
                <c:pt idx="289">
                  <c:v>1.5</c:v>
                </c:pt>
                <c:pt idx="290">
                  <c:v>1.4180999999999999</c:v>
                </c:pt>
                <c:pt idx="291">
                  <c:v>1.4381999999999999</c:v>
                </c:pt>
                <c:pt idx="292">
                  <c:v>1.4630000000000001</c:v>
                </c:pt>
                <c:pt idx="293">
                  <c:v>1.5431999999999999</c:v>
                </c:pt>
                <c:pt idx="294">
                  <c:v>1.2903</c:v>
                </c:pt>
                <c:pt idx="295">
                  <c:v>1.1868000000000001</c:v>
                </c:pt>
                <c:pt idx="296">
                  <c:v>1.3272999999999999</c:v>
                </c:pt>
                <c:pt idx="297">
                  <c:v>1.2766999999999999</c:v>
                </c:pt>
                <c:pt idx="298">
                  <c:v>1.1751</c:v>
                </c:pt>
                <c:pt idx="299">
                  <c:v>1.1147</c:v>
                </c:pt>
                <c:pt idx="300">
                  <c:v>1.198</c:v>
                </c:pt>
                <c:pt idx="301">
                  <c:v>1.1543000000000001</c:v>
                </c:pt>
                <c:pt idx="302">
                  <c:v>1.1427</c:v>
                </c:pt>
                <c:pt idx="303">
                  <c:v>1.169</c:v>
                </c:pt>
                <c:pt idx="304">
                  <c:v>1.1395</c:v>
                </c:pt>
                <c:pt idx="305">
                  <c:v>1.1208</c:v>
                </c:pt>
                <c:pt idx="306">
                  <c:v>1.0803</c:v>
                </c:pt>
                <c:pt idx="307">
                  <c:v>1.0741000000000001</c:v>
                </c:pt>
                <c:pt idx="308">
                  <c:v>0.97540000000000004</c:v>
                </c:pt>
                <c:pt idx="309">
                  <c:v>0.98750000000000004</c:v>
                </c:pt>
                <c:pt idx="310">
                  <c:v>1.0517000000000001</c:v>
                </c:pt>
                <c:pt idx="311">
                  <c:v>1.0846</c:v>
                </c:pt>
                <c:pt idx="312">
                  <c:v>1.1247</c:v>
                </c:pt>
                <c:pt idx="313">
                  <c:v>1.0866</c:v>
                </c:pt>
                <c:pt idx="314">
                  <c:v>1.1812</c:v>
                </c:pt>
                <c:pt idx="315">
                  <c:v>1.2027000000000001</c:v>
                </c:pt>
                <c:pt idx="316">
                  <c:v>1.2342</c:v>
                </c:pt>
                <c:pt idx="317">
                  <c:v>1.0303</c:v>
                </c:pt>
                <c:pt idx="318">
                  <c:v>0.76049999999999995</c:v>
                </c:pt>
                <c:pt idx="319">
                  <c:v>0.76619999999999999</c:v>
                </c:pt>
                <c:pt idx="320">
                  <c:v>0.8145</c:v>
                </c:pt>
                <c:pt idx="321">
                  <c:v>0.75549999999999995</c:v>
                </c:pt>
                <c:pt idx="322">
                  <c:v>0.80269999999999997</c:v>
                </c:pt>
                <c:pt idx="323">
                  <c:v>0.81930000000000003</c:v>
                </c:pt>
                <c:pt idx="324">
                  <c:v>0.74690000000000001</c:v>
                </c:pt>
                <c:pt idx="325">
                  <c:v>0.74370000000000003</c:v>
                </c:pt>
                <c:pt idx="326">
                  <c:v>0.69479999999999997</c:v>
                </c:pt>
                <c:pt idx="327">
                  <c:v>0.66390000000000005</c:v>
                </c:pt>
                <c:pt idx="328">
                  <c:v>0.67889999999999995</c:v>
                </c:pt>
                <c:pt idx="329">
                  <c:v>0.69269999999999998</c:v>
                </c:pt>
                <c:pt idx="330">
                  <c:v>0.76129999999999998</c:v>
                </c:pt>
                <c:pt idx="331">
                  <c:v>0.60260000000000002</c:v>
                </c:pt>
                <c:pt idx="332">
                  <c:v>0.58609999999999995</c:v>
                </c:pt>
                <c:pt idx="333">
                  <c:v>0.52800000000000002</c:v>
                </c:pt>
                <c:pt idx="334">
                  <c:v>0.51470000000000005</c:v>
                </c:pt>
                <c:pt idx="335">
                  <c:v>0.52539999999999998</c:v>
                </c:pt>
                <c:pt idx="336">
                  <c:v>0.48120000000000002</c:v>
                </c:pt>
                <c:pt idx="337">
                  <c:v>0.51400000000000001</c:v>
                </c:pt>
                <c:pt idx="338">
                  <c:v>0.47660000000000002</c:v>
                </c:pt>
                <c:pt idx="339">
                  <c:v>0.54179999999999995</c:v>
                </c:pt>
                <c:pt idx="340">
                  <c:v>0.60660000000000003</c:v>
                </c:pt>
                <c:pt idx="341">
                  <c:v>0.57779999999999998</c:v>
                </c:pt>
                <c:pt idx="342">
                  <c:v>0.61409999999999998</c:v>
                </c:pt>
                <c:pt idx="343">
                  <c:v>0.63560000000000005</c:v>
                </c:pt>
                <c:pt idx="344">
                  <c:v>0.57479999999999998</c:v>
                </c:pt>
                <c:pt idx="345">
                  <c:v>0.55730000000000002</c:v>
                </c:pt>
                <c:pt idx="346">
                  <c:v>0.53920000000000001</c:v>
                </c:pt>
                <c:pt idx="347">
                  <c:v>0.55859999999999999</c:v>
                </c:pt>
                <c:pt idx="348">
                  <c:v>0.61750000000000005</c:v>
                </c:pt>
                <c:pt idx="349">
                  <c:v>0.62780000000000002</c:v>
                </c:pt>
                <c:pt idx="350">
                  <c:v>0.59119999999999995</c:v>
                </c:pt>
                <c:pt idx="351">
                  <c:v>0.44390000000000002</c:v>
                </c:pt>
                <c:pt idx="352">
                  <c:v>0.43369999999999997</c:v>
                </c:pt>
                <c:pt idx="353">
                  <c:v>0.41710000000000003</c:v>
                </c:pt>
                <c:pt idx="354">
                  <c:v>0.40699999999999997</c:v>
                </c:pt>
                <c:pt idx="355">
                  <c:v>0.35299999999999998</c:v>
                </c:pt>
                <c:pt idx="356">
                  <c:v>0.37130000000000002</c:v>
                </c:pt>
                <c:pt idx="357">
                  <c:v>0.31259999999999999</c:v>
                </c:pt>
                <c:pt idx="358">
                  <c:v>0.32240000000000002</c:v>
                </c:pt>
                <c:pt idx="359">
                  <c:v>0.31640000000000001</c:v>
                </c:pt>
                <c:pt idx="360">
                  <c:v>0.31709999999999999</c:v>
                </c:pt>
                <c:pt idx="361">
                  <c:v>0.30280000000000001</c:v>
                </c:pt>
                <c:pt idx="362">
                  <c:v>0.31640000000000001</c:v>
                </c:pt>
                <c:pt idx="363">
                  <c:v>0.30930000000000002</c:v>
                </c:pt>
                <c:pt idx="364">
                  <c:v>0.30590000000000001</c:v>
                </c:pt>
                <c:pt idx="365">
                  <c:v>0.30259999999999998</c:v>
                </c:pt>
                <c:pt idx="366">
                  <c:v>0.29920000000000002</c:v>
                </c:pt>
                <c:pt idx="367">
                  <c:v>0.3014</c:v>
                </c:pt>
                <c:pt idx="368">
                  <c:v>0.31850000000000001</c:v>
                </c:pt>
                <c:pt idx="369">
                  <c:v>0.32950000000000002</c:v>
                </c:pt>
                <c:pt idx="370">
                  <c:v>0.31390000000000001</c:v>
                </c:pt>
                <c:pt idx="371">
                  <c:v>0.24379999999999999</c:v>
                </c:pt>
                <c:pt idx="372">
                  <c:v>0.27860000000000001</c:v>
                </c:pt>
                <c:pt idx="373">
                  <c:v>0.26840000000000003</c:v>
                </c:pt>
                <c:pt idx="374">
                  <c:v>0.28270000000000001</c:v>
                </c:pt>
                <c:pt idx="375">
                  <c:v>0.27360000000000001</c:v>
                </c:pt>
                <c:pt idx="376">
                  <c:v>0.26650000000000001</c:v>
                </c:pt>
                <c:pt idx="377">
                  <c:v>0.2472</c:v>
                </c:pt>
                <c:pt idx="378">
                  <c:v>0.24629999999999999</c:v>
                </c:pt>
                <c:pt idx="379">
                  <c:v>0.24970000000000001</c:v>
                </c:pt>
                <c:pt idx="380">
                  <c:v>0.23169999999999999</c:v>
                </c:pt>
                <c:pt idx="381">
                  <c:v>0.23</c:v>
                </c:pt>
                <c:pt idx="382">
                  <c:v>0.25740000000000002</c:v>
                </c:pt>
                <c:pt idx="383">
                  <c:v>0.27439999999999998</c:v>
                </c:pt>
                <c:pt idx="384">
                  <c:v>0.25080000000000002</c:v>
                </c:pt>
                <c:pt idx="385">
                  <c:v>0.25650000000000001</c:v>
                </c:pt>
                <c:pt idx="386">
                  <c:v>0.25040000000000001</c:v>
                </c:pt>
                <c:pt idx="387">
                  <c:v>0.23119999999999999</c:v>
                </c:pt>
                <c:pt idx="388">
                  <c:v>0.21840000000000001</c:v>
                </c:pt>
                <c:pt idx="389">
                  <c:v>0.217</c:v>
                </c:pt>
                <c:pt idx="390">
                  <c:v>0.20369999999999999</c:v>
                </c:pt>
                <c:pt idx="391">
                  <c:v>0.20419999999999999</c:v>
                </c:pt>
                <c:pt idx="392">
                  <c:v>0.1996</c:v>
                </c:pt>
                <c:pt idx="393">
                  <c:v>0.20130000000000001</c:v>
                </c:pt>
                <c:pt idx="394">
                  <c:v>0.2064</c:v>
                </c:pt>
                <c:pt idx="395">
                  <c:v>0.2107</c:v>
                </c:pt>
                <c:pt idx="396">
                  <c:v>0.2087</c:v>
                </c:pt>
                <c:pt idx="397">
                  <c:v>0.21379999999999999</c:v>
                </c:pt>
                <c:pt idx="398">
                  <c:v>0.214</c:v>
                </c:pt>
                <c:pt idx="399">
                  <c:v>0.21779999999999999</c:v>
                </c:pt>
                <c:pt idx="400">
                  <c:v>0.19309999999999999</c:v>
                </c:pt>
                <c:pt idx="401">
                  <c:v>0.21820000000000001</c:v>
                </c:pt>
                <c:pt idx="402">
                  <c:v>0.2238</c:v>
                </c:pt>
                <c:pt idx="403">
                  <c:v>0.2321</c:v>
                </c:pt>
                <c:pt idx="404">
                  <c:v>0.2445</c:v>
                </c:pt>
                <c:pt idx="405">
                  <c:v>0.24959999999999999</c:v>
                </c:pt>
                <c:pt idx="406">
                  <c:v>0.2266</c:v>
                </c:pt>
                <c:pt idx="407">
                  <c:v>0.2329</c:v>
                </c:pt>
                <c:pt idx="408">
                  <c:v>0.21809999999999999</c:v>
                </c:pt>
                <c:pt idx="409">
                  <c:v>0.21809999999999999</c:v>
                </c:pt>
                <c:pt idx="410">
                  <c:v>0.21310000000000001</c:v>
                </c:pt>
                <c:pt idx="411">
                  <c:v>0.21099999999999999</c:v>
                </c:pt>
                <c:pt idx="412">
                  <c:v>0.2029</c:v>
                </c:pt>
                <c:pt idx="413">
                  <c:v>0.2087</c:v>
                </c:pt>
                <c:pt idx="414">
                  <c:v>0.21970000000000001</c:v>
                </c:pt>
                <c:pt idx="415">
                  <c:v>0.2198</c:v>
                </c:pt>
                <c:pt idx="416">
                  <c:v>0.23569999999999999</c:v>
                </c:pt>
                <c:pt idx="417">
                  <c:v>0.23710000000000001</c:v>
                </c:pt>
                <c:pt idx="418">
                  <c:v>0.23599999999999999</c:v>
                </c:pt>
                <c:pt idx="419">
                  <c:v>0.22850000000000001</c:v>
                </c:pt>
                <c:pt idx="420">
                  <c:v>0.2432</c:v>
                </c:pt>
                <c:pt idx="421">
                  <c:v>0.2422</c:v>
                </c:pt>
                <c:pt idx="422">
                  <c:v>0.2351</c:v>
                </c:pt>
                <c:pt idx="423">
                  <c:v>0.24379999999999999</c:v>
                </c:pt>
                <c:pt idx="424">
                  <c:v>0.23630000000000001</c:v>
                </c:pt>
                <c:pt idx="425">
                  <c:v>0.22950000000000001</c:v>
                </c:pt>
                <c:pt idx="426">
                  <c:v>0.22500000000000001</c:v>
                </c:pt>
                <c:pt idx="427">
                  <c:v>0.22470000000000001</c:v>
                </c:pt>
                <c:pt idx="428">
                  <c:v>0.25619999999999998</c:v>
                </c:pt>
                <c:pt idx="429">
                  <c:v>0.26129999999999998</c:v>
                </c:pt>
                <c:pt idx="430">
                  <c:v>0.25480000000000003</c:v>
                </c:pt>
                <c:pt idx="431">
                  <c:v>0.22</c:v>
                </c:pt>
                <c:pt idx="432">
                  <c:v>0.23369999999999999</c:v>
                </c:pt>
                <c:pt idx="433">
                  <c:v>0.2024</c:v>
                </c:pt>
                <c:pt idx="434">
                  <c:v>0.19670000000000001</c:v>
                </c:pt>
                <c:pt idx="435">
                  <c:v>0.2</c:v>
                </c:pt>
                <c:pt idx="436">
                  <c:v>0.2051</c:v>
                </c:pt>
                <c:pt idx="437">
                  <c:v>0.19769999999999999</c:v>
                </c:pt>
                <c:pt idx="438">
                  <c:v>0.19359999999999999</c:v>
                </c:pt>
                <c:pt idx="439">
                  <c:v>0.1966</c:v>
                </c:pt>
                <c:pt idx="440">
                  <c:v>0.2026</c:v>
                </c:pt>
                <c:pt idx="441">
                  <c:v>0.1956</c:v>
                </c:pt>
                <c:pt idx="442">
                  <c:v>0.1996</c:v>
                </c:pt>
                <c:pt idx="443">
                  <c:v>0.2016</c:v>
                </c:pt>
                <c:pt idx="444">
                  <c:v>0.19400000000000001</c:v>
                </c:pt>
                <c:pt idx="445">
                  <c:v>0.19839999999999999</c:v>
                </c:pt>
                <c:pt idx="446">
                  <c:v>0.19239999999999999</c:v>
                </c:pt>
                <c:pt idx="447">
                  <c:v>0.20430000000000001</c:v>
                </c:pt>
                <c:pt idx="448">
                  <c:v>0.19089999999999999</c:v>
                </c:pt>
                <c:pt idx="449">
                  <c:v>0.18529999999999999</c:v>
                </c:pt>
                <c:pt idx="450">
                  <c:v>0.1807</c:v>
                </c:pt>
                <c:pt idx="451">
                  <c:v>0.18340000000000001</c:v>
                </c:pt>
                <c:pt idx="452">
                  <c:v>0.19070000000000001</c:v>
                </c:pt>
                <c:pt idx="453">
                  <c:v>0.18529999999999999</c:v>
                </c:pt>
                <c:pt idx="454">
                  <c:v>0.187</c:v>
                </c:pt>
                <c:pt idx="455">
                  <c:v>0.18940000000000001</c:v>
                </c:pt>
                <c:pt idx="456">
                  <c:v>0.19489999999999999</c:v>
                </c:pt>
                <c:pt idx="457">
                  <c:v>0.2135</c:v>
                </c:pt>
                <c:pt idx="458">
                  <c:v>0.21340000000000001</c:v>
                </c:pt>
                <c:pt idx="459">
                  <c:v>0.21510000000000001</c:v>
                </c:pt>
                <c:pt idx="460">
                  <c:v>0.219</c:v>
                </c:pt>
                <c:pt idx="461">
                  <c:v>0.22159999999999999</c:v>
                </c:pt>
                <c:pt idx="462">
                  <c:v>0.22320000000000001</c:v>
                </c:pt>
                <c:pt idx="463">
                  <c:v>0.2152</c:v>
                </c:pt>
                <c:pt idx="464">
                  <c:v>0.20830000000000001</c:v>
                </c:pt>
                <c:pt idx="465">
                  <c:v>0.21410000000000001</c:v>
                </c:pt>
                <c:pt idx="466">
                  <c:v>0.214</c:v>
                </c:pt>
                <c:pt idx="467">
                  <c:v>0.2145</c:v>
                </c:pt>
                <c:pt idx="468">
                  <c:v>0.20699999999999999</c:v>
                </c:pt>
                <c:pt idx="469">
                  <c:v>0.2132</c:v>
                </c:pt>
                <c:pt idx="470">
                  <c:v>0.2147</c:v>
                </c:pt>
                <c:pt idx="471">
                  <c:v>0.21709999999999999</c:v>
                </c:pt>
                <c:pt idx="472">
                  <c:v>0.2203</c:v>
                </c:pt>
                <c:pt idx="473">
                  <c:v>0.22159999999999999</c:v>
                </c:pt>
                <c:pt idx="474">
                  <c:v>0.2203</c:v>
                </c:pt>
                <c:pt idx="475">
                  <c:v>0.22209999999999999</c:v>
                </c:pt>
                <c:pt idx="476">
                  <c:v>0.21740000000000001</c:v>
                </c:pt>
                <c:pt idx="477">
                  <c:v>0.21460000000000001</c:v>
                </c:pt>
                <c:pt idx="478">
                  <c:v>0.2107</c:v>
                </c:pt>
                <c:pt idx="479">
                  <c:v>0.2215</c:v>
                </c:pt>
                <c:pt idx="480">
                  <c:v>0.2235</c:v>
                </c:pt>
                <c:pt idx="481">
                  <c:v>0.22040000000000001</c:v>
                </c:pt>
                <c:pt idx="482">
                  <c:v>0.22389999999999999</c:v>
                </c:pt>
                <c:pt idx="483">
                  <c:v>0.2303</c:v>
                </c:pt>
                <c:pt idx="484">
                  <c:v>0.2394</c:v>
                </c:pt>
                <c:pt idx="485">
                  <c:v>0.23760000000000001</c:v>
                </c:pt>
                <c:pt idx="486">
                  <c:v>0.2341</c:v>
                </c:pt>
                <c:pt idx="487">
                  <c:v>0.22939999999999999</c:v>
                </c:pt>
                <c:pt idx="488">
                  <c:v>0.23280000000000001</c:v>
                </c:pt>
                <c:pt idx="489">
                  <c:v>0.23230000000000001</c:v>
                </c:pt>
                <c:pt idx="490">
                  <c:v>0.22589999999999999</c:v>
                </c:pt>
                <c:pt idx="491">
                  <c:v>0.21299999999999999</c:v>
                </c:pt>
                <c:pt idx="492">
                  <c:v>0.22869999999999999</c:v>
                </c:pt>
                <c:pt idx="493">
                  <c:v>0.21310000000000001</c:v>
                </c:pt>
                <c:pt idx="494">
                  <c:v>0.23760000000000001</c:v>
                </c:pt>
                <c:pt idx="495">
                  <c:v>0.24260000000000001</c:v>
                </c:pt>
                <c:pt idx="496">
                  <c:v>0.24349999999999999</c:v>
                </c:pt>
                <c:pt idx="497">
                  <c:v>0.24959999999999999</c:v>
                </c:pt>
                <c:pt idx="498">
                  <c:v>0.25080000000000002</c:v>
                </c:pt>
                <c:pt idx="499">
                  <c:v>0.2462</c:v>
                </c:pt>
                <c:pt idx="500">
                  <c:v>0.25650000000000001</c:v>
                </c:pt>
                <c:pt idx="501">
                  <c:v>0.25790000000000002</c:v>
                </c:pt>
                <c:pt idx="502">
                  <c:v>0.27389999999999998</c:v>
                </c:pt>
                <c:pt idx="503">
                  <c:v>0.26390000000000002</c:v>
                </c:pt>
                <c:pt idx="504">
                  <c:v>0.2656</c:v>
                </c:pt>
                <c:pt idx="505">
                  <c:v>0.25669999999999998</c:v>
                </c:pt>
                <c:pt idx="506">
                  <c:v>0.251</c:v>
                </c:pt>
                <c:pt idx="507">
                  <c:v>0.25280000000000002</c:v>
                </c:pt>
                <c:pt idx="508">
                  <c:v>0.25819999999999999</c:v>
                </c:pt>
                <c:pt idx="509">
                  <c:v>0.23719999999999999</c:v>
                </c:pt>
                <c:pt idx="510">
                  <c:v>0.2646</c:v>
                </c:pt>
                <c:pt idx="511">
                  <c:v>0.25080000000000002</c:v>
                </c:pt>
                <c:pt idx="512">
                  <c:v>0.3165</c:v>
                </c:pt>
                <c:pt idx="513">
                  <c:v>0.3347</c:v>
                </c:pt>
                <c:pt idx="514">
                  <c:v>0.3478</c:v>
                </c:pt>
                <c:pt idx="515">
                  <c:v>0.34570000000000001</c:v>
                </c:pt>
                <c:pt idx="516">
                  <c:v>0.35170000000000001</c:v>
                </c:pt>
                <c:pt idx="517">
                  <c:v>0.34910000000000002</c:v>
                </c:pt>
                <c:pt idx="518">
                  <c:v>0.32650000000000001</c:v>
                </c:pt>
                <c:pt idx="519">
                  <c:v>0.35139999999999999</c:v>
                </c:pt>
                <c:pt idx="520">
                  <c:v>0.34510000000000002</c:v>
                </c:pt>
                <c:pt idx="521">
                  <c:v>0.39660000000000001</c:v>
                </c:pt>
                <c:pt idx="522">
                  <c:v>0.40239999999999998</c:v>
                </c:pt>
                <c:pt idx="523">
                  <c:v>0.3977</c:v>
                </c:pt>
                <c:pt idx="524">
                  <c:v>0.37719999999999998</c:v>
                </c:pt>
                <c:pt idx="525">
                  <c:v>0.3609</c:v>
                </c:pt>
                <c:pt idx="526">
                  <c:v>0.31809999999999999</c:v>
                </c:pt>
                <c:pt idx="527">
                  <c:v>0.34960000000000002</c:v>
                </c:pt>
                <c:pt idx="528">
                  <c:v>0.31680000000000003</c:v>
                </c:pt>
                <c:pt idx="529">
                  <c:v>0.32440000000000002</c:v>
                </c:pt>
                <c:pt idx="530">
                  <c:v>0.27389999999999998</c:v>
                </c:pt>
                <c:pt idx="531">
                  <c:v>0.2787</c:v>
                </c:pt>
                <c:pt idx="532">
                  <c:v>0.26910000000000001</c:v>
                </c:pt>
                <c:pt idx="533">
                  <c:v>0.27160000000000001</c:v>
                </c:pt>
                <c:pt idx="534">
                  <c:v>0.26169999999999999</c:v>
                </c:pt>
                <c:pt idx="535">
                  <c:v>0.28660000000000002</c:v>
                </c:pt>
                <c:pt idx="536">
                  <c:v>0.26690000000000003</c:v>
                </c:pt>
                <c:pt idx="537">
                  <c:v>0.26140000000000002</c:v>
                </c:pt>
                <c:pt idx="538">
                  <c:v>0.253</c:v>
                </c:pt>
                <c:pt idx="539">
                  <c:v>0.25879999999999997</c:v>
                </c:pt>
                <c:pt idx="540">
                  <c:v>0.25750000000000001</c:v>
                </c:pt>
                <c:pt idx="541">
                  <c:v>0.26200000000000001</c:v>
                </c:pt>
                <c:pt idx="542">
                  <c:v>0.25080000000000002</c:v>
                </c:pt>
                <c:pt idx="543">
                  <c:v>0.2429</c:v>
                </c:pt>
                <c:pt idx="544">
                  <c:v>0.2586</c:v>
                </c:pt>
                <c:pt idx="545">
                  <c:v>0.2525</c:v>
                </c:pt>
                <c:pt idx="546">
                  <c:v>0.24709999999999999</c:v>
                </c:pt>
                <c:pt idx="547">
                  <c:v>0.24759999999999999</c:v>
                </c:pt>
                <c:pt idx="548">
                  <c:v>0.25109999999999999</c:v>
                </c:pt>
                <c:pt idx="549">
                  <c:v>0.2482</c:v>
                </c:pt>
                <c:pt idx="550">
                  <c:v>0.25419999999999998</c:v>
                </c:pt>
                <c:pt idx="551">
                  <c:v>0.26369999999999999</c:v>
                </c:pt>
                <c:pt idx="552">
                  <c:v>0.25769999999999998</c:v>
                </c:pt>
                <c:pt idx="553">
                  <c:v>0.2646</c:v>
                </c:pt>
                <c:pt idx="554">
                  <c:v>0.2621</c:v>
                </c:pt>
                <c:pt idx="555">
                  <c:v>0.26040000000000002</c:v>
                </c:pt>
                <c:pt idx="556">
                  <c:v>0.25850000000000001</c:v>
                </c:pt>
                <c:pt idx="557">
                  <c:v>0.27450000000000002</c:v>
                </c:pt>
                <c:pt idx="558">
                  <c:v>0.26950000000000002</c:v>
                </c:pt>
                <c:pt idx="559">
                  <c:v>0.26540000000000002</c:v>
                </c:pt>
                <c:pt idx="560">
                  <c:v>0.26029999999999998</c:v>
                </c:pt>
                <c:pt idx="561">
                  <c:v>0.25969999999999999</c:v>
                </c:pt>
                <c:pt idx="562">
                  <c:v>0.26240000000000002</c:v>
                </c:pt>
                <c:pt idx="563">
                  <c:v>0.26340000000000002</c:v>
                </c:pt>
                <c:pt idx="564">
                  <c:v>0.26</c:v>
                </c:pt>
                <c:pt idx="565">
                  <c:v>0.25779999999999997</c:v>
                </c:pt>
                <c:pt idx="566">
                  <c:v>0.2545</c:v>
                </c:pt>
                <c:pt idx="567">
                  <c:v>0.26200000000000001</c:v>
                </c:pt>
                <c:pt idx="568">
                  <c:v>0.26440000000000002</c:v>
                </c:pt>
                <c:pt idx="569">
                  <c:v>0.25490000000000002</c:v>
                </c:pt>
                <c:pt idx="570">
                  <c:v>0.26079999999999998</c:v>
                </c:pt>
                <c:pt idx="571">
                  <c:v>0.2462</c:v>
                </c:pt>
                <c:pt idx="572">
                  <c:v>0.24970000000000001</c:v>
                </c:pt>
                <c:pt idx="573">
                  <c:v>0.24160000000000001</c:v>
                </c:pt>
                <c:pt idx="574">
                  <c:v>0.24210000000000001</c:v>
                </c:pt>
                <c:pt idx="575">
                  <c:v>0.25640000000000002</c:v>
                </c:pt>
                <c:pt idx="576">
                  <c:v>0.25140000000000001</c:v>
                </c:pt>
                <c:pt idx="577">
                  <c:v>0.26169999999999999</c:v>
                </c:pt>
                <c:pt idx="578">
                  <c:v>0.26350000000000001</c:v>
                </c:pt>
                <c:pt idx="579">
                  <c:v>0.27089999999999997</c:v>
                </c:pt>
                <c:pt idx="580">
                  <c:v>0.27200000000000002</c:v>
                </c:pt>
                <c:pt idx="581">
                  <c:v>0.27050000000000002</c:v>
                </c:pt>
                <c:pt idx="582">
                  <c:v>0.24909999999999999</c:v>
                </c:pt>
                <c:pt idx="583">
                  <c:v>0.25819999999999999</c:v>
                </c:pt>
                <c:pt idx="584">
                  <c:v>0.24440000000000001</c:v>
                </c:pt>
                <c:pt idx="585">
                  <c:v>0.24229999999999999</c:v>
                </c:pt>
                <c:pt idx="586">
                  <c:v>0.23080000000000001</c:v>
                </c:pt>
                <c:pt idx="587">
                  <c:v>0.2177</c:v>
                </c:pt>
                <c:pt idx="588">
                  <c:v>0.21779999999999999</c:v>
                </c:pt>
                <c:pt idx="589">
                  <c:v>0.22370000000000001</c:v>
                </c:pt>
                <c:pt idx="590">
                  <c:v>0.22500000000000001</c:v>
                </c:pt>
                <c:pt idx="591">
                  <c:v>0.22220000000000001</c:v>
                </c:pt>
                <c:pt idx="592">
                  <c:v>0.22359999999999999</c:v>
                </c:pt>
                <c:pt idx="593">
                  <c:v>0.2324</c:v>
                </c:pt>
                <c:pt idx="594">
                  <c:v>0.22950000000000001</c:v>
                </c:pt>
                <c:pt idx="595">
                  <c:v>0.222</c:v>
                </c:pt>
                <c:pt idx="596">
                  <c:v>0.25019999999999998</c:v>
                </c:pt>
                <c:pt idx="597">
                  <c:v>0.25119999999999998</c:v>
                </c:pt>
                <c:pt idx="598">
                  <c:v>0.25740000000000002</c:v>
                </c:pt>
                <c:pt idx="599">
                  <c:v>0.2346</c:v>
                </c:pt>
                <c:pt idx="600">
                  <c:v>0.23699999999999999</c:v>
                </c:pt>
                <c:pt idx="601">
                  <c:v>0.24429999999999999</c:v>
                </c:pt>
                <c:pt idx="602">
                  <c:v>0.2414</c:v>
                </c:pt>
                <c:pt idx="603">
                  <c:v>0.22439999999999999</c:v>
                </c:pt>
                <c:pt idx="604">
                  <c:v>0.21529999999999999</c:v>
                </c:pt>
                <c:pt idx="605">
                  <c:v>0.22389999999999999</c:v>
                </c:pt>
                <c:pt idx="606">
                  <c:v>0.21129999999999999</c:v>
                </c:pt>
                <c:pt idx="607">
                  <c:v>0.22040000000000001</c:v>
                </c:pt>
                <c:pt idx="608">
                  <c:v>0.2092</c:v>
                </c:pt>
                <c:pt idx="609">
                  <c:v>0.21279999999999999</c:v>
                </c:pt>
                <c:pt idx="610">
                  <c:v>0.2074</c:v>
                </c:pt>
                <c:pt idx="611">
                  <c:v>0.20349999999999999</c:v>
                </c:pt>
                <c:pt idx="612">
                  <c:v>0.20499999999999999</c:v>
                </c:pt>
                <c:pt idx="613">
                  <c:v>0.19309999999999999</c:v>
                </c:pt>
                <c:pt idx="614">
                  <c:v>0.20280000000000001</c:v>
                </c:pt>
                <c:pt idx="615">
                  <c:v>0.20569999999999999</c:v>
                </c:pt>
                <c:pt idx="616">
                  <c:v>0.19539999999999999</c:v>
                </c:pt>
                <c:pt idx="617">
                  <c:v>0.2039</c:v>
                </c:pt>
                <c:pt idx="618">
                  <c:v>0.20669999999999999</c:v>
                </c:pt>
                <c:pt idx="619">
                  <c:v>0.2102</c:v>
                </c:pt>
                <c:pt idx="620">
                  <c:v>0.2051</c:v>
                </c:pt>
                <c:pt idx="621">
                  <c:v>0.2034</c:v>
                </c:pt>
                <c:pt idx="622">
                  <c:v>0.1988</c:v>
                </c:pt>
                <c:pt idx="623">
                  <c:v>0.20030000000000001</c:v>
                </c:pt>
                <c:pt idx="624">
                  <c:v>0.2024</c:v>
                </c:pt>
                <c:pt idx="625">
                  <c:v>0.2072</c:v>
                </c:pt>
                <c:pt idx="626">
                  <c:v>0.1835</c:v>
                </c:pt>
                <c:pt idx="627">
                  <c:v>0.19570000000000001</c:v>
                </c:pt>
                <c:pt idx="628">
                  <c:v>0.2172</c:v>
                </c:pt>
                <c:pt idx="629">
                  <c:v>0.22789999999999999</c:v>
                </c:pt>
                <c:pt idx="630">
                  <c:v>0.1847</c:v>
                </c:pt>
                <c:pt idx="631">
                  <c:v>0.17849999999999999</c:v>
                </c:pt>
                <c:pt idx="632">
                  <c:v>0.18590000000000001</c:v>
                </c:pt>
                <c:pt idx="633">
                  <c:v>0.1865</c:v>
                </c:pt>
                <c:pt idx="634">
                  <c:v>0.1847</c:v>
                </c:pt>
                <c:pt idx="635">
                  <c:v>0.19089999999999999</c:v>
                </c:pt>
                <c:pt idx="636">
                  <c:v>0.18740000000000001</c:v>
                </c:pt>
                <c:pt idx="637">
                  <c:v>0.18360000000000001</c:v>
                </c:pt>
                <c:pt idx="638">
                  <c:v>0.1938</c:v>
                </c:pt>
                <c:pt idx="639">
                  <c:v>0.1835</c:v>
                </c:pt>
                <c:pt idx="640">
                  <c:v>0.18110000000000001</c:v>
                </c:pt>
                <c:pt idx="641">
                  <c:v>0.184</c:v>
                </c:pt>
                <c:pt idx="642">
                  <c:v>0.18260000000000001</c:v>
                </c:pt>
                <c:pt idx="643">
                  <c:v>0.17680000000000001</c:v>
                </c:pt>
                <c:pt idx="644">
                  <c:v>0.16739999999999999</c:v>
                </c:pt>
                <c:pt idx="645">
                  <c:v>0.16550000000000001</c:v>
                </c:pt>
                <c:pt idx="646">
                  <c:v>0.158</c:v>
                </c:pt>
                <c:pt idx="647">
                  <c:v>0.15640000000000001</c:v>
                </c:pt>
                <c:pt idx="648">
                  <c:v>0.16470000000000001</c:v>
                </c:pt>
                <c:pt idx="649">
                  <c:v>0.17130000000000001</c:v>
                </c:pt>
                <c:pt idx="650">
                  <c:v>0.1651</c:v>
                </c:pt>
                <c:pt idx="651">
                  <c:v>0.1653</c:v>
                </c:pt>
                <c:pt idx="652">
                  <c:v>0.1552</c:v>
                </c:pt>
                <c:pt idx="653">
                  <c:v>0.1653</c:v>
                </c:pt>
                <c:pt idx="654">
                  <c:v>0.15820000000000001</c:v>
                </c:pt>
                <c:pt idx="655">
                  <c:v>0.1598</c:v>
                </c:pt>
                <c:pt idx="656">
                  <c:v>0.1615</c:v>
                </c:pt>
                <c:pt idx="657">
                  <c:v>0.16209999999999999</c:v>
                </c:pt>
                <c:pt idx="658">
                  <c:v>0.1719</c:v>
                </c:pt>
                <c:pt idx="659">
                  <c:v>0.16619999999999999</c:v>
                </c:pt>
                <c:pt idx="660">
                  <c:v>0.16089999999999999</c:v>
                </c:pt>
                <c:pt idx="661">
                  <c:v>0.16139999999999999</c:v>
                </c:pt>
                <c:pt idx="662">
                  <c:v>0.14599999999999999</c:v>
                </c:pt>
                <c:pt idx="663">
                  <c:v>0.14660000000000001</c:v>
                </c:pt>
                <c:pt idx="664">
                  <c:v>0.1444</c:v>
                </c:pt>
                <c:pt idx="665">
                  <c:v>0.14369999999999999</c:v>
                </c:pt>
                <c:pt idx="666">
                  <c:v>0.1426</c:v>
                </c:pt>
                <c:pt idx="667">
                  <c:v>0.1416</c:v>
                </c:pt>
                <c:pt idx="668">
                  <c:v>0.1394</c:v>
                </c:pt>
                <c:pt idx="669">
                  <c:v>0.1303</c:v>
                </c:pt>
                <c:pt idx="670">
                  <c:v>0.1389</c:v>
                </c:pt>
                <c:pt idx="671">
                  <c:v>0.13930000000000001</c:v>
                </c:pt>
                <c:pt idx="672">
                  <c:v>0.15179999999999999</c:v>
                </c:pt>
                <c:pt idx="673">
                  <c:v>0.14849999999999999</c:v>
                </c:pt>
                <c:pt idx="674">
                  <c:v>0.15329999999999999</c:v>
                </c:pt>
                <c:pt idx="675">
                  <c:v>0.13469999999999999</c:v>
                </c:pt>
                <c:pt idx="676">
                  <c:v>0.1237</c:v>
                </c:pt>
                <c:pt idx="677">
                  <c:v>0.1366</c:v>
                </c:pt>
                <c:pt idx="678">
                  <c:v>0.13450000000000001</c:v>
                </c:pt>
                <c:pt idx="679">
                  <c:v>0.13639999999999999</c:v>
                </c:pt>
                <c:pt idx="680">
                  <c:v>0.1198</c:v>
                </c:pt>
                <c:pt idx="681">
                  <c:v>0.1176</c:v>
                </c:pt>
                <c:pt idx="682">
                  <c:v>0.1118</c:v>
                </c:pt>
                <c:pt idx="683">
                  <c:v>0.1234</c:v>
                </c:pt>
                <c:pt idx="684">
                  <c:v>0.12330000000000001</c:v>
                </c:pt>
                <c:pt idx="685">
                  <c:v>0.13239999999999999</c:v>
                </c:pt>
                <c:pt idx="686">
                  <c:v>0.11</c:v>
                </c:pt>
                <c:pt idx="687">
                  <c:v>0.19969999999999999</c:v>
                </c:pt>
                <c:pt idx="688">
                  <c:v>0.20330000000000001</c:v>
                </c:pt>
                <c:pt idx="689">
                  <c:v>0.19550000000000001</c:v>
                </c:pt>
                <c:pt idx="690">
                  <c:v>0.1923</c:v>
                </c:pt>
                <c:pt idx="691">
                  <c:v>0.22720000000000001</c:v>
                </c:pt>
                <c:pt idx="692">
                  <c:v>0.2424</c:v>
                </c:pt>
                <c:pt idx="693">
                  <c:v>0.23430000000000001</c:v>
                </c:pt>
                <c:pt idx="694">
                  <c:v>0.23169999999999999</c:v>
                </c:pt>
                <c:pt idx="695">
                  <c:v>0.22370000000000001</c:v>
                </c:pt>
                <c:pt idx="696">
                  <c:v>0.22770000000000001</c:v>
                </c:pt>
                <c:pt idx="697">
                  <c:v>0.20910000000000001</c:v>
                </c:pt>
                <c:pt idx="698">
                  <c:v>0.21079999999999999</c:v>
                </c:pt>
                <c:pt idx="699">
                  <c:v>0.21529999999999999</c:v>
                </c:pt>
                <c:pt idx="700">
                  <c:v>0.221</c:v>
                </c:pt>
                <c:pt idx="701">
                  <c:v>0.21870000000000001</c:v>
                </c:pt>
                <c:pt idx="702">
                  <c:v>0.2339</c:v>
                </c:pt>
                <c:pt idx="703">
                  <c:v>0.25659999999999999</c:v>
                </c:pt>
                <c:pt idx="704">
                  <c:v>0.27589999999999998</c:v>
                </c:pt>
                <c:pt idx="705">
                  <c:v>0.2717</c:v>
                </c:pt>
                <c:pt idx="706">
                  <c:v>0.26529999999999998</c:v>
                </c:pt>
                <c:pt idx="707">
                  <c:v>0.25640000000000002</c:v>
                </c:pt>
                <c:pt idx="708">
                  <c:v>0.25850000000000001</c:v>
                </c:pt>
                <c:pt idx="709">
                  <c:v>0.28189999999999998</c:v>
                </c:pt>
                <c:pt idx="710">
                  <c:v>0.26640000000000003</c:v>
                </c:pt>
                <c:pt idx="711">
                  <c:v>0.26319999999999999</c:v>
                </c:pt>
                <c:pt idx="712">
                  <c:v>0.27939999999999998</c:v>
                </c:pt>
                <c:pt idx="713">
                  <c:v>0.3115</c:v>
                </c:pt>
                <c:pt idx="714">
                  <c:v>0.29389999999999999</c:v>
                </c:pt>
                <c:pt idx="715">
                  <c:v>0.30270000000000002</c:v>
                </c:pt>
                <c:pt idx="716">
                  <c:v>0.29270000000000002</c:v>
                </c:pt>
                <c:pt idx="717">
                  <c:v>0.26379999999999998</c:v>
                </c:pt>
                <c:pt idx="718">
                  <c:v>0.27279999999999999</c:v>
                </c:pt>
                <c:pt idx="719">
                  <c:v>0.25559999999999999</c:v>
                </c:pt>
                <c:pt idx="720">
                  <c:v>0.2636</c:v>
                </c:pt>
                <c:pt idx="721">
                  <c:v>0.26519999999999999</c:v>
                </c:pt>
                <c:pt idx="722">
                  <c:v>0.2515</c:v>
                </c:pt>
                <c:pt idx="723">
                  <c:v>0.24299999999999999</c:v>
                </c:pt>
                <c:pt idx="724">
                  <c:v>0.23480000000000001</c:v>
                </c:pt>
                <c:pt idx="725">
                  <c:v>0.224</c:v>
                </c:pt>
                <c:pt idx="726">
                  <c:v>0.22409999999999999</c:v>
                </c:pt>
                <c:pt idx="727">
                  <c:v>0.2195</c:v>
                </c:pt>
                <c:pt idx="728">
                  <c:v>0.2233</c:v>
                </c:pt>
                <c:pt idx="729">
                  <c:v>0.21820000000000001</c:v>
                </c:pt>
                <c:pt idx="730">
                  <c:v>0.222</c:v>
                </c:pt>
                <c:pt idx="731">
                  <c:v>0.22589999999999999</c:v>
                </c:pt>
                <c:pt idx="732">
                  <c:v>0.2117</c:v>
                </c:pt>
                <c:pt idx="733">
                  <c:v>0.2039</c:v>
                </c:pt>
                <c:pt idx="734">
                  <c:v>0.2077</c:v>
                </c:pt>
                <c:pt idx="735">
                  <c:v>0.20749999999999999</c:v>
                </c:pt>
                <c:pt idx="736">
                  <c:v>0.21859999999999999</c:v>
                </c:pt>
                <c:pt idx="737">
                  <c:v>0.2203</c:v>
                </c:pt>
                <c:pt idx="738">
                  <c:v>0.22259999999999999</c:v>
                </c:pt>
                <c:pt idx="739">
                  <c:v>0.21390000000000001</c:v>
                </c:pt>
                <c:pt idx="740">
                  <c:v>0.22309999999999999</c:v>
                </c:pt>
                <c:pt idx="741">
                  <c:v>0.22839999999999999</c:v>
                </c:pt>
                <c:pt idx="742">
                  <c:v>0.2177</c:v>
                </c:pt>
                <c:pt idx="743">
                  <c:v>0.22040000000000001</c:v>
                </c:pt>
                <c:pt idx="744">
                  <c:v>0.21440000000000001</c:v>
                </c:pt>
                <c:pt idx="745">
                  <c:v>0.1867</c:v>
                </c:pt>
                <c:pt idx="746">
                  <c:v>0.19020000000000001</c:v>
                </c:pt>
                <c:pt idx="747">
                  <c:v>0.18859999999999999</c:v>
                </c:pt>
                <c:pt idx="748">
                  <c:v>0.18759999999999999</c:v>
                </c:pt>
                <c:pt idx="749">
                  <c:v>0.18509999999999999</c:v>
                </c:pt>
                <c:pt idx="750">
                  <c:v>0.18279999999999999</c:v>
                </c:pt>
                <c:pt idx="751">
                  <c:v>0.19220000000000001</c:v>
                </c:pt>
                <c:pt idx="752">
                  <c:v>0.1915</c:v>
                </c:pt>
                <c:pt idx="753">
                  <c:v>0.18740000000000001</c:v>
                </c:pt>
                <c:pt idx="754">
                  <c:v>0.1883</c:v>
                </c:pt>
                <c:pt idx="755">
                  <c:v>0.1865</c:v>
                </c:pt>
                <c:pt idx="756">
                  <c:v>0.1827</c:v>
                </c:pt>
                <c:pt idx="757">
                  <c:v>0.19620000000000001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5-49AA-8037-3673CB40168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5.8221478535635587</c:v>
                </c:pt>
                <c:pt idx="1">
                  <c:v>5.839509546806803</c:v>
                </c:pt>
                <c:pt idx="2">
                  <c:v>5.9582669944200966</c:v>
                </c:pt>
                <c:pt idx="3">
                  <c:v>5.7887440138713142</c:v>
                </c:pt>
                <c:pt idx="4">
                  <c:v>5.645033934750435</c:v>
                </c:pt>
                <c:pt idx="5">
                  <c:v>5.4461552963371513</c:v>
                </c:pt>
                <c:pt idx="6">
                  <c:v>5.5856515908645141</c:v>
                </c:pt>
                <c:pt idx="7">
                  <c:v>5.7330757069251206</c:v>
                </c:pt>
                <c:pt idx="8">
                  <c:v>5.8279766667309456</c:v>
                </c:pt>
                <c:pt idx="9">
                  <c:v>5.8927234712125518</c:v>
                </c:pt>
                <c:pt idx="10">
                  <c:v>5.8770600045231323</c:v>
                </c:pt>
                <c:pt idx="11">
                  <c:v>5.9255265038318878</c:v>
                </c:pt>
                <c:pt idx="12">
                  <c:v>5.9238998961955236</c:v>
                </c:pt>
                <c:pt idx="13">
                  <c:v>5.9203165274209066</c:v>
                </c:pt>
                <c:pt idx="14">
                  <c:v>5.8686811500085536</c:v>
                </c:pt>
                <c:pt idx="15">
                  <c:v>5.9772427368151826</c:v>
                </c:pt>
                <c:pt idx="16">
                  <c:v>5.8449231347987221</c:v>
                </c:pt>
                <c:pt idx="17">
                  <c:v>5.733570492426507</c:v>
                </c:pt>
                <c:pt idx="18">
                  <c:v>5.7100173386143531</c:v>
                </c:pt>
                <c:pt idx="19">
                  <c:v>5.6796823346143528</c:v>
                </c:pt>
                <c:pt idx="20">
                  <c:v>5.7756454563306407</c:v>
                </c:pt>
                <c:pt idx="21">
                  <c:v>5.951449637427074</c:v>
                </c:pt>
                <c:pt idx="22">
                  <c:v>5.7814357327448</c:v>
                </c:pt>
                <c:pt idx="23">
                  <c:v>5.9190733460905953</c:v>
                </c:pt>
                <c:pt idx="24">
                  <c:v>6.0228742681571452</c:v>
                </c:pt>
                <c:pt idx="25">
                  <c:v>6.0140590400321443</c:v>
                </c:pt>
                <c:pt idx="26">
                  <c:v>5.9580718043579433</c:v>
                </c:pt>
                <c:pt idx="27">
                  <c:v>5.87514921353013</c:v>
                </c:pt>
                <c:pt idx="28">
                  <c:v>5.9619849187632896</c:v>
                </c:pt>
                <c:pt idx="29">
                  <c:v>5.9238375688403311</c:v>
                </c:pt>
                <c:pt idx="30">
                  <c:v>6.0625346456762328</c:v>
                </c:pt>
                <c:pt idx="31">
                  <c:v>6.2584803076611424</c:v>
                </c:pt>
                <c:pt idx="32">
                  <c:v>6.3120364281945882</c:v>
                </c:pt>
                <c:pt idx="33">
                  <c:v>6.2691713592950666</c:v>
                </c:pt>
                <c:pt idx="34">
                  <c:v>6.3103609559247777</c:v>
                </c:pt>
                <c:pt idx="35">
                  <c:v>6.4153690058575883</c:v>
                </c:pt>
                <c:pt idx="36">
                  <c:v>6.1186016054654306</c:v>
                </c:pt>
                <c:pt idx="37">
                  <c:v>6.1292268265048575</c:v>
                </c:pt>
                <c:pt idx="38">
                  <c:v>6.0170536558857597</c:v>
                </c:pt>
                <c:pt idx="39">
                  <c:v>6.0041516449013033</c:v>
                </c:pt>
                <c:pt idx="40">
                  <c:v>6.0927864147584456</c:v>
                </c:pt>
                <c:pt idx="41">
                  <c:v>6.0290207870307571</c:v>
                </c:pt>
                <c:pt idx="42">
                  <c:v>5.9467795885401902</c:v>
                </c:pt>
                <c:pt idx="43">
                  <c:v>6.2122772176108807</c:v>
                </c:pt>
                <c:pt idx="44">
                  <c:v>5.9984184268180414</c:v>
                </c:pt>
                <c:pt idx="45">
                  <c:v>5.8262071766736376</c:v>
                </c:pt>
                <c:pt idx="46">
                  <c:v>6.0861081721214765</c:v>
                </c:pt>
                <c:pt idx="47">
                  <c:v>5.9060331525170469</c:v>
                </c:pt>
                <c:pt idx="48">
                  <c:v>5.8905323172635917</c:v>
                </c:pt>
                <c:pt idx="49">
                  <c:v>6.1994104951698876</c:v>
                </c:pt>
                <c:pt idx="50">
                  <c:v>6.4616069038906883</c:v>
                </c:pt>
                <c:pt idx="51">
                  <c:v>6.3892225562810712</c:v>
                </c:pt>
                <c:pt idx="52">
                  <c:v>6.6170140397903063</c:v>
                </c:pt>
                <c:pt idx="53">
                  <c:v>5.6149500423527829</c:v>
                </c:pt>
                <c:pt idx="54">
                  <c:v>5.31776685344746</c:v>
                </c:pt>
                <c:pt idx="55">
                  <c:v>5.129143325954197</c:v>
                </c:pt>
                <c:pt idx="56">
                  <c:v>5.3365460705106491</c:v>
                </c:pt>
                <c:pt idx="57">
                  <c:v>5.475293226436575</c:v>
                </c:pt>
                <c:pt idx="58">
                  <c:v>5.9584764277465831</c:v>
                </c:pt>
                <c:pt idx="59">
                  <c:v>6.334559486786449</c:v>
                </c:pt>
                <c:pt idx="60">
                  <c:v>6.4070428538936106</c:v>
                </c:pt>
                <c:pt idx="61">
                  <c:v>6.8147673320358679</c:v>
                </c:pt>
                <c:pt idx="62">
                  <c:v>5.2272145833765578</c:v>
                </c:pt>
                <c:pt idx="63">
                  <c:v>8.6702747032744103</c:v>
                </c:pt>
                <c:pt idx="64">
                  <c:v>7.3234956676575651</c:v>
                </c:pt>
                <c:pt idx="65">
                  <c:v>7.3952716601793034</c:v>
                </c:pt>
                <c:pt idx="66">
                  <c:v>7.2545001144858734</c:v>
                </c:pt>
                <c:pt idx="67">
                  <c:v>7.3267440513404392</c:v>
                </c:pt>
                <c:pt idx="68">
                  <c:v>7.4349977834793579</c:v>
                </c:pt>
                <c:pt idx="69">
                  <c:v>7.4309812781936442</c:v>
                </c:pt>
                <c:pt idx="70">
                  <c:v>7.1097657124934797</c:v>
                </c:pt>
                <c:pt idx="71">
                  <c:v>7.2638775320354645</c:v>
                </c:pt>
                <c:pt idx="72">
                  <c:v>7.4109473642656791</c:v>
                </c:pt>
                <c:pt idx="73">
                  <c:v>7.3917280886803773</c:v>
                </c:pt>
                <c:pt idx="74">
                  <c:v>7.7558488973343964</c:v>
                </c:pt>
                <c:pt idx="75">
                  <c:v>7.7681769499842384</c:v>
                </c:pt>
                <c:pt idx="76">
                  <c:v>8.0356774929399517</c:v>
                </c:pt>
                <c:pt idx="77">
                  <c:v>8.0365369004472846</c:v>
                </c:pt>
                <c:pt idx="78">
                  <c:v>7.9959448175821155</c:v>
                </c:pt>
                <c:pt idx="79">
                  <c:v>8.1104881796956079</c:v>
                </c:pt>
                <c:pt idx="80">
                  <c:v>9.8960364212394047</c:v>
                </c:pt>
                <c:pt idx="81">
                  <c:v>8.4127062505563295</c:v>
                </c:pt>
                <c:pt idx="82">
                  <c:v>8.4572564820378116</c:v>
                </c:pt>
                <c:pt idx="83">
                  <c:v>8.2091899720996366</c:v>
                </c:pt>
                <c:pt idx="84">
                  <c:v>8.3747988682856835</c:v>
                </c:pt>
                <c:pt idx="85">
                  <c:v>8.5535489912637406</c:v>
                </c:pt>
                <c:pt idx="86">
                  <c:v>8.704753654273448</c:v>
                </c:pt>
                <c:pt idx="87">
                  <c:v>9.0054632336652194</c:v>
                </c:pt>
                <c:pt idx="88">
                  <c:v>9.0666352226418923</c:v>
                </c:pt>
                <c:pt idx="89">
                  <c:v>11.092452631058748</c:v>
                </c:pt>
                <c:pt idx="90">
                  <c:v>9.5657564955341492</c:v>
                </c:pt>
                <c:pt idx="91">
                  <c:v>8.855429628475326</c:v>
                </c:pt>
                <c:pt idx="92">
                  <c:v>8.7605525850105384</c:v>
                </c:pt>
                <c:pt idx="93">
                  <c:v>8.9824756036210633</c:v>
                </c:pt>
                <c:pt idx="94">
                  <c:v>9.0770141547181105</c:v>
                </c:pt>
                <c:pt idx="95">
                  <c:v>9.0056754141120496</c:v>
                </c:pt>
                <c:pt idx="96">
                  <c:v>9.0466046335182249</c:v>
                </c:pt>
                <c:pt idx="97">
                  <c:v>9.0066532228205514</c:v>
                </c:pt>
                <c:pt idx="98">
                  <c:v>9.0321468159252429</c:v>
                </c:pt>
                <c:pt idx="99">
                  <c:v>9.1475376514240843</c:v>
                </c:pt>
                <c:pt idx="100">
                  <c:v>9.0518969982713742</c:v>
                </c:pt>
                <c:pt idx="101">
                  <c:v>9.0879661215807257</c:v>
                </c:pt>
                <c:pt idx="102">
                  <c:v>9.0974913266227428</c:v>
                </c:pt>
                <c:pt idx="103">
                  <c:v>9.1149607094624994</c:v>
                </c:pt>
                <c:pt idx="104">
                  <c:v>9.1005372384606069</c:v>
                </c:pt>
                <c:pt idx="105">
                  <c:v>9.0920400733379925</c:v>
                </c:pt>
                <c:pt idx="106">
                  <c:v>9.1332268183874987</c:v>
                </c:pt>
                <c:pt idx="107">
                  <c:v>8.9971146581914194</c:v>
                </c:pt>
                <c:pt idx="108">
                  <c:v>8.9370278469382232</c:v>
                </c:pt>
                <c:pt idx="109">
                  <c:v>8.9739865685492255</c:v>
                </c:pt>
                <c:pt idx="110">
                  <c:v>9.0340104097256955</c:v>
                </c:pt>
                <c:pt idx="111">
                  <c:v>8.971837007308114</c:v>
                </c:pt>
                <c:pt idx="112">
                  <c:v>9.0672713609110538</c:v>
                </c:pt>
                <c:pt idx="113">
                  <c:v>9.0236860609482292</c:v>
                </c:pt>
                <c:pt idx="114">
                  <c:v>8.9502319399793731</c:v>
                </c:pt>
                <c:pt idx="115">
                  <c:v>8.8431378705044317</c:v>
                </c:pt>
                <c:pt idx="116">
                  <c:v>8.8520985092942404</c:v>
                </c:pt>
                <c:pt idx="117">
                  <c:v>8.7937464165845629</c:v>
                </c:pt>
                <c:pt idx="118">
                  <c:v>8.7623752757283437</c:v>
                </c:pt>
                <c:pt idx="119">
                  <c:v>8.6559003450443033</c:v>
                </c:pt>
                <c:pt idx="120">
                  <c:v>8.5970729480595711</c:v>
                </c:pt>
                <c:pt idx="121">
                  <c:v>8.5892270411572156</c:v>
                </c:pt>
                <c:pt idx="122">
                  <c:v>8.6725180787017155</c:v>
                </c:pt>
                <c:pt idx="123">
                  <c:v>8.7473782617525622</c:v>
                </c:pt>
                <c:pt idx="124">
                  <c:v>8.7124243851554528</c:v>
                </c:pt>
                <c:pt idx="125">
                  <c:v>8.712980938637882</c:v>
                </c:pt>
                <c:pt idx="126">
                  <c:v>8.7273263220072117</c:v>
                </c:pt>
                <c:pt idx="127">
                  <c:v>8.7001618257150763</c:v>
                </c:pt>
                <c:pt idx="128">
                  <c:v>8.6082535366717554</c:v>
                </c:pt>
                <c:pt idx="129">
                  <c:v>8.7059352097917539</c:v>
                </c:pt>
                <c:pt idx="130">
                  <c:v>8.7630311184607113</c:v>
                </c:pt>
                <c:pt idx="131">
                  <c:v>8.7687446868267234</c:v>
                </c:pt>
                <c:pt idx="132">
                  <c:v>8.778825304791841</c:v>
                </c:pt>
                <c:pt idx="133">
                  <c:v>8.8102060424585069</c:v>
                </c:pt>
                <c:pt idx="134">
                  <c:v>8.8416818581890571</c:v>
                </c:pt>
                <c:pt idx="135">
                  <c:v>8.7994921001345823</c:v>
                </c:pt>
                <c:pt idx="136">
                  <c:v>8.7368477482595832</c:v>
                </c:pt>
                <c:pt idx="137">
                  <c:v>8.7588496402595837</c:v>
                </c:pt>
                <c:pt idx="138">
                  <c:v>8.6890510970053452</c:v>
                </c:pt>
                <c:pt idx="139">
                  <c:v>8.6971595324068058</c:v>
                </c:pt>
                <c:pt idx="140">
                  <c:v>8.7776994360880209</c:v>
                </c:pt>
                <c:pt idx="141">
                  <c:v>8.7298519865145607</c:v>
                </c:pt>
                <c:pt idx="142">
                  <c:v>8.6630266098615003</c:v>
                </c:pt>
                <c:pt idx="143">
                  <c:v>8.7650318885844669</c:v>
                </c:pt>
                <c:pt idx="144">
                  <c:v>8.7475493548941454</c:v>
                </c:pt>
                <c:pt idx="145">
                  <c:v>8.6088516790584162</c:v>
                </c:pt>
                <c:pt idx="146">
                  <c:v>8.5613374230884425</c:v>
                </c:pt>
                <c:pt idx="147">
                  <c:v>8.4702184058536893</c:v>
                </c:pt>
                <c:pt idx="148">
                  <c:v>8.5268711116789326</c:v>
                </c:pt>
                <c:pt idx="149">
                  <c:v>8.4072558726833648</c:v>
                </c:pt>
                <c:pt idx="150">
                  <c:v>8.3989772227125616</c:v>
                </c:pt>
                <c:pt idx="151">
                  <c:v>8.4708515632170105</c:v>
                </c:pt>
                <c:pt idx="152">
                  <c:v>8.468062386565741</c:v>
                </c:pt>
                <c:pt idx="153">
                  <c:v>8.4894806325470498</c:v>
                </c:pt>
                <c:pt idx="154">
                  <c:v>8.3909510601898738</c:v>
                </c:pt>
                <c:pt idx="155">
                  <c:v>8.4970060898570701</c:v>
                </c:pt>
                <c:pt idx="156">
                  <c:v>8.4164659210826187</c:v>
                </c:pt>
                <c:pt idx="157">
                  <c:v>8.5612598100566188</c:v>
                </c:pt>
                <c:pt idx="158">
                  <c:v>8.3601544563572325</c:v>
                </c:pt>
                <c:pt idx="159">
                  <c:v>8.3244627613655151</c:v>
                </c:pt>
                <c:pt idx="160">
                  <c:v>8.2427400408258347</c:v>
                </c:pt>
                <c:pt idx="161">
                  <c:v>8.148574769251125</c:v>
                </c:pt>
                <c:pt idx="162">
                  <c:v>8.0081004851388933</c:v>
                </c:pt>
                <c:pt idx="163">
                  <c:v>8.0295544429644572</c:v>
                </c:pt>
                <c:pt idx="164">
                  <c:v>8.181504380813001</c:v>
                </c:pt>
                <c:pt idx="165">
                  <c:v>8.2805990994714396</c:v>
                </c:pt>
                <c:pt idx="166">
                  <c:v>8.1208692855317661</c:v>
                </c:pt>
                <c:pt idx="167">
                  <c:v>8.0511099234023664</c:v>
                </c:pt>
                <c:pt idx="168">
                  <c:v>7.9220233713270938</c:v>
                </c:pt>
                <c:pt idx="169">
                  <c:v>7.9864914577678476</c:v>
                </c:pt>
                <c:pt idx="170">
                  <c:v>8.0559866444222958</c:v>
                </c:pt>
                <c:pt idx="171">
                  <c:v>7.9504412155548172</c:v>
                </c:pt>
                <c:pt idx="172">
                  <c:v>7.8647341019192059</c:v>
                </c:pt>
                <c:pt idx="173">
                  <c:v>7.9646208910617275</c:v>
                </c:pt>
                <c:pt idx="174">
                  <c:v>7.8973210787665478</c:v>
                </c:pt>
                <c:pt idx="175">
                  <c:v>7.8384487566758185</c:v>
                </c:pt>
                <c:pt idx="176">
                  <c:v>7.7922281787230352</c:v>
                </c:pt>
                <c:pt idx="177">
                  <c:v>7.7333622108525626</c:v>
                </c:pt>
                <c:pt idx="178">
                  <c:v>7.7336594021601446</c:v>
                </c:pt>
                <c:pt idx="179">
                  <c:v>7.7282042155490336</c:v>
                </c:pt>
                <c:pt idx="180">
                  <c:v>7.9648949078500433</c:v>
                </c:pt>
                <c:pt idx="181">
                  <c:v>7.8627719100700446</c:v>
                </c:pt>
                <c:pt idx="182">
                  <c:v>7.7699036612623509</c:v>
                </c:pt>
                <c:pt idx="183">
                  <c:v>7.7215746363444415</c:v>
                </c:pt>
                <c:pt idx="184">
                  <c:v>7.705143740938559</c:v>
                </c:pt>
                <c:pt idx="185">
                  <c:v>7.6272039884278611</c:v>
                </c:pt>
                <c:pt idx="186">
                  <c:v>7.7630365631511715</c:v>
                </c:pt>
                <c:pt idx="187">
                  <c:v>7.7289685430117894</c:v>
                </c:pt>
                <c:pt idx="188">
                  <c:v>7.7402638670067043</c:v>
                </c:pt>
                <c:pt idx="189">
                  <c:v>7.6854147382806319</c:v>
                </c:pt>
                <c:pt idx="190">
                  <c:v>7.6547301441049855</c:v>
                </c:pt>
                <c:pt idx="191">
                  <c:v>7.5218188230814578</c:v>
                </c:pt>
                <c:pt idx="192">
                  <c:v>7.6035618971623089</c:v>
                </c:pt>
                <c:pt idx="193">
                  <c:v>7.6648251893823094</c:v>
                </c:pt>
                <c:pt idx="194">
                  <c:v>7.7946565052996997</c:v>
                </c:pt>
                <c:pt idx="195">
                  <c:v>8.3144961030047266</c:v>
                </c:pt>
                <c:pt idx="196">
                  <c:v>8.1951050135248185</c:v>
                </c:pt>
                <c:pt idx="197">
                  <c:v>8.2434419804714221</c:v>
                </c:pt>
                <c:pt idx="198">
                  <c:v>8.1885597965356727</c:v>
                </c:pt>
                <c:pt idx="199">
                  <c:v>8.2121589907932488</c:v>
                </c:pt>
                <c:pt idx="200">
                  <c:v>8.243115752214905</c:v>
                </c:pt>
                <c:pt idx="201">
                  <c:v>8.204032597274324</c:v>
                </c:pt>
                <c:pt idx="202">
                  <c:v>8.2269492691497739</c:v>
                </c:pt>
                <c:pt idx="203">
                  <c:v>8.1268325095971434</c:v>
                </c:pt>
                <c:pt idx="204">
                  <c:v>8.2365525524460015</c:v>
                </c:pt>
                <c:pt idx="205">
                  <c:v>8.255515643225511</c:v>
                </c:pt>
                <c:pt idx="206">
                  <c:v>8.1913821196068177</c:v>
                </c:pt>
                <c:pt idx="207">
                  <c:v>8.2431373856999208</c:v>
                </c:pt>
                <c:pt idx="208">
                  <c:v>8.2070249169999219</c:v>
                </c:pt>
                <c:pt idx="209">
                  <c:v>8.1783194269759871</c:v>
                </c:pt>
                <c:pt idx="210">
                  <c:v>8.147937964520839</c:v>
                </c:pt>
                <c:pt idx="211">
                  <c:v>8.1743867784562738</c:v>
                </c:pt>
                <c:pt idx="212">
                  <c:v>8.0749814967211737</c:v>
                </c:pt>
                <c:pt idx="213">
                  <c:v>8.0775929447756916</c:v>
                </c:pt>
                <c:pt idx="214">
                  <c:v>8.0476144066975674</c:v>
                </c:pt>
                <c:pt idx="215">
                  <c:v>7.976900355967377</c:v>
                </c:pt>
                <c:pt idx="216">
                  <c:v>7.962140413749986</c:v>
                </c:pt>
                <c:pt idx="217">
                  <c:v>8.06819060706394</c:v>
                </c:pt>
                <c:pt idx="218">
                  <c:v>7.9882440545855964</c:v>
                </c:pt>
                <c:pt idx="219">
                  <c:v>7.8869982473216771</c:v>
                </c:pt>
                <c:pt idx="220">
                  <c:v>7.8553905298614533</c:v>
                </c:pt>
                <c:pt idx="221">
                  <c:v>8.0336548408867152</c:v>
                </c:pt>
                <c:pt idx="222">
                  <c:v>7.9605698544834755</c:v>
                </c:pt>
                <c:pt idx="223">
                  <c:v>7.9975649317329376</c:v>
                </c:pt>
                <c:pt idx="224">
                  <c:v>8.0440073460817416</c:v>
                </c:pt>
                <c:pt idx="225">
                  <c:v>8.0718015659762443</c:v>
                </c:pt>
                <c:pt idx="226">
                  <c:v>8.1382011082109251</c:v>
                </c:pt>
                <c:pt idx="227">
                  <c:v>8.1652258248596876</c:v>
                </c:pt>
                <c:pt idx="228">
                  <c:v>8.0729449820349473</c:v>
                </c:pt>
                <c:pt idx="229">
                  <c:v>7.9940925803076741</c:v>
                </c:pt>
                <c:pt idx="230">
                  <c:v>8.0093209887674597</c:v>
                </c:pt>
                <c:pt idx="231">
                  <c:v>8.1503063600777228</c:v>
                </c:pt>
                <c:pt idx="232">
                  <c:v>8.1892261358783589</c:v>
                </c:pt>
                <c:pt idx="233">
                  <c:v>8.064851844715367</c:v>
                </c:pt>
                <c:pt idx="234">
                  <c:v>8.0153477997906108</c:v>
                </c:pt>
                <c:pt idx="235">
                  <c:v>8.1394182115452534</c:v>
                </c:pt>
                <c:pt idx="236">
                  <c:v>8.1276276073387326</c:v>
                </c:pt>
                <c:pt idx="237">
                  <c:v>8.1838883498156019</c:v>
                </c:pt>
                <c:pt idx="238">
                  <c:v>8.219600343416209</c:v>
                </c:pt>
                <c:pt idx="239">
                  <c:v>8.1720614093212554</c:v>
                </c:pt>
                <c:pt idx="240">
                  <c:v>8.1462412321755568</c:v>
                </c:pt>
                <c:pt idx="241">
                  <c:v>8.1543909996088892</c:v>
                </c:pt>
                <c:pt idx="242">
                  <c:v>8.0184527875222109</c:v>
                </c:pt>
                <c:pt idx="243">
                  <c:v>7.975580262677382</c:v>
                </c:pt>
                <c:pt idx="244">
                  <c:v>8.0598515796498091</c:v>
                </c:pt>
                <c:pt idx="245">
                  <c:v>8.1607212800363342</c:v>
                </c:pt>
                <c:pt idx="246">
                  <c:v>8.2350981337075364</c:v>
                </c:pt>
                <c:pt idx="247">
                  <c:v>7.9821218725075367</c:v>
                </c:pt>
                <c:pt idx="248">
                  <c:v>7.8987086570733194</c:v>
                </c:pt>
                <c:pt idx="249">
                  <c:v>7.6043013441576353</c:v>
                </c:pt>
                <c:pt idx="250">
                  <c:v>7.6982389395230575</c:v>
                </c:pt>
                <c:pt idx="251">
                  <c:v>7.8311454042819237</c:v>
                </c:pt>
                <c:pt idx="252">
                  <c:v>7.9169886359620119</c:v>
                </c:pt>
                <c:pt idx="253">
                  <c:v>7.6595843502703813</c:v>
                </c:pt>
                <c:pt idx="254">
                  <c:v>7.8683795552911002</c:v>
                </c:pt>
                <c:pt idx="255">
                  <c:v>7.834165103905387</c:v>
                </c:pt>
                <c:pt idx="256">
                  <c:v>7.9165020427432191</c:v>
                </c:pt>
                <c:pt idx="257">
                  <c:v>7.9571821712930051</c:v>
                </c:pt>
                <c:pt idx="258">
                  <c:v>8.0894749098407335</c:v>
                </c:pt>
                <c:pt idx="259">
                  <c:v>8.0620554030575331</c:v>
                </c:pt>
                <c:pt idx="260">
                  <c:v>7.9711422217830661</c:v>
                </c:pt>
                <c:pt idx="261">
                  <c:v>8.1910123879543022</c:v>
                </c:pt>
                <c:pt idx="262">
                  <c:v>7.9428744020633095</c:v>
                </c:pt>
                <c:pt idx="263">
                  <c:v>8.0950288849434635</c:v>
                </c:pt>
                <c:pt idx="264">
                  <c:v>8.0472707034603221</c:v>
                </c:pt>
                <c:pt idx="265">
                  <c:v>8.1688495062060742</c:v>
                </c:pt>
                <c:pt idx="266">
                  <c:v>8.4920229754416283</c:v>
                </c:pt>
                <c:pt idx="267">
                  <c:v>8.3828468400477583</c:v>
                </c:pt>
                <c:pt idx="268">
                  <c:v>8.0736309180127694</c:v>
                </c:pt>
                <c:pt idx="269">
                  <c:v>8.2328865321456099</c:v>
                </c:pt>
                <c:pt idx="270">
                  <c:v>8.2075390017350234</c:v>
                </c:pt>
                <c:pt idx="271">
                  <c:v>8.2240851401848936</c:v>
                </c:pt>
                <c:pt idx="272">
                  <c:v>8.2059921514239615</c:v>
                </c:pt>
                <c:pt idx="273">
                  <c:v>8.0584148087956393</c:v>
                </c:pt>
                <c:pt idx="274">
                  <c:v>8.0832391533374857</c:v>
                </c:pt>
                <c:pt idx="275">
                  <c:v>8.1230501195447129</c:v>
                </c:pt>
                <c:pt idx="276">
                  <c:v>7.9936234909367236</c:v>
                </c:pt>
                <c:pt idx="277">
                  <c:v>7.775408900153379</c:v>
                </c:pt>
                <c:pt idx="278">
                  <c:v>7.7946395604331755</c:v>
                </c:pt>
                <c:pt idx="279">
                  <c:v>7.9823346588592763</c:v>
                </c:pt>
                <c:pt idx="280">
                  <c:v>7.4253766930776335</c:v>
                </c:pt>
                <c:pt idx="281">
                  <c:v>7.6967530928862269</c:v>
                </c:pt>
                <c:pt idx="282">
                  <c:v>7.8989157935215975</c:v>
                </c:pt>
                <c:pt idx="283">
                  <c:v>7.7778937161510422</c:v>
                </c:pt>
                <c:pt idx="284">
                  <c:v>7.8218104452073494</c:v>
                </c:pt>
                <c:pt idx="285">
                  <c:v>7.6707566709212927</c:v>
                </c:pt>
                <c:pt idx="286">
                  <c:v>7.8908969003149689</c:v>
                </c:pt>
                <c:pt idx="287">
                  <c:v>7.743762123143755</c:v>
                </c:pt>
                <c:pt idx="288">
                  <c:v>7.7314514770271634</c:v>
                </c:pt>
                <c:pt idx="289">
                  <c:v>7.8010225265714102</c:v>
                </c:pt>
                <c:pt idx="290">
                  <c:v>7.6250083789466183</c:v>
                </c:pt>
                <c:pt idx="291">
                  <c:v>7.6838153300123659</c:v>
                </c:pt>
                <c:pt idx="292">
                  <c:v>7.912353774855621</c:v>
                </c:pt>
                <c:pt idx="293">
                  <c:v>8.1202906705587701</c:v>
                </c:pt>
                <c:pt idx="294">
                  <c:v>7.5855162255645308</c:v>
                </c:pt>
                <c:pt idx="295">
                  <c:v>7.3751300930113146</c:v>
                </c:pt>
                <c:pt idx="296">
                  <c:v>7.716013096441209</c:v>
                </c:pt>
                <c:pt idx="297">
                  <c:v>7.299225782908433</c:v>
                </c:pt>
                <c:pt idx="298">
                  <c:v>6.9982503022340961</c:v>
                </c:pt>
                <c:pt idx="299">
                  <c:v>6.8588980366834891</c:v>
                </c:pt>
                <c:pt idx="300">
                  <c:v>7.1415350433224472</c:v>
                </c:pt>
                <c:pt idx="301">
                  <c:v>7.1850286118625295</c:v>
                </c:pt>
                <c:pt idx="302">
                  <c:v>7.1560277356172799</c:v>
                </c:pt>
                <c:pt idx="303">
                  <c:v>7.1075548197499874</c:v>
                </c:pt>
                <c:pt idx="304">
                  <c:v>7.0862110172431372</c:v>
                </c:pt>
                <c:pt idx="305">
                  <c:v>6.8839454359872105</c:v>
                </c:pt>
                <c:pt idx="306">
                  <c:v>6.7372622152822048</c:v>
                </c:pt>
                <c:pt idx="307">
                  <c:v>6.5578424473485315</c:v>
                </c:pt>
                <c:pt idx="308">
                  <c:v>6.336231924878355</c:v>
                </c:pt>
                <c:pt idx="309">
                  <c:v>6.3090291322588863</c:v>
                </c:pt>
                <c:pt idx="310">
                  <c:v>6.4750384520812219</c:v>
                </c:pt>
                <c:pt idx="311">
                  <c:v>6.5988472654581285</c:v>
                </c:pt>
                <c:pt idx="312">
                  <c:v>7.1190770371263632</c:v>
                </c:pt>
                <c:pt idx="313">
                  <c:v>6.9286951968768786</c:v>
                </c:pt>
                <c:pt idx="314">
                  <c:v>7.2419108981750258</c:v>
                </c:pt>
                <c:pt idx="315">
                  <c:v>7.4337231077750259</c:v>
                </c:pt>
                <c:pt idx="316">
                  <c:v>8.5140906247088015</c:v>
                </c:pt>
                <c:pt idx="317">
                  <c:v>7.1567326120609991</c:v>
                </c:pt>
                <c:pt idx="318">
                  <c:v>6.4887624309438179</c:v>
                </c:pt>
                <c:pt idx="319">
                  <c:v>6.51014900683231</c:v>
                </c:pt>
                <c:pt idx="320">
                  <c:v>6.7771919716323099</c:v>
                </c:pt>
                <c:pt idx="321">
                  <c:v>6.551017464998111</c:v>
                </c:pt>
                <c:pt idx="322">
                  <c:v>6.6911505257276067</c:v>
                </c:pt>
                <c:pt idx="323">
                  <c:v>6.8803539048707272</c:v>
                </c:pt>
                <c:pt idx="324">
                  <c:v>6.5457039936560824</c:v>
                </c:pt>
                <c:pt idx="325">
                  <c:v>6.4057269061146034</c:v>
                </c:pt>
                <c:pt idx="326">
                  <c:v>6.0566521019185267</c:v>
                </c:pt>
                <c:pt idx="327">
                  <c:v>6.0580979300124307</c:v>
                </c:pt>
                <c:pt idx="328">
                  <c:v>6.0698104863290459</c:v>
                </c:pt>
                <c:pt idx="329">
                  <c:v>6.0698104863290467</c:v>
                </c:pt>
                <c:pt idx="330">
                  <c:v>6.560579297380289</c:v>
                </c:pt>
                <c:pt idx="331">
                  <c:v>5.8924797722586391</c:v>
                </c:pt>
                <c:pt idx="332">
                  <c:v>5.7499670060163464</c:v>
                </c:pt>
                <c:pt idx="333">
                  <c:v>5.3947611192525722</c:v>
                </c:pt>
                <c:pt idx="334">
                  <c:v>5.0974313298607257</c:v>
                </c:pt>
                <c:pt idx="335">
                  <c:v>5.4818461118807251</c:v>
                </c:pt>
                <c:pt idx="336">
                  <c:v>5.012194971843793</c:v>
                </c:pt>
                <c:pt idx="337">
                  <c:v>5.3076120865416643</c:v>
                </c:pt>
                <c:pt idx="338">
                  <c:v>5.089919015178447</c:v>
                </c:pt>
                <c:pt idx="339">
                  <c:v>5.0343064152600068</c:v>
                </c:pt>
                <c:pt idx="340">
                  <c:v>5.0707280562691448</c:v>
                </c:pt>
                <c:pt idx="341">
                  <c:v>4.7604354342393922</c:v>
                </c:pt>
                <c:pt idx="342">
                  <c:v>4.8813158456183174</c:v>
                </c:pt>
                <c:pt idx="343">
                  <c:v>5.0045166268968222</c:v>
                </c:pt>
                <c:pt idx="344">
                  <c:v>4.7236371076727917</c:v>
                </c:pt>
                <c:pt idx="345">
                  <c:v>4.5189201610178973</c:v>
                </c:pt>
                <c:pt idx="346">
                  <c:v>4.50750582050172</c:v>
                </c:pt>
                <c:pt idx="347">
                  <c:v>4.3895882821000081</c:v>
                </c:pt>
                <c:pt idx="348">
                  <c:v>4.6169248006714367</c:v>
                </c:pt>
                <c:pt idx="349">
                  <c:v>4.7769877832634045</c:v>
                </c:pt>
                <c:pt idx="350">
                  <c:v>4.7785981097274046</c:v>
                </c:pt>
                <c:pt idx="351">
                  <c:v>4.2883063537066821</c:v>
                </c:pt>
                <c:pt idx="352">
                  <c:v>4.0369822045400641</c:v>
                </c:pt>
                <c:pt idx="353">
                  <c:v>3.888478893700924</c:v>
                </c:pt>
                <c:pt idx="354">
                  <c:v>3.6782648743291504</c:v>
                </c:pt>
                <c:pt idx="355">
                  <c:v>3.1062020381096387</c:v>
                </c:pt>
                <c:pt idx="356">
                  <c:v>3.1840919008902655</c:v>
                </c:pt>
                <c:pt idx="357">
                  <c:v>2.5408863802593968</c:v>
                </c:pt>
                <c:pt idx="358">
                  <c:v>2.6071185413898319</c:v>
                </c:pt>
                <c:pt idx="359">
                  <c:v>2.4869569407398306</c:v>
                </c:pt>
                <c:pt idx="360">
                  <c:v>2.4337659903854827</c:v>
                </c:pt>
                <c:pt idx="361">
                  <c:v>2.1646084148138565</c:v>
                </c:pt>
                <c:pt idx="362">
                  <c:v>2.267783665093599</c:v>
                </c:pt>
                <c:pt idx="363">
                  <c:v>2.1241230245507414</c:v>
                </c:pt>
                <c:pt idx="364">
                  <c:v>1.8410133045061252</c:v>
                </c:pt>
                <c:pt idx="365">
                  <c:v>1.966417895565485</c:v>
                </c:pt>
                <c:pt idx="366">
                  <c:v>1.7974120768619459</c:v>
                </c:pt>
                <c:pt idx="367">
                  <c:v>1.7375980632219457</c:v>
                </c:pt>
                <c:pt idx="368">
                  <c:v>2.1422795812637299</c:v>
                </c:pt>
                <c:pt idx="369">
                  <c:v>2.1843779655105378</c:v>
                </c:pt>
                <c:pt idx="370">
                  <c:v>2.5042275544566328</c:v>
                </c:pt>
                <c:pt idx="371">
                  <c:v>1.5614861005396696</c:v>
                </c:pt>
                <c:pt idx="372">
                  <c:v>1.8823918216388986</c:v>
                </c:pt>
                <c:pt idx="373">
                  <c:v>1.7321564393140958</c:v>
                </c:pt>
                <c:pt idx="374">
                  <c:v>2.0310511642124824</c:v>
                </c:pt>
                <c:pt idx="375">
                  <c:v>2.0353194169264763</c:v>
                </c:pt>
                <c:pt idx="376">
                  <c:v>1.797112684136899</c:v>
                </c:pt>
                <c:pt idx="377">
                  <c:v>1.838720183560778</c:v>
                </c:pt>
                <c:pt idx="378">
                  <c:v>1.7494121367486566</c:v>
                </c:pt>
                <c:pt idx="379">
                  <c:v>1.7698106040025898</c:v>
                </c:pt>
                <c:pt idx="380">
                  <c:v>1.542344746991317</c:v>
                </c:pt>
                <c:pt idx="381">
                  <c:v>1.6341324213871025</c:v>
                </c:pt>
                <c:pt idx="382">
                  <c:v>1.6254378714938642</c:v>
                </c:pt>
                <c:pt idx="383">
                  <c:v>1.8013189938429199</c:v>
                </c:pt>
                <c:pt idx="384">
                  <c:v>1.5665396101593994</c:v>
                </c:pt>
                <c:pt idx="385">
                  <c:v>1.7285214672373357</c:v>
                </c:pt>
                <c:pt idx="386">
                  <c:v>2.0505059742041696</c:v>
                </c:pt>
                <c:pt idx="387">
                  <c:v>1.6786415394041694</c:v>
                </c:pt>
                <c:pt idx="388">
                  <c:v>1.3395917769712289</c:v>
                </c:pt>
                <c:pt idx="389">
                  <c:v>1.3762990440688756</c:v>
                </c:pt>
                <c:pt idx="390">
                  <c:v>1.1250923724974475</c:v>
                </c:pt>
                <c:pt idx="391">
                  <c:v>1.1510480776061855</c:v>
                </c:pt>
                <c:pt idx="392">
                  <c:v>1.15505858542527</c:v>
                </c:pt>
                <c:pt idx="393">
                  <c:v>1.1024834838419371</c:v>
                </c:pt>
                <c:pt idx="394">
                  <c:v>1.1558171354636761</c:v>
                </c:pt>
                <c:pt idx="395">
                  <c:v>1.1294492931613505</c:v>
                </c:pt>
                <c:pt idx="396">
                  <c:v>1.2219479164621256</c:v>
                </c:pt>
                <c:pt idx="397">
                  <c:v>1.3109226414988604</c:v>
                </c:pt>
                <c:pt idx="398">
                  <c:v>1.2004209731488606</c:v>
                </c:pt>
                <c:pt idx="399">
                  <c:v>1.3424483196783572</c:v>
                </c:pt>
                <c:pt idx="400">
                  <c:v>1.0592671412239194</c:v>
                </c:pt>
                <c:pt idx="401">
                  <c:v>1.1682285300040205</c:v>
                </c:pt>
                <c:pt idx="402">
                  <c:v>1.1915171783388774</c:v>
                </c:pt>
                <c:pt idx="403">
                  <c:v>1.30104629523796</c:v>
                </c:pt>
                <c:pt idx="404">
                  <c:v>1.4544390094005364</c:v>
                </c:pt>
                <c:pt idx="405">
                  <c:v>1.7439396334594839</c:v>
                </c:pt>
                <c:pt idx="406">
                  <c:v>1.5283949752719197</c:v>
                </c:pt>
                <c:pt idx="407">
                  <c:v>1.6546049879103306</c:v>
                </c:pt>
                <c:pt idx="408">
                  <c:v>1.3939970796246168</c:v>
                </c:pt>
                <c:pt idx="409">
                  <c:v>1.3880887114213201</c:v>
                </c:pt>
                <c:pt idx="410">
                  <c:v>1.3276402271255305</c:v>
                </c:pt>
                <c:pt idx="411">
                  <c:v>1.3266707110905711</c:v>
                </c:pt>
                <c:pt idx="412">
                  <c:v>1.2567975151954895</c:v>
                </c:pt>
                <c:pt idx="413">
                  <c:v>1.32601049105549</c:v>
                </c:pt>
                <c:pt idx="414">
                  <c:v>1.4333966365638868</c:v>
                </c:pt>
                <c:pt idx="415">
                  <c:v>1.2358435503393967</c:v>
                </c:pt>
                <c:pt idx="416">
                  <c:v>1.3679267258949523</c:v>
                </c:pt>
                <c:pt idx="417">
                  <c:v>1.3582456090473334</c:v>
                </c:pt>
                <c:pt idx="418">
                  <c:v>1.2651626662482678</c:v>
                </c:pt>
                <c:pt idx="419">
                  <c:v>1.1899054046741939</c:v>
                </c:pt>
                <c:pt idx="420">
                  <c:v>1.3754458917096271</c:v>
                </c:pt>
                <c:pt idx="421">
                  <c:v>1.3947135118883505</c:v>
                </c:pt>
                <c:pt idx="422">
                  <c:v>1.3033203142883503</c:v>
                </c:pt>
                <c:pt idx="423">
                  <c:v>1.5647048684715186</c:v>
                </c:pt>
                <c:pt idx="424">
                  <c:v>1.3814099471381853</c:v>
                </c:pt>
                <c:pt idx="425">
                  <c:v>1.2589301190967035</c:v>
                </c:pt>
                <c:pt idx="426">
                  <c:v>1.1721212241114756</c:v>
                </c:pt>
                <c:pt idx="427">
                  <c:v>1.0874396559801907</c:v>
                </c:pt>
                <c:pt idx="428">
                  <c:v>1.3410004580362793</c:v>
                </c:pt>
                <c:pt idx="429">
                  <c:v>1.606696098143372</c:v>
                </c:pt>
                <c:pt idx="430">
                  <c:v>1.4922277307021266</c:v>
                </c:pt>
                <c:pt idx="431">
                  <c:v>1.1115181920821267</c:v>
                </c:pt>
                <c:pt idx="432">
                  <c:v>1.1527332342977108</c:v>
                </c:pt>
                <c:pt idx="433">
                  <c:v>0.70816317874359358</c:v>
                </c:pt>
                <c:pt idx="434">
                  <c:v>0.54977560550952709</c:v>
                </c:pt>
                <c:pt idx="435">
                  <c:v>0.65263417088225384</c:v>
                </c:pt>
                <c:pt idx="436">
                  <c:v>0.60286400051975342</c:v>
                </c:pt>
                <c:pt idx="437">
                  <c:v>0.51151189203901926</c:v>
                </c:pt>
                <c:pt idx="438">
                  <c:v>0.47237930194356476</c:v>
                </c:pt>
                <c:pt idx="439">
                  <c:v>0.50424058379556491</c:v>
                </c:pt>
                <c:pt idx="440">
                  <c:v>0.5436027011884853</c:v>
                </c:pt>
                <c:pt idx="441">
                  <c:v>0.48707080534473512</c:v>
                </c:pt>
                <c:pt idx="442">
                  <c:v>0.55785086231704295</c:v>
                </c:pt>
                <c:pt idx="443">
                  <c:v>0.65408045681704274</c:v>
                </c:pt>
                <c:pt idx="444">
                  <c:v>0.60380105087501379</c:v>
                </c:pt>
                <c:pt idx="445">
                  <c:v>0.60113663292501363</c:v>
                </c:pt>
                <c:pt idx="446">
                  <c:v>0.57132803970710311</c:v>
                </c:pt>
                <c:pt idx="447">
                  <c:v>0.70818563841550008</c:v>
                </c:pt>
                <c:pt idx="448">
                  <c:v>0.50121520313401802</c:v>
                </c:pt>
                <c:pt idx="449">
                  <c:v>0.40242843263869144</c:v>
                </c:pt>
                <c:pt idx="450">
                  <c:v>0.32168533125237575</c:v>
                </c:pt>
                <c:pt idx="451">
                  <c:v>0.30657549373658627</c:v>
                </c:pt>
                <c:pt idx="452">
                  <c:v>0.35595632208141387</c:v>
                </c:pt>
                <c:pt idx="453">
                  <c:v>0.30573286304620229</c:v>
                </c:pt>
                <c:pt idx="454">
                  <c:v>0.36129541871569371</c:v>
                </c:pt>
                <c:pt idx="455">
                  <c:v>0.279450350559172</c:v>
                </c:pt>
                <c:pt idx="456">
                  <c:v>0.3653766491522753</c:v>
                </c:pt>
                <c:pt idx="457">
                  <c:v>0.49129711937560877</c:v>
                </c:pt>
                <c:pt idx="458">
                  <c:v>0.4650965331299296</c:v>
                </c:pt>
                <c:pt idx="459">
                  <c:v>0.4984447274169525</c:v>
                </c:pt>
                <c:pt idx="460">
                  <c:v>0.53358865248544529</c:v>
                </c:pt>
                <c:pt idx="461">
                  <c:v>0.54756456847564117</c:v>
                </c:pt>
                <c:pt idx="462">
                  <c:v>0.5289969715919679</c:v>
                </c:pt>
                <c:pt idx="463">
                  <c:v>0.48547397464196784</c:v>
                </c:pt>
                <c:pt idx="464">
                  <c:v>0.46074014528786955</c:v>
                </c:pt>
                <c:pt idx="465">
                  <c:v>0.45612678220027808</c:v>
                </c:pt>
                <c:pt idx="466">
                  <c:v>0.44033904091919673</c:v>
                </c:pt>
                <c:pt idx="467">
                  <c:v>0.47128644732719671</c:v>
                </c:pt>
                <c:pt idx="468">
                  <c:v>0.41404882012719685</c:v>
                </c:pt>
                <c:pt idx="469">
                  <c:v>0.44242781172515599</c:v>
                </c:pt>
                <c:pt idx="470">
                  <c:v>0.42219709126450033</c:v>
                </c:pt>
                <c:pt idx="471">
                  <c:v>0.43073535077878611</c:v>
                </c:pt>
                <c:pt idx="472">
                  <c:v>0.4549953410632307</c:v>
                </c:pt>
                <c:pt idx="473">
                  <c:v>0.43160040318603798</c:v>
                </c:pt>
                <c:pt idx="474">
                  <c:v>0.36923369260422018</c:v>
                </c:pt>
                <c:pt idx="475">
                  <c:v>0.43990195759552447</c:v>
                </c:pt>
                <c:pt idx="476">
                  <c:v>0.40508231608943757</c:v>
                </c:pt>
                <c:pt idx="477">
                  <c:v>0.35091997814360409</c:v>
                </c:pt>
                <c:pt idx="478">
                  <c:v>0.29220267152479218</c:v>
                </c:pt>
                <c:pt idx="479">
                  <c:v>0.33505091850249913</c:v>
                </c:pt>
                <c:pt idx="480">
                  <c:v>0.33933213055781819</c:v>
                </c:pt>
                <c:pt idx="481">
                  <c:v>0.30488393969196453</c:v>
                </c:pt>
                <c:pt idx="482">
                  <c:v>0.34205172275350282</c:v>
                </c:pt>
                <c:pt idx="483">
                  <c:v>0.32314518012336585</c:v>
                </c:pt>
                <c:pt idx="484">
                  <c:v>0.38013646694994818</c:v>
                </c:pt>
                <c:pt idx="485">
                  <c:v>0.3563847970350546</c:v>
                </c:pt>
                <c:pt idx="486">
                  <c:v>0.26968495053309388</c:v>
                </c:pt>
                <c:pt idx="487">
                  <c:v>0.30651634001223038</c:v>
                </c:pt>
                <c:pt idx="488">
                  <c:v>0.30202076614070722</c:v>
                </c:pt>
                <c:pt idx="489">
                  <c:v>0.31136925724070702</c:v>
                </c:pt>
                <c:pt idx="490">
                  <c:v>0.24730649764070703</c:v>
                </c:pt>
                <c:pt idx="491">
                  <c:v>0.16463000699688701</c:v>
                </c:pt>
                <c:pt idx="492">
                  <c:v>0.28554734887508598</c:v>
                </c:pt>
                <c:pt idx="493">
                  <c:v>0.17154454826953039</c:v>
                </c:pt>
                <c:pt idx="494">
                  <c:v>0.3193091168358404</c:v>
                </c:pt>
                <c:pt idx="495">
                  <c:v>0.29400033512155471</c:v>
                </c:pt>
                <c:pt idx="496">
                  <c:v>0.3379085025984776</c:v>
                </c:pt>
                <c:pt idx="497">
                  <c:v>0.399892472240296</c:v>
                </c:pt>
                <c:pt idx="498">
                  <c:v>0.44372691499029615</c:v>
                </c:pt>
                <c:pt idx="499">
                  <c:v>0.39754600959459702</c:v>
                </c:pt>
                <c:pt idx="500">
                  <c:v>0.44202266380257238</c:v>
                </c:pt>
                <c:pt idx="501">
                  <c:v>0.44064000156824396</c:v>
                </c:pt>
                <c:pt idx="502">
                  <c:v>0.47599878587797134</c:v>
                </c:pt>
                <c:pt idx="503">
                  <c:v>0.39910798144324122</c:v>
                </c:pt>
                <c:pt idx="504">
                  <c:v>0.36866185140990765</c:v>
                </c:pt>
                <c:pt idx="505">
                  <c:v>0.30128542403220038</c:v>
                </c:pt>
                <c:pt idx="506">
                  <c:v>0.24575795092570724</c:v>
                </c:pt>
                <c:pt idx="507">
                  <c:v>0.28809495152096792</c:v>
                </c:pt>
                <c:pt idx="508">
                  <c:v>0.24339094148190507</c:v>
                </c:pt>
                <c:pt idx="509">
                  <c:v>8.2754501568102143E-2</c:v>
                </c:pt>
                <c:pt idx="510">
                  <c:v>0.19512867674901507</c:v>
                </c:pt>
                <c:pt idx="511">
                  <c:v>7.6158424308225142E-2</c:v>
                </c:pt>
                <c:pt idx="512">
                  <c:v>0.30320100523411259</c:v>
                </c:pt>
                <c:pt idx="513">
                  <c:v>0.34957868050845831</c:v>
                </c:pt>
                <c:pt idx="514">
                  <c:v>0.521783204352956</c:v>
                </c:pt>
                <c:pt idx="515">
                  <c:v>0.50719980275864285</c:v>
                </c:pt>
                <c:pt idx="516">
                  <c:v>0.67891339358490488</c:v>
                </c:pt>
                <c:pt idx="517">
                  <c:v>0.83671575806638521</c:v>
                </c:pt>
                <c:pt idx="518">
                  <c:v>0.62423054504396591</c:v>
                </c:pt>
                <c:pt idx="519">
                  <c:v>0.81637842451373344</c:v>
                </c:pt>
                <c:pt idx="520">
                  <c:v>0.9430951716512338</c:v>
                </c:pt>
                <c:pt idx="521">
                  <c:v>1.2730282960078374</c:v>
                </c:pt>
                <c:pt idx="522">
                  <c:v>1.5341463709777621</c:v>
                </c:pt>
                <c:pt idx="523">
                  <c:v>1.434972834609596</c:v>
                </c:pt>
                <c:pt idx="524">
                  <c:v>0.93267316444422266</c:v>
                </c:pt>
                <c:pt idx="525">
                  <c:v>1.6638731131975364</c:v>
                </c:pt>
                <c:pt idx="526">
                  <c:v>1.2075851711428405</c:v>
                </c:pt>
                <c:pt idx="527">
                  <c:v>1.6788082472516268</c:v>
                </c:pt>
                <c:pt idx="528">
                  <c:v>1.5891431351114989</c:v>
                </c:pt>
                <c:pt idx="529">
                  <c:v>1.6707432304190779</c:v>
                </c:pt>
                <c:pt idx="530">
                  <c:v>1.2866485499428939</c:v>
                </c:pt>
                <c:pt idx="531">
                  <c:v>1.396448556602528</c:v>
                </c:pt>
                <c:pt idx="532">
                  <c:v>1.2411316448314442</c:v>
                </c:pt>
                <c:pt idx="533">
                  <c:v>1.1752630388981111</c:v>
                </c:pt>
                <c:pt idx="534">
                  <c:v>1.0468060716231111</c:v>
                </c:pt>
                <c:pt idx="535">
                  <c:v>1.1445485909760982</c:v>
                </c:pt>
                <c:pt idx="536">
                  <c:v>0.87241380913713706</c:v>
                </c:pt>
                <c:pt idx="537">
                  <c:v>0.84861371282979681</c:v>
                </c:pt>
                <c:pt idx="538">
                  <c:v>0.76737121996379631</c:v>
                </c:pt>
                <c:pt idx="539">
                  <c:v>0.80074908676379641</c:v>
                </c:pt>
                <c:pt idx="540">
                  <c:v>0.72781333593738273</c:v>
                </c:pt>
                <c:pt idx="541">
                  <c:v>0.75975093395661375</c:v>
                </c:pt>
                <c:pt idx="542">
                  <c:v>0.6431270275704063</c:v>
                </c:pt>
                <c:pt idx="543">
                  <c:v>0.59469786331568919</c:v>
                </c:pt>
                <c:pt idx="544">
                  <c:v>0.58131709925070052</c:v>
                </c:pt>
                <c:pt idx="545">
                  <c:v>0.46552896571736668</c:v>
                </c:pt>
                <c:pt idx="546">
                  <c:v>0.39742914976666299</c:v>
                </c:pt>
                <c:pt idx="547">
                  <c:v>0.48223072123218141</c:v>
                </c:pt>
                <c:pt idx="548">
                  <c:v>0.57118946054797148</c:v>
                </c:pt>
                <c:pt idx="549">
                  <c:v>0.49097711838906788</c:v>
                </c:pt>
                <c:pt idx="550">
                  <c:v>0.33590270898699132</c:v>
                </c:pt>
                <c:pt idx="551">
                  <c:v>0.50435330876285334</c:v>
                </c:pt>
                <c:pt idx="552">
                  <c:v>0.38749684880285434</c:v>
                </c:pt>
                <c:pt idx="553">
                  <c:v>0.50236481177666492</c:v>
                </c:pt>
                <c:pt idx="554">
                  <c:v>0.50592835826698712</c:v>
                </c:pt>
                <c:pt idx="555">
                  <c:v>0.50935549297809835</c:v>
                </c:pt>
                <c:pt idx="556">
                  <c:v>0.50014033034651872</c:v>
                </c:pt>
                <c:pt idx="557">
                  <c:v>0.64243000324651878</c:v>
                </c:pt>
                <c:pt idx="558">
                  <c:v>0.62848743912192817</c:v>
                </c:pt>
                <c:pt idx="559">
                  <c:v>0.53101766819597362</c:v>
                </c:pt>
                <c:pt idx="560">
                  <c:v>0.65153748090806085</c:v>
                </c:pt>
                <c:pt idx="561">
                  <c:v>0.59944622855091867</c:v>
                </c:pt>
                <c:pt idx="562">
                  <c:v>0.60204711020861146</c:v>
                </c:pt>
                <c:pt idx="563">
                  <c:v>0.59082698963718228</c:v>
                </c:pt>
                <c:pt idx="564">
                  <c:v>0.67944209595232063</c:v>
                </c:pt>
                <c:pt idx="565">
                  <c:v>0.64004745445232059</c:v>
                </c:pt>
                <c:pt idx="566">
                  <c:v>0.60154034758565456</c:v>
                </c:pt>
                <c:pt idx="567">
                  <c:v>0.59145154086713592</c:v>
                </c:pt>
                <c:pt idx="568">
                  <c:v>0.59540170363870981</c:v>
                </c:pt>
                <c:pt idx="569">
                  <c:v>0.50879788556876127</c:v>
                </c:pt>
                <c:pt idx="570">
                  <c:v>0.61151929238528291</c:v>
                </c:pt>
                <c:pt idx="571">
                  <c:v>0.4483867563360856</c:v>
                </c:pt>
                <c:pt idx="572">
                  <c:v>0.42829376482260223</c:v>
                </c:pt>
                <c:pt idx="573">
                  <c:v>0.38271048978303418</c:v>
                </c:pt>
                <c:pt idx="574">
                  <c:v>0.53462442535199939</c:v>
                </c:pt>
                <c:pt idx="575">
                  <c:v>0.79548542659925192</c:v>
                </c:pt>
                <c:pt idx="576">
                  <c:v>0.80669955419925132</c:v>
                </c:pt>
                <c:pt idx="577">
                  <c:v>0.91823191947939276</c:v>
                </c:pt>
                <c:pt idx="578">
                  <c:v>0.89714455293411022</c:v>
                </c:pt>
                <c:pt idx="579">
                  <c:v>0.99202537615118247</c:v>
                </c:pt>
                <c:pt idx="580">
                  <c:v>1.5640642708171417</c:v>
                </c:pt>
                <c:pt idx="581">
                  <c:v>1.4113854865378119</c:v>
                </c:pt>
                <c:pt idx="582">
                  <c:v>1.163161290851537</c:v>
                </c:pt>
                <c:pt idx="583">
                  <c:v>1.2504823981113664</c:v>
                </c:pt>
                <c:pt idx="584">
                  <c:v>1.1160882633225866</c:v>
                </c:pt>
                <c:pt idx="585">
                  <c:v>1.1747920127263602</c:v>
                </c:pt>
                <c:pt idx="586">
                  <c:v>1.1123794215450804</c:v>
                </c:pt>
                <c:pt idx="587">
                  <c:v>0.94252583709825943</c:v>
                </c:pt>
                <c:pt idx="588">
                  <c:v>0.95424500124661116</c:v>
                </c:pt>
                <c:pt idx="589">
                  <c:v>0.97812679395948243</c:v>
                </c:pt>
                <c:pt idx="590">
                  <c:v>0.95007937024172517</c:v>
                </c:pt>
                <c:pt idx="591">
                  <c:v>0.93666698915348978</c:v>
                </c:pt>
                <c:pt idx="592">
                  <c:v>0.81816228162583016</c:v>
                </c:pt>
                <c:pt idx="593">
                  <c:v>0.93114903016796846</c:v>
                </c:pt>
                <c:pt idx="594">
                  <c:v>0.8802770251301042</c:v>
                </c:pt>
                <c:pt idx="595">
                  <c:v>0.77733555456954062</c:v>
                </c:pt>
                <c:pt idx="596">
                  <c:v>0.96577627326788762</c:v>
                </c:pt>
                <c:pt idx="597">
                  <c:v>0.889407461318522</c:v>
                </c:pt>
                <c:pt idx="598">
                  <c:v>0.99742842452541935</c:v>
                </c:pt>
                <c:pt idx="599">
                  <c:v>0.7196764146041591</c:v>
                </c:pt>
                <c:pt idx="600">
                  <c:v>0.69990123420942219</c:v>
                </c:pt>
                <c:pt idx="601">
                  <c:v>0.7719365371290301</c:v>
                </c:pt>
                <c:pt idx="602">
                  <c:v>0.69210617401993946</c:v>
                </c:pt>
                <c:pt idx="603">
                  <c:v>0.47856624634863493</c:v>
                </c:pt>
                <c:pt idx="604">
                  <c:v>0.38831743693810894</c:v>
                </c:pt>
                <c:pt idx="605">
                  <c:v>0.39465869384564323</c:v>
                </c:pt>
                <c:pt idx="606">
                  <c:v>0.28429614609344217</c:v>
                </c:pt>
                <c:pt idx="607">
                  <c:v>0.43463299303344233</c:v>
                </c:pt>
                <c:pt idx="608">
                  <c:v>0.29797536392659268</c:v>
                </c:pt>
                <c:pt idx="609">
                  <c:v>0.3652363145727463</c:v>
                </c:pt>
                <c:pt idx="610">
                  <c:v>0.25341865181233025</c:v>
                </c:pt>
                <c:pt idx="611">
                  <c:v>0.14386446079341167</c:v>
                </c:pt>
                <c:pt idx="612">
                  <c:v>0.18045415693212166</c:v>
                </c:pt>
                <c:pt idx="613">
                  <c:v>5.5923526619793232E-2</c:v>
                </c:pt>
                <c:pt idx="614">
                  <c:v>0.177265047136133</c:v>
                </c:pt>
                <c:pt idx="615">
                  <c:v>0.23824739353041871</c:v>
                </c:pt>
                <c:pt idx="616">
                  <c:v>0.15444753091137134</c:v>
                </c:pt>
                <c:pt idx="617">
                  <c:v>0.18234750588914933</c:v>
                </c:pt>
                <c:pt idx="618">
                  <c:v>0.21540178018620842</c:v>
                </c:pt>
                <c:pt idx="619">
                  <c:v>0.21540178018620842</c:v>
                </c:pt>
                <c:pt idx="620">
                  <c:v>0.13951927416896684</c:v>
                </c:pt>
                <c:pt idx="621">
                  <c:v>0.23917028556896669</c:v>
                </c:pt>
                <c:pt idx="622">
                  <c:v>0.20546168262572365</c:v>
                </c:pt>
                <c:pt idx="623">
                  <c:v>0.44785230204880072</c:v>
                </c:pt>
                <c:pt idx="624">
                  <c:v>0.49245395871920056</c:v>
                </c:pt>
                <c:pt idx="625">
                  <c:v>0.55500828143851078</c:v>
                </c:pt>
                <c:pt idx="626">
                  <c:v>0.29398271184576885</c:v>
                </c:pt>
                <c:pt idx="627">
                  <c:v>0.47306926221816725</c:v>
                </c:pt>
                <c:pt idx="628">
                  <c:v>0.55688177572325603</c:v>
                </c:pt>
                <c:pt idx="629">
                  <c:v>1.3181585959757069</c:v>
                </c:pt>
                <c:pt idx="630">
                  <c:v>0.80792086556238607</c:v>
                </c:pt>
                <c:pt idx="631">
                  <c:v>0.71273845253208301</c:v>
                </c:pt>
                <c:pt idx="632">
                  <c:v>0.79563561954746786</c:v>
                </c:pt>
                <c:pt idx="633">
                  <c:v>0.79102019249519495</c:v>
                </c:pt>
                <c:pt idx="634">
                  <c:v>0.73300931966546523</c:v>
                </c:pt>
                <c:pt idx="635">
                  <c:v>0.78289221393503039</c:v>
                </c:pt>
                <c:pt idx="636">
                  <c:v>0.74888135046048532</c:v>
                </c:pt>
                <c:pt idx="637">
                  <c:v>0.75848928509381863</c:v>
                </c:pt>
                <c:pt idx="638">
                  <c:v>0.8480996099084972</c:v>
                </c:pt>
                <c:pt idx="639">
                  <c:v>0.7499825535084973</c:v>
                </c:pt>
                <c:pt idx="640">
                  <c:v>0.67308225661194587</c:v>
                </c:pt>
                <c:pt idx="641">
                  <c:v>0.66474341340576015</c:v>
                </c:pt>
                <c:pt idx="642">
                  <c:v>0.68918581930576017</c:v>
                </c:pt>
                <c:pt idx="643">
                  <c:v>0.65764842884472086</c:v>
                </c:pt>
                <c:pt idx="644">
                  <c:v>0.59802421932039629</c:v>
                </c:pt>
                <c:pt idx="645">
                  <c:v>0.61564887922039624</c:v>
                </c:pt>
                <c:pt idx="646">
                  <c:v>0.57071514015952651</c:v>
                </c:pt>
                <c:pt idx="647">
                  <c:v>0.5555903110706375</c:v>
                </c:pt>
                <c:pt idx="648">
                  <c:v>0.65903212464324024</c:v>
                </c:pt>
                <c:pt idx="649">
                  <c:v>0.72407567863414912</c:v>
                </c:pt>
                <c:pt idx="650">
                  <c:v>0.68611051700447845</c:v>
                </c:pt>
                <c:pt idx="651">
                  <c:v>0.70441271390447846</c:v>
                </c:pt>
                <c:pt idx="652">
                  <c:v>0.61216481693090319</c:v>
                </c:pt>
                <c:pt idx="653">
                  <c:v>0.73367935023814945</c:v>
                </c:pt>
                <c:pt idx="654">
                  <c:v>0.70366244059785077</c:v>
                </c:pt>
                <c:pt idx="655">
                  <c:v>0.63536883986843873</c:v>
                </c:pt>
                <c:pt idx="656">
                  <c:v>0.69387334559741076</c:v>
                </c:pt>
                <c:pt idx="657">
                  <c:v>0.68797758194468339</c:v>
                </c:pt>
                <c:pt idx="658">
                  <c:v>0.74351186496754051</c:v>
                </c:pt>
                <c:pt idx="659">
                  <c:v>0.72126798600700026</c:v>
                </c:pt>
                <c:pt idx="660">
                  <c:v>0.69158470924588977</c:v>
                </c:pt>
                <c:pt idx="661">
                  <c:v>0.75915396397419166</c:v>
                </c:pt>
                <c:pt idx="662">
                  <c:v>0.59597096610169187</c:v>
                </c:pt>
                <c:pt idx="663">
                  <c:v>0.6063975081086691</c:v>
                </c:pt>
                <c:pt idx="664">
                  <c:v>0.59436544281189474</c:v>
                </c:pt>
                <c:pt idx="665">
                  <c:v>0.62363524813773741</c:v>
                </c:pt>
                <c:pt idx="666">
                  <c:v>0.6852842466664506</c:v>
                </c:pt>
                <c:pt idx="667">
                  <c:v>0.64523605022554142</c:v>
                </c:pt>
                <c:pt idx="668">
                  <c:v>0.6297821349528141</c:v>
                </c:pt>
                <c:pt idx="669">
                  <c:v>0.61750947059987304</c:v>
                </c:pt>
                <c:pt idx="670">
                  <c:v>0.65491440157278968</c:v>
                </c:pt>
                <c:pt idx="671">
                  <c:v>0.59662863427834523</c:v>
                </c:pt>
                <c:pt idx="672">
                  <c:v>0.69065756131592482</c:v>
                </c:pt>
                <c:pt idx="673">
                  <c:v>0.62848461754503915</c:v>
                </c:pt>
                <c:pt idx="674">
                  <c:v>0.83000579893967352</c:v>
                </c:pt>
                <c:pt idx="675">
                  <c:v>0.68031840958083123</c:v>
                </c:pt>
                <c:pt idx="676">
                  <c:v>0.60314733754843686</c:v>
                </c:pt>
                <c:pt idx="677">
                  <c:v>0.65839429540958327</c:v>
                </c:pt>
                <c:pt idx="678">
                  <c:v>0.6276438412429165</c:v>
                </c:pt>
                <c:pt idx="679">
                  <c:v>0.66903227868162618</c:v>
                </c:pt>
                <c:pt idx="680">
                  <c:v>0.59158798257840028</c:v>
                </c:pt>
                <c:pt idx="681">
                  <c:v>0.46498925799938773</c:v>
                </c:pt>
                <c:pt idx="682">
                  <c:v>0.45170991237148095</c:v>
                </c:pt>
                <c:pt idx="683">
                  <c:v>0.44155065621930711</c:v>
                </c:pt>
                <c:pt idx="684">
                  <c:v>0.47968307732741527</c:v>
                </c:pt>
                <c:pt idx="685">
                  <c:v>0.54555361068427788</c:v>
                </c:pt>
                <c:pt idx="686">
                  <c:v>0.38370424978427803</c:v>
                </c:pt>
                <c:pt idx="687">
                  <c:v>0.70554804767108215</c:v>
                </c:pt>
                <c:pt idx="688">
                  <c:v>0.68941281368805207</c:v>
                </c:pt>
                <c:pt idx="689">
                  <c:v>0.66412786231413912</c:v>
                </c:pt>
                <c:pt idx="690">
                  <c:v>0.59875905440979127</c:v>
                </c:pt>
                <c:pt idx="691">
                  <c:v>0.72633366322779669</c:v>
                </c:pt>
                <c:pt idx="692">
                  <c:v>0.77182016562779654</c:v>
                </c:pt>
                <c:pt idx="693">
                  <c:v>0.70228414647259285</c:v>
                </c:pt>
                <c:pt idx="694">
                  <c:v>0.78045043796582547</c:v>
                </c:pt>
                <c:pt idx="695">
                  <c:v>0.71922730834477311</c:v>
                </c:pt>
                <c:pt idx="696">
                  <c:v>0.7363895276582344</c:v>
                </c:pt>
                <c:pt idx="697">
                  <c:v>0.65618013283423415</c:v>
                </c:pt>
                <c:pt idx="698">
                  <c:v>0.6763174444218204</c:v>
                </c:pt>
                <c:pt idx="699">
                  <c:v>0.72211625252182032</c:v>
                </c:pt>
                <c:pt idx="700">
                  <c:v>0.73670110214251006</c:v>
                </c:pt>
                <c:pt idx="701">
                  <c:v>0.71876556904250999</c:v>
                </c:pt>
                <c:pt idx="702">
                  <c:v>0.73935464485732461</c:v>
                </c:pt>
                <c:pt idx="703">
                  <c:v>0.85515402036911181</c:v>
                </c:pt>
                <c:pt idx="704">
                  <c:v>0.91810979751911181</c:v>
                </c:pt>
                <c:pt idx="705">
                  <c:v>0.92621938691494554</c:v>
                </c:pt>
                <c:pt idx="706">
                  <c:v>0.88930938235494605</c:v>
                </c:pt>
                <c:pt idx="707">
                  <c:v>0.85262085204537152</c:v>
                </c:pt>
                <c:pt idx="708">
                  <c:v>0.80183957473301182</c:v>
                </c:pt>
                <c:pt idx="709">
                  <c:v>0.84848929190585765</c:v>
                </c:pt>
                <c:pt idx="710">
                  <c:v>0.77290039703585778</c:v>
                </c:pt>
                <c:pt idx="711">
                  <c:v>0.63812941236061294</c:v>
                </c:pt>
                <c:pt idx="712">
                  <c:v>0.62991345322347014</c:v>
                </c:pt>
                <c:pt idx="713">
                  <c:v>0.75944130600637272</c:v>
                </c:pt>
                <c:pt idx="714">
                  <c:v>0.68202379035767713</c:v>
                </c:pt>
                <c:pt idx="715">
                  <c:v>0.73688069413698754</c:v>
                </c:pt>
                <c:pt idx="716">
                  <c:v>0.76280230096868751</c:v>
                </c:pt>
                <c:pt idx="717">
                  <c:v>0.5637116149544743</c:v>
                </c:pt>
                <c:pt idx="718">
                  <c:v>0.55617879926035674</c:v>
                </c:pt>
                <c:pt idx="719">
                  <c:v>0.45714634516246655</c:v>
                </c:pt>
                <c:pt idx="720">
                  <c:v>0.45979672036246672</c:v>
                </c:pt>
                <c:pt idx="721">
                  <c:v>0.48227045956862075</c:v>
                </c:pt>
                <c:pt idx="722">
                  <c:v>0.40563731174728734</c:v>
                </c:pt>
                <c:pt idx="723">
                  <c:v>0.29478366535497974</c:v>
                </c:pt>
                <c:pt idx="724">
                  <c:v>0.24398815981497946</c:v>
                </c:pt>
                <c:pt idx="725">
                  <c:v>0.163452060773044</c:v>
                </c:pt>
                <c:pt idx="726">
                  <c:v>0.16780031180407862</c:v>
                </c:pt>
                <c:pt idx="727">
                  <c:v>0.14227633678668739</c:v>
                </c:pt>
                <c:pt idx="728">
                  <c:v>0.12896191192258472</c:v>
                </c:pt>
                <c:pt idx="729">
                  <c:v>7.9538571215441903E-2</c:v>
                </c:pt>
                <c:pt idx="730">
                  <c:v>0.13632954444152881</c:v>
                </c:pt>
                <c:pt idx="731">
                  <c:v>0.15367213056039677</c:v>
                </c:pt>
                <c:pt idx="732">
                  <c:v>9.2186864480396757E-2</c:v>
                </c:pt>
                <c:pt idx="733">
                  <c:v>6.4941673377741843E-2</c:v>
                </c:pt>
                <c:pt idx="734">
                  <c:v>6.2654789197741853E-2</c:v>
                </c:pt>
                <c:pt idx="735">
                  <c:v>4.1880241559145361E-2</c:v>
                </c:pt>
                <c:pt idx="736">
                  <c:v>5.9329557529733658E-2</c:v>
                </c:pt>
                <c:pt idx="737">
                  <c:v>6.007704568973378E-2</c:v>
                </c:pt>
                <c:pt idx="738">
                  <c:v>5.4828745881932338E-2</c:v>
                </c:pt>
                <c:pt idx="739">
                  <c:v>2.7232179328360979E-2</c:v>
                </c:pt>
                <c:pt idx="740">
                  <c:v>5.1863093229167399E-2</c:v>
                </c:pt>
                <c:pt idx="741">
                  <c:v>6.3135064758897186E-2</c:v>
                </c:pt>
                <c:pt idx="742">
                  <c:v>7.5690171524934423E-3</c:v>
                </c:pt>
                <c:pt idx="743">
                  <c:v>-1.5252467252769825E-2</c:v>
                </c:pt>
                <c:pt idx="744">
                  <c:v>2.8343114059730005E-2</c:v>
                </c:pt>
                <c:pt idx="745">
                  <c:v>-9.6434679240269994E-2</c:v>
                </c:pt>
                <c:pt idx="746">
                  <c:v>-7.8847775263525877E-2</c:v>
                </c:pt>
                <c:pt idx="747">
                  <c:v>-8.1899594672616829E-2</c:v>
                </c:pt>
                <c:pt idx="748">
                  <c:v>-6.4946759148566097E-2</c:v>
                </c:pt>
                <c:pt idx="749">
                  <c:v>-0.10035962582316912</c:v>
                </c:pt>
                <c:pt idx="750">
                  <c:v>-0.10149371772316884</c:v>
                </c:pt>
                <c:pt idx="751">
                  <c:v>-3.3385203880311472E-2</c:v>
                </c:pt>
                <c:pt idx="752">
                  <c:v>7.7807352602287895E-3</c:v>
                </c:pt>
                <c:pt idx="753">
                  <c:v>9.0956570432075504E-3</c:v>
                </c:pt>
                <c:pt idx="754">
                  <c:v>2.2714115175737529E-2</c:v>
                </c:pt>
                <c:pt idx="755">
                  <c:v>4.6621417409550168E-3</c:v>
                </c:pt>
                <c:pt idx="756">
                  <c:v>-8.114400680212807E-3</c:v>
                </c:pt>
                <c:pt idx="757">
                  <c:v>7.0215684456521932E-2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D5-49AA-8037-3673CB401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5628687"/>
        <c:axId val="1517892031"/>
      </c:lineChart>
      <c:dateAx>
        <c:axId val="195562868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892031"/>
        <c:crosses val="autoZero"/>
        <c:auto val="1"/>
        <c:lblOffset val="100"/>
        <c:baseTimeUnit val="days"/>
      </c:dateAx>
      <c:valAx>
        <c:axId val="151789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628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E741FA4-57BB-4CD5-9610-9C6548586067}">
  <sheetPr/>
  <sheetViews>
    <sheetView zoomScale="9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C56A59-E6B0-4D82-AAC4-EAF082C5375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1.929</v>
      </c>
      <c r="D2" s="4">
        <f>MIN(D3:D1912)</f>
        <v>0.08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0.80920000000000003</v>
      </c>
      <c r="C5">
        <v>0.82709999999999995</v>
      </c>
      <c r="D5">
        <v>0.79379999999999995</v>
      </c>
      <c r="E5">
        <v>0.79469999999999996</v>
      </c>
      <c r="F5">
        <v>1835379</v>
      </c>
      <c r="G5">
        <v>0.79469999999999996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-0.94594594594594528</v>
      </c>
      <c r="Q5">
        <f t="shared" ref="Q5" si="1">F5*P5</f>
        <v>-1736169.3243243231</v>
      </c>
      <c r="R5">
        <f t="shared" ref="R5" si="2">R6+Q5</f>
        <v>582214785.35635591</v>
      </c>
      <c r="S5">
        <f t="shared" ref="S5" si="3">R5/100000</f>
        <v>5822.1478535635588</v>
      </c>
      <c r="T5">
        <f t="shared" ref="T5" si="4">S5/1000</f>
        <v>5.8221478535635587</v>
      </c>
    </row>
    <row r="6" spans="1:20" x14ac:dyDescent="0.25">
      <c r="A6" s="5">
        <v>44587</v>
      </c>
      <c r="B6">
        <v>0.79479999999999995</v>
      </c>
      <c r="C6">
        <v>0.88</v>
      </c>
      <c r="D6">
        <v>0.78069999999999995</v>
      </c>
      <c r="E6">
        <v>0.80889999999999995</v>
      </c>
      <c r="F6">
        <v>27488612</v>
      </c>
      <c r="G6">
        <v>0.80889999999999995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-0.43202416918429026</v>
      </c>
      <c r="Q6">
        <f t="shared" ref="Q6" si="6">F6*P6</f>
        <v>-11875744.761329312</v>
      </c>
      <c r="R6">
        <f t="shared" ref="R6" si="7">R7+Q6</f>
        <v>583950954.68068027</v>
      </c>
      <c r="S6">
        <f t="shared" ref="S6" si="8">R6/100000</f>
        <v>5839.509546806803</v>
      </c>
      <c r="T6">
        <f t="shared" ref="T6" si="9">S6/1000</f>
        <v>5.839509546806803</v>
      </c>
    </row>
    <row r="7" spans="1:20" x14ac:dyDescent="0.25">
      <c r="A7" s="5">
        <v>44586</v>
      </c>
      <c r="B7">
        <v>0.74960000000000004</v>
      </c>
      <c r="C7">
        <v>0.79559999999999997</v>
      </c>
      <c r="D7">
        <v>0.73</v>
      </c>
      <c r="E7">
        <v>0.79420000000000002</v>
      </c>
      <c r="F7">
        <v>17708133</v>
      </c>
      <c r="G7">
        <v>0.79420000000000002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0.957317073170733</v>
      </c>
      <c r="Q7">
        <f t="shared" ref="Q7" si="11">F7*P7</f>
        <v>16952298.054878071</v>
      </c>
      <c r="R7">
        <f t="shared" ref="R7" si="12">R8+Q7</f>
        <v>595826699.44200957</v>
      </c>
      <c r="S7">
        <f t="shared" ref="S7" si="13">R7/100000</f>
        <v>5958.2669944200961</v>
      </c>
      <c r="T7">
        <f t="shared" ref="T7" si="14">S7/1000</f>
        <v>5.9582669944200966</v>
      </c>
    </row>
    <row r="8" spans="1:20" x14ac:dyDescent="0.25">
      <c r="A8" s="5">
        <v>44585</v>
      </c>
      <c r="B8">
        <v>0.75970000000000004</v>
      </c>
      <c r="C8">
        <v>0.77959999999999996</v>
      </c>
      <c r="D8">
        <v>0.6522</v>
      </c>
      <c r="E8">
        <v>0.74990000000000001</v>
      </c>
      <c r="F8">
        <v>26924506</v>
      </c>
      <c r="G8">
        <v>0.74990000000000001</v>
      </c>
      <c r="L8" t="s">
        <v>8</v>
      </c>
      <c r="M8" t="s">
        <v>7</v>
      </c>
      <c r="N8" t="s">
        <v>7</v>
      </c>
      <c r="P8">
        <f t="shared" ref="P8" si="15">IF(C8=D8,0,((E8-D8)-(C8-E8))/(C8-D8))</f>
        <v>0.5337519623233915</v>
      </c>
      <c r="Q8">
        <f t="shared" ref="Q8" si="16">F8*P8</f>
        <v>14371007.912087929</v>
      </c>
      <c r="R8">
        <f t="shared" ref="R8" si="17">R9+Q8</f>
        <v>578874401.38713145</v>
      </c>
      <c r="S8">
        <f t="shared" ref="S8" si="18">R8/100000</f>
        <v>5788.7440138713146</v>
      </c>
      <c r="T8">
        <f t="shared" ref="T8" si="19">S8/1000</f>
        <v>5.7887440138713142</v>
      </c>
    </row>
    <row r="9" spans="1:20" x14ac:dyDescent="0.25">
      <c r="A9" s="5">
        <v>44584</v>
      </c>
      <c r="B9">
        <v>0.71750000000000003</v>
      </c>
      <c r="C9">
        <v>0.76090000000000002</v>
      </c>
      <c r="D9">
        <v>0.70669999999999999</v>
      </c>
      <c r="E9">
        <v>0.76070000000000004</v>
      </c>
      <c r="F9">
        <v>20035729</v>
      </c>
      <c r="G9">
        <v>0.76070000000000004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0.99261992619926276</v>
      </c>
      <c r="Q9">
        <f t="shared" ref="Q9" si="21">F9*P9</f>
        <v>19887863.841328427</v>
      </c>
      <c r="R9">
        <f t="shared" ref="R9" si="22">R10+Q9</f>
        <v>564503393.47504354</v>
      </c>
      <c r="S9">
        <f t="shared" ref="S9" si="23">R9/100000</f>
        <v>5645.033934750435</v>
      </c>
      <c r="T9">
        <f t="shared" ref="T9" si="24">S9/1000</f>
        <v>5.645033934750435</v>
      </c>
    </row>
    <row r="10" spans="1:20" x14ac:dyDescent="0.25">
      <c r="A10" s="5">
        <v>44583</v>
      </c>
      <c r="B10">
        <v>0.8085</v>
      </c>
      <c r="C10">
        <v>0.83</v>
      </c>
      <c r="D10">
        <v>0.66920000000000002</v>
      </c>
      <c r="E10">
        <v>0.71760000000000002</v>
      </c>
      <c r="F10">
        <v>35048444</v>
      </c>
      <c r="G10">
        <v>0.71760000000000002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-0.39800995024875602</v>
      </c>
      <c r="Q10">
        <f t="shared" ref="Q10" si="26">F10*P10</f>
        <v>-13949629.452736311</v>
      </c>
      <c r="R10">
        <f t="shared" ref="R10" si="27">R11+Q10</f>
        <v>544615529.63371515</v>
      </c>
      <c r="S10">
        <f t="shared" ref="S10" si="28">R10/100000</f>
        <v>5446.1552963371514</v>
      </c>
      <c r="T10">
        <f t="shared" ref="T10" si="29">S10/1000</f>
        <v>5.4461552963371513</v>
      </c>
    </row>
    <row r="11" spans="1:20" x14ac:dyDescent="0.25">
      <c r="A11" s="5">
        <v>44582</v>
      </c>
      <c r="B11">
        <v>0.90839999999999999</v>
      </c>
      <c r="C11">
        <v>0.92849999999999999</v>
      </c>
      <c r="D11">
        <v>0.78</v>
      </c>
      <c r="E11">
        <v>0.80900000000000005</v>
      </c>
      <c r="F11">
        <v>24190587</v>
      </c>
      <c r="G11">
        <v>0.80900000000000005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-0.60942760942760899</v>
      </c>
      <c r="Q11">
        <f t="shared" ref="Q11" si="31">F11*P11</f>
        <v>-14742411.606060596</v>
      </c>
      <c r="R11">
        <f t="shared" ref="R11" si="32">R12+Q11</f>
        <v>558565159.08645141</v>
      </c>
      <c r="S11">
        <f t="shared" ref="S11" si="33">R11/100000</f>
        <v>5585.6515908645142</v>
      </c>
      <c r="T11">
        <f t="shared" ref="T11" si="34">S11/1000</f>
        <v>5.5856515908645141</v>
      </c>
    </row>
    <row r="12" spans="1:20" x14ac:dyDescent="0.25">
      <c r="A12" s="5">
        <v>44581</v>
      </c>
      <c r="B12">
        <v>0.95520000000000005</v>
      </c>
      <c r="C12">
        <v>1.0079</v>
      </c>
      <c r="D12">
        <v>0.90490000000000004</v>
      </c>
      <c r="E12">
        <v>0.90859999999999996</v>
      </c>
      <c r="F12">
        <v>10224685</v>
      </c>
      <c r="G12">
        <v>0.90859999999999996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-0.92815533980582665</v>
      </c>
      <c r="Q12">
        <f t="shared" ref="Q12" si="36">F12*P12</f>
        <v>-9490095.980582539</v>
      </c>
      <c r="R12">
        <f t="shared" ref="R12" si="37">R13+Q12</f>
        <v>573307570.69251204</v>
      </c>
      <c r="S12">
        <f t="shared" ref="S12" si="38">R12/100000</f>
        <v>5733.0757069251204</v>
      </c>
      <c r="T12">
        <f t="shared" ref="T12" si="39">S12/1000</f>
        <v>5.7330757069251206</v>
      </c>
    </row>
    <row r="13" spans="1:20" x14ac:dyDescent="0.25">
      <c r="A13" s="5">
        <v>44580</v>
      </c>
      <c r="B13">
        <v>1.0035000000000001</v>
      </c>
      <c r="C13">
        <v>1.0067999999999999</v>
      </c>
      <c r="D13">
        <v>0.94699999999999995</v>
      </c>
      <c r="E13">
        <v>0.9546</v>
      </c>
      <c r="F13">
        <v>8681298</v>
      </c>
      <c r="G13">
        <v>0.9546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-0.74581939799330921</v>
      </c>
      <c r="Q13">
        <f t="shared" ref="Q13" si="41">F13*P13</f>
        <v>-6474680.4481605189</v>
      </c>
      <c r="R13">
        <f t="shared" ref="R13" si="42">R14+Q13</f>
        <v>582797666.67309463</v>
      </c>
      <c r="S13">
        <f t="shared" ref="S13" si="43">R13/100000</f>
        <v>5827.9766667309459</v>
      </c>
      <c r="T13">
        <f t="shared" ref="T13" si="44">S13/1000</f>
        <v>5.8279766667309456</v>
      </c>
    </row>
    <row r="14" spans="1:20" x14ac:dyDescent="0.25">
      <c r="A14" s="5">
        <v>44579</v>
      </c>
      <c r="B14">
        <v>1.0138</v>
      </c>
      <c r="C14">
        <v>1.0290999999999999</v>
      </c>
      <c r="D14">
        <v>0.97050000000000003</v>
      </c>
      <c r="E14">
        <v>1.0052000000000001</v>
      </c>
      <c r="F14">
        <v>8498881</v>
      </c>
      <c r="G14">
        <v>1.0052000000000001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0.18430034129693307</v>
      </c>
      <c r="Q14">
        <f t="shared" ref="Q14" si="46">F14*P14</f>
        <v>1566346.6689420198</v>
      </c>
      <c r="R14">
        <f t="shared" ref="R14" si="47">R15+Q14</f>
        <v>589272347.12125516</v>
      </c>
      <c r="S14">
        <f t="shared" ref="S14" si="48">R14/100000</f>
        <v>5892.7234712125519</v>
      </c>
      <c r="T14">
        <f t="shared" ref="T14" si="49">S14/1000</f>
        <v>5.8927234712125518</v>
      </c>
    </row>
    <row r="15" spans="1:20" x14ac:dyDescent="0.25">
      <c r="A15" s="5">
        <v>44578</v>
      </c>
      <c r="B15">
        <v>1.0568</v>
      </c>
      <c r="C15">
        <v>1.0615000000000001</v>
      </c>
      <c r="D15">
        <v>0.99639999999999995</v>
      </c>
      <c r="E15">
        <v>1.0141</v>
      </c>
      <c r="F15">
        <v>10623465</v>
      </c>
      <c r="G15">
        <v>1.0141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-0.45622119815668183</v>
      </c>
      <c r="Q15">
        <f t="shared" ref="Q15" si="51">F15*P15</f>
        <v>-4846649.9308755742</v>
      </c>
      <c r="R15">
        <f t="shared" ref="R15" si="52">R16+Q15</f>
        <v>587706000.45231318</v>
      </c>
      <c r="S15">
        <f t="shared" ref="S15" si="53">R15/100000</f>
        <v>5877.0600045231322</v>
      </c>
      <c r="T15">
        <f t="shared" ref="T15" si="54">S15/1000</f>
        <v>5.8770600045231323</v>
      </c>
    </row>
    <row r="16" spans="1:20" x14ac:dyDescent="0.25">
      <c r="A16" s="5">
        <v>44577</v>
      </c>
      <c r="B16">
        <v>1.0625</v>
      </c>
      <c r="C16">
        <v>1.0753999999999999</v>
      </c>
      <c r="D16">
        <v>1.0368999999999999</v>
      </c>
      <c r="E16">
        <v>1.0565</v>
      </c>
      <c r="F16">
        <v>8946342</v>
      </c>
      <c r="G16">
        <v>1.0565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1.8181818181821956E-2</v>
      </c>
      <c r="Q16">
        <f t="shared" ref="Q16" si="56">F16*P16</f>
        <v>162660.7636363974</v>
      </c>
      <c r="R16">
        <f t="shared" ref="R16" si="57">R17+Q16</f>
        <v>592552650.38318872</v>
      </c>
      <c r="S16">
        <f t="shared" ref="S16" si="58">R16/100000</f>
        <v>5925.5265038318876</v>
      </c>
      <c r="T16">
        <f t="shared" ref="T16" si="59">S16/1000</f>
        <v>5.9255265038318878</v>
      </c>
    </row>
    <row r="17" spans="1:20" x14ac:dyDescent="0.25">
      <c r="A17" s="5">
        <v>44576</v>
      </c>
      <c r="B17">
        <v>1.0553999999999999</v>
      </c>
      <c r="C17">
        <v>1.0844</v>
      </c>
      <c r="D17">
        <v>1.0387</v>
      </c>
      <c r="E17">
        <v>1.0626</v>
      </c>
      <c r="F17">
        <v>7798093</v>
      </c>
      <c r="G17">
        <v>1.0626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4.5951859956236046E-2</v>
      </c>
      <c r="Q17">
        <f t="shared" ref="Q17" si="61">F17*P17</f>
        <v>358336.8774617046</v>
      </c>
      <c r="R17">
        <f t="shared" ref="R17" si="62">R18+Q17</f>
        <v>592389989.61955237</v>
      </c>
      <c r="S17">
        <f t="shared" ref="S17" si="63">R17/100000</f>
        <v>5923.899896195524</v>
      </c>
      <c r="T17">
        <f t="shared" ref="T17" si="64">S17/1000</f>
        <v>5.9238998961955236</v>
      </c>
    </row>
    <row r="18" spans="1:20" x14ac:dyDescent="0.25">
      <c r="A18" s="5">
        <v>44575</v>
      </c>
      <c r="B18">
        <v>1.0376000000000001</v>
      </c>
      <c r="C18">
        <v>1.0718000000000001</v>
      </c>
      <c r="D18">
        <v>1.0119</v>
      </c>
      <c r="E18">
        <v>1.0562</v>
      </c>
      <c r="F18">
        <v>10776861</v>
      </c>
      <c r="G18">
        <v>1.0562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0.47913188647746108</v>
      </c>
      <c r="Q18">
        <f t="shared" ref="Q18" si="66">F18*P18</f>
        <v>5163537.7412353773</v>
      </c>
      <c r="R18">
        <f t="shared" ref="R18" si="67">R19+Q18</f>
        <v>592031652.7420907</v>
      </c>
      <c r="S18">
        <f t="shared" ref="S18" si="68">R18/100000</f>
        <v>5920.3165274209068</v>
      </c>
      <c r="T18">
        <f t="shared" ref="T18" si="69">S18/1000</f>
        <v>5.9203165274209066</v>
      </c>
    </row>
    <row r="19" spans="1:20" x14ac:dyDescent="0.25">
      <c r="A19" s="5">
        <v>44574</v>
      </c>
      <c r="B19">
        <v>1.1158999999999999</v>
      </c>
      <c r="C19">
        <v>1.1218999999999999</v>
      </c>
      <c r="D19">
        <v>1.0314000000000001</v>
      </c>
      <c r="E19">
        <v>1.0383</v>
      </c>
      <c r="F19">
        <v>12809418</v>
      </c>
      <c r="G19">
        <v>1.0383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-0.8475138121546979</v>
      </c>
      <c r="Q19">
        <f t="shared" ref="Q19" si="71">F19*P19</f>
        <v>-10856158.680663006</v>
      </c>
      <c r="R19">
        <f t="shared" ref="R19" si="72">R20+Q19</f>
        <v>586868115.00085533</v>
      </c>
      <c r="S19">
        <f t="shared" ref="S19" si="73">R19/100000</f>
        <v>5868.6811500085532</v>
      </c>
      <c r="T19">
        <f t="shared" ref="T19" si="74">S19/1000</f>
        <v>5.8686811500085536</v>
      </c>
    </row>
    <row r="20" spans="1:20" x14ac:dyDescent="0.25">
      <c r="A20" s="5">
        <v>44573</v>
      </c>
      <c r="B20">
        <v>1.0570999999999999</v>
      </c>
      <c r="C20">
        <v>1.1214</v>
      </c>
      <c r="D20">
        <v>1.0485</v>
      </c>
      <c r="E20">
        <v>1.1153999999999999</v>
      </c>
      <c r="F20">
        <v>15839243</v>
      </c>
      <c r="G20">
        <v>1.1153999999999999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0.83539094650205736</v>
      </c>
      <c r="Q20">
        <f t="shared" ref="Q20" si="76">F20*P20</f>
        <v>13231960.201646086</v>
      </c>
      <c r="R20">
        <f t="shared" ref="R20" si="77">R21+Q20</f>
        <v>597724273.68151832</v>
      </c>
      <c r="S20">
        <f t="shared" ref="S20" si="78">R20/100000</f>
        <v>5977.242736815183</v>
      </c>
      <c r="T20">
        <f t="shared" ref="T20" si="79">S20/1000</f>
        <v>5.9772427368151826</v>
      </c>
    </row>
    <row r="21" spans="1:20" x14ac:dyDescent="0.25">
      <c r="A21" s="5">
        <v>44572</v>
      </c>
      <c r="B21">
        <v>0.99760000000000004</v>
      </c>
      <c r="C21">
        <v>1.0640000000000001</v>
      </c>
      <c r="D21">
        <v>0.98770000000000002</v>
      </c>
      <c r="E21">
        <v>1.0567</v>
      </c>
      <c r="F21">
        <v>13770189</v>
      </c>
      <c r="G21">
        <v>1.0567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0.80865006553079732</v>
      </c>
      <c r="Q21">
        <f t="shared" ref="Q21" si="81">F21*P21</f>
        <v>11135264.237221465</v>
      </c>
      <c r="R21">
        <f t="shared" ref="R21" si="82">R22+Q21</f>
        <v>584492313.47987223</v>
      </c>
      <c r="S21">
        <f t="shared" ref="S21" si="83">R21/100000</f>
        <v>5844.9231347987225</v>
      </c>
      <c r="T21">
        <f t="shared" ref="T21" si="84">S21/1000</f>
        <v>5.8449231347987221</v>
      </c>
    </row>
    <row r="22" spans="1:20" x14ac:dyDescent="0.25">
      <c r="A22" s="5">
        <v>44571</v>
      </c>
      <c r="B22">
        <v>1.0337000000000001</v>
      </c>
      <c r="C22">
        <v>1.0458000000000001</v>
      </c>
      <c r="D22">
        <v>0.93720000000000003</v>
      </c>
      <c r="E22">
        <v>0.99809999999999999</v>
      </c>
      <c r="F22">
        <v>19377822</v>
      </c>
      <c r="G22">
        <v>0.99809999999999999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0.12154696132596569</v>
      </c>
      <c r="Q22">
        <f t="shared" ref="Q22" si="86">F22*P22</f>
        <v>2355315.3812154471</v>
      </c>
      <c r="R22">
        <f t="shared" ref="R22" si="87">R23+Q22</f>
        <v>573357049.24265075</v>
      </c>
      <c r="S22">
        <f t="shared" ref="S22" si="88">R22/100000</f>
        <v>5733.5704924265074</v>
      </c>
      <c r="T22">
        <f t="shared" ref="T22" si="89">S22/1000</f>
        <v>5.733570492426507</v>
      </c>
    </row>
    <row r="23" spans="1:20" x14ac:dyDescent="0.25">
      <c r="A23" s="5">
        <v>44570</v>
      </c>
      <c r="B23">
        <v>1.0204</v>
      </c>
      <c r="C23">
        <v>1.0565</v>
      </c>
      <c r="D23">
        <v>1</v>
      </c>
      <c r="E23">
        <v>1.0339</v>
      </c>
      <c r="F23">
        <v>15167502</v>
      </c>
      <c r="G23">
        <v>1.0339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0.20000000000000157</v>
      </c>
      <c r="Q23">
        <f t="shared" ref="Q23" si="91">F23*P23</f>
        <v>3033500.4000000237</v>
      </c>
      <c r="R23">
        <f t="shared" ref="R23" si="92">R24+Q23</f>
        <v>571001733.86143529</v>
      </c>
      <c r="S23">
        <f t="shared" ref="S23" si="93">R23/100000</f>
        <v>5710.0173386143533</v>
      </c>
      <c r="T23">
        <f t="shared" ref="T23" si="94">S23/1000</f>
        <v>5.7100173386143531</v>
      </c>
    </row>
    <row r="24" spans="1:20" x14ac:dyDescent="0.25">
      <c r="A24" s="5">
        <v>44569</v>
      </c>
      <c r="B24">
        <v>1.0769</v>
      </c>
      <c r="C24">
        <v>1.1031</v>
      </c>
      <c r="D24">
        <v>0.9889</v>
      </c>
      <c r="E24">
        <v>1.0209999999999999</v>
      </c>
      <c r="F24">
        <v>21917977</v>
      </c>
      <c r="G24">
        <v>1.0209999999999999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-0.4378283712784603</v>
      </c>
      <c r="Q24">
        <f t="shared" ref="Q24" si="96">F24*P24</f>
        <v>-9596312.1716287527</v>
      </c>
      <c r="R24">
        <f t="shared" ref="R24" si="97">R25+Q24</f>
        <v>567968233.46143532</v>
      </c>
      <c r="S24">
        <f t="shared" ref="S24" si="98">R24/100000</f>
        <v>5679.6823346143528</v>
      </c>
      <c r="T24">
        <f t="shared" ref="T24" si="99">S24/1000</f>
        <v>5.6796823346143528</v>
      </c>
    </row>
    <row r="25" spans="1:20" x14ac:dyDescent="0.25">
      <c r="A25" s="5">
        <v>44568</v>
      </c>
      <c r="B25">
        <v>1.1833</v>
      </c>
      <c r="C25">
        <v>1.1894</v>
      </c>
      <c r="D25">
        <v>1.038</v>
      </c>
      <c r="E25">
        <v>1.0768</v>
      </c>
      <c r="F25">
        <v>36066061</v>
      </c>
      <c r="G25">
        <v>1.0768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-0.48745046235138773</v>
      </c>
      <c r="Q25">
        <f t="shared" ref="Q25" si="101">F25*P25</f>
        <v>-17580418.109643351</v>
      </c>
      <c r="R25">
        <f t="shared" ref="R25" si="102">R26+Q25</f>
        <v>577564545.63306403</v>
      </c>
      <c r="S25">
        <f t="shared" ref="S25" si="103">R25/100000</f>
        <v>5775.6454563306406</v>
      </c>
      <c r="T25">
        <f t="shared" ref="T25" si="104">S25/1000</f>
        <v>5.7756454563306407</v>
      </c>
    </row>
    <row r="26" spans="1:20" x14ac:dyDescent="0.25">
      <c r="A26" s="5">
        <v>44567</v>
      </c>
      <c r="B26">
        <v>1.177</v>
      </c>
      <c r="C26">
        <v>1.1976</v>
      </c>
      <c r="D26">
        <v>1.1079000000000001</v>
      </c>
      <c r="E26">
        <v>1.1835</v>
      </c>
      <c r="F26">
        <v>24797150</v>
      </c>
      <c r="G26">
        <v>1.1835</v>
      </c>
      <c r="L26" t="s">
        <v>8</v>
      </c>
      <c r="M26" t="s">
        <v>7</v>
      </c>
      <c r="N26" t="s">
        <v>8</v>
      </c>
      <c r="P26">
        <f t="shared" ref="P26" si="105">IF(C26=D26,0,((E26-D26)-(C26-E26))/(C26-D26))</f>
        <v>0.68561872909698951</v>
      </c>
      <c r="Q26">
        <f t="shared" ref="Q26" si="106">F26*P26</f>
        <v>17001390.468227413</v>
      </c>
      <c r="R26">
        <f t="shared" ref="R26" si="107">R27+Q26</f>
        <v>595144963.74270737</v>
      </c>
      <c r="S26">
        <f t="shared" ref="S26" si="108">R26/100000</f>
        <v>5951.4496374270739</v>
      </c>
      <c r="T26">
        <f t="shared" ref="T26" si="109">S26/1000</f>
        <v>5.951449637427074</v>
      </c>
    </row>
    <row r="27" spans="1:20" x14ac:dyDescent="0.25">
      <c r="A27" s="5">
        <v>44566</v>
      </c>
      <c r="B27">
        <v>1.2829999999999999</v>
      </c>
      <c r="C27">
        <v>1.335</v>
      </c>
      <c r="D27">
        <v>1.121</v>
      </c>
      <c r="E27">
        <v>1.1763999999999999</v>
      </c>
      <c r="F27">
        <v>28541133</v>
      </c>
      <c r="G27">
        <v>1.1763999999999999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-0.4822429906542065</v>
      </c>
      <c r="Q27">
        <f t="shared" ref="Q27" si="111">F27*P27</f>
        <v>-13763761.334579464</v>
      </c>
      <c r="R27">
        <f t="shared" ref="R27" si="112">R28+Q27</f>
        <v>578143573.27447999</v>
      </c>
      <c r="S27">
        <f t="shared" ref="S27" si="113">R27/100000</f>
        <v>5781.4357327447997</v>
      </c>
      <c r="T27">
        <f t="shared" ref="T27" si="114">S27/1000</f>
        <v>5.7814357327448</v>
      </c>
    </row>
    <row r="28" spans="1:20" x14ac:dyDescent="0.25">
      <c r="A28" s="5">
        <v>44565</v>
      </c>
      <c r="B28">
        <v>1.3028</v>
      </c>
      <c r="C28">
        <v>1.3641000000000001</v>
      </c>
      <c r="D28">
        <v>1.2499</v>
      </c>
      <c r="E28">
        <v>1.2825</v>
      </c>
      <c r="F28">
        <v>24191970</v>
      </c>
      <c r="G28">
        <v>1.2825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-0.42907180385289073</v>
      </c>
      <c r="Q28">
        <f t="shared" ref="Q28" si="116">F28*P28</f>
        <v>-10380092.206655016</v>
      </c>
      <c r="R28">
        <f t="shared" ref="R28" si="117">R29+Q28</f>
        <v>591907334.60905945</v>
      </c>
      <c r="S28">
        <f t="shared" ref="S28" si="118">R28/100000</f>
        <v>5919.0733460905949</v>
      </c>
      <c r="T28">
        <f t="shared" ref="T28" si="119">S28/1000</f>
        <v>5.9190733460905953</v>
      </c>
    </row>
    <row r="29" spans="1:20" x14ac:dyDescent="0.25">
      <c r="A29" s="5">
        <v>44564</v>
      </c>
      <c r="B29">
        <v>1.2994000000000001</v>
      </c>
      <c r="C29">
        <v>1.3446</v>
      </c>
      <c r="D29">
        <v>1.2549999999999999</v>
      </c>
      <c r="E29">
        <v>1.3017000000000001</v>
      </c>
      <c r="F29">
        <v>20785380</v>
      </c>
      <c r="G29">
        <v>1.3017000000000001</v>
      </c>
      <c r="L29" t="s">
        <v>8</v>
      </c>
      <c r="M29" t="s">
        <v>8</v>
      </c>
      <c r="N29" t="s">
        <v>8</v>
      </c>
      <c r="P29">
        <f t="shared" ref="P29" si="120">IF(C29=D29,0,((E29-D29)-(C29-E29))/(C29-D29))</f>
        <v>4.2410714285716994E-2</v>
      </c>
      <c r="Q29">
        <f t="shared" ref="Q29" si="121">F29*P29</f>
        <v>881522.81250005635</v>
      </c>
      <c r="R29">
        <f t="shared" ref="R29" si="122">R30+Q29</f>
        <v>602287426.81571448</v>
      </c>
      <c r="S29">
        <f t="shared" ref="S29" si="123">R29/100000</f>
        <v>6022.8742681571448</v>
      </c>
      <c r="T29">
        <f t="shared" ref="T29" si="124">S29/1000</f>
        <v>6.0228742681571452</v>
      </c>
    </row>
    <row r="30" spans="1:20" x14ac:dyDescent="0.25">
      <c r="A30" s="5">
        <v>44563</v>
      </c>
      <c r="B30">
        <v>1.2562</v>
      </c>
      <c r="C30">
        <v>1.3452</v>
      </c>
      <c r="D30">
        <v>1.2169000000000001</v>
      </c>
      <c r="E30">
        <v>1.2999000000000001</v>
      </c>
      <c r="F30">
        <v>19053481</v>
      </c>
      <c r="G30">
        <v>1.2999000000000001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0.2938425565081848</v>
      </c>
      <c r="Q30">
        <f t="shared" ref="Q30" si="126">F30*P30</f>
        <v>5598723.5674201259</v>
      </c>
      <c r="R30">
        <f t="shared" ref="R30" si="127">R31+Q30</f>
        <v>601405904.00321448</v>
      </c>
      <c r="S30">
        <f t="shared" ref="S30" si="128">R30/100000</f>
        <v>6014.0590400321444</v>
      </c>
      <c r="T30">
        <f t="shared" ref="T30" si="129">S30/1000</f>
        <v>6.0140590400321443</v>
      </c>
    </row>
    <row r="31" spans="1:20" x14ac:dyDescent="0.25">
      <c r="A31" s="5">
        <v>44562</v>
      </c>
      <c r="B31">
        <v>1.2050000000000001</v>
      </c>
      <c r="C31">
        <v>1.2645</v>
      </c>
      <c r="D31">
        <v>1.2040999999999999</v>
      </c>
      <c r="E31">
        <v>1.256</v>
      </c>
      <c r="F31">
        <v>11540379</v>
      </c>
      <c r="G31">
        <v>1.256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0.71854304635761757</v>
      </c>
      <c r="Q31">
        <f t="shared" ref="Q31" si="131">F31*P31</f>
        <v>8292259.082781476</v>
      </c>
      <c r="R31">
        <f t="shared" ref="R31" si="132">R32+Q31</f>
        <v>595807180.43579435</v>
      </c>
      <c r="S31">
        <f t="shared" ref="S31" si="133">R31/100000</f>
        <v>5958.0718043579436</v>
      </c>
      <c r="T31">
        <f t="shared" ref="T31" si="134">S31/1000</f>
        <v>5.9580718043579433</v>
      </c>
    </row>
    <row r="32" spans="1:20" x14ac:dyDescent="0.25">
      <c r="A32" s="5">
        <v>44561</v>
      </c>
      <c r="B32">
        <v>1.1884999999999999</v>
      </c>
      <c r="C32">
        <v>1.2746999999999999</v>
      </c>
      <c r="D32">
        <v>1.1781999999999999</v>
      </c>
      <c r="E32">
        <v>1.2047000000000001</v>
      </c>
      <c r="F32">
        <v>19263553</v>
      </c>
      <c r="G32">
        <v>1.2047000000000001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-0.45077720207253508</v>
      </c>
      <c r="Q32">
        <f t="shared" ref="Q32" si="136">F32*P32</f>
        <v>-8683570.5233159885</v>
      </c>
      <c r="R32">
        <f t="shared" ref="R32" si="137">R33+Q32</f>
        <v>587514921.35301292</v>
      </c>
      <c r="S32">
        <f t="shared" ref="S32" si="138">R32/100000</f>
        <v>5875.1492135301296</v>
      </c>
      <c r="T32">
        <f t="shared" ref="T32" si="139">S32/1000</f>
        <v>5.87514921353013</v>
      </c>
    </row>
    <row r="33" spans="1:20" x14ac:dyDescent="0.25">
      <c r="A33" s="5">
        <v>44560</v>
      </c>
      <c r="B33">
        <v>1.1517999999999999</v>
      </c>
      <c r="C33">
        <v>1.242</v>
      </c>
      <c r="D33">
        <v>1.1122000000000001</v>
      </c>
      <c r="E33">
        <v>1.1886000000000001</v>
      </c>
      <c r="F33">
        <v>21528374</v>
      </c>
      <c r="G33">
        <v>1.1886000000000001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0.17719568567026306</v>
      </c>
      <c r="Q33">
        <f t="shared" ref="Q33" si="141">F33*P33</f>
        <v>3814734.992295864</v>
      </c>
      <c r="R33">
        <f t="shared" ref="R33" si="142">R34+Q33</f>
        <v>596198491.87632895</v>
      </c>
      <c r="S33">
        <f t="shared" ref="S33" si="143">R33/100000</f>
        <v>5961.9849187632899</v>
      </c>
      <c r="T33">
        <f t="shared" ref="T33" si="144">S33/1000</f>
        <v>5.9619849187632896</v>
      </c>
    </row>
    <row r="34" spans="1:20" x14ac:dyDescent="0.25">
      <c r="A34" s="5">
        <v>44559</v>
      </c>
      <c r="B34">
        <v>1.2201</v>
      </c>
      <c r="C34">
        <v>1.2466999999999999</v>
      </c>
      <c r="D34">
        <v>1.1364000000000001</v>
      </c>
      <c r="E34">
        <v>1.1508</v>
      </c>
      <c r="F34">
        <v>18770905</v>
      </c>
      <c r="G34">
        <v>1.1508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-0.7388939256572985</v>
      </c>
      <c r="Q34">
        <f t="shared" ref="Q34" si="146">F34*P34</f>
        <v>-13869707.683590213</v>
      </c>
      <c r="R34">
        <f t="shared" ref="R34" si="147">R35+Q34</f>
        <v>592383756.88403308</v>
      </c>
      <c r="S34">
        <f t="shared" ref="S34" si="148">R34/100000</f>
        <v>5923.8375688403312</v>
      </c>
      <c r="T34">
        <f t="shared" ref="T34" si="149">S34/1000</f>
        <v>5.9238375688403311</v>
      </c>
    </row>
    <row r="35" spans="1:20" x14ac:dyDescent="0.25">
      <c r="A35" s="5">
        <v>44558</v>
      </c>
      <c r="B35">
        <v>1.3816999999999999</v>
      </c>
      <c r="C35">
        <v>1.3817999999999999</v>
      </c>
      <c r="D35">
        <v>1.2095</v>
      </c>
      <c r="E35">
        <v>1.2195</v>
      </c>
      <c r="F35">
        <v>22167720</v>
      </c>
      <c r="G35">
        <v>1.2195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-0.88392338943702831</v>
      </c>
      <c r="Q35">
        <f t="shared" ref="Q35" si="151">F35*P35</f>
        <v>-19594566.198491</v>
      </c>
      <c r="R35">
        <f t="shared" ref="R35" si="152">R36+Q35</f>
        <v>606253464.56762326</v>
      </c>
      <c r="S35">
        <f t="shared" ref="S35" si="153">R35/100000</f>
        <v>6062.5346456762327</v>
      </c>
      <c r="T35">
        <f t="shared" ref="T35" si="154">S35/1000</f>
        <v>6.0625346456762328</v>
      </c>
    </row>
    <row r="36" spans="1:20" x14ac:dyDescent="0.25">
      <c r="A36" s="5">
        <v>44557</v>
      </c>
      <c r="B36">
        <v>1.3362000000000001</v>
      </c>
      <c r="C36">
        <v>1.4539</v>
      </c>
      <c r="D36">
        <v>1.3358000000000001</v>
      </c>
      <c r="E36">
        <v>1.381</v>
      </c>
      <c r="F36">
        <v>22833855</v>
      </c>
      <c r="G36">
        <v>1.381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-0.2345469940728204</v>
      </c>
      <c r="Q36">
        <f t="shared" ref="Q36" si="156">F36*P36</f>
        <v>-5355612.0533446399</v>
      </c>
      <c r="R36">
        <f t="shared" ref="R36" si="157">R37+Q36</f>
        <v>625848030.76611423</v>
      </c>
      <c r="S36">
        <f t="shared" ref="S36" si="158">R36/100000</f>
        <v>6258.4803076611424</v>
      </c>
      <c r="T36">
        <f t="shared" ref="T36" si="159">S36/1000</f>
        <v>6.2584803076611424</v>
      </c>
    </row>
    <row r="37" spans="1:20" x14ac:dyDescent="0.25">
      <c r="A37" s="5">
        <v>44556</v>
      </c>
      <c r="B37">
        <v>1.3364</v>
      </c>
      <c r="C37">
        <v>1.365</v>
      </c>
      <c r="D37">
        <v>1.2814000000000001</v>
      </c>
      <c r="E37">
        <v>1.3368</v>
      </c>
      <c r="F37">
        <v>13174705</v>
      </c>
      <c r="G37">
        <v>1.3368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0.32535885167464024</v>
      </c>
      <c r="Q37">
        <f t="shared" ref="Q37" si="161">F37*P37</f>
        <v>4286506.8899521409</v>
      </c>
      <c r="R37">
        <f t="shared" ref="R37" si="162">R38+Q37</f>
        <v>631203642.81945884</v>
      </c>
      <c r="S37">
        <f t="shared" ref="S37" si="163">R37/100000</f>
        <v>6312.0364281945886</v>
      </c>
      <c r="T37">
        <f t="shared" ref="T37" si="164">S37/1000</f>
        <v>6.3120364281945882</v>
      </c>
    </row>
    <row r="38" spans="1:20" x14ac:dyDescent="0.25">
      <c r="A38" s="5">
        <v>44555</v>
      </c>
      <c r="B38">
        <v>1.3131999999999999</v>
      </c>
      <c r="C38">
        <v>1.3918999999999999</v>
      </c>
      <c r="D38">
        <v>1.3017000000000001</v>
      </c>
      <c r="E38">
        <v>1.3364</v>
      </c>
      <c r="F38">
        <v>17862027</v>
      </c>
      <c r="G38">
        <v>1.3364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-0.2305986696230595</v>
      </c>
      <c r="Q38">
        <f t="shared" ref="Q38" si="166">F38*P38</f>
        <v>-4118959.6629711688</v>
      </c>
      <c r="R38">
        <f t="shared" ref="R38" si="167">R39+Q38</f>
        <v>626917135.92950666</v>
      </c>
      <c r="S38">
        <f t="shared" ref="S38" si="168">R38/100000</f>
        <v>6269.1713592950664</v>
      </c>
      <c r="T38">
        <f t="shared" ref="T38" si="169">S38/1000</f>
        <v>6.2691713592950666</v>
      </c>
    </row>
    <row r="39" spans="1:20" x14ac:dyDescent="0.25">
      <c r="A39" s="5">
        <v>44554</v>
      </c>
      <c r="B39">
        <v>1.3426</v>
      </c>
      <c r="C39">
        <v>1.38</v>
      </c>
      <c r="D39">
        <v>1.2907</v>
      </c>
      <c r="E39">
        <v>1.3143</v>
      </c>
      <c r="F39">
        <v>22273679</v>
      </c>
      <c r="G39">
        <v>1.3143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-0.47144456886897912</v>
      </c>
      <c r="Q39">
        <f t="shared" ref="Q39" si="171">F39*P39</f>
        <v>-10500804.993281035</v>
      </c>
      <c r="R39">
        <f t="shared" ref="R39" si="172">R40+Q39</f>
        <v>631036095.5924778</v>
      </c>
      <c r="S39">
        <f t="shared" ref="S39" si="173">R39/100000</f>
        <v>6310.360955924778</v>
      </c>
      <c r="T39">
        <f t="shared" ref="T39" si="174">S39/1000</f>
        <v>6.3103609559247777</v>
      </c>
    </row>
    <row r="40" spans="1:20" x14ac:dyDescent="0.25">
      <c r="A40" s="5">
        <v>44553</v>
      </c>
      <c r="B40">
        <v>1.1867000000000001</v>
      </c>
      <c r="C40">
        <v>1.3449</v>
      </c>
      <c r="D40">
        <v>1.1766000000000001</v>
      </c>
      <c r="E40">
        <v>1.3435999999999999</v>
      </c>
      <c r="F40">
        <v>30142398</v>
      </c>
      <c r="G40">
        <v>1.3435999999999999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0.98455139631610122</v>
      </c>
      <c r="Q40">
        <f t="shared" ref="Q40" si="176">F40*P40</f>
        <v>29676740.039215658</v>
      </c>
      <c r="R40">
        <f t="shared" ref="R40" si="177">R41+Q40</f>
        <v>641536900.58575881</v>
      </c>
      <c r="S40">
        <f t="shared" ref="S40" si="178">R40/100000</f>
        <v>6415.3690058575885</v>
      </c>
      <c r="T40">
        <f t="shared" ref="T40" si="179">S40/1000</f>
        <v>6.4153690058575883</v>
      </c>
    </row>
    <row r="41" spans="1:20" x14ac:dyDescent="0.25">
      <c r="A41" s="5">
        <v>44552</v>
      </c>
      <c r="B41">
        <v>1.1649</v>
      </c>
      <c r="C41">
        <v>1.2310000000000001</v>
      </c>
      <c r="D41">
        <v>1.1473</v>
      </c>
      <c r="E41">
        <v>1.1872</v>
      </c>
      <c r="F41">
        <v>22803359</v>
      </c>
      <c r="G41">
        <v>1.1872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-4.659498207885316E-2</v>
      </c>
      <c r="Q41">
        <f t="shared" ref="Q41" si="181">F41*P41</f>
        <v>-1062522.103942655</v>
      </c>
      <c r="R41">
        <f t="shared" ref="R41" si="182">R42+Q41</f>
        <v>611860160.54654312</v>
      </c>
      <c r="S41">
        <f t="shared" ref="S41" si="183">R41/100000</f>
        <v>6118.601605465431</v>
      </c>
      <c r="T41">
        <f t="shared" ref="T41" si="184">S41/1000</f>
        <v>6.1186016054654306</v>
      </c>
    </row>
    <row r="42" spans="1:20" x14ac:dyDescent="0.25">
      <c r="A42" s="5">
        <v>44551</v>
      </c>
      <c r="B42">
        <v>1.1089</v>
      </c>
      <c r="C42">
        <v>1.1819</v>
      </c>
      <c r="D42">
        <v>1.0866</v>
      </c>
      <c r="E42">
        <v>1.1645000000000001</v>
      </c>
      <c r="F42">
        <v>17669592</v>
      </c>
      <c r="G42">
        <v>1.1645000000000001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0.63483735571878552</v>
      </c>
      <c r="Q42">
        <f t="shared" ref="Q42" si="186">F42*P42</f>
        <v>11217317.061909808</v>
      </c>
      <c r="R42">
        <f t="shared" ref="R42" si="187">R43+Q42</f>
        <v>612922682.65048575</v>
      </c>
      <c r="S42">
        <f t="shared" ref="S42" si="188">R42/100000</f>
        <v>6129.2268265048579</v>
      </c>
      <c r="T42">
        <f t="shared" ref="T42" si="189">S42/1000</f>
        <v>6.1292268265048575</v>
      </c>
    </row>
    <row r="43" spans="1:20" x14ac:dyDescent="0.25">
      <c r="A43" s="5">
        <v>44550</v>
      </c>
      <c r="B43">
        <v>1.1329</v>
      </c>
      <c r="C43">
        <v>1.1609</v>
      </c>
      <c r="D43">
        <v>1.0450999999999999</v>
      </c>
      <c r="E43">
        <v>1.1069</v>
      </c>
      <c r="F43">
        <v>19154524</v>
      </c>
      <c r="G43">
        <v>1.1069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6.7357512953368059E-2</v>
      </c>
      <c r="Q43">
        <f t="shared" ref="Q43" si="191">F43*P43</f>
        <v>1290201.0984455994</v>
      </c>
      <c r="R43">
        <f t="shared" ref="R43" si="192">R44+Q43</f>
        <v>601705365.58857596</v>
      </c>
      <c r="S43">
        <f t="shared" ref="S43" si="193">R43/100000</f>
        <v>6017.0536558857593</v>
      </c>
      <c r="T43">
        <f t="shared" ref="T43" si="194">S43/1000</f>
        <v>6.0170536558857597</v>
      </c>
    </row>
    <row r="44" spans="1:20" x14ac:dyDescent="0.25">
      <c r="A44" s="5">
        <v>44549</v>
      </c>
      <c r="B44">
        <v>1.1771</v>
      </c>
      <c r="C44">
        <v>1.2022999999999999</v>
      </c>
      <c r="D44">
        <v>1.1183000000000001</v>
      </c>
      <c r="E44">
        <v>1.1334</v>
      </c>
      <c r="F44">
        <v>13838886</v>
      </c>
      <c r="G44">
        <v>1.1334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-0.64047619047619242</v>
      </c>
      <c r="Q44">
        <f t="shared" ref="Q44" si="196">F44*P44</f>
        <v>-8863476.9857143126</v>
      </c>
      <c r="R44">
        <f t="shared" ref="R44" si="197">R45+Q44</f>
        <v>600415164.49013031</v>
      </c>
      <c r="S44">
        <f t="shared" ref="S44" si="198">R44/100000</f>
        <v>6004.1516449013034</v>
      </c>
      <c r="T44">
        <f t="shared" ref="T44" si="199">S44/1000</f>
        <v>6.0041516449013033</v>
      </c>
    </row>
    <row r="45" spans="1:20" x14ac:dyDescent="0.25">
      <c r="A45" s="5">
        <v>44548</v>
      </c>
      <c r="B45">
        <v>1.1498999999999999</v>
      </c>
      <c r="C45">
        <v>1.2129000000000001</v>
      </c>
      <c r="D45">
        <v>1.1042000000000001</v>
      </c>
      <c r="E45">
        <v>1.1761999999999999</v>
      </c>
      <c r="F45">
        <v>19635478</v>
      </c>
      <c r="G45">
        <v>1.1761999999999999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0.32474701011959206</v>
      </c>
      <c r="Q45">
        <f t="shared" ref="Q45" si="201">F45*P45</f>
        <v>6376562.7727690274</v>
      </c>
      <c r="R45">
        <f t="shared" ref="R45" si="202">R46+Q45</f>
        <v>609278641.47584462</v>
      </c>
      <c r="S45">
        <f t="shared" ref="S45" si="203">R45/100000</f>
        <v>6092.786414758446</v>
      </c>
      <c r="T45">
        <f t="shared" ref="T45" si="204">S45/1000</f>
        <v>6.0927864147584456</v>
      </c>
    </row>
    <row r="46" spans="1:20" x14ac:dyDescent="0.25">
      <c r="A46" s="5">
        <v>44547</v>
      </c>
      <c r="B46">
        <v>1.1314</v>
      </c>
      <c r="C46">
        <v>1.1958</v>
      </c>
      <c r="D46">
        <v>1.0580000000000001</v>
      </c>
      <c r="E46">
        <v>1.1503000000000001</v>
      </c>
      <c r="F46">
        <v>24215464</v>
      </c>
      <c r="G46">
        <v>1.1503000000000001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0.33962264150943544</v>
      </c>
      <c r="Q46">
        <f t="shared" ref="Q46" si="206">F46*P46</f>
        <v>8224119.8490566397</v>
      </c>
      <c r="R46">
        <f t="shared" ref="R46" si="207">R47+Q46</f>
        <v>602902078.70307565</v>
      </c>
      <c r="S46">
        <f t="shared" ref="S46" si="208">R46/100000</f>
        <v>6029.0207870307568</v>
      </c>
      <c r="T46">
        <f t="shared" ref="T46" si="209">S46/1000</f>
        <v>6.0290207870307571</v>
      </c>
    </row>
    <row r="47" spans="1:20" x14ac:dyDescent="0.25">
      <c r="A47" s="5">
        <v>44546</v>
      </c>
      <c r="B47">
        <v>1.1174999999999999</v>
      </c>
      <c r="C47">
        <v>1.24</v>
      </c>
      <c r="D47">
        <v>1.1141000000000001</v>
      </c>
      <c r="E47">
        <v>1.1308</v>
      </c>
      <c r="F47">
        <v>36136380</v>
      </c>
      <c r="G47">
        <v>1.1308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-0.73471008737093013</v>
      </c>
      <c r="Q47">
        <f t="shared" ref="Q47" si="211">F47*P47</f>
        <v>-26549762.907069132</v>
      </c>
      <c r="R47">
        <f t="shared" ref="R47" si="212">R48+Q47</f>
        <v>594677958.85401905</v>
      </c>
      <c r="S47">
        <f t="shared" ref="S47" si="213">R47/100000</f>
        <v>5946.7795885401902</v>
      </c>
      <c r="T47">
        <f t="shared" ref="T47" si="214">S47/1000</f>
        <v>5.9467795885401902</v>
      </c>
    </row>
    <row r="48" spans="1:20" x14ac:dyDescent="0.25">
      <c r="A48" s="5">
        <v>44545</v>
      </c>
      <c r="B48">
        <v>1.0667</v>
      </c>
      <c r="C48">
        <v>1.1420999999999999</v>
      </c>
      <c r="D48">
        <v>0.98570000000000002</v>
      </c>
      <c r="E48">
        <v>1.1174999999999999</v>
      </c>
      <c r="F48">
        <v>31201040</v>
      </c>
      <c r="G48">
        <v>1.1174999999999999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0.68542199488491085</v>
      </c>
      <c r="Q48">
        <f t="shared" ref="Q48" si="216">F48*P48</f>
        <v>21385879.079283897</v>
      </c>
      <c r="R48">
        <f t="shared" ref="R48" si="217">R49+Q48</f>
        <v>621227721.76108813</v>
      </c>
      <c r="S48">
        <f t="shared" ref="S48" si="218">R48/100000</f>
        <v>6212.2772176108811</v>
      </c>
      <c r="T48">
        <f t="shared" ref="T48" si="219">S48/1000</f>
        <v>6.2122772176108807</v>
      </c>
    </row>
    <row r="49" spans="1:20" x14ac:dyDescent="0.25">
      <c r="A49" s="5">
        <v>44544</v>
      </c>
      <c r="B49">
        <v>1.0289999999999999</v>
      </c>
      <c r="C49">
        <v>1.0803</v>
      </c>
      <c r="D49">
        <v>0.99719999999999998</v>
      </c>
      <c r="E49">
        <v>1.0668</v>
      </c>
      <c r="F49">
        <v>25509367</v>
      </c>
      <c r="G49">
        <v>1.0668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0.67509025270757983</v>
      </c>
      <c r="Q49">
        <f t="shared" ref="Q49" si="221">F49*P49</f>
        <v>17221125.014440399</v>
      </c>
      <c r="R49">
        <f t="shared" ref="R49" si="222">R50+Q49</f>
        <v>599841842.68180418</v>
      </c>
      <c r="S49">
        <f t="shared" ref="S49" si="223">R49/100000</f>
        <v>5998.4184268180416</v>
      </c>
      <c r="T49">
        <f t="shared" ref="T49" si="224">S49/1000</f>
        <v>5.9984184268180414</v>
      </c>
    </row>
    <row r="50" spans="1:20" x14ac:dyDescent="0.25">
      <c r="A50" s="5">
        <v>44543</v>
      </c>
      <c r="B50">
        <v>1.2001999999999999</v>
      </c>
      <c r="C50">
        <v>1.2036</v>
      </c>
      <c r="D50">
        <v>1.0138</v>
      </c>
      <c r="E50">
        <v>1.0296000000000001</v>
      </c>
      <c r="F50">
        <v>31181548</v>
      </c>
      <c r="G50">
        <v>1.0296000000000001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-0.83350895679662762</v>
      </c>
      <c r="Q50">
        <f t="shared" ref="Q50" si="226">F50*P50</f>
        <v>-25990099.544783972</v>
      </c>
      <c r="R50">
        <f t="shared" ref="R50" si="227">R51+Q50</f>
        <v>582620717.66736376</v>
      </c>
      <c r="S50">
        <f t="shared" ref="S50" si="228">R50/100000</f>
        <v>5826.2071766736381</v>
      </c>
      <c r="T50">
        <f t="shared" ref="T50" si="229">S50/1000</f>
        <v>5.8262071766736376</v>
      </c>
    </row>
    <row r="51" spans="1:20" x14ac:dyDescent="0.25">
      <c r="A51" s="5">
        <v>44542</v>
      </c>
      <c r="B51">
        <v>1.1498999999999999</v>
      </c>
      <c r="C51">
        <v>1.2230000000000001</v>
      </c>
      <c r="D51">
        <v>1.0966</v>
      </c>
      <c r="E51">
        <v>1.1997</v>
      </c>
      <c r="F51">
        <v>28523161</v>
      </c>
      <c r="G51">
        <v>1.1997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0.63132911392404922</v>
      </c>
      <c r="Q51">
        <f t="shared" ref="Q51" si="231">F51*P51</f>
        <v>18007501.960442998</v>
      </c>
      <c r="R51">
        <f t="shared" ref="R51" si="232">R52+Q51</f>
        <v>608610817.21214771</v>
      </c>
      <c r="S51">
        <f t="shared" ref="S51" si="233">R51/100000</f>
        <v>6086.1081721214769</v>
      </c>
      <c r="T51">
        <f t="shared" ref="T51" si="234">S51/1000</f>
        <v>6.0861081721214765</v>
      </c>
    </row>
    <row r="52" spans="1:20" x14ac:dyDescent="0.25">
      <c r="A52" s="5">
        <v>44541</v>
      </c>
      <c r="B52">
        <v>1.0649</v>
      </c>
      <c r="C52">
        <v>1.0722</v>
      </c>
      <c r="D52">
        <v>1.0287999999999999</v>
      </c>
      <c r="E52">
        <v>1.0629999999999999</v>
      </c>
      <c r="F52">
        <v>2690945</v>
      </c>
      <c r="G52">
        <v>1.0629999999999999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0.57603686635944351</v>
      </c>
      <c r="Q52">
        <f t="shared" ref="Q52" si="236">F52*P52</f>
        <v>1550083.5253456128</v>
      </c>
      <c r="R52">
        <f t="shared" ref="R52" si="237">R53+Q52</f>
        <v>590603315.25170469</v>
      </c>
      <c r="S52">
        <f t="shared" ref="S52" si="238">R52/100000</f>
        <v>5906.0331525170468</v>
      </c>
      <c r="T52">
        <f t="shared" ref="T52" si="239">S52/1000</f>
        <v>5.9060331525170469</v>
      </c>
    </row>
    <row r="53" spans="1:20" x14ac:dyDescent="0.25">
      <c r="A53" s="5">
        <v>44540</v>
      </c>
      <c r="B53">
        <v>1.1380999999999999</v>
      </c>
      <c r="C53">
        <v>1.2</v>
      </c>
      <c r="D53">
        <v>1.0633999999999999</v>
      </c>
      <c r="E53">
        <v>1.0653999999999999</v>
      </c>
      <c r="F53">
        <v>31819577</v>
      </c>
      <c r="G53">
        <v>1.0653999999999999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-0.97071742313323572</v>
      </c>
      <c r="Q53">
        <f t="shared" ref="Q53" si="241">F53*P53</f>
        <v>-30887817.790629577</v>
      </c>
      <c r="R53">
        <f t="shared" ref="R53" si="242">R54+Q53</f>
        <v>589053231.72635913</v>
      </c>
      <c r="S53">
        <f t="shared" ref="S53" si="243">R53/100000</f>
        <v>5890.5323172635917</v>
      </c>
      <c r="T53">
        <f t="shared" ref="T53" si="244">S53/1000</f>
        <v>5.8905323172635917</v>
      </c>
    </row>
    <row r="54" spans="1:20" x14ac:dyDescent="0.25">
      <c r="A54" s="5">
        <v>44539</v>
      </c>
      <c r="B54">
        <v>1.3007</v>
      </c>
      <c r="C54">
        <v>1.3149</v>
      </c>
      <c r="D54">
        <v>1.1351</v>
      </c>
      <c r="E54">
        <v>1.1394</v>
      </c>
      <c r="F54">
        <v>27536749</v>
      </c>
      <c r="G54">
        <v>1.1394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-0.95216907675194695</v>
      </c>
      <c r="Q54">
        <f t="shared" ref="Q54" si="246">F54*P54</f>
        <v>-26219640.872080099</v>
      </c>
      <c r="R54">
        <f t="shared" ref="R54" si="247">R55+Q54</f>
        <v>619941049.51698875</v>
      </c>
      <c r="S54">
        <f t="shared" ref="S54" si="248">R54/100000</f>
        <v>6199.4104951698873</v>
      </c>
      <c r="T54">
        <f t="shared" ref="T54" si="249">S54/1000</f>
        <v>6.1994104951698876</v>
      </c>
    </row>
    <row r="55" spans="1:20" x14ac:dyDescent="0.25">
      <c r="A55" s="5">
        <v>44538</v>
      </c>
      <c r="B55">
        <v>1.3250999999999999</v>
      </c>
      <c r="C55">
        <v>1.3575999999999999</v>
      </c>
      <c r="D55">
        <v>1.2161999999999999</v>
      </c>
      <c r="E55">
        <v>1.3012999999999999</v>
      </c>
      <c r="F55">
        <v>35538704</v>
      </c>
      <c r="G55">
        <v>1.3012999999999999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0.20367751060820327</v>
      </c>
      <c r="Q55">
        <f t="shared" ref="Q55" si="251">F55*P55</f>
        <v>7238434.7609617962</v>
      </c>
      <c r="R55">
        <f t="shared" ref="R55" si="252">R56+Q55</f>
        <v>646160690.38906884</v>
      </c>
      <c r="S55">
        <f t="shared" ref="S55" si="253">R55/100000</f>
        <v>6461.606903890688</v>
      </c>
      <c r="T55">
        <f t="shared" ref="T55" si="254">S55/1000</f>
        <v>6.4616069038906883</v>
      </c>
    </row>
    <row r="56" spans="1:20" x14ac:dyDescent="0.25">
      <c r="A56" s="5">
        <v>44537</v>
      </c>
      <c r="B56">
        <v>1.3604000000000001</v>
      </c>
      <c r="C56">
        <v>1.4081999999999999</v>
      </c>
      <c r="D56">
        <v>1.2945</v>
      </c>
      <c r="E56">
        <v>1.3250999999999999</v>
      </c>
      <c r="F56">
        <v>49333127</v>
      </c>
      <c r="G56">
        <v>1.3250999999999999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-0.46174142480211111</v>
      </c>
      <c r="Q56">
        <f t="shared" ref="Q56" si="256">F56*P56</f>
        <v>-22779148.350923497</v>
      </c>
      <c r="R56">
        <f t="shared" ref="R56" si="257">R57+Q56</f>
        <v>638922255.62810707</v>
      </c>
      <c r="S56">
        <f t="shared" ref="S56" si="258">R56/100000</f>
        <v>6389.2225562810709</v>
      </c>
      <c r="T56">
        <f t="shared" ref="T56" si="259">S56/1000</f>
        <v>6.3892225562810712</v>
      </c>
    </row>
    <row r="57" spans="1:20" x14ac:dyDescent="0.25">
      <c r="A57" s="5">
        <v>44536</v>
      </c>
      <c r="B57">
        <v>1.1674</v>
      </c>
      <c r="C57">
        <v>1.3786</v>
      </c>
      <c r="D57">
        <v>1.1105</v>
      </c>
      <c r="E57">
        <v>1.3609</v>
      </c>
      <c r="F57">
        <v>115450519</v>
      </c>
      <c r="G57">
        <v>1.3609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0.86795971652368487</v>
      </c>
      <c r="Q57">
        <f t="shared" ref="Q57" si="261">F57*P57</f>
        <v>100206399.7437523</v>
      </c>
      <c r="R57">
        <f t="shared" ref="R57" si="262">R58+Q57</f>
        <v>661701403.97903061</v>
      </c>
      <c r="S57">
        <f t="shared" ref="S57" si="263">R57/100000</f>
        <v>6617.014039790306</v>
      </c>
      <c r="T57">
        <f t="shared" ref="T57" si="264">S57/1000</f>
        <v>6.6170140397903063</v>
      </c>
    </row>
    <row r="58" spans="1:20" x14ac:dyDescent="0.25">
      <c r="A58" s="5">
        <v>44535</v>
      </c>
      <c r="B58">
        <v>1.1246</v>
      </c>
      <c r="C58">
        <v>1.2319</v>
      </c>
      <c r="D58">
        <v>1.0290999999999999</v>
      </c>
      <c r="E58">
        <v>1.1661999999999999</v>
      </c>
      <c r="F58">
        <v>84410015</v>
      </c>
      <c r="G58">
        <v>1.1661999999999999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0.35207100591715917</v>
      </c>
      <c r="Q58">
        <f t="shared" ref="Q58" si="266">F58*P58</f>
        <v>29718318.890532494</v>
      </c>
      <c r="R58">
        <f t="shared" ref="R58" si="267">R59+Q58</f>
        <v>561495004.23527837</v>
      </c>
      <c r="S58">
        <f t="shared" ref="S58" si="268">R58/100000</f>
        <v>5614.9500423527834</v>
      </c>
      <c r="T58">
        <f t="shared" ref="T58" si="269">S58/1000</f>
        <v>5.6149500423527829</v>
      </c>
    </row>
    <row r="59" spans="1:20" x14ac:dyDescent="0.25">
      <c r="A59" s="5">
        <v>44534</v>
      </c>
      <c r="B59">
        <v>1.2821</v>
      </c>
      <c r="C59">
        <v>1.2838000000000001</v>
      </c>
      <c r="D59">
        <v>0.87570000000000003</v>
      </c>
      <c r="E59">
        <v>1.1247</v>
      </c>
      <c r="F59">
        <v>85625430</v>
      </c>
      <c r="G59">
        <v>1.1247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0.22028914481744666</v>
      </c>
      <c r="Q59">
        <f t="shared" ref="Q59" si="271">F59*P59</f>
        <v>18862352.749326143</v>
      </c>
      <c r="R59">
        <f t="shared" ref="R59" si="272">R60+Q59</f>
        <v>531776685.34474593</v>
      </c>
      <c r="S59">
        <f t="shared" ref="S59" si="273">R59/100000</f>
        <v>5317.7668534474597</v>
      </c>
      <c r="T59">
        <f t="shared" ref="T59" si="274">S59/1000</f>
        <v>5.31776685344746</v>
      </c>
    </row>
    <row r="60" spans="1:20" x14ac:dyDescent="0.25">
      <c r="A60" s="5">
        <v>44533</v>
      </c>
      <c r="B60">
        <v>1.4260999999999999</v>
      </c>
      <c r="C60">
        <v>1.4303999999999999</v>
      </c>
      <c r="D60">
        <v>1.232</v>
      </c>
      <c r="E60">
        <v>1.2822</v>
      </c>
      <c r="F60">
        <v>41988474</v>
      </c>
      <c r="G60">
        <v>1.2822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-0.49395161290322537</v>
      </c>
      <c r="Q60">
        <f t="shared" ref="Q60" si="276">F60*P60</f>
        <v>-20740274.455645144</v>
      </c>
      <c r="R60">
        <f t="shared" ref="R60" si="277">R61+Q60</f>
        <v>512914332.59541976</v>
      </c>
      <c r="S60">
        <f t="shared" ref="S60" si="278">R60/100000</f>
        <v>5129.1433259541973</v>
      </c>
      <c r="T60">
        <f t="shared" ref="T60" si="279">S60/1000</f>
        <v>5.129143325954197</v>
      </c>
    </row>
    <row r="61" spans="1:20" x14ac:dyDescent="0.25">
      <c r="A61" s="5">
        <v>44532</v>
      </c>
      <c r="B61">
        <v>1.4917</v>
      </c>
      <c r="C61">
        <v>1.5212000000000001</v>
      </c>
      <c r="D61">
        <v>1.3754</v>
      </c>
      <c r="E61">
        <v>1.4261999999999999</v>
      </c>
      <c r="F61">
        <v>45767727</v>
      </c>
      <c r="G61">
        <v>1.4261999999999999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-0.30315500685871188</v>
      </c>
      <c r="Q61">
        <f t="shared" ref="Q61" si="281">F61*P61</f>
        <v>-13874715.592592653</v>
      </c>
      <c r="R61">
        <f t="shared" ref="R61" si="282">R62+Q61</f>
        <v>533654607.05106491</v>
      </c>
      <c r="S61">
        <f t="shared" ref="S61" si="283">R61/100000</f>
        <v>5336.5460705106489</v>
      </c>
      <c r="T61">
        <f t="shared" ref="T61" si="284">S61/1000</f>
        <v>5.3365460705106491</v>
      </c>
    </row>
    <row r="62" spans="1:20" x14ac:dyDescent="0.25">
      <c r="A62" s="5">
        <v>44531</v>
      </c>
      <c r="B62">
        <v>1.4567000000000001</v>
      </c>
      <c r="C62">
        <v>1.69</v>
      </c>
      <c r="D62">
        <v>1.4441999999999999</v>
      </c>
      <c r="E62">
        <v>1.492</v>
      </c>
      <c r="F62">
        <v>79072191</v>
      </c>
      <c r="G62">
        <v>1.492</v>
      </c>
      <c r="L62" t="s">
        <v>8</v>
      </c>
      <c r="M62" t="s">
        <v>7</v>
      </c>
      <c r="N62" t="s">
        <v>8</v>
      </c>
      <c r="P62">
        <f t="shared" ref="P62" si="285">IF(C62=D62,0,((E62-D62)-(C62-E62))/(C62-D62))</f>
        <v>-0.61106590724165943</v>
      </c>
      <c r="Q62">
        <f t="shared" ref="Q62" si="286">F62*P62</f>
        <v>-48318320.13100078</v>
      </c>
      <c r="R62">
        <f t="shared" ref="R62" si="287">R63+Q62</f>
        <v>547529322.64365757</v>
      </c>
      <c r="S62">
        <f t="shared" ref="S62" si="288">R62/100000</f>
        <v>5475.2932264365754</v>
      </c>
      <c r="T62">
        <f t="shared" ref="T62" si="289">S62/1000</f>
        <v>5.475293226436575</v>
      </c>
    </row>
    <row r="63" spans="1:20" x14ac:dyDescent="0.25">
      <c r="A63" s="5">
        <v>44530</v>
      </c>
      <c r="B63">
        <v>1.6142000000000001</v>
      </c>
      <c r="C63">
        <v>1.6187</v>
      </c>
      <c r="D63">
        <v>1.4406000000000001</v>
      </c>
      <c r="E63">
        <v>1.4573</v>
      </c>
      <c r="F63">
        <v>46289145</v>
      </c>
      <c r="G63">
        <v>1.4573</v>
      </c>
      <c r="L63" t="s">
        <v>7</v>
      </c>
      <c r="M63" t="s">
        <v>7</v>
      </c>
      <c r="N63" t="s">
        <v>8</v>
      </c>
      <c r="P63">
        <f t="shared" ref="P63" si="290">IF(C63=D63,0,((E63-D63)-(C63-E63))/(C63-D63))</f>
        <v>-0.81246490735541899</v>
      </c>
      <c r="Q63">
        <f t="shared" ref="Q63" si="291">F63*P63</f>
        <v>-37608305.903986558</v>
      </c>
      <c r="R63">
        <f t="shared" ref="R63" si="292">R64+Q63</f>
        <v>595847642.77465832</v>
      </c>
      <c r="S63">
        <f t="shared" ref="S63" si="293">R63/100000</f>
        <v>5958.4764277465829</v>
      </c>
      <c r="T63">
        <f t="shared" ref="T63" si="294">S63/1000</f>
        <v>5.9584764277465831</v>
      </c>
    </row>
    <row r="64" spans="1:20" x14ac:dyDescent="0.25">
      <c r="A64" s="5">
        <v>44529</v>
      </c>
      <c r="B64">
        <v>1.6558999999999999</v>
      </c>
      <c r="C64">
        <v>1.7144999999999999</v>
      </c>
      <c r="D64">
        <v>1.5344</v>
      </c>
      <c r="E64">
        <v>1.6143000000000001</v>
      </c>
      <c r="F64">
        <v>64306672</v>
      </c>
      <c r="G64">
        <v>1.6143000000000001</v>
      </c>
      <c r="L64" t="s">
        <v>7</v>
      </c>
      <c r="M64" t="s">
        <v>7</v>
      </c>
      <c r="N64" t="s">
        <v>8</v>
      </c>
      <c r="P64">
        <f t="shared" ref="P64" si="295">IF(C64=D64,0,((E64-D64)-(C64-E64))/(C64-D64))</f>
        <v>-0.11271515824541795</v>
      </c>
      <c r="Q64">
        <f t="shared" ref="Q64" si="296">F64*P64</f>
        <v>-7248336.710716187</v>
      </c>
      <c r="R64">
        <f t="shared" ref="R64" si="297">R65+Q64</f>
        <v>633455948.6786449</v>
      </c>
      <c r="S64">
        <f t="shared" ref="S64" si="298">R64/100000</f>
        <v>6334.5594867864493</v>
      </c>
      <c r="T64">
        <f t="shared" ref="T64" si="299">S64/1000</f>
        <v>6.334559486786449</v>
      </c>
    </row>
    <row r="65" spans="1:20" x14ac:dyDescent="0.25">
      <c r="A65" s="5">
        <v>44528</v>
      </c>
      <c r="B65">
        <v>1.7628999999999999</v>
      </c>
      <c r="C65">
        <v>1.929</v>
      </c>
      <c r="D65">
        <v>1.4904999999999999</v>
      </c>
      <c r="E65">
        <v>1.6577999999999999</v>
      </c>
      <c r="F65">
        <v>172076211.41999999</v>
      </c>
      <c r="G65">
        <v>1.6577999999999999</v>
      </c>
      <c r="L65" t="s">
        <v>8</v>
      </c>
      <c r="M65" t="s">
        <v>8</v>
      </c>
      <c r="N65" t="s">
        <v>8</v>
      </c>
      <c r="P65">
        <f t="shared" ref="P65" si="300">IF(C65=D65,0,((E65-D65)-(C65-E65))/(C65-D65))</f>
        <v>-0.23694412770809595</v>
      </c>
      <c r="Q65">
        <f t="shared" ref="Q65" si="301">F65*P65</f>
        <v>-40772447.814225793</v>
      </c>
      <c r="R65">
        <f t="shared" ref="R65" si="302">R66+Q65</f>
        <v>640704285.38936102</v>
      </c>
      <c r="S65">
        <f t="shared" ref="S65" si="303">R65/100000</f>
        <v>6407.0428538936103</v>
      </c>
      <c r="T65">
        <f t="shared" ref="T65" si="304">S65/1000</f>
        <v>6.4070428538936106</v>
      </c>
    </row>
    <row r="66" spans="1:20" x14ac:dyDescent="0.25">
      <c r="A66" s="5">
        <v>44527</v>
      </c>
      <c r="B66">
        <v>1.3364</v>
      </c>
      <c r="C66">
        <v>1.825</v>
      </c>
      <c r="D66">
        <v>1.3357000000000001</v>
      </c>
      <c r="E66">
        <v>1.7658</v>
      </c>
      <c r="F66">
        <v>209433691</v>
      </c>
      <c r="G66">
        <v>1.7658</v>
      </c>
      <c r="L66" t="s">
        <v>7</v>
      </c>
      <c r="M66" t="s">
        <v>7</v>
      </c>
      <c r="N66" t="s">
        <v>8</v>
      </c>
      <c r="P66">
        <f t="shared" ref="P66" si="305">IF(C66=D66,0,((E66-D66)-(C66-E66))/(C66-D66))</f>
        <v>0.75802166360106304</v>
      </c>
      <c r="Q66">
        <f t="shared" ref="Q66" si="306">F66*P66</f>
        <v>158755274.86593097</v>
      </c>
      <c r="R66">
        <f t="shared" ref="R66" si="307">R67+Q66</f>
        <v>681476733.20358682</v>
      </c>
      <c r="S66">
        <f t="shared" ref="S66" si="308">R66/100000</f>
        <v>6814.7673320358681</v>
      </c>
      <c r="T66">
        <f t="shared" ref="T66" si="309">S66/1000</f>
        <v>6.8147673320358679</v>
      </c>
    </row>
    <row r="67" spans="1:20" x14ac:dyDescent="0.25">
      <c r="A67" s="5">
        <v>44526</v>
      </c>
      <c r="B67">
        <v>1.4206000000000001</v>
      </c>
      <c r="C67">
        <v>1.86</v>
      </c>
      <c r="D67">
        <v>1.32</v>
      </c>
      <c r="E67">
        <v>1.3361000000000001</v>
      </c>
      <c r="F67">
        <v>366138728.77999997</v>
      </c>
      <c r="G67">
        <v>1.3361000000000001</v>
      </c>
      <c r="L67" t="s">
        <v>8</v>
      </c>
      <c r="M67" t="s">
        <v>8</v>
      </c>
      <c r="N67" t="s">
        <v>8</v>
      </c>
      <c r="P67">
        <f t="shared" ref="P67" si="310">IF(C67=D67,0,((E67-D67)-(C67-E67))/(C67-D67))</f>
        <v>-0.94037037037037041</v>
      </c>
      <c r="Q67">
        <f t="shared" ref="Q67" si="311">F67*P67</f>
        <v>-344306011.98978519</v>
      </c>
      <c r="R67">
        <f t="shared" ref="R67" si="312">R68+Q67</f>
        <v>522721458.33765578</v>
      </c>
      <c r="S67">
        <f t="shared" ref="S67" si="313">R67/100000</f>
        <v>5227.214583376558</v>
      </c>
      <c r="T67">
        <f t="shared" ref="T67" si="314">S67/1000</f>
        <v>5.2272145833765578</v>
      </c>
    </row>
    <row r="68" spans="1:20" x14ac:dyDescent="0.25">
      <c r="A68" s="5">
        <v>44525</v>
      </c>
      <c r="B68">
        <v>1.1282000000000001</v>
      </c>
      <c r="C68">
        <v>1.4517</v>
      </c>
      <c r="D68">
        <v>1.1145</v>
      </c>
      <c r="E68">
        <v>1.4216</v>
      </c>
      <c r="F68">
        <v>163947253</v>
      </c>
      <c r="G68">
        <v>1.4216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0.82147093712929997</v>
      </c>
      <c r="Q68">
        <f t="shared" ref="Q68" si="316">F68*P68</f>
        <v>134677903.56168443</v>
      </c>
      <c r="R68">
        <f t="shared" ref="R68" si="317">R69+Q68</f>
        <v>867027470.32744098</v>
      </c>
      <c r="S68">
        <f t="shared" ref="S68" si="318">R68/100000</f>
        <v>8670.2747032744101</v>
      </c>
      <c r="T68">
        <f t="shared" ref="T68" si="319">S68/1000</f>
        <v>8.6702747032744103</v>
      </c>
    </row>
    <row r="69" spans="1:20" x14ac:dyDescent="0.25">
      <c r="A69" s="5">
        <v>44524</v>
      </c>
      <c r="B69">
        <v>1.0653999999999999</v>
      </c>
      <c r="C69">
        <v>1.0923</v>
      </c>
      <c r="D69">
        <v>1.0233000000000001</v>
      </c>
      <c r="E69">
        <v>1.0275000000000001</v>
      </c>
      <c r="F69">
        <v>8172514</v>
      </c>
      <c r="G69">
        <v>1.0275000000000001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-0.87826086956521787</v>
      </c>
      <c r="Q69">
        <f t="shared" ref="Q69" si="321">F69*P69</f>
        <v>-7177599.2521739174</v>
      </c>
      <c r="R69">
        <f t="shared" ref="R69" si="322">R70+Q69</f>
        <v>732349566.76575649</v>
      </c>
      <c r="S69">
        <f t="shared" ref="S69" si="323">R69/100000</f>
        <v>7323.4956676575648</v>
      </c>
      <c r="T69">
        <f t="shared" ref="T69" si="324">S69/1000</f>
        <v>7.3234956676575651</v>
      </c>
    </row>
    <row r="70" spans="1:20" x14ac:dyDescent="0.25">
      <c r="A70" s="5">
        <v>44523</v>
      </c>
      <c r="B70">
        <v>1.0388999999999999</v>
      </c>
      <c r="C70">
        <v>1.0688</v>
      </c>
      <c r="D70">
        <v>1.0003</v>
      </c>
      <c r="E70">
        <v>1.0650999999999999</v>
      </c>
      <c r="F70">
        <v>15782080</v>
      </c>
      <c r="G70">
        <v>1.0650999999999999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0.89197080291970698</v>
      </c>
      <c r="Q70">
        <f t="shared" ref="Q70" si="326">F70*P70</f>
        <v>14077154.569343049</v>
      </c>
      <c r="R70">
        <f t="shared" ref="R70" si="327">R71+Q70</f>
        <v>739527166.01793039</v>
      </c>
      <c r="S70">
        <f t="shared" ref="S70" si="328">R70/100000</f>
        <v>7395.2716601793036</v>
      </c>
      <c r="T70">
        <f t="shared" ref="T70" si="329">S70/1000</f>
        <v>7.3952716601793034</v>
      </c>
    </row>
    <row r="71" spans="1:20" x14ac:dyDescent="0.25">
      <c r="A71" s="5">
        <v>44522</v>
      </c>
      <c r="B71">
        <v>1.0731999999999999</v>
      </c>
      <c r="C71">
        <v>1.0999000000000001</v>
      </c>
      <c r="D71">
        <v>1.0112000000000001</v>
      </c>
      <c r="E71">
        <v>1.0389999999999999</v>
      </c>
      <c r="F71">
        <v>19359629</v>
      </c>
      <c r="G71">
        <v>1.0389999999999999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-0.3731679819616725</v>
      </c>
      <c r="Q71">
        <f t="shared" ref="Q71" si="331">F71*P71</f>
        <v>-7224393.6854566718</v>
      </c>
      <c r="R71">
        <f t="shared" ref="R71" si="332">R72+Q71</f>
        <v>725450011.4485873</v>
      </c>
      <c r="S71">
        <f t="shared" ref="S71" si="333">R71/100000</f>
        <v>7254.5001144858734</v>
      </c>
      <c r="T71">
        <f t="shared" ref="T71" si="334">S71/1000</f>
        <v>7.2545001144858734</v>
      </c>
    </row>
    <row r="72" spans="1:20" x14ac:dyDescent="0.25">
      <c r="A72" s="5">
        <v>44521</v>
      </c>
      <c r="B72">
        <v>1.1092</v>
      </c>
      <c r="C72">
        <v>1.1460999999999999</v>
      </c>
      <c r="D72">
        <v>1.0553999999999999</v>
      </c>
      <c r="E72">
        <v>1.0725</v>
      </c>
      <c r="F72">
        <v>17378077</v>
      </c>
      <c r="G72">
        <v>1.0725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-0.62293274531422016</v>
      </c>
      <c r="Q72">
        <f t="shared" ref="Q72" si="336">F72*P72</f>
        <v>-10825373.213891907</v>
      </c>
      <c r="R72">
        <f t="shared" ref="R72" si="337">R73+Q72</f>
        <v>732674405.13404393</v>
      </c>
      <c r="S72">
        <f t="shared" ref="S72" si="338">R72/100000</f>
        <v>7326.744051340439</v>
      </c>
      <c r="T72">
        <f t="shared" ref="T72" si="339">S72/1000</f>
        <v>7.3267440513404392</v>
      </c>
    </row>
    <row r="73" spans="1:20" x14ac:dyDescent="0.25">
      <c r="A73" s="5">
        <v>44520</v>
      </c>
      <c r="B73">
        <v>1.1236999999999999</v>
      </c>
      <c r="C73">
        <v>1.1577999999999999</v>
      </c>
      <c r="D73">
        <v>1.0598000000000001</v>
      </c>
      <c r="E73">
        <v>1.1094999999999999</v>
      </c>
      <c r="F73">
        <v>28115537</v>
      </c>
      <c r="G73">
        <v>1.1094999999999999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1.4285714285712733E-2</v>
      </c>
      <c r="Q73">
        <f t="shared" ref="Q73" si="341">F73*P73</f>
        <v>401650.5285713849</v>
      </c>
      <c r="R73">
        <f t="shared" ref="R73" si="342">R74+Q73</f>
        <v>743499778.3479358</v>
      </c>
      <c r="S73">
        <f t="shared" ref="S73" si="343">R73/100000</f>
        <v>7434.9977834793581</v>
      </c>
      <c r="T73">
        <f t="shared" ref="T73" si="344">S73/1000</f>
        <v>7.4349977834793579</v>
      </c>
    </row>
    <row r="74" spans="1:20" x14ac:dyDescent="0.25">
      <c r="A74" s="5">
        <v>44519</v>
      </c>
      <c r="B74">
        <v>0.97909999999999997</v>
      </c>
      <c r="C74">
        <v>1.1459999999999999</v>
      </c>
      <c r="D74">
        <v>0.96389999999999998</v>
      </c>
      <c r="E74">
        <v>1.1253</v>
      </c>
      <c r="F74">
        <v>41573102</v>
      </c>
      <c r="G74">
        <v>1.1253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0.77265238879736464</v>
      </c>
      <c r="Q74">
        <f t="shared" ref="Q74" si="346">F74*P74</f>
        <v>32121556.570016496</v>
      </c>
      <c r="R74">
        <f t="shared" ref="R74" si="347">R75+Q74</f>
        <v>743098127.81936443</v>
      </c>
      <c r="S74">
        <f t="shared" ref="S74" si="348">R74/100000</f>
        <v>7430.9812781936444</v>
      </c>
      <c r="T74">
        <f t="shared" ref="T74" si="349">S74/1000</f>
        <v>7.4309812781936442</v>
      </c>
    </row>
    <row r="75" spans="1:20" x14ac:dyDescent="0.25">
      <c r="A75" s="5">
        <v>44518</v>
      </c>
      <c r="B75">
        <v>1.0649999999999999</v>
      </c>
      <c r="C75">
        <v>1.0815999999999999</v>
      </c>
      <c r="D75">
        <v>0.9506</v>
      </c>
      <c r="E75">
        <v>0.97809999999999997</v>
      </c>
      <c r="F75">
        <v>26564011</v>
      </c>
      <c r="G75">
        <v>0.97809999999999997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-0.58015267175572538</v>
      </c>
      <c r="Q75">
        <f t="shared" ref="Q75" si="351">F75*P75</f>
        <v>-15411181.954198478</v>
      </c>
      <c r="R75">
        <f t="shared" ref="R75" si="352">R76+Q75</f>
        <v>710976571.24934793</v>
      </c>
      <c r="S75">
        <f t="shared" ref="S75" si="353">R75/100000</f>
        <v>7109.7657124934794</v>
      </c>
      <c r="T75">
        <f t="shared" ref="T75" si="354">S75/1000</f>
        <v>7.1097657124934797</v>
      </c>
    </row>
    <row r="76" spans="1:20" x14ac:dyDescent="0.25">
      <c r="A76" s="5">
        <v>44517</v>
      </c>
      <c r="B76">
        <v>1.0631999999999999</v>
      </c>
      <c r="C76">
        <v>1.1436999999999999</v>
      </c>
      <c r="D76">
        <v>1.0464</v>
      </c>
      <c r="E76">
        <v>1.0661</v>
      </c>
      <c r="F76">
        <v>24714844</v>
      </c>
      <c r="G76">
        <v>1.0661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-0.59506680369989595</v>
      </c>
      <c r="Q76">
        <f t="shared" ref="Q76" si="356">F76*P76</f>
        <v>-14706983.223021552</v>
      </c>
      <c r="R76">
        <f t="shared" ref="R76" si="357">R77+Q76</f>
        <v>726387753.2035464</v>
      </c>
      <c r="S76">
        <f t="shared" ref="S76" si="358">R76/100000</f>
        <v>7263.8775320354644</v>
      </c>
      <c r="T76">
        <f t="shared" ref="T76" si="359">S76/1000</f>
        <v>7.2638775320354645</v>
      </c>
    </row>
    <row r="77" spans="1:20" x14ac:dyDescent="0.25">
      <c r="A77" s="5">
        <v>44516</v>
      </c>
      <c r="B77">
        <v>1.1446000000000001</v>
      </c>
      <c r="C77">
        <v>1.155</v>
      </c>
      <c r="D77">
        <v>0.96450000000000002</v>
      </c>
      <c r="E77">
        <v>1.0636000000000001</v>
      </c>
      <c r="F77">
        <v>47548987</v>
      </c>
      <c r="G77">
        <v>1.0636000000000001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4.041994750656247E-2</v>
      </c>
      <c r="Q77">
        <f t="shared" ref="Q77" si="361">F77*P77</f>
        <v>1921927.5585302212</v>
      </c>
      <c r="R77">
        <f t="shared" ref="R77" si="362">R78+Q77</f>
        <v>741094736.42656791</v>
      </c>
      <c r="S77">
        <f t="shared" ref="S77" si="363">R77/100000</f>
        <v>7410.9473642656794</v>
      </c>
      <c r="T77">
        <f t="shared" ref="T77" si="364">S77/1000</f>
        <v>7.4109473642656791</v>
      </c>
    </row>
    <row r="78" spans="1:20" x14ac:dyDescent="0.25">
      <c r="A78" s="5">
        <v>44515</v>
      </c>
      <c r="B78">
        <v>1.1479999999999999</v>
      </c>
      <c r="C78">
        <v>1.2410000000000001</v>
      </c>
      <c r="D78">
        <v>1.1303000000000001</v>
      </c>
      <c r="E78">
        <v>1.1443000000000001</v>
      </c>
      <c r="F78">
        <v>48740234</v>
      </c>
      <c r="G78">
        <v>1.1443000000000001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-0.74706413730803956</v>
      </c>
      <c r="Q78">
        <f t="shared" ref="Q78" si="366">F78*P78</f>
        <v>-36412080.865401976</v>
      </c>
      <c r="R78">
        <f t="shared" ref="R78" si="367">R79+Q78</f>
        <v>739172808.8680377</v>
      </c>
      <c r="S78">
        <f t="shared" ref="S78" si="368">R78/100000</f>
        <v>7391.7280886803774</v>
      </c>
      <c r="T78">
        <f t="shared" ref="T78" si="369">S78/1000</f>
        <v>7.3917280886803773</v>
      </c>
    </row>
    <row r="79" spans="1:20" x14ac:dyDescent="0.25">
      <c r="A79" s="5">
        <v>44514</v>
      </c>
      <c r="B79">
        <v>1.1419999999999999</v>
      </c>
      <c r="C79">
        <v>1.1820999999999999</v>
      </c>
      <c r="D79">
        <v>1.1187</v>
      </c>
      <c r="E79">
        <v>1.1483000000000001</v>
      </c>
      <c r="F79">
        <v>18609489</v>
      </c>
      <c r="G79">
        <v>1.1483000000000001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-6.6246056782330698E-2</v>
      </c>
      <c r="Q79">
        <f t="shared" ref="Q79" si="371">F79*P79</f>
        <v>-1232805.2649841586</v>
      </c>
      <c r="R79">
        <f t="shared" ref="R79" si="372">R80+Q79</f>
        <v>775584889.73343968</v>
      </c>
      <c r="S79">
        <f t="shared" ref="S79" si="373">R79/100000</f>
        <v>7755.8488973343965</v>
      </c>
      <c r="T79">
        <f t="shared" ref="T79" si="374">S79/1000</f>
        <v>7.7558488973343964</v>
      </c>
    </row>
    <row r="80" spans="1:20" x14ac:dyDescent="0.25">
      <c r="A80" s="5">
        <v>44513</v>
      </c>
      <c r="B80">
        <v>1.1684000000000001</v>
      </c>
      <c r="C80">
        <v>1.2331000000000001</v>
      </c>
      <c r="D80">
        <v>1.1359999999999999</v>
      </c>
      <c r="E80">
        <v>1.1424000000000001</v>
      </c>
      <c r="F80">
        <v>30811747</v>
      </c>
      <c r="G80">
        <v>1.1424000000000001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-0.86817713697219012</v>
      </c>
      <c r="Q80">
        <f t="shared" ref="Q80" si="376">F80*P80</f>
        <v>-26750054.295571469</v>
      </c>
      <c r="R80">
        <f t="shared" ref="R80" si="377">R81+Q80</f>
        <v>776817694.99842381</v>
      </c>
      <c r="S80">
        <f t="shared" ref="S80" si="378">R80/100000</f>
        <v>7768.1769499842385</v>
      </c>
      <c r="T80">
        <f t="shared" ref="T80" si="379">S80/1000</f>
        <v>7.7681769499842384</v>
      </c>
    </row>
    <row r="81" spans="1:20" x14ac:dyDescent="0.25">
      <c r="A81" s="5">
        <v>44512</v>
      </c>
      <c r="B81">
        <v>1.1176999999999999</v>
      </c>
      <c r="C81">
        <v>1.2370000000000001</v>
      </c>
      <c r="D81">
        <v>1.1006</v>
      </c>
      <c r="E81">
        <v>1.1687000000000001</v>
      </c>
      <c r="F81">
        <v>58611592</v>
      </c>
      <c r="G81">
        <v>1.1687000000000001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-1.4662756598238845E-3</v>
      </c>
      <c r="Q81">
        <f t="shared" ref="Q81" si="381">F81*P81</f>
        <v>-85940.750733128312</v>
      </c>
      <c r="R81">
        <f t="shared" ref="R81" si="382">R82+Q81</f>
        <v>803567749.29399526</v>
      </c>
      <c r="S81">
        <f t="shared" ref="S81" si="383">R81/100000</f>
        <v>8035.6774929399526</v>
      </c>
      <c r="T81">
        <f t="shared" ref="T81" si="384">S81/1000</f>
        <v>8.0356774929399517</v>
      </c>
    </row>
    <row r="82" spans="1:20" x14ac:dyDescent="0.25">
      <c r="A82" s="5">
        <v>44511</v>
      </c>
      <c r="B82">
        <v>1.0810999999999999</v>
      </c>
      <c r="C82">
        <v>1.1638999999999999</v>
      </c>
      <c r="D82">
        <v>1.0570999999999999</v>
      </c>
      <c r="E82">
        <v>1.1180000000000001</v>
      </c>
      <c r="F82">
        <v>28901563</v>
      </c>
      <c r="G82">
        <v>1.1180000000000001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0.14044943820225042</v>
      </c>
      <c r="Q82">
        <f t="shared" ref="Q82" si="386">F82*P82</f>
        <v>4059208.2865169472</v>
      </c>
      <c r="R82">
        <f t="shared" ref="R82" si="387">R83+Q82</f>
        <v>803653690.0447284</v>
      </c>
      <c r="S82">
        <f t="shared" ref="S82" si="388">R82/100000</f>
        <v>8036.5369004472841</v>
      </c>
      <c r="T82">
        <f t="shared" ref="T82" si="389">S82/1000</f>
        <v>8.0365369004472846</v>
      </c>
    </row>
    <row r="83" spans="1:20" x14ac:dyDescent="0.25">
      <c r="A83" s="5">
        <v>44510</v>
      </c>
      <c r="B83">
        <v>1.1695</v>
      </c>
      <c r="C83">
        <v>1.1849000000000001</v>
      </c>
      <c r="D83">
        <v>1.0122</v>
      </c>
      <c r="E83">
        <v>1.0810999999999999</v>
      </c>
      <c r="F83">
        <v>56680913</v>
      </c>
      <c r="G83">
        <v>1.0810999999999999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-0.20208453966415829</v>
      </c>
      <c r="Q83">
        <f t="shared" ref="Q83" si="391">F83*P83</f>
        <v>-11454336.211349206</v>
      </c>
      <c r="R83">
        <f t="shared" ref="R83" si="392">R84+Q83</f>
        <v>799594481.75821149</v>
      </c>
      <c r="S83">
        <f t="shared" ref="S83" si="393">R83/100000</f>
        <v>7995.9448175821153</v>
      </c>
      <c r="T83">
        <f t="shared" ref="T83" si="394">S83/1000</f>
        <v>7.9959448175821155</v>
      </c>
    </row>
    <row r="84" spans="1:20" x14ac:dyDescent="0.25">
      <c r="A84" s="5">
        <v>44509</v>
      </c>
      <c r="B84">
        <v>1.2750999999999999</v>
      </c>
      <c r="C84">
        <v>1.3923000000000001</v>
      </c>
      <c r="D84">
        <v>1.1617</v>
      </c>
      <c r="E84">
        <v>1.1695</v>
      </c>
      <c r="F84">
        <v>191510430</v>
      </c>
      <c r="G84">
        <v>1.1695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-0.9323503902862097</v>
      </c>
      <c r="Q84">
        <f t="shared" ref="Q84" si="396">F84*P84</f>
        <v>-178554824.15437984</v>
      </c>
      <c r="R84">
        <f t="shared" ref="R84" si="397">R85+Q84</f>
        <v>811048817.96956074</v>
      </c>
      <c r="S84">
        <f t="shared" ref="S84" si="398">R84/100000</f>
        <v>8110.4881796956079</v>
      </c>
      <c r="T84">
        <f t="shared" ref="T84" si="399">S84/1000</f>
        <v>8.1104881796956079</v>
      </c>
    </row>
    <row r="85" spans="1:20" x14ac:dyDescent="0.25">
      <c r="A85" s="5">
        <v>44508</v>
      </c>
      <c r="B85">
        <v>0.99839999999999995</v>
      </c>
      <c r="C85">
        <v>1.29</v>
      </c>
      <c r="D85">
        <v>0.96499999999999997</v>
      </c>
      <c r="E85">
        <v>1.2763</v>
      </c>
      <c r="F85">
        <v>161990022</v>
      </c>
      <c r="G85">
        <v>1.2763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0.91569230769230747</v>
      </c>
      <c r="Q85">
        <f t="shared" ref="Q85" si="401">F85*P85</f>
        <v>148333017.06830767</v>
      </c>
      <c r="R85">
        <f t="shared" ref="R85" si="402">R86+Q85</f>
        <v>989603642.12394059</v>
      </c>
      <c r="S85">
        <f t="shared" ref="S85" si="403">R85/100000</f>
        <v>9896.0364212394052</v>
      </c>
      <c r="T85">
        <f t="shared" ref="T85" si="404">S85/1000</f>
        <v>9.8960364212394047</v>
      </c>
    </row>
    <row r="86" spans="1:20" x14ac:dyDescent="0.25">
      <c r="A86" s="5">
        <v>44507</v>
      </c>
      <c r="B86">
        <v>1.0104</v>
      </c>
      <c r="C86">
        <v>1.03</v>
      </c>
      <c r="D86">
        <v>0.98140000000000005</v>
      </c>
      <c r="E86">
        <v>0.99819999999999998</v>
      </c>
      <c r="F86">
        <v>14434275</v>
      </c>
      <c r="G86">
        <v>0.99819999999999998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-0.30864197530864468</v>
      </c>
      <c r="Q86">
        <f t="shared" ref="Q86" si="406">F86*P86</f>
        <v>-4455023.1481481874</v>
      </c>
      <c r="R86">
        <f t="shared" ref="R86" si="407">R87+Q86</f>
        <v>841270625.05563295</v>
      </c>
      <c r="S86">
        <f t="shared" ref="S86" si="408">R86/100000</f>
        <v>8412.7062505563299</v>
      </c>
      <c r="T86">
        <f t="shared" ref="T86" si="409">S86/1000</f>
        <v>8.4127062505563295</v>
      </c>
    </row>
    <row r="87" spans="1:20" x14ac:dyDescent="0.25">
      <c r="A87" s="5">
        <v>44506</v>
      </c>
      <c r="B87">
        <v>0.96850000000000003</v>
      </c>
      <c r="C87">
        <v>1.0177</v>
      </c>
      <c r="D87">
        <v>0.95299999999999996</v>
      </c>
      <c r="E87">
        <v>1.0109999999999999</v>
      </c>
      <c r="F87">
        <v>31286361</v>
      </c>
      <c r="G87">
        <v>1.0109999999999999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0.79289026275115482</v>
      </c>
      <c r="Q87">
        <f t="shared" ref="Q87" si="411">F87*P87</f>
        <v>24806650.993817482</v>
      </c>
      <c r="R87">
        <f t="shared" ref="R87" si="412">R88+Q87</f>
        <v>845725648.20378113</v>
      </c>
      <c r="S87">
        <f t="shared" ref="S87" si="413">R87/100000</f>
        <v>8457.256482037812</v>
      </c>
      <c r="T87">
        <f t="shared" ref="T87" si="414">S87/1000</f>
        <v>8.4572564820378116</v>
      </c>
    </row>
    <row r="88" spans="1:20" x14ac:dyDescent="0.25">
      <c r="A88" s="5">
        <v>44505</v>
      </c>
      <c r="B88">
        <v>0.97509999999999997</v>
      </c>
      <c r="C88">
        <v>1.0361</v>
      </c>
      <c r="D88">
        <v>0.95009999999999994</v>
      </c>
      <c r="E88">
        <v>0.96970000000000001</v>
      </c>
      <c r="F88">
        <v>30432404</v>
      </c>
      <c r="G88">
        <v>0.96970000000000001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-0.54418604651162683</v>
      </c>
      <c r="Q88">
        <f t="shared" ref="Q88" si="416">F88*P88</f>
        <v>-16560889.618604619</v>
      </c>
      <c r="R88">
        <f t="shared" ref="R88" si="417">R89+Q88</f>
        <v>820918997.20996368</v>
      </c>
      <c r="S88">
        <f t="shared" ref="S88" si="418">R88/100000</f>
        <v>8209.1899720996371</v>
      </c>
      <c r="T88">
        <f t="shared" ref="T88" si="419">S88/1000</f>
        <v>8.2091899720996366</v>
      </c>
    </row>
    <row r="89" spans="1:20" x14ac:dyDescent="0.25">
      <c r="A89" s="5">
        <v>44504</v>
      </c>
      <c r="B89">
        <v>0.96909999999999996</v>
      </c>
      <c r="C89">
        <v>1.0900000000000001</v>
      </c>
      <c r="D89">
        <v>0.93049999999999999</v>
      </c>
      <c r="E89">
        <v>0.97599999999999998</v>
      </c>
      <c r="F89">
        <v>41621379</v>
      </c>
      <c r="G89">
        <v>0.97599999999999998</v>
      </c>
      <c r="L89" t="s">
        <v>8</v>
      </c>
      <c r="M89" t="s">
        <v>7</v>
      </c>
      <c r="N89" t="s">
        <v>7</v>
      </c>
      <c r="P89">
        <f t="shared" ref="P89" si="420">IF(C89=D89,0,((E89-D89)-(C89-E89))/(C89-D89))</f>
        <v>-0.42946708463949895</v>
      </c>
      <c r="Q89">
        <f t="shared" ref="Q89" si="421">F89*P89</f>
        <v>-17875012.297805663</v>
      </c>
      <c r="R89">
        <f t="shared" ref="R89" si="422">R90+Q89</f>
        <v>837479886.82856834</v>
      </c>
      <c r="S89">
        <f t="shared" ref="S89" si="423">R89/100000</f>
        <v>8374.7988682856831</v>
      </c>
      <c r="T89">
        <f t="shared" ref="T89" si="424">S89/1000</f>
        <v>8.3747988682856835</v>
      </c>
    </row>
    <row r="90" spans="1:20" x14ac:dyDescent="0.25">
      <c r="A90" s="5">
        <v>44503</v>
      </c>
      <c r="B90">
        <v>1.0339</v>
      </c>
      <c r="C90">
        <v>1.04</v>
      </c>
      <c r="D90">
        <v>0.93700000000000006</v>
      </c>
      <c r="E90">
        <v>0.96860000000000002</v>
      </c>
      <c r="F90">
        <v>39130855</v>
      </c>
      <c r="G90">
        <v>0.96860000000000002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-0.38640776699029189</v>
      </c>
      <c r="Q90">
        <f t="shared" ref="Q90" si="426">F90*P90</f>
        <v>-15120466.300970899</v>
      </c>
      <c r="R90">
        <f t="shared" ref="R90" si="427">R91+Q90</f>
        <v>855354899.12637401</v>
      </c>
      <c r="S90">
        <f t="shared" ref="S90" si="428">R90/100000</f>
        <v>8553.5489912637404</v>
      </c>
      <c r="T90">
        <f t="shared" ref="T90" si="429">S90/1000</f>
        <v>8.5535489912637406</v>
      </c>
    </row>
    <row r="91" spans="1:20" x14ac:dyDescent="0.25">
      <c r="A91" s="5">
        <v>44502</v>
      </c>
      <c r="B91">
        <v>1.0205</v>
      </c>
      <c r="C91">
        <v>1.1200000000000001</v>
      </c>
      <c r="D91">
        <v>1.0082</v>
      </c>
      <c r="E91">
        <v>1.0339</v>
      </c>
      <c r="F91">
        <v>55661144</v>
      </c>
      <c r="G91">
        <v>1.0339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-0.54025044722719096</v>
      </c>
      <c r="Q91">
        <f t="shared" ref="Q91" si="431">F91*P91</f>
        <v>-30070957.939177077</v>
      </c>
      <c r="R91">
        <f t="shared" ref="R91" si="432">R92+Q91</f>
        <v>870475365.42734492</v>
      </c>
      <c r="S91">
        <f t="shared" ref="S91" si="433">R91/100000</f>
        <v>8704.7536542734488</v>
      </c>
      <c r="T91">
        <f t="shared" ref="T91" si="434">S91/1000</f>
        <v>8.704753654273448</v>
      </c>
    </row>
    <row r="92" spans="1:20" x14ac:dyDescent="0.25">
      <c r="A92" s="5">
        <v>44501</v>
      </c>
      <c r="B92">
        <v>0.99509999999999998</v>
      </c>
      <c r="C92">
        <v>1.0915999999999999</v>
      </c>
      <c r="D92">
        <v>0.9587</v>
      </c>
      <c r="E92">
        <v>1.0204</v>
      </c>
      <c r="F92">
        <v>85576393</v>
      </c>
      <c r="G92">
        <v>1.0204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-7.1482317531978631E-2</v>
      </c>
      <c r="Q92">
        <f t="shared" ref="Q92" si="436">F92*P92</f>
        <v>-6117198.8976673931</v>
      </c>
      <c r="R92">
        <f t="shared" ref="R92" si="437">R93+Q92</f>
        <v>900546323.36652195</v>
      </c>
      <c r="S92">
        <f t="shared" ref="S92" si="438">R92/100000</f>
        <v>9005.4632336652194</v>
      </c>
      <c r="T92">
        <f t="shared" ref="T92" si="439">S92/1000</f>
        <v>9.0054632336652194</v>
      </c>
    </row>
    <row r="93" spans="1:20" x14ac:dyDescent="0.25">
      <c r="A93" s="5">
        <v>44500</v>
      </c>
      <c r="B93">
        <v>1.2418</v>
      </c>
      <c r="C93">
        <v>1.4490000000000001</v>
      </c>
      <c r="D93">
        <v>0.96009999999999995</v>
      </c>
      <c r="E93">
        <v>0.99429999999999996</v>
      </c>
      <c r="F93">
        <v>235534395</v>
      </c>
      <c r="G93">
        <v>0.99429999999999996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-0.86009408877070981</v>
      </c>
      <c r="Q93">
        <f t="shared" ref="Q93" si="441">F93*P93</f>
        <v>-202581740.84168541</v>
      </c>
      <c r="R93">
        <f t="shared" ref="R93" si="442">R94+Q93</f>
        <v>906663522.26418936</v>
      </c>
      <c r="S93">
        <f t="shared" ref="S93" si="443">R93/100000</f>
        <v>9066.6352226418931</v>
      </c>
      <c r="T93">
        <f t="shared" ref="T93" si="444">S93/1000</f>
        <v>9.0666352226418923</v>
      </c>
    </row>
    <row r="94" spans="1:20" x14ac:dyDescent="0.25">
      <c r="A94" s="5">
        <v>44499</v>
      </c>
      <c r="B94">
        <v>0.85329999999999995</v>
      </c>
      <c r="C94">
        <v>1.4684999999999999</v>
      </c>
      <c r="D94">
        <v>0.7863</v>
      </c>
      <c r="E94">
        <v>1.2418</v>
      </c>
      <c r="F94">
        <v>455206339.00999999</v>
      </c>
      <c r="G94">
        <v>1.2418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0.33538551744356515</v>
      </c>
      <c r="Q94">
        <f t="shared" ref="Q94" si="446">F94*P94</f>
        <v>152669613.55245978</v>
      </c>
      <c r="R94">
        <f t="shared" ref="R94" si="447">R95+Q94</f>
        <v>1109245263.1058748</v>
      </c>
      <c r="S94">
        <f t="shared" ref="S94" si="448">R94/100000</f>
        <v>11092.452631058748</v>
      </c>
      <c r="T94">
        <f t="shared" ref="T94" si="449">S94/1000</f>
        <v>11.092452631058748</v>
      </c>
    </row>
    <row r="95" spans="1:20" x14ac:dyDescent="0.25">
      <c r="A95" s="5">
        <v>44498</v>
      </c>
      <c r="B95">
        <v>0.69469999999999998</v>
      </c>
      <c r="C95">
        <v>0.91290000000000004</v>
      </c>
      <c r="D95">
        <v>0.69189999999999996</v>
      </c>
      <c r="E95">
        <v>0.85309999999999997</v>
      </c>
      <c r="F95">
        <v>154814830</v>
      </c>
      <c r="G95">
        <v>0.85309999999999997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0.45882352941176424</v>
      </c>
      <c r="Q95">
        <f t="shared" ref="Q95" si="451">F95*P95</f>
        <v>71032686.705882281</v>
      </c>
      <c r="R95">
        <f t="shared" ref="R95" si="452">R96+Q95</f>
        <v>956575649.55341494</v>
      </c>
      <c r="S95">
        <f t="shared" ref="S95" si="453">R95/100000</f>
        <v>9565.7564955341495</v>
      </c>
      <c r="T95">
        <f t="shared" ref="T95" si="454">S95/1000</f>
        <v>9.5657564955341492</v>
      </c>
    </row>
    <row r="96" spans="1:20" x14ac:dyDescent="0.25">
      <c r="A96" s="5">
        <v>44497</v>
      </c>
      <c r="B96">
        <v>0.6381</v>
      </c>
      <c r="C96">
        <v>0.70299999999999996</v>
      </c>
      <c r="D96">
        <v>0.63200000000000001</v>
      </c>
      <c r="E96">
        <v>0.69479999999999997</v>
      </c>
      <c r="F96">
        <v>12337491</v>
      </c>
      <c r="G96">
        <v>0.69479999999999997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0.76901408450704256</v>
      </c>
      <c r="Q96">
        <f t="shared" ref="Q96" si="456">F96*P96</f>
        <v>9487704.3464788776</v>
      </c>
      <c r="R96">
        <f t="shared" ref="R96" si="457">R97+Q96</f>
        <v>885542962.84753263</v>
      </c>
      <c r="S96">
        <f t="shared" ref="S96" si="458">R96/100000</f>
        <v>8855.4296284753254</v>
      </c>
      <c r="T96">
        <f t="shared" ref="T96" si="459">S96/1000</f>
        <v>8.855429628475326</v>
      </c>
    </row>
    <row r="97" spans="1:20" x14ac:dyDescent="0.25">
      <c r="A97" s="5">
        <v>44496</v>
      </c>
      <c r="B97">
        <v>0.71289999999999998</v>
      </c>
      <c r="C97">
        <v>0.73160000000000003</v>
      </c>
      <c r="D97">
        <v>0.63660000000000005</v>
      </c>
      <c r="E97">
        <v>0.63729999999999998</v>
      </c>
      <c r="F97">
        <v>22524238</v>
      </c>
      <c r="G97">
        <v>0.63729999999999998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-0.98526315789473851</v>
      </c>
      <c r="Q97">
        <f t="shared" ref="Q97" si="461">F97*P97</f>
        <v>-22192301.86105267</v>
      </c>
      <c r="R97">
        <f t="shared" ref="R97" si="462">R98+Q97</f>
        <v>876055258.50105381</v>
      </c>
      <c r="S97">
        <f t="shared" ref="S97" si="463">R97/100000</f>
        <v>8760.5525850105387</v>
      </c>
      <c r="T97">
        <f t="shared" ref="T97" si="464">S97/1000</f>
        <v>8.7605525850105384</v>
      </c>
    </row>
    <row r="98" spans="1:20" x14ac:dyDescent="0.25">
      <c r="A98" s="5">
        <v>44495</v>
      </c>
      <c r="B98">
        <v>0.7036</v>
      </c>
      <c r="C98">
        <v>0.74770000000000003</v>
      </c>
      <c r="D98">
        <v>0.70030000000000003</v>
      </c>
      <c r="E98">
        <v>0.7127</v>
      </c>
      <c r="F98">
        <v>19827997</v>
      </c>
      <c r="G98">
        <v>0.7127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-0.47679324894514907</v>
      </c>
      <c r="Q98">
        <f t="shared" ref="Q98" si="466">F98*P98</f>
        <v>-9453855.1097046696</v>
      </c>
      <c r="R98">
        <f t="shared" ref="R98" si="467">R99+Q98</f>
        <v>898247560.36210644</v>
      </c>
      <c r="S98">
        <f t="shared" ref="S98" si="468">R98/100000</f>
        <v>8982.4756036210638</v>
      </c>
      <c r="T98">
        <f t="shared" ref="T98" si="469">S98/1000</f>
        <v>8.9824756036210633</v>
      </c>
    </row>
    <row r="99" spans="1:20" x14ac:dyDescent="0.25">
      <c r="A99" s="5">
        <v>44494</v>
      </c>
      <c r="B99">
        <v>0.6885</v>
      </c>
      <c r="C99">
        <v>0.70409999999999995</v>
      </c>
      <c r="D99">
        <v>0.68430000000000002</v>
      </c>
      <c r="E99">
        <v>0.70350000000000001</v>
      </c>
      <c r="F99">
        <v>7594124</v>
      </c>
      <c r="G99">
        <v>0.70350000000000001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0.93939393939394589</v>
      </c>
      <c r="Q99">
        <f t="shared" ref="Q99" si="471">F99*P99</f>
        <v>7133874.0606061099</v>
      </c>
      <c r="R99">
        <f t="shared" ref="R99" si="472">R100+Q99</f>
        <v>907701415.47181106</v>
      </c>
      <c r="S99">
        <f t="shared" ref="S99" si="473">R99/100000</f>
        <v>9077.0141547181101</v>
      </c>
      <c r="T99">
        <f t="shared" ref="T99" si="474">S99/1000</f>
        <v>9.0770141547181105</v>
      </c>
    </row>
    <row r="100" spans="1:20" x14ac:dyDescent="0.25">
      <c r="A100" s="5">
        <v>44493</v>
      </c>
      <c r="B100">
        <v>0.71189999999999998</v>
      </c>
      <c r="C100">
        <v>0.71960000000000002</v>
      </c>
      <c r="D100">
        <v>0.67749999999999999</v>
      </c>
      <c r="E100">
        <v>0.6885</v>
      </c>
      <c r="F100">
        <v>8572737</v>
      </c>
      <c r="G100">
        <v>0.6885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-0.47743467933491673</v>
      </c>
      <c r="Q100">
        <f t="shared" ref="Q100" si="476">F100*P100</f>
        <v>-4092921.9406175762</v>
      </c>
      <c r="R100">
        <f t="shared" ref="R100" si="477">R101+Q100</f>
        <v>900567541.41120493</v>
      </c>
      <c r="S100">
        <f t="shared" ref="S100" si="478">R100/100000</f>
        <v>9005.6754141120491</v>
      </c>
      <c r="T100">
        <f t="shared" ref="T100" si="479">S100/1000</f>
        <v>9.0056754141120496</v>
      </c>
    </row>
    <row r="101" spans="1:20" x14ac:dyDescent="0.25">
      <c r="A101" s="5">
        <v>44492</v>
      </c>
      <c r="B101">
        <v>0.69789999999999996</v>
      </c>
      <c r="C101">
        <v>0.71719999999999995</v>
      </c>
      <c r="D101">
        <v>0.69140000000000001</v>
      </c>
      <c r="E101">
        <v>0.71250000000000002</v>
      </c>
      <c r="F101">
        <v>6285039</v>
      </c>
      <c r="G101">
        <v>0.71250000000000002</v>
      </c>
      <c r="L101" t="s">
        <v>8</v>
      </c>
      <c r="M101" t="s">
        <v>7</v>
      </c>
      <c r="N101" t="s">
        <v>7</v>
      </c>
      <c r="P101">
        <f t="shared" ref="P101" si="480">IF(C101=D101,0,((E101-D101)-(C101-E101))/(C101-D101))</f>
        <v>0.63565891472868696</v>
      </c>
      <c r="Q101">
        <f t="shared" ref="Q101" si="481">F101*P101</f>
        <v>3995141.0697674719</v>
      </c>
      <c r="R101">
        <f t="shared" ref="R101" si="482">R102+Q101</f>
        <v>904660463.3518225</v>
      </c>
      <c r="S101">
        <f t="shared" ref="S101" si="483">R101/100000</f>
        <v>9046.6046335182255</v>
      </c>
      <c r="T101">
        <f t="shared" ref="T101" si="484">S101/1000</f>
        <v>9.0466046335182249</v>
      </c>
    </row>
    <row r="102" spans="1:20" x14ac:dyDescent="0.25">
      <c r="A102" s="5">
        <v>44491</v>
      </c>
      <c r="B102">
        <v>0.69040000000000001</v>
      </c>
      <c r="C102">
        <v>0.71619999999999995</v>
      </c>
      <c r="D102">
        <v>0.6885</v>
      </c>
      <c r="E102">
        <v>0.69769999999999999</v>
      </c>
      <c r="F102">
        <v>7593253</v>
      </c>
      <c r="G102">
        <v>0.69769999999999999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-0.33574007220216578</v>
      </c>
      <c r="Q102">
        <f t="shared" ref="Q102" si="486">F102*P102</f>
        <v>-2549359.3104693121</v>
      </c>
      <c r="R102">
        <f t="shared" ref="R102" si="487">R103+Q102</f>
        <v>900665322.28205502</v>
      </c>
      <c r="S102">
        <f t="shared" ref="S102" si="488">R102/100000</f>
        <v>9006.6532228205506</v>
      </c>
      <c r="T102">
        <f t="shared" ref="T102" si="489">S102/1000</f>
        <v>9.0066532228205514</v>
      </c>
    </row>
    <row r="103" spans="1:20" x14ac:dyDescent="0.25">
      <c r="A103" s="5">
        <v>44490</v>
      </c>
      <c r="B103">
        <v>0.71140000000000003</v>
      </c>
      <c r="C103">
        <v>0.72889999999999999</v>
      </c>
      <c r="D103">
        <v>0.68579999999999997</v>
      </c>
      <c r="E103">
        <v>0.69069999999999998</v>
      </c>
      <c r="F103">
        <v>14934970</v>
      </c>
      <c r="G103">
        <v>0.69069999999999998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-0.77262180974477901</v>
      </c>
      <c r="Q103">
        <f t="shared" ref="Q103" si="491">F103*P103</f>
        <v>-11539083.549883982</v>
      </c>
      <c r="R103">
        <f t="shared" ref="R103" si="492">R104+Q103</f>
        <v>903214681.59252429</v>
      </c>
      <c r="S103">
        <f t="shared" ref="S103" si="493">R103/100000</f>
        <v>9032.1468159252436</v>
      </c>
      <c r="T103">
        <f t="shared" ref="T103" si="494">S103/1000</f>
        <v>9.0321468159252429</v>
      </c>
    </row>
    <row r="104" spans="1:20" x14ac:dyDescent="0.25">
      <c r="A104" s="5">
        <v>44489</v>
      </c>
      <c r="B104">
        <v>0.6804</v>
      </c>
      <c r="C104">
        <v>0.7127</v>
      </c>
      <c r="D104">
        <v>0.67210000000000003</v>
      </c>
      <c r="E104">
        <v>0.71150000000000002</v>
      </c>
      <c r="F104">
        <v>10164949</v>
      </c>
      <c r="G104">
        <v>0.71150000000000002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0.94088669950739012</v>
      </c>
      <c r="Q104">
        <f t="shared" ref="Q104" si="496">F104*P104</f>
        <v>9564065.3152709454</v>
      </c>
      <c r="R104">
        <f t="shared" ref="R104" si="497">R105+Q104</f>
        <v>914753765.14240825</v>
      </c>
      <c r="S104">
        <f t="shared" ref="S104" si="498">R104/100000</f>
        <v>9147.5376514240834</v>
      </c>
      <c r="T104">
        <f t="shared" ref="T104" si="499">S104/1000</f>
        <v>9.1475376514240843</v>
      </c>
    </row>
    <row r="105" spans="1:20" x14ac:dyDescent="0.25">
      <c r="A105" s="5">
        <v>44488</v>
      </c>
      <c r="B105">
        <v>0.68140000000000001</v>
      </c>
      <c r="C105">
        <v>0.6996</v>
      </c>
      <c r="D105">
        <v>0.67179999999999995</v>
      </c>
      <c r="E105">
        <v>0.6804</v>
      </c>
      <c r="F105">
        <v>9459638</v>
      </c>
      <c r="G105">
        <v>0.6804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-0.38129496402877427</v>
      </c>
      <c r="Q105">
        <f t="shared" ref="Q105" si="501">F105*P105</f>
        <v>-3606912.3309352263</v>
      </c>
      <c r="R105">
        <f t="shared" ref="R105" si="502">R106+Q105</f>
        <v>905189699.82713735</v>
      </c>
      <c r="S105">
        <f t="shared" ref="S105" si="503">R105/100000</f>
        <v>9051.8969982713734</v>
      </c>
      <c r="T105">
        <f t="shared" ref="T105" si="504">S105/1000</f>
        <v>9.0518969982713742</v>
      </c>
    </row>
    <row r="106" spans="1:20" x14ac:dyDescent="0.25">
      <c r="A106" s="5">
        <v>44487</v>
      </c>
      <c r="B106">
        <v>0.69079999999999997</v>
      </c>
      <c r="C106">
        <v>0.69510000000000005</v>
      </c>
      <c r="D106">
        <v>0.67130000000000001</v>
      </c>
      <c r="E106">
        <v>0.68120000000000003</v>
      </c>
      <c r="F106">
        <v>5667497</v>
      </c>
      <c r="G106">
        <v>0.68120000000000003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-0.16806722689075615</v>
      </c>
      <c r="Q106">
        <f t="shared" ref="Q106" si="506">F106*P106</f>
        <v>-952520.50420167984</v>
      </c>
      <c r="R106">
        <f t="shared" ref="R106" si="507">R107+Q106</f>
        <v>908796612.15807259</v>
      </c>
      <c r="S106">
        <f t="shared" ref="S106" si="508">R106/100000</f>
        <v>9087.9661215807264</v>
      </c>
      <c r="T106">
        <f t="shared" ref="T106" si="509">S106/1000</f>
        <v>9.0879661215807257</v>
      </c>
    </row>
    <row r="107" spans="1:20" x14ac:dyDescent="0.25">
      <c r="A107" s="5">
        <v>44486</v>
      </c>
      <c r="B107">
        <v>0.71730000000000005</v>
      </c>
      <c r="C107">
        <v>0.72050000000000003</v>
      </c>
      <c r="D107">
        <v>0.67120000000000002</v>
      </c>
      <c r="E107">
        <v>0.69020000000000004</v>
      </c>
      <c r="F107">
        <v>7621598</v>
      </c>
      <c r="G107">
        <v>0.69020000000000004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-0.22920892494928954</v>
      </c>
      <c r="Q107">
        <f t="shared" ref="Q107" si="511">F107*P107</f>
        <v>-1746938.2839756552</v>
      </c>
      <c r="R107">
        <f t="shared" ref="R107" si="512">R108+Q107</f>
        <v>909749132.66227424</v>
      </c>
      <c r="S107">
        <f t="shared" ref="S107" si="513">R107/100000</f>
        <v>9097.4913266227431</v>
      </c>
      <c r="T107">
        <f t="shared" ref="T107" si="514">S107/1000</f>
        <v>9.0974913266227428</v>
      </c>
    </row>
    <row r="108" spans="1:20" x14ac:dyDescent="0.25">
      <c r="A108" s="5">
        <v>44485</v>
      </c>
      <c r="B108">
        <v>0.69279999999999997</v>
      </c>
      <c r="C108">
        <v>0.74229999999999996</v>
      </c>
      <c r="D108">
        <v>0.68940000000000001</v>
      </c>
      <c r="E108">
        <v>0.71779999999999999</v>
      </c>
      <c r="F108">
        <v>19564144</v>
      </c>
      <c r="G108">
        <v>0.71779999999999999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7.3724007561437016E-2</v>
      </c>
      <c r="Q108">
        <f t="shared" ref="Q108" si="516">F108*P108</f>
        <v>1442347.1001890427</v>
      </c>
      <c r="R108">
        <f t="shared" ref="R108" si="517">R109+Q108</f>
        <v>911496070.94624984</v>
      </c>
      <c r="S108">
        <f t="shared" ref="S108" si="518">R108/100000</f>
        <v>9114.9607094624989</v>
      </c>
      <c r="T108">
        <f t="shared" ref="T108" si="519">S108/1000</f>
        <v>9.1149607094624994</v>
      </c>
    </row>
    <row r="109" spans="1:20" x14ac:dyDescent="0.25">
      <c r="A109" s="5">
        <v>44484</v>
      </c>
      <c r="B109">
        <v>0.70379999999999998</v>
      </c>
      <c r="C109">
        <v>0.70920000000000005</v>
      </c>
      <c r="D109">
        <v>0.67249999999999999</v>
      </c>
      <c r="E109">
        <v>0.69199999999999995</v>
      </c>
      <c r="F109">
        <v>13558520</v>
      </c>
      <c r="G109">
        <v>0.69199999999999995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6.2670299727516449E-2</v>
      </c>
      <c r="Q109">
        <f t="shared" ref="Q109" si="521">F109*P109</f>
        <v>849716.51226152631</v>
      </c>
      <c r="R109">
        <f t="shared" ref="R109" si="522">R110+Q109</f>
        <v>910053723.84606075</v>
      </c>
      <c r="S109">
        <f t="shared" ref="S109" si="523">R109/100000</f>
        <v>9100.5372384606071</v>
      </c>
      <c r="T109">
        <f t="shared" ref="T109" si="524">S109/1000</f>
        <v>9.1005372384606069</v>
      </c>
    </row>
    <row r="110" spans="1:20" x14ac:dyDescent="0.25">
      <c r="A110" s="5">
        <v>44483</v>
      </c>
      <c r="B110">
        <v>0.70640000000000003</v>
      </c>
      <c r="C110">
        <v>0.72489999999999999</v>
      </c>
      <c r="D110">
        <v>0.6946</v>
      </c>
      <c r="E110">
        <v>0.70350000000000001</v>
      </c>
      <c r="F110">
        <v>9983667</v>
      </c>
      <c r="G110">
        <v>0.70350000000000001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-0.41254125412541115</v>
      </c>
      <c r="Q110">
        <f t="shared" ref="Q110" si="526">F110*P110</f>
        <v>-4118674.504950481</v>
      </c>
      <c r="R110">
        <f t="shared" ref="R110" si="527">R111+Q110</f>
        <v>909204007.33379924</v>
      </c>
      <c r="S110">
        <f t="shared" ref="S110" si="528">R110/100000</f>
        <v>9092.040073337992</v>
      </c>
      <c r="T110">
        <f t="shared" ref="T110" si="529">S110/1000</f>
        <v>9.0920400733379925</v>
      </c>
    </row>
    <row r="111" spans="1:20" x14ac:dyDescent="0.25">
      <c r="A111" s="5">
        <v>44482</v>
      </c>
      <c r="B111">
        <v>0.69669999999999999</v>
      </c>
      <c r="C111">
        <v>0.70760000000000001</v>
      </c>
      <c r="D111">
        <v>0.68210000000000004</v>
      </c>
      <c r="E111">
        <v>0.70599999999999996</v>
      </c>
      <c r="F111">
        <v>15564395</v>
      </c>
      <c r="G111">
        <v>0.70599999999999996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0.87450980392156485</v>
      </c>
      <c r="Q111">
        <f t="shared" ref="Q111" si="531">F111*P111</f>
        <v>13611216.019607784</v>
      </c>
      <c r="R111">
        <f t="shared" ref="R111" si="532">R112+Q111</f>
        <v>913322681.83874977</v>
      </c>
      <c r="S111">
        <f t="shared" ref="S111" si="533">R111/100000</f>
        <v>9133.2268183874985</v>
      </c>
      <c r="T111">
        <f t="shared" ref="T111" si="534">S111/1000</f>
        <v>9.1332268183874987</v>
      </c>
    </row>
    <row r="112" spans="1:20" x14ac:dyDescent="0.25">
      <c r="A112" s="5">
        <v>44481</v>
      </c>
      <c r="B112">
        <v>0.70299999999999996</v>
      </c>
      <c r="C112">
        <v>0.70299999999999996</v>
      </c>
      <c r="D112">
        <v>0.66390000000000005</v>
      </c>
      <c r="E112">
        <v>0.69710000000000005</v>
      </c>
      <c r="F112">
        <v>8605840</v>
      </c>
      <c r="G112">
        <v>0.69710000000000005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0.69820971867008086</v>
      </c>
      <c r="Q112">
        <f t="shared" ref="Q112" si="536">F112*P112</f>
        <v>6008681.1253197286</v>
      </c>
      <c r="R112">
        <f t="shared" ref="R112" si="537">R113+Q112</f>
        <v>899711465.81914198</v>
      </c>
      <c r="S112">
        <f t="shared" ref="S112" si="538">R112/100000</f>
        <v>8997.1146581914199</v>
      </c>
      <c r="T112">
        <f t="shared" ref="T112" si="539">S112/1000</f>
        <v>8.9971146581914194</v>
      </c>
    </row>
    <row r="113" spans="1:20" x14ac:dyDescent="0.25">
      <c r="A113" s="5">
        <v>44480</v>
      </c>
      <c r="B113">
        <v>0.71850000000000003</v>
      </c>
      <c r="C113">
        <v>0.73809999999999998</v>
      </c>
      <c r="D113">
        <v>0.68720000000000003</v>
      </c>
      <c r="E113">
        <v>0.70289999999999997</v>
      </c>
      <c r="F113">
        <v>9647174</v>
      </c>
      <c r="G113">
        <v>0.70289999999999997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-0.38310412573674052</v>
      </c>
      <c r="Q113">
        <f t="shared" ref="Q113" si="541">F113*P113</f>
        <v>-3695872.1611002139</v>
      </c>
      <c r="R113">
        <f t="shared" ref="R113" si="542">R114+Q113</f>
        <v>893702784.69382226</v>
      </c>
      <c r="S113">
        <f t="shared" ref="S113" si="543">R113/100000</f>
        <v>8937.0278469382229</v>
      </c>
      <c r="T113">
        <f t="shared" ref="T113" si="544">S113/1000</f>
        <v>8.9370278469382232</v>
      </c>
    </row>
    <row r="114" spans="1:20" x14ac:dyDescent="0.25">
      <c r="A114" s="5">
        <v>44479</v>
      </c>
      <c r="B114">
        <v>0.76259999999999994</v>
      </c>
      <c r="C114">
        <v>0.76290000000000002</v>
      </c>
      <c r="D114">
        <v>0.71189999999999998</v>
      </c>
      <c r="E114">
        <v>0.71879999999999999</v>
      </c>
      <c r="F114">
        <v>8229075</v>
      </c>
      <c r="G114">
        <v>0.71879999999999999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-0.72941176470588187</v>
      </c>
      <c r="Q114">
        <f t="shared" ref="Q114" si="546">F114*P114</f>
        <v>-6002384.1176470546</v>
      </c>
      <c r="R114">
        <f t="shared" ref="R114" si="547">R115+Q114</f>
        <v>897398656.85492253</v>
      </c>
      <c r="S114">
        <f t="shared" ref="S114" si="548">R114/100000</f>
        <v>8973.9865685492259</v>
      </c>
      <c r="T114">
        <f t="shared" ref="T114" si="549">S114/1000</f>
        <v>8.9739865685492255</v>
      </c>
    </row>
    <row r="115" spans="1:20" x14ac:dyDescent="0.25">
      <c r="A115" s="5">
        <v>44478</v>
      </c>
      <c r="B115">
        <v>0.74839999999999995</v>
      </c>
      <c r="C115">
        <v>0.77059999999999995</v>
      </c>
      <c r="D115">
        <v>0.73419999999999996</v>
      </c>
      <c r="E115">
        <v>0.76249999999999996</v>
      </c>
      <c r="F115">
        <v>11203524</v>
      </c>
      <c r="G115">
        <v>0.76249999999999996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0.55494505494505497</v>
      </c>
      <c r="Q115">
        <f t="shared" ref="Q115" si="551">F115*P115</f>
        <v>6217340.2417582422</v>
      </c>
      <c r="R115">
        <f t="shared" ref="R115" si="552">R116+Q115</f>
        <v>903401040.97256958</v>
      </c>
      <c r="S115">
        <f t="shared" ref="S115" si="553">R115/100000</f>
        <v>9034.0104097256954</v>
      </c>
      <c r="T115">
        <f t="shared" ref="T115" si="554">S115/1000</f>
        <v>9.0340104097256955</v>
      </c>
    </row>
    <row r="116" spans="1:20" x14ac:dyDescent="0.25">
      <c r="A116" s="5">
        <v>44477</v>
      </c>
      <c r="B116">
        <v>0.73370000000000002</v>
      </c>
      <c r="C116">
        <v>0.78410000000000002</v>
      </c>
      <c r="D116">
        <v>0.72970000000000002</v>
      </c>
      <c r="E116">
        <v>0.74750000000000005</v>
      </c>
      <c r="F116">
        <v>27615047</v>
      </c>
      <c r="G116">
        <v>0.74750000000000005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-0.34558823529411631</v>
      </c>
      <c r="Q116">
        <f t="shared" ref="Q116" si="556">F116*P116</f>
        <v>-9543435.3602940813</v>
      </c>
      <c r="R116">
        <f t="shared" ref="R116" si="557">R117+Q116</f>
        <v>897183700.73081136</v>
      </c>
      <c r="S116">
        <f t="shared" ref="S116" si="558">R116/100000</f>
        <v>8971.8370073081132</v>
      </c>
      <c r="T116">
        <f t="shared" ref="T116" si="559">S116/1000</f>
        <v>8.971837007308114</v>
      </c>
    </row>
    <row r="117" spans="1:20" x14ac:dyDescent="0.25">
      <c r="A117" s="5">
        <v>44476</v>
      </c>
      <c r="B117">
        <v>0.73650000000000004</v>
      </c>
      <c r="C117">
        <v>0.74039999999999995</v>
      </c>
      <c r="D117">
        <v>0.71350000000000002</v>
      </c>
      <c r="E117">
        <v>0.73329999999999995</v>
      </c>
      <c r="F117">
        <v>9231847</v>
      </c>
      <c r="G117">
        <v>0.73329999999999995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0.47211895910780555</v>
      </c>
      <c r="Q117">
        <f t="shared" ref="Q117" si="561">F117*P117</f>
        <v>4358529.996282517</v>
      </c>
      <c r="R117">
        <f t="shared" ref="R117" si="562">R118+Q117</f>
        <v>906727136.09110546</v>
      </c>
      <c r="S117">
        <f t="shared" ref="S117" si="563">R117/100000</f>
        <v>9067.2713609110542</v>
      </c>
      <c r="T117">
        <f t="shared" ref="T117" si="564">S117/1000</f>
        <v>9.0672713609110538</v>
      </c>
    </row>
    <row r="118" spans="1:20" x14ac:dyDescent="0.25">
      <c r="A118" s="5">
        <v>44475</v>
      </c>
      <c r="B118">
        <v>0.74229999999999996</v>
      </c>
      <c r="C118">
        <v>0.75</v>
      </c>
      <c r="D118">
        <v>0.69220000000000004</v>
      </c>
      <c r="E118">
        <v>0.73629999999999995</v>
      </c>
      <c r="F118">
        <v>13965948</v>
      </c>
      <c r="G118">
        <v>0.73629999999999995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0.52595155709342367</v>
      </c>
      <c r="Q118">
        <f t="shared" ref="Q118" si="566">F118*P118</f>
        <v>7345412.0968857864</v>
      </c>
      <c r="R118">
        <f t="shared" ref="R118" si="567">R119+Q118</f>
        <v>902368606.094823</v>
      </c>
      <c r="S118">
        <f t="shared" ref="S118" si="568">R118/100000</f>
        <v>9023.6860609482301</v>
      </c>
      <c r="T118">
        <f t="shared" ref="T118" si="569">S118/1000</f>
        <v>9.0236860609482292</v>
      </c>
    </row>
    <row r="119" spans="1:20" x14ac:dyDescent="0.25">
      <c r="A119" s="5">
        <v>44474</v>
      </c>
      <c r="B119">
        <v>0.70669999999999999</v>
      </c>
      <c r="C119">
        <v>0.74319999999999997</v>
      </c>
      <c r="D119">
        <v>0.70130000000000003</v>
      </c>
      <c r="E119">
        <v>0.74180000000000001</v>
      </c>
      <c r="F119">
        <v>11476321</v>
      </c>
      <c r="G119">
        <v>0.74180000000000001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0.93317422434367736</v>
      </c>
      <c r="Q119">
        <f t="shared" ref="Q119" si="571">F119*P119</f>
        <v>10709406.947494056</v>
      </c>
      <c r="R119">
        <f t="shared" ref="R119" si="572">R120+Q119</f>
        <v>895023193.9979372</v>
      </c>
      <c r="S119">
        <f t="shared" ref="S119" si="573">R119/100000</f>
        <v>8950.2319399793723</v>
      </c>
      <c r="T119">
        <f t="shared" ref="T119" si="574">S119/1000</f>
        <v>8.9502319399793731</v>
      </c>
    </row>
    <row r="120" spans="1:20" x14ac:dyDescent="0.25">
      <c r="A120" s="5">
        <v>44473</v>
      </c>
      <c r="B120">
        <v>0.73019999999999996</v>
      </c>
      <c r="C120">
        <v>0.73019999999999996</v>
      </c>
      <c r="D120">
        <v>0.68310000000000004</v>
      </c>
      <c r="E120">
        <v>0.7046</v>
      </c>
      <c r="F120">
        <v>10293807</v>
      </c>
      <c r="G120">
        <v>0.7046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-8.7048832271762203E-2</v>
      </c>
      <c r="Q120">
        <f t="shared" ref="Q120" si="576">F120*P120</f>
        <v>-896063.87898089166</v>
      </c>
      <c r="R120">
        <f t="shared" ref="R120" si="577">R121+Q120</f>
        <v>884313787.05044317</v>
      </c>
      <c r="S120">
        <f t="shared" ref="S120" si="578">R120/100000</f>
        <v>8843.1378705044317</v>
      </c>
      <c r="T120">
        <f t="shared" ref="T120" si="579">S120/1000</f>
        <v>8.8431378705044317</v>
      </c>
    </row>
    <row r="121" spans="1:20" x14ac:dyDescent="0.25">
      <c r="A121" s="5">
        <v>44472</v>
      </c>
      <c r="B121">
        <v>0.70730000000000004</v>
      </c>
      <c r="C121">
        <v>0.73980000000000001</v>
      </c>
      <c r="D121">
        <v>0.69330000000000003</v>
      </c>
      <c r="E121">
        <v>0.72889999999999999</v>
      </c>
      <c r="F121">
        <v>10985313</v>
      </c>
      <c r="G121">
        <v>0.72889999999999999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0.53118279569892368</v>
      </c>
      <c r="Q121">
        <f t="shared" ref="Q121" si="581">F121*P121</f>
        <v>5835209.2709677303</v>
      </c>
      <c r="R121">
        <f t="shared" ref="R121" si="582">R122+Q121</f>
        <v>885209850.92942405</v>
      </c>
      <c r="S121">
        <f t="shared" ref="S121" si="583">R121/100000</f>
        <v>8852.098509294241</v>
      </c>
      <c r="T121">
        <f t="shared" ref="T121" si="584">S121/1000</f>
        <v>8.8520985092942404</v>
      </c>
    </row>
    <row r="122" spans="1:20" x14ac:dyDescent="0.25">
      <c r="A122" s="5">
        <v>44471</v>
      </c>
      <c r="B122">
        <v>0.68</v>
      </c>
      <c r="C122">
        <v>0.73060000000000003</v>
      </c>
      <c r="D122">
        <v>0.66869999999999996</v>
      </c>
      <c r="E122">
        <v>0.70830000000000004</v>
      </c>
      <c r="F122">
        <v>11224703</v>
      </c>
      <c r="G122">
        <v>0.70830000000000004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0.27948303715670558</v>
      </c>
      <c r="Q122">
        <f t="shared" ref="Q122" si="586">F122*P122</f>
        <v>3137114.0856219847</v>
      </c>
      <c r="R122">
        <f t="shared" ref="R122" si="587">R123+Q122</f>
        <v>879374641.65845633</v>
      </c>
      <c r="S122">
        <f t="shared" ref="S122" si="588">R122/100000</f>
        <v>8793.7464165845631</v>
      </c>
      <c r="T122">
        <f t="shared" ref="T122" si="589">S122/1000</f>
        <v>8.7937464165845629</v>
      </c>
    </row>
    <row r="123" spans="1:20" x14ac:dyDescent="0.25">
      <c r="A123" s="5">
        <v>44470</v>
      </c>
      <c r="B123">
        <v>0.63280000000000003</v>
      </c>
      <c r="C123">
        <v>0.68169999999999997</v>
      </c>
      <c r="D123">
        <v>0.62029999999999996</v>
      </c>
      <c r="E123">
        <v>0.67959999999999998</v>
      </c>
      <c r="F123">
        <v>11429302</v>
      </c>
      <c r="G123">
        <v>0.67959999999999998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0.93159609120521203</v>
      </c>
      <c r="Q123">
        <f t="shared" ref="Q123" si="591">F123*P123</f>
        <v>10647493.068403913</v>
      </c>
      <c r="R123">
        <f t="shared" ref="R123" si="592">R124+Q123</f>
        <v>876237527.57283437</v>
      </c>
      <c r="S123">
        <f t="shared" ref="S123" si="593">R123/100000</f>
        <v>8762.3752757283437</v>
      </c>
      <c r="T123">
        <f t="shared" ref="T123" si="594">S123/1000</f>
        <v>8.7623752757283437</v>
      </c>
    </row>
    <row r="124" spans="1:20" x14ac:dyDescent="0.25">
      <c r="A124" s="5">
        <v>44469</v>
      </c>
      <c r="B124">
        <v>0.59460000000000002</v>
      </c>
      <c r="C124">
        <v>0.64349999999999996</v>
      </c>
      <c r="D124">
        <v>0.59109999999999996</v>
      </c>
      <c r="E124">
        <v>0.63200000000000001</v>
      </c>
      <c r="F124">
        <v>10484883</v>
      </c>
      <c r="G124">
        <v>0.63200000000000001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0.5610687022900781</v>
      </c>
      <c r="Q124">
        <f t="shared" ref="Q124" si="596">F124*P124</f>
        <v>5882739.6984733008</v>
      </c>
      <c r="R124">
        <f t="shared" ref="R124" si="597">R125+Q124</f>
        <v>865590034.50443041</v>
      </c>
      <c r="S124">
        <f t="shared" ref="S124" si="598">R124/100000</f>
        <v>8655.9003450443033</v>
      </c>
      <c r="T124">
        <f t="shared" ref="T124" si="599">S124/1000</f>
        <v>8.6559003450443033</v>
      </c>
    </row>
    <row r="125" spans="1:20" x14ac:dyDescent="0.25">
      <c r="A125" s="5">
        <v>44468</v>
      </c>
      <c r="B125">
        <v>0.58069999999999999</v>
      </c>
      <c r="C125">
        <v>0.60750000000000004</v>
      </c>
      <c r="D125">
        <v>0.57779999999999998</v>
      </c>
      <c r="E125">
        <v>0.59419999999999995</v>
      </c>
      <c r="F125">
        <v>7516885</v>
      </c>
      <c r="G125">
        <v>0.59419999999999995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0.10437710437710015</v>
      </c>
      <c r="Q125">
        <f t="shared" ref="Q125" si="601">F125*P125</f>
        <v>784590.69023565855</v>
      </c>
      <c r="R125">
        <f t="shared" ref="R125" si="602">R126+Q125</f>
        <v>859707294.80595708</v>
      </c>
      <c r="S125">
        <f t="shared" ref="S125" si="603">R125/100000</f>
        <v>8597.072948059571</v>
      </c>
      <c r="T125">
        <f t="shared" ref="T125" si="604">S125/1000</f>
        <v>8.5970729480595711</v>
      </c>
    </row>
    <row r="126" spans="1:20" x14ac:dyDescent="0.25">
      <c r="A126" s="5">
        <v>44467</v>
      </c>
      <c r="B126">
        <v>0.60719999999999996</v>
      </c>
      <c r="C126">
        <v>0.61709999999999998</v>
      </c>
      <c r="D126">
        <v>0.57889999999999997</v>
      </c>
      <c r="E126">
        <v>0.58140000000000003</v>
      </c>
      <c r="F126">
        <v>9583486.8499999996</v>
      </c>
      <c r="G126">
        <v>0.58140000000000003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-0.86910994764397609</v>
      </c>
      <c r="Q126">
        <f t="shared" ref="Q126" si="606">F126*P126</f>
        <v>-8329103.7544502327</v>
      </c>
      <c r="R126">
        <f t="shared" ref="R126" si="607">R127+Q126</f>
        <v>858922704.11572146</v>
      </c>
      <c r="S126">
        <f t="shared" ref="S126" si="608">R126/100000</f>
        <v>8589.2270411572154</v>
      </c>
      <c r="T126">
        <f t="shared" ref="T126" si="609">S126/1000</f>
        <v>8.5892270411572156</v>
      </c>
    </row>
    <row r="127" spans="1:20" x14ac:dyDescent="0.25">
      <c r="A127" s="5">
        <v>44466</v>
      </c>
      <c r="B127">
        <v>0.63759999999999994</v>
      </c>
      <c r="C127">
        <v>0.65349999999999997</v>
      </c>
      <c r="D127">
        <v>0.60629999999999995</v>
      </c>
      <c r="E127">
        <v>0.60750000000000004</v>
      </c>
      <c r="F127">
        <v>7887055</v>
      </c>
      <c r="G127">
        <v>0.60750000000000004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-0.94915254237287761</v>
      </c>
      <c r="Q127">
        <f t="shared" ref="Q127" si="611">F127*P127</f>
        <v>-7486018.3050847165</v>
      </c>
      <c r="R127">
        <f t="shared" ref="R127" si="612">R128+Q127</f>
        <v>867251807.87017167</v>
      </c>
      <c r="S127">
        <f t="shared" ref="S127" si="613">R127/100000</f>
        <v>8672.5180787017161</v>
      </c>
      <c r="T127">
        <f t="shared" ref="T127" si="614">S127/1000</f>
        <v>8.6725180787017155</v>
      </c>
    </row>
    <row r="128" spans="1:20" x14ac:dyDescent="0.25">
      <c r="A128" s="5">
        <v>44465</v>
      </c>
      <c r="B128">
        <v>0.64319999999999999</v>
      </c>
      <c r="C128">
        <v>0.65710000000000002</v>
      </c>
      <c r="D128">
        <v>0.5948</v>
      </c>
      <c r="E128">
        <v>0.63790000000000002</v>
      </c>
      <c r="F128">
        <v>9111408</v>
      </c>
      <c r="G128">
        <v>0.63790000000000002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0.38362760834670984</v>
      </c>
      <c r="Q128">
        <f t="shared" ref="Q128" si="616">F128*P128</f>
        <v>3495387.6597110787</v>
      </c>
      <c r="R128">
        <f t="shared" ref="R128" si="617">R129+Q128</f>
        <v>874737826.17525637</v>
      </c>
      <c r="S128">
        <f t="shared" ref="S128" si="618">R128/100000</f>
        <v>8747.378261752563</v>
      </c>
      <c r="T128">
        <f t="shared" ref="T128" si="619">S128/1000</f>
        <v>8.7473782617525622</v>
      </c>
    </row>
    <row r="129" spans="1:20" x14ac:dyDescent="0.25">
      <c r="A129" s="5">
        <v>44464</v>
      </c>
      <c r="B129">
        <v>0.65349999999999997</v>
      </c>
      <c r="C129">
        <v>0.6593</v>
      </c>
      <c r="D129">
        <v>0.628</v>
      </c>
      <c r="E129">
        <v>0.64349999999999996</v>
      </c>
      <c r="F129">
        <v>5806708</v>
      </c>
      <c r="G129">
        <v>0.64349999999999996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-9.5846645367437065E-3</v>
      </c>
      <c r="Q129">
        <f t="shared" ref="Q129" si="621">F129*P129</f>
        <v>-55655.348242825974</v>
      </c>
      <c r="R129">
        <f t="shared" ref="R129" si="622">R130+Q129</f>
        <v>871242438.51554525</v>
      </c>
      <c r="S129">
        <f t="shared" ref="S129" si="623">R129/100000</f>
        <v>8712.4243851554529</v>
      </c>
      <c r="T129">
        <f t="shared" ref="T129" si="624">S129/1000</f>
        <v>8.7124243851554528</v>
      </c>
    </row>
    <row r="130" spans="1:20" x14ac:dyDescent="0.25">
      <c r="A130" s="5">
        <v>44463</v>
      </c>
      <c r="B130">
        <v>0.7026</v>
      </c>
      <c r="C130">
        <v>0.70509999999999995</v>
      </c>
      <c r="D130">
        <v>0.61250000000000004</v>
      </c>
      <c r="E130">
        <v>0.65380000000000005</v>
      </c>
      <c r="F130">
        <v>13283825</v>
      </c>
      <c r="G130">
        <v>0.65380000000000005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-0.10799136069114372</v>
      </c>
      <c r="Q130">
        <f t="shared" ref="Q130" si="626">F130*P130</f>
        <v>-1434538.3369330321</v>
      </c>
      <c r="R130">
        <f t="shared" ref="R130" si="627">R131+Q130</f>
        <v>871298093.86378813</v>
      </c>
      <c r="S130">
        <f t="shared" ref="S130" si="628">R130/100000</f>
        <v>8712.980938637882</v>
      </c>
      <c r="T130">
        <f t="shared" ref="T130" si="629">S130/1000</f>
        <v>8.712980938637882</v>
      </c>
    </row>
    <row r="131" spans="1:20" x14ac:dyDescent="0.25">
      <c r="A131" s="5">
        <v>44462</v>
      </c>
      <c r="B131">
        <v>0.68569999999999998</v>
      </c>
      <c r="C131">
        <v>0.71889999999999998</v>
      </c>
      <c r="D131">
        <v>0.6744</v>
      </c>
      <c r="E131">
        <v>0.70240000000000002</v>
      </c>
      <c r="F131">
        <v>10511479</v>
      </c>
      <c r="G131">
        <v>0.70240000000000002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0.25842696629213641</v>
      </c>
      <c r="Q131">
        <f t="shared" ref="Q131" si="631">F131*P131</f>
        <v>2716449.6292134998</v>
      </c>
      <c r="R131">
        <f t="shared" ref="R131" si="632">R132+Q131</f>
        <v>872732632.20072114</v>
      </c>
      <c r="S131">
        <f t="shared" ref="S131" si="633">R131/100000</f>
        <v>8727.3263220072113</v>
      </c>
      <c r="T131">
        <f t="shared" ref="T131" si="634">S131/1000</f>
        <v>8.7273263220072117</v>
      </c>
    </row>
    <row r="132" spans="1:20" x14ac:dyDescent="0.25">
      <c r="A132" s="5">
        <v>44461</v>
      </c>
      <c r="B132">
        <v>0.60750000000000004</v>
      </c>
      <c r="C132">
        <v>0.68669999999999998</v>
      </c>
      <c r="D132">
        <v>0.59460000000000002</v>
      </c>
      <c r="E132">
        <v>0.6855</v>
      </c>
      <c r="F132">
        <v>9436737.3699999992</v>
      </c>
      <c r="G132">
        <v>0.6855</v>
      </c>
      <c r="L132" t="s">
        <v>7</v>
      </c>
      <c r="M132" t="s">
        <v>7</v>
      </c>
      <c r="N132" t="s">
        <v>7</v>
      </c>
      <c r="P132">
        <f t="shared" ref="P132" si="635">IF(C132=D132,0,((E132-D132)-(C132-E132))/(C132-D132))</f>
        <v>0.97394136807817633</v>
      </c>
      <c r="Q132">
        <f t="shared" ref="Q132" si="636">F132*P132</f>
        <v>9190828.9043322504</v>
      </c>
      <c r="R132">
        <f t="shared" ref="R132" si="637">R133+Q132</f>
        <v>870016182.57150769</v>
      </c>
      <c r="S132">
        <f t="shared" ref="S132" si="638">R132/100000</f>
        <v>8700.1618257150767</v>
      </c>
      <c r="T132">
        <f t="shared" ref="T132" si="639">S132/1000</f>
        <v>8.7001618257150763</v>
      </c>
    </row>
    <row r="133" spans="1:20" x14ac:dyDescent="0.25">
      <c r="A133" s="5">
        <v>44460</v>
      </c>
      <c r="B133">
        <v>0.65169999999999995</v>
      </c>
      <c r="C133">
        <v>0.6764</v>
      </c>
      <c r="D133">
        <v>0.59840000000000004</v>
      </c>
      <c r="E133">
        <v>0.60619999999999996</v>
      </c>
      <c r="F133">
        <v>12210209.140000001</v>
      </c>
      <c r="G133">
        <v>0.60619999999999996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-0.80000000000000204</v>
      </c>
      <c r="Q133">
        <f t="shared" ref="Q133" si="641">F133*P133</f>
        <v>-9768167.3120000251</v>
      </c>
      <c r="R133">
        <f t="shared" ref="R133" si="642">R134+Q133</f>
        <v>860825353.66717541</v>
      </c>
      <c r="S133">
        <f t="shared" ref="S133" si="643">R133/100000</f>
        <v>8608.2535366717548</v>
      </c>
      <c r="T133">
        <f t="shared" ref="T133" si="644">S133/1000</f>
        <v>8.6082535366717554</v>
      </c>
    </row>
    <row r="134" spans="1:20" x14ac:dyDescent="0.25">
      <c r="A134" s="5">
        <v>44459</v>
      </c>
      <c r="B134">
        <v>0.73899999999999999</v>
      </c>
      <c r="C134">
        <v>0.74070000000000003</v>
      </c>
      <c r="D134">
        <v>0.67079999999999995</v>
      </c>
      <c r="E134">
        <v>0.68079999999999996</v>
      </c>
      <c r="F134">
        <v>7998004.04</v>
      </c>
      <c r="G134">
        <v>0.68079999999999996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-0.71387696709585124</v>
      </c>
      <c r="Q134">
        <f t="shared" ref="Q134" si="646">F134*P134</f>
        <v>-5709590.8668955658</v>
      </c>
      <c r="R134">
        <f t="shared" ref="R134" si="647">R135+Q134</f>
        <v>870593520.97917545</v>
      </c>
      <c r="S134">
        <f t="shared" ref="S134" si="648">R134/100000</f>
        <v>8705.9352097917545</v>
      </c>
      <c r="T134">
        <f t="shared" ref="T134" si="649">S134/1000</f>
        <v>8.7059352097917539</v>
      </c>
    </row>
    <row r="135" spans="1:20" x14ac:dyDescent="0.25">
      <c r="A135" s="5">
        <v>44458</v>
      </c>
      <c r="B135">
        <v>0.75449999999999995</v>
      </c>
      <c r="C135">
        <v>0.75509999999999999</v>
      </c>
      <c r="D135">
        <v>0.72450000000000003</v>
      </c>
      <c r="E135">
        <v>0.73839999999999995</v>
      </c>
      <c r="F135">
        <v>6244114</v>
      </c>
      <c r="G135">
        <v>0.73839999999999995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-9.1503267973860769E-2</v>
      </c>
      <c r="Q135">
        <f t="shared" ref="Q135" si="651">F135*P135</f>
        <v>-571356.83660133567</v>
      </c>
      <c r="R135">
        <f t="shared" ref="R135" si="652">R136+Q135</f>
        <v>876303111.846071</v>
      </c>
      <c r="S135">
        <f t="shared" ref="S135" si="653">R135/100000</f>
        <v>8763.0311184607108</v>
      </c>
      <c r="T135">
        <f t="shared" ref="T135" si="654">S135/1000</f>
        <v>8.7630311184607113</v>
      </c>
    </row>
    <row r="136" spans="1:20" x14ac:dyDescent="0.25">
      <c r="A136" s="5">
        <v>44457</v>
      </c>
      <c r="B136">
        <v>0.75170000000000003</v>
      </c>
      <c r="C136">
        <v>0.77439999999999998</v>
      </c>
      <c r="D136">
        <v>0.74</v>
      </c>
      <c r="E136">
        <v>0.75449999999999995</v>
      </c>
      <c r="F136">
        <v>6421727</v>
      </c>
      <c r="G136">
        <v>0.75449999999999995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-0.15697674418604865</v>
      </c>
      <c r="Q136">
        <f t="shared" ref="Q136" si="656">F136*P136</f>
        <v>-1008061.7965116416</v>
      </c>
      <c r="R136">
        <f t="shared" ref="R136" si="657">R137+Q136</f>
        <v>876874468.68267238</v>
      </c>
      <c r="S136">
        <f t="shared" ref="S136" si="658">R136/100000</f>
        <v>8768.7446868267234</v>
      </c>
      <c r="T136">
        <f t="shared" ref="T136" si="659">S136/1000</f>
        <v>8.7687446868267234</v>
      </c>
    </row>
    <row r="137" spans="1:20" x14ac:dyDescent="0.25">
      <c r="A137" s="5">
        <v>44456</v>
      </c>
      <c r="B137">
        <v>0.77510000000000001</v>
      </c>
      <c r="C137">
        <v>0.78059999999999996</v>
      </c>
      <c r="D137">
        <v>0.73860000000000003</v>
      </c>
      <c r="E137">
        <v>0.75190000000000001</v>
      </c>
      <c r="F137">
        <v>8558383</v>
      </c>
      <c r="G137">
        <v>0.75190000000000001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-0.36666666666666659</v>
      </c>
      <c r="Q137">
        <f t="shared" ref="Q137" si="661">F137*P137</f>
        <v>-3138073.7666666661</v>
      </c>
      <c r="R137">
        <f t="shared" ref="R137" si="662">R138+Q137</f>
        <v>877882530.47918403</v>
      </c>
      <c r="S137">
        <f t="shared" ref="S137" si="663">R137/100000</f>
        <v>8778.8253047918406</v>
      </c>
      <c r="T137">
        <f t="shared" ref="T137" si="664">S137/1000</f>
        <v>8.778825304791841</v>
      </c>
    </row>
    <row r="138" spans="1:20" x14ac:dyDescent="0.25">
      <c r="A138" s="5">
        <v>44455</v>
      </c>
      <c r="B138">
        <v>0.79300000000000004</v>
      </c>
      <c r="C138">
        <v>0.80879999999999996</v>
      </c>
      <c r="D138">
        <v>0.75609999999999999</v>
      </c>
      <c r="E138">
        <v>0.77510000000000001</v>
      </c>
      <c r="F138">
        <v>11284187</v>
      </c>
      <c r="G138">
        <v>0.77510000000000001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-0.27893738140417351</v>
      </c>
      <c r="Q138">
        <f t="shared" ref="Q138" si="666">F138*P138</f>
        <v>-3147581.5730550163</v>
      </c>
      <c r="R138">
        <f t="shared" ref="R138" si="667">R139+Q138</f>
        <v>881020604.24585068</v>
      </c>
      <c r="S138">
        <f t="shared" ref="S138" si="668">R138/100000</f>
        <v>8810.206042458507</v>
      </c>
      <c r="T138">
        <f t="shared" ref="T138" si="669">S138/1000</f>
        <v>8.8102060424585069</v>
      </c>
    </row>
    <row r="139" spans="1:20" x14ac:dyDescent="0.25">
      <c r="A139" s="5">
        <v>44454</v>
      </c>
      <c r="B139">
        <v>0.78190000000000004</v>
      </c>
      <c r="C139">
        <v>0.79900000000000004</v>
      </c>
      <c r="D139">
        <v>0.77329999999999999</v>
      </c>
      <c r="E139">
        <v>0.79269999999999996</v>
      </c>
      <c r="F139">
        <v>8276922</v>
      </c>
      <c r="G139">
        <v>0.79269999999999996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0.50972762645913861</v>
      </c>
      <c r="Q139">
        <f t="shared" ref="Q139" si="671">F139*P139</f>
        <v>4218975.8054474266</v>
      </c>
      <c r="R139">
        <f t="shared" ref="R139" si="672">R140+Q139</f>
        <v>884168185.81890571</v>
      </c>
      <c r="S139">
        <f t="shared" ref="S139" si="673">R139/100000</f>
        <v>8841.6818581890566</v>
      </c>
      <c r="T139">
        <f t="shared" ref="T139" si="674">S139/1000</f>
        <v>8.8416818581890571</v>
      </c>
    </row>
    <row r="140" spans="1:20" x14ac:dyDescent="0.25">
      <c r="A140" s="5">
        <v>44453</v>
      </c>
      <c r="B140">
        <v>0.75449999999999995</v>
      </c>
      <c r="C140">
        <v>0.78580000000000005</v>
      </c>
      <c r="D140">
        <v>0.74739999999999995</v>
      </c>
      <c r="E140">
        <v>0.78190000000000004</v>
      </c>
      <c r="F140">
        <v>7861252</v>
      </c>
      <c r="G140">
        <v>0.78190000000000004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0.79687499999999978</v>
      </c>
      <c r="Q140">
        <f t="shared" ref="Q140" si="676">F140*P140</f>
        <v>6264435.1874999981</v>
      </c>
      <c r="R140">
        <f t="shared" ref="R140" si="677">R141+Q140</f>
        <v>879949210.01345825</v>
      </c>
      <c r="S140">
        <f t="shared" ref="S140" si="678">R140/100000</f>
        <v>8799.4921001345829</v>
      </c>
      <c r="T140">
        <f t="shared" ref="T140" si="679">S140/1000</f>
        <v>8.7994921001345823</v>
      </c>
    </row>
    <row r="141" spans="1:20" x14ac:dyDescent="0.25">
      <c r="A141" s="5">
        <v>44452</v>
      </c>
      <c r="B141">
        <v>0.80820000000000003</v>
      </c>
      <c r="C141">
        <v>0.8155</v>
      </c>
      <c r="D141">
        <v>0.71350000000000002</v>
      </c>
      <c r="E141">
        <v>0.75460000000000005</v>
      </c>
      <c r="F141">
        <v>11334308</v>
      </c>
      <c r="G141">
        <v>0.75460000000000005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-0.19411764705882287</v>
      </c>
      <c r="Q141">
        <f t="shared" ref="Q141" si="681">F141*P141</f>
        <v>-2200189.1999999923</v>
      </c>
      <c r="R141">
        <f t="shared" ref="R141" si="682">R142+Q141</f>
        <v>873684774.82595825</v>
      </c>
      <c r="S141">
        <f t="shared" ref="S141" si="683">R141/100000</f>
        <v>8736.8477482595827</v>
      </c>
      <c r="T141">
        <f t="shared" ref="T141" si="684">S141/1000</f>
        <v>8.7368477482595832</v>
      </c>
    </row>
    <row r="142" spans="1:20" x14ac:dyDescent="0.25">
      <c r="A142" s="5">
        <v>44451</v>
      </c>
      <c r="B142">
        <v>0.77329999999999999</v>
      </c>
      <c r="C142">
        <v>0.81589999999999996</v>
      </c>
      <c r="D142">
        <v>0.75690000000000002</v>
      </c>
      <c r="E142">
        <v>0.80979999999999996</v>
      </c>
      <c r="F142">
        <v>8799389</v>
      </c>
      <c r="G142">
        <v>0.80979999999999996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0.79322033898305089</v>
      </c>
      <c r="Q142">
        <f t="shared" ref="Q142" si="686">F142*P142</f>
        <v>6979854.3254237296</v>
      </c>
      <c r="R142">
        <f t="shared" ref="R142" si="687">R143+Q142</f>
        <v>875884964.0259583</v>
      </c>
      <c r="S142">
        <f t="shared" ref="S142" si="688">R142/100000</f>
        <v>8758.8496402595829</v>
      </c>
      <c r="T142">
        <f t="shared" ref="T142" si="689">S142/1000</f>
        <v>8.7588496402595837</v>
      </c>
    </row>
    <row r="143" spans="1:20" x14ac:dyDescent="0.25">
      <c r="A143" s="5">
        <v>44450</v>
      </c>
      <c r="B143">
        <v>0.76270000000000004</v>
      </c>
      <c r="C143">
        <v>0.79610000000000003</v>
      </c>
      <c r="D143">
        <v>0.755</v>
      </c>
      <c r="E143">
        <v>0.77300000000000002</v>
      </c>
      <c r="F143">
        <v>6534445</v>
      </c>
      <c r="G143">
        <v>0.77300000000000002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-0.12408759124087568</v>
      </c>
      <c r="Q143">
        <f t="shared" ref="Q143" si="691">F143*P143</f>
        <v>-810843.54014598392</v>
      </c>
      <c r="R143">
        <f t="shared" ref="R143" si="692">R144+Q143</f>
        <v>868905109.70053458</v>
      </c>
      <c r="S143">
        <f t="shared" ref="S143" si="693">R143/100000</f>
        <v>8689.0510970053456</v>
      </c>
      <c r="T143">
        <f t="shared" ref="T143" si="694">S143/1000</f>
        <v>8.6890510970053452</v>
      </c>
    </row>
    <row r="144" spans="1:20" x14ac:dyDescent="0.25">
      <c r="A144" s="5">
        <v>44449</v>
      </c>
      <c r="B144">
        <v>0.81269999999999998</v>
      </c>
      <c r="C144">
        <v>0.84150000000000003</v>
      </c>
      <c r="D144">
        <v>0.73609999999999998</v>
      </c>
      <c r="E144">
        <v>0.76259999999999994</v>
      </c>
      <c r="F144">
        <v>16200202</v>
      </c>
      <c r="G144">
        <v>0.76259999999999994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-0.49715370018975419</v>
      </c>
      <c r="Q144">
        <f t="shared" ref="Q144" si="696">F144*P144</f>
        <v>-8053990.3681214564</v>
      </c>
      <c r="R144">
        <f t="shared" ref="R144" si="697">R145+Q144</f>
        <v>869715953.24068058</v>
      </c>
      <c r="S144">
        <f t="shared" ref="S144" si="698">R144/100000</f>
        <v>8697.1595324068057</v>
      </c>
      <c r="T144">
        <f t="shared" ref="T144" si="699">S144/1000</f>
        <v>8.6971595324068058</v>
      </c>
    </row>
    <row r="145" spans="1:20" x14ac:dyDescent="0.25">
      <c r="A145" s="5">
        <v>44448</v>
      </c>
      <c r="B145">
        <v>0.77</v>
      </c>
      <c r="C145">
        <v>0.84319999999999995</v>
      </c>
      <c r="D145">
        <v>0.75880000000000003</v>
      </c>
      <c r="E145">
        <v>0.81210000000000004</v>
      </c>
      <c r="F145">
        <v>18190652</v>
      </c>
      <c r="G145">
        <v>0.81210000000000004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0.26303317535545179</v>
      </c>
      <c r="Q145">
        <f t="shared" ref="Q145" si="701">F145*P145</f>
        <v>4784744.9573459998</v>
      </c>
      <c r="R145">
        <f t="shared" ref="R145" si="702">R146+Q145</f>
        <v>877769943.60880208</v>
      </c>
      <c r="S145">
        <f t="shared" ref="S145" si="703">R145/100000</f>
        <v>8777.6994360880217</v>
      </c>
      <c r="T145">
        <f t="shared" ref="T145" si="704">S145/1000</f>
        <v>8.7776994360880209</v>
      </c>
    </row>
    <row r="146" spans="1:20" x14ac:dyDescent="0.25">
      <c r="A146" s="5">
        <v>44447</v>
      </c>
      <c r="B146">
        <v>0.77849999999999997</v>
      </c>
      <c r="C146">
        <v>0.79820000000000002</v>
      </c>
      <c r="D146">
        <v>0.70020000000000004</v>
      </c>
      <c r="E146">
        <v>0.77039999999999997</v>
      </c>
      <c r="F146">
        <v>15445488</v>
      </c>
      <c r="G146">
        <v>0.77039999999999997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0.43265306122448871</v>
      </c>
      <c r="Q146">
        <f t="shared" ref="Q146" si="706">F146*P146</f>
        <v>6682537.6653061053</v>
      </c>
      <c r="R146">
        <f t="shared" ref="R146" si="707">R147+Q146</f>
        <v>872985198.65145612</v>
      </c>
      <c r="S146">
        <f t="shared" ref="S146" si="708">R146/100000</f>
        <v>8729.8519865145608</v>
      </c>
      <c r="T146">
        <f t="shared" ref="T146" si="709">S146/1000</f>
        <v>8.7298519865145607</v>
      </c>
    </row>
    <row r="147" spans="1:20" x14ac:dyDescent="0.25">
      <c r="A147" s="5">
        <v>44446</v>
      </c>
      <c r="B147">
        <v>0.95530000000000004</v>
      </c>
      <c r="C147">
        <v>0.95730000000000004</v>
      </c>
      <c r="D147">
        <v>0.67689999999999995</v>
      </c>
      <c r="E147">
        <v>0.77769999999999995</v>
      </c>
      <c r="F147">
        <v>36297309.840000004</v>
      </c>
      <c r="G147">
        <v>0.77769999999999995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-0.28102710413694748</v>
      </c>
      <c r="Q147">
        <f t="shared" ref="Q147" si="711">F147*P147</f>
        <v>-10200527.87229673</v>
      </c>
      <c r="R147">
        <f t="shared" ref="R147" si="712">R148+Q147</f>
        <v>866302660.98615003</v>
      </c>
      <c r="S147">
        <f t="shared" ref="S147" si="713">R147/100000</f>
        <v>8663.0266098615011</v>
      </c>
      <c r="T147">
        <f t="shared" ref="T147" si="714">S147/1000</f>
        <v>8.6630266098615003</v>
      </c>
    </row>
    <row r="148" spans="1:20" x14ac:dyDescent="0.25">
      <c r="A148" s="5">
        <v>44445</v>
      </c>
      <c r="B148">
        <v>0.98370000000000002</v>
      </c>
      <c r="C148">
        <v>0.98950000000000005</v>
      </c>
      <c r="D148">
        <v>0.91200000000000003</v>
      </c>
      <c r="E148">
        <v>0.95530000000000004</v>
      </c>
      <c r="F148">
        <v>14888971</v>
      </c>
      <c r="G148">
        <v>0.95530000000000004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0.11741935483870962</v>
      </c>
      <c r="Q148">
        <f t="shared" ref="Q148" si="716">F148*P148</f>
        <v>1748253.3690322572</v>
      </c>
      <c r="R148">
        <f t="shared" ref="R148" si="717">R149+Q148</f>
        <v>876503188.85844672</v>
      </c>
      <c r="S148">
        <f t="shared" ref="S148" si="718">R148/100000</f>
        <v>8765.0318885844663</v>
      </c>
      <c r="T148">
        <f t="shared" ref="T148" si="719">S148/1000</f>
        <v>8.7650318885844669</v>
      </c>
    </row>
    <row r="149" spans="1:20" x14ac:dyDescent="0.25">
      <c r="A149" s="5">
        <v>44444</v>
      </c>
      <c r="B149">
        <v>0.92100000000000004</v>
      </c>
      <c r="C149">
        <v>1.0035000000000001</v>
      </c>
      <c r="D149">
        <v>0.90610000000000002</v>
      </c>
      <c r="E149">
        <v>0.98329999999999995</v>
      </c>
      <c r="F149">
        <v>23700269.52</v>
      </c>
      <c r="G149">
        <v>0.98329999999999995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0.58521560574948461</v>
      </c>
      <c r="Q149">
        <f t="shared" ref="Q149" si="721">F149*P149</f>
        <v>13869767.583572846</v>
      </c>
      <c r="R149">
        <f t="shared" ref="R149" si="722">R150+Q149</f>
        <v>874754935.48941445</v>
      </c>
      <c r="S149">
        <f t="shared" ref="S149" si="723">R149/100000</f>
        <v>8747.5493548941449</v>
      </c>
      <c r="T149">
        <f t="shared" ref="T149" si="724">S149/1000</f>
        <v>8.7475493548941454</v>
      </c>
    </row>
    <row r="150" spans="1:20" x14ac:dyDescent="0.25">
      <c r="A150" s="5">
        <v>44443</v>
      </c>
      <c r="B150">
        <v>0.87909999999999999</v>
      </c>
      <c r="C150">
        <v>0.95099999999999996</v>
      </c>
      <c r="D150">
        <v>0.87639999999999996</v>
      </c>
      <c r="E150">
        <v>0.92059999999999997</v>
      </c>
      <c r="F150">
        <v>25685242.719999999</v>
      </c>
      <c r="G150">
        <v>0.92059999999999997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0.18498659517426319</v>
      </c>
      <c r="Q150">
        <f t="shared" ref="Q150" si="726">F150*P150</f>
        <v>4751425.5969973309</v>
      </c>
      <c r="R150">
        <f t="shared" ref="R150" si="727">R151+Q150</f>
        <v>860885167.90584159</v>
      </c>
      <c r="S150">
        <f t="shared" ref="S150" si="728">R150/100000</f>
        <v>8608.8516790584163</v>
      </c>
      <c r="T150">
        <f t="shared" ref="T150" si="729">S150/1000</f>
        <v>8.6088516790584162</v>
      </c>
    </row>
    <row r="151" spans="1:20" x14ac:dyDescent="0.25">
      <c r="A151" s="5">
        <v>44442</v>
      </c>
      <c r="B151">
        <v>0.8488</v>
      </c>
      <c r="C151">
        <v>0.88759999999999994</v>
      </c>
      <c r="D151">
        <v>0.83120000000000005</v>
      </c>
      <c r="E151">
        <v>0.87870000000000004</v>
      </c>
      <c r="F151">
        <v>13313763.140000001</v>
      </c>
      <c r="G151">
        <v>0.87870000000000004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0.68439716312057008</v>
      </c>
      <c r="Q151">
        <f t="shared" ref="Q151" si="731">F151*P151</f>
        <v>9111901.7234752141</v>
      </c>
      <c r="R151">
        <f t="shared" ref="R151" si="732">R152+Q151</f>
        <v>856133742.30884421</v>
      </c>
      <c r="S151">
        <f t="shared" ref="S151" si="733">R151/100000</f>
        <v>8561.3374230884419</v>
      </c>
      <c r="T151">
        <f t="shared" ref="T151" si="734">S151/1000</f>
        <v>8.5613374230884425</v>
      </c>
    </row>
    <row r="152" spans="1:20" x14ac:dyDescent="0.25">
      <c r="A152" s="5">
        <v>44441</v>
      </c>
      <c r="B152">
        <v>0.86360000000000003</v>
      </c>
      <c r="C152">
        <v>0.87060000000000004</v>
      </c>
      <c r="D152">
        <v>0.8397</v>
      </c>
      <c r="E152">
        <v>0.84850000000000003</v>
      </c>
      <c r="F152">
        <v>13162170</v>
      </c>
      <c r="G152">
        <v>0.84850000000000003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-0.43042071197410881</v>
      </c>
      <c r="Q152">
        <f t="shared" ref="Q152" si="736">F152*P152</f>
        <v>-5665270.5825242558</v>
      </c>
      <c r="R152">
        <f t="shared" ref="R152" si="737">R153+Q152</f>
        <v>847021840.58536899</v>
      </c>
      <c r="S152">
        <f t="shared" ref="S152" si="738">R152/100000</f>
        <v>8470.2184058536895</v>
      </c>
      <c r="T152">
        <f t="shared" ref="T152" si="739">S152/1000</f>
        <v>8.4702184058536893</v>
      </c>
    </row>
    <row r="153" spans="1:20" x14ac:dyDescent="0.25">
      <c r="A153" s="5">
        <v>44440</v>
      </c>
      <c r="B153">
        <v>0.81369999999999998</v>
      </c>
      <c r="C153">
        <v>0.86550000000000005</v>
      </c>
      <c r="D153">
        <v>0.79779999999999995</v>
      </c>
      <c r="E153">
        <v>0.86350000000000005</v>
      </c>
      <c r="F153">
        <v>12712640</v>
      </c>
      <c r="G153">
        <v>0.86350000000000005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0.94091580502215655</v>
      </c>
      <c r="Q153">
        <f t="shared" ref="Q153" si="741">F153*P153</f>
        <v>11961523.899556868</v>
      </c>
      <c r="R153">
        <f t="shared" ref="R153" si="742">R154+Q153</f>
        <v>852687111.16789329</v>
      </c>
      <c r="S153">
        <f t="shared" ref="S153" si="743">R153/100000</f>
        <v>8526.8711116789327</v>
      </c>
      <c r="T153">
        <f t="shared" ref="T153" si="744">S153/1000</f>
        <v>8.5268711116789326</v>
      </c>
    </row>
    <row r="154" spans="1:20" x14ac:dyDescent="0.25">
      <c r="A154" s="5">
        <v>44439</v>
      </c>
      <c r="B154">
        <v>0.79210000000000003</v>
      </c>
      <c r="C154">
        <v>0.8468</v>
      </c>
      <c r="D154">
        <v>0.77829999999999999</v>
      </c>
      <c r="E154">
        <v>0.81459999999999999</v>
      </c>
      <c r="F154">
        <v>13831403</v>
      </c>
      <c r="G154">
        <v>0.81459999999999999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5.9854014598540034E-2</v>
      </c>
      <c r="Q154">
        <f t="shared" ref="Q154" si="746">F154*P154</f>
        <v>827864.99708029046</v>
      </c>
      <c r="R154">
        <f t="shared" ref="R154" si="747">R155+Q154</f>
        <v>840725587.26833642</v>
      </c>
      <c r="S154">
        <f t="shared" ref="S154" si="748">R154/100000</f>
        <v>8407.2558726833649</v>
      </c>
      <c r="T154">
        <f t="shared" ref="T154" si="749">S154/1000</f>
        <v>8.4072558726833648</v>
      </c>
    </row>
    <row r="155" spans="1:20" x14ac:dyDescent="0.25">
      <c r="A155" s="5">
        <v>44438</v>
      </c>
      <c r="B155">
        <v>0.81489999999999996</v>
      </c>
      <c r="C155">
        <v>0.84760000000000002</v>
      </c>
      <c r="D155">
        <v>0.7802</v>
      </c>
      <c r="E155">
        <v>0.79239999999999999</v>
      </c>
      <c r="F155">
        <v>11265885</v>
      </c>
      <c r="G155">
        <v>0.79239999999999999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-0.63798219584569771</v>
      </c>
      <c r="Q155">
        <f t="shared" ref="Q155" si="751">F155*P155</f>
        <v>-7187434.0504451077</v>
      </c>
      <c r="R155">
        <f t="shared" ref="R155" si="752">R156+Q155</f>
        <v>839897722.27125609</v>
      </c>
      <c r="S155">
        <f t="shared" ref="S155" si="753">R155/100000</f>
        <v>8398.9772227125613</v>
      </c>
      <c r="T155">
        <f t="shared" ref="T155" si="754">S155/1000</f>
        <v>8.3989772227125616</v>
      </c>
    </row>
    <row r="156" spans="1:20" x14ac:dyDescent="0.25">
      <c r="A156" s="5">
        <v>44437</v>
      </c>
      <c r="B156">
        <v>0.81969999999999998</v>
      </c>
      <c r="C156">
        <v>0.83599999999999997</v>
      </c>
      <c r="D156">
        <v>0.79269999999999996</v>
      </c>
      <c r="E156">
        <v>0.81520000000000004</v>
      </c>
      <c r="F156">
        <v>7104197</v>
      </c>
      <c r="G156">
        <v>0.81520000000000004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3.9260969976908672E-2</v>
      </c>
      <c r="Q156">
        <f t="shared" ref="Q156" si="756">F156*P156</f>
        <v>278917.66512704466</v>
      </c>
      <c r="R156">
        <f t="shared" ref="R156" si="757">R157+Q156</f>
        <v>847085156.32170117</v>
      </c>
      <c r="S156">
        <f t="shared" ref="S156" si="758">R156/100000</f>
        <v>8470.8515632170111</v>
      </c>
      <c r="T156">
        <f t="shared" ref="T156" si="759">S156/1000</f>
        <v>8.4708515632170105</v>
      </c>
    </row>
    <row r="157" spans="1:20" x14ac:dyDescent="0.25">
      <c r="A157" s="5">
        <v>44436</v>
      </c>
      <c r="B157">
        <v>0.84570000000000001</v>
      </c>
      <c r="C157">
        <v>0.84740000000000004</v>
      </c>
      <c r="D157">
        <v>0.80459999999999998</v>
      </c>
      <c r="E157">
        <v>0.81940000000000002</v>
      </c>
      <c r="F157">
        <v>6944704</v>
      </c>
      <c r="G157">
        <v>0.81940000000000002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-0.30841121495327034</v>
      </c>
      <c r="Q157">
        <f t="shared" ref="Q157" si="761">F157*P157</f>
        <v>-2141824.5981308362</v>
      </c>
      <c r="R157">
        <f t="shared" ref="R157" si="762">R158+Q157</f>
        <v>846806238.65657413</v>
      </c>
      <c r="S157">
        <f t="shared" ref="S157" si="763">R157/100000</f>
        <v>8468.0623865657417</v>
      </c>
      <c r="T157">
        <f t="shared" ref="T157" si="764">S157/1000</f>
        <v>8.468062386565741</v>
      </c>
    </row>
    <row r="158" spans="1:20" x14ac:dyDescent="0.25">
      <c r="A158" s="5">
        <v>44435</v>
      </c>
      <c r="B158">
        <v>0.79259999999999997</v>
      </c>
      <c r="C158">
        <v>0.84650000000000003</v>
      </c>
      <c r="D158">
        <v>0.75939999999999996</v>
      </c>
      <c r="E158">
        <v>0.84560000000000002</v>
      </c>
      <c r="F158">
        <v>10060874.27</v>
      </c>
      <c r="G158">
        <v>0.84560000000000002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0.97933409873708355</v>
      </c>
      <c r="Q158">
        <f t="shared" ref="Q158" si="766">F158*P158</f>
        <v>9852957.235717563</v>
      </c>
      <c r="R158">
        <f t="shared" ref="R158" si="767">R159+Q158</f>
        <v>848948063.25470495</v>
      </c>
      <c r="S158">
        <f t="shared" ref="S158" si="768">R158/100000</f>
        <v>8489.480632547049</v>
      </c>
      <c r="T158">
        <f t="shared" ref="T158" si="769">S158/1000</f>
        <v>8.4894806325470498</v>
      </c>
    </row>
    <row r="159" spans="1:20" x14ac:dyDescent="0.25">
      <c r="A159" s="5">
        <v>44434</v>
      </c>
      <c r="B159">
        <v>0.86170000000000002</v>
      </c>
      <c r="C159">
        <v>0.88360000000000005</v>
      </c>
      <c r="D159">
        <v>0.78300000000000003</v>
      </c>
      <c r="E159">
        <v>0.79300000000000004</v>
      </c>
      <c r="F159">
        <v>13237141.42</v>
      </c>
      <c r="G159">
        <v>0.79300000000000004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-0.80119284294234583</v>
      </c>
      <c r="Q159">
        <f t="shared" ref="Q159" si="771">F159*P159</f>
        <v>-10605502.966719681</v>
      </c>
      <c r="R159">
        <f t="shared" ref="R159" si="772">R160+Q159</f>
        <v>839095106.01898742</v>
      </c>
      <c r="S159">
        <f t="shared" ref="S159" si="773">R159/100000</f>
        <v>8390.9510601898746</v>
      </c>
      <c r="T159">
        <f t="shared" ref="T159" si="774">S159/1000</f>
        <v>8.3909510601898738</v>
      </c>
    </row>
    <row r="160" spans="1:20" x14ac:dyDescent="0.25">
      <c r="A160" s="5">
        <v>44433</v>
      </c>
      <c r="B160">
        <v>0.8175</v>
      </c>
      <c r="C160">
        <v>0.89</v>
      </c>
      <c r="D160">
        <v>0.78979999999999995</v>
      </c>
      <c r="E160">
        <v>0.8619</v>
      </c>
      <c r="F160">
        <v>18341192.98</v>
      </c>
      <c r="G160">
        <v>0.8619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0.43912175648702606</v>
      </c>
      <c r="Q160">
        <f t="shared" ref="Q160" si="776">F160*P160</f>
        <v>8054016.877445112</v>
      </c>
      <c r="R160">
        <f t="shared" ref="R160" si="777">R161+Q160</f>
        <v>849700608.98570704</v>
      </c>
      <c r="S160">
        <f t="shared" ref="S160" si="778">R160/100000</f>
        <v>8497.00608985707</v>
      </c>
      <c r="T160">
        <f t="shared" ref="T160" si="779">S160/1000</f>
        <v>8.4970060898570701</v>
      </c>
    </row>
    <row r="161" spans="1:20" x14ac:dyDescent="0.25">
      <c r="A161" s="5">
        <v>44432</v>
      </c>
      <c r="B161">
        <v>0.89449999999999996</v>
      </c>
      <c r="C161">
        <v>0.9</v>
      </c>
      <c r="D161">
        <v>0.8</v>
      </c>
      <c r="E161">
        <v>0.81850000000000001</v>
      </c>
      <c r="F161">
        <v>22983156.98</v>
      </c>
      <c r="G161">
        <v>0.81850000000000001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-0.63000000000000067</v>
      </c>
      <c r="Q161">
        <f t="shared" ref="Q161" si="781">F161*P161</f>
        <v>-14479388.897400016</v>
      </c>
      <c r="R161">
        <f t="shared" ref="R161" si="782">R162+Q161</f>
        <v>841646592.10826194</v>
      </c>
      <c r="S161">
        <f t="shared" ref="S161" si="783">R161/100000</f>
        <v>8416.4659210826194</v>
      </c>
      <c r="T161">
        <f t="shared" ref="T161" si="784">S161/1000</f>
        <v>8.4164659210826187</v>
      </c>
    </row>
    <row r="162" spans="1:20" x14ac:dyDescent="0.25">
      <c r="A162" s="5">
        <v>44431</v>
      </c>
      <c r="B162">
        <v>0.87</v>
      </c>
      <c r="C162">
        <v>0.91</v>
      </c>
      <c r="D162">
        <v>0.8448</v>
      </c>
      <c r="E162">
        <v>0.89410000000000001</v>
      </c>
      <c r="F162">
        <v>39257691.799999997</v>
      </c>
      <c r="G162">
        <v>0.89410000000000001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0.51226993865030623</v>
      </c>
      <c r="Q162">
        <f t="shared" ref="Q162" si="786">F162*P162</f>
        <v>20110535.369938627</v>
      </c>
      <c r="R162">
        <f t="shared" ref="R162" si="787">R163+Q162</f>
        <v>856125981.00566196</v>
      </c>
      <c r="S162">
        <f t="shared" ref="S162" si="788">R162/100000</f>
        <v>8561.2598100566192</v>
      </c>
      <c r="T162">
        <f t="shared" ref="T162" si="789">S162/1000</f>
        <v>8.5612598100566188</v>
      </c>
    </row>
    <row r="163" spans="1:20" x14ac:dyDescent="0.25">
      <c r="A163" s="5">
        <v>44430</v>
      </c>
      <c r="B163">
        <v>0.77959999999999996</v>
      </c>
      <c r="C163">
        <v>0.82589999999999997</v>
      </c>
      <c r="D163">
        <v>0.77639999999999998</v>
      </c>
      <c r="E163">
        <v>0.81459999999999999</v>
      </c>
      <c r="F163">
        <v>6567802.6100000003</v>
      </c>
      <c r="G163">
        <v>0.81459999999999999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0.54343434343434427</v>
      </c>
      <c r="Q163">
        <f t="shared" ref="Q163" si="791">F163*P163</f>
        <v>3569169.4991717227</v>
      </c>
      <c r="R163">
        <f t="shared" ref="R163" si="792">R164+Q163</f>
        <v>836015445.63572335</v>
      </c>
      <c r="S163">
        <f t="shared" ref="S163" si="793">R163/100000</f>
        <v>8360.1544563572334</v>
      </c>
      <c r="T163">
        <f t="shared" ref="T163" si="794">S163/1000</f>
        <v>8.3601544563572325</v>
      </c>
    </row>
    <row r="164" spans="1:20" x14ac:dyDescent="0.25">
      <c r="A164" s="5">
        <v>44429</v>
      </c>
      <c r="B164">
        <v>0.7833</v>
      </c>
      <c r="C164">
        <v>0.80500000000000005</v>
      </c>
      <c r="D164">
        <v>0.70420000000000005</v>
      </c>
      <c r="E164">
        <v>0.77900000000000003</v>
      </c>
      <c r="F164">
        <v>16880430.800000001</v>
      </c>
      <c r="G164">
        <v>0.77900000000000003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0.48412698412698368</v>
      </c>
      <c r="Q164">
        <f t="shared" ref="Q164" si="796">F164*P164</f>
        <v>8172272.053968247</v>
      </c>
      <c r="R164">
        <f t="shared" ref="R164" si="797">R165+Q164</f>
        <v>832446276.13655162</v>
      </c>
      <c r="S164">
        <f t="shared" ref="S164" si="798">R164/100000</f>
        <v>8324.4627613655157</v>
      </c>
      <c r="T164">
        <f t="shared" ref="T164" si="799">S164/1000</f>
        <v>8.3244627613655151</v>
      </c>
    </row>
    <row r="165" spans="1:20" x14ac:dyDescent="0.25">
      <c r="A165" s="5">
        <v>44428</v>
      </c>
      <c r="B165">
        <v>0.75760000000000005</v>
      </c>
      <c r="C165">
        <v>0.78820000000000001</v>
      </c>
      <c r="D165">
        <v>0.74509999999999998</v>
      </c>
      <c r="E165">
        <v>0.78269999999999995</v>
      </c>
      <c r="F165">
        <v>12643374.470000001</v>
      </c>
      <c r="G165">
        <v>0.78269999999999995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0.7447795823665867</v>
      </c>
      <c r="Q165">
        <f t="shared" ref="Q165" si="801">F165*P165</f>
        <v>9416527.1574709658</v>
      </c>
      <c r="R165">
        <f t="shared" ref="R165" si="802">R166+Q165</f>
        <v>824274004.08258343</v>
      </c>
      <c r="S165">
        <f t="shared" ref="S165" si="803">R165/100000</f>
        <v>8242.7400408258345</v>
      </c>
      <c r="T165">
        <f t="shared" ref="T165" si="804">S165/1000</f>
        <v>8.2427400408258347</v>
      </c>
    </row>
    <row r="166" spans="1:20" x14ac:dyDescent="0.25">
      <c r="A166" s="5">
        <v>44427</v>
      </c>
      <c r="B166">
        <v>0.71609999999999996</v>
      </c>
      <c r="C166">
        <v>0.75790000000000002</v>
      </c>
      <c r="D166">
        <v>0.69740000000000002</v>
      </c>
      <c r="E166">
        <v>0.75760000000000005</v>
      </c>
      <c r="F166">
        <v>14188137.210000001</v>
      </c>
      <c r="G166">
        <v>0.75760000000000005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0.99008264462810025</v>
      </c>
      <c r="Q166">
        <f t="shared" ref="Q166" si="806">F166*P166</f>
        <v>14047428.411223156</v>
      </c>
      <c r="R166">
        <f t="shared" ref="R166" si="807">R167+Q166</f>
        <v>814857476.92511249</v>
      </c>
      <c r="S166">
        <f t="shared" ref="S166" si="808">R166/100000</f>
        <v>8148.574769251125</v>
      </c>
      <c r="T166">
        <f t="shared" ref="T166" si="809">S166/1000</f>
        <v>8.148574769251125</v>
      </c>
    </row>
    <row r="167" spans="1:20" x14ac:dyDescent="0.25">
      <c r="A167" s="5">
        <v>44426</v>
      </c>
      <c r="B167">
        <v>0.73619999999999997</v>
      </c>
      <c r="C167">
        <v>0.74560000000000004</v>
      </c>
      <c r="D167">
        <v>0.69240000000000002</v>
      </c>
      <c r="E167">
        <v>0.71509999999999996</v>
      </c>
      <c r="F167">
        <v>14632699.439999999</v>
      </c>
      <c r="G167">
        <v>0.71509999999999996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-0.14661654135338603</v>
      </c>
      <c r="Q167">
        <f t="shared" ref="Q167" si="811">F167*P167</f>
        <v>-2145395.7825564286</v>
      </c>
      <c r="R167">
        <f t="shared" ref="R167" si="812">R168+Q167</f>
        <v>800810048.51388931</v>
      </c>
      <c r="S167">
        <f t="shared" ref="S167" si="813">R167/100000</f>
        <v>8008.1004851388934</v>
      </c>
      <c r="T167">
        <f t="shared" ref="T167" si="814">S167/1000</f>
        <v>8.0081004851388933</v>
      </c>
    </row>
    <row r="168" spans="1:20" x14ac:dyDescent="0.25">
      <c r="A168" s="5">
        <v>44425</v>
      </c>
      <c r="B168">
        <v>0.78249999999999997</v>
      </c>
      <c r="C168">
        <v>0.81379999999999997</v>
      </c>
      <c r="D168">
        <v>0.73140000000000005</v>
      </c>
      <c r="E168">
        <v>0.73580000000000001</v>
      </c>
      <c r="F168">
        <v>17011786.52</v>
      </c>
      <c r="G168">
        <v>0.73580000000000001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-0.89320388349514646</v>
      </c>
      <c r="Q168">
        <f t="shared" ref="Q168" si="816">F168*P168</f>
        <v>-15194993.784854382</v>
      </c>
      <c r="R168">
        <f t="shared" ref="R168" si="817">R169+Q168</f>
        <v>802955444.29644573</v>
      </c>
      <c r="S168">
        <f t="shared" ref="S168" si="818">R168/100000</f>
        <v>8029.5544429644569</v>
      </c>
      <c r="T168">
        <f t="shared" ref="T168" si="819">S168/1000</f>
        <v>8.0295544429644572</v>
      </c>
    </row>
    <row r="169" spans="1:20" x14ac:dyDescent="0.25">
      <c r="A169" s="5">
        <v>44424</v>
      </c>
      <c r="B169">
        <v>0.81200000000000006</v>
      </c>
      <c r="C169">
        <v>0.82630000000000003</v>
      </c>
      <c r="D169">
        <v>0.77</v>
      </c>
      <c r="E169">
        <v>0.78259999999999996</v>
      </c>
      <c r="F169">
        <v>17939011.77</v>
      </c>
      <c r="G169">
        <v>0.78259999999999996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-0.55239786856128092</v>
      </c>
      <c r="Q169">
        <f t="shared" ref="Q169" si="821">F169*P169</f>
        <v>-9909471.8658437319</v>
      </c>
      <c r="R169">
        <f t="shared" ref="R169" si="822">R170+Q169</f>
        <v>818150438.08130014</v>
      </c>
      <c r="S169">
        <f t="shared" ref="S169" si="823">R169/100000</f>
        <v>8181.5043808130013</v>
      </c>
      <c r="T169">
        <f t="shared" ref="T169" si="824">S169/1000</f>
        <v>8.181504380813001</v>
      </c>
    </row>
    <row r="170" spans="1:20" x14ac:dyDescent="0.25">
      <c r="A170" s="5">
        <v>44423</v>
      </c>
      <c r="B170">
        <v>0.78</v>
      </c>
      <c r="C170">
        <v>0.81840000000000002</v>
      </c>
      <c r="D170">
        <v>0.75109999999999999</v>
      </c>
      <c r="E170">
        <v>0.81159999999999999</v>
      </c>
      <c r="F170">
        <v>20018280.219999999</v>
      </c>
      <c r="G170">
        <v>0.81159999999999999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0.79791976225854311</v>
      </c>
      <c r="Q170">
        <f t="shared" ref="Q170" si="826">F170*P170</f>
        <v>15972981.393967295</v>
      </c>
      <c r="R170">
        <f t="shared" ref="R170" si="827">R171+Q170</f>
        <v>828059909.94714391</v>
      </c>
      <c r="S170">
        <f t="shared" ref="S170" si="828">R170/100000</f>
        <v>8280.5990994714393</v>
      </c>
      <c r="T170">
        <f t="shared" ref="T170" si="829">S170/1000</f>
        <v>8.2805990994714396</v>
      </c>
    </row>
    <row r="171" spans="1:20" x14ac:dyDescent="0.25">
      <c r="A171" s="5">
        <v>44422</v>
      </c>
      <c r="B171">
        <v>0.79</v>
      </c>
      <c r="C171">
        <v>0.79239999999999999</v>
      </c>
      <c r="D171">
        <v>0.74070000000000003</v>
      </c>
      <c r="E171">
        <v>0.78</v>
      </c>
      <c r="F171">
        <v>13407282.609999999</v>
      </c>
      <c r="G171">
        <v>0.78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0.52030947775628722</v>
      </c>
      <c r="Q171">
        <f t="shared" ref="Q171" si="831">F171*P171</f>
        <v>6975936.2129400512</v>
      </c>
      <c r="R171">
        <f t="shared" ref="R171" si="832">R172+Q171</f>
        <v>812086928.55317664</v>
      </c>
      <c r="S171">
        <f t="shared" ref="S171" si="833">R171/100000</f>
        <v>8120.8692855317668</v>
      </c>
      <c r="T171">
        <f t="shared" ref="T171" si="834">S171/1000</f>
        <v>8.1208692855317661</v>
      </c>
    </row>
    <row r="172" spans="1:20" x14ac:dyDescent="0.25">
      <c r="A172" s="5">
        <v>44421</v>
      </c>
      <c r="B172">
        <v>0.71489999999999998</v>
      </c>
      <c r="C172">
        <v>0.79039999999999999</v>
      </c>
      <c r="D172">
        <v>0.70750000000000002</v>
      </c>
      <c r="E172">
        <v>0.79010000000000002</v>
      </c>
      <c r="F172">
        <v>13002764.48</v>
      </c>
      <c r="G172">
        <v>0.79010000000000002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0.99276236429433129</v>
      </c>
      <c r="Q172">
        <f t="shared" ref="Q172" si="836">F172*P172</f>
        <v>12908655.207527151</v>
      </c>
      <c r="R172">
        <f t="shared" ref="R172" si="837">R173+Q172</f>
        <v>805110992.34023654</v>
      </c>
      <c r="S172">
        <f t="shared" ref="S172" si="838">R172/100000</f>
        <v>8051.1099234023659</v>
      </c>
      <c r="T172">
        <f t="shared" ref="T172" si="839">S172/1000</f>
        <v>8.0511099234023664</v>
      </c>
    </row>
    <row r="173" spans="1:20" x14ac:dyDescent="0.25">
      <c r="A173" s="5">
        <v>44420</v>
      </c>
      <c r="B173">
        <v>0.74329999999999996</v>
      </c>
      <c r="C173">
        <v>0.77449999999999997</v>
      </c>
      <c r="D173">
        <v>0.68959999999999999</v>
      </c>
      <c r="E173">
        <v>0.71499999999999997</v>
      </c>
      <c r="F173">
        <v>16050852.02</v>
      </c>
      <c r="G173">
        <v>0.71499999999999997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-0.40164899882214405</v>
      </c>
      <c r="Q173">
        <f t="shared" ref="Q173" si="841">F173*P173</f>
        <v>-6446808.6440753881</v>
      </c>
      <c r="R173">
        <f t="shared" ref="R173" si="842">R174+Q173</f>
        <v>792202337.13270938</v>
      </c>
      <c r="S173">
        <f t="shared" ref="S173" si="843">R173/100000</f>
        <v>7922.0233713270936</v>
      </c>
      <c r="T173">
        <f t="shared" ref="T173" si="844">S173/1000</f>
        <v>7.9220233713270938</v>
      </c>
    </row>
    <row r="174" spans="1:20" x14ac:dyDescent="0.25">
      <c r="A174" s="5">
        <v>44419</v>
      </c>
      <c r="B174">
        <v>0.72270000000000001</v>
      </c>
      <c r="C174">
        <v>0.80159999999999998</v>
      </c>
      <c r="D174">
        <v>0.71730000000000005</v>
      </c>
      <c r="E174">
        <v>0.74390000000000001</v>
      </c>
      <c r="F174">
        <v>18837441.27</v>
      </c>
      <c r="G174">
        <v>0.74390000000000001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-0.36892052194543346</v>
      </c>
      <c r="Q174">
        <f t="shared" ref="Q174" si="846">F174*P174</f>
        <v>-6949518.6654448491</v>
      </c>
      <c r="R174">
        <f t="shared" ref="R174" si="847">R175+Q174</f>
        <v>798649145.77678478</v>
      </c>
      <c r="S174">
        <f t="shared" ref="S174" si="848">R174/100000</f>
        <v>7986.4914577678474</v>
      </c>
      <c r="T174">
        <f t="shared" ref="T174" si="849">S174/1000</f>
        <v>7.9864914577678476</v>
      </c>
    </row>
    <row r="175" spans="1:20" x14ac:dyDescent="0.25">
      <c r="A175" s="5">
        <v>44418</v>
      </c>
      <c r="B175">
        <v>0.70179999999999998</v>
      </c>
      <c r="C175">
        <v>0.72499999999999998</v>
      </c>
      <c r="D175">
        <v>0.68810000000000004</v>
      </c>
      <c r="E175">
        <v>0.72199999999999998</v>
      </c>
      <c r="F175">
        <v>12603968.689999999</v>
      </c>
      <c r="G175">
        <v>0.72199999999999998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0.8373983739837394</v>
      </c>
      <c r="Q175">
        <f t="shared" ref="Q175" si="851">F175*P175</f>
        <v>10554542.886747962</v>
      </c>
      <c r="R175">
        <f t="shared" ref="R175" si="852">R176+Q175</f>
        <v>805598664.44222963</v>
      </c>
      <c r="S175">
        <f t="shared" ref="S175" si="853">R175/100000</f>
        <v>8055.9866444222962</v>
      </c>
      <c r="T175">
        <f t="shared" ref="T175" si="854">S175/1000</f>
        <v>8.0559866444222958</v>
      </c>
    </row>
    <row r="176" spans="1:20" x14ac:dyDescent="0.25">
      <c r="A176" s="5">
        <v>44417</v>
      </c>
      <c r="B176">
        <v>0.67310000000000003</v>
      </c>
      <c r="C176">
        <v>0.71109999999999995</v>
      </c>
      <c r="D176">
        <v>0.64959999999999996</v>
      </c>
      <c r="E176">
        <v>0.70150000000000001</v>
      </c>
      <c r="F176">
        <v>12460963.33</v>
      </c>
      <c r="G176">
        <v>0.70150000000000001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0.68780487804878232</v>
      </c>
      <c r="Q176">
        <f t="shared" ref="Q176" si="856">F176*P176</f>
        <v>8570711.3635609988</v>
      </c>
      <c r="R176">
        <f t="shared" ref="R176" si="857">R177+Q176</f>
        <v>795044121.55548167</v>
      </c>
      <c r="S176">
        <f t="shared" ref="S176" si="858">R176/100000</f>
        <v>7950.4412155548171</v>
      </c>
      <c r="T176">
        <f t="shared" ref="T176" si="859">S176/1000</f>
        <v>7.9504412155548172</v>
      </c>
    </row>
    <row r="177" spans="1:20" x14ac:dyDescent="0.25">
      <c r="A177" s="5">
        <v>44416</v>
      </c>
      <c r="B177">
        <v>0.72119999999999995</v>
      </c>
      <c r="C177">
        <v>0.73299999999999998</v>
      </c>
      <c r="D177">
        <v>0.66479999999999995</v>
      </c>
      <c r="E177">
        <v>0.67269999999999996</v>
      </c>
      <c r="F177">
        <v>13000532.48</v>
      </c>
      <c r="G177">
        <v>0.67269999999999996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-0.76832844574780024</v>
      </c>
      <c r="Q177">
        <f t="shared" ref="Q177" si="861">F177*P177</f>
        <v>-9988678.9142521955</v>
      </c>
      <c r="R177">
        <f t="shared" ref="R177" si="862">R178+Q177</f>
        <v>786473410.19192064</v>
      </c>
      <c r="S177">
        <f t="shared" ref="S177" si="863">R177/100000</f>
        <v>7864.7341019192063</v>
      </c>
      <c r="T177">
        <f t="shared" ref="T177" si="864">S177/1000</f>
        <v>7.8647341019192059</v>
      </c>
    </row>
    <row r="178" spans="1:20" x14ac:dyDescent="0.25">
      <c r="A178" s="5">
        <v>44415</v>
      </c>
      <c r="B178">
        <v>0.69640000000000002</v>
      </c>
      <c r="C178">
        <v>0.73680000000000001</v>
      </c>
      <c r="D178">
        <v>0.68700000000000006</v>
      </c>
      <c r="E178">
        <v>0.72040000000000004</v>
      </c>
      <c r="F178">
        <v>19714886.190000001</v>
      </c>
      <c r="G178">
        <v>0.72040000000000004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0.34136546184739019</v>
      </c>
      <c r="Q178">
        <f t="shared" ref="Q178" si="866">F178*P178</f>
        <v>6729981.2295180857</v>
      </c>
      <c r="R178">
        <f t="shared" ref="R178" si="867">R179+Q178</f>
        <v>796462089.1061728</v>
      </c>
      <c r="S178">
        <f t="shared" ref="S178" si="868">R178/100000</f>
        <v>7964.6208910617279</v>
      </c>
      <c r="T178">
        <f t="shared" ref="T178" si="869">S178/1000</f>
        <v>7.9646208910617275</v>
      </c>
    </row>
    <row r="179" spans="1:20" x14ac:dyDescent="0.25">
      <c r="A179" s="5">
        <v>44414</v>
      </c>
      <c r="B179">
        <v>0.67769999999999997</v>
      </c>
      <c r="C179">
        <v>0.70640000000000003</v>
      </c>
      <c r="D179">
        <v>0.66110000000000002</v>
      </c>
      <c r="E179">
        <v>0.69620000000000004</v>
      </c>
      <c r="F179">
        <v>10710506.789999999</v>
      </c>
      <c r="G179">
        <v>0.69620000000000004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0.54966887417218613</v>
      </c>
      <c r="Q179">
        <f t="shared" ref="Q179" si="871">F179*P179</f>
        <v>5887232.2090728544</v>
      </c>
      <c r="R179">
        <f t="shared" ref="R179" si="872">R180+Q179</f>
        <v>789732107.87665474</v>
      </c>
      <c r="S179">
        <f t="shared" ref="S179" si="873">R179/100000</f>
        <v>7897.3210787665475</v>
      </c>
      <c r="T179">
        <f t="shared" ref="T179" si="874">S179/1000</f>
        <v>7.8973210787665478</v>
      </c>
    </row>
    <row r="180" spans="1:20" x14ac:dyDescent="0.25">
      <c r="A180" s="5">
        <v>44413</v>
      </c>
      <c r="B180">
        <v>0.66930000000000001</v>
      </c>
      <c r="C180">
        <v>0.6915</v>
      </c>
      <c r="D180">
        <v>0.64659999999999995</v>
      </c>
      <c r="E180">
        <v>0.67810000000000004</v>
      </c>
      <c r="F180">
        <v>11465767.68</v>
      </c>
      <c r="G180">
        <v>0.67810000000000004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0.40311804008908897</v>
      </c>
      <c r="Q180">
        <f t="shared" ref="Q180" si="876">F180*P180</f>
        <v>4622057.7952784207</v>
      </c>
      <c r="R180">
        <f t="shared" ref="R180" si="877">R181+Q180</f>
        <v>783844875.66758192</v>
      </c>
      <c r="S180">
        <f t="shared" ref="S180" si="878">R180/100000</f>
        <v>7838.4487566758189</v>
      </c>
      <c r="T180">
        <f t="shared" ref="T180" si="879">S180/1000</f>
        <v>7.8384487566758185</v>
      </c>
    </row>
    <row r="181" spans="1:20" x14ac:dyDescent="0.25">
      <c r="A181" s="5">
        <v>44412</v>
      </c>
      <c r="B181">
        <v>0.64119999999999999</v>
      </c>
      <c r="C181">
        <v>0.68</v>
      </c>
      <c r="D181">
        <v>0.62919999999999998</v>
      </c>
      <c r="E181">
        <v>0.66930000000000001</v>
      </c>
      <c r="F181">
        <v>10171398.529999999</v>
      </c>
      <c r="G181">
        <v>0.66930000000000001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0.57874015748031382</v>
      </c>
      <c r="Q181">
        <f t="shared" ref="Q181" si="881">F181*P181</f>
        <v>5886596.7870472325</v>
      </c>
      <c r="R181">
        <f t="shared" ref="R181" si="882">R182+Q181</f>
        <v>779222817.87230349</v>
      </c>
      <c r="S181">
        <f t="shared" ref="S181" si="883">R181/100000</f>
        <v>7792.2281787230349</v>
      </c>
      <c r="T181">
        <f t="shared" ref="T181" si="884">S181/1000</f>
        <v>7.7922281787230352</v>
      </c>
    </row>
    <row r="182" spans="1:20" x14ac:dyDescent="0.25">
      <c r="A182" s="5">
        <v>44411</v>
      </c>
      <c r="B182">
        <v>0.6552</v>
      </c>
      <c r="C182">
        <v>0.66200000000000003</v>
      </c>
      <c r="D182">
        <v>0.61980000000000002</v>
      </c>
      <c r="E182">
        <v>0.64080000000000004</v>
      </c>
      <c r="F182">
        <v>6270736.5899999999</v>
      </c>
      <c r="G182">
        <v>0.64080000000000004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-4.7393364928904717E-3</v>
      </c>
      <c r="Q182">
        <f t="shared" ref="Q182" si="886">F182*P182</f>
        <v>-29719.130758290554</v>
      </c>
      <c r="R182">
        <f t="shared" ref="R182" si="887">R183+Q182</f>
        <v>773336221.08525622</v>
      </c>
      <c r="S182">
        <f t="shared" ref="S182" si="888">R182/100000</f>
        <v>7733.3622108525624</v>
      </c>
      <c r="T182">
        <f t="shared" ref="T182" si="889">S182/1000</f>
        <v>7.7333622108525626</v>
      </c>
    </row>
    <row r="183" spans="1:20" x14ac:dyDescent="0.25">
      <c r="A183" s="5">
        <v>44410</v>
      </c>
      <c r="B183">
        <v>0.65880000000000005</v>
      </c>
      <c r="C183">
        <v>0.67159999999999997</v>
      </c>
      <c r="D183">
        <v>0.63739999999999997</v>
      </c>
      <c r="E183">
        <v>0.65559999999999996</v>
      </c>
      <c r="F183">
        <v>8480335.5500000007</v>
      </c>
      <c r="G183">
        <v>0.65559999999999996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6.4327485380116345E-2</v>
      </c>
      <c r="Q183">
        <f t="shared" ref="Q183" si="891">F183*P183</f>
        <v>545518.66111110593</v>
      </c>
      <c r="R183">
        <f t="shared" ref="R183" si="892">R184+Q183</f>
        <v>773365940.2160145</v>
      </c>
      <c r="S183">
        <f t="shared" ref="S183" si="893">R183/100000</f>
        <v>7733.659402160145</v>
      </c>
      <c r="T183">
        <f t="shared" ref="T183" si="894">S183/1000</f>
        <v>7.7336594021601446</v>
      </c>
    </row>
    <row r="184" spans="1:20" x14ac:dyDescent="0.25">
      <c r="A184" s="5">
        <v>44409</v>
      </c>
      <c r="B184">
        <v>0.6522</v>
      </c>
      <c r="C184">
        <v>0.72599999999999998</v>
      </c>
      <c r="D184">
        <v>0.64680000000000004</v>
      </c>
      <c r="E184">
        <v>0.65900000000000003</v>
      </c>
      <c r="F184">
        <v>34207851.880000003</v>
      </c>
      <c r="G184">
        <v>0.65900000000000003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-0.69191919191919193</v>
      </c>
      <c r="Q184">
        <f t="shared" ref="Q184" si="896">F184*P184</f>
        <v>-23669069.230101012</v>
      </c>
      <c r="R184">
        <f t="shared" ref="R184" si="897">R185+Q184</f>
        <v>772820421.55490339</v>
      </c>
      <c r="S184">
        <f t="shared" ref="S184" si="898">R184/100000</f>
        <v>7728.2042155490335</v>
      </c>
      <c r="T184">
        <f t="shared" ref="T184" si="899">S184/1000</f>
        <v>7.7282042155490336</v>
      </c>
    </row>
    <row r="185" spans="1:20" x14ac:dyDescent="0.25">
      <c r="A185" s="5">
        <v>44408</v>
      </c>
      <c r="B185">
        <v>0.61429999999999996</v>
      </c>
      <c r="C185">
        <v>0.65869999999999995</v>
      </c>
      <c r="D185">
        <v>0.60719999999999996</v>
      </c>
      <c r="E185">
        <v>0.65190000000000003</v>
      </c>
      <c r="F185">
        <v>13876871.73</v>
      </c>
      <c r="G185">
        <v>0.65190000000000003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0.73592233009709052</v>
      </c>
      <c r="Q185">
        <f t="shared" ref="Q185" si="901">F185*P185</f>
        <v>10212299.778000044</v>
      </c>
      <c r="R185">
        <f t="shared" ref="R185" si="902">R186+Q185</f>
        <v>796489490.78500438</v>
      </c>
      <c r="S185">
        <f t="shared" ref="S185" si="903">R185/100000</f>
        <v>7964.8949078500436</v>
      </c>
      <c r="T185">
        <f t="shared" ref="T185" si="904">S185/1000</f>
        <v>7.9648949078500433</v>
      </c>
    </row>
    <row r="186" spans="1:20" x14ac:dyDescent="0.25">
      <c r="A186" s="5">
        <v>44407</v>
      </c>
      <c r="B186">
        <v>0.59470000000000001</v>
      </c>
      <c r="C186">
        <v>0.62</v>
      </c>
      <c r="D186">
        <v>0.57320000000000004</v>
      </c>
      <c r="E186">
        <v>0.61429999999999996</v>
      </c>
      <c r="F186">
        <v>12277497.300000001</v>
      </c>
      <c r="G186">
        <v>0.61429999999999996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0.7564102564102545</v>
      </c>
      <c r="Q186">
        <f t="shared" ref="Q186" si="906">F186*P186</f>
        <v>9286824.8807692081</v>
      </c>
      <c r="R186">
        <f t="shared" ref="R186" si="907">R187+Q186</f>
        <v>786277191.00700438</v>
      </c>
      <c r="S186">
        <f t="shared" ref="S186" si="908">R186/100000</f>
        <v>7862.7719100700442</v>
      </c>
      <c r="T186">
        <f t="shared" ref="T186" si="909">S186/1000</f>
        <v>7.8627719100700446</v>
      </c>
    </row>
    <row r="187" spans="1:20" x14ac:dyDescent="0.25">
      <c r="A187" s="5">
        <v>44406</v>
      </c>
      <c r="B187">
        <v>0.57130000000000003</v>
      </c>
      <c r="C187">
        <v>0.6028</v>
      </c>
      <c r="D187">
        <v>0.55589999999999995</v>
      </c>
      <c r="E187">
        <v>0.59460000000000002</v>
      </c>
      <c r="F187">
        <v>7431577.9299999997</v>
      </c>
      <c r="G187">
        <v>0.59460000000000002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0.6503198294243081</v>
      </c>
      <c r="Q187">
        <f t="shared" ref="Q187" si="911">F187*P187</f>
        <v>4832902.4917910527</v>
      </c>
      <c r="R187">
        <f t="shared" ref="R187" si="912">R188+Q187</f>
        <v>776990366.12623513</v>
      </c>
      <c r="S187">
        <f t="shared" ref="S187" si="913">R187/100000</f>
        <v>7769.9036612623513</v>
      </c>
      <c r="T187">
        <f t="shared" ref="T187" si="914">S187/1000</f>
        <v>7.7699036612623509</v>
      </c>
    </row>
    <row r="188" spans="1:20" x14ac:dyDescent="0.25">
      <c r="A188" s="5">
        <v>44405</v>
      </c>
      <c r="B188">
        <v>0.57289999999999996</v>
      </c>
      <c r="C188">
        <v>0.58609999999999995</v>
      </c>
      <c r="D188">
        <v>0.5504</v>
      </c>
      <c r="E188">
        <v>0.57140000000000002</v>
      </c>
      <c r="F188">
        <v>9310840.7300000004</v>
      </c>
      <c r="G188">
        <v>0.57140000000000002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0.17647058823529668</v>
      </c>
      <c r="Q188">
        <f t="shared" ref="Q188" si="916">F188*P188</f>
        <v>1643089.5405882592</v>
      </c>
      <c r="R188">
        <f t="shared" ref="R188" si="917">R189+Q188</f>
        <v>772157463.63444412</v>
      </c>
      <c r="S188">
        <f t="shared" ref="S188" si="918">R188/100000</f>
        <v>7721.5746363444414</v>
      </c>
      <c r="T188">
        <f t="shared" ref="T188" si="919">S188/1000</f>
        <v>7.7215746363444415</v>
      </c>
    </row>
    <row r="189" spans="1:20" x14ac:dyDescent="0.25">
      <c r="A189" s="5">
        <v>44404</v>
      </c>
      <c r="B189">
        <v>0.54769999999999996</v>
      </c>
      <c r="C189">
        <v>0.57879999999999998</v>
      </c>
      <c r="D189">
        <v>0.53580000000000005</v>
      </c>
      <c r="E189">
        <v>0.57240000000000002</v>
      </c>
      <c r="F189">
        <v>11097381.98</v>
      </c>
      <c r="G189">
        <v>0.57240000000000002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0.70232558139535017</v>
      </c>
      <c r="Q189">
        <f t="shared" ref="Q189" si="921">F189*P189</f>
        <v>7793975.2510697823</v>
      </c>
      <c r="R189">
        <f t="shared" ref="R189" si="922">R190+Q189</f>
        <v>770514374.09385586</v>
      </c>
      <c r="S189">
        <f t="shared" ref="S189" si="923">R189/100000</f>
        <v>7705.1437409385589</v>
      </c>
      <c r="T189">
        <f t="shared" ref="T189" si="924">S189/1000</f>
        <v>7.705143740938559</v>
      </c>
    </row>
    <row r="190" spans="1:20" x14ac:dyDescent="0.25">
      <c r="A190" s="5">
        <v>44403</v>
      </c>
      <c r="B190">
        <v>0.54239999999999999</v>
      </c>
      <c r="C190">
        <v>0.59899999999999998</v>
      </c>
      <c r="D190">
        <v>0.53979999999999995</v>
      </c>
      <c r="E190">
        <v>0.54749999999999999</v>
      </c>
      <c r="F190">
        <v>18359105.989999998</v>
      </c>
      <c r="G190">
        <v>0.54749999999999999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-0.73986486486486369</v>
      </c>
      <c r="Q190">
        <f t="shared" ref="Q190" si="926">F190*P190</f>
        <v>-13583257.472331058</v>
      </c>
      <c r="R190">
        <f t="shared" ref="R190" si="927">R191+Q190</f>
        <v>762720398.84278607</v>
      </c>
      <c r="S190">
        <f t="shared" ref="S190" si="928">R190/100000</f>
        <v>7627.2039884278611</v>
      </c>
      <c r="T190">
        <f t="shared" ref="T190" si="929">S190/1000</f>
        <v>7.6272039884278611</v>
      </c>
    </row>
    <row r="191" spans="1:20" x14ac:dyDescent="0.25">
      <c r="A191" s="5">
        <v>44402</v>
      </c>
      <c r="B191">
        <v>0.53549999999999998</v>
      </c>
      <c r="C191">
        <v>0.5474</v>
      </c>
      <c r="D191">
        <v>0.52149999999999996</v>
      </c>
      <c r="E191">
        <v>0.54200000000000004</v>
      </c>
      <c r="F191">
        <v>5843455.1100000003</v>
      </c>
      <c r="G191">
        <v>0.54200000000000004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0.58301158301158662</v>
      </c>
      <c r="Q191">
        <f t="shared" ref="Q191" si="931">F191*P191</f>
        <v>3406802.0139382454</v>
      </c>
      <c r="R191">
        <f t="shared" ref="R191" si="932">R192+Q191</f>
        <v>776303656.31511712</v>
      </c>
      <c r="S191">
        <f t="shared" ref="S191" si="933">R191/100000</f>
        <v>7763.0365631511713</v>
      </c>
      <c r="T191">
        <f t="shared" ref="T191" si="934">S191/1000</f>
        <v>7.7630365631511715</v>
      </c>
    </row>
    <row r="192" spans="1:20" x14ac:dyDescent="0.25">
      <c r="A192" s="5">
        <v>44401</v>
      </c>
      <c r="B192">
        <v>0.52529999999999999</v>
      </c>
      <c r="C192">
        <v>0.55559999999999998</v>
      </c>
      <c r="D192">
        <v>0.5202</v>
      </c>
      <c r="E192">
        <v>0.53580000000000005</v>
      </c>
      <c r="F192">
        <v>9520344.5099999998</v>
      </c>
      <c r="G192">
        <v>0.53580000000000005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-0.11864406779660655</v>
      </c>
      <c r="Q192">
        <f t="shared" ref="Q192" si="936">F192*P192</f>
        <v>-1129532.399491491</v>
      </c>
      <c r="R192">
        <f t="shared" ref="R192" si="937">R193+Q192</f>
        <v>772896854.30117893</v>
      </c>
      <c r="S192">
        <f t="shared" ref="S192" si="938">R192/100000</f>
        <v>7728.9685430117897</v>
      </c>
      <c r="T192">
        <f t="shared" ref="T192:T197" si="939">S192/1000</f>
        <v>7.7289685430117894</v>
      </c>
    </row>
    <row r="193" spans="1:20" x14ac:dyDescent="0.25">
      <c r="A193" s="5">
        <v>44400</v>
      </c>
      <c r="B193">
        <v>0.51280000000000003</v>
      </c>
      <c r="C193">
        <v>0.53110000000000002</v>
      </c>
      <c r="D193">
        <v>0.50080000000000002</v>
      </c>
      <c r="E193">
        <v>0.5252</v>
      </c>
      <c r="F193">
        <v>8983397.8399999999</v>
      </c>
      <c r="G193">
        <v>0.5252</v>
      </c>
      <c r="L193" t="s">
        <v>8</v>
      </c>
      <c r="M193" t="s">
        <v>8</v>
      </c>
      <c r="N193" t="s">
        <v>7</v>
      </c>
      <c r="P193">
        <f t="shared" ref="P193" si="940">IF(C193=D193,0,((E193-D193)-(C193-E193))/(C193-D193))</f>
        <v>0.6105610561056094</v>
      </c>
      <c r="Q193">
        <f t="shared" ref="Q193" si="941">F193*P193</f>
        <v>5484912.8726072498</v>
      </c>
      <c r="R193">
        <f t="shared" ref="R193" si="942">R194+Q193</f>
        <v>774026386.70067048</v>
      </c>
      <c r="S193">
        <f t="shared" ref="S193" si="943">R193/100000</f>
        <v>7740.2638670067045</v>
      </c>
      <c r="T193">
        <f t="shared" si="939"/>
        <v>7.7402638670067043</v>
      </c>
    </row>
    <row r="194" spans="1:20" x14ac:dyDescent="0.25">
      <c r="A194" s="5">
        <v>44399</v>
      </c>
      <c r="B194">
        <v>0.503</v>
      </c>
      <c r="C194">
        <v>0.52239999999999998</v>
      </c>
      <c r="D194">
        <v>0.49530000000000002</v>
      </c>
      <c r="E194">
        <v>0.51280000000000003</v>
      </c>
      <c r="F194">
        <v>10525981.039999999</v>
      </c>
      <c r="G194">
        <v>0.51280000000000003</v>
      </c>
      <c r="L194" t="s">
        <v>8</v>
      </c>
      <c r="M194" t="s">
        <v>7</v>
      </c>
      <c r="N194" t="s">
        <v>7</v>
      </c>
      <c r="P194">
        <f t="shared" ref="P194" si="944">IF(C194=D194,0,((E194-D194)-(C194-E194))/(C194-D194))</f>
        <v>0.29151291512915445</v>
      </c>
      <c r="Q194">
        <f t="shared" ref="Q194" si="945">F194*P194</f>
        <v>3068459.4175646086</v>
      </c>
      <c r="R194">
        <f t="shared" ref="R194" si="946">R195+Q194</f>
        <v>768541473.82806325</v>
      </c>
      <c r="S194">
        <f t="shared" ref="S194" si="947">R194/100000</f>
        <v>7685.4147382806323</v>
      </c>
      <c r="T194">
        <f t="shared" si="939"/>
        <v>7.6854147382806319</v>
      </c>
    </row>
    <row r="195" spans="1:20" x14ac:dyDescent="0.25">
      <c r="A195" s="5">
        <v>44398</v>
      </c>
      <c r="B195">
        <v>0.46650000000000003</v>
      </c>
      <c r="C195">
        <v>0.50700000000000001</v>
      </c>
      <c r="D195">
        <v>0.45600000000000002</v>
      </c>
      <c r="E195">
        <v>0.50329999999999997</v>
      </c>
      <c r="F195">
        <v>15546966.449999999</v>
      </c>
      <c r="G195">
        <v>0.50329999999999997</v>
      </c>
      <c r="L195" t="s">
        <v>8</v>
      </c>
      <c r="M195" t="s">
        <v>7</v>
      </c>
      <c r="N195" t="s">
        <v>7</v>
      </c>
      <c r="P195">
        <f t="shared" ref="P195" si="948">IF(C195=D195,0,((E195-D195)-(C195-E195))/(C195-D195))</f>
        <v>0.85490196078431224</v>
      </c>
      <c r="Q195">
        <f t="shared" ref="Q195" si="949">F195*P195</f>
        <v>13291132.102352917</v>
      </c>
      <c r="R195">
        <f t="shared" ref="R195" si="950">R196+Q195</f>
        <v>765473014.41049862</v>
      </c>
      <c r="S195">
        <f t="shared" ref="S195" si="951">R195/100000</f>
        <v>7654.7301441049858</v>
      </c>
      <c r="T195">
        <f t="shared" si="939"/>
        <v>7.6547301441049855</v>
      </c>
    </row>
    <row r="196" spans="1:20" x14ac:dyDescent="0.25">
      <c r="A196" s="5">
        <v>44397</v>
      </c>
      <c r="B196">
        <v>0.49530000000000002</v>
      </c>
      <c r="C196">
        <v>0.50270000000000004</v>
      </c>
      <c r="D196">
        <v>0.45569999999999999</v>
      </c>
      <c r="E196">
        <v>0.46610000000000001</v>
      </c>
      <c r="F196">
        <v>14663833.9</v>
      </c>
      <c r="G196">
        <v>0.46610000000000001</v>
      </c>
      <c r="L196" t="s">
        <v>7</v>
      </c>
      <c r="M196" t="s">
        <v>7</v>
      </c>
      <c r="N196" t="s">
        <v>7</v>
      </c>
      <c r="P196">
        <f t="shared" ref="P196" si="952">IF(C196=D196,0,((E196-D196)-(C196-E196))/(C196-D196))</f>
        <v>-0.55744680851063777</v>
      </c>
      <c r="Q196">
        <f t="shared" ref="Q196" si="953">F196*P196</f>
        <v>-8174307.4080850985</v>
      </c>
      <c r="R196">
        <f t="shared" ref="R196" si="954">R197+Q196</f>
        <v>752181882.30814576</v>
      </c>
      <c r="S196">
        <f t="shared" ref="S196" si="955">R196/100000</f>
        <v>7521.8188230814576</v>
      </c>
      <c r="T196">
        <f t="shared" si="939"/>
        <v>7.5218188230814578</v>
      </c>
    </row>
    <row r="197" spans="1:20" x14ac:dyDescent="0.25">
      <c r="A197" s="5">
        <v>44396</v>
      </c>
      <c r="B197">
        <v>0.51900000000000002</v>
      </c>
      <c r="C197">
        <v>0.5202</v>
      </c>
      <c r="D197">
        <v>0.48770000000000002</v>
      </c>
      <c r="E197">
        <v>0.4955</v>
      </c>
      <c r="F197">
        <v>11781402.35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6">IF(C197=D197,0,((E197-D197)-(C197-E197))/(C197-D197))</f>
        <v>-0.52000000000000124</v>
      </c>
      <c r="Q197">
        <f t="shared" ref="Q197" si="957">F197*P197</f>
        <v>-6126329.222000014</v>
      </c>
      <c r="R197">
        <f t="shared" ref="R197" si="958">R198+Q197</f>
        <v>760356189.71623087</v>
      </c>
      <c r="S197">
        <f t="shared" ref="S197" si="959">R197/100000</f>
        <v>7603.5618971623089</v>
      </c>
      <c r="T197">
        <f t="shared" si="939"/>
        <v>7.6035618971623089</v>
      </c>
    </row>
    <row r="198" spans="1:20" x14ac:dyDescent="0.25">
      <c r="A198" s="5">
        <v>44395</v>
      </c>
      <c r="B198">
        <v>0.53439999999999999</v>
      </c>
      <c r="C198">
        <v>0.55489999999999995</v>
      </c>
      <c r="D198">
        <v>0.51349999999999996</v>
      </c>
      <c r="E198">
        <v>0.51890000000000003</v>
      </c>
      <c r="F198">
        <v>17565413.329999998</v>
      </c>
      <c r="G198">
        <v>0</v>
      </c>
      <c r="L198" t="s">
        <v>7</v>
      </c>
      <c r="M198" t="s">
        <v>8</v>
      </c>
      <c r="N198" t="s">
        <v>8</v>
      </c>
      <c r="P198">
        <f t="shared" ref="P198:P261" si="960">IF(C198=D198,0,((E198-D198)-(C198-E198))/(C198-D198))</f>
        <v>-0.73913043478260521</v>
      </c>
      <c r="Q198">
        <f t="shared" ref="Q198:Q261" si="961">F198*P198</f>
        <v>-12983131.591739068</v>
      </c>
      <c r="R198">
        <f t="shared" ref="R198:R261" si="962">R199+Q198</f>
        <v>766482518.93823087</v>
      </c>
      <c r="S198">
        <f t="shared" ref="S198:S261" si="963">R198/100000</f>
        <v>7664.825189382309</v>
      </c>
      <c r="T198">
        <f t="shared" ref="T198:T261" si="964">S198/1000</f>
        <v>7.6648251893823094</v>
      </c>
    </row>
    <row r="199" spans="1:20" x14ac:dyDescent="0.25">
      <c r="A199" s="5">
        <v>44394</v>
      </c>
      <c r="B199">
        <v>0.54930000000000001</v>
      </c>
      <c r="C199">
        <v>0.60229999999999995</v>
      </c>
      <c r="D199">
        <v>0.53069999999999995</v>
      </c>
      <c r="E199">
        <v>0.53410000000000002</v>
      </c>
      <c r="F199">
        <v>57439066.659999996</v>
      </c>
      <c r="G199">
        <v>0</v>
      </c>
      <c r="L199" t="s">
        <v>8</v>
      </c>
      <c r="M199" t="s">
        <v>8</v>
      </c>
      <c r="N199" t="s">
        <v>8</v>
      </c>
      <c r="P199">
        <f t="shared" si="960"/>
        <v>-0.9050279329608919</v>
      </c>
      <c r="Q199">
        <f t="shared" si="961"/>
        <v>-51983959.770502679</v>
      </c>
      <c r="R199">
        <f t="shared" si="962"/>
        <v>779465650.52996993</v>
      </c>
      <c r="S199">
        <f t="shared" si="963"/>
        <v>7794.6565052996993</v>
      </c>
      <c r="T199">
        <f t="shared" si="964"/>
        <v>7.7946565052996997</v>
      </c>
    </row>
    <row r="200" spans="1:20" x14ac:dyDescent="0.25">
      <c r="A200" s="5">
        <v>44393</v>
      </c>
      <c r="B200">
        <v>0.50719999999999998</v>
      </c>
      <c r="C200">
        <v>0.5796</v>
      </c>
      <c r="D200">
        <v>0.49399999999999999</v>
      </c>
      <c r="E200">
        <v>0.5494</v>
      </c>
      <c r="F200">
        <v>40555068.490000002</v>
      </c>
      <c r="G200">
        <v>0</v>
      </c>
      <c r="L200" t="s">
        <v>8</v>
      </c>
      <c r="M200" t="s">
        <v>7</v>
      </c>
      <c r="N200" t="s">
        <v>8</v>
      </c>
      <c r="P200">
        <f t="shared" si="960"/>
        <v>0.29439252336448596</v>
      </c>
      <c r="Q200">
        <f t="shared" si="961"/>
        <v>11939108.947990654</v>
      </c>
      <c r="R200">
        <f t="shared" si="962"/>
        <v>831449610.30047262</v>
      </c>
      <c r="S200">
        <f t="shared" si="963"/>
        <v>8314.496103004727</v>
      </c>
      <c r="T200">
        <f t="shared" si="964"/>
        <v>8.3144961030047266</v>
      </c>
    </row>
    <row r="201" spans="1:20" x14ac:dyDescent="0.25">
      <c r="A201" s="5">
        <v>44392</v>
      </c>
      <c r="B201">
        <v>0.53100000000000003</v>
      </c>
      <c r="C201">
        <v>0.5393</v>
      </c>
      <c r="D201">
        <v>0.49809999999999999</v>
      </c>
      <c r="E201">
        <v>0.50690000000000002</v>
      </c>
      <c r="F201">
        <v>8438487.4499999993</v>
      </c>
      <c r="G201">
        <v>0</v>
      </c>
      <c r="L201" t="s">
        <v>8</v>
      </c>
      <c r="M201" t="s">
        <v>7</v>
      </c>
      <c r="N201" t="s">
        <v>8</v>
      </c>
      <c r="P201">
        <f t="shared" si="960"/>
        <v>-0.57281553398058127</v>
      </c>
      <c r="Q201">
        <f t="shared" si="961"/>
        <v>-4833696.694660183</v>
      </c>
      <c r="R201">
        <f t="shared" si="962"/>
        <v>819510501.35248196</v>
      </c>
      <c r="S201">
        <f t="shared" si="963"/>
        <v>8195.1050135248188</v>
      </c>
      <c r="T201">
        <f t="shared" si="964"/>
        <v>8.1951050135248185</v>
      </c>
    </row>
    <row r="202" spans="1:20" x14ac:dyDescent="0.25">
      <c r="A202" s="5">
        <v>44391</v>
      </c>
      <c r="B202">
        <v>0.5363</v>
      </c>
      <c r="C202">
        <v>0.53839999999999999</v>
      </c>
      <c r="D202">
        <v>0.497</v>
      </c>
      <c r="E202">
        <v>0.53100000000000003</v>
      </c>
      <c r="F202">
        <v>8541813.5899999999</v>
      </c>
      <c r="G202">
        <v>0</v>
      </c>
      <c r="L202" t="s">
        <v>7</v>
      </c>
      <c r="M202" t="s">
        <v>7</v>
      </c>
      <c r="N202" t="s">
        <v>8</v>
      </c>
      <c r="P202">
        <f t="shared" si="960"/>
        <v>0.64251207729468773</v>
      </c>
      <c r="Q202">
        <f t="shared" si="961"/>
        <v>5488218.3935748944</v>
      </c>
      <c r="R202">
        <f t="shared" si="962"/>
        <v>824344198.04714215</v>
      </c>
      <c r="S202">
        <f t="shared" si="963"/>
        <v>8243.4419804714216</v>
      </c>
      <c r="T202">
        <f t="shared" si="964"/>
        <v>8.2434419804714221</v>
      </c>
    </row>
    <row r="203" spans="1:20" x14ac:dyDescent="0.25">
      <c r="A203" s="5">
        <v>44390</v>
      </c>
      <c r="B203">
        <v>0.54800000000000004</v>
      </c>
      <c r="C203">
        <v>0.55349999999999999</v>
      </c>
      <c r="D203">
        <v>0.52710000000000001</v>
      </c>
      <c r="E203">
        <v>0.53569999999999995</v>
      </c>
      <c r="F203">
        <v>6771942.7000000002</v>
      </c>
      <c r="G203">
        <v>0</v>
      </c>
      <c r="L203" t="s">
        <v>7</v>
      </c>
      <c r="M203" t="s">
        <v>7</v>
      </c>
      <c r="N203" t="s">
        <v>8</v>
      </c>
      <c r="P203">
        <f t="shared" si="960"/>
        <v>-0.34848484848485245</v>
      </c>
      <c r="Q203">
        <f t="shared" si="961"/>
        <v>-2359919.4257576028</v>
      </c>
      <c r="R203">
        <f t="shared" si="962"/>
        <v>818855979.65356719</v>
      </c>
      <c r="S203">
        <f t="shared" si="963"/>
        <v>8188.5597965356719</v>
      </c>
      <c r="T203">
        <f t="shared" si="964"/>
        <v>8.1885597965356727</v>
      </c>
    </row>
    <row r="204" spans="1:20" x14ac:dyDescent="0.25">
      <c r="A204" s="5">
        <v>44389</v>
      </c>
      <c r="B204">
        <v>0.56330000000000002</v>
      </c>
      <c r="C204">
        <v>0.57189999999999996</v>
      </c>
      <c r="D204">
        <v>0.54049999999999998</v>
      </c>
      <c r="E204">
        <v>0.5484</v>
      </c>
      <c r="F204">
        <v>6231040.4400000004</v>
      </c>
      <c r="G204">
        <v>0</v>
      </c>
      <c r="L204" t="s">
        <v>7</v>
      </c>
      <c r="M204" t="s">
        <v>7</v>
      </c>
      <c r="N204" t="s">
        <v>8</v>
      </c>
      <c r="P204">
        <f t="shared" si="960"/>
        <v>-0.49681528662420238</v>
      </c>
      <c r="Q204">
        <f t="shared" si="961"/>
        <v>-3095676.1421655961</v>
      </c>
      <c r="R204">
        <f t="shared" si="962"/>
        <v>821215899.07932484</v>
      </c>
      <c r="S204">
        <f t="shared" si="963"/>
        <v>8212.1589907932484</v>
      </c>
      <c r="T204">
        <f t="shared" si="964"/>
        <v>8.2121589907932488</v>
      </c>
    </row>
    <row r="205" spans="1:20" x14ac:dyDescent="0.25">
      <c r="A205" s="5">
        <v>44388</v>
      </c>
      <c r="B205">
        <v>0.55859999999999999</v>
      </c>
      <c r="C205">
        <v>0.56669999999999998</v>
      </c>
      <c r="D205">
        <v>0.54600000000000004</v>
      </c>
      <c r="E205">
        <v>0.56289999999999996</v>
      </c>
      <c r="F205">
        <v>6175735.1699999999</v>
      </c>
      <c r="G205">
        <v>0</v>
      </c>
      <c r="L205" t="s">
        <v>8</v>
      </c>
      <c r="M205" t="s">
        <v>7</v>
      </c>
      <c r="N205" t="s">
        <v>8</v>
      </c>
      <c r="P205">
        <f t="shared" si="960"/>
        <v>0.6328502415458902</v>
      </c>
      <c r="Q205">
        <f t="shared" si="961"/>
        <v>3908315.4940579492</v>
      </c>
      <c r="R205">
        <f t="shared" si="962"/>
        <v>824311575.22149038</v>
      </c>
      <c r="S205">
        <f t="shared" si="963"/>
        <v>8243.1157522149042</v>
      </c>
      <c r="T205">
        <f t="shared" si="964"/>
        <v>8.243115752214905</v>
      </c>
    </row>
    <row r="206" spans="1:20" x14ac:dyDescent="0.25">
      <c r="A206" s="5">
        <v>44387</v>
      </c>
      <c r="B206">
        <v>0.56989999999999996</v>
      </c>
      <c r="C206">
        <v>0.57999999999999996</v>
      </c>
      <c r="D206">
        <v>0.54659999999999997</v>
      </c>
      <c r="E206">
        <v>0.5575</v>
      </c>
      <c r="F206">
        <v>6598421.04</v>
      </c>
      <c r="G206">
        <v>0</v>
      </c>
      <c r="L206" t="s">
        <v>8</v>
      </c>
      <c r="M206" t="s">
        <v>7</v>
      </c>
      <c r="N206" t="s">
        <v>8</v>
      </c>
      <c r="P206">
        <f t="shared" si="960"/>
        <v>-0.34730538922155535</v>
      </c>
      <c r="Q206">
        <f t="shared" si="961"/>
        <v>-2291667.1875449</v>
      </c>
      <c r="R206">
        <f t="shared" si="962"/>
        <v>820403259.72743249</v>
      </c>
      <c r="S206">
        <f t="shared" si="963"/>
        <v>8204.0325972743249</v>
      </c>
      <c r="T206">
        <f t="shared" si="964"/>
        <v>8.204032597274324</v>
      </c>
    </row>
    <row r="207" spans="1:20" x14ac:dyDescent="0.25">
      <c r="A207" s="5">
        <v>44386</v>
      </c>
      <c r="B207">
        <v>0.56859999999999999</v>
      </c>
      <c r="C207">
        <v>0.57340000000000002</v>
      </c>
      <c r="D207">
        <v>0.5373</v>
      </c>
      <c r="E207">
        <v>0.5696</v>
      </c>
      <c r="F207">
        <v>12681456.210000001</v>
      </c>
      <c r="G207">
        <v>0</v>
      </c>
      <c r="L207" t="s">
        <v>7</v>
      </c>
      <c r="M207" t="s">
        <v>7</v>
      </c>
      <c r="N207" t="s">
        <v>8</v>
      </c>
      <c r="P207">
        <f t="shared" si="960"/>
        <v>0.789473684210525</v>
      </c>
      <c r="Q207">
        <f t="shared" si="961"/>
        <v>10011675.955263142</v>
      </c>
      <c r="R207">
        <f t="shared" si="962"/>
        <v>822694926.91497743</v>
      </c>
      <c r="S207">
        <f t="shared" si="963"/>
        <v>8226.9492691497744</v>
      </c>
      <c r="T207">
        <f t="shared" si="964"/>
        <v>8.2269492691497739</v>
      </c>
    </row>
    <row r="208" spans="1:20" x14ac:dyDescent="0.25">
      <c r="A208" s="5">
        <v>44385</v>
      </c>
      <c r="B208">
        <v>0.61350000000000005</v>
      </c>
      <c r="C208">
        <v>0.61680000000000001</v>
      </c>
      <c r="D208">
        <v>0.55989999999999995</v>
      </c>
      <c r="E208">
        <v>0.56789999999999996</v>
      </c>
      <c r="F208">
        <v>15264230.9</v>
      </c>
      <c r="G208">
        <v>0</v>
      </c>
      <c r="L208" t="s">
        <v>7</v>
      </c>
      <c r="M208" t="s">
        <v>8</v>
      </c>
      <c r="N208" t="s">
        <v>8</v>
      </c>
      <c r="P208">
        <f t="shared" si="960"/>
        <v>-0.71880492091388404</v>
      </c>
      <c r="Q208">
        <f t="shared" si="961"/>
        <v>-10972004.284885766</v>
      </c>
      <c r="R208">
        <f t="shared" si="962"/>
        <v>812683250.95971429</v>
      </c>
      <c r="S208">
        <f t="shared" si="963"/>
        <v>8126.8325095971431</v>
      </c>
      <c r="T208">
        <f t="shared" si="964"/>
        <v>8.1268325095971434</v>
      </c>
    </row>
    <row r="209" spans="1:20" x14ac:dyDescent="0.25">
      <c r="A209" s="5">
        <v>44384</v>
      </c>
      <c r="B209">
        <v>0.59240000000000004</v>
      </c>
      <c r="C209">
        <v>0.64759999999999995</v>
      </c>
      <c r="D209">
        <v>0.58609999999999995</v>
      </c>
      <c r="E209">
        <v>0.61339999999999995</v>
      </c>
      <c r="F209">
        <v>16901885.260000002</v>
      </c>
      <c r="G209">
        <v>0</v>
      </c>
      <c r="L209" t="s">
        <v>8</v>
      </c>
      <c r="M209" t="s">
        <v>8</v>
      </c>
      <c r="N209" t="s">
        <v>8</v>
      </c>
      <c r="P209">
        <f t="shared" si="960"/>
        <v>-0.11219512195121979</v>
      </c>
      <c r="Q209">
        <f t="shared" si="961"/>
        <v>-1896309.0779512245</v>
      </c>
      <c r="R209">
        <f t="shared" si="962"/>
        <v>823655255.24460006</v>
      </c>
      <c r="S209">
        <f t="shared" si="963"/>
        <v>8236.5525524460008</v>
      </c>
      <c r="T209">
        <f t="shared" si="964"/>
        <v>8.2365525524460015</v>
      </c>
    </row>
    <row r="210" spans="1:20" x14ac:dyDescent="0.25">
      <c r="A210" s="5">
        <v>44383</v>
      </c>
      <c r="B210">
        <v>0.56699999999999995</v>
      </c>
      <c r="C210">
        <v>0.59950000000000003</v>
      </c>
      <c r="D210">
        <v>0.56579999999999997</v>
      </c>
      <c r="E210">
        <v>0.59289999999999998</v>
      </c>
      <c r="F210">
        <v>10542925.59</v>
      </c>
      <c r="G210">
        <v>0</v>
      </c>
      <c r="L210" t="s">
        <v>8</v>
      </c>
      <c r="M210" t="s">
        <v>8</v>
      </c>
      <c r="N210" t="s">
        <v>7</v>
      </c>
      <c r="P210">
        <f t="shared" si="960"/>
        <v>0.60830860534124409</v>
      </c>
      <c r="Q210">
        <f t="shared" si="961"/>
        <v>6413352.3618694125</v>
      </c>
      <c r="R210">
        <f t="shared" si="962"/>
        <v>825551564.32255125</v>
      </c>
      <c r="S210">
        <f t="shared" si="963"/>
        <v>8255.5156432255117</v>
      </c>
      <c r="T210">
        <f t="shared" si="964"/>
        <v>8.255515643225511</v>
      </c>
    </row>
    <row r="211" spans="1:20" x14ac:dyDescent="0.25">
      <c r="A211" s="5">
        <v>44382</v>
      </c>
      <c r="B211">
        <v>0.60499999999999998</v>
      </c>
      <c r="C211">
        <v>0.60540000000000005</v>
      </c>
      <c r="D211">
        <v>0.55610000000000004</v>
      </c>
      <c r="E211">
        <v>0.56630000000000003</v>
      </c>
      <c r="F211">
        <v>8828839.5099999998</v>
      </c>
      <c r="G211">
        <v>0</v>
      </c>
      <c r="L211" t="s">
        <v>7</v>
      </c>
      <c r="M211" t="s">
        <v>8</v>
      </c>
      <c r="N211" t="s">
        <v>7</v>
      </c>
      <c r="P211">
        <f t="shared" si="960"/>
        <v>-0.58620689655172475</v>
      </c>
      <c r="Q211">
        <f t="shared" si="961"/>
        <v>-5175526.6093103504</v>
      </c>
      <c r="R211">
        <f t="shared" si="962"/>
        <v>819138211.9606818</v>
      </c>
      <c r="S211">
        <f t="shared" si="963"/>
        <v>8191.3821196068184</v>
      </c>
      <c r="T211">
        <f t="shared" si="964"/>
        <v>8.1913821196068177</v>
      </c>
    </row>
    <row r="212" spans="1:20" x14ac:dyDescent="0.25">
      <c r="A212" s="5">
        <v>44381</v>
      </c>
      <c r="B212">
        <v>0.58889999999999998</v>
      </c>
      <c r="C212">
        <v>0.62</v>
      </c>
      <c r="D212">
        <v>0.5675</v>
      </c>
      <c r="E212">
        <v>0.60599999999999998</v>
      </c>
      <c r="F212">
        <v>7738386.1500000004</v>
      </c>
      <c r="G212">
        <v>0</v>
      </c>
      <c r="L212" t="s">
        <v>8</v>
      </c>
      <c r="M212" t="s">
        <v>8</v>
      </c>
      <c r="N212" t="s">
        <v>7</v>
      </c>
      <c r="P212">
        <f t="shared" si="960"/>
        <v>0.46666666666666612</v>
      </c>
      <c r="Q212">
        <f t="shared" si="961"/>
        <v>3611246.8699999959</v>
      </c>
      <c r="R212">
        <f t="shared" si="962"/>
        <v>824313738.56999218</v>
      </c>
      <c r="S212">
        <f t="shared" si="963"/>
        <v>8243.1373856999217</v>
      </c>
      <c r="T212">
        <f t="shared" si="964"/>
        <v>8.2431373856999208</v>
      </c>
    </row>
    <row r="213" spans="1:20" x14ac:dyDescent="0.25">
      <c r="A213" s="5">
        <v>44380</v>
      </c>
      <c r="B213">
        <v>0.58120000000000005</v>
      </c>
      <c r="C213">
        <v>0.59740000000000004</v>
      </c>
      <c r="D213">
        <v>0.56689999999999996</v>
      </c>
      <c r="E213">
        <v>0.58899999999999997</v>
      </c>
      <c r="F213">
        <v>6390638.29</v>
      </c>
      <c r="G213">
        <v>0</v>
      </c>
      <c r="L213" t="s">
        <v>8</v>
      </c>
      <c r="M213" t="s">
        <v>8</v>
      </c>
      <c r="N213" t="s">
        <v>7</v>
      </c>
      <c r="P213">
        <f t="shared" si="960"/>
        <v>0.44918032786884909</v>
      </c>
      <c r="Q213">
        <f t="shared" si="961"/>
        <v>2870549.0023934213</v>
      </c>
      <c r="R213">
        <f t="shared" si="962"/>
        <v>820702491.69999218</v>
      </c>
      <c r="S213">
        <f t="shared" si="963"/>
        <v>8207.0249169999224</v>
      </c>
      <c r="T213">
        <f t="shared" si="964"/>
        <v>8.2070249169999219</v>
      </c>
    </row>
    <row r="214" spans="1:20" x14ac:dyDescent="0.25">
      <c r="A214" s="5">
        <v>44379</v>
      </c>
      <c r="B214">
        <v>0.58079999999999998</v>
      </c>
      <c r="C214">
        <v>0.59</v>
      </c>
      <c r="D214">
        <v>0.54630000000000001</v>
      </c>
      <c r="E214">
        <v>0.58120000000000005</v>
      </c>
      <c r="F214">
        <v>5086857.8899999997</v>
      </c>
      <c r="G214">
        <v>0</v>
      </c>
      <c r="L214" t="s">
        <v>7</v>
      </c>
      <c r="M214" t="s">
        <v>8</v>
      </c>
      <c r="N214" t="s">
        <v>7</v>
      </c>
      <c r="P214">
        <f t="shared" si="960"/>
        <v>0.59725400457666233</v>
      </c>
      <c r="Q214">
        <f t="shared" si="961"/>
        <v>3038146.2455148906</v>
      </c>
      <c r="R214">
        <f t="shared" si="962"/>
        <v>817831942.69759881</v>
      </c>
      <c r="S214">
        <f t="shared" si="963"/>
        <v>8178.3194269759879</v>
      </c>
      <c r="T214">
        <f t="shared" si="964"/>
        <v>8.1783194269759871</v>
      </c>
    </row>
    <row r="215" spans="1:20" x14ac:dyDescent="0.25">
      <c r="A215" s="5">
        <v>44378</v>
      </c>
      <c r="B215">
        <v>0.61580000000000001</v>
      </c>
      <c r="C215">
        <v>0.61880000000000002</v>
      </c>
      <c r="D215">
        <v>0.56010000000000004</v>
      </c>
      <c r="E215">
        <v>0.58130000000000004</v>
      </c>
      <c r="F215">
        <v>9524818.2699999996</v>
      </c>
      <c r="G215">
        <v>0</v>
      </c>
      <c r="L215" t="s">
        <v>8</v>
      </c>
      <c r="M215" t="s">
        <v>8</v>
      </c>
      <c r="N215" t="s">
        <v>7</v>
      </c>
      <c r="P215">
        <f t="shared" si="960"/>
        <v>-0.27768313458262334</v>
      </c>
      <c r="Q215">
        <f t="shared" si="961"/>
        <v>-2644881.3935434395</v>
      </c>
      <c r="R215">
        <f t="shared" si="962"/>
        <v>814793796.45208395</v>
      </c>
      <c r="S215">
        <f t="shared" si="963"/>
        <v>8147.9379645208392</v>
      </c>
      <c r="T215">
        <f t="shared" si="964"/>
        <v>8.147937964520839</v>
      </c>
    </row>
    <row r="216" spans="1:20" x14ac:dyDescent="0.25">
      <c r="A216" s="5">
        <v>44377</v>
      </c>
      <c r="B216">
        <v>0.58699999999999997</v>
      </c>
      <c r="C216">
        <v>0.61629999999999996</v>
      </c>
      <c r="D216">
        <v>0.56159999999999999</v>
      </c>
      <c r="E216">
        <v>0.61580000000000001</v>
      </c>
      <c r="F216">
        <v>10125640.43</v>
      </c>
      <c r="G216">
        <v>0</v>
      </c>
      <c r="L216" t="s">
        <v>7</v>
      </c>
      <c r="M216" t="s">
        <v>8</v>
      </c>
      <c r="N216" t="s">
        <v>7</v>
      </c>
      <c r="P216">
        <f t="shared" si="960"/>
        <v>0.98171846435100751</v>
      </c>
      <c r="Q216">
        <f t="shared" si="961"/>
        <v>9940528.1735100746</v>
      </c>
      <c r="R216">
        <f t="shared" si="962"/>
        <v>817438677.84562743</v>
      </c>
      <c r="S216">
        <f t="shared" si="963"/>
        <v>8174.3867784562744</v>
      </c>
      <c r="T216">
        <f t="shared" si="964"/>
        <v>8.1743867784562738</v>
      </c>
    </row>
    <row r="217" spans="1:20" x14ac:dyDescent="0.25">
      <c r="A217" s="5">
        <v>44376</v>
      </c>
      <c r="B217">
        <v>0.55769999999999997</v>
      </c>
      <c r="C217">
        <v>0.61939999999999995</v>
      </c>
      <c r="D217">
        <v>0.55520000000000003</v>
      </c>
      <c r="E217">
        <v>0.58660000000000001</v>
      </c>
      <c r="F217">
        <v>11975354.65</v>
      </c>
      <c r="G217">
        <v>0</v>
      </c>
      <c r="L217" t="s">
        <v>8</v>
      </c>
      <c r="M217" t="s">
        <v>8</v>
      </c>
      <c r="N217" t="s">
        <v>7</v>
      </c>
      <c r="P217">
        <f t="shared" si="960"/>
        <v>-2.1806853582553871E-2</v>
      </c>
      <c r="Q217">
        <f t="shared" si="961"/>
        <v>-261144.80545170567</v>
      </c>
      <c r="R217">
        <f t="shared" si="962"/>
        <v>807498149.67211735</v>
      </c>
      <c r="S217">
        <f t="shared" si="963"/>
        <v>8074.9814967211732</v>
      </c>
      <c r="T217">
        <f t="shared" si="964"/>
        <v>8.0749814967211737</v>
      </c>
    </row>
    <row r="218" spans="1:20" x14ac:dyDescent="0.25">
      <c r="A218" s="5">
        <v>44375</v>
      </c>
      <c r="B218">
        <v>0.54249999999999998</v>
      </c>
      <c r="C218">
        <v>0.56969999999999998</v>
      </c>
      <c r="D218">
        <v>0.53129999999999999</v>
      </c>
      <c r="E218">
        <v>0.5575</v>
      </c>
      <c r="F218">
        <v>8222684.7300000004</v>
      </c>
      <c r="G218">
        <v>0</v>
      </c>
      <c r="L218" t="s">
        <v>8</v>
      </c>
      <c r="M218" t="s">
        <v>7</v>
      </c>
      <c r="N218" t="s">
        <v>7</v>
      </c>
      <c r="P218">
        <f t="shared" si="960"/>
        <v>0.36458333333333376</v>
      </c>
      <c r="Q218">
        <f t="shared" si="961"/>
        <v>2997853.8078125035</v>
      </c>
      <c r="R218">
        <f t="shared" si="962"/>
        <v>807759294.4775691</v>
      </c>
      <c r="S218">
        <f t="shared" si="963"/>
        <v>8077.5929447756907</v>
      </c>
      <c r="T218">
        <f t="shared" si="964"/>
        <v>8.0775929447756916</v>
      </c>
    </row>
    <row r="219" spans="1:20" x14ac:dyDescent="0.25">
      <c r="A219" s="5">
        <v>44374</v>
      </c>
      <c r="B219">
        <v>0.5111</v>
      </c>
      <c r="C219">
        <v>0.54259999999999997</v>
      </c>
      <c r="D219">
        <v>0.50019999999999998</v>
      </c>
      <c r="E219">
        <v>0.54100000000000004</v>
      </c>
      <c r="F219">
        <v>7648662.6299999999</v>
      </c>
      <c r="G219">
        <v>0</v>
      </c>
      <c r="L219" t="s">
        <v>8</v>
      </c>
      <c r="M219" t="s">
        <v>7</v>
      </c>
      <c r="N219" t="s">
        <v>7</v>
      </c>
      <c r="P219">
        <f t="shared" si="960"/>
        <v>0.92452830188679547</v>
      </c>
      <c r="Q219">
        <f t="shared" si="961"/>
        <v>7071405.0730188908</v>
      </c>
      <c r="R219">
        <f t="shared" si="962"/>
        <v>804761440.66975665</v>
      </c>
      <c r="S219">
        <f t="shared" si="963"/>
        <v>8047.6144066975667</v>
      </c>
      <c r="T219">
        <f t="shared" si="964"/>
        <v>8.0476144066975674</v>
      </c>
    </row>
    <row r="220" spans="1:20" x14ac:dyDescent="0.25">
      <c r="A220" s="5">
        <v>44373</v>
      </c>
      <c r="B220">
        <v>0.5181</v>
      </c>
      <c r="C220">
        <v>0.53110000000000002</v>
      </c>
      <c r="D220">
        <v>0.48509999999999998</v>
      </c>
      <c r="E220">
        <v>0.5111</v>
      </c>
      <c r="F220">
        <v>11315955.699999999</v>
      </c>
      <c r="G220">
        <v>0</v>
      </c>
      <c r="L220" t="s">
        <v>7</v>
      </c>
      <c r="M220" t="s">
        <v>7</v>
      </c>
      <c r="N220" t="s">
        <v>7</v>
      </c>
      <c r="P220">
        <f t="shared" si="960"/>
        <v>0.13043478260869565</v>
      </c>
      <c r="Q220">
        <f t="shared" si="961"/>
        <v>1475994.2217391303</v>
      </c>
      <c r="R220">
        <f t="shared" si="962"/>
        <v>797690035.59673774</v>
      </c>
      <c r="S220">
        <f t="shared" si="963"/>
        <v>7976.9003559673774</v>
      </c>
      <c r="T220">
        <f t="shared" si="964"/>
        <v>7.976900355967377</v>
      </c>
    </row>
    <row r="221" spans="1:20" x14ac:dyDescent="0.25">
      <c r="A221" s="5">
        <v>44372</v>
      </c>
      <c r="B221">
        <v>0.57299999999999995</v>
      </c>
      <c r="C221">
        <v>0.59199999999999997</v>
      </c>
      <c r="D221">
        <v>0.51029999999999998</v>
      </c>
      <c r="E221">
        <v>0.51790000000000003</v>
      </c>
      <c r="F221">
        <v>13029023.75</v>
      </c>
      <c r="G221">
        <v>0</v>
      </c>
      <c r="L221" t="s">
        <v>8</v>
      </c>
      <c r="M221" t="s">
        <v>8</v>
      </c>
      <c r="N221" t="s">
        <v>7</v>
      </c>
      <c r="P221">
        <f t="shared" si="960"/>
        <v>-0.8139534883720918</v>
      </c>
      <c r="Q221">
        <f t="shared" si="961"/>
        <v>-10605019.331395334</v>
      </c>
      <c r="R221">
        <f t="shared" si="962"/>
        <v>796214041.37499857</v>
      </c>
      <c r="S221">
        <f t="shared" si="963"/>
        <v>7962.1404137499858</v>
      </c>
      <c r="T221">
        <f t="shared" si="964"/>
        <v>7.962140413749986</v>
      </c>
    </row>
    <row r="222" spans="1:20" x14ac:dyDescent="0.25">
      <c r="A222" s="5">
        <v>44371</v>
      </c>
      <c r="B222">
        <v>0.55089999999999995</v>
      </c>
      <c r="C222">
        <v>0.57909999999999995</v>
      </c>
      <c r="D222">
        <v>0.52600000000000002</v>
      </c>
      <c r="E222">
        <v>0.57350000000000001</v>
      </c>
      <c r="F222">
        <v>10131651.4</v>
      </c>
      <c r="G222">
        <v>0</v>
      </c>
      <c r="L222" t="s">
        <v>8</v>
      </c>
      <c r="M222" t="s">
        <v>8</v>
      </c>
      <c r="N222" t="s">
        <v>7</v>
      </c>
      <c r="P222">
        <f t="shared" si="960"/>
        <v>0.78907721280602838</v>
      </c>
      <c r="Q222">
        <f t="shared" si="961"/>
        <v>7994655.247834296</v>
      </c>
      <c r="R222">
        <f t="shared" si="962"/>
        <v>806819060.70639396</v>
      </c>
      <c r="S222">
        <f t="shared" si="963"/>
        <v>8068.1906070639398</v>
      </c>
      <c r="T222">
        <f t="shared" si="964"/>
        <v>8.06819060706394</v>
      </c>
    </row>
    <row r="223" spans="1:20" x14ac:dyDescent="0.25">
      <c r="A223" s="5">
        <v>44370</v>
      </c>
      <c r="B223">
        <v>0.48380000000000001</v>
      </c>
      <c r="C223">
        <v>0.56740000000000002</v>
      </c>
      <c r="D223">
        <v>0.46789999999999998</v>
      </c>
      <c r="E223">
        <v>0.55079999999999996</v>
      </c>
      <c r="F223">
        <v>15194506.52</v>
      </c>
      <c r="G223">
        <v>0</v>
      </c>
      <c r="L223" t="s">
        <v>8</v>
      </c>
      <c r="M223" t="s">
        <v>8</v>
      </c>
      <c r="N223" t="s">
        <v>7</v>
      </c>
      <c r="P223">
        <f t="shared" si="960"/>
        <v>0.66633165829145624</v>
      </c>
      <c r="Q223">
        <f t="shared" si="961"/>
        <v>10124580.726391943</v>
      </c>
      <c r="R223">
        <f t="shared" si="962"/>
        <v>798824405.45855963</v>
      </c>
      <c r="S223">
        <f t="shared" si="963"/>
        <v>7988.2440545855961</v>
      </c>
      <c r="T223">
        <f t="shared" si="964"/>
        <v>7.9882440545855964</v>
      </c>
    </row>
    <row r="224" spans="1:20" x14ac:dyDescent="0.25">
      <c r="A224" s="5">
        <v>44369</v>
      </c>
      <c r="B224">
        <v>0.51019999999999999</v>
      </c>
      <c r="C224">
        <v>0.53259999999999996</v>
      </c>
      <c r="D224">
        <v>0.42499999999999999</v>
      </c>
      <c r="E224">
        <v>0.48359999999999997</v>
      </c>
      <c r="F224">
        <v>35426983.32</v>
      </c>
      <c r="G224">
        <v>0</v>
      </c>
      <c r="L224" t="s">
        <v>7</v>
      </c>
      <c r="M224" t="s">
        <v>7</v>
      </c>
      <c r="N224" t="s">
        <v>7</v>
      </c>
      <c r="P224">
        <f t="shared" si="960"/>
        <v>8.9219330855018583E-2</v>
      </c>
      <c r="Q224">
        <f t="shared" si="961"/>
        <v>3160771.7460223045</v>
      </c>
      <c r="R224">
        <f t="shared" si="962"/>
        <v>788699824.73216772</v>
      </c>
      <c r="S224">
        <f t="shared" si="963"/>
        <v>7886.9982473216769</v>
      </c>
      <c r="T224">
        <f t="shared" si="964"/>
        <v>7.8869982473216771</v>
      </c>
    </row>
    <row r="225" spans="1:20" x14ac:dyDescent="0.25">
      <c r="A225" s="5">
        <v>44368</v>
      </c>
      <c r="B225">
        <v>0.60019999999999996</v>
      </c>
      <c r="C225">
        <v>0.60419999999999996</v>
      </c>
      <c r="D225">
        <v>0.4985</v>
      </c>
      <c r="E225">
        <v>0.51049999999999995</v>
      </c>
      <c r="F225">
        <v>23063081.609999999</v>
      </c>
      <c r="G225">
        <v>0</v>
      </c>
      <c r="L225" t="s">
        <v>7</v>
      </c>
      <c r="M225" t="s">
        <v>7</v>
      </c>
      <c r="N225" t="s">
        <v>7</v>
      </c>
      <c r="P225">
        <f t="shared" si="960"/>
        <v>-0.77294228949858168</v>
      </c>
      <c r="Q225">
        <f t="shared" si="961"/>
        <v>-17826431.102526035</v>
      </c>
      <c r="R225">
        <f t="shared" si="962"/>
        <v>785539052.98614538</v>
      </c>
      <c r="S225">
        <f t="shared" si="963"/>
        <v>7855.3905298614536</v>
      </c>
      <c r="T225">
        <f t="shared" si="964"/>
        <v>7.8553905298614533</v>
      </c>
    </row>
    <row r="226" spans="1:20" x14ac:dyDescent="0.25">
      <c r="A226" s="5">
        <v>44367</v>
      </c>
      <c r="B226">
        <v>0.59560000000000002</v>
      </c>
      <c r="C226">
        <v>0.60840000000000005</v>
      </c>
      <c r="D226">
        <v>0.55900000000000005</v>
      </c>
      <c r="E226">
        <v>0.60050000000000003</v>
      </c>
      <c r="F226">
        <v>10745233.119999999</v>
      </c>
      <c r="G226">
        <v>0</v>
      </c>
      <c r="L226" t="s">
        <v>7</v>
      </c>
      <c r="M226" t="s">
        <v>7</v>
      </c>
      <c r="N226" t="s">
        <v>7</v>
      </c>
      <c r="P226">
        <f t="shared" si="960"/>
        <v>0.68016194331983737</v>
      </c>
      <c r="Q226">
        <f t="shared" si="961"/>
        <v>7308498.6403238783</v>
      </c>
      <c r="R226">
        <f t="shared" si="962"/>
        <v>803365484.08867145</v>
      </c>
      <c r="S226">
        <f t="shared" si="963"/>
        <v>8033.6548408867147</v>
      </c>
      <c r="T226">
        <f t="shared" si="964"/>
        <v>8.0336548408867152</v>
      </c>
    </row>
    <row r="227" spans="1:20" x14ac:dyDescent="0.25">
      <c r="A227" s="5">
        <v>44366</v>
      </c>
      <c r="B227">
        <v>0.61029999999999995</v>
      </c>
      <c r="C227">
        <v>0.62809999999999999</v>
      </c>
      <c r="D227">
        <v>0.59089999999999998</v>
      </c>
      <c r="E227">
        <v>0.5958</v>
      </c>
      <c r="F227">
        <v>5022689.32</v>
      </c>
      <c r="G227">
        <v>0</v>
      </c>
      <c r="L227" t="s">
        <v>7</v>
      </c>
      <c r="M227" t="s">
        <v>7</v>
      </c>
      <c r="N227" t="s">
        <v>7</v>
      </c>
      <c r="P227">
        <f t="shared" si="960"/>
        <v>-0.73655913978494547</v>
      </c>
      <c r="Q227">
        <f t="shared" si="961"/>
        <v>-3699507.724946233</v>
      </c>
      <c r="R227">
        <f t="shared" si="962"/>
        <v>796056985.44834757</v>
      </c>
      <c r="S227">
        <f t="shared" si="963"/>
        <v>7960.5698544834759</v>
      </c>
      <c r="T227">
        <f t="shared" si="964"/>
        <v>7.9605698544834755</v>
      </c>
    </row>
    <row r="228" spans="1:20" x14ac:dyDescent="0.25">
      <c r="A228" s="5">
        <v>44365</v>
      </c>
      <c r="B228">
        <v>0.65780000000000005</v>
      </c>
      <c r="C228">
        <v>0.65859999999999996</v>
      </c>
      <c r="D228">
        <v>0.58750000000000002</v>
      </c>
      <c r="E228">
        <v>0.61040000000000005</v>
      </c>
      <c r="F228">
        <v>13051603.4</v>
      </c>
      <c r="G228">
        <v>0</v>
      </c>
      <c r="L228" t="s">
        <v>7</v>
      </c>
      <c r="M228" t="s">
        <v>7</v>
      </c>
      <c r="N228" t="s">
        <v>7</v>
      </c>
      <c r="P228">
        <f t="shared" si="960"/>
        <v>-0.35583684950773414</v>
      </c>
      <c r="Q228">
        <f t="shared" si="961"/>
        <v>-4644241.4348804317</v>
      </c>
      <c r="R228">
        <f t="shared" si="962"/>
        <v>799756493.17329383</v>
      </c>
      <c r="S228">
        <f t="shared" si="963"/>
        <v>7997.564931732938</v>
      </c>
      <c r="T228">
        <f t="shared" si="964"/>
        <v>7.9975649317329376</v>
      </c>
    </row>
    <row r="229" spans="1:20" x14ac:dyDescent="0.25">
      <c r="A229" s="5">
        <v>44364</v>
      </c>
      <c r="B229">
        <v>0.65620000000000001</v>
      </c>
      <c r="C229">
        <v>0.68940000000000001</v>
      </c>
      <c r="D229">
        <v>0.6421</v>
      </c>
      <c r="E229">
        <v>0.65759999999999996</v>
      </c>
      <c r="F229">
        <v>8065439.2699999996</v>
      </c>
      <c r="G229">
        <v>0</v>
      </c>
      <c r="L229" t="s">
        <v>7</v>
      </c>
      <c r="M229" t="s">
        <v>8</v>
      </c>
      <c r="N229" t="s">
        <v>7</v>
      </c>
      <c r="P229">
        <f t="shared" si="960"/>
        <v>-0.34460887949260233</v>
      </c>
      <c r="Q229">
        <f t="shared" si="961"/>
        <v>-2779421.9894503322</v>
      </c>
      <c r="R229">
        <f t="shared" si="962"/>
        <v>804400734.6081742</v>
      </c>
      <c r="S229">
        <f t="shared" si="963"/>
        <v>8044.0073460817421</v>
      </c>
      <c r="T229">
        <f t="shared" si="964"/>
        <v>8.0440073460817416</v>
      </c>
    </row>
    <row r="230" spans="1:20" x14ac:dyDescent="0.25">
      <c r="A230" s="5">
        <v>44363</v>
      </c>
      <c r="B230">
        <v>0.6905</v>
      </c>
      <c r="C230">
        <v>0.69120000000000004</v>
      </c>
      <c r="D230">
        <v>0.64910000000000001</v>
      </c>
      <c r="E230">
        <v>0.65600000000000003</v>
      </c>
      <c r="F230">
        <v>9877811.7599999998</v>
      </c>
      <c r="G230">
        <v>0</v>
      </c>
      <c r="L230" t="s">
        <v>7</v>
      </c>
      <c r="M230" t="s">
        <v>8</v>
      </c>
      <c r="N230" t="s">
        <v>7</v>
      </c>
      <c r="P230">
        <f t="shared" si="960"/>
        <v>-0.67220902612826539</v>
      </c>
      <c r="Q230">
        <f t="shared" si="961"/>
        <v>-6639954.2234679265</v>
      </c>
      <c r="R230">
        <f t="shared" si="962"/>
        <v>807180156.59762454</v>
      </c>
      <c r="S230">
        <f t="shared" si="963"/>
        <v>8071.801565976245</v>
      </c>
      <c r="T230">
        <f t="shared" si="964"/>
        <v>8.0718015659762443</v>
      </c>
    </row>
    <row r="231" spans="1:20" x14ac:dyDescent="0.25">
      <c r="A231" s="5">
        <v>44362</v>
      </c>
      <c r="B231">
        <v>0.67149999999999999</v>
      </c>
      <c r="C231">
        <v>0.72330000000000005</v>
      </c>
      <c r="D231">
        <v>0.66669999999999996</v>
      </c>
      <c r="E231">
        <v>0.69059999999999999</v>
      </c>
      <c r="F231">
        <v>17381806.390000001</v>
      </c>
      <c r="G231">
        <v>0</v>
      </c>
      <c r="L231" t="s">
        <v>8</v>
      </c>
      <c r="M231" t="s">
        <v>8</v>
      </c>
      <c r="N231" t="s">
        <v>7</v>
      </c>
      <c r="P231">
        <f t="shared" si="960"/>
        <v>-0.15547703180212041</v>
      </c>
      <c r="Q231">
        <f t="shared" si="961"/>
        <v>-2702471.6648763297</v>
      </c>
      <c r="R231">
        <f t="shared" si="962"/>
        <v>813820110.82109249</v>
      </c>
      <c r="S231">
        <f t="shared" si="963"/>
        <v>8138.2011082109248</v>
      </c>
      <c r="T231">
        <f t="shared" si="964"/>
        <v>8.1382011082109251</v>
      </c>
    </row>
    <row r="232" spans="1:20" x14ac:dyDescent="0.25">
      <c r="A232" s="5">
        <v>44361</v>
      </c>
      <c r="B232">
        <v>0.64859999999999995</v>
      </c>
      <c r="C232">
        <v>0.67700000000000005</v>
      </c>
      <c r="D232">
        <v>0.63819999999999999</v>
      </c>
      <c r="E232">
        <v>0.67159999999999997</v>
      </c>
      <c r="F232">
        <v>12787488.220000001</v>
      </c>
      <c r="G232">
        <v>0</v>
      </c>
      <c r="L232" t="s">
        <v>8</v>
      </c>
      <c r="M232" t="s">
        <v>7</v>
      </c>
      <c r="N232" t="s">
        <v>7</v>
      </c>
      <c r="P232">
        <f t="shared" si="960"/>
        <v>0.72164948453607924</v>
      </c>
      <c r="Q232">
        <f t="shared" si="961"/>
        <v>9228084.2824741863</v>
      </c>
      <c r="R232">
        <f t="shared" si="962"/>
        <v>816522582.48596883</v>
      </c>
      <c r="S232">
        <f t="shared" si="963"/>
        <v>8165.2258248596881</v>
      </c>
      <c r="T232">
        <f t="shared" si="964"/>
        <v>8.1652258248596876</v>
      </c>
    </row>
    <row r="233" spans="1:20" x14ac:dyDescent="0.25">
      <c r="A233" s="5">
        <v>44360</v>
      </c>
      <c r="B233">
        <v>0.61680000000000001</v>
      </c>
      <c r="C233">
        <v>0.66</v>
      </c>
      <c r="D233">
        <v>0.59730000000000005</v>
      </c>
      <c r="E233">
        <v>0.64859999999999995</v>
      </c>
      <c r="F233">
        <v>12391091.699999999</v>
      </c>
      <c r="G233">
        <v>0</v>
      </c>
      <c r="L233" t="s">
        <v>8</v>
      </c>
      <c r="M233" t="s">
        <v>7</v>
      </c>
      <c r="N233" t="s">
        <v>7</v>
      </c>
      <c r="P233">
        <f t="shared" si="960"/>
        <v>0.6363636363636338</v>
      </c>
      <c r="Q233">
        <f t="shared" si="961"/>
        <v>7885240.1727272402</v>
      </c>
      <c r="R233">
        <f t="shared" si="962"/>
        <v>807294498.20349467</v>
      </c>
      <c r="S233">
        <f t="shared" si="963"/>
        <v>8072.9449820349464</v>
      </c>
      <c r="T233">
        <f t="shared" si="964"/>
        <v>8.0729449820349473</v>
      </c>
    </row>
    <row r="234" spans="1:20" x14ac:dyDescent="0.25">
      <c r="A234" s="5">
        <v>44359</v>
      </c>
      <c r="B234">
        <v>0.64670000000000005</v>
      </c>
      <c r="C234">
        <v>0.64780000000000004</v>
      </c>
      <c r="D234">
        <v>0.59160000000000001</v>
      </c>
      <c r="E234">
        <v>0.61680000000000001</v>
      </c>
      <c r="F234">
        <v>14755802.68</v>
      </c>
      <c r="G234">
        <v>0</v>
      </c>
      <c r="L234" t="s">
        <v>7</v>
      </c>
      <c r="M234" t="s">
        <v>7</v>
      </c>
      <c r="N234" t="s">
        <v>7</v>
      </c>
      <c r="P234">
        <f t="shared" si="960"/>
        <v>-0.1032028469750894</v>
      </c>
      <c r="Q234">
        <f t="shared" si="961"/>
        <v>-1522840.845978654</v>
      </c>
      <c r="R234">
        <f t="shared" si="962"/>
        <v>799409258.03076744</v>
      </c>
      <c r="S234">
        <f t="shared" si="963"/>
        <v>7994.0925803076743</v>
      </c>
      <c r="T234">
        <f t="shared" si="964"/>
        <v>7.9940925803076741</v>
      </c>
    </row>
    <row r="235" spans="1:20" x14ac:dyDescent="0.25">
      <c r="A235" s="5">
        <v>44358</v>
      </c>
      <c r="B235">
        <v>0.66439999999999999</v>
      </c>
      <c r="C235">
        <v>0.71899999999999997</v>
      </c>
      <c r="D235">
        <v>0.6391</v>
      </c>
      <c r="E235">
        <v>0.64659999999999995</v>
      </c>
      <c r="F235">
        <v>17357058.809999999</v>
      </c>
      <c r="G235">
        <v>0</v>
      </c>
      <c r="L235" t="s">
        <v>8</v>
      </c>
      <c r="M235" t="s">
        <v>8</v>
      </c>
      <c r="N235" t="s">
        <v>7</v>
      </c>
      <c r="P235">
        <f t="shared" si="960"/>
        <v>-0.81226533166458192</v>
      </c>
      <c r="Q235">
        <f t="shared" si="961"/>
        <v>-14098537.131026303</v>
      </c>
      <c r="R235">
        <f t="shared" si="962"/>
        <v>800932098.87674606</v>
      </c>
      <c r="S235">
        <f t="shared" si="963"/>
        <v>8009.3209887674602</v>
      </c>
      <c r="T235">
        <f t="shared" si="964"/>
        <v>8.0093209887674597</v>
      </c>
    </row>
    <row r="236" spans="1:20" x14ac:dyDescent="0.25">
      <c r="A236" s="5">
        <v>44357</v>
      </c>
      <c r="B236">
        <v>0.70299999999999996</v>
      </c>
      <c r="C236">
        <v>0.70820000000000005</v>
      </c>
      <c r="D236">
        <v>0.6452</v>
      </c>
      <c r="E236">
        <v>0.6643</v>
      </c>
      <c r="F236">
        <v>9886878.5299999993</v>
      </c>
      <c r="G236">
        <v>0</v>
      </c>
      <c r="L236" t="s">
        <v>7</v>
      </c>
      <c r="M236" t="s">
        <v>7</v>
      </c>
      <c r="N236" t="s">
        <v>7</v>
      </c>
      <c r="P236">
        <f t="shared" si="960"/>
        <v>-0.39365079365079403</v>
      </c>
      <c r="Q236">
        <f t="shared" si="961"/>
        <v>-3891977.5800634953</v>
      </c>
      <c r="R236">
        <f t="shared" si="962"/>
        <v>815030636.00777233</v>
      </c>
      <c r="S236">
        <f t="shared" si="963"/>
        <v>8150.3063600777232</v>
      </c>
      <c r="T236">
        <f t="shared" si="964"/>
        <v>8.1503063600777228</v>
      </c>
    </row>
    <row r="237" spans="1:20" x14ac:dyDescent="0.25">
      <c r="A237" s="5">
        <v>44356</v>
      </c>
      <c r="B237">
        <v>0.66920000000000002</v>
      </c>
      <c r="C237">
        <v>0.70379999999999998</v>
      </c>
      <c r="D237">
        <v>0.63490000000000002</v>
      </c>
      <c r="E237">
        <v>0.70289999999999997</v>
      </c>
      <c r="F237">
        <v>12771071.029999999</v>
      </c>
      <c r="G237">
        <v>0</v>
      </c>
      <c r="L237" t="s">
        <v>8</v>
      </c>
      <c r="M237" t="s">
        <v>7</v>
      </c>
      <c r="N237" t="s">
        <v>7</v>
      </c>
      <c r="P237">
        <f t="shared" si="960"/>
        <v>0.97387518142235086</v>
      </c>
      <c r="Q237">
        <f t="shared" si="961"/>
        <v>12437429.116298979</v>
      </c>
      <c r="R237">
        <f t="shared" si="962"/>
        <v>818922613.58783579</v>
      </c>
      <c r="S237">
        <f t="shared" si="963"/>
        <v>8189.226135878358</v>
      </c>
      <c r="T237">
        <f t="shared" si="964"/>
        <v>8.1892261358783589</v>
      </c>
    </row>
    <row r="238" spans="1:20" x14ac:dyDescent="0.25">
      <c r="A238" s="5">
        <v>44355</v>
      </c>
      <c r="B238">
        <v>0.6946</v>
      </c>
      <c r="C238">
        <v>0.7087</v>
      </c>
      <c r="D238">
        <v>0.60609999999999997</v>
      </c>
      <c r="E238">
        <v>0.66959999999999997</v>
      </c>
      <c r="F238">
        <v>20816045.120000001</v>
      </c>
      <c r="G238">
        <v>0</v>
      </c>
      <c r="L238" t="s">
        <v>7</v>
      </c>
      <c r="M238" t="s">
        <v>7</v>
      </c>
      <c r="N238" t="s">
        <v>7</v>
      </c>
      <c r="P238">
        <f t="shared" si="960"/>
        <v>0.23781676413255332</v>
      </c>
      <c r="Q238">
        <f t="shared" si="961"/>
        <v>4950404.4924756279</v>
      </c>
      <c r="R238">
        <f t="shared" si="962"/>
        <v>806485184.47153676</v>
      </c>
      <c r="S238">
        <f t="shared" si="963"/>
        <v>8064.8518447153674</v>
      </c>
      <c r="T238">
        <f t="shared" si="964"/>
        <v>8.064851844715367</v>
      </c>
    </row>
    <row r="239" spans="1:20" x14ac:dyDescent="0.25">
      <c r="A239" s="5">
        <v>44354</v>
      </c>
      <c r="B239">
        <v>0.76249999999999996</v>
      </c>
      <c r="C239">
        <v>0.79990000000000006</v>
      </c>
      <c r="D239">
        <v>0.68789999999999996</v>
      </c>
      <c r="E239">
        <v>0.69479999999999997</v>
      </c>
      <c r="F239">
        <v>14150596.859999999</v>
      </c>
      <c r="G239">
        <v>0</v>
      </c>
      <c r="L239" t="s">
        <v>7</v>
      </c>
      <c r="M239" t="s">
        <v>7</v>
      </c>
      <c r="N239" t="s">
        <v>7</v>
      </c>
      <c r="P239">
        <f t="shared" si="960"/>
        <v>-0.87678571428571406</v>
      </c>
      <c r="Q239">
        <f t="shared" si="961"/>
        <v>-12407041.175464282</v>
      </c>
      <c r="R239">
        <f t="shared" si="962"/>
        <v>801534779.97906113</v>
      </c>
      <c r="S239">
        <f t="shared" si="963"/>
        <v>8015.3477997906111</v>
      </c>
      <c r="T239">
        <f t="shared" si="964"/>
        <v>8.0153477997906108</v>
      </c>
    </row>
    <row r="240" spans="1:20" x14ac:dyDescent="0.25">
      <c r="A240" s="5">
        <v>44353</v>
      </c>
      <c r="B240">
        <v>0.75080000000000002</v>
      </c>
      <c r="C240">
        <v>0.77859999999999996</v>
      </c>
      <c r="D240">
        <v>0.74180000000000001</v>
      </c>
      <c r="E240">
        <v>0.76280000000000003</v>
      </c>
      <c r="F240">
        <v>8344119.9000000004</v>
      </c>
      <c r="G240">
        <v>0</v>
      </c>
      <c r="L240" t="s">
        <v>7</v>
      </c>
      <c r="M240" t="s">
        <v>8</v>
      </c>
      <c r="N240" t="s">
        <v>7</v>
      </c>
      <c r="P240">
        <f t="shared" si="960"/>
        <v>0.14130434782608972</v>
      </c>
      <c r="Q240">
        <f t="shared" si="961"/>
        <v>1179060.420652197</v>
      </c>
      <c r="R240">
        <f t="shared" si="962"/>
        <v>813941821.1545254</v>
      </c>
      <c r="S240">
        <f t="shared" si="963"/>
        <v>8139.4182115452541</v>
      </c>
      <c r="T240">
        <f t="shared" si="964"/>
        <v>8.1394182115452534</v>
      </c>
    </row>
    <row r="241" spans="1:20" x14ac:dyDescent="0.25">
      <c r="A241" s="5">
        <v>44352</v>
      </c>
      <c r="B241">
        <v>0.76070000000000004</v>
      </c>
      <c r="C241">
        <v>0.81910000000000005</v>
      </c>
      <c r="D241">
        <v>0.71879999999999999</v>
      </c>
      <c r="E241">
        <v>0.75060000000000004</v>
      </c>
      <c r="F241">
        <v>15375892.289999999</v>
      </c>
      <c r="G241">
        <v>0</v>
      </c>
      <c r="L241" t="s">
        <v>8</v>
      </c>
      <c r="M241" t="s">
        <v>8</v>
      </c>
      <c r="N241" t="s">
        <v>7</v>
      </c>
      <c r="P241">
        <f t="shared" si="960"/>
        <v>-0.36590229312063743</v>
      </c>
      <c r="Q241">
        <f t="shared" si="961"/>
        <v>-5626074.2476869291</v>
      </c>
      <c r="R241">
        <f t="shared" si="962"/>
        <v>812762760.73387325</v>
      </c>
      <c r="S241">
        <f t="shared" si="963"/>
        <v>8127.6276073387326</v>
      </c>
      <c r="T241">
        <f t="shared" si="964"/>
        <v>8.1276276073387326</v>
      </c>
    </row>
    <row r="242" spans="1:20" x14ac:dyDescent="0.25">
      <c r="A242" s="5">
        <v>44351</v>
      </c>
      <c r="B242">
        <v>0.83040000000000003</v>
      </c>
      <c r="C242">
        <v>0.83069999999999999</v>
      </c>
      <c r="D242">
        <v>0.71519999999999995</v>
      </c>
      <c r="E242">
        <v>0.76090000000000002</v>
      </c>
      <c r="F242">
        <v>17115084.07</v>
      </c>
      <c r="G242">
        <v>0</v>
      </c>
      <c r="L242" t="s">
        <v>7</v>
      </c>
      <c r="M242" t="s">
        <v>8</v>
      </c>
      <c r="N242" t="s">
        <v>7</v>
      </c>
      <c r="P242">
        <f t="shared" si="960"/>
        <v>-0.20865800865800771</v>
      </c>
      <c r="Q242">
        <f t="shared" si="961"/>
        <v>-3571199.3600605899</v>
      </c>
      <c r="R242">
        <f t="shared" si="962"/>
        <v>818388834.98156023</v>
      </c>
      <c r="S242">
        <f t="shared" si="963"/>
        <v>8183.8883498156019</v>
      </c>
      <c r="T242">
        <f t="shared" si="964"/>
        <v>8.1838883498156019</v>
      </c>
    </row>
    <row r="243" spans="1:20" x14ac:dyDescent="0.25">
      <c r="A243" s="5">
        <v>44350</v>
      </c>
      <c r="B243">
        <v>0.79700000000000004</v>
      </c>
      <c r="C243">
        <v>0.85</v>
      </c>
      <c r="D243">
        <v>0.78659999999999997</v>
      </c>
      <c r="E243">
        <v>0.83</v>
      </c>
      <c r="F243">
        <v>12880206.93</v>
      </c>
      <c r="G243">
        <v>0</v>
      </c>
      <c r="L243" t="s">
        <v>7</v>
      </c>
      <c r="M243" t="s">
        <v>8</v>
      </c>
      <c r="N243" t="s">
        <v>7</v>
      </c>
      <c r="P243">
        <f t="shared" si="960"/>
        <v>0.36908517350157682</v>
      </c>
      <c r="Q243">
        <f t="shared" si="961"/>
        <v>4753893.4094952624</v>
      </c>
      <c r="R243">
        <f t="shared" si="962"/>
        <v>821960034.3416208</v>
      </c>
      <c r="S243">
        <f t="shared" si="963"/>
        <v>8219.6003434162085</v>
      </c>
      <c r="T243">
        <f t="shared" si="964"/>
        <v>8.219600343416209</v>
      </c>
    </row>
    <row r="244" spans="1:20" x14ac:dyDescent="0.25">
      <c r="A244" s="5">
        <v>44349</v>
      </c>
      <c r="B244">
        <v>0.74719999999999998</v>
      </c>
      <c r="C244">
        <v>0.84750000000000003</v>
      </c>
      <c r="D244">
        <v>0.73240000000000005</v>
      </c>
      <c r="E244">
        <v>0.79690000000000005</v>
      </c>
      <c r="F244">
        <v>21380592.73</v>
      </c>
      <c r="G244">
        <v>0</v>
      </c>
      <c r="L244" t="s">
        <v>8</v>
      </c>
      <c r="M244" t="s">
        <v>8</v>
      </c>
      <c r="N244" t="s">
        <v>7</v>
      </c>
      <c r="P244">
        <f t="shared" si="960"/>
        <v>0.12076455256298893</v>
      </c>
      <c r="Q244">
        <f t="shared" si="961"/>
        <v>2582017.714569944</v>
      </c>
      <c r="R244">
        <f t="shared" si="962"/>
        <v>817206140.93212557</v>
      </c>
      <c r="S244">
        <f t="shared" si="963"/>
        <v>8172.0614093212553</v>
      </c>
      <c r="T244">
        <f t="shared" si="964"/>
        <v>8.1720614093212554</v>
      </c>
    </row>
    <row r="245" spans="1:20" x14ac:dyDescent="0.25">
      <c r="A245" s="5">
        <v>44348</v>
      </c>
      <c r="B245">
        <v>0.76729999999999998</v>
      </c>
      <c r="C245">
        <v>0.77500000000000002</v>
      </c>
      <c r="D245">
        <v>0.72250000000000003</v>
      </c>
      <c r="E245">
        <v>0.747</v>
      </c>
      <c r="F245">
        <v>12224651.15</v>
      </c>
      <c r="G245">
        <v>0</v>
      </c>
      <c r="L245" t="s">
        <v>8</v>
      </c>
      <c r="M245" t="s">
        <v>8</v>
      </c>
      <c r="N245" t="s">
        <v>7</v>
      </c>
      <c r="P245">
        <f t="shared" si="960"/>
        <v>-6.666666666666779E-2</v>
      </c>
      <c r="Q245">
        <f t="shared" si="961"/>
        <v>-814976.74333334714</v>
      </c>
      <c r="R245">
        <f t="shared" si="962"/>
        <v>814624123.21755564</v>
      </c>
      <c r="S245">
        <f t="shared" si="963"/>
        <v>8146.2412321755564</v>
      </c>
      <c r="T245">
        <f t="shared" si="964"/>
        <v>8.1462412321755568</v>
      </c>
    </row>
    <row r="246" spans="1:20" x14ac:dyDescent="0.25">
      <c r="A246" s="5">
        <v>44347</v>
      </c>
      <c r="B246">
        <v>0.7036</v>
      </c>
      <c r="C246">
        <v>0.7681</v>
      </c>
      <c r="D246">
        <v>0.66749999999999998</v>
      </c>
      <c r="E246">
        <v>0.76790000000000003</v>
      </c>
      <c r="F246">
        <v>13648087.960000001</v>
      </c>
      <c r="G246">
        <v>0</v>
      </c>
      <c r="L246" t="s">
        <v>8</v>
      </c>
      <c r="M246" t="s">
        <v>8</v>
      </c>
      <c r="N246" t="s">
        <v>7</v>
      </c>
      <c r="P246">
        <f t="shared" si="960"/>
        <v>0.99602385685884731</v>
      </c>
      <c r="Q246">
        <f t="shared" si="961"/>
        <v>13593821.208667999</v>
      </c>
      <c r="R246">
        <f t="shared" si="962"/>
        <v>815439099.96088898</v>
      </c>
      <c r="S246">
        <f t="shared" si="963"/>
        <v>8154.3909996088896</v>
      </c>
      <c r="T246">
        <f t="shared" si="964"/>
        <v>8.1543909996088892</v>
      </c>
    </row>
    <row r="247" spans="1:20" x14ac:dyDescent="0.25">
      <c r="A247" s="5">
        <v>44346</v>
      </c>
      <c r="B247">
        <v>0.68030000000000002</v>
      </c>
      <c r="C247">
        <v>0.74029999999999996</v>
      </c>
      <c r="D247">
        <v>0.63590000000000002</v>
      </c>
      <c r="E247">
        <v>0.7036</v>
      </c>
      <c r="F247">
        <v>14438359.98</v>
      </c>
      <c r="G247">
        <v>0</v>
      </c>
      <c r="L247" t="s">
        <v>8</v>
      </c>
      <c r="M247" t="s">
        <v>7</v>
      </c>
      <c r="N247" t="s">
        <v>7</v>
      </c>
      <c r="P247">
        <f t="shared" si="960"/>
        <v>0.29693486590038359</v>
      </c>
      <c r="Q247">
        <f t="shared" si="961"/>
        <v>4287252.4844827652</v>
      </c>
      <c r="R247">
        <f t="shared" si="962"/>
        <v>801845278.75222099</v>
      </c>
      <c r="S247">
        <f t="shared" si="963"/>
        <v>8018.4527875222102</v>
      </c>
      <c r="T247">
        <f t="shared" si="964"/>
        <v>8.0184527875222109</v>
      </c>
    </row>
    <row r="248" spans="1:20" x14ac:dyDescent="0.25">
      <c r="A248" s="5">
        <v>44345</v>
      </c>
      <c r="B248">
        <v>0.74709999999999999</v>
      </c>
      <c r="C248">
        <v>0.78810000000000002</v>
      </c>
      <c r="D248">
        <v>0.63939999999999997</v>
      </c>
      <c r="E248">
        <v>0.68110000000000004</v>
      </c>
      <c r="F248">
        <v>19190114.600000001</v>
      </c>
      <c r="G248">
        <v>0</v>
      </c>
      <c r="L248" t="s">
        <v>7</v>
      </c>
      <c r="M248" t="s">
        <v>7</v>
      </c>
      <c r="N248" t="s">
        <v>7</v>
      </c>
      <c r="P248">
        <f t="shared" si="960"/>
        <v>-0.43913920645595084</v>
      </c>
      <c r="Q248">
        <f t="shared" si="961"/>
        <v>-8427131.6972427573</v>
      </c>
      <c r="R248">
        <f t="shared" si="962"/>
        <v>797558026.26773822</v>
      </c>
      <c r="S248">
        <f t="shared" si="963"/>
        <v>7975.5802626773821</v>
      </c>
      <c r="T248">
        <f t="shared" si="964"/>
        <v>7.975580262677382</v>
      </c>
    </row>
    <row r="249" spans="1:20" x14ac:dyDescent="0.25">
      <c r="A249" s="5">
        <v>44344</v>
      </c>
      <c r="B249">
        <v>0.84489999999999998</v>
      </c>
      <c r="C249">
        <v>0.85599999999999998</v>
      </c>
      <c r="D249">
        <v>0.70089999999999997</v>
      </c>
      <c r="E249">
        <v>0.74819999999999998</v>
      </c>
      <c r="F249">
        <v>25859323.190000001</v>
      </c>
      <c r="G249">
        <v>0</v>
      </c>
      <c r="L249" t="s">
        <v>7</v>
      </c>
      <c r="M249" t="s">
        <v>7</v>
      </c>
      <c r="N249" t="s">
        <v>8</v>
      </c>
      <c r="P249">
        <f t="shared" si="960"/>
        <v>-0.39007092198581556</v>
      </c>
      <c r="Q249">
        <f t="shared" si="961"/>
        <v>-10086970.038652482</v>
      </c>
      <c r="R249">
        <f t="shared" si="962"/>
        <v>805985157.96498096</v>
      </c>
      <c r="S249">
        <f t="shared" si="963"/>
        <v>8059.8515796498095</v>
      </c>
      <c r="T249">
        <f t="shared" si="964"/>
        <v>8.0598515796498091</v>
      </c>
    </row>
    <row r="250" spans="1:20" x14ac:dyDescent="0.25">
      <c r="A250" s="5">
        <v>44343</v>
      </c>
      <c r="B250">
        <v>0.88870000000000005</v>
      </c>
      <c r="C250">
        <v>0.93</v>
      </c>
      <c r="D250">
        <v>0.79179999999999995</v>
      </c>
      <c r="E250">
        <v>0.84450000000000003</v>
      </c>
      <c r="F250">
        <v>31338052.370000001</v>
      </c>
      <c r="G250">
        <v>0</v>
      </c>
      <c r="L250" t="s">
        <v>8</v>
      </c>
      <c r="M250" t="s">
        <v>8</v>
      </c>
      <c r="N250" t="s">
        <v>8</v>
      </c>
      <c r="P250">
        <f t="shared" si="960"/>
        <v>-0.23733719247467377</v>
      </c>
      <c r="Q250">
        <f t="shared" si="961"/>
        <v>-7437685.3671200965</v>
      </c>
      <c r="R250">
        <f t="shared" si="962"/>
        <v>816072128.0036335</v>
      </c>
      <c r="S250">
        <f t="shared" si="963"/>
        <v>8160.721280036335</v>
      </c>
      <c r="T250">
        <f t="shared" si="964"/>
        <v>8.1607212800363342</v>
      </c>
    </row>
    <row r="251" spans="1:20" x14ac:dyDescent="0.25">
      <c r="A251" s="5">
        <v>44342</v>
      </c>
      <c r="B251">
        <v>0.73699999999999999</v>
      </c>
      <c r="C251">
        <v>0.88870000000000005</v>
      </c>
      <c r="D251">
        <v>0.73280000000000001</v>
      </c>
      <c r="E251">
        <v>0.88870000000000005</v>
      </c>
      <c r="F251">
        <v>25297626.120000001</v>
      </c>
      <c r="G251">
        <v>0</v>
      </c>
      <c r="L251" t="s">
        <v>8</v>
      </c>
      <c r="M251" t="s">
        <v>8</v>
      </c>
      <c r="N251" t="s">
        <v>8</v>
      </c>
      <c r="P251">
        <f t="shared" si="960"/>
        <v>1</v>
      </c>
      <c r="Q251">
        <f t="shared" si="961"/>
        <v>25297626.120000001</v>
      </c>
      <c r="R251">
        <f t="shared" si="962"/>
        <v>823509813.37075365</v>
      </c>
      <c r="S251">
        <f t="shared" si="963"/>
        <v>8235.0981337075373</v>
      </c>
      <c r="T251">
        <f t="shared" si="964"/>
        <v>8.2350981337075364</v>
      </c>
    </row>
    <row r="252" spans="1:20" x14ac:dyDescent="0.25">
      <c r="A252" s="5">
        <v>44341</v>
      </c>
      <c r="B252">
        <v>0.72629999999999995</v>
      </c>
      <c r="C252">
        <v>0.77310000000000001</v>
      </c>
      <c r="D252">
        <v>0.66</v>
      </c>
      <c r="E252">
        <v>0.73760000000000003</v>
      </c>
      <c r="F252">
        <v>22408633.41</v>
      </c>
      <c r="G252">
        <v>0</v>
      </c>
      <c r="L252" t="s">
        <v>8</v>
      </c>
      <c r="M252" t="s">
        <v>8</v>
      </c>
      <c r="N252" t="s">
        <v>8</v>
      </c>
      <c r="P252">
        <f t="shared" si="960"/>
        <v>0.37223695844385529</v>
      </c>
      <c r="Q252">
        <f t="shared" si="961"/>
        <v>8341321.5434217574</v>
      </c>
      <c r="R252">
        <f t="shared" si="962"/>
        <v>798212187.25075364</v>
      </c>
      <c r="S252">
        <f t="shared" si="963"/>
        <v>7982.1218725075369</v>
      </c>
      <c r="T252">
        <f t="shared" si="964"/>
        <v>7.9821218725075367</v>
      </c>
    </row>
    <row r="253" spans="1:20" x14ac:dyDescent="0.25">
      <c r="A253" s="5">
        <v>44340</v>
      </c>
      <c r="B253">
        <v>0.55879999999999996</v>
      </c>
      <c r="C253">
        <v>0.74539999999999995</v>
      </c>
      <c r="D253">
        <v>0.54710000000000003</v>
      </c>
      <c r="E253">
        <v>0.7258</v>
      </c>
      <c r="F253">
        <v>36694512.979999997</v>
      </c>
      <c r="G253">
        <v>0</v>
      </c>
      <c r="L253" t="s">
        <v>8</v>
      </c>
      <c r="M253" t="s">
        <v>8</v>
      </c>
      <c r="N253" t="s">
        <v>8</v>
      </c>
      <c r="P253">
        <f t="shared" si="960"/>
        <v>0.80231971759959697</v>
      </c>
      <c r="Q253">
        <f t="shared" si="961"/>
        <v>29440731.291568343</v>
      </c>
      <c r="R253">
        <f t="shared" si="962"/>
        <v>789870865.7073319</v>
      </c>
      <c r="S253">
        <f t="shared" si="963"/>
        <v>7898.708657073319</v>
      </c>
      <c r="T253">
        <f t="shared" si="964"/>
        <v>7.8987086570733194</v>
      </c>
    </row>
    <row r="254" spans="1:20" x14ac:dyDescent="0.25">
      <c r="A254" s="5">
        <v>44339</v>
      </c>
      <c r="B254">
        <v>0.68059999999999998</v>
      </c>
      <c r="C254">
        <v>0.70860000000000001</v>
      </c>
      <c r="D254">
        <v>0.4541</v>
      </c>
      <c r="E254">
        <v>0.55759999999999998</v>
      </c>
      <c r="F254">
        <v>50330774.780000001</v>
      </c>
      <c r="G254">
        <v>0</v>
      </c>
      <c r="L254" t="s">
        <v>7</v>
      </c>
      <c r="M254" t="s">
        <v>7</v>
      </c>
      <c r="N254" t="s">
        <v>7</v>
      </c>
      <c r="P254">
        <f t="shared" si="960"/>
        <v>-0.1866404715127703</v>
      </c>
      <c r="Q254">
        <f t="shared" si="961"/>
        <v>-9393759.536542248</v>
      </c>
      <c r="R254">
        <f t="shared" si="962"/>
        <v>760430134.4157635</v>
      </c>
      <c r="S254">
        <f t="shared" si="963"/>
        <v>7604.301344157635</v>
      </c>
      <c r="T254">
        <f t="shared" si="964"/>
        <v>7.6043013441576353</v>
      </c>
    </row>
    <row r="255" spans="1:20" x14ac:dyDescent="0.25">
      <c r="A255" s="5">
        <v>44338</v>
      </c>
      <c r="B255">
        <v>0.755</v>
      </c>
      <c r="C255">
        <v>0.76480000000000004</v>
      </c>
      <c r="D255">
        <v>0.65200000000000002</v>
      </c>
      <c r="E255">
        <v>0.6804</v>
      </c>
      <c r="F255">
        <v>26771159.329999998</v>
      </c>
      <c r="G255">
        <v>0</v>
      </c>
      <c r="L255" t="s">
        <v>8</v>
      </c>
      <c r="M255" t="s">
        <v>7</v>
      </c>
      <c r="N255" t="s">
        <v>7</v>
      </c>
      <c r="P255">
        <f t="shared" si="960"/>
        <v>-0.49645390070922024</v>
      </c>
      <c r="Q255">
        <f t="shared" si="961"/>
        <v>-13290646.475886535</v>
      </c>
      <c r="R255">
        <f t="shared" si="962"/>
        <v>769823893.95230579</v>
      </c>
      <c r="S255">
        <f t="shared" si="963"/>
        <v>7698.2389395230575</v>
      </c>
      <c r="T255">
        <f t="shared" si="964"/>
        <v>7.6982389395230575</v>
      </c>
    </row>
    <row r="256" spans="1:20" x14ac:dyDescent="0.25">
      <c r="A256" s="5">
        <v>44337</v>
      </c>
      <c r="B256">
        <v>0.87549999999999994</v>
      </c>
      <c r="C256">
        <v>0.91930000000000001</v>
      </c>
      <c r="D256">
        <v>0.64859999999999995</v>
      </c>
      <c r="E256">
        <v>0.75470000000000004</v>
      </c>
      <c r="F256">
        <v>39722671.479999997</v>
      </c>
      <c r="G256">
        <v>0</v>
      </c>
      <c r="L256" t="s">
        <v>7</v>
      </c>
      <c r="M256" t="s">
        <v>7</v>
      </c>
      <c r="N256" t="s">
        <v>7</v>
      </c>
      <c r="P256">
        <f t="shared" si="960"/>
        <v>-0.21610639083856623</v>
      </c>
      <c r="Q256">
        <f t="shared" si="961"/>
        <v>-8584323.1680088472</v>
      </c>
      <c r="R256">
        <f t="shared" si="962"/>
        <v>783114540.42819238</v>
      </c>
      <c r="S256">
        <f t="shared" si="963"/>
        <v>7831.1454042819241</v>
      </c>
      <c r="T256">
        <f t="shared" si="964"/>
        <v>7.8311454042819237</v>
      </c>
    </row>
    <row r="257" spans="1:20" x14ac:dyDescent="0.25">
      <c r="A257" s="5">
        <v>44336</v>
      </c>
      <c r="B257">
        <v>0.74509999999999998</v>
      </c>
      <c r="C257">
        <v>0.9173</v>
      </c>
      <c r="D257">
        <v>0.66159999999999997</v>
      </c>
      <c r="E257">
        <v>0.87609999999999999</v>
      </c>
      <c r="F257">
        <v>37979385.950000003</v>
      </c>
      <c r="G257">
        <v>0</v>
      </c>
      <c r="L257" t="s">
        <v>8</v>
      </c>
      <c r="M257" t="s">
        <v>8</v>
      </c>
      <c r="N257" t="s">
        <v>8</v>
      </c>
      <c r="P257">
        <f t="shared" si="960"/>
        <v>0.67774736018771997</v>
      </c>
      <c r="Q257">
        <f t="shared" si="961"/>
        <v>25740428.569163084</v>
      </c>
      <c r="R257">
        <f t="shared" si="962"/>
        <v>791698863.59620118</v>
      </c>
      <c r="S257">
        <f t="shared" si="963"/>
        <v>7916.9886359620123</v>
      </c>
      <c r="T257">
        <f t="shared" si="964"/>
        <v>7.9169886359620119</v>
      </c>
    </row>
    <row r="258" spans="1:20" x14ac:dyDescent="0.25">
      <c r="A258" s="5">
        <v>44335</v>
      </c>
      <c r="B258">
        <v>1.1055999999999999</v>
      </c>
      <c r="C258">
        <v>1.1189</v>
      </c>
      <c r="D258">
        <v>0.56289999999999996</v>
      </c>
      <c r="E258">
        <v>0.74470000000000003</v>
      </c>
      <c r="F258">
        <v>60337907.479999997</v>
      </c>
      <c r="G258">
        <v>0</v>
      </c>
      <c r="L258" t="s">
        <v>7</v>
      </c>
      <c r="M258" t="s">
        <v>7</v>
      </c>
      <c r="N258" t="s">
        <v>7</v>
      </c>
      <c r="P258">
        <f t="shared" si="960"/>
        <v>-0.3460431654676257</v>
      </c>
      <c r="Q258">
        <f t="shared" si="961"/>
        <v>-20879520.502071928</v>
      </c>
      <c r="R258">
        <f t="shared" si="962"/>
        <v>765958435.0270381</v>
      </c>
      <c r="S258">
        <f t="shared" si="963"/>
        <v>7659.584350270381</v>
      </c>
      <c r="T258">
        <f t="shared" si="964"/>
        <v>7.6595843502703813</v>
      </c>
    </row>
    <row r="259" spans="1:20" x14ac:dyDescent="0.25">
      <c r="A259" s="5">
        <v>44334</v>
      </c>
      <c r="B259">
        <v>1.0570999999999999</v>
      </c>
      <c r="C259">
        <v>1.1426000000000001</v>
      </c>
      <c r="D259">
        <v>1.0481</v>
      </c>
      <c r="E259">
        <v>1.1056999999999999</v>
      </c>
      <c r="F259">
        <v>15619640.85</v>
      </c>
      <c r="G259">
        <v>0</v>
      </c>
      <c r="L259" t="s">
        <v>8</v>
      </c>
      <c r="M259" t="s">
        <v>7</v>
      </c>
      <c r="N259" t="s">
        <v>7</v>
      </c>
      <c r="P259">
        <f t="shared" si="960"/>
        <v>0.21904761904761599</v>
      </c>
      <c r="Q259">
        <f t="shared" si="961"/>
        <v>3421445.1385713806</v>
      </c>
      <c r="R259">
        <f t="shared" si="962"/>
        <v>786837955.52911007</v>
      </c>
      <c r="S259">
        <f t="shared" si="963"/>
        <v>7868.3795552911006</v>
      </c>
      <c r="T259">
        <f t="shared" si="964"/>
        <v>7.8683795552911002</v>
      </c>
    </row>
    <row r="260" spans="1:20" x14ac:dyDescent="0.25">
      <c r="A260" s="5">
        <v>44333</v>
      </c>
      <c r="B260">
        <v>1.1420999999999999</v>
      </c>
      <c r="C260">
        <v>1.1445000000000001</v>
      </c>
      <c r="D260">
        <v>1.02</v>
      </c>
      <c r="E260">
        <v>1.0590999999999999</v>
      </c>
      <c r="F260">
        <v>22140278.370000001</v>
      </c>
      <c r="G260">
        <v>0</v>
      </c>
      <c r="L260" t="s">
        <v>7</v>
      </c>
      <c r="M260" t="s">
        <v>7</v>
      </c>
      <c r="N260" t="s">
        <v>7</v>
      </c>
      <c r="P260">
        <f t="shared" si="960"/>
        <v>-0.37188755020080488</v>
      </c>
      <c r="Q260">
        <f t="shared" si="961"/>
        <v>-8233693.88378317</v>
      </c>
      <c r="R260">
        <f t="shared" si="962"/>
        <v>783416510.39053869</v>
      </c>
      <c r="S260">
        <f t="shared" si="963"/>
        <v>7834.1651039053868</v>
      </c>
      <c r="T260">
        <f t="shared" si="964"/>
        <v>7.834165103905387</v>
      </c>
    </row>
    <row r="261" spans="1:20" x14ac:dyDescent="0.25">
      <c r="A261" s="5">
        <v>44332</v>
      </c>
      <c r="B261">
        <v>1.1354</v>
      </c>
      <c r="C261">
        <v>1.2399</v>
      </c>
      <c r="D261">
        <v>1.0762</v>
      </c>
      <c r="E261">
        <v>1.1424000000000001</v>
      </c>
      <c r="F261">
        <v>21275837.199999999</v>
      </c>
      <c r="G261">
        <v>0</v>
      </c>
      <c r="L261" t="s">
        <v>7</v>
      </c>
      <c r="M261" t="s">
        <v>7</v>
      </c>
      <c r="N261" t="s">
        <v>7</v>
      </c>
      <c r="P261">
        <f t="shared" si="960"/>
        <v>-0.19120342089187473</v>
      </c>
      <c r="Q261">
        <f t="shared" si="961"/>
        <v>-4068012.8549786052</v>
      </c>
      <c r="R261">
        <f t="shared" si="962"/>
        <v>791650204.27432191</v>
      </c>
      <c r="S261">
        <f t="shared" si="963"/>
        <v>7916.5020427432191</v>
      </c>
      <c r="T261">
        <f t="shared" si="964"/>
        <v>7.9165020427432191</v>
      </c>
    </row>
    <row r="262" spans="1:20" x14ac:dyDescent="0.25">
      <c r="A262" s="5">
        <v>44331</v>
      </c>
      <c r="B262">
        <v>1.2181999999999999</v>
      </c>
      <c r="C262">
        <v>1.23</v>
      </c>
      <c r="D262">
        <v>1.1244000000000001</v>
      </c>
      <c r="E262">
        <v>1.1357999999999999</v>
      </c>
      <c r="F262">
        <v>16872117.379999999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5">IF(C262=D262,0,((E262-D262)-(C262-E262))/(C262-D262))</f>
        <v>-0.78409090909091173</v>
      </c>
      <c r="Q262">
        <f t="shared" ref="Q262:Q325" si="966">F262*P262</f>
        <v>-13229273.854772771</v>
      </c>
      <c r="R262">
        <f t="shared" ref="R262:R325" si="967">R263+Q262</f>
        <v>795718217.12930048</v>
      </c>
      <c r="S262">
        <f t="shared" ref="S262:S325" si="968">R262/100000</f>
        <v>7957.182171293005</v>
      </c>
      <c r="T262">
        <f t="shared" ref="T262:T325" si="969">S262/1000</f>
        <v>7.9571821712930051</v>
      </c>
    </row>
    <row r="263" spans="1:20" x14ac:dyDescent="0.25">
      <c r="A263" s="5">
        <v>44330</v>
      </c>
      <c r="B263">
        <v>1.1910000000000001</v>
      </c>
      <c r="C263">
        <v>1.25</v>
      </c>
      <c r="D263">
        <v>1.175</v>
      </c>
      <c r="E263">
        <v>1.2185999999999999</v>
      </c>
      <c r="F263">
        <v>16856254.170000002</v>
      </c>
      <c r="G263">
        <v>0</v>
      </c>
      <c r="L263" t="s">
        <v>8</v>
      </c>
      <c r="M263" t="s">
        <v>7</v>
      </c>
      <c r="N263" t="s">
        <v>7</v>
      </c>
      <c r="P263">
        <f t="shared" si="965"/>
        <v>0.16266666666666366</v>
      </c>
      <c r="Q263">
        <f t="shared" si="966"/>
        <v>2741950.6783199497</v>
      </c>
      <c r="R263">
        <f t="shared" si="967"/>
        <v>808947490.98407328</v>
      </c>
      <c r="S263">
        <f t="shared" si="968"/>
        <v>8089.4749098407328</v>
      </c>
      <c r="T263">
        <f t="shared" si="969"/>
        <v>8.0894749098407335</v>
      </c>
    </row>
    <row r="264" spans="1:20" x14ac:dyDescent="0.25">
      <c r="A264" s="5">
        <v>44329</v>
      </c>
      <c r="B264">
        <v>1.1653</v>
      </c>
      <c r="C264">
        <v>1.2524999999999999</v>
      </c>
      <c r="D264">
        <v>1.0880000000000001</v>
      </c>
      <c r="E264">
        <v>1.1933</v>
      </c>
      <c r="F264">
        <v>32440820.649999999</v>
      </c>
      <c r="G264">
        <v>0</v>
      </c>
      <c r="L264" t="s">
        <v>7</v>
      </c>
      <c r="M264" t="s">
        <v>7</v>
      </c>
      <c r="N264" t="s">
        <v>7</v>
      </c>
      <c r="P264">
        <f t="shared" si="965"/>
        <v>0.28024316109422531</v>
      </c>
      <c r="Q264">
        <f t="shared" si="966"/>
        <v>9091318.127446821</v>
      </c>
      <c r="R264">
        <f t="shared" si="967"/>
        <v>806205540.30575335</v>
      </c>
      <c r="S264">
        <f t="shared" si="968"/>
        <v>8062.0554030575331</v>
      </c>
      <c r="T264">
        <f t="shared" si="969"/>
        <v>8.0620554030575331</v>
      </c>
    </row>
    <row r="265" spans="1:20" x14ac:dyDescent="0.25">
      <c r="A265" s="5">
        <v>44328</v>
      </c>
      <c r="B265">
        <v>1.3969</v>
      </c>
      <c r="C265">
        <v>1.417</v>
      </c>
      <c r="D265">
        <v>1.1499999999999999</v>
      </c>
      <c r="E265">
        <v>1.1644000000000001</v>
      </c>
      <c r="F265">
        <v>24645396.460000001</v>
      </c>
      <c r="G265">
        <v>0</v>
      </c>
      <c r="L265" t="s">
        <v>8</v>
      </c>
      <c r="M265" t="s">
        <v>7</v>
      </c>
      <c r="N265" t="s">
        <v>8</v>
      </c>
      <c r="P265">
        <f t="shared" si="965"/>
        <v>-0.89213483146067274</v>
      </c>
      <c r="Q265">
        <f t="shared" si="966"/>
        <v>-21987016.617123563</v>
      </c>
      <c r="R265">
        <f t="shared" si="967"/>
        <v>797114222.17830658</v>
      </c>
      <c r="S265">
        <f t="shared" si="968"/>
        <v>7971.1422217830659</v>
      </c>
      <c r="T265">
        <f t="shared" si="969"/>
        <v>7.9711422217830661</v>
      </c>
    </row>
    <row r="266" spans="1:20" x14ac:dyDescent="0.25">
      <c r="A266" s="5">
        <v>44327</v>
      </c>
      <c r="B266">
        <v>1.3120000000000001</v>
      </c>
      <c r="C266">
        <v>1.3984000000000001</v>
      </c>
      <c r="D266">
        <v>1.2585</v>
      </c>
      <c r="E266">
        <v>1.3969</v>
      </c>
      <c r="F266">
        <v>25357563.350000001</v>
      </c>
      <c r="G266">
        <v>0</v>
      </c>
      <c r="L266" t="s">
        <v>8</v>
      </c>
      <c r="M266" t="s">
        <v>7</v>
      </c>
      <c r="N266" t="s">
        <v>8</v>
      </c>
      <c r="P266">
        <f t="shared" si="965"/>
        <v>0.97855611150821942</v>
      </c>
      <c r="Q266">
        <f t="shared" si="966"/>
        <v>24813798.58909934</v>
      </c>
      <c r="R266">
        <f t="shared" si="967"/>
        <v>819101238.79543018</v>
      </c>
      <c r="S266">
        <f t="shared" si="968"/>
        <v>8191.0123879543016</v>
      </c>
      <c r="T266">
        <f t="shared" si="969"/>
        <v>8.1910123879543022</v>
      </c>
    </row>
    <row r="267" spans="1:20" x14ac:dyDescent="0.25">
      <c r="A267" s="5">
        <v>44326</v>
      </c>
      <c r="B267">
        <v>1.411</v>
      </c>
      <c r="C267">
        <v>1.4974000000000001</v>
      </c>
      <c r="D267">
        <v>1.2379</v>
      </c>
      <c r="E267">
        <v>1.3121</v>
      </c>
      <c r="F267">
        <v>35539233.399999999</v>
      </c>
      <c r="G267">
        <v>0</v>
      </c>
      <c r="L267" t="s">
        <v>7</v>
      </c>
      <c r="M267" t="s">
        <v>7</v>
      </c>
      <c r="N267" t="s">
        <v>8</v>
      </c>
      <c r="P267">
        <f t="shared" si="965"/>
        <v>-0.42813102119460483</v>
      </c>
      <c r="Q267">
        <f t="shared" si="966"/>
        <v>-15215448.288015407</v>
      </c>
      <c r="R267">
        <f t="shared" si="967"/>
        <v>794287440.2063309</v>
      </c>
      <c r="S267">
        <f t="shared" si="968"/>
        <v>7942.8744020633094</v>
      </c>
      <c r="T267">
        <f t="shared" si="969"/>
        <v>7.9428744020633095</v>
      </c>
    </row>
    <row r="268" spans="1:20" x14ac:dyDescent="0.25">
      <c r="A268" s="5">
        <v>44325</v>
      </c>
      <c r="B268">
        <v>1.4182999999999999</v>
      </c>
      <c r="C268">
        <v>1.4643999999999999</v>
      </c>
      <c r="D268">
        <v>1.3345</v>
      </c>
      <c r="E268">
        <v>1.4118999999999999</v>
      </c>
      <c r="F268">
        <v>24914810.34</v>
      </c>
      <c r="G268">
        <v>0</v>
      </c>
      <c r="L268" t="s">
        <v>7</v>
      </c>
      <c r="M268" t="s">
        <v>7</v>
      </c>
      <c r="N268" t="s">
        <v>8</v>
      </c>
      <c r="P268">
        <f t="shared" si="965"/>
        <v>0.1916859122401843</v>
      </c>
      <c r="Q268">
        <f t="shared" si="966"/>
        <v>4775818.1483140765</v>
      </c>
      <c r="R268">
        <f t="shared" si="967"/>
        <v>809502888.49434626</v>
      </c>
      <c r="S268">
        <f t="shared" si="968"/>
        <v>8095.0288849434628</v>
      </c>
      <c r="T268">
        <f t="shared" si="969"/>
        <v>8.0950288849434635</v>
      </c>
    </row>
    <row r="269" spans="1:20" x14ac:dyDescent="0.25">
      <c r="A269" s="5">
        <v>44324</v>
      </c>
      <c r="B269">
        <v>1.4071</v>
      </c>
      <c r="C269">
        <v>1.5169999999999999</v>
      </c>
      <c r="D269">
        <v>1.3793</v>
      </c>
      <c r="E269">
        <v>1.4182999999999999</v>
      </c>
      <c r="F269">
        <v>28042547.969999999</v>
      </c>
      <c r="G269">
        <v>0</v>
      </c>
      <c r="L269" t="s">
        <v>7</v>
      </c>
      <c r="M269" t="s">
        <v>8</v>
      </c>
      <c r="N269" t="s">
        <v>8</v>
      </c>
      <c r="P269">
        <f t="shared" si="965"/>
        <v>-0.43355119825708144</v>
      </c>
      <c r="Q269">
        <f t="shared" si="966"/>
        <v>-12157880.274575187</v>
      </c>
      <c r="R269">
        <f t="shared" si="967"/>
        <v>804727070.34603214</v>
      </c>
      <c r="S269">
        <f t="shared" si="968"/>
        <v>8047.2707034603218</v>
      </c>
      <c r="T269">
        <f t="shared" si="969"/>
        <v>8.0472707034603221</v>
      </c>
    </row>
    <row r="270" spans="1:20" x14ac:dyDescent="0.25">
      <c r="A270" s="5">
        <v>44323</v>
      </c>
      <c r="B270">
        <v>1.4029</v>
      </c>
      <c r="C270">
        <v>1.5948</v>
      </c>
      <c r="D270">
        <v>1.3517999999999999</v>
      </c>
      <c r="E270">
        <v>1.4064000000000001</v>
      </c>
      <c r="F270">
        <v>58692939.479999997</v>
      </c>
      <c r="G270">
        <v>0</v>
      </c>
      <c r="L270" t="s">
        <v>8</v>
      </c>
      <c r="M270" t="s">
        <v>8</v>
      </c>
      <c r="N270" t="s">
        <v>8</v>
      </c>
      <c r="P270">
        <f t="shared" si="965"/>
        <v>-0.55061728395061582</v>
      </c>
      <c r="Q270">
        <f t="shared" si="966"/>
        <v>-32317346.923555467</v>
      </c>
      <c r="R270">
        <f t="shared" si="967"/>
        <v>816884950.62060738</v>
      </c>
      <c r="S270">
        <f t="shared" si="968"/>
        <v>8168.8495062060738</v>
      </c>
      <c r="T270">
        <f t="shared" si="969"/>
        <v>8.1688495062060742</v>
      </c>
    </row>
    <row r="271" spans="1:20" x14ac:dyDescent="0.25">
      <c r="A271" s="5">
        <v>44322</v>
      </c>
      <c r="B271">
        <v>1.3634999999999999</v>
      </c>
      <c r="C271">
        <v>1.45</v>
      </c>
      <c r="D271">
        <v>1.3260000000000001</v>
      </c>
      <c r="E271">
        <v>1.4038999999999999</v>
      </c>
      <c r="F271">
        <v>42571826.380000003</v>
      </c>
      <c r="G271">
        <v>0</v>
      </c>
      <c r="L271" t="s">
        <v>8</v>
      </c>
      <c r="M271" t="s">
        <v>8</v>
      </c>
      <c r="N271" t="s">
        <v>8</v>
      </c>
      <c r="P271">
        <f t="shared" si="965"/>
        <v>0.25645161290322466</v>
      </c>
      <c r="Q271">
        <f t="shared" si="966"/>
        <v>10917613.539387049</v>
      </c>
      <c r="R271">
        <f t="shared" si="967"/>
        <v>849202297.54416287</v>
      </c>
      <c r="S271">
        <f t="shared" si="968"/>
        <v>8492.0229754416287</v>
      </c>
      <c r="T271">
        <f t="shared" si="969"/>
        <v>8.4920229754416283</v>
      </c>
    </row>
    <row r="272" spans="1:20" x14ac:dyDescent="0.25">
      <c r="A272" s="5">
        <v>44321</v>
      </c>
      <c r="B272">
        <v>1.1652</v>
      </c>
      <c r="C272">
        <v>1.3740000000000001</v>
      </c>
      <c r="D272">
        <v>1.1565000000000001</v>
      </c>
      <c r="E272">
        <v>1.3631</v>
      </c>
      <c r="F272">
        <v>34366102.729999997</v>
      </c>
      <c r="G272">
        <v>0</v>
      </c>
      <c r="L272" t="s">
        <v>8</v>
      </c>
      <c r="M272" t="s">
        <v>8</v>
      </c>
      <c r="N272" t="s">
        <v>8</v>
      </c>
      <c r="P272">
        <f t="shared" si="965"/>
        <v>0.89977011494252757</v>
      </c>
      <c r="Q272">
        <f t="shared" si="966"/>
        <v>30921592.203498807</v>
      </c>
      <c r="R272">
        <f t="shared" si="967"/>
        <v>838284684.00477576</v>
      </c>
      <c r="S272">
        <f t="shared" si="968"/>
        <v>8382.8468400477577</v>
      </c>
      <c r="T272">
        <f t="shared" si="969"/>
        <v>8.3828468400477583</v>
      </c>
    </row>
    <row r="273" spans="1:20" x14ac:dyDescent="0.25">
      <c r="A273" s="5">
        <v>44320</v>
      </c>
      <c r="B273">
        <v>1.2918000000000001</v>
      </c>
      <c r="C273">
        <v>1.2937000000000001</v>
      </c>
      <c r="D273">
        <v>1.1311</v>
      </c>
      <c r="E273">
        <v>1.1649</v>
      </c>
      <c r="F273">
        <v>27257855.640000001</v>
      </c>
      <c r="G273">
        <v>0</v>
      </c>
      <c r="L273" t="s">
        <v>7</v>
      </c>
      <c r="M273" t="s">
        <v>8</v>
      </c>
      <c r="N273" t="s">
        <v>8</v>
      </c>
      <c r="P273">
        <f t="shared" si="965"/>
        <v>-0.58425584255842511</v>
      </c>
      <c r="Q273">
        <f t="shared" si="966"/>
        <v>-15925561.413284121</v>
      </c>
      <c r="R273">
        <f t="shared" si="967"/>
        <v>807363091.80127692</v>
      </c>
      <c r="S273">
        <f t="shared" si="968"/>
        <v>8073.6309180127691</v>
      </c>
      <c r="T273">
        <f t="shared" si="969"/>
        <v>8.0736309180127694</v>
      </c>
    </row>
    <row r="274" spans="1:20" x14ac:dyDescent="0.25">
      <c r="A274" s="5">
        <v>44319</v>
      </c>
      <c r="B274">
        <v>1.2544999999999999</v>
      </c>
      <c r="C274">
        <v>1.3226</v>
      </c>
      <c r="D274">
        <v>1.2526999999999999</v>
      </c>
      <c r="E274">
        <v>1.2924</v>
      </c>
      <c r="F274">
        <v>18650446.059999999</v>
      </c>
      <c r="G274">
        <v>0</v>
      </c>
      <c r="L274" t="s">
        <v>8</v>
      </c>
      <c r="M274" t="s">
        <v>8</v>
      </c>
      <c r="N274" t="s">
        <v>8</v>
      </c>
      <c r="P274">
        <f t="shared" si="965"/>
        <v>0.13590844062947144</v>
      </c>
      <c r="Q274">
        <f t="shared" si="966"/>
        <v>2534753.0410586693</v>
      </c>
      <c r="R274">
        <f t="shared" si="967"/>
        <v>823288653.21456099</v>
      </c>
      <c r="S274">
        <f t="shared" si="968"/>
        <v>8232.8865321456105</v>
      </c>
      <c r="T274">
        <f t="shared" si="969"/>
        <v>8.2328865321456099</v>
      </c>
    </row>
    <row r="275" spans="1:20" x14ac:dyDescent="0.25">
      <c r="A275" s="5">
        <v>44318</v>
      </c>
      <c r="B275">
        <v>1.2697000000000001</v>
      </c>
      <c r="C275">
        <v>1.2978000000000001</v>
      </c>
      <c r="D275">
        <v>1.22</v>
      </c>
      <c r="E275">
        <v>1.2546999999999999</v>
      </c>
      <c r="F275">
        <v>15324875.85</v>
      </c>
      <c r="G275">
        <v>0</v>
      </c>
      <c r="L275" t="s">
        <v>8</v>
      </c>
      <c r="M275" t="s">
        <v>8</v>
      </c>
      <c r="N275" t="s">
        <v>8</v>
      </c>
      <c r="P275">
        <f t="shared" si="965"/>
        <v>-0.1079691516709534</v>
      </c>
      <c r="Q275">
        <f t="shared" si="966"/>
        <v>-1654613.844987181</v>
      </c>
      <c r="R275">
        <f t="shared" si="967"/>
        <v>820753900.17350233</v>
      </c>
      <c r="S275">
        <f t="shared" si="968"/>
        <v>8207.5390017350237</v>
      </c>
      <c r="T275">
        <f t="shared" si="969"/>
        <v>8.2075390017350234</v>
      </c>
    </row>
    <row r="276" spans="1:20" x14ac:dyDescent="0.25">
      <c r="A276" s="5">
        <v>44317</v>
      </c>
      <c r="B276">
        <v>1.2641</v>
      </c>
      <c r="C276">
        <v>1.3005</v>
      </c>
      <c r="D276">
        <v>1.2319</v>
      </c>
      <c r="E276">
        <v>1.2692000000000001</v>
      </c>
      <c r="F276">
        <v>20686317.149999999</v>
      </c>
      <c r="G276">
        <v>0</v>
      </c>
      <c r="L276" t="s">
        <v>8</v>
      </c>
      <c r="M276" t="s">
        <v>8</v>
      </c>
      <c r="N276" t="s">
        <v>8</v>
      </c>
      <c r="P276">
        <f t="shared" si="965"/>
        <v>8.746355685131528E-2</v>
      </c>
      <c r="Q276">
        <f t="shared" si="966"/>
        <v>1809298.8760933632</v>
      </c>
      <c r="R276">
        <f t="shared" si="967"/>
        <v>822408514.01848948</v>
      </c>
      <c r="S276">
        <f t="shared" si="968"/>
        <v>8224.085140184894</v>
      </c>
      <c r="T276">
        <f t="shared" si="969"/>
        <v>8.2240851401848936</v>
      </c>
    </row>
    <row r="277" spans="1:20" x14ac:dyDescent="0.25">
      <c r="A277" s="5">
        <v>44316</v>
      </c>
      <c r="B277">
        <v>1.1875</v>
      </c>
      <c r="C277">
        <v>1.2779</v>
      </c>
      <c r="D277">
        <v>1.1641999999999999</v>
      </c>
      <c r="E277">
        <v>1.2636000000000001</v>
      </c>
      <c r="F277">
        <v>19717442.84</v>
      </c>
      <c r="G277">
        <v>0</v>
      </c>
      <c r="L277" t="s">
        <v>8</v>
      </c>
      <c r="M277" t="s">
        <v>8</v>
      </c>
      <c r="N277" t="s">
        <v>8</v>
      </c>
      <c r="P277">
        <f t="shared" si="965"/>
        <v>0.74846086191732697</v>
      </c>
      <c r="Q277">
        <f t="shared" si="966"/>
        <v>14757734.262832027</v>
      </c>
      <c r="R277">
        <f t="shared" si="967"/>
        <v>820599215.14239609</v>
      </c>
      <c r="S277">
        <f t="shared" si="968"/>
        <v>8205.9921514239613</v>
      </c>
      <c r="T277">
        <f t="shared" si="969"/>
        <v>8.2059921514239615</v>
      </c>
    </row>
    <row r="278" spans="1:20" x14ac:dyDescent="0.25">
      <c r="A278" s="5">
        <v>44315</v>
      </c>
      <c r="B278">
        <v>1.2004999999999999</v>
      </c>
      <c r="C278">
        <v>1.2366999999999999</v>
      </c>
      <c r="D278">
        <v>1.1520999999999999</v>
      </c>
      <c r="E278">
        <v>1.1881999999999999</v>
      </c>
      <c r="F278">
        <v>16936609.260000002</v>
      </c>
      <c r="G278">
        <v>0</v>
      </c>
      <c r="L278" t="s">
        <v>7</v>
      </c>
      <c r="M278" t="s">
        <v>8</v>
      </c>
      <c r="N278" t="s">
        <v>8</v>
      </c>
      <c r="P278">
        <f t="shared" si="965"/>
        <v>-0.14657210401891213</v>
      </c>
      <c r="Q278">
        <f t="shared" si="966"/>
        <v>-2482434.4541843906</v>
      </c>
      <c r="R278">
        <f t="shared" si="967"/>
        <v>805841480.87956405</v>
      </c>
      <c r="S278">
        <f t="shared" si="968"/>
        <v>8058.4148087956401</v>
      </c>
      <c r="T278">
        <f t="shared" si="969"/>
        <v>8.0584148087956393</v>
      </c>
    </row>
    <row r="279" spans="1:20" x14ac:dyDescent="0.25">
      <c r="A279" s="5">
        <v>44314</v>
      </c>
      <c r="B279">
        <v>1.2323999999999999</v>
      </c>
      <c r="C279">
        <v>1.2797000000000001</v>
      </c>
      <c r="D279">
        <v>1.1469</v>
      </c>
      <c r="E279">
        <v>1.2004999999999999</v>
      </c>
      <c r="F279">
        <v>20651938.719999999</v>
      </c>
      <c r="G279">
        <v>0</v>
      </c>
      <c r="L279" t="s">
        <v>8</v>
      </c>
      <c r="M279" t="s">
        <v>8</v>
      </c>
      <c r="N279" t="s">
        <v>8</v>
      </c>
      <c r="P279">
        <f t="shared" si="965"/>
        <v>-0.19277108433735154</v>
      </c>
      <c r="Q279">
        <f t="shared" si="966"/>
        <v>-3981096.6207229355</v>
      </c>
      <c r="R279">
        <f t="shared" si="967"/>
        <v>808323915.33374846</v>
      </c>
      <c r="S279">
        <f t="shared" si="968"/>
        <v>8083.2391533374848</v>
      </c>
      <c r="T279">
        <f t="shared" si="969"/>
        <v>8.0832391533374857</v>
      </c>
    </row>
    <row r="280" spans="1:20" x14ac:dyDescent="0.25">
      <c r="A280" s="5">
        <v>44313</v>
      </c>
      <c r="B280">
        <v>1.1626000000000001</v>
      </c>
      <c r="C280">
        <v>1.2516</v>
      </c>
      <c r="D280">
        <v>1.1376999999999999</v>
      </c>
      <c r="E280">
        <v>1.2323999999999999</v>
      </c>
      <c r="F280">
        <v>19525421.190000001</v>
      </c>
      <c r="G280">
        <v>0</v>
      </c>
      <c r="L280" t="s">
        <v>8</v>
      </c>
      <c r="M280" t="s">
        <v>8</v>
      </c>
      <c r="N280" t="s">
        <v>8</v>
      </c>
      <c r="P280">
        <f t="shared" si="965"/>
        <v>0.66286215978928731</v>
      </c>
      <c r="Q280">
        <f t="shared" si="966"/>
        <v>12942662.860798918</v>
      </c>
      <c r="R280">
        <f t="shared" si="967"/>
        <v>812305011.95447135</v>
      </c>
      <c r="S280">
        <f t="shared" si="968"/>
        <v>8123.0501195447132</v>
      </c>
      <c r="T280">
        <f t="shared" si="969"/>
        <v>8.1230501195447129</v>
      </c>
    </row>
    <row r="281" spans="1:20" x14ac:dyDescent="0.25">
      <c r="A281" s="5">
        <v>44312</v>
      </c>
      <c r="B281">
        <v>1.0259</v>
      </c>
      <c r="C281">
        <v>1.1661999999999999</v>
      </c>
      <c r="D281">
        <v>1.0119</v>
      </c>
      <c r="E281">
        <v>1.1640999999999999</v>
      </c>
      <c r="F281">
        <v>22432052.870000001</v>
      </c>
      <c r="G281">
        <v>0</v>
      </c>
      <c r="L281" t="s">
        <v>8</v>
      </c>
      <c r="M281" t="s">
        <v>8</v>
      </c>
      <c r="N281" t="s">
        <v>7</v>
      </c>
      <c r="P281">
        <f t="shared" si="965"/>
        <v>0.97278029812054445</v>
      </c>
      <c r="Q281">
        <f t="shared" si="966"/>
        <v>21821459.078334417</v>
      </c>
      <c r="R281">
        <f t="shared" si="967"/>
        <v>799362349.09367239</v>
      </c>
      <c r="S281">
        <f t="shared" si="968"/>
        <v>7993.623490936724</v>
      </c>
      <c r="T281">
        <f t="shared" si="969"/>
        <v>7.9936234909367236</v>
      </c>
    </row>
    <row r="282" spans="1:20" x14ac:dyDescent="0.25">
      <c r="A282" s="5">
        <v>44311</v>
      </c>
      <c r="B282">
        <v>1.0323</v>
      </c>
      <c r="C282">
        <v>1.1046</v>
      </c>
      <c r="D282">
        <v>0.96750000000000003</v>
      </c>
      <c r="E282">
        <v>1.0266999999999999</v>
      </c>
      <c r="F282">
        <v>14099056.279999999</v>
      </c>
      <c r="G282">
        <v>0</v>
      </c>
      <c r="L282" t="s">
        <v>7</v>
      </c>
      <c r="M282" t="s">
        <v>7</v>
      </c>
      <c r="N282" t="s">
        <v>7</v>
      </c>
      <c r="P282">
        <f t="shared" si="965"/>
        <v>-0.13639679066375027</v>
      </c>
      <c r="Q282">
        <f t="shared" si="966"/>
        <v>-1923066.0279795935</v>
      </c>
      <c r="R282">
        <f t="shared" si="967"/>
        <v>777540890.01533794</v>
      </c>
      <c r="S282">
        <f t="shared" si="968"/>
        <v>7775.4089001533794</v>
      </c>
      <c r="T282">
        <f t="shared" si="969"/>
        <v>7.775408900153379</v>
      </c>
    </row>
    <row r="283" spans="1:20" x14ac:dyDescent="0.25">
      <c r="A283" s="5">
        <v>44310</v>
      </c>
      <c r="B283">
        <v>1.1724000000000001</v>
      </c>
      <c r="C283">
        <v>1.1755</v>
      </c>
      <c r="D283">
        <v>1.028</v>
      </c>
      <c r="E283">
        <v>1.0324</v>
      </c>
      <c r="F283">
        <v>19960365.550000001</v>
      </c>
      <c r="G283">
        <v>0</v>
      </c>
      <c r="L283" t="s">
        <v>8</v>
      </c>
      <c r="M283" t="s">
        <v>8</v>
      </c>
      <c r="N283" t="s">
        <v>7</v>
      </c>
      <c r="P283">
        <f t="shared" si="965"/>
        <v>-0.94033898305084795</v>
      </c>
      <c r="Q283">
        <f t="shared" si="966"/>
        <v>-18769509.84261018</v>
      </c>
      <c r="R283">
        <f t="shared" si="967"/>
        <v>779463956.04331756</v>
      </c>
      <c r="S283">
        <f t="shared" si="968"/>
        <v>7794.6395604331756</v>
      </c>
      <c r="T283">
        <f t="shared" si="969"/>
        <v>7.7946395604331755</v>
      </c>
    </row>
    <row r="284" spans="1:20" x14ac:dyDescent="0.25">
      <c r="A284" s="5">
        <v>44309</v>
      </c>
      <c r="B284">
        <v>1.0668</v>
      </c>
      <c r="C284">
        <v>1.1812</v>
      </c>
      <c r="D284">
        <v>0.85</v>
      </c>
      <c r="E284">
        <v>1.1724000000000001</v>
      </c>
      <c r="F284">
        <v>58821581.079999998</v>
      </c>
      <c r="G284">
        <v>0</v>
      </c>
      <c r="L284" t="s">
        <v>7</v>
      </c>
      <c r="M284" t="s">
        <v>7</v>
      </c>
      <c r="N284" t="s">
        <v>7</v>
      </c>
      <c r="P284">
        <f t="shared" si="965"/>
        <v>0.94685990338164305</v>
      </c>
      <c r="Q284">
        <f t="shared" si="966"/>
        <v>55695796.578164279</v>
      </c>
      <c r="R284">
        <f t="shared" si="967"/>
        <v>798233465.88592768</v>
      </c>
      <c r="S284">
        <f t="shared" si="968"/>
        <v>7982.3346588592767</v>
      </c>
      <c r="T284">
        <f t="shared" si="969"/>
        <v>7.9823346588592763</v>
      </c>
    </row>
    <row r="285" spans="1:20" x14ac:dyDescent="0.25">
      <c r="A285" s="5">
        <v>44308</v>
      </c>
      <c r="B285">
        <v>1.2064999999999999</v>
      </c>
      <c r="C285">
        <v>1.2544</v>
      </c>
      <c r="D285">
        <v>1.0472999999999999</v>
      </c>
      <c r="E285">
        <v>1.0677000000000001</v>
      </c>
      <c r="F285">
        <v>33795581.719999999</v>
      </c>
      <c r="G285">
        <v>0</v>
      </c>
      <c r="L285" t="s">
        <v>7</v>
      </c>
      <c r="M285" t="s">
        <v>7</v>
      </c>
      <c r="N285" t="s">
        <v>7</v>
      </c>
      <c r="P285">
        <f t="shared" si="965"/>
        <v>-0.80299372283920623</v>
      </c>
      <c r="Q285">
        <f t="shared" si="966"/>
        <v>-27137639.980859425</v>
      </c>
      <c r="R285">
        <f t="shared" si="967"/>
        <v>742537669.30776334</v>
      </c>
      <c r="S285">
        <f t="shared" si="968"/>
        <v>7425.3766930776337</v>
      </c>
      <c r="T285">
        <f t="shared" si="969"/>
        <v>7.4253766930776335</v>
      </c>
    </row>
    <row r="286" spans="1:20" x14ac:dyDescent="0.25">
      <c r="A286" s="5">
        <v>44307</v>
      </c>
      <c r="B286">
        <v>1.2650999999999999</v>
      </c>
      <c r="C286">
        <v>1.3158000000000001</v>
      </c>
      <c r="D286">
        <v>1.1914</v>
      </c>
      <c r="E286">
        <v>1.2063999999999999</v>
      </c>
      <c r="F286">
        <v>26640932.16</v>
      </c>
      <c r="G286">
        <v>0</v>
      </c>
      <c r="L286" t="s">
        <v>8</v>
      </c>
      <c r="M286" t="s">
        <v>7</v>
      </c>
      <c r="N286" t="s">
        <v>7</v>
      </c>
      <c r="P286">
        <f t="shared" si="965"/>
        <v>-0.75884244372990528</v>
      </c>
      <c r="Q286">
        <f t="shared" si="966"/>
        <v>-20216270.063537024</v>
      </c>
      <c r="R286">
        <f t="shared" si="967"/>
        <v>769675309.28862274</v>
      </c>
      <c r="S286">
        <f t="shared" si="968"/>
        <v>7696.753092886227</v>
      </c>
      <c r="T286">
        <f t="shared" si="969"/>
        <v>7.6967530928862269</v>
      </c>
    </row>
    <row r="287" spans="1:20" x14ac:dyDescent="0.25">
      <c r="A287" s="5">
        <v>44306</v>
      </c>
      <c r="B287">
        <v>1.3199000000000001</v>
      </c>
      <c r="C287">
        <v>1.3339000000000001</v>
      </c>
      <c r="D287">
        <v>1.1573</v>
      </c>
      <c r="E287">
        <v>1.2658</v>
      </c>
      <c r="F287">
        <v>52902224.909999996</v>
      </c>
      <c r="G287">
        <v>0</v>
      </c>
      <c r="L287" t="s">
        <v>7</v>
      </c>
      <c r="M287" t="s">
        <v>7</v>
      </c>
      <c r="N287" t="s">
        <v>7</v>
      </c>
      <c r="P287">
        <f t="shared" si="965"/>
        <v>0.22876557191392963</v>
      </c>
      <c r="Q287">
        <f t="shared" si="966"/>
        <v>12102207.737055484</v>
      </c>
      <c r="R287">
        <f t="shared" si="967"/>
        <v>789891579.35215974</v>
      </c>
      <c r="S287">
        <f t="shared" si="968"/>
        <v>7898.9157935215972</v>
      </c>
      <c r="T287">
        <f t="shared" si="969"/>
        <v>7.8989157935215975</v>
      </c>
    </row>
    <row r="288" spans="1:20" x14ac:dyDescent="0.25">
      <c r="A288" s="5">
        <v>44305</v>
      </c>
      <c r="B288">
        <v>1.3469</v>
      </c>
      <c r="C288">
        <v>1.49</v>
      </c>
      <c r="D288">
        <v>1.1720999999999999</v>
      </c>
      <c r="E288">
        <v>1.3198000000000001</v>
      </c>
      <c r="F288">
        <v>62049458.520000003</v>
      </c>
      <c r="G288">
        <v>0</v>
      </c>
      <c r="L288" t="s">
        <v>8</v>
      </c>
      <c r="M288" t="s">
        <v>8</v>
      </c>
      <c r="N288" t="s">
        <v>7</v>
      </c>
      <c r="P288">
        <f t="shared" si="965"/>
        <v>-7.0776973891159917E-2</v>
      </c>
      <c r="Q288">
        <f t="shared" si="966"/>
        <v>-4391672.9056306509</v>
      </c>
      <c r="R288">
        <f t="shared" si="967"/>
        <v>777789371.6151042</v>
      </c>
      <c r="S288">
        <f t="shared" si="968"/>
        <v>7777.8937161510421</v>
      </c>
      <c r="T288">
        <f t="shared" si="969"/>
        <v>7.7778937161510422</v>
      </c>
    </row>
    <row r="289" spans="1:20" x14ac:dyDescent="0.25">
      <c r="A289" s="5">
        <v>44304</v>
      </c>
      <c r="B289">
        <v>1.472</v>
      </c>
      <c r="C289">
        <v>1.4843999999999999</v>
      </c>
      <c r="D289">
        <v>1.1000000000000001</v>
      </c>
      <c r="E289">
        <v>1.3484</v>
      </c>
      <c r="F289">
        <v>51659315.689999998</v>
      </c>
      <c r="G289">
        <v>0</v>
      </c>
      <c r="L289" t="s">
        <v>7</v>
      </c>
      <c r="M289" t="s">
        <v>7</v>
      </c>
      <c r="N289" t="s">
        <v>7</v>
      </c>
      <c r="P289">
        <f t="shared" si="965"/>
        <v>0.29240374609781505</v>
      </c>
      <c r="Q289">
        <f t="shared" si="966"/>
        <v>15105377.428605633</v>
      </c>
      <c r="R289">
        <f t="shared" si="967"/>
        <v>782181044.52073491</v>
      </c>
      <c r="S289">
        <f t="shared" si="968"/>
        <v>7821.8104452073494</v>
      </c>
      <c r="T289">
        <f t="shared" si="969"/>
        <v>7.8218104452073494</v>
      </c>
    </row>
    <row r="290" spans="1:20" x14ac:dyDescent="0.25">
      <c r="A290" s="5">
        <v>44303</v>
      </c>
      <c r="B290">
        <v>1.5249999999999999</v>
      </c>
      <c r="C290">
        <v>1.6044</v>
      </c>
      <c r="D290">
        <v>1.4604999999999999</v>
      </c>
      <c r="E290">
        <v>1.472</v>
      </c>
      <c r="F290">
        <v>26201967.75</v>
      </c>
      <c r="G290">
        <v>0</v>
      </c>
      <c r="L290" t="s">
        <v>8</v>
      </c>
      <c r="M290" t="s">
        <v>7</v>
      </c>
      <c r="N290" t="s">
        <v>8</v>
      </c>
      <c r="P290">
        <f t="shared" si="965"/>
        <v>-0.84016678248783805</v>
      </c>
      <c r="Q290">
        <f t="shared" si="966"/>
        <v>-22014022.939367596</v>
      </c>
      <c r="R290">
        <f t="shared" si="967"/>
        <v>767075667.09212923</v>
      </c>
      <c r="S290">
        <f t="shared" si="968"/>
        <v>7670.7566709212924</v>
      </c>
      <c r="T290">
        <f t="shared" si="969"/>
        <v>7.6707566709212927</v>
      </c>
    </row>
    <row r="291" spans="1:20" x14ac:dyDescent="0.25">
      <c r="A291" s="5">
        <v>44302</v>
      </c>
      <c r="B291">
        <v>1.5194000000000001</v>
      </c>
      <c r="C291">
        <v>1.5723</v>
      </c>
      <c r="D291">
        <v>1.4</v>
      </c>
      <c r="E291">
        <v>1.5259</v>
      </c>
      <c r="F291">
        <v>31888455.48</v>
      </c>
      <c r="G291">
        <v>0</v>
      </c>
      <c r="L291" t="s">
        <v>7</v>
      </c>
      <c r="M291" t="s">
        <v>7</v>
      </c>
      <c r="N291" t="s">
        <v>8</v>
      </c>
      <c r="P291">
        <f t="shared" si="965"/>
        <v>0.46140452698781237</v>
      </c>
      <c r="Q291">
        <f t="shared" si="966"/>
        <v>14713477.717121314</v>
      </c>
      <c r="R291">
        <f t="shared" si="967"/>
        <v>789089690.03149688</v>
      </c>
      <c r="S291">
        <f t="shared" si="968"/>
        <v>7890.8969003149687</v>
      </c>
      <c r="T291">
        <f t="shared" si="969"/>
        <v>7.8908969003149689</v>
      </c>
    </row>
    <row r="292" spans="1:20" x14ac:dyDescent="0.25">
      <c r="A292" s="5">
        <v>44301</v>
      </c>
      <c r="B292">
        <v>1.4626999999999999</v>
      </c>
      <c r="C292">
        <v>1.5931</v>
      </c>
      <c r="D292">
        <v>1.4381999999999999</v>
      </c>
      <c r="E292">
        <v>1.5192000000000001</v>
      </c>
      <c r="F292">
        <v>26858015.260000002</v>
      </c>
      <c r="G292">
        <v>0</v>
      </c>
      <c r="L292" t="s">
        <v>8</v>
      </c>
      <c r="M292" t="s">
        <v>7</v>
      </c>
      <c r="N292" t="s">
        <v>8</v>
      </c>
      <c r="P292">
        <f t="shared" si="965"/>
        <v>4.5836023240802624E-2</v>
      </c>
      <c r="Q292">
        <f t="shared" si="966"/>
        <v>1231064.6116591915</v>
      </c>
      <c r="R292">
        <f t="shared" si="967"/>
        <v>774376212.31437552</v>
      </c>
      <c r="S292">
        <f t="shared" si="968"/>
        <v>7743.7621231437552</v>
      </c>
      <c r="T292">
        <f t="shared" si="969"/>
        <v>7.743762123143755</v>
      </c>
    </row>
    <row r="293" spans="1:20" x14ac:dyDescent="0.25">
      <c r="A293" s="5">
        <v>44300</v>
      </c>
      <c r="B293">
        <v>1.4999</v>
      </c>
      <c r="C293">
        <v>1.5673999999999999</v>
      </c>
      <c r="D293">
        <v>1.3988</v>
      </c>
      <c r="E293">
        <v>1.4628000000000001</v>
      </c>
      <c r="F293">
        <v>28890834.859999999</v>
      </c>
      <c r="G293">
        <v>0</v>
      </c>
      <c r="L293" t="s">
        <v>8</v>
      </c>
      <c r="M293" t="s">
        <v>7</v>
      </c>
      <c r="N293" t="s">
        <v>8</v>
      </c>
      <c r="P293">
        <f t="shared" si="965"/>
        <v>-0.24080664294187296</v>
      </c>
      <c r="Q293">
        <f t="shared" si="966"/>
        <v>-6957104.9544246364</v>
      </c>
      <c r="R293">
        <f t="shared" si="967"/>
        <v>773145147.70271635</v>
      </c>
      <c r="S293">
        <f t="shared" si="968"/>
        <v>7731.4514770271635</v>
      </c>
      <c r="T293">
        <f t="shared" si="969"/>
        <v>7.7314514770271634</v>
      </c>
    </row>
    <row r="294" spans="1:20" x14ac:dyDescent="0.25">
      <c r="A294" s="5">
        <v>44299</v>
      </c>
      <c r="B294">
        <v>1.4180999999999999</v>
      </c>
      <c r="C294">
        <v>1.52</v>
      </c>
      <c r="D294">
        <v>1.3880999999999999</v>
      </c>
      <c r="E294">
        <v>1.5</v>
      </c>
      <c r="F294">
        <v>25262531.09</v>
      </c>
      <c r="G294">
        <v>0</v>
      </c>
      <c r="L294" t="s">
        <v>8</v>
      </c>
      <c r="M294" t="s">
        <v>7</v>
      </c>
      <c r="N294" t="s">
        <v>8</v>
      </c>
      <c r="P294">
        <f t="shared" si="965"/>
        <v>0.69673995451099324</v>
      </c>
      <c r="Q294">
        <f t="shared" si="966"/>
        <v>17601414.762479153</v>
      </c>
      <c r="R294">
        <f t="shared" si="967"/>
        <v>780102252.65714097</v>
      </c>
      <c r="S294">
        <f t="shared" si="968"/>
        <v>7801.0225265714098</v>
      </c>
      <c r="T294">
        <f t="shared" si="969"/>
        <v>7.8010225265714102</v>
      </c>
    </row>
    <row r="295" spans="1:20" x14ac:dyDescent="0.25">
      <c r="A295" s="5">
        <v>44298</v>
      </c>
      <c r="B295">
        <v>1.4391</v>
      </c>
      <c r="C295">
        <v>1.4752000000000001</v>
      </c>
      <c r="D295">
        <v>1.3882000000000001</v>
      </c>
      <c r="E295">
        <v>1.4180999999999999</v>
      </c>
      <c r="F295">
        <v>18809576.260000002</v>
      </c>
      <c r="G295">
        <v>0</v>
      </c>
      <c r="L295" t="s">
        <v>7</v>
      </c>
      <c r="M295" t="s">
        <v>7</v>
      </c>
      <c r="N295" t="s">
        <v>8</v>
      </c>
      <c r="P295">
        <f t="shared" si="965"/>
        <v>-0.31264367816092353</v>
      </c>
      <c r="Q295">
        <f t="shared" si="966"/>
        <v>-5880695.1065747887</v>
      </c>
      <c r="R295">
        <f t="shared" si="967"/>
        <v>762500837.89466178</v>
      </c>
      <c r="S295">
        <f t="shared" si="968"/>
        <v>7625.008378946618</v>
      </c>
      <c r="T295">
        <f t="shared" si="969"/>
        <v>7.6250083789466183</v>
      </c>
    </row>
    <row r="296" spans="1:20" x14ac:dyDescent="0.25">
      <c r="A296" s="5">
        <v>44297</v>
      </c>
      <c r="B296">
        <v>1.4641999999999999</v>
      </c>
      <c r="C296">
        <v>1.5739000000000001</v>
      </c>
      <c r="D296">
        <v>1.4086000000000001</v>
      </c>
      <c r="E296">
        <v>1.4381999999999999</v>
      </c>
      <c r="F296">
        <v>35605471.189999998</v>
      </c>
      <c r="G296">
        <v>0</v>
      </c>
      <c r="L296" t="s">
        <v>8</v>
      </c>
      <c r="M296" t="s">
        <v>7</v>
      </c>
      <c r="N296" t="s">
        <v>8</v>
      </c>
      <c r="P296">
        <f t="shared" si="965"/>
        <v>-0.64186327888687422</v>
      </c>
      <c r="Q296">
        <f t="shared" si="966"/>
        <v>-22853844.484325536</v>
      </c>
      <c r="R296">
        <f t="shared" si="967"/>
        <v>768381533.00123656</v>
      </c>
      <c r="S296">
        <f t="shared" si="968"/>
        <v>7683.8153300123658</v>
      </c>
      <c r="T296">
        <f t="shared" si="969"/>
        <v>7.6838153300123659</v>
      </c>
    </row>
    <row r="297" spans="1:20" x14ac:dyDescent="0.25">
      <c r="A297" s="5">
        <v>44296</v>
      </c>
      <c r="B297">
        <v>1.5431999999999999</v>
      </c>
      <c r="C297">
        <v>1.6221000000000001</v>
      </c>
      <c r="D297">
        <v>1.3871</v>
      </c>
      <c r="E297">
        <v>1.4630000000000001</v>
      </c>
      <c r="F297">
        <v>58732176.07</v>
      </c>
      <c r="G297">
        <v>0</v>
      </c>
      <c r="L297" t="s">
        <v>7</v>
      </c>
      <c r="M297" t="s">
        <v>7</v>
      </c>
      <c r="N297" t="s">
        <v>8</v>
      </c>
      <c r="P297">
        <f t="shared" si="965"/>
        <v>-0.35404255319148897</v>
      </c>
      <c r="Q297">
        <f t="shared" si="966"/>
        <v>-20793689.570314869</v>
      </c>
      <c r="R297">
        <f t="shared" si="967"/>
        <v>791235377.48556209</v>
      </c>
      <c r="S297">
        <f t="shared" si="968"/>
        <v>7912.3537748556209</v>
      </c>
      <c r="T297">
        <f t="shared" si="969"/>
        <v>7.912353774855621</v>
      </c>
    </row>
    <row r="298" spans="1:20" x14ac:dyDescent="0.25">
      <c r="A298" s="5">
        <v>44295</v>
      </c>
      <c r="B298">
        <v>1.29</v>
      </c>
      <c r="C298">
        <v>1.6497999999999999</v>
      </c>
      <c r="D298">
        <v>1.2626999999999999</v>
      </c>
      <c r="E298">
        <v>1.5431999999999999</v>
      </c>
      <c r="F298">
        <v>119040360.93000001</v>
      </c>
      <c r="G298">
        <v>0</v>
      </c>
      <c r="L298" t="s">
        <v>8</v>
      </c>
      <c r="M298" t="s">
        <v>8</v>
      </c>
      <c r="N298" t="s">
        <v>8</v>
      </c>
      <c r="P298">
        <f t="shared" si="965"/>
        <v>0.44923792301730803</v>
      </c>
      <c r="Q298">
        <f t="shared" si="966"/>
        <v>53477444.499423906</v>
      </c>
      <c r="R298">
        <f t="shared" si="967"/>
        <v>812029067.05587697</v>
      </c>
      <c r="S298">
        <f t="shared" si="968"/>
        <v>8120.2906705587693</v>
      </c>
      <c r="T298">
        <f t="shared" si="969"/>
        <v>8.1202906705587701</v>
      </c>
    </row>
    <row r="299" spans="1:20" x14ac:dyDescent="0.25">
      <c r="A299" s="5">
        <v>44294</v>
      </c>
      <c r="B299">
        <v>1.1862999999999999</v>
      </c>
      <c r="C299">
        <v>1.2996000000000001</v>
      </c>
      <c r="D299">
        <v>1.1737</v>
      </c>
      <c r="E299">
        <v>1.2903</v>
      </c>
      <c r="F299">
        <v>24685567.649999999</v>
      </c>
      <c r="G299">
        <v>0</v>
      </c>
      <c r="L299" t="s">
        <v>7</v>
      </c>
      <c r="M299" t="s">
        <v>8</v>
      </c>
      <c r="N299" t="s">
        <v>8</v>
      </c>
      <c r="P299">
        <f t="shared" si="965"/>
        <v>0.85226370135027674</v>
      </c>
      <c r="Q299">
        <f t="shared" si="966"/>
        <v>21038613.255321652</v>
      </c>
      <c r="R299">
        <f t="shared" si="967"/>
        <v>758551622.55645311</v>
      </c>
      <c r="S299">
        <f t="shared" si="968"/>
        <v>7585.5162255645309</v>
      </c>
      <c r="T299">
        <f t="shared" si="969"/>
        <v>7.5855162255645308</v>
      </c>
    </row>
    <row r="300" spans="1:20" x14ac:dyDescent="0.25">
      <c r="A300" s="5">
        <v>44293</v>
      </c>
      <c r="B300">
        <v>1.3285</v>
      </c>
      <c r="C300">
        <v>1.3849</v>
      </c>
      <c r="D300">
        <v>1.1484000000000001</v>
      </c>
      <c r="E300">
        <v>1.1868000000000001</v>
      </c>
      <c r="F300">
        <v>50481421.609999999</v>
      </c>
      <c r="G300">
        <v>0</v>
      </c>
      <c r="L300" t="s">
        <v>8</v>
      </c>
      <c r="M300" t="s">
        <v>8</v>
      </c>
      <c r="N300" t="s">
        <v>8</v>
      </c>
      <c r="P300">
        <f t="shared" si="965"/>
        <v>-0.67526427061310779</v>
      </c>
      <c r="Q300">
        <f t="shared" si="966"/>
        <v>-34088300.34298943</v>
      </c>
      <c r="R300">
        <f t="shared" si="967"/>
        <v>737513009.30113149</v>
      </c>
      <c r="S300">
        <f t="shared" si="968"/>
        <v>7375.1300930113148</v>
      </c>
      <c r="T300">
        <f t="shared" si="969"/>
        <v>7.3751300930113146</v>
      </c>
    </row>
    <row r="301" spans="1:20" x14ac:dyDescent="0.25">
      <c r="A301" s="5">
        <v>44292</v>
      </c>
      <c r="B301">
        <v>1.2766999999999999</v>
      </c>
      <c r="C301">
        <v>1.3382000000000001</v>
      </c>
      <c r="D301">
        <v>1.1704000000000001</v>
      </c>
      <c r="E301">
        <v>1.3272999999999999</v>
      </c>
      <c r="F301">
        <v>47901993.979999997</v>
      </c>
      <c r="G301">
        <v>0</v>
      </c>
      <c r="L301" t="s">
        <v>8</v>
      </c>
      <c r="M301" t="s">
        <v>8</v>
      </c>
      <c r="N301" t="s">
        <v>8</v>
      </c>
      <c r="P301">
        <f t="shared" si="965"/>
        <v>0.87008343265792454</v>
      </c>
      <c r="Q301">
        <f t="shared" si="966"/>
        <v>41678731.353277631</v>
      </c>
      <c r="R301">
        <f t="shared" si="967"/>
        <v>771601309.64412093</v>
      </c>
      <c r="S301">
        <f t="shared" si="968"/>
        <v>7716.0130964412092</v>
      </c>
      <c r="T301">
        <f t="shared" si="969"/>
        <v>7.716013096441209</v>
      </c>
    </row>
    <row r="302" spans="1:20" x14ac:dyDescent="0.25">
      <c r="A302" s="5">
        <v>44291</v>
      </c>
      <c r="B302">
        <v>1.1765000000000001</v>
      </c>
      <c r="C302">
        <v>1.286</v>
      </c>
      <c r="D302">
        <v>1.1277999999999999</v>
      </c>
      <c r="E302">
        <v>1.2766999999999999</v>
      </c>
      <c r="F302">
        <v>34107679.829999998</v>
      </c>
      <c r="G302">
        <v>0</v>
      </c>
      <c r="L302" t="s">
        <v>8</v>
      </c>
      <c r="M302" t="s">
        <v>8</v>
      </c>
      <c r="N302" t="s">
        <v>7</v>
      </c>
      <c r="P302">
        <f t="shared" si="965"/>
        <v>0.88242730720606732</v>
      </c>
      <c r="Q302">
        <f t="shared" si="966"/>
        <v>30097548.067433596</v>
      </c>
      <c r="R302">
        <f t="shared" si="967"/>
        <v>729922578.29084325</v>
      </c>
      <c r="S302">
        <f t="shared" si="968"/>
        <v>7299.2257829084328</v>
      </c>
      <c r="T302">
        <f t="shared" si="969"/>
        <v>7.299225782908433</v>
      </c>
    </row>
    <row r="303" spans="1:20" x14ac:dyDescent="0.25">
      <c r="A303" s="5">
        <v>44290</v>
      </c>
      <c r="B303">
        <v>1.1153999999999999</v>
      </c>
      <c r="C303">
        <v>1.1845000000000001</v>
      </c>
      <c r="D303">
        <v>1.0940000000000001</v>
      </c>
      <c r="E303">
        <v>1.1751</v>
      </c>
      <c r="F303">
        <v>17589093.489999998</v>
      </c>
      <c r="G303">
        <v>0</v>
      </c>
      <c r="L303" t="s">
        <v>7</v>
      </c>
      <c r="M303" t="s">
        <v>7</v>
      </c>
      <c r="N303" t="s">
        <v>7</v>
      </c>
      <c r="P303">
        <f t="shared" si="965"/>
        <v>0.7922651933701641</v>
      </c>
      <c r="Q303">
        <f t="shared" si="966"/>
        <v>13935226.555060742</v>
      </c>
      <c r="R303">
        <f t="shared" si="967"/>
        <v>699825030.22340965</v>
      </c>
      <c r="S303">
        <f t="shared" si="968"/>
        <v>6998.2503022340961</v>
      </c>
      <c r="T303">
        <f t="shared" si="969"/>
        <v>6.9982503022340961</v>
      </c>
    </row>
    <row r="304" spans="1:20" x14ac:dyDescent="0.25">
      <c r="A304" s="5">
        <v>44289</v>
      </c>
      <c r="B304">
        <v>1.198</v>
      </c>
      <c r="C304">
        <v>1.2635000000000001</v>
      </c>
      <c r="D304">
        <v>1.1100000000000001</v>
      </c>
      <c r="E304">
        <v>1.1147</v>
      </c>
      <c r="F304">
        <v>30107411.879999999</v>
      </c>
      <c r="G304">
        <v>0</v>
      </c>
      <c r="L304" t="s">
        <v>7</v>
      </c>
      <c r="M304" t="s">
        <v>8</v>
      </c>
      <c r="N304" t="s">
        <v>7</v>
      </c>
      <c r="P304">
        <f t="shared" si="965"/>
        <v>-0.93876221498371426</v>
      </c>
      <c r="Q304">
        <f t="shared" si="966"/>
        <v>-28263700.663895793</v>
      </c>
      <c r="R304">
        <f t="shared" si="967"/>
        <v>685889803.66834891</v>
      </c>
      <c r="S304">
        <f t="shared" si="968"/>
        <v>6858.8980366834894</v>
      </c>
      <c r="T304">
        <f t="shared" si="969"/>
        <v>6.8588980366834891</v>
      </c>
    </row>
    <row r="305" spans="1:20" x14ac:dyDescent="0.25">
      <c r="A305" s="5">
        <v>44288</v>
      </c>
      <c r="B305">
        <v>1.1538999999999999</v>
      </c>
      <c r="C305">
        <v>1.2788999999999999</v>
      </c>
      <c r="D305">
        <v>1.1327</v>
      </c>
      <c r="E305">
        <v>1.198</v>
      </c>
      <c r="F305">
        <v>40761280.259999998</v>
      </c>
      <c r="G305">
        <v>0</v>
      </c>
      <c r="L305" t="s">
        <v>8</v>
      </c>
      <c r="M305" t="s">
        <v>8</v>
      </c>
      <c r="N305" t="s">
        <v>7</v>
      </c>
      <c r="P305">
        <f t="shared" si="965"/>
        <v>-0.10670314637482949</v>
      </c>
      <c r="Q305">
        <f t="shared" si="966"/>
        <v>-4349356.8540082276</v>
      </c>
      <c r="R305">
        <f t="shared" si="967"/>
        <v>714153504.33224475</v>
      </c>
      <c r="S305">
        <f t="shared" si="968"/>
        <v>7141.5350433224476</v>
      </c>
      <c r="T305">
        <f t="shared" si="969"/>
        <v>7.1415350433224472</v>
      </c>
    </row>
    <row r="306" spans="1:20" x14ac:dyDescent="0.25">
      <c r="A306" s="5">
        <v>44287</v>
      </c>
      <c r="B306">
        <v>1.1427</v>
      </c>
      <c r="C306">
        <v>1.1834</v>
      </c>
      <c r="D306">
        <v>1.1171</v>
      </c>
      <c r="E306">
        <v>1.1543000000000001</v>
      </c>
      <c r="F306">
        <v>23737754.260000002</v>
      </c>
      <c r="G306">
        <v>0</v>
      </c>
      <c r="L306" t="s">
        <v>8</v>
      </c>
      <c r="M306" t="s">
        <v>8</v>
      </c>
      <c r="N306" t="s">
        <v>7</v>
      </c>
      <c r="P306">
        <f t="shared" si="965"/>
        <v>0.12217194570136071</v>
      </c>
      <c r="Q306">
        <f t="shared" si="966"/>
        <v>2900087.624524964</v>
      </c>
      <c r="R306">
        <f t="shared" si="967"/>
        <v>718502861.18625295</v>
      </c>
      <c r="S306">
        <f t="shared" si="968"/>
        <v>7185.0286118625299</v>
      </c>
      <c r="T306">
        <f t="shared" si="969"/>
        <v>7.1850286118625295</v>
      </c>
    </row>
    <row r="307" spans="1:20" x14ac:dyDescent="0.25">
      <c r="A307" s="5">
        <v>44286</v>
      </c>
      <c r="B307">
        <v>1.169</v>
      </c>
      <c r="C307">
        <v>1.1863999999999999</v>
      </c>
      <c r="D307">
        <v>1.0745</v>
      </c>
      <c r="E307">
        <v>1.1427</v>
      </c>
      <c r="F307">
        <v>22139262.390000001</v>
      </c>
      <c r="G307">
        <v>0</v>
      </c>
      <c r="L307" t="s">
        <v>7</v>
      </c>
      <c r="M307" t="s">
        <v>8</v>
      </c>
      <c r="N307" t="s">
        <v>7</v>
      </c>
      <c r="P307">
        <f t="shared" si="965"/>
        <v>0.2189454870420037</v>
      </c>
      <c r="Q307">
        <f t="shared" si="966"/>
        <v>4847291.5867292648</v>
      </c>
      <c r="R307">
        <f t="shared" si="967"/>
        <v>715602773.561728</v>
      </c>
      <c r="S307">
        <f t="shared" si="968"/>
        <v>7156.0277356172801</v>
      </c>
      <c r="T307">
        <f t="shared" si="969"/>
        <v>7.1560277356172799</v>
      </c>
    </row>
    <row r="308" spans="1:20" x14ac:dyDescent="0.25">
      <c r="A308" s="5">
        <v>44285</v>
      </c>
      <c r="B308">
        <v>1.1395</v>
      </c>
      <c r="C308">
        <v>1.21</v>
      </c>
      <c r="D308">
        <v>1.1224000000000001</v>
      </c>
      <c r="E308">
        <v>1.169</v>
      </c>
      <c r="F308">
        <v>33387805.350000001</v>
      </c>
      <c r="G308">
        <v>0</v>
      </c>
      <c r="L308" t="s">
        <v>8</v>
      </c>
      <c r="M308" t="s">
        <v>8</v>
      </c>
      <c r="N308" t="s">
        <v>7</v>
      </c>
      <c r="P308">
        <f t="shared" si="965"/>
        <v>6.3926940639270041E-2</v>
      </c>
      <c r="Q308">
        <f t="shared" si="966"/>
        <v>2134380.2506849528</v>
      </c>
      <c r="R308">
        <f t="shared" si="967"/>
        <v>710755481.97499871</v>
      </c>
      <c r="S308">
        <f t="shared" si="968"/>
        <v>7107.5548197499875</v>
      </c>
      <c r="T308">
        <f t="shared" si="969"/>
        <v>7.1075548197499874</v>
      </c>
    </row>
    <row r="309" spans="1:20" x14ac:dyDescent="0.25">
      <c r="A309" s="5">
        <v>44284</v>
      </c>
      <c r="B309">
        <v>1.1200000000000001</v>
      </c>
      <c r="C309">
        <v>1.1468</v>
      </c>
      <c r="D309">
        <v>1.0750999999999999</v>
      </c>
      <c r="E309">
        <v>1.1395</v>
      </c>
      <c r="F309">
        <v>25398322.550000001</v>
      </c>
      <c r="G309">
        <v>0</v>
      </c>
      <c r="L309" t="s">
        <v>7</v>
      </c>
      <c r="M309" t="s">
        <v>8</v>
      </c>
      <c r="N309" t="s">
        <v>7</v>
      </c>
      <c r="P309">
        <f t="shared" si="965"/>
        <v>0.79637377963737588</v>
      </c>
      <c r="Q309">
        <f t="shared" si="966"/>
        <v>20226558.125592694</v>
      </c>
      <c r="R309">
        <f t="shared" si="967"/>
        <v>708621101.72431374</v>
      </c>
      <c r="S309">
        <f t="shared" si="968"/>
        <v>7086.2110172431376</v>
      </c>
      <c r="T309">
        <f t="shared" si="969"/>
        <v>7.0862110172431372</v>
      </c>
    </row>
    <row r="310" spans="1:20" x14ac:dyDescent="0.25">
      <c r="A310" s="5">
        <v>44283</v>
      </c>
      <c r="B310">
        <v>1.0793999999999999</v>
      </c>
      <c r="C310">
        <v>1.1491</v>
      </c>
      <c r="D310">
        <v>1.0531999999999999</v>
      </c>
      <c r="E310">
        <v>1.1208</v>
      </c>
      <c r="F310">
        <v>35793691.770000003</v>
      </c>
      <c r="G310">
        <v>0</v>
      </c>
      <c r="L310" t="s">
        <v>8</v>
      </c>
      <c r="M310" t="s">
        <v>8</v>
      </c>
      <c r="N310" t="s">
        <v>7</v>
      </c>
      <c r="P310">
        <f t="shared" si="965"/>
        <v>0.4098018769551624</v>
      </c>
      <c r="Q310">
        <f t="shared" si="966"/>
        <v>14668322.070500551</v>
      </c>
      <c r="R310">
        <f t="shared" si="967"/>
        <v>688394543.59872103</v>
      </c>
      <c r="S310">
        <f t="shared" si="968"/>
        <v>6883.9454359872107</v>
      </c>
      <c r="T310">
        <f t="shared" si="969"/>
        <v>6.8839454359872105</v>
      </c>
    </row>
    <row r="311" spans="1:20" x14ac:dyDescent="0.25">
      <c r="A311" s="5">
        <v>44282</v>
      </c>
      <c r="B311">
        <v>1.0741000000000001</v>
      </c>
      <c r="C311">
        <v>1.0894999999999999</v>
      </c>
      <c r="D311">
        <v>1.0111000000000001</v>
      </c>
      <c r="E311">
        <v>1.0803</v>
      </c>
      <c r="F311">
        <v>23444183.010000002</v>
      </c>
      <c r="G311">
        <v>0</v>
      </c>
      <c r="L311" t="s">
        <v>7</v>
      </c>
      <c r="M311" t="s">
        <v>7</v>
      </c>
      <c r="N311" t="s">
        <v>7</v>
      </c>
      <c r="P311">
        <f t="shared" si="965"/>
        <v>0.76530612244898222</v>
      </c>
      <c r="Q311">
        <f t="shared" si="966"/>
        <v>17941976.793367408</v>
      </c>
      <c r="R311">
        <f t="shared" si="967"/>
        <v>673726221.52822053</v>
      </c>
      <c r="S311">
        <f t="shared" si="968"/>
        <v>6737.262215282205</v>
      </c>
      <c r="T311">
        <f t="shared" si="969"/>
        <v>6.7372622152822048</v>
      </c>
    </row>
    <row r="312" spans="1:20" x14ac:dyDescent="0.25">
      <c r="A312" s="5">
        <v>44281</v>
      </c>
      <c r="B312">
        <v>0.97529999999999994</v>
      </c>
      <c r="C312">
        <v>1.0934999999999999</v>
      </c>
      <c r="D312">
        <v>0.9738</v>
      </c>
      <c r="E312">
        <v>1.0741000000000001</v>
      </c>
      <c r="F312">
        <v>32789591.52</v>
      </c>
      <c r="G312">
        <v>0</v>
      </c>
      <c r="L312" t="s">
        <v>8</v>
      </c>
      <c r="M312" t="s">
        <v>7</v>
      </c>
      <c r="N312" t="s">
        <v>7</v>
      </c>
      <c r="P312">
        <f t="shared" si="965"/>
        <v>0.67585630743525693</v>
      </c>
      <c r="Q312">
        <f t="shared" si="966"/>
        <v>22161052.247017615</v>
      </c>
      <c r="R312">
        <f t="shared" si="967"/>
        <v>655784244.73485315</v>
      </c>
      <c r="S312">
        <f t="shared" si="968"/>
        <v>6557.8424473485311</v>
      </c>
      <c r="T312">
        <f t="shared" si="969"/>
        <v>6.5578424473485315</v>
      </c>
    </row>
    <row r="313" spans="1:20" x14ac:dyDescent="0.25">
      <c r="A313" s="5">
        <v>44280</v>
      </c>
      <c r="B313">
        <v>0.98750000000000004</v>
      </c>
      <c r="C313">
        <v>1.0158</v>
      </c>
      <c r="D313">
        <v>0.9254</v>
      </c>
      <c r="E313">
        <v>0.97540000000000004</v>
      </c>
      <c r="F313">
        <v>25615963.050000001</v>
      </c>
      <c r="G313">
        <v>0</v>
      </c>
      <c r="L313" t="s">
        <v>8</v>
      </c>
      <c r="M313" t="s">
        <v>7</v>
      </c>
      <c r="N313" t="s">
        <v>7</v>
      </c>
      <c r="P313">
        <f t="shared" si="965"/>
        <v>0.10619469026548727</v>
      </c>
      <c r="Q313">
        <f t="shared" si="966"/>
        <v>2720279.2619469166</v>
      </c>
      <c r="R313">
        <f t="shared" si="967"/>
        <v>633623192.48783553</v>
      </c>
      <c r="S313">
        <f t="shared" si="968"/>
        <v>6336.2319248783551</v>
      </c>
      <c r="T313">
        <f t="shared" si="969"/>
        <v>6.336231924878355</v>
      </c>
    </row>
    <row r="314" spans="1:20" x14ac:dyDescent="0.25">
      <c r="A314" s="5">
        <v>44279</v>
      </c>
      <c r="B314">
        <v>1.0522</v>
      </c>
      <c r="C314">
        <v>1.1249</v>
      </c>
      <c r="D314">
        <v>0.94</v>
      </c>
      <c r="E314">
        <v>0.98750000000000004</v>
      </c>
      <c r="F314">
        <v>34143629.850000001</v>
      </c>
      <c r="G314">
        <v>0</v>
      </c>
      <c r="L314" t="s">
        <v>7</v>
      </c>
      <c r="M314" t="s">
        <v>7</v>
      </c>
      <c r="N314" t="s">
        <v>7</v>
      </c>
      <c r="P314">
        <f t="shared" si="965"/>
        <v>-0.48620876149269787</v>
      </c>
      <c r="Q314">
        <f t="shared" si="966"/>
        <v>-16600931.98223361</v>
      </c>
      <c r="R314">
        <f t="shared" si="967"/>
        <v>630902913.22588861</v>
      </c>
      <c r="S314">
        <f t="shared" si="968"/>
        <v>6309.0291322588864</v>
      </c>
      <c r="T314">
        <f t="shared" si="969"/>
        <v>6.3090291322588863</v>
      </c>
    </row>
    <row r="315" spans="1:20" x14ac:dyDescent="0.25">
      <c r="A315" s="5">
        <v>44278</v>
      </c>
      <c r="B315">
        <v>1.085</v>
      </c>
      <c r="C315">
        <v>1.115</v>
      </c>
      <c r="D315">
        <v>1.0258</v>
      </c>
      <c r="E315">
        <v>1.0517000000000001</v>
      </c>
      <c r="F315">
        <v>29528733.030000001</v>
      </c>
      <c r="G315">
        <v>0</v>
      </c>
      <c r="L315" t="s">
        <v>7</v>
      </c>
      <c r="M315" t="s">
        <v>7</v>
      </c>
      <c r="N315" t="s">
        <v>8</v>
      </c>
      <c r="P315">
        <f t="shared" si="965"/>
        <v>-0.41928251121076121</v>
      </c>
      <c r="Q315">
        <f t="shared" si="966"/>
        <v>-12380881.337690551</v>
      </c>
      <c r="R315">
        <f t="shared" si="967"/>
        <v>647503845.20812225</v>
      </c>
      <c r="S315">
        <f t="shared" si="968"/>
        <v>6475.0384520812222</v>
      </c>
      <c r="T315">
        <f t="shared" si="969"/>
        <v>6.4750384520812219</v>
      </c>
    </row>
    <row r="316" spans="1:20" x14ac:dyDescent="0.25">
      <c r="A316" s="5">
        <v>44277</v>
      </c>
      <c r="B316">
        <v>1.1251</v>
      </c>
      <c r="C316">
        <v>1.2108000000000001</v>
      </c>
      <c r="D316">
        <v>1.0748</v>
      </c>
      <c r="E316">
        <v>1.0846</v>
      </c>
      <c r="F316">
        <v>60782859.920000002</v>
      </c>
      <c r="G316">
        <v>0</v>
      </c>
      <c r="L316" t="s">
        <v>8</v>
      </c>
      <c r="M316" t="s">
        <v>7</v>
      </c>
      <c r="N316" t="s">
        <v>8</v>
      </c>
      <c r="P316">
        <f t="shared" si="965"/>
        <v>-0.85588235294117609</v>
      </c>
      <c r="Q316">
        <f t="shared" si="966"/>
        <v>-52022977.166823506</v>
      </c>
      <c r="R316">
        <f t="shared" si="967"/>
        <v>659884726.54581285</v>
      </c>
      <c r="S316">
        <f t="shared" si="968"/>
        <v>6598.8472654581283</v>
      </c>
      <c r="T316">
        <f t="shared" si="969"/>
        <v>6.5988472654581285</v>
      </c>
    </row>
    <row r="317" spans="1:20" x14ac:dyDescent="0.25">
      <c r="A317" s="5">
        <v>44276</v>
      </c>
      <c r="B317">
        <v>1.0876999999999999</v>
      </c>
      <c r="C317">
        <v>1.1371</v>
      </c>
      <c r="D317">
        <v>1.0595000000000001</v>
      </c>
      <c r="E317">
        <v>1.1247</v>
      </c>
      <c r="F317">
        <v>27980361.370000001</v>
      </c>
      <c r="G317">
        <v>0</v>
      </c>
      <c r="L317" t="s">
        <v>7</v>
      </c>
      <c r="M317" t="s">
        <v>7</v>
      </c>
      <c r="N317" t="s">
        <v>8</v>
      </c>
      <c r="P317">
        <f t="shared" si="965"/>
        <v>0.68041237113402098</v>
      </c>
      <c r="Q317">
        <f t="shared" si="966"/>
        <v>19038184.024948463</v>
      </c>
      <c r="R317">
        <f t="shared" si="967"/>
        <v>711907703.71263635</v>
      </c>
      <c r="S317">
        <f t="shared" si="968"/>
        <v>7119.0770371263634</v>
      </c>
      <c r="T317">
        <f t="shared" si="969"/>
        <v>7.1190770371263632</v>
      </c>
    </row>
    <row r="318" spans="1:20" x14ac:dyDescent="0.25">
      <c r="A318" s="5">
        <v>44275</v>
      </c>
      <c r="B318">
        <v>1.1808000000000001</v>
      </c>
      <c r="C318">
        <v>1.228</v>
      </c>
      <c r="D318">
        <v>1.0768</v>
      </c>
      <c r="E318">
        <v>1.0866</v>
      </c>
      <c r="F318">
        <v>35986484.829999998</v>
      </c>
      <c r="G318">
        <v>0</v>
      </c>
      <c r="L318" t="s">
        <v>7</v>
      </c>
      <c r="M318" t="s">
        <v>7</v>
      </c>
      <c r="N318" t="s">
        <v>8</v>
      </c>
      <c r="P318">
        <f t="shared" si="965"/>
        <v>-0.87037037037037002</v>
      </c>
      <c r="Q318">
        <f t="shared" si="966"/>
        <v>-31321570.1298148</v>
      </c>
      <c r="R318">
        <f t="shared" si="967"/>
        <v>692869519.68768787</v>
      </c>
      <c r="S318">
        <f t="shared" si="968"/>
        <v>6928.695196876879</v>
      </c>
      <c r="T318">
        <f t="shared" si="969"/>
        <v>6.9286951968768786</v>
      </c>
    </row>
    <row r="319" spans="1:20" x14ac:dyDescent="0.25">
      <c r="A319" s="5">
        <v>44274</v>
      </c>
      <c r="B319">
        <v>1.2025999999999999</v>
      </c>
      <c r="C319">
        <v>1.2463</v>
      </c>
      <c r="D319">
        <v>1.1501999999999999</v>
      </c>
      <c r="E319">
        <v>1.1812</v>
      </c>
      <c r="F319">
        <v>54056168.159999996</v>
      </c>
      <c r="G319">
        <v>0</v>
      </c>
      <c r="L319" t="s">
        <v>7</v>
      </c>
      <c r="M319" t="s">
        <v>7</v>
      </c>
      <c r="N319" t="s">
        <v>8</v>
      </c>
      <c r="P319">
        <f t="shared" si="965"/>
        <v>-0.35483870967741699</v>
      </c>
      <c r="Q319">
        <f t="shared" si="966"/>
        <v>-19181220.959999871</v>
      </c>
      <c r="R319">
        <f t="shared" si="967"/>
        <v>724191089.81750262</v>
      </c>
      <c r="S319">
        <f t="shared" si="968"/>
        <v>7241.910898175026</v>
      </c>
      <c r="T319">
        <f t="shared" si="969"/>
        <v>7.2419108981750258</v>
      </c>
    </row>
    <row r="320" spans="1:20" x14ac:dyDescent="0.25">
      <c r="A320" s="5">
        <v>44273</v>
      </c>
      <c r="B320">
        <v>1.2343</v>
      </c>
      <c r="C320">
        <v>1.3798999999999999</v>
      </c>
      <c r="D320">
        <v>1.1848000000000001</v>
      </c>
      <c r="E320">
        <v>1.2027000000000001</v>
      </c>
      <c r="F320">
        <v>132316197.45999999</v>
      </c>
      <c r="G320">
        <v>0</v>
      </c>
      <c r="L320" t="s">
        <v>8</v>
      </c>
      <c r="M320" t="s">
        <v>8</v>
      </c>
      <c r="N320" t="s">
        <v>8</v>
      </c>
      <c r="P320">
        <f t="shared" si="965"/>
        <v>-0.81650435674013278</v>
      </c>
      <c r="Q320">
        <f t="shared" si="966"/>
        <v>-108036751.69337769</v>
      </c>
      <c r="R320">
        <f t="shared" si="967"/>
        <v>743372310.77750254</v>
      </c>
      <c r="S320">
        <f t="shared" si="968"/>
        <v>7433.7231077750257</v>
      </c>
      <c r="T320">
        <f t="shared" si="969"/>
        <v>7.4337231077750259</v>
      </c>
    </row>
    <row r="321" spans="1:20" x14ac:dyDescent="0.25">
      <c r="A321" s="5">
        <v>44272</v>
      </c>
      <c r="B321">
        <v>1.0299</v>
      </c>
      <c r="C321">
        <v>1.369</v>
      </c>
      <c r="D321">
        <v>0.94310000000000005</v>
      </c>
      <c r="E321">
        <v>1.2342</v>
      </c>
      <c r="F321">
        <v>369864860.89999998</v>
      </c>
      <c r="G321">
        <v>0</v>
      </c>
      <c r="L321" t="s">
        <v>8</v>
      </c>
      <c r="M321" t="s">
        <v>8</v>
      </c>
      <c r="N321" t="s">
        <v>8</v>
      </c>
      <c r="P321">
        <f t="shared" si="965"/>
        <v>0.36698755576426367</v>
      </c>
      <c r="Q321">
        <f t="shared" si="966"/>
        <v>135735801.26478037</v>
      </c>
      <c r="R321">
        <f t="shared" si="967"/>
        <v>851409062.47088027</v>
      </c>
      <c r="S321">
        <f t="shared" si="968"/>
        <v>8514.0906247088024</v>
      </c>
      <c r="T321">
        <f t="shared" si="969"/>
        <v>8.5140906247088015</v>
      </c>
    </row>
    <row r="322" spans="1:20" x14ac:dyDescent="0.25">
      <c r="A322" s="5">
        <v>44271</v>
      </c>
      <c r="B322">
        <v>0.76</v>
      </c>
      <c r="C322">
        <v>1.1888000000000001</v>
      </c>
      <c r="D322">
        <v>0.72899999999999998</v>
      </c>
      <c r="E322">
        <v>1.0303</v>
      </c>
      <c r="F322">
        <v>215078914.06</v>
      </c>
      <c r="G322">
        <v>0</v>
      </c>
      <c r="L322" t="s">
        <v>8</v>
      </c>
      <c r="M322" t="s">
        <v>8</v>
      </c>
      <c r="N322" t="s">
        <v>8</v>
      </c>
      <c r="P322">
        <f t="shared" si="965"/>
        <v>0.31056981296215724</v>
      </c>
      <c r="Q322">
        <f t="shared" si="966"/>
        <v>66797018.111718096</v>
      </c>
      <c r="R322">
        <f t="shared" si="967"/>
        <v>715673261.20609987</v>
      </c>
      <c r="S322">
        <f t="shared" si="968"/>
        <v>7156.7326120609987</v>
      </c>
      <c r="T322">
        <f t="shared" si="969"/>
        <v>7.1567326120609991</v>
      </c>
    </row>
    <row r="323" spans="1:20" x14ac:dyDescent="0.25">
      <c r="A323" s="5">
        <v>44270</v>
      </c>
      <c r="B323">
        <v>0.76619999999999999</v>
      </c>
      <c r="C323">
        <v>0.80869999999999997</v>
      </c>
      <c r="D323">
        <v>0.71919999999999995</v>
      </c>
      <c r="E323">
        <v>0.76049999999999995</v>
      </c>
      <c r="F323">
        <v>27740558.579999998</v>
      </c>
      <c r="G323">
        <v>0</v>
      </c>
      <c r="L323" t="s">
        <v>7</v>
      </c>
      <c r="M323" t="s">
        <v>7</v>
      </c>
      <c r="N323" t="s">
        <v>8</v>
      </c>
      <c r="P323">
        <f t="shared" si="965"/>
        <v>-7.7094972067039275E-2</v>
      </c>
      <c r="Q323">
        <f t="shared" si="966"/>
        <v>-2138657.5888491664</v>
      </c>
      <c r="R323">
        <f t="shared" si="967"/>
        <v>648876243.09438181</v>
      </c>
      <c r="S323">
        <f t="shared" si="968"/>
        <v>6488.7624309438179</v>
      </c>
      <c r="T323">
        <f t="shared" si="969"/>
        <v>6.4887624309438179</v>
      </c>
    </row>
    <row r="324" spans="1:20" x14ac:dyDescent="0.25">
      <c r="A324" s="5">
        <v>44269</v>
      </c>
      <c r="B324">
        <v>0.8145</v>
      </c>
      <c r="C324">
        <v>0.85129999999999995</v>
      </c>
      <c r="D324">
        <v>0.76619999999999999</v>
      </c>
      <c r="E324">
        <v>0.76619999999999999</v>
      </c>
      <c r="F324">
        <v>26704296.48</v>
      </c>
      <c r="G324">
        <v>0</v>
      </c>
      <c r="L324" t="s">
        <v>8</v>
      </c>
      <c r="M324" t="s">
        <v>7</v>
      </c>
      <c r="N324" t="s">
        <v>8</v>
      </c>
      <c r="P324">
        <f t="shared" si="965"/>
        <v>-1</v>
      </c>
      <c r="Q324">
        <f t="shared" si="966"/>
        <v>-26704296.48</v>
      </c>
      <c r="R324">
        <f t="shared" si="967"/>
        <v>651014900.683231</v>
      </c>
      <c r="S324">
        <f t="shared" si="968"/>
        <v>6510.1490068323101</v>
      </c>
      <c r="T324">
        <f t="shared" si="969"/>
        <v>6.51014900683231</v>
      </c>
    </row>
    <row r="325" spans="1:20" x14ac:dyDescent="0.25">
      <c r="A325" s="5">
        <v>44268</v>
      </c>
      <c r="B325">
        <v>0.75629999999999997</v>
      </c>
      <c r="C325">
        <v>0.83679999999999999</v>
      </c>
      <c r="D325">
        <v>0.72130000000000005</v>
      </c>
      <c r="E325">
        <v>0.8145</v>
      </c>
      <c r="F325">
        <v>36845071.25</v>
      </c>
      <c r="G325">
        <v>0</v>
      </c>
      <c r="L325" t="s">
        <v>7</v>
      </c>
      <c r="M325" t="s">
        <v>7</v>
      </c>
      <c r="N325" t="s">
        <v>8</v>
      </c>
      <c r="P325">
        <f t="shared" si="965"/>
        <v>0.61385281385281387</v>
      </c>
      <c r="Q325">
        <f t="shared" si="966"/>
        <v>22617450.663419914</v>
      </c>
      <c r="R325">
        <f t="shared" si="967"/>
        <v>677719197.16323102</v>
      </c>
      <c r="S325">
        <f t="shared" si="968"/>
        <v>6777.19197163231</v>
      </c>
      <c r="T325">
        <f t="shared" si="969"/>
        <v>6.7771919716323099</v>
      </c>
    </row>
    <row r="326" spans="1:20" x14ac:dyDescent="0.25">
      <c r="A326" s="5">
        <v>44267</v>
      </c>
      <c r="B326">
        <v>0.80189999999999995</v>
      </c>
      <c r="C326">
        <v>0.81459999999999999</v>
      </c>
      <c r="D326">
        <v>0.73119999999999996</v>
      </c>
      <c r="E326">
        <v>0.75549999999999995</v>
      </c>
      <c r="F326">
        <v>33583612.829999998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70">IF(C326=D326,0,((E326-D326)-(C326-E326))/(C326-D326))</f>
        <v>-0.41726618705036023</v>
      </c>
      <c r="Q326">
        <f t="shared" ref="Q326:Q389" si="971">F326*P326</f>
        <v>-14013306.072949657</v>
      </c>
      <c r="R326">
        <f t="shared" ref="R326:R389" si="972">R327+Q326</f>
        <v>655101746.49981105</v>
      </c>
      <c r="S326">
        <f t="shared" ref="S326:S389" si="973">R326/100000</f>
        <v>6551.0174649981109</v>
      </c>
      <c r="T326">
        <f t="shared" ref="T326:T389" si="974">S326/1000</f>
        <v>6.551017464998111</v>
      </c>
    </row>
    <row r="327" spans="1:20" x14ac:dyDescent="0.25">
      <c r="A327" s="5">
        <v>44266</v>
      </c>
      <c r="B327">
        <v>0.81969999999999998</v>
      </c>
      <c r="C327">
        <v>0.86309999999999998</v>
      </c>
      <c r="D327">
        <v>0.77590000000000003</v>
      </c>
      <c r="E327">
        <v>0.80269999999999997</v>
      </c>
      <c r="F327">
        <v>49102781.729999997</v>
      </c>
      <c r="G327">
        <v>0</v>
      </c>
      <c r="L327" t="s">
        <v>7</v>
      </c>
      <c r="M327" t="s">
        <v>8</v>
      </c>
      <c r="N327" t="s">
        <v>8</v>
      </c>
      <c r="P327">
        <f t="shared" si="970"/>
        <v>-0.38532110091743227</v>
      </c>
      <c r="Q327">
        <f t="shared" si="971"/>
        <v>-18920337.914311979</v>
      </c>
      <c r="R327">
        <f t="shared" si="972"/>
        <v>669115052.5727607</v>
      </c>
      <c r="S327">
        <f t="shared" si="973"/>
        <v>6691.1505257276067</v>
      </c>
      <c r="T327">
        <f t="shared" si="974"/>
        <v>6.6911505257276067</v>
      </c>
    </row>
    <row r="328" spans="1:20" x14ac:dyDescent="0.25">
      <c r="A328" s="5">
        <v>44265</v>
      </c>
      <c r="B328">
        <v>0.747</v>
      </c>
      <c r="C328">
        <v>0.88729999999999998</v>
      </c>
      <c r="D328">
        <v>0.69199999999999995</v>
      </c>
      <c r="E328">
        <v>0.81930000000000003</v>
      </c>
      <c r="F328">
        <v>110214380.54000001</v>
      </c>
      <c r="G328">
        <v>0</v>
      </c>
      <c r="L328" t="s">
        <v>8</v>
      </c>
      <c r="M328" t="s">
        <v>8</v>
      </c>
      <c r="N328" t="s">
        <v>8</v>
      </c>
      <c r="P328">
        <f t="shared" si="970"/>
        <v>0.30363543266769133</v>
      </c>
      <c r="Q328">
        <f t="shared" si="971"/>
        <v>33464991.12146448</v>
      </c>
      <c r="R328">
        <f t="shared" si="972"/>
        <v>688035390.48707271</v>
      </c>
      <c r="S328">
        <f t="shared" si="973"/>
        <v>6880.3539048707271</v>
      </c>
      <c r="T328">
        <f t="shared" si="974"/>
        <v>6.8803539048707272</v>
      </c>
    </row>
    <row r="329" spans="1:20" x14ac:dyDescent="0.25">
      <c r="A329" s="5">
        <v>44264</v>
      </c>
      <c r="B329">
        <v>0.74399999999999999</v>
      </c>
      <c r="C329">
        <v>0.76470000000000005</v>
      </c>
      <c r="D329">
        <v>0.70250000000000001</v>
      </c>
      <c r="E329">
        <v>0.74690000000000001</v>
      </c>
      <c r="F329">
        <v>32731484.379999999</v>
      </c>
      <c r="G329">
        <v>0</v>
      </c>
      <c r="L329" t="s">
        <v>8</v>
      </c>
      <c r="M329" t="s">
        <v>8</v>
      </c>
      <c r="N329" t="s">
        <v>8</v>
      </c>
      <c r="P329">
        <f t="shared" si="970"/>
        <v>0.42765273311897012</v>
      </c>
      <c r="Q329">
        <f t="shared" si="971"/>
        <v>13997708.754147878</v>
      </c>
      <c r="R329">
        <f t="shared" si="972"/>
        <v>654570399.36560822</v>
      </c>
      <c r="S329">
        <f t="shared" si="973"/>
        <v>6545.7039936560823</v>
      </c>
      <c r="T329">
        <f t="shared" si="974"/>
        <v>6.5457039936560824</v>
      </c>
    </row>
    <row r="330" spans="1:20" x14ac:dyDescent="0.25">
      <c r="A330" s="5">
        <v>44263</v>
      </c>
      <c r="B330">
        <v>0.69479999999999997</v>
      </c>
      <c r="C330">
        <v>0.74409999999999998</v>
      </c>
      <c r="D330">
        <v>0.66</v>
      </c>
      <c r="E330">
        <v>0.74370000000000003</v>
      </c>
      <c r="F330">
        <v>35242726.329999998</v>
      </c>
      <c r="G330">
        <v>0</v>
      </c>
      <c r="L330" t="s">
        <v>8</v>
      </c>
      <c r="M330" t="s">
        <v>7</v>
      </c>
      <c r="N330" t="s">
        <v>8</v>
      </c>
      <c r="P330">
        <f t="shared" si="970"/>
        <v>0.99048751486325903</v>
      </c>
      <c r="Q330">
        <f t="shared" si="971"/>
        <v>34907480.419607647</v>
      </c>
      <c r="R330">
        <f t="shared" si="972"/>
        <v>640572690.61146033</v>
      </c>
      <c r="S330">
        <f t="shared" si="973"/>
        <v>6405.7269061146035</v>
      </c>
      <c r="T330">
        <f t="shared" si="974"/>
        <v>6.4057269061146034</v>
      </c>
    </row>
    <row r="331" spans="1:20" x14ac:dyDescent="0.25">
      <c r="A331" s="5">
        <v>44262</v>
      </c>
      <c r="B331">
        <v>0.6643</v>
      </c>
      <c r="C331">
        <v>0.72940000000000005</v>
      </c>
      <c r="D331">
        <v>0.66049999999999998</v>
      </c>
      <c r="E331">
        <v>0.69479999999999997</v>
      </c>
      <c r="F331">
        <v>33205851.890000001</v>
      </c>
      <c r="G331">
        <v>0</v>
      </c>
      <c r="L331" t="s">
        <v>8</v>
      </c>
      <c r="M331" t="s">
        <v>7</v>
      </c>
      <c r="N331" t="s">
        <v>8</v>
      </c>
      <c r="P331">
        <f t="shared" si="970"/>
        <v>-4.3541364296092551E-3</v>
      </c>
      <c r="Q331">
        <f t="shared" si="971"/>
        <v>-144582.80939045834</v>
      </c>
      <c r="R331">
        <f t="shared" si="972"/>
        <v>605665210.19185269</v>
      </c>
      <c r="S331">
        <f t="shared" si="973"/>
        <v>6056.6521019185266</v>
      </c>
      <c r="T331">
        <f t="shared" si="974"/>
        <v>6.0566521019185267</v>
      </c>
    </row>
    <row r="332" spans="1:20" x14ac:dyDescent="0.25">
      <c r="A332" s="5">
        <v>44261</v>
      </c>
      <c r="B332">
        <v>0.67889999999999995</v>
      </c>
      <c r="C332">
        <v>0.69730000000000003</v>
      </c>
      <c r="D332">
        <v>0.63349999999999995</v>
      </c>
      <c r="E332">
        <v>0.66390000000000005</v>
      </c>
      <c r="F332">
        <v>24908703.100000001</v>
      </c>
      <c r="G332">
        <v>0</v>
      </c>
      <c r="L332" t="s">
        <v>8</v>
      </c>
      <c r="M332" t="s">
        <v>7</v>
      </c>
      <c r="N332" t="s">
        <v>8</v>
      </c>
      <c r="P332">
        <f t="shared" si="970"/>
        <v>-4.7021943573665952E-2</v>
      </c>
      <c r="Q332">
        <f t="shared" si="971"/>
        <v>-1171255.6316613983</v>
      </c>
      <c r="R332">
        <f t="shared" si="972"/>
        <v>605809793.00124311</v>
      </c>
      <c r="S332">
        <f t="shared" si="973"/>
        <v>6058.0979300124309</v>
      </c>
      <c r="T332">
        <f t="shared" si="974"/>
        <v>6.0580979300124307</v>
      </c>
    </row>
    <row r="333" spans="1:20" x14ac:dyDescent="0.25">
      <c r="A333" s="5">
        <v>44260</v>
      </c>
      <c r="B333">
        <v>0.69159999999999999</v>
      </c>
      <c r="C333">
        <v>0.7248</v>
      </c>
      <c r="D333">
        <v>0.63300000000000001</v>
      </c>
      <c r="E333">
        <v>0.67889999999999995</v>
      </c>
      <c r="F333">
        <v>53510751.770000003</v>
      </c>
      <c r="G333">
        <v>0</v>
      </c>
      <c r="L333" t="s">
        <v>7</v>
      </c>
      <c r="M333" t="s">
        <v>7</v>
      </c>
      <c r="N333" t="s">
        <v>8</v>
      </c>
      <c r="P333">
        <f t="shared" si="970"/>
        <v>-1.2093932730121533E-15</v>
      </c>
      <c r="Q333">
        <f t="shared" si="971"/>
        <v>-6.4715543224461182E-8</v>
      </c>
      <c r="R333">
        <f t="shared" si="972"/>
        <v>606981048.63290453</v>
      </c>
      <c r="S333">
        <f t="shared" si="973"/>
        <v>6069.8104863290455</v>
      </c>
      <c r="T333">
        <f t="shared" si="974"/>
        <v>6.0698104863290459</v>
      </c>
    </row>
    <row r="334" spans="1:20" x14ac:dyDescent="0.25">
      <c r="A334" s="5">
        <v>44259</v>
      </c>
      <c r="B334">
        <v>0.76160000000000005</v>
      </c>
      <c r="C334">
        <v>0.79300000000000004</v>
      </c>
      <c r="D334">
        <v>0.66420000000000001</v>
      </c>
      <c r="E334">
        <v>0.69269999999999998</v>
      </c>
      <c r="F334">
        <v>88037636.299999997</v>
      </c>
      <c r="G334">
        <v>0</v>
      </c>
      <c r="L334" t="s">
        <v>7</v>
      </c>
      <c r="M334" t="s">
        <v>7</v>
      </c>
      <c r="N334" t="s">
        <v>8</v>
      </c>
      <c r="P334">
        <f t="shared" si="970"/>
        <v>-0.55745341614906885</v>
      </c>
      <c r="Q334">
        <f t="shared" si="971"/>
        <v>-49076881.105124265</v>
      </c>
      <c r="R334">
        <f t="shared" si="972"/>
        <v>606981048.63290465</v>
      </c>
      <c r="S334">
        <f t="shared" si="973"/>
        <v>6069.8104863290464</v>
      </c>
      <c r="T334">
        <f t="shared" si="974"/>
        <v>6.0698104863290467</v>
      </c>
    </row>
    <row r="335" spans="1:20" x14ac:dyDescent="0.25">
      <c r="A335" s="5">
        <v>44258</v>
      </c>
      <c r="B335">
        <v>0.60260000000000002</v>
      </c>
      <c r="C335">
        <v>0.84119999999999995</v>
      </c>
      <c r="D335">
        <v>0.5927</v>
      </c>
      <c r="E335">
        <v>0.76129999999999998</v>
      </c>
      <c r="F335">
        <v>187173316.78999999</v>
      </c>
      <c r="G335">
        <v>0</v>
      </c>
      <c r="L335" t="s">
        <v>8</v>
      </c>
      <c r="M335" t="s">
        <v>8</v>
      </c>
      <c r="N335" t="s">
        <v>8</v>
      </c>
      <c r="P335">
        <f t="shared" si="970"/>
        <v>0.35694164989939647</v>
      </c>
      <c r="Q335">
        <f t="shared" si="971"/>
        <v>66809952.512165003</v>
      </c>
      <c r="R335">
        <f t="shared" si="972"/>
        <v>656057929.73802888</v>
      </c>
      <c r="S335">
        <f t="shared" si="973"/>
        <v>6560.5792973802891</v>
      </c>
      <c r="T335">
        <f t="shared" si="974"/>
        <v>6.560579297380289</v>
      </c>
    </row>
    <row r="336" spans="1:20" x14ac:dyDescent="0.25">
      <c r="A336" s="5">
        <v>44257</v>
      </c>
      <c r="B336">
        <v>0.58550000000000002</v>
      </c>
      <c r="C336">
        <v>0.63</v>
      </c>
      <c r="D336">
        <v>0.55410000000000004</v>
      </c>
      <c r="E336">
        <v>0.60260000000000002</v>
      </c>
      <c r="F336">
        <v>51264070.890000001</v>
      </c>
      <c r="G336">
        <v>0</v>
      </c>
      <c r="L336" t="s">
        <v>8</v>
      </c>
      <c r="M336" t="s">
        <v>8</v>
      </c>
      <c r="N336" t="s">
        <v>8</v>
      </c>
      <c r="P336">
        <f t="shared" si="970"/>
        <v>0.27799736495388694</v>
      </c>
      <c r="Q336">
        <f t="shared" si="971"/>
        <v>14251276.624229262</v>
      </c>
      <c r="R336">
        <f t="shared" si="972"/>
        <v>589247977.22586393</v>
      </c>
      <c r="S336">
        <f t="shared" si="973"/>
        <v>5892.4797722586391</v>
      </c>
      <c r="T336">
        <f t="shared" si="974"/>
        <v>5.8924797722586391</v>
      </c>
    </row>
    <row r="337" spans="1:20" x14ac:dyDescent="0.25">
      <c r="A337" s="5">
        <v>44256</v>
      </c>
      <c r="B337">
        <v>0.52900000000000003</v>
      </c>
      <c r="C337">
        <v>0.59740000000000004</v>
      </c>
      <c r="D337">
        <v>0.51900000000000002</v>
      </c>
      <c r="E337">
        <v>0.58609999999999995</v>
      </c>
      <c r="F337">
        <v>49907063.659999996</v>
      </c>
      <c r="G337">
        <v>0</v>
      </c>
      <c r="L337" t="s">
        <v>8</v>
      </c>
      <c r="M337" t="s">
        <v>8</v>
      </c>
      <c r="N337" t="s">
        <v>8</v>
      </c>
      <c r="P337">
        <f t="shared" si="970"/>
        <v>0.71173469387754884</v>
      </c>
      <c r="Q337">
        <f t="shared" si="971"/>
        <v>35520588.676377438</v>
      </c>
      <c r="R337">
        <f t="shared" si="972"/>
        <v>574996700.60163462</v>
      </c>
      <c r="S337">
        <f t="shared" si="973"/>
        <v>5749.9670060163462</v>
      </c>
      <c r="T337">
        <f t="shared" si="974"/>
        <v>5.7499670060163464</v>
      </c>
    </row>
    <row r="338" spans="1:20" x14ac:dyDescent="0.25">
      <c r="A338" s="5">
        <v>44255</v>
      </c>
      <c r="B338">
        <v>0.5141</v>
      </c>
      <c r="C338">
        <v>0.54200000000000004</v>
      </c>
      <c r="D338">
        <v>0.45860000000000001</v>
      </c>
      <c r="E338">
        <v>0.52800000000000002</v>
      </c>
      <c r="F338">
        <v>44760477.32</v>
      </c>
      <c r="G338">
        <v>0</v>
      </c>
      <c r="L338" t="s">
        <v>7</v>
      </c>
      <c r="M338" t="s">
        <v>7</v>
      </c>
      <c r="N338" t="s">
        <v>8</v>
      </c>
      <c r="P338">
        <f t="shared" si="970"/>
        <v>0.66426858513189435</v>
      </c>
      <c r="Q338">
        <f t="shared" si="971"/>
        <v>29732978.939184647</v>
      </c>
      <c r="R338">
        <f t="shared" si="972"/>
        <v>539476111.92525721</v>
      </c>
      <c r="S338">
        <f t="shared" si="973"/>
        <v>5394.7611192525719</v>
      </c>
      <c r="T338">
        <f t="shared" si="974"/>
        <v>5.3947611192525722</v>
      </c>
    </row>
    <row r="339" spans="1:20" x14ac:dyDescent="0.25">
      <c r="A339" s="5">
        <v>44254</v>
      </c>
      <c r="B339">
        <v>0.52529999999999999</v>
      </c>
      <c r="C339">
        <v>0.56779999999999997</v>
      </c>
      <c r="D339">
        <v>0.50180000000000002</v>
      </c>
      <c r="E339">
        <v>0.51470000000000005</v>
      </c>
      <c r="F339">
        <v>63112874.659999996</v>
      </c>
      <c r="G339">
        <v>0</v>
      </c>
      <c r="L339" t="s">
        <v>8</v>
      </c>
      <c r="M339" t="s">
        <v>8</v>
      </c>
      <c r="N339" t="s">
        <v>8</v>
      </c>
      <c r="P339">
        <f t="shared" si="970"/>
        <v>-0.60909090909090813</v>
      </c>
      <c r="Q339">
        <f t="shared" si="971"/>
        <v>-38441478.20199994</v>
      </c>
      <c r="R339">
        <f t="shared" si="972"/>
        <v>509743132.9860726</v>
      </c>
      <c r="S339">
        <f t="shared" si="973"/>
        <v>5097.4313298607258</v>
      </c>
      <c r="T339">
        <f t="shared" si="974"/>
        <v>5.0974313298607257</v>
      </c>
    </row>
    <row r="340" spans="1:20" x14ac:dyDescent="0.25">
      <c r="A340" s="5">
        <v>44253</v>
      </c>
      <c r="B340">
        <v>0.48110000000000003</v>
      </c>
      <c r="C340">
        <v>0.55600000000000005</v>
      </c>
      <c r="D340">
        <v>0.44119999999999998</v>
      </c>
      <c r="E340">
        <v>0.52539999999999998</v>
      </c>
      <c r="F340">
        <v>100589460.59</v>
      </c>
      <c r="G340">
        <v>0</v>
      </c>
      <c r="L340" t="s">
        <v>7</v>
      </c>
      <c r="M340" t="s">
        <v>7</v>
      </c>
      <c r="N340" t="s">
        <v>7</v>
      </c>
      <c r="P340">
        <f t="shared" si="970"/>
        <v>0.4668989547038318</v>
      </c>
      <c r="Q340">
        <f t="shared" si="971"/>
        <v>46965114.003693283</v>
      </c>
      <c r="R340">
        <f t="shared" si="972"/>
        <v>548184611.18807256</v>
      </c>
      <c r="S340">
        <f t="shared" si="973"/>
        <v>5481.8461118807254</v>
      </c>
      <c r="T340">
        <f t="shared" si="974"/>
        <v>5.4818461118807251</v>
      </c>
    </row>
    <row r="341" spans="1:20" x14ac:dyDescent="0.25">
      <c r="A341" s="5">
        <v>44252</v>
      </c>
      <c r="B341">
        <v>0.51339999999999997</v>
      </c>
      <c r="C341">
        <v>0.5393</v>
      </c>
      <c r="D341">
        <v>0.47349999999999998</v>
      </c>
      <c r="E341">
        <v>0.48120000000000002</v>
      </c>
      <c r="F341">
        <v>38568345.530000001</v>
      </c>
      <c r="G341">
        <v>0</v>
      </c>
      <c r="L341" t="s">
        <v>7</v>
      </c>
      <c r="M341" t="s">
        <v>8</v>
      </c>
      <c r="N341" t="s">
        <v>7</v>
      </c>
      <c r="P341">
        <f t="shared" si="970"/>
        <v>-0.76595744680850952</v>
      </c>
      <c r="Q341">
        <f t="shared" si="971"/>
        <v>-29541711.469787192</v>
      </c>
      <c r="R341">
        <f t="shared" si="972"/>
        <v>501219497.18437928</v>
      </c>
      <c r="S341">
        <f t="shared" si="973"/>
        <v>5012.1949718437927</v>
      </c>
      <c r="T341">
        <f t="shared" si="974"/>
        <v>5.012194971843793</v>
      </c>
    </row>
    <row r="342" spans="1:20" x14ac:dyDescent="0.25">
      <c r="A342" s="5">
        <v>44251</v>
      </c>
      <c r="B342">
        <v>0.47660000000000002</v>
      </c>
      <c r="C342">
        <v>0.55049999999999999</v>
      </c>
      <c r="D342">
        <v>0.44419999999999998</v>
      </c>
      <c r="E342">
        <v>0.51400000000000001</v>
      </c>
      <c r="F342">
        <v>69491812.269999996</v>
      </c>
      <c r="G342">
        <v>0</v>
      </c>
      <c r="L342" t="s">
        <v>8</v>
      </c>
      <c r="M342" t="s">
        <v>8</v>
      </c>
      <c r="N342" t="s">
        <v>7</v>
      </c>
      <c r="P342">
        <f t="shared" si="970"/>
        <v>0.31326434619002869</v>
      </c>
      <c r="Q342">
        <f t="shared" si="971"/>
        <v>21769307.136321761</v>
      </c>
      <c r="R342">
        <f t="shared" si="972"/>
        <v>530761208.65416646</v>
      </c>
      <c r="S342">
        <f t="shared" si="973"/>
        <v>5307.6120865416642</v>
      </c>
      <c r="T342">
        <f t="shared" si="974"/>
        <v>5.3076120865416643</v>
      </c>
    </row>
    <row r="343" spans="1:20" x14ac:dyDescent="0.25">
      <c r="A343" s="5">
        <v>44250</v>
      </c>
      <c r="B343">
        <v>0.54090000000000005</v>
      </c>
      <c r="C343">
        <v>0.54959999999999998</v>
      </c>
      <c r="D343">
        <v>0.39450000000000002</v>
      </c>
      <c r="E343">
        <v>0.47660000000000002</v>
      </c>
      <c r="F343">
        <v>94785870.849999994</v>
      </c>
      <c r="G343">
        <v>0</v>
      </c>
      <c r="L343" t="s">
        <v>7</v>
      </c>
      <c r="M343" t="s">
        <v>7</v>
      </c>
      <c r="N343" t="s">
        <v>7</v>
      </c>
      <c r="P343">
        <f t="shared" si="970"/>
        <v>5.8671824629271792E-2</v>
      </c>
      <c r="Q343">
        <f t="shared" si="971"/>
        <v>5561259.991844005</v>
      </c>
      <c r="R343">
        <f t="shared" si="972"/>
        <v>508991901.51784468</v>
      </c>
      <c r="S343">
        <f t="shared" si="973"/>
        <v>5089.9190151784469</v>
      </c>
      <c r="T343">
        <f t="shared" si="974"/>
        <v>5.089919015178447</v>
      </c>
    </row>
    <row r="344" spans="1:20" x14ac:dyDescent="0.25">
      <c r="A344" s="5">
        <v>44249</v>
      </c>
      <c r="B344">
        <v>0.60619999999999996</v>
      </c>
      <c r="C344">
        <v>0.64370000000000005</v>
      </c>
      <c r="D344">
        <v>0.45</v>
      </c>
      <c r="E344">
        <v>0.54179999999999995</v>
      </c>
      <c r="F344">
        <v>69850216.469999999</v>
      </c>
      <c r="G344">
        <v>0</v>
      </c>
      <c r="L344" t="s">
        <v>8</v>
      </c>
      <c r="M344" t="s">
        <v>7</v>
      </c>
      <c r="N344" t="s">
        <v>7</v>
      </c>
      <c r="P344">
        <f t="shared" si="970"/>
        <v>-5.2142488384099961E-2</v>
      </c>
      <c r="Q344">
        <f t="shared" si="971"/>
        <v>-3642164.1009138427</v>
      </c>
      <c r="R344">
        <f t="shared" si="972"/>
        <v>503430641.52600068</v>
      </c>
      <c r="S344">
        <f t="shared" si="973"/>
        <v>5034.3064152600064</v>
      </c>
      <c r="T344">
        <f t="shared" si="974"/>
        <v>5.0343064152600068</v>
      </c>
    </row>
    <row r="345" spans="1:20" x14ac:dyDescent="0.25">
      <c r="A345" s="5">
        <v>44248</v>
      </c>
      <c r="B345">
        <v>0.57830000000000004</v>
      </c>
      <c r="C345">
        <v>0.61</v>
      </c>
      <c r="D345">
        <v>0.56159999999999999</v>
      </c>
      <c r="E345">
        <v>0.60660000000000003</v>
      </c>
      <c r="F345">
        <v>36101353.140000001</v>
      </c>
      <c r="G345">
        <v>0</v>
      </c>
      <c r="L345" t="s">
        <v>8</v>
      </c>
      <c r="M345" t="s">
        <v>7</v>
      </c>
      <c r="N345" t="s">
        <v>8</v>
      </c>
      <c r="P345">
        <f t="shared" si="970"/>
        <v>0.85950413223140665</v>
      </c>
      <c r="Q345">
        <f t="shared" si="971"/>
        <v>31029262.202975269</v>
      </c>
      <c r="R345">
        <f t="shared" si="972"/>
        <v>507072805.6269145</v>
      </c>
      <c r="S345">
        <f t="shared" si="973"/>
        <v>5070.7280562691449</v>
      </c>
      <c r="T345">
        <f t="shared" si="974"/>
        <v>5.0707280562691448</v>
      </c>
    </row>
    <row r="346" spans="1:20" x14ac:dyDescent="0.25">
      <c r="A346" s="5">
        <v>44247</v>
      </c>
      <c r="B346">
        <v>0.61409999999999998</v>
      </c>
      <c r="C346">
        <v>0.63549999999999995</v>
      </c>
      <c r="D346">
        <v>0.54249999999999998</v>
      </c>
      <c r="E346">
        <v>0.57779999999999998</v>
      </c>
      <c r="F346">
        <v>50186956.509999998</v>
      </c>
      <c r="G346">
        <v>0</v>
      </c>
      <c r="L346" t="s">
        <v>7</v>
      </c>
      <c r="M346" t="s">
        <v>7</v>
      </c>
      <c r="N346" t="s">
        <v>8</v>
      </c>
      <c r="P346">
        <f t="shared" si="970"/>
        <v>-0.24086021505376326</v>
      </c>
      <c r="Q346">
        <f t="shared" si="971"/>
        <v>-12088041.137892464</v>
      </c>
      <c r="R346">
        <f t="shared" si="972"/>
        <v>476043543.42393923</v>
      </c>
      <c r="S346">
        <f t="shared" si="973"/>
        <v>4760.4354342393926</v>
      </c>
      <c r="T346">
        <f t="shared" si="974"/>
        <v>4.7604354342393922</v>
      </c>
    </row>
    <row r="347" spans="1:20" x14ac:dyDescent="0.25">
      <c r="A347" s="5">
        <v>44246</v>
      </c>
      <c r="B347">
        <v>0.63590000000000002</v>
      </c>
      <c r="C347">
        <v>0.65680000000000005</v>
      </c>
      <c r="D347">
        <v>0.59260000000000002</v>
      </c>
      <c r="E347">
        <v>0.61409999999999998</v>
      </c>
      <c r="F347">
        <v>37308915.840000004</v>
      </c>
      <c r="G347">
        <v>0</v>
      </c>
      <c r="L347" t="s">
        <v>7</v>
      </c>
      <c r="M347" t="s">
        <v>8</v>
      </c>
      <c r="N347" t="s">
        <v>8</v>
      </c>
      <c r="P347">
        <f t="shared" si="970"/>
        <v>-0.33021806853582703</v>
      </c>
      <c r="Q347">
        <f t="shared" si="971"/>
        <v>-12320078.127850523</v>
      </c>
      <c r="R347">
        <f t="shared" si="972"/>
        <v>488131584.56183171</v>
      </c>
      <c r="S347">
        <f t="shared" si="973"/>
        <v>4881.3158456183173</v>
      </c>
      <c r="T347">
        <f t="shared" si="974"/>
        <v>4.8813158456183174</v>
      </c>
    </row>
    <row r="348" spans="1:20" x14ac:dyDescent="0.25">
      <c r="A348" s="5">
        <v>44245</v>
      </c>
      <c r="B348">
        <v>0.57440000000000002</v>
      </c>
      <c r="C348">
        <v>0.64990000000000003</v>
      </c>
      <c r="D348">
        <v>0.56999999999999995</v>
      </c>
      <c r="E348">
        <v>0.63560000000000005</v>
      </c>
      <c r="F348">
        <v>43747122</v>
      </c>
      <c r="G348">
        <v>0</v>
      </c>
      <c r="L348" t="s">
        <v>8</v>
      </c>
      <c r="M348" t="s">
        <v>8</v>
      </c>
      <c r="N348" t="s">
        <v>8</v>
      </c>
      <c r="P348">
        <f t="shared" si="970"/>
        <v>0.64205256570713476</v>
      </c>
      <c r="Q348">
        <f t="shared" si="971"/>
        <v>28087951.922403041</v>
      </c>
      <c r="R348">
        <f t="shared" si="972"/>
        <v>500451662.68968225</v>
      </c>
      <c r="S348">
        <f t="shared" si="973"/>
        <v>5004.5166268968223</v>
      </c>
      <c r="T348">
        <f t="shared" si="974"/>
        <v>5.0045166268968222</v>
      </c>
    </row>
    <row r="349" spans="1:20" x14ac:dyDescent="0.25">
      <c r="A349" s="5">
        <v>44244</v>
      </c>
      <c r="B349">
        <v>0.55600000000000005</v>
      </c>
      <c r="C349">
        <v>0.59660000000000002</v>
      </c>
      <c r="D349">
        <v>0.50570000000000004</v>
      </c>
      <c r="E349">
        <v>0.57479999999999998</v>
      </c>
      <c r="F349">
        <v>39342009.409999996</v>
      </c>
      <c r="G349">
        <v>0</v>
      </c>
      <c r="L349" t="s">
        <v>7</v>
      </c>
      <c r="M349" t="s">
        <v>8</v>
      </c>
      <c r="N349" t="s">
        <v>7</v>
      </c>
      <c r="P349">
        <f t="shared" si="970"/>
        <v>0.52035203520351936</v>
      </c>
      <c r="Q349">
        <f t="shared" si="971"/>
        <v>20471694.66548951</v>
      </c>
      <c r="R349">
        <f t="shared" si="972"/>
        <v>472363710.76727921</v>
      </c>
      <c r="S349">
        <f t="shared" si="973"/>
        <v>4723.6371076727919</v>
      </c>
      <c r="T349">
        <f t="shared" si="974"/>
        <v>4.7236371076727917</v>
      </c>
    </row>
    <row r="350" spans="1:20" x14ac:dyDescent="0.25">
      <c r="A350" s="5">
        <v>44243</v>
      </c>
      <c r="B350">
        <v>0.5383</v>
      </c>
      <c r="C350">
        <v>0.59040000000000004</v>
      </c>
      <c r="D350">
        <v>0.52239999999999998</v>
      </c>
      <c r="E350">
        <v>0.55730000000000002</v>
      </c>
      <c r="F350">
        <v>43120841.950000003</v>
      </c>
      <c r="G350">
        <v>0</v>
      </c>
      <c r="L350" t="s">
        <v>8</v>
      </c>
      <c r="M350" t="s">
        <v>8</v>
      </c>
      <c r="N350" t="s">
        <v>7</v>
      </c>
      <c r="P350">
        <f t="shared" si="970"/>
        <v>2.6470588235294443E-2</v>
      </c>
      <c r="Q350">
        <f t="shared" si="971"/>
        <v>1141434.0516176613</v>
      </c>
      <c r="R350">
        <f t="shared" si="972"/>
        <v>451892016.10178971</v>
      </c>
      <c r="S350">
        <f t="shared" si="973"/>
        <v>4518.920161017897</v>
      </c>
      <c r="T350">
        <f t="shared" si="974"/>
        <v>4.5189201610178973</v>
      </c>
    </row>
    <row r="351" spans="1:20" x14ac:dyDescent="0.25">
      <c r="A351" s="5">
        <v>44242</v>
      </c>
      <c r="B351">
        <v>0.55859999999999999</v>
      </c>
      <c r="C351">
        <v>0.59599999999999997</v>
      </c>
      <c r="D351">
        <v>0.45579999999999998</v>
      </c>
      <c r="E351">
        <v>0.53920000000000001</v>
      </c>
      <c r="F351">
        <v>62150522.119999997</v>
      </c>
      <c r="G351">
        <v>0</v>
      </c>
      <c r="L351" t="s">
        <v>7</v>
      </c>
      <c r="M351" t="s">
        <v>7</v>
      </c>
      <c r="N351" t="s">
        <v>7</v>
      </c>
      <c r="P351">
        <f t="shared" si="970"/>
        <v>0.18972895863052833</v>
      </c>
      <c r="Q351">
        <f t="shared" si="971"/>
        <v>11791753.840171216</v>
      </c>
      <c r="R351">
        <f t="shared" si="972"/>
        <v>450750582.05017203</v>
      </c>
      <c r="S351">
        <f t="shared" si="973"/>
        <v>4507.5058205017203</v>
      </c>
      <c r="T351">
        <f t="shared" si="974"/>
        <v>4.50750582050172</v>
      </c>
    </row>
    <row r="352" spans="1:20" x14ac:dyDescent="0.25">
      <c r="A352" s="5">
        <v>44241</v>
      </c>
      <c r="B352">
        <v>0.61780000000000002</v>
      </c>
      <c r="C352">
        <v>0.62680000000000002</v>
      </c>
      <c r="D352">
        <v>0.54</v>
      </c>
      <c r="E352">
        <v>0.55859999999999999</v>
      </c>
      <c r="F352">
        <v>39783890.75</v>
      </c>
      <c r="G352">
        <v>0</v>
      </c>
      <c r="L352" t="s">
        <v>7</v>
      </c>
      <c r="M352" t="s">
        <v>7</v>
      </c>
      <c r="N352" t="s">
        <v>8</v>
      </c>
      <c r="P352">
        <f t="shared" si="970"/>
        <v>-0.57142857142857251</v>
      </c>
      <c r="Q352">
        <f t="shared" si="971"/>
        <v>-22733651.857142899</v>
      </c>
      <c r="R352">
        <f t="shared" si="972"/>
        <v>438958828.21000081</v>
      </c>
      <c r="S352">
        <f t="shared" si="973"/>
        <v>4389.5882821000077</v>
      </c>
      <c r="T352">
        <f t="shared" si="974"/>
        <v>4.3895882821000081</v>
      </c>
    </row>
    <row r="353" spans="1:20" x14ac:dyDescent="0.25">
      <c r="A353" s="5">
        <v>44240</v>
      </c>
      <c r="B353">
        <v>0.627</v>
      </c>
      <c r="C353">
        <v>0.69620000000000004</v>
      </c>
      <c r="D353">
        <v>0.57169999999999999</v>
      </c>
      <c r="E353">
        <v>0.61750000000000005</v>
      </c>
      <c r="F353">
        <v>60570946.299999997</v>
      </c>
      <c r="G353">
        <v>0</v>
      </c>
      <c r="L353" t="s">
        <v>7</v>
      </c>
      <c r="M353" t="s">
        <v>8</v>
      </c>
      <c r="N353" t="s">
        <v>8</v>
      </c>
      <c r="P353">
        <f t="shared" si="970"/>
        <v>-0.26425702811244911</v>
      </c>
      <c r="Q353">
        <f t="shared" si="971"/>
        <v>-16006298.259196745</v>
      </c>
      <c r="R353">
        <f t="shared" si="972"/>
        <v>461692480.06714374</v>
      </c>
      <c r="S353">
        <f t="shared" si="973"/>
        <v>4616.924800671437</v>
      </c>
      <c r="T353">
        <f t="shared" si="974"/>
        <v>4.6169248006714367</v>
      </c>
    </row>
    <row r="354" spans="1:20" x14ac:dyDescent="0.25">
      <c r="A354" s="5">
        <v>44239</v>
      </c>
      <c r="B354">
        <v>0.59189999999999998</v>
      </c>
      <c r="C354">
        <v>0.70789999999999997</v>
      </c>
      <c r="D354">
        <v>0.54790000000000005</v>
      </c>
      <c r="E354">
        <v>0.62780000000000002</v>
      </c>
      <c r="F354">
        <v>128826117.12</v>
      </c>
      <c r="G354">
        <v>0</v>
      </c>
      <c r="L354" t="s">
        <v>8</v>
      </c>
      <c r="M354" t="s">
        <v>7</v>
      </c>
      <c r="N354" t="s">
        <v>8</v>
      </c>
      <c r="P354">
        <f t="shared" si="970"/>
        <v>-1.249999999999863E-3</v>
      </c>
      <c r="Q354">
        <f t="shared" si="971"/>
        <v>-161032.64639998236</v>
      </c>
      <c r="R354">
        <f t="shared" si="972"/>
        <v>477698778.3263405</v>
      </c>
      <c r="S354">
        <f t="shared" si="973"/>
        <v>4776.9877832634047</v>
      </c>
      <c r="T354">
        <f t="shared" si="974"/>
        <v>4.7769877832634045</v>
      </c>
    </row>
    <row r="355" spans="1:20" x14ac:dyDescent="0.25">
      <c r="A355" s="5">
        <v>44238</v>
      </c>
      <c r="B355">
        <v>0.44340000000000002</v>
      </c>
      <c r="C355">
        <v>0.67820000000000003</v>
      </c>
      <c r="D355">
        <v>0.43209999999999998</v>
      </c>
      <c r="E355">
        <v>0.59119999999999995</v>
      </c>
      <c r="F355">
        <v>167352012.69999999</v>
      </c>
      <c r="G355">
        <v>0</v>
      </c>
      <c r="L355" t="s">
        <v>8</v>
      </c>
      <c r="M355" t="s">
        <v>8</v>
      </c>
      <c r="N355" t="s">
        <v>8</v>
      </c>
      <c r="P355">
        <f t="shared" si="970"/>
        <v>0.29297033726127542</v>
      </c>
      <c r="Q355">
        <f t="shared" si="971"/>
        <v>49029175.602072246</v>
      </c>
      <c r="R355">
        <f t="shared" si="972"/>
        <v>477859810.97274047</v>
      </c>
      <c r="S355">
        <f t="shared" si="973"/>
        <v>4778.5981097274043</v>
      </c>
      <c r="T355">
        <f t="shared" si="974"/>
        <v>4.7785981097274046</v>
      </c>
    </row>
    <row r="356" spans="1:20" x14ac:dyDescent="0.25">
      <c r="A356" s="5">
        <v>44237</v>
      </c>
      <c r="B356">
        <v>0.43380000000000002</v>
      </c>
      <c r="C356">
        <v>0.46239999999999998</v>
      </c>
      <c r="D356">
        <v>0.39350000000000002</v>
      </c>
      <c r="E356">
        <v>0.44390000000000002</v>
      </c>
      <c r="F356">
        <v>54282864.82</v>
      </c>
      <c r="G356">
        <v>0</v>
      </c>
      <c r="L356" t="s">
        <v>8</v>
      </c>
      <c r="M356" t="s">
        <v>8</v>
      </c>
      <c r="N356" t="s">
        <v>8</v>
      </c>
      <c r="P356">
        <f t="shared" si="970"/>
        <v>0.46298984034833174</v>
      </c>
      <c r="Q356">
        <f t="shared" si="971"/>
        <v>25132414.916661873</v>
      </c>
      <c r="R356">
        <f t="shared" si="972"/>
        <v>428830635.37066823</v>
      </c>
      <c r="S356">
        <f t="shared" si="973"/>
        <v>4288.3063537066819</v>
      </c>
      <c r="T356">
        <f t="shared" si="974"/>
        <v>4.2883063537066821</v>
      </c>
    </row>
    <row r="357" spans="1:20" x14ac:dyDescent="0.25">
      <c r="A357" s="5">
        <v>44236</v>
      </c>
      <c r="B357">
        <v>0.41810000000000003</v>
      </c>
      <c r="C357">
        <v>0.44979999999999998</v>
      </c>
      <c r="D357">
        <v>0.40329999999999999</v>
      </c>
      <c r="E357">
        <v>0.43369999999999997</v>
      </c>
      <c r="F357">
        <v>48289538.140000001</v>
      </c>
      <c r="G357">
        <v>0</v>
      </c>
      <c r="L357" t="s">
        <v>8</v>
      </c>
      <c r="M357" t="s">
        <v>8</v>
      </c>
      <c r="N357" t="s">
        <v>8</v>
      </c>
      <c r="P357">
        <f t="shared" si="970"/>
        <v>0.30752688172042975</v>
      </c>
      <c r="Q357">
        <f t="shared" si="971"/>
        <v>14850331.083913961</v>
      </c>
      <c r="R357">
        <f t="shared" si="972"/>
        <v>403698220.45400637</v>
      </c>
      <c r="S357">
        <f t="shared" si="973"/>
        <v>4036.9822045400638</v>
      </c>
      <c r="T357">
        <f t="shared" si="974"/>
        <v>4.0369822045400641</v>
      </c>
    </row>
    <row r="358" spans="1:20" x14ac:dyDescent="0.25">
      <c r="A358" s="5">
        <v>44235</v>
      </c>
      <c r="B358">
        <v>0.40689999999999998</v>
      </c>
      <c r="C358">
        <v>0.432</v>
      </c>
      <c r="D358">
        <v>0.38629999999999998</v>
      </c>
      <c r="E358">
        <v>0.41710000000000003</v>
      </c>
      <c r="F358">
        <v>60420004.310000002</v>
      </c>
      <c r="G358">
        <v>0</v>
      </c>
      <c r="L358" t="s">
        <v>7</v>
      </c>
      <c r="M358" t="s">
        <v>8</v>
      </c>
      <c r="N358" t="s">
        <v>8</v>
      </c>
      <c r="P358">
        <f t="shared" si="970"/>
        <v>0.3479212253829338</v>
      </c>
      <c r="Q358">
        <f t="shared" si="971"/>
        <v>21021401.937177341</v>
      </c>
      <c r="R358">
        <f t="shared" si="972"/>
        <v>388847889.37009239</v>
      </c>
      <c r="S358">
        <f t="shared" si="973"/>
        <v>3888.4788937009239</v>
      </c>
      <c r="T358">
        <f t="shared" si="974"/>
        <v>3.888478893700924</v>
      </c>
    </row>
    <row r="359" spans="1:20" x14ac:dyDescent="0.25">
      <c r="A359" s="5">
        <v>44234</v>
      </c>
      <c r="B359">
        <v>0.35299999999999998</v>
      </c>
      <c r="C359">
        <v>0.42699999999999999</v>
      </c>
      <c r="D359">
        <v>0.34499999999999997</v>
      </c>
      <c r="E359">
        <v>0.40699999999999997</v>
      </c>
      <c r="F359">
        <v>111688458.5</v>
      </c>
      <c r="G359">
        <v>0</v>
      </c>
      <c r="L359" t="s">
        <v>8</v>
      </c>
      <c r="M359" t="s">
        <v>8</v>
      </c>
      <c r="N359" t="s">
        <v>8</v>
      </c>
      <c r="P359">
        <f t="shared" si="970"/>
        <v>0.51219512195121919</v>
      </c>
      <c r="Q359">
        <f t="shared" si="971"/>
        <v>57206283.621951185</v>
      </c>
      <c r="R359">
        <f t="shared" si="972"/>
        <v>367826487.43291503</v>
      </c>
      <c r="S359">
        <f t="shared" si="973"/>
        <v>3678.2648743291502</v>
      </c>
      <c r="T359">
        <f t="shared" si="974"/>
        <v>3.6782648743291504</v>
      </c>
    </row>
    <row r="360" spans="1:20" x14ac:dyDescent="0.25">
      <c r="A360" s="5">
        <v>44233</v>
      </c>
      <c r="B360">
        <v>0.3715</v>
      </c>
      <c r="C360">
        <v>0.37419999999999998</v>
      </c>
      <c r="D360">
        <v>0.33910000000000001</v>
      </c>
      <c r="E360">
        <v>0.35299999999999998</v>
      </c>
      <c r="F360">
        <v>37451153.200000003</v>
      </c>
      <c r="G360">
        <v>0</v>
      </c>
      <c r="L360" t="s">
        <v>7</v>
      </c>
      <c r="M360" t="s">
        <v>8</v>
      </c>
      <c r="N360" t="s">
        <v>8</v>
      </c>
      <c r="P360">
        <f t="shared" si="970"/>
        <v>-0.20797720797720901</v>
      </c>
      <c r="Q360">
        <f t="shared" si="971"/>
        <v>-7788986.2780627171</v>
      </c>
      <c r="R360">
        <f t="shared" si="972"/>
        <v>310620203.81096387</v>
      </c>
      <c r="S360">
        <f t="shared" si="973"/>
        <v>3106.2020381096386</v>
      </c>
      <c r="T360">
        <f t="shared" si="974"/>
        <v>3.1062020381096387</v>
      </c>
    </row>
    <row r="361" spans="1:20" x14ac:dyDescent="0.25">
      <c r="A361" s="5">
        <v>44232</v>
      </c>
      <c r="B361">
        <v>0.31290000000000001</v>
      </c>
      <c r="C361">
        <v>0.37509999999999999</v>
      </c>
      <c r="D361">
        <v>0.31290000000000001</v>
      </c>
      <c r="E361">
        <v>0.37130000000000002</v>
      </c>
      <c r="F361">
        <v>73273595.939999998</v>
      </c>
      <c r="G361">
        <v>0</v>
      </c>
      <c r="L361" t="s">
        <v>8</v>
      </c>
      <c r="M361" t="s">
        <v>8</v>
      </c>
      <c r="N361" t="s">
        <v>8</v>
      </c>
      <c r="P361">
        <f t="shared" si="970"/>
        <v>0.87781350482315201</v>
      </c>
      <c r="Q361">
        <f t="shared" si="971"/>
        <v>64320552.063086882</v>
      </c>
      <c r="R361">
        <f t="shared" si="972"/>
        <v>318409190.08902657</v>
      </c>
      <c r="S361">
        <f t="shared" si="973"/>
        <v>3184.0919008902656</v>
      </c>
      <c r="T361">
        <f t="shared" si="974"/>
        <v>3.1840919008902655</v>
      </c>
    </row>
    <row r="362" spans="1:20" x14ac:dyDescent="0.25">
      <c r="A362" s="5">
        <v>44231</v>
      </c>
      <c r="B362">
        <v>0.32240000000000002</v>
      </c>
      <c r="C362">
        <v>0.3261</v>
      </c>
      <c r="D362">
        <v>0.30309999999999998</v>
      </c>
      <c r="E362">
        <v>0.31259999999999999</v>
      </c>
      <c r="F362">
        <v>38083492.649999999</v>
      </c>
      <c r="G362">
        <v>0</v>
      </c>
      <c r="L362" t="s">
        <v>7</v>
      </c>
      <c r="M362" t="s">
        <v>8</v>
      </c>
      <c r="N362" t="s">
        <v>8</v>
      </c>
      <c r="P362">
        <f t="shared" si="970"/>
        <v>-0.17391304347826086</v>
      </c>
      <c r="Q362">
        <f t="shared" si="971"/>
        <v>-6623216.1130434778</v>
      </c>
      <c r="R362">
        <f t="shared" si="972"/>
        <v>254088638.0259397</v>
      </c>
      <c r="S362">
        <f t="shared" si="973"/>
        <v>2540.8863802593969</v>
      </c>
      <c r="T362">
        <f t="shared" si="974"/>
        <v>2.5408863802593968</v>
      </c>
    </row>
    <row r="363" spans="1:20" x14ac:dyDescent="0.25">
      <c r="A363" s="5">
        <v>44230</v>
      </c>
      <c r="B363">
        <v>0.31640000000000001</v>
      </c>
      <c r="C363">
        <v>0.32819999999999999</v>
      </c>
      <c r="D363">
        <v>0.31140000000000001</v>
      </c>
      <c r="E363">
        <v>0.32240000000000002</v>
      </c>
      <c r="F363">
        <v>38821440.210000001</v>
      </c>
      <c r="G363">
        <v>0</v>
      </c>
      <c r="L363" t="s">
        <v>8</v>
      </c>
      <c r="M363" t="s">
        <v>8</v>
      </c>
      <c r="N363" t="s">
        <v>8</v>
      </c>
      <c r="P363">
        <f t="shared" si="970"/>
        <v>0.30952380952381214</v>
      </c>
      <c r="Q363">
        <f t="shared" si="971"/>
        <v>12016160.065000102</v>
      </c>
      <c r="R363">
        <f t="shared" si="972"/>
        <v>260711854.13898319</v>
      </c>
      <c r="S363">
        <f t="shared" si="973"/>
        <v>2607.118541389832</v>
      </c>
      <c r="T363">
        <f t="shared" si="974"/>
        <v>2.6071185413898319</v>
      </c>
    </row>
    <row r="364" spans="1:20" x14ac:dyDescent="0.25">
      <c r="A364" s="5">
        <v>44229</v>
      </c>
      <c r="B364">
        <v>0.31709999999999999</v>
      </c>
      <c r="C364">
        <v>0.32390000000000002</v>
      </c>
      <c r="D364">
        <v>0.30549999999999999</v>
      </c>
      <c r="E364">
        <v>0.31640000000000001</v>
      </c>
      <c r="F364">
        <v>28785690.780000001</v>
      </c>
      <c r="G364">
        <v>0</v>
      </c>
      <c r="L364" t="s">
        <v>8</v>
      </c>
      <c r="M364" t="s">
        <v>7</v>
      </c>
      <c r="N364" t="s">
        <v>8</v>
      </c>
      <c r="P364">
        <f t="shared" si="970"/>
        <v>0.18478260869565266</v>
      </c>
      <c r="Q364">
        <f t="shared" si="971"/>
        <v>5319095.0354347965</v>
      </c>
      <c r="R364">
        <f t="shared" si="972"/>
        <v>248695694.07398307</v>
      </c>
      <c r="S364">
        <f t="shared" si="973"/>
        <v>2486.9569407398308</v>
      </c>
      <c r="T364">
        <f t="shared" si="974"/>
        <v>2.4869569407398306</v>
      </c>
    </row>
    <row r="365" spans="1:20" x14ac:dyDescent="0.25">
      <c r="A365" s="5">
        <v>44228</v>
      </c>
      <c r="B365">
        <v>0.30249999999999999</v>
      </c>
      <c r="C365">
        <v>0.3196</v>
      </c>
      <c r="D365">
        <v>0.29070000000000001</v>
      </c>
      <c r="E365">
        <v>0.31709999999999999</v>
      </c>
      <c r="F365">
        <v>32546669.18</v>
      </c>
      <c r="G365">
        <v>0</v>
      </c>
      <c r="L365" t="s">
        <v>7</v>
      </c>
      <c r="M365" t="s">
        <v>7</v>
      </c>
      <c r="N365" t="s">
        <v>8</v>
      </c>
      <c r="P365">
        <f t="shared" si="970"/>
        <v>0.82698961937716231</v>
      </c>
      <c r="Q365">
        <f t="shared" si="971"/>
        <v>26915757.55716262</v>
      </c>
      <c r="R365">
        <f t="shared" si="972"/>
        <v>243376599.03854829</v>
      </c>
      <c r="S365">
        <f t="shared" si="973"/>
        <v>2433.7659903854828</v>
      </c>
      <c r="T365">
        <f t="shared" si="974"/>
        <v>2.4337659903854827</v>
      </c>
    </row>
    <row r="366" spans="1:20" x14ac:dyDescent="0.25">
      <c r="A366" s="5">
        <v>44227</v>
      </c>
      <c r="B366">
        <v>0.3165</v>
      </c>
      <c r="C366">
        <v>0.3241</v>
      </c>
      <c r="D366">
        <v>0.29299999999999998</v>
      </c>
      <c r="E366">
        <v>0.30280000000000001</v>
      </c>
      <c r="F366">
        <v>27902176.379999999</v>
      </c>
      <c r="G366">
        <v>0</v>
      </c>
      <c r="L366" t="s">
        <v>7</v>
      </c>
      <c r="M366" t="s">
        <v>7</v>
      </c>
      <c r="N366" t="s">
        <v>8</v>
      </c>
      <c r="P366">
        <f t="shared" si="970"/>
        <v>-0.36977491961414627</v>
      </c>
      <c r="Q366">
        <f t="shared" si="971"/>
        <v>-10317525.027974231</v>
      </c>
      <c r="R366">
        <f t="shared" si="972"/>
        <v>216460841.48138568</v>
      </c>
      <c r="S366">
        <f t="shared" si="973"/>
        <v>2164.6084148138566</v>
      </c>
      <c r="T366">
        <f t="shared" si="974"/>
        <v>2.1646084148138565</v>
      </c>
    </row>
    <row r="367" spans="1:20" x14ac:dyDescent="0.25">
      <c r="A367" s="5">
        <v>44226</v>
      </c>
      <c r="B367">
        <v>0.309</v>
      </c>
      <c r="C367">
        <v>0.3236</v>
      </c>
      <c r="D367">
        <v>0.29559999999999997</v>
      </c>
      <c r="E367">
        <v>0.31640000000000001</v>
      </c>
      <c r="F367">
        <v>29577190.699999999</v>
      </c>
      <c r="G367">
        <v>0</v>
      </c>
      <c r="L367" t="s">
        <v>8</v>
      </c>
      <c r="M367" t="s">
        <v>7</v>
      </c>
      <c r="N367" t="s">
        <v>8</v>
      </c>
      <c r="P367">
        <f t="shared" si="970"/>
        <v>0.48571428571428732</v>
      </c>
      <c r="Q367">
        <f t="shared" si="971"/>
        <v>14366064.054285761</v>
      </c>
      <c r="R367">
        <f t="shared" si="972"/>
        <v>226778366.5093599</v>
      </c>
      <c r="S367">
        <f t="shared" si="973"/>
        <v>2267.7836650935988</v>
      </c>
      <c r="T367">
        <f t="shared" si="974"/>
        <v>2.267783665093599</v>
      </c>
    </row>
    <row r="368" spans="1:20" x14ac:dyDescent="0.25">
      <c r="A368" s="5">
        <v>44225</v>
      </c>
      <c r="B368">
        <v>0.30580000000000002</v>
      </c>
      <c r="C368">
        <v>0.315</v>
      </c>
      <c r="D368">
        <v>0.28899999999999998</v>
      </c>
      <c r="E368">
        <v>0.30930000000000002</v>
      </c>
      <c r="F368">
        <v>50416799.460000001</v>
      </c>
      <c r="G368">
        <v>0</v>
      </c>
      <c r="L368" t="s">
        <v>7</v>
      </c>
      <c r="M368" t="s">
        <v>7</v>
      </c>
      <c r="N368" t="s">
        <v>8</v>
      </c>
      <c r="P368">
        <f t="shared" si="970"/>
        <v>0.56153846153846321</v>
      </c>
      <c r="Q368">
        <f t="shared" si="971"/>
        <v>28310972.004461624</v>
      </c>
      <c r="R368">
        <f t="shared" si="972"/>
        <v>212412302.45507413</v>
      </c>
      <c r="S368">
        <f t="shared" si="973"/>
        <v>2124.1230245507413</v>
      </c>
      <c r="T368">
        <f t="shared" si="974"/>
        <v>2.1241230245507414</v>
      </c>
    </row>
    <row r="369" spans="1:20" x14ac:dyDescent="0.25">
      <c r="A369" s="5">
        <v>44224</v>
      </c>
      <c r="B369">
        <v>0.30280000000000001</v>
      </c>
      <c r="C369">
        <v>0.31979999999999997</v>
      </c>
      <c r="D369">
        <v>0.2979</v>
      </c>
      <c r="E369">
        <v>0.30590000000000001</v>
      </c>
      <c r="F369">
        <v>46548483.799999997</v>
      </c>
      <c r="G369">
        <v>0</v>
      </c>
      <c r="L369" t="s">
        <v>8</v>
      </c>
      <c r="M369" t="s">
        <v>7</v>
      </c>
      <c r="N369" t="s">
        <v>8</v>
      </c>
      <c r="P369">
        <f t="shared" si="970"/>
        <v>-0.26940639269406247</v>
      </c>
      <c r="Q369">
        <f t="shared" si="971"/>
        <v>-12540459.105936004</v>
      </c>
      <c r="R369">
        <f t="shared" si="972"/>
        <v>184101330.45061252</v>
      </c>
      <c r="S369">
        <f t="shared" si="973"/>
        <v>1841.0133045061252</v>
      </c>
      <c r="T369">
        <f t="shared" si="974"/>
        <v>1.8410133045061252</v>
      </c>
    </row>
    <row r="370" spans="1:20" x14ac:dyDescent="0.25">
      <c r="A370" s="5">
        <v>44223</v>
      </c>
      <c r="B370">
        <v>0.29909999999999998</v>
      </c>
      <c r="C370">
        <v>0.31630000000000003</v>
      </c>
      <c r="D370">
        <v>0.27110000000000001</v>
      </c>
      <c r="E370">
        <v>0.30259999999999998</v>
      </c>
      <c r="F370">
        <v>42916084.299999997</v>
      </c>
      <c r="G370">
        <v>0</v>
      </c>
      <c r="L370" t="s">
        <v>7</v>
      </c>
      <c r="M370" t="s">
        <v>7</v>
      </c>
      <c r="N370" t="s">
        <v>8</v>
      </c>
      <c r="P370">
        <f t="shared" si="970"/>
        <v>0.3938053097345115</v>
      </c>
      <c r="Q370">
        <f t="shared" si="971"/>
        <v>16900581.870353904</v>
      </c>
      <c r="R370">
        <f t="shared" si="972"/>
        <v>196641789.55654851</v>
      </c>
      <c r="S370">
        <f t="shared" si="973"/>
        <v>1966.417895565485</v>
      </c>
      <c r="T370">
        <f t="shared" si="974"/>
        <v>1.966417895565485</v>
      </c>
    </row>
    <row r="371" spans="1:20" x14ac:dyDescent="0.25">
      <c r="A371" s="5">
        <v>44222</v>
      </c>
      <c r="B371">
        <v>0.3009</v>
      </c>
      <c r="C371">
        <v>0.3135</v>
      </c>
      <c r="D371">
        <v>0.28050000000000003</v>
      </c>
      <c r="E371">
        <v>0.29920000000000002</v>
      </c>
      <c r="F371">
        <v>44860510.229999997</v>
      </c>
      <c r="G371">
        <v>0</v>
      </c>
      <c r="L371" t="s">
        <v>7</v>
      </c>
      <c r="M371" t="s">
        <v>7</v>
      </c>
      <c r="N371" t="s">
        <v>8</v>
      </c>
      <c r="P371">
        <f t="shared" si="970"/>
        <v>0.13333333333333389</v>
      </c>
      <c r="Q371">
        <f t="shared" si="971"/>
        <v>5981401.3640000243</v>
      </c>
      <c r="R371">
        <f t="shared" si="972"/>
        <v>179741207.6861946</v>
      </c>
      <c r="S371">
        <f t="shared" si="973"/>
        <v>1797.4120768619459</v>
      </c>
      <c r="T371">
        <f t="shared" si="974"/>
        <v>1.7974120768619459</v>
      </c>
    </row>
    <row r="372" spans="1:20" x14ac:dyDescent="0.25">
      <c r="A372" s="5">
        <v>44221</v>
      </c>
      <c r="B372">
        <v>0.31840000000000002</v>
      </c>
      <c r="C372">
        <v>0.33939999999999998</v>
      </c>
      <c r="D372">
        <v>0.29680000000000001</v>
      </c>
      <c r="E372">
        <v>0.3014</v>
      </c>
      <c r="F372">
        <v>51615067.869999997</v>
      </c>
      <c r="G372">
        <v>0</v>
      </c>
      <c r="L372" t="s">
        <v>7</v>
      </c>
      <c r="M372" t="s">
        <v>7</v>
      </c>
      <c r="N372" t="s">
        <v>8</v>
      </c>
      <c r="P372">
        <f t="shared" si="970"/>
        <v>-0.78403755868544622</v>
      </c>
      <c r="Q372">
        <f t="shared" si="971"/>
        <v>-40468151.804178409</v>
      </c>
      <c r="R372">
        <f t="shared" si="972"/>
        <v>173759806.32219458</v>
      </c>
      <c r="S372">
        <f t="shared" si="973"/>
        <v>1737.5980632219457</v>
      </c>
      <c r="T372">
        <f t="shared" si="974"/>
        <v>1.7375980632219457</v>
      </c>
    </row>
    <row r="373" spans="1:20" x14ac:dyDescent="0.25">
      <c r="A373" s="5">
        <v>44220</v>
      </c>
      <c r="B373">
        <v>0.32919999999999999</v>
      </c>
      <c r="C373">
        <v>0.33379999999999999</v>
      </c>
      <c r="D373">
        <v>0.30559999999999998</v>
      </c>
      <c r="E373">
        <v>0.31850000000000001</v>
      </c>
      <c r="F373">
        <v>49465601.490000002</v>
      </c>
      <c r="G373">
        <v>0</v>
      </c>
      <c r="L373" t="s">
        <v>7</v>
      </c>
      <c r="M373" t="s">
        <v>7</v>
      </c>
      <c r="N373" t="s">
        <v>8</v>
      </c>
      <c r="P373">
        <f t="shared" si="970"/>
        <v>-8.5106382978721903E-2</v>
      </c>
      <c r="Q373">
        <f t="shared" si="971"/>
        <v>-4209838.4246807769</v>
      </c>
      <c r="R373">
        <f t="shared" si="972"/>
        <v>214227958.12637299</v>
      </c>
      <c r="S373">
        <f t="shared" si="973"/>
        <v>2142.2795812637301</v>
      </c>
      <c r="T373">
        <f t="shared" si="974"/>
        <v>2.1422795812637299</v>
      </c>
    </row>
    <row r="374" spans="1:20" x14ac:dyDescent="0.25">
      <c r="A374" s="5">
        <v>44219</v>
      </c>
      <c r="B374">
        <v>0.31359999999999999</v>
      </c>
      <c r="C374">
        <v>0.36230000000000001</v>
      </c>
      <c r="D374">
        <v>0.30980000000000002</v>
      </c>
      <c r="E374">
        <v>0.32950000000000002</v>
      </c>
      <c r="F374">
        <v>128183995.56999999</v>
      </c>
      <c r="G374">
        <v>0</v>
      </c>
      <c r="L374" t="s">
        <v>8</v>
      </c>
      <c r="M374" t="s">
        <v>8</v>
      </c>
      <c r="N374" t="s">
        <v>8</v>
      </c>
      <c r="P374">
        <f t="shared" si="970"/>
        <v>-0.24952380952380956</v>
      </c>
      <c r="Q374">
        <f t="shared" si="971"/>
        <v>-31984958.894609526</v>
      </c>
      <c r="R374">
        <f t="shared" si="972"/>
        <v>218437796.55105376</v>
      </c>
      <c r="S374">
        <f t="shared" si="973"/>
        <v>2184.3779655105377</v>
      </c>
      <c r="T374">
        <f t="shared" si="974"/>
        <v>2.1843779655105378</v>
      </c>
    </row>
    <row r="375" spans="1:20" x14ac:dyDescent="0.25">
      <c r="A375" s="5">
        <v>44218</v>
      </c>
      <c r="B375">
        <v>0.2437</v>
      </c>
      <c r="C375">
        <v>0.34649999999999997</v>
      </c>
      <c r="D375">
        <v>0.22800000000000001</v>
      </c>
      <c r="E375">
        <v>0.31390000000000001</v>
      </c>
      <c r="F375">
        <v>209596364.52000001</v>
      </c>
      <c r="G375">
        <v>0</v>
      </c>
      <c r="L375" t="s">
        <v>7</v>
      </c>
      <c r="M375" t="s">
        <v>7</v>
      </c>
      <c r="N375" t="s">
        <v>8</v>
      </c>
      <c r="P375">
        <f t="shared" si="970"/>
        <v>0.44978902953586547</v>
      </c>
      <c r="Q375">
        <f t="shared" si="971"/>
        <v>94274145.391696304</v>
      </c>
      <c r="R375">
        <f t="shared" si="972"/>
        <v>250422755.44566327</v>
      </c>
      <c r="S375">
        <f t="shared" si="973"/>
        <v>2504.2275544566328</v>
      </c>
      <c r="T375">
        <f t="shared" si="974"/>
        <v>2.5042275544566328</v>
      </c>
    </row>
    <row r="376" spans="1:20" x14ac:dyDescent="0.25">
      <c r="A376" s="5">
        <v>44217</v>
      </c>
      <c r="B376">
        <v>0.2787</v>
      </c>
      <c r="C376">
        <v>0.2802</v>
      </c>
      <c r="D376">
        <v>0.24129999999999999</v>
      </c>
      <c r="E376">
        <v>0.24379999999999999</v>
      </c>
      <c r="F376">
        <v>36823694.840000004</v>
      </c>
      <c r="G376">
        <v>0</v>
      </c>
      <c r="L376" t="s">
        <v>7</v>
      </c>
      <c r="M376" t="s">
        <v>7</v>
      </c>
      <c r="N376" t="s">
        <v>8</v>
      </c>
      <c r="P376">
        <f t="shared" si="970"/>
        <v>-0.87146529562982</v>
      </c>
      <c r="Q376">
        <f t="shared" si="971"/>
        <v>-32090572.109922882</v>
      </c>
      <c r="R376">
        <f t="shared" si="972"/>
        <v>156148610.05396697</v>
      </c>
      <c r="S376">
        <f t="shared" si="973"/>
        <v>1561.4861005396697</v>
      </c>
      <c r="T376">
        <f t="shared" si="974"/>
        <v>1.5614861005396696</v>
      </c>
    </row>
    <row r="377" spans="1:20" x14ac:dyDescent="0.25">
      <c r="A377" s="5">
        <v>44216</v>
      </c>
      <c r="B377">
        <v>0.26850000000000002</v>
      </c>
      <c r="C377">
        <v>0.28989999999999999</v>
      </c>
      <c r="D377">
        <v>0.252</v>
      </c>
      <c r="E377">
        <v>0.27860000000000001</v>
      </c>
      <c r="F377">
        <v>37215169.869999997</v>
      </c>
      <c r="G377">
        <v>0</v>
      </c>
      <c r="L377" t="s">
        <v>7</v>
      </c>
      <c r="M377" t="s">
        <v>7</v>
      </c>
      <c r="N377" t="s">
        <v>8</v>
      </c>
      <c r="P377">
        <f t="shared" si="970"/>
        <v>0.40369393139841797</v>
      </c>
      <c r="Q377">
        <f t="shared" si="971"/>
        <v>15023538.23248025</v>
      </c>
      <c r="R377">
        <f t="shared" si="972"/>
        <v>188239182.16388986</v>
      </c>
      <c r="S377">
        <f t="shared" si="973"/>
        <v>1882.3918216388986</v>
      </c>
      <c r="T377">
        <f t="shared" si="974"/>
        <v>1.8823918216388986</v>
      </c>
    </row>
    <row r="378" spans="1:20" x14ac:dyDescent="0.25">
      <c r="A378" s="5">
        <v>44215</v>
      </c>
      <c r="B378">
        <v>0.28239999999999998</v>
      </c>
      <c r="C378">
        <v>0.29139999999999999</v>
      </c>
      <c r="D378">
        <v>0.2666</v>
      </c>
      <c r="E378">
        <v>0.26840000000000003</v>
      </c>
      <c r="F378">
        <v>34965043.289999999</v>
      </c>
      <c r="G378">
        <v>0</v>
      </c>
      <c r="L378" t="s">
        <v>7</v>
      </c>
      <c r="M378" t="s">
        <v>8</v>
      </c>
      <c r="N378" t="s">
        <v>8</v>
      </c>
      <c r="P378">
        <f t="shared" si="970"/>
        <v>-0.85483870967741737</v>
      </c>
      <c r="Q378">
        <f t="shared" si="971"/>
        <v>-29889472.489838641</v>
      </c>
      <c r="R378">
        <f t="shared" si="972"/>
        <v>173215643.9314096</v>
      </c>
      <c r="S378">
        <f t="shared" si="973"/>
        <v>1732.1564393140959</v>
      </c>
      <c r="T378">
        <f t="shared" si="974"/>
        <v>1.7321564393140958</v>
      </c>
    </row>
    <row r="379" spans="1:20" x14ac:dyDescent="0.25">
      <c r="A379" s="5">
        <v>44214</v>
      </c>
      <c r="B379">
        <v>0.27360000000000001</v>
      </c>
      <c r="C379">
        <v>0.3</v>
      </c>
      <c r="D379">
        <v>0.26569999999999999</v>
      </c>
      <c r="E379">
        <v>0.28270000000000001</v>
      </c>
      <c r="F379">
        <v>48800356.030000001</v>
      </c>
      <c r="G379">
        <v>0</v>
      </c>
      <c r="L379" t="s">
        <v>8</v>
      </c>
      <c r="M379" t="s">
        <v>8</v>
      </c>
      <c r="N379" t="s">
        <v>8</v>
      </c>
      <c r="P379">
        <f t="shared" si="970"/>
        <v>-8.7463556851302329E-3</v>
      </c>
      <c r="Q379">
        <f t="shared" si="971"/>
        <v>-426825.27139936993</v>
      </c>
      <c r="R379">
        <f t="shared" si="972"/>
        <v>203105116.42124823</v>
      </c>
      <c r="S379">
        <f t="shared" si="973"/>
        <v>2031.0511642124823</v>
      </c>
      <c r="T379">
        <f t="shared" si="974"/>
        <v>2.0310511642124824</v>
      </c>
    </row>
    <row r="380" spans="1:20" x14ac:dyDescent="0.25">
      <c r="A380" s="5">
        <v>44213</v>
      </c>
      <c r="B380">
        <v>0.26619999999999999</v>
      </c>
      <c r="C380">
        <v>0.27939999999999998</v>
      </c>
      <c r="D380">
        <v>0.2487</v>
      </c>
      <c r="E380">
        <v>0.27360000000000001</v>
      </c>
      <c r="F380">
        <v>38287679.039999999</v>
      </c>
      <c r="G380">
        <v>0</v>
      </c>
      <c r="L380" t="s">
        <v>7</v>
      </c>
      <c r="M380" t="s">
        <v>8</v>
      </c>
      <c r="N380" t="s">
        <v>7</v>
      </c>
      <c r="P380">
        <f t="shared" si="970"/>
        <v>0.6221498371335521</v>
      </c>
      <c r="Q380">
        <f t="shared" si="971"/>
        <v>23820673.278957717</v>
      </c>
      <c r="R380">
        <f t="shared" si="972"/>
        <v>203531941.69264761</v>
      </c>
      <c r="S380">
        <f t="shared" si="973"/>
        <v>2035.3194169264762</v>
      </c>
      <c r="T380">
        <f t="shared" si="974"/>
        <v>2.0353194169264763</v>
      </c>
    </row>
    <row r="381" spans="1:20" x14ac:dyDescent="0.25">
      <c r="A381" s="5">
        <v>44212</v>
      </c>
      <c r="B381">
        <v>0.24729999999999999</v>
      </c>
      <c r="C381">
        <v>0.28749999999999998</v>
      </c>
      <c r="D381">
        <v>0.24729999999999999</v>
      </c>
      <c r="E381">
        <v>0.26650000000000001</v>
      </c>
      <c r="F381">
        <v>92923415.379999995</v>
      </c>
      <c r="G381">
        <v>0</v>
      </c>
      <c r="L381" t="s">
        <v>8</v>
      </c>
      <c r="M381" t="s">
        <v>8</v>
      </c>
      <c r="N381" t="s">
        <v>7</v>
      </c>
      <c r="P381">
        <f t="shared" si="970"/>
        <v>-4.4776119402983608E-2</v>
      </c>
      <c r="Q381">
        <f t="shared" si="971"/>
        <v>-4160749.9423879231</v>
      </c>
      <c r="R381">
        <f t="shared" si="972"/>
        <v>179711268.41368988</v>
      </c>
      <c r="S381">
        <f t="shared" si="973"/>
        <v>1797.1126841368989</v>
      </c>
      <c r="T381">
        <f t="shared" si="974"/>
        <v>1.797112684136899</v>
      </c>
    </row>
    <row r="382" spans="1:20" x14ac:dyDescent="0.25">
      <c r="A382" s="5">
        <v>44211</v>
      </c>
      <c r="B382">
        <v>0.246</v>
      </c>
      <c r="C382">
        <v>0.25969999999999999</v>
      </c>
      <c r="D382">
        <v>0.22670000000000001</v>
      </c>
      <c r="E382">
        <v>0.2472</v>
      </c>
      <c r="F382">
        <v>36839569.310000002</v>
      </c>
      <c r="G382">
        <v>0</v>
      </c>
      <c r="L382" t="s">
        <v>7</v>
      </c>
      <c r="M382" t="s">
        <v>8</v>
      </c>
      <c r="N382" t="s">
        <v>7</v>
      </c>
      <c r="P382">
        <f t="shared" si="970"/>
        <v>0.24242424242424282</v>
      </c>
      <c r="Q382">
        <f t="shared" si="971"/>
        <v>8930804.6812121365</v>
      </c>
      <c r="R382">
        <f t="shared" si="972"/>
        <v>183872018.35607779</v>
      </c>
      <c r="S382">
        <f t="shared" si="973"/>
        <v>1838.720183560778</v>
      </c>
      <c r="T382">
        <f t="shared" si="974"/>
        <v>1.838720183560778</v>
      </c>
    </row>
    <row r="383" spans="1:20" x14ac:dyDescent="0.25">
      <c r="A383" s="5">
        <v>44210</v>
      </c>
      <c r="B383">
        <v>0.2495</v>
      </c>
      <c r="C383">
        <v>0.25590000000000002</v>
      </c>
      <c r="D383">
        <v>0.23810000000000001</v>
      </c>
      <c r="E383">
        <v>0.24629999999999999</v>
      </c>
      <c r="F383">
        <v>25935194.079999998</v>
      </c>
      <c r="G383">
        <v>0</v>
      </c>
      <c r="L383" t="s">
        <v>8</v>
      </c>
      <c r="M383" t="s">
        <v>8</v>
      </c>
      <c r="N383" t="s">
        <v>7</v>
      </c>
      <c r="P383">
        <f t="shared" si="970"/>
        <v>-7.8651685393260631E-2</v>
      </c>
      <c r="Q383">
        <f t="shared" si="971"/>
        <v>-2039846.7253933155</v>
      </c>
      <c r="R383">
        <f t="shared" si="972"/>
        <v>174941213.67486566</v>
      </c>
      <c r="S383">
        <f t="shared" si="973"/>
        <v>1749.4121367486566</v>
      </c>
      <c r="T383">
        <f t="shared" si="974"/>
        <v>1.7494121367486566</v>
      </c>
    </row>
    <row r="384" spans="1:20" x14ac:dyDescent="0.25">
      <c r="A384" s="5">
        <v>44209</v>
      </c>
      <c r="B384">
        <v>0.23150000000000001</v>
      </c>
      <c r="C384">
        <v>0.25</v>
      </c>
      <c r="D384">
        <v>0.2225</v>
      </c>
      <c r="E384">
        <v>0.24970000000000001</v>
      </c>
      <c r="F384">
        <v>23253944.489999998</v>
      </c>
      <c r="G384">
        <v>0</v>
      </c>
      <c r="L384" t="s">
        <v>7</v>
      </c>
      <c r="M384" t="s">
        <v>8</v>
      </c>
      <c r="N384" t="s">
        <v>7</v>
      </c>
      <c r="P384">
        <f t="shared" si="970"/>
        <v>0.9781818181818186</v>
      </c>
      <c r="Q384">
        <f t="shared" si="971"/>
        <v>22746585.70112728</v>
      </c>
      <c r="R384">
        <f t="shared" si="972"/>
        <v>176981060.40025899</v>
      </c>
      <c r="S384">
        <f t="shared" si="973"/>
        <v>1769.8106040025898</v>
      </c>
      <c r="T384">
        <f t="shared" si="974"/>
        <v>1.7698106040025898</v>
      </c>
    </row>
    <row r="385" spans="1:20" x14ac:dyDescent="0.25">
      <c r="A385" s="5">
        <v>44208</v>
      </c>
      <c r="B385">
        <v>0.2298</v>
      </c>
      <c r="C385">
        <v>0.24840000000000001</v>
      </c>
      <c r="D385">
        <v>0.2223</v>
      </c>
      <c r="E385">
        <v>0.23169999999999999</v>
      </c>
      <c r="F385">
        <v>32817237.010000002</v>
      </c>
      <c r="G385">
        <v>0</v>
      </c>
      <c r="L385" t="s">
        <v>8</v>
      </c>
      <c r="M385" t="s">
        <v>8</v>
      </c>
      <c r="N385" t="s">
        <v>7</v>
      </c>
      <c r="P385">
        <f t="shared" si="970"/>
        <v>-0.27969348659003929</v>
      </c>
      <c r="Q385">
        <f t="shared" si="971"/>
        <v>-9178767.439578576</v>
      </c>
      <c r="R385">
        <f t="shared" si="972"/>
        <v>154234474.6991317</v>
      </c>
      <c r="S385">
        <f t="shared" si="973"/>
        <v>1542.3447469913169</v>
      </c>
      <c r="T385">
        <f t="shared" si="974"/>
        <v>1.542344746991317</v>
      </c>
    </row>
    <row r="386" spans="1:20" x14ac:dyDescent="0.25">
      <c r="A386" s="5">
        <v>44207</v>
      </c>
      <c r="B386">
        <v>0.25719999999999998</v>
      </c>
      <c r="C386">
        <v>0.25769999999999998</v>
      </c>
      <c r="D386">
        <v>0.20150000000000001</v>
      </c>
      <c r="E386">
        <v>0.23</v>
      </c>
      <c r="F386">
        <v>61079213</v>
      </c>
      <c r="G386">
        <v>0</v>
      </c>
      <c r="L386" t="s">
        <v>7</v>
      </c>
      <c r="M386" t="s">
        <v>7</v>
      </c>
      <c r="N386" t="s">
        <v>7</v>
      </c>
      <c r="P386">
        <f t="shared" si="970"/>
        <v>1.4234875444840273E-2</v>
      </c>
      <c r="Q386">
        <f t="shared" si="971"/>
        <v>869454.98932386877</v>
      </c>
      <c r="R386">
        <f t="shared" si="972"/>
        <v>163413242.13871026</v>
      </c>
      <c r="S386">
        <f t="shared" si="973"/>
        <v>1634.1324213871026</v>
      </c>
      <c r="T386">
        <f t="shared" si="974"/>
        <v>1.6341324213871025</v>
      </c>
    </row>
    <row r="387" spans="1:20" x14ac:dyDescent="0.25">
      <c r="A387" s="5">
        <v>44206</v>
      </c>
      <c r="B387">
        <v>0.2747</v>
      </c>
      <c r="C387">
        <v>0.29480000000000001</v>
      </c>
      <c r="D387">
        <v>0.23649999999999999</v>
      </c>
      <c r="E387">
        <v>0.25740000000000002</v>
      </c>
      <c r="F387">
        <v>62144663.229999997</v>
      </c>
      <c r="G387">
        <v>0</v>
      </c>
      <c r="L387" t="s">
        <v>8</v>
      </c>
      <c r="M387" t="s">
        <v>7</v>
      </c>
      <c r="N387" t="s">
        <v>8</v>
      </c>
      <c r="P387">
        <f t="shared" si="970"/>
        <v>-0.28301886792452752</v>
      </c>
      <c r="Q387">
        <f t="shared" si="971"/>
        <v>-17588112.234905612</v>
      </c>
      <c r="R387">
        <f t="shared" si="972"/>
        <v>162543787.14938641</v>
      </c>
      <c r="S387">
        <f t="shared" si="973"/>
        <v>1625.4378714938641</v>
      </c>
      <c r="T387">
        <f t="shared" si="974"/>
        <v>1.6254378714938642</v>
      </c>
    </row>
    <row r="388" spans="1:20" x14ac:dyDescent="0.25">
      <c r="A388" s="5">
        <v>44205</v>
      </c>
      <c r="B388">
        <v>0.25069999999999998</v>
      </c>
      <c r="C388">
        <v>0.28760000000000002</v>
      </c>
      <c r="D388">
        <v>0.24329999999999999</v>
      </c>
      <c r="E388">
        <v>0.27439999999999998</v>
      </c>
      <c r="F388">
        <v>58104618.420000002</v>
      </c>
      <c r="G388">
        <v>0</v>
      </c>
      <c r="L388" t="s">
        <v>8</v>
      </c>
      <c r="M388" t="s">
        <v>8</v>
      </c>
      <c r="N388" t="s">
        <v>8</v>
      </c>
      <c r="P388">
        <f t="shared" si="970"/>
        <v>0.40406320541760565</v>
      </c>
      <c r="Q388">
        <f t="shared" si="971"/>
        <v>23477938.368352056</v>
      </c>
      <c r="R388">
        <f t="shared" si="972"/>
        <v>180131899.38429201</v>
      </c>
      <c r="S388">
        <f t="shared" si="973"/>
        <v>1801.31899384292</v>
      </c>
      <c r="T388">
        <f t="shared" si="974"/>
        <v>1.8013189938429199</v>
      </c>
    </row>
    <row r="389" spans="1:20" x14ac:dyDescent="0.25">
      <c r="A389" s="5">
        <v>44204</v>
      </c>
      <c r="B389">
        <v>0.25650000000000001</v>
      </c>
      <c r="C389">
        <v>0.27410000000000001</v>
      </c>
      <c r="D389">
        <v>0.2392</v>
      </c>
      <c r="E389">
        <v>0.25080000000000002</v>
      </c>
      <c r="F389">
        <v>48317665.060000002</v>
      </c>
      <c r="G389">
        <v>0</v>
      </c>
      <c r="L389" t="s">
        <v>7</v>
      </c>
      <c r="M389" t="s">
        <v>7</v>
      </c>
      <c r="N389" t="s">
        <v>8</v>
      </c>
      <c r="P389">
        <f t="shared" si="970"/>
        <v>-0.33524355300859471</v>
      </c>
      <c r="Q389">
        <f t="shared" si="971"/>
        <v>-16198185.707793634</v>
      </c>
      <c r="R389">
        <f t="shared" si="972"/>
        <v>156653961.01593995</v>
      </c>
      <c r="S389">
        <f t="shared" si="973"/>
        <v>1566.5396101593994</v>
      </c>
      <c r="T389">
        <f t="shared" si="974"/>
        <v>1.5665396101593994</v>
      </c>
    </row>
    <row r="390" spans="1:20" x14ac:dyDescent="0.25">
      <c r="A390" s="5">
        <v>44203</v>
      </c>
      <c r="B390">
        <v>0.25040000000000001</v>
      </c>
      <c r="C390">
        <v>0.2848</v>
      </c>
      <c r="D390">
        <v>0.245</v>
      </c>
      <c r="E390">
        <v>0.25650000000000001</v>
      </c>
      <c r="F390">
        <v>76279662.959999993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5">IF(C390=D390,0,((E390-D390)-(C390-E390))/(C390-D390))</f>
        <v>-0.42211055276381859</v>
      </c>
      <c r="Q390">
        <f t="shared" ref="Q390:Q453" si="976">F390*P390</f>
        <v>-32198450.696683377</v>
      </c>
      <c r="R390">
        <f t="shared" ref="R390:R453" si="977">R391+Q390</f>
        <v>172852146.72373357</v>
      </c>
      <c r="S390">
        <f t="shared" ref="S390:S453" si="978">R390/100000</f>
        <v>1728.5214672373356</v>
      </c>
      <c r="T390">
        <f t="shared" ref="T390:T453" si="979">S390/1000</f>
        <v>1.7285214672373357</v>
      </c>
    </row>
    <row r="391" spans="1:20" x14ac:dyDescent="0.25">
      <c r="A391" s="5">
        <v>44202</v>
      </c>
      <c r="B391">
        <v>0.23139999999999999</v>
      </c>
      <c r="C391">
        <v>0.255</v>
      </c>
      <c r="D391">
        <v>0.22739999999999999</v>
      </c>
      <c r="E391">
        <v>0.25040000000000001</v>
      </c>
      <c r="F391">
        <v>55779665.219999999</v>
      </c>
      <c r="G391">
        <v>0</v>
      </c>
      <c r="L391" t="s">
        <v>8</v>
      </c>
      <c r="M391" t="s">
        <v>8</v>
      </c>
      <c r="N391" t="s">
        <v>7</v>
      </c>
      <c r="P391">
        <f t="shared" si="975"/>
        <v>0.6666666666666673</v>
      </c>
      <c r="Q391">
        <f t="shared" si="976"/>
        <v>37186443.480000034</v>
      </c>
      <c r="R391">
        <f t="shared" si="977"/>
        <v>205050597.42041695</v>
      </c>
      <c r="S391">
        <f t="shared" si="978"/>
        <v>2050.5059742041694</v>
      </c>
      <c r="T391">
        <f t="shared" si="979"/>
        <v>2.0505059742041696</v>
      </c>
    </row>
    <row r="392" spans="1:20" x14ac:dyDescent="0.25">
      <c r="A392" s="5">
        <v>44201</v>
      </c>
      <c r="B392">
        <v>0.21840000000000001</v>
      </c>
      <c r="C392">
        <v>0.23280000000000001</v>
      </c>
      <c r="D392">
        <v>0.21579999999999999</v>
      </c>
      <c r="E392">
        <v>0.23119999999999999</v>
      </c>
      <c r="F392">
        <v>41766999.719999999</v>
      </c>
      <c r="G392">
        <v>0</v>
      </c>
      <c r="L392" t="s">
        <v>7</v>
      </c>
      <c r="M392" t="s">
        <v>8</v>
      </c>
      <c r="N392" t="s">
        <v>7</v>
      </c>
      <c r="P392">
        <f t="shared" si="975"/>
        <v>0.81176470588235095</v>
      </c>
      <c r="Q392">
        <f t="shared" si="976"/>
        <v>33904976.24329403</v>
      </c>
      <c r="R392">
        <f t="shared" si="977"/>
        <v>167864153.94041693</v>
      </c>
      <c r="S392">
        <f t="shared" si="978"/>
        <v>1678.6415394041694</v>
      </c>
      <c r="T392">
        <f t="shared" si="979"/>
        <v>1.6786415394041694</v>
      </c>
    </row>
    <row r="393" spans="1:20" x14ac:dyDescent="0.25">
      <c r="A393" s="5">
        <v>44200</v>
      </c>
      <c r="B393">
        <v>0.21709999999999999</v>
      </c>
      <c r="C393">
        <v>0.23669999999999999</v>
      </c>
      <c r="D393">
        <v>0.20269999999999999</v>
      </c>
      <c r="E393">
        <v>0.21840000000000001</v>
      </c>
      <c r="F393">
        <v>48001810.82</v>
      </c>
      <c r="G393">
        <v>0</v>
      </c>
      <c r="L393" t="s">
        <v>8</v>
      </c>
      <c r="M393" t="s">
        <v>8</v>
      </c>
      <c r="N393" t="s">
        <v>7</v>
      </c>
      <c r="P393">
        <f t="shared" si="975"/>
        <v>-7.6470588235293041E-2</v>
      </c>
      <c r="Q393">
        <f t="shared" si="976"/>
        <v>-3670726.7097646543</v>
      </c>
      <c r="R393">
        <f t="shared" si="977"/>
        <v>133959177.6971229</v>
      </c>
      <c r="S393">
        <f t="shared" si="978"/>
        <v>1339.5917769712289</v>
      </c>
      <c r="T393">
        <f t="shared" si="979"/>
        <v>1.3395917769712289</v>
      </c>
    </row>
    <row r="394" spans="1:20" x14ac:dyDescent="0.25">
      <c r="A394" s="5">
        <v>44199</v>
      </c>
      <c r="B394">
        <v>0.20369999999999999</v>
      </c>
      <c r="C394">
        <v>0.21990000000000001</v>
      </c>
      <c r="D394">
        <v>0.1996</v>
      </c>
      <c r="E394">
        <v>0.217</v>
      </c>
      <c r="F394">
        <v>35168934.020000003</v>
      </c>
      <c r="G394">
        <v>0</v>
      </c>
      <c r="L394" t="s">
        <v>8</v>
      </c>
      <c r="M394" t="s">
        <v>8</v>
      </c>
      <c r="N394" t="s">
        <v>7</v>
      </c>
      <c r="P394">
        <f t="shared" si="975"/>
        <v>0.71428571428571308</v>
      </c>
      <c r="Q394">
        <f t="shared" si="976"/>
        <v>25120667.157142818</v>
      </c>
      <c r="R394">
        <f t="shared" si="977"/>
        <v>137629904.40688756</v>
      </c>
      <c r="S394">
        <f t="shared" si="978"/>
        <v>1376.2990440688757</v>
      </c>
      <c r="T394">
        <f t="shared" si="979"/>
        <v>1.3762990440688756</v>
      </c>
    </row>
    <row r="395" spans="1:20" x14ac:dyDescent="0.25">
      <c r="A395" s="5">
        <v>44198</v>
      </c>
      <c r="B395">
        <v>0.20430000000000001</v>
      </c>
      <c r="C395">
        <v>0.2094</v>
      </c>
      <c r="D395">
        <v>0.1991</v>
      </c>
      <c r="E395">
        <v>0.20369999999999999</v>
      </c>
      <c r="F395">
        <v>24303978.420000002</v>
      </c>
      <c r="G395">
        <v>0</v>
      </c>
      <c r="L395" t="s">
        <v>8</v>
      </c>
      <c r="M395" t="s">
        <v>8</v>
      </c>
      <c r="N395" t="s">
        <v>7</v>
      </c>
      <c r="P395">
        <f t="shared" si="975"/>
        <v>-0.10679611650485604</v>
      </c>
      <c r="Q395">
        <f t="shared" si="976"/>
        <v>-2595570.5108738272</v>
      </c>
      <c r="R395">
        <f t="shared" si="977"/>
        <v>112509237.24974474</v>
      </c>
      <c r="S395">
        <f t="shared" si="978"/>
        <v>1125.0923724974475</v>
      </c>
      <c r="T395">
        <f t="shared" si="979"/>
        <v>1.1250923724974475</v>
      </c>
    </row>
    <row r="396" spans="1:20" x14ac:dyDescent="0.25">
      <c r="A396" s="5">
        <v>44197</v>
      </c>
      <c r="B396">
        <v>0.1993</v>
      </c>
      <c r="C396">
        <v>0.2109</v>
      </c>
      <c r="D396">
        <v>0.1978</v>
      </c>
      <c r="E396">
        <v>0.20419999999999999</v>
      </c>
      <c r="F396">
        <v>17512550.809999999</v>
      </c>
      <c r="G396">
        <v>0</v>
      </c>
      <c r="L396" t="s">
        <v>8</v>
      </c>
      <c r="M396" t="s">
        <v>8</v>
      </c>
      <c r="N396" t="s">
        <v>7</v>
      </c>
      <c r="P396">
        <f t="shared" si="975"/>
        <v>-2.290076335878034E-2</v>
      </c>
      <c r="Q396">
        <f t="shared" si="976"/>
        <v>-401050.78190842696</v>
      </c>
      <c r="R396">
        <f t="shared" si="977"/>
        <v>115104807.76061857</v>
      </c>
      <c r="S396">
        <f t="shared" si="978"/>
        <v>1151.0480776061856</v>
      </c>
      <c r="T396">
        <f t="shared" si="979"/>
        <v>1.1510480776061855</v>
      </c>
    </row>
    <row r="397" spans="1:20" x14ac:dyDescent="0.25">
      <c r="A397" s="5">
        <v>44196</v>
      </c>
      <c r="B397">
        <v>0.2014</v>
      </c>
      <c r="C397">
        <v>0.20250000000000001</v>
      </c>
      <c r="D397">
        <v>0.19409999999999999</v>
      </c>
      <c r="E397">
        <v>0.1996</v>
      </c>
      <c r="F397">
        <v>16985802.050000001</v>
      </c>
      <c r="G397">
        <v>0</v>
      </c>
      <c r="L397" t="s">
        <v>7</v>
      </c>
      <c r="M397" t="s">
        <v>8</v>
      </c>
      <c r="N397" t="s">
        <v>7</v>
      </c>
      <c r="P397">
        <f t="shared" si="975"/>
        <v>0.30952380952380781</v>
      </c>
      <c r="Q397">
        <f t="shared" si="976"/>
        <v>5257510.1583333043</v>
      </c>
      <c r="R397">
        <f t="shared" si="977"/>
        <v>115505858.54252699</v>
      </c>
      <c r="S397">
        <f t="shared" si="978"/>
        <v>1155.0585854252699</v>
      </c>
      <c r="T397">
        <f t="shared" si="979"/>
        <v>1.15505858542527</v>
      </c>
    </row>
    <row r="398" spans="1:20" x14ac:dyDescent="0.25">
      <c r="A398" s="5">
        <v>44195</v>
      </c>
      <c r="B398">
        <v>0.2064</v>
      </c>
      <c r="C398">
        <v>0.2077</v>
      </c>
      <c r="D398">
        <v>0.19850000000000001</v>
      </c>
      <c r="E398">
        <v>0.20130000000000001</v>
      </c>
      <c r="F398">
        <v>13629710.970000001</v>
      </c>
      <c r="G398">
        <v>0</v>
      </c>
      <c r="L398" t="s">
        <v>7</v>
      </c>
      <c r="M398" t="s">
        <v>8</v>
      </c>
      <c r="N398" t="s">
        <v>7</v>
      </c>
      <c r="P398">
        <f t="shared" si="975"/>
        <v>-0.3913043478260867</v>
      </c>
      <c r="Q398">
        <f t="shared" si="976"/>
        <v>-5333365.1621739101</v>
      </c>
      <c r="R398">
        <f t="shared" si="977"/>
        <v>110248348.38419369</v>
      </c>
      <c r="S398">
        <f t="shared" si="978"/>
        <v>1102.483483841937</v>
      </c>
      <c r="T398">
        <f t="shared" si="979"/>
        <v>1.1024834838419371</v>
      </c>
    </row>
    <row r="399" spans="1:20" x14ac:dyDescent="0.25">
      <c r="A399" s="5">
        <v>44194</v>
      </c>
      <c r="B399">
        <v>0.21049999999999999</v>
      </c>
      <c r="C399">
        <v>0.21410000000000001</v>
      </c>
      <c r="D399">
        <v>0.19689999999999999</v>
      </c>
      <c r="E399">
        <v>0.2064</v>
      </c>
      <c r="F399">
        <v>25195938.199999999</v>
      </c>
      <c r="G399">
        <v>0</v>
      </c>
      <c r="L399" t="s">
        <v>7</v>
      </c>
      <c r="M399" t="s">
        <v>8</v>
      </c>
      <c r="N399" t="s">
        <v>7</v>
      </c>
      <c r="P399">
        <f t="shared" si="975"/>
        <v>0.10465116279069732</v>
      </c>
      <c r="Q399">
        <f t="shared" si="976"/>
        <v>2636784.2302325489</v>
      </c>
      <c r="R399">
        <f t="shared" si="977"/>
        <v>115581713.5463676</v>
      </c>
      <c r="S399">
        <f t="shared" si="978"/>
        <v>1155.8171354636761</v>
      </c>
      <c r="T399">
        <f t="shared" si="979"/>
        <v>1.1558171354636761</v>
      </c>
    </row>
    <row r="400" spans="1:20" x14ac:dyDescent="0.25">
      <c r="A400" s="5">
        <v>44193</v>
      </c>
      <c r="B400">
        <v>0.20880000000000001</v>
      </c>
      <c r="C400">
        <v>0.2198</v>
      </c>
      <c r="D400">
        <v>0.2069</v>
      </c>
      <c r="E400">
        <v>0.2107</v>
      </c>
      <c r="F400">
        <v>22513815.859999999</v>
      </c>
      <c r="G400">
        <v>0</v>
      </c>
      <c r="L400" t="s">
        <v>8</v>
      </c>
      <c r="M400" t="s">
        <v>8</v>
      </c>
      <c r="N400" t="s">
        <v>7</v>
      </c>
      <c r="P400">
        <f t="shared" si="975"/>
        <v>-0.41085271317829469</v>
      </c>
      <c r="Q400">
        <f t="shared" si="976"/>
        <v>-9249862.3300775215</v>
      </c>
      <c r="R400">
        <f t="shared" si="977"/>
        <v>112944929.31613505</v>
      </c>
      <c r="S400">
        <f t="shared" si="978"/>
        <v>1129.4492931613504</v>
      </c>
      <c r="T400">
        <f t="shared" si="979"/>
        <v>1.1294492931613505</v>
      </c>
    </row>
    <row r="401" spans="1:20" x14ac:dyDescent="0.25">
      <c r="A401" s="5">
        <v>44192</v>
      </c>
      <c r="B401">
        <v>0.21390000000000001</v>
      </c>
      <c r="C401">
        <v>0.22189999999999999</v>
      </c>
      <c r="D401">
        <v>0.20230000000000001</v>
      </c>
      <c r="E401">
        <v>0.2087</v>
      </c>
      <c r="F401">
        <v>25645656.039999999</v>
      </c>
      <c r="G401">
        <v>0</v>
      </c>
      <c r="L401" t="s">
        <v>8</v>
      </c>
      <c r="M401" t="s">
        <v>8</v>
      </c>
      <c r="N401" t="s">
        <v>7</v>
      </c>
      <c r="P401">
        <f t="shared" si="975"/>
        <v>-0.34693877551020447</v>
      </c>
      <c r="Q401">
        <f t="shared" si="976"/>
        <v>-8897472.503673479</v>
      </c>
      <c r="R401">
        <f t="shared" si="977"/>
        <v>122194791.64621256</v>
      </c>
      <c r="S401">
        <f t="shared" si="978"/>
        <v>1221.9479164621257</v>
      </c>
      <c r="T401">
        <f t="shared" si="979"/>
        <v>1.2219479164621256</v>
      </c>
    </row>
    <row r="402" spans="1:20" x14ac:dyDescent="0.25">
      <c r="A402" s="5">
        <v>44191</v>
      </c>
      <c r="B402">
        <v>0.21379999999999999</v>
      </c>
      <c r="C402">
        <v>0.21679999999999999</v>
      </c>
      <c r="D402">
        <v>0.20480000000000001</v>
      </c>
      <c r="E402">
        <v>0.21379999999999999</v>
      </c>
      <c r="F402">
        <v>22100333.670000002</v>
      </c>
      <c r="G402">
        <v>0</v>
      </c>
      <c r="L402" t="s">
        <v>7</v>
      </c>
      <c r="M402" t="s">
        <v>8</v>
      </c>
      <c r="N402" t="s">
        <v>7</v>
      </c>
      <c r="P402">
        <f t="shared" si="975"/>
        <v>0.49999999999999883</v>
      </c>
      <c r="Q402">
        <f t="shared" si="976"/>
        <v>11050166.834999975</v>
      </c>
      <c r="R402">
        <f t="shared" si="977"/>
        <v>131092264.14988604</v>
      </c>
      <c r="S402">
        <f t="shared" si="978"/>
        <v>1310.9226414988605</v>
      </c>
      <c r="T402">
        <f t="shared" si="979"/>
        <v>1.3109226414988604</v>
      </c>
    </row>
    <row r="403" spans="1:20" x14ac:dyDescent="0.25">
      <c r="A403" s="5">
        <v>44190</v>
      </c>
      <c r="B403">
        <v>0.2177</v>
      </c>
      <c r="C403">
        <v>0.2253</v>
      </c>
      <c r="D403">
        <v>0.2114</v>
      </c>
      <c r="E403">
        <v>0.214</v>
      </c>
      <c r="F403">
        <v>22691725.48</v>
      </c>
      <c r="G403">
        <v>0</v>
      </c>
      <c r="L403" t="s">
        <v>8</v>
      </c>
      <c r="M403" t="s">
        <v>8</v>
      </c>
      <c r="N403" t="s">
        <v>7</v>
      </c>
      <c r="P403">
        <f t="shared" si="975"/>
        <v>-0.62589928057554067</v>
      </c>
      <c r="Q403">
        <f t="shared" si="976"/>
        <v>-14202734.652949665</v>
      </c>
      <c r="R403">
        <f t="shared" si="977"/>
        <v>120042097.31488606</v>
      </c>
      <c r="S403">
        <f t="shared" si="978"/>
        <v>1200.4209731488606</v>
      </c>
      <c r="T403">
        <f t="shared" si="979"/>
        <v>1.2004209731488606</v>
      </c>
    </row>
    <row r="404" spans="1:20" x14ac:dyDescent="0.25">
      <c r="A404" s="5">
        <v>44189</v>
      </c>
      <c r="B404">
        <v>0.193</v>
      </c>
      <c r="C404">
        <v>0.2215</v>
      </c>
      <c r="D404">
        <v>0.18770000000000001</v>
      </c>
      <c r="E404">
        <v>0.21779999999999999</v>
      </c>
      <c r="F404">
        <v>36255772.090000004</v>
      </c>
      <c r="G404">
        <v>0</v>
      </c>
      <c r="L404" t="s">
        <v>8</v>
      </c>
      <c r="M404" t="s">
        <v>8</v>
      </c>
      <c r="N404" t="s">
        <v>7</v>
      </c>
      <c r="P404">
        <f t="shared" si="975"/>
        <v>0.78106508875739589</v>
      </c>
      <c r="Q404">
        <f t="shared" si="976"/>
        <v>28318117.84544377</v>
      </c>
      <c r="R404">
        <f t="shared" si="977"/>
        <v>134244831.96783572</v>
      </c>
      <c r="S404">
        <f t="shared" si="978"/>
        <v>1342.4483196783572</v>
      </c>
      <c r="T404">
        <f t="shared" si="979"/>
        <v>1.3424483196783572</v>
      </c>
    </row>
    <row r="405" spans="1:20" x14ac:dyDescent="0.25">
      <c r="A405" s="5">
        <v>44188</v>
      </c>
      <c r="B405">
        <v>0.21809999999999999</v>
      </c>
      <c r="C405">
        <v>0.2203</v>
      </c>
      <c r="D405">
        <v>0.18060000000000001</v>
      </c>
      <c r="E405">
        <v>0.19309999999999999</v>
      </c>
      <c r="F405">
        <v>29426987.309999999</v>
      </c>
      <c r="G405">
        <v>0</v>
      </c>
      <c r="L405" t="s">
        <v>7</v>
      </c>
      <c r="M405" t="s">
        <v>7</v>
      </c>
      <c r="N405" t="s">
        <v>7</v>
      </c>
      <c r="P405">
        <f t="shared" si="975"/>
        <v>-0.37027707808564292</v>
      </c>
      <c r="Q405">
        <f t="shared" si="976"/>
        <v>-10896138.878010092</v>
      </c>
      <c r="R405">
        <f t="shared" si="977"/>
        <v>105926714.12239195</v>
      </c>
      <c r="S405">
        <f t="shared" si="978"/>
        <v>1059.2671412239195</v>
      </c>
      <c r="T405">
        <f t="shared" si="979"/>
        <v>1.0592671412239194</v>
      </c>
    </row>
    <row r="406" spans="1:20" x14ac:dyDescent="0.25">
      <c r="A406" s="5">
        <v>44187</v>
      </c>
      <c r="B406">
        <v>0.22389999999999999</v>
      </c>
      <c r="C406">
        <v>0.2278</v>
      </c>
      <c r="D406">
        <v>0.21029999999999999</v>
      </c>
      <c r="E406">
        <v>0.21820000000000001</v>
      </c>
      <c r="F406">
        <v>23973608.579999998</v>
      </c>
      <c r="G406">
        <v>0</v>
      </c>
      <c r="L406" t="s">
        <v>7</v>
      </c>
      <c r="M406" t="s">
        <v>7</v>
      </c>
      <c r="N406" t="s">
        <v>8</v>
      </c>
      <c r="P406">
        <f t="shared" si="975"/>
        <v>-9.7142857142855879E-2</v>
      </c>
      <c r="Q406">
        <f t="shared" si="976"/>
        <v>-2328864.8334856839</v>
      </c>
      <c r="R406">
        <f t="shared" si="977"/>
        <v>116822853.00040205</v>
      </c>
      <c r="S406">
        <f t="shared" si="978"/>
        <v>1168.2285300040205</v>
      </c>
      <c r="T406">
        <f t="shared" si="979"/>
        <v>1.1682285300040205</v>
      </c>
    </row>
    <row r="407" spans="1:20" x14ac:dyDescent="0.25">
      <c r="A407" s="5">
        <v>44186</v>
      </c>
      <c r="B407">
        <v>0.2319</v>
      </c>
      <c r="C407">
        <v>0.2407</v>
      </c>
      <c r="D407">
        <v>0.21890000000000001</v>
      </c>
      <c r="E407">
        <v>0.2238</v>
      </c>
      <c r="F407">
        <v>19897789.57</v>
      </c>
      <c r="G407">
        <v>0</v>
      </c>
      <c r="L407" t="s">
        <v>7</v>
      </c>
      <c r="M407" t="s">
        <v>7</v>
      </c>
      <c r="N407" t="s">
        <v>8</v>
      </c>
      <c r="P407">
        <f t="shared" si="975"/>
        <v>-0.55045871559633108</v>
      </c>
      <c r="Q407">
        <f t="shared" si="976"/>
        <v>-10952911.689908274</v>
      </c>
      <c r="R407">
        <f t="shared" si="977"/>
        <v>119151717.83388773</v>
      </c>
      <c r="S407">
        <f t="shared" si="978"/>
        <v>1191.5171783388773</v>
      </c>
      <c r="T407">
        <f t="shared" si="979"/>
        <v>1.1915171783388774</v>
      </c>
    </row>
    <row r="408" spans="1:20" x14ac:dyDescent="0.25">
      <c r="A408" s="5">
        <v>44185</v>
      </c>
      <c r="B408">
        <v>0.2445</v>
      </c>
      <c r="C408">
        <v>0.245</v>
      </c>
      <c r="D408">
        <v>0.22869999999999999</v>
      </c>
      <c r="E408">
        <v>0.2321</v>
      </c>
      <c r="F408">
        <v>26318960.43</v>
      </c>
      <c r="G408">
        <v>0</v>
      </c>
      <c r="L408" t="s">
        <v>7</v>
      </c>
      <c r="M408" t="s">
        <v>8</v>
      </c>
      <c r="N408" t="s">
        <v>8</v>
      </c>
      <c r="P408">
        <f t="shared" si="975"/>
        <v>-0.58282208588956907</v>
      </c>
      <c r="Q408">
        <f t="shared" si="976"/>
        <v>-15339271.416257629</v>
      </c>
      <c r="R408">
        <f t="shared" si="977"/>
        <v>130104629.52379601</v>
      </c>
      <c r="S408">
        <f t="shared" si="978"/>
        <v>1301.0462952379601</v>
      </c>
      <c r="T408">
        <f t="shared" si="979"/>
        <v>1.30104629523796</v>
      </c>
    </row>
    <row r="409" spans="1:20" x14ac:dyDescent="0.25">
      <c r="A409" s="5">
        <v>44184</v>
      </c>
      <c r="B409">
        <v>0.24979999999999999</v>
      </c>
      <c r="C409">
        <v>0.26319999999999999</v>
      </c>
      <c r="D409">
        <v>0.2442</v>
      </c>
      <c r="E409">
        <v>0.2445</v>
      </c>
      <c r="F409">
        <v>29894086.18</v>
      </c>
      <c r="G409">
        <v>0</v>
      </c>
      <c r="L409" t="s">
        <v>7</v>
      </c>
      <c r="M409" t="s">
        <v>8</v>
      </c>
      <c r="N409" t="s">
        <v>8</v>
      </c>
      <c r="P409">
        <f t="shared" si="975"/>
        <v>-0.96842105263157952</v>
      </c>
      <c r="Q409">
        <f t="shared" si="976"/>
        <v>-28950062.405894753</v>
      </c>
      <c r="R409">
        <f t="shared" si="977"/>
        <v>145443900.94005364</v>
      </c>
      <c r="S409">
        <f t="shared" si="978"/>
        <v>1454.4390094005364</v>
      </c>
      <c r="T409">
        <f t="shared" si="979"/>
        <v>1.4544390094005364</v>
      </c>
    </row>
    <row r="410" spans="1:20" x14ac:dyDescent="0.25">
      <c r="A410" s="5">
        <v>44183</v>
      </c>
      <c r="B410">
        <v>0.2266</v>
      </c>
      <c r="C410">
        <v>0.26200000000000001</v>
      </c>
      <c r="D410">
        <v>0.22339999999999999</v>
      </c>
      <c r="E410">
        <v>0.24959999999999999</v>
      </c>
      <c r="F410">
        <v>60290027.579999998</v>
      </c>
      <c r="G410">
        <v>0</v>
      </c>
      <c r="L410" t="s">
        <v>8</v>
      </c>
      <c r="M410" t="s">
        <v>8</v>
      </c>
      <c r="N410" t="s">
        <v>8</v>
      </c>
      <c r="P410">
        <f t="shared" si="975"/>
        <v>0.35751295336787486</v>
      </c>
      <c r="Q410">
        <f t="shared" si="976"/>
        <v>21554465.818756428</v>
      </c>
      <c r="R410">
        <f t="shared" si="977"/>
        <v>174393963.3459484</v>
      </c>
      <c r="S410">
        <f t="shared" si="978"/>
        <v>1743.939633459484</v>
      </c>
      <c r="T410">
        <f t="shared" si="979"/>
        <v>1.7439396334594839</v>
      </c>
    </row>
    <row r="411" spans="1:20" x14ac:dyDescent="0.25">
      <c r="A411" s="5">
        <v>44182</v>
      </c>
      <c r="B411">
        <v>0.2329</v>
      </c>
      <c r="C411">
        <v>0.23810000000000001</v>
      </c>
      <c r="D411">
        <v>0.223</v>
      </c>
      <c r="E411">
        <v>0.2266</v>
      </c>
      <c r="F411">
        <v>24123685.960000001</v>
      </c>
      <c r="G411">
        <v>0</v>
      </c>
      <c r="L411" t="s">
        <v>8</v>
      </c>
      <c r="M411" t="s">
        <v>7</v>
      </c>
      <c r="N411" t="s">
        <v>8</v>
      </c>
      <c r="P411">
        <f t="shared" si="975"/>
        <v>-0.52317880794702099</v>
      </c>
      <c r="Q411">
        <f t="shared" si="976"/>
        <v>-12621001.263841087</v>
      </c>
      <c r="R411">
        <f t="shared" si="977"/>
        <v>152839497.52719197</v>
      </c>
      <c r="S411">
        <f t="shared" si="978"/>
        <v>1528.3949752719197</v>
      </c>
      <c r="T411">
        <f t="shared" si="979"/>
        <v>1.5283949752719197</v>
      </c>
    </row>
    <row r="412" spans="1:20" x14ac:dyDescent="0.25">
      <c r="A412" s="5">
        <v>44181</v>
      </c>
      <c r="B412">
        <v>0.21840000000000001</v>
      </c>
      <c r="C412">
        <v>0.23330000000000001</v>
      </c>
      <c r="D412">
        <v>0.2165</v>
      </c>
      <c r="E412">
        <v>0.2329</v>
      </c>
      <c r="F412">
        <v>27363830.370000001</v>
      </c>
      <c r="G412">
        <v>0</v>
      </c>
      <c r="L412" t="s">
        <v>8</v>
      </c>
      <c r="M412" t="s">
        <v>7</v>
      </c>
      <c r="N412" t="s">
        <v>8</v>
      </c>
      <c r="P412">
        <f t="shared" si="975"/>
        <v>0.952380952380951</v>
      </c>
      <c r="Q412">
        <f t="shared" si="976"/>
        <v>26060790.82857139</v>
      </c>
      <c r="R412">
        <f t="shared" si="977"/>
        <v>165460498.79103306</v>
      </c>
      <c r="S412">
        <f t="shared" si="978"/>
        <v>1654.6049879103307</v>
      </c>
      <c r="T412">
        <f t="shared" si="979"/>
        <v>1.6546049879103306</v>
      </c>
    </row>
    <row r="413" spans="1:20" x14ac:dyDescent="0.25">
      <c r="A413" s="5">
        <v>44180</v>
      </c>
      <c r="B413">
        <v>0.21829999999999999</v>
      </c>
      <c r="C413">
        <v>0.22239999999999999</v>
      </c>
      <c r="D413">
        <v>0.21329999999999999</v>
      </c>
      <c r="E413">
        <v>0.21809999999999999</v>
      </c>
      <c r="F413">
        <v>10753230.130000001</v>
      </c>
      <c r="G413">
        <v>0</v>
      </c>
      <c r="L413" t="s">
        <v>8</v>
      </c>
      <c r="M413" t="s">
        <v>7</v>
      </c>
      <c r="N413" t="s">
        <v>8</v>
      </c>
      <c r="P413">
        <f t="shared" si="975"/>
        <v>5.4945054945055014E-2</v>
      </c>
      <c r="Q413">
        <f t="shared" si="976"/>
        <v>590836.82032967114</v>
      </c>
      <c r="R413">
        <f t="shared" si="977"/>
        <v>139399707.96246168</v>
      </c>
      <c r="S413">
        <f t="shared" si="978"/>
        <v>1393.9970796246168</v>
      </c>
      <c r="T413">
        <f t="shared" si="979"/>
        <v>1.3939970796246168</v>
      </c>
    </row>
    <row r="414" spans="1:20" x14ac:dyDescent="0.25">
      <c r="A414" s="5">
        <v>44179</v>
      </c>
      <c r="B414">
        <v>0.2132</v>
      </c>
      <c r="C414">
        <v>0.2198</v>
      </c>
      <c r="D414">
        <v>0.21029999999999999</v>
      </c>
      <c r="E414">
        <v>0.21809999999999999</v>
      </c>
      <c r="F414">
        <v>9414108.2100000009</v>
      </c>
      <c r="G414">
        <v>0</v>
      </c>
      <c r="L414" t="s">
        <v>8</v>
      </c>
      <c r="M414" t="s">
        <v>7</v>
      </c>
      <c r="N414" t="s">
        <v>8</v>
      </c>
      <c r="P414">
        <f t="shared" si="975"/>
        <v>0.64210526315789351</v>
      </c>
      <c r="Q414">
        <f t="shared" si="976"/>
        <v>6044848.4295789367</v>
      </c>
      <c r="R414">
        <f t="shared" si="977"/>
        <v>138808871.14213201</v>
      </c>
      <c r="S414">
        <f t="shared" si="978"/>
        <v>1388.0887114213201</v>
      </c>
      <c r="T414">
        <f t="shared" si="979"/>
        <v>1.3880887114213201</v>
      </c>
    </row>
    <row r="415" spans="1:20" x14ac:dyDescent="0.25">
      <c r="A415" s="5">
        <v>44178</v>
      </c>
      <c r="B415">
        <v>0.2109</v>
      </c>
      <c r="C415">
        <v>0.21920000000000001</v>
      </c>
      <c r="D415">
        <v>0.2069</v>
      </c>
      <c r="E415">
        <v>0.21310000000000001</v>
      </c>
      <c r="F415">
        <v>11925047.23</v>
      </c>
      <c r="G415">
        <v>0</v>
      </c>
      <c r="L415" t="s">
        <v>8</v>
      </c>
      <c r="M415" t="s">
        <v>7</v>
      </c>
      <c r="N415" t="s">
        <v>8</v>
      </c>
      <c r="P415">
        <f t="shared" si="975"/>
        <v>8.1300813008143655E-3</v>
      </c>
      <c r="Q415">
        <f t="shared" si="976"/>
        <v>96951.603495951145</v>
      </c>
      <c r="R415">
        <f t="shared" si="977"/>
        <v>132764022.71255307</v>
      </c>
      <c r="S415">
        <f t="shared" si="978"/>
        <v>1327.6402271255306</v>
      </c>
      <c r="T415">
        <f t="shared" si="979"/>
        <v>1.3276402271255305</v>
      </c>
    </row>
    <row r="416" spans="1:20" x14ac:dyDescent="0.25">
      <c r="A416" s="5">
        <v>44177</v>
      </c>
      <c r="B416">
        <v>0.20280000000000001</v>
      </c>
      <c r="C416">
        <v>0.2147</v>
      </c>
      <c r="D416">
        <v>0.20250000000000001</v>
      </c>
      <c r="E416">
        <v>0.21099999999999999</v>
      </c>
      <c r="F416">
        <v>17759437.289999999</v>
      </c>
      <c r="G416">
        <v>0</v>
      </c>
      <c r="L416" t="s">
        <v>8</v>
      </c>
      <c r="M416" t="s">
        <v>7</v>
      </c>
      <c r="N416" t="s">
        <v>8</v>
      </c>
      <c r="P416">
        <f t="shared" si="975"/>
        <v>0.39344262295081767</v>
      </c>
      <c r="Q416">
        <f t="shared" si="976"/>
        <v>6987319.5895081609</v>
      </c>
      <c r="R416">
        <f t="shared" si="977"/>
        <v>132667071.10905711</v>
      </c>
      <c r="S416">
        <f t="shared" si="978"/>
        <v>1326.6707110905711</v>
      </c>
      <c r="T416">
        <f t="shared" si="979"/>
        <v>1.3266707110905711</v>
      </c>
    </row>
    <row r="417" spans="1:20" x14ac:dyDescent="0.25">
      <c r="A417" s="5">
        <v>44176</v>
      </c>
      <c r="B417">
        <v>0.20860000000000001</v>
      </c>
      <c r="C417">
        <v>0.20949999999999999</v>
      </c>
      <c r="D417">
        <v>0.20050000000000001</v>
      </c>
      <c r="E417">
        <v>0.2029</v>
      </c>
      <c r="F417">
        <v>14831351.970000001</v>
      </c>
      <c r="G417">
        <v>0</v>
      </c>
      <c r="L417" t="s">
        <v>7</v>
      </c>
      <c r="M417" t="s">
        <v>7</v>
      </c>
      <c r="N417" t="s">
        <v>8</v>
      </c>
      <c r="P417">
        <f t="shared" si="975"/>
        <v>-0.46666666666666873</v>
      </c>
      <c r="Q417">
        <f t="shared" si="976"/>
        <v>-6921297.5860000309</v>
      </c>
      <c r="R417">
        <f t="shared" si="977"/>
        <v>125679751.51954895</v>
      </c>
      <c r="S417">
        <f t="shared" si="978"/>
        <v>1256.7975151954895</v>
      </c>
      <c r="T417">
        <f t="shared" si="979"/>
        <v>1.2567975151954895</v>
      </c>
    </row>
    <row r="418" spans="1:20" x14ac:dyDescent="0.25">
      <c r="A418" s="5">
        <v>44175</v>
      </c>
      <c r="B418">
        <v>0.21990000000000001</v>
      </c>
      <c r="C418">
        <v>0.22090000000000001</v>
      </c>
      <c r="D418">
        <v>0.20780000000000001</v>
      </c>
      <c r="E418">
        <v>0.2087</v>
      </c>
      <c r="F418">
        <v>12449190.32</v>
      </c>
      <c r="G418">
        <v>0</v>
      </c>
      <c r="L418" t="s">
        <v>7</v>
      </c>
      <c r="M418" t="s">
        <v>7</v>
      </c>
      <c r="N418" t="s">
        <v>8</v>
      </c>
      <c r="P418">
        <f t="shared" si="975"/>
        <v>-0.86259541984733068</v>
      </c>
      <c r="Q418">
        <f t="shared" si="976"/>
        <v>-10738614.550839726</v>
      </c>
      <c r="R418">
        <f t="shared" si="977"/>
        <v>132601049.10554898</v>
      </c>
      <c r="S418">
        <f t="shared" si="978"/>
        <v>1326.0104910554899</v>
      </c>
      <c r="T418">
        <f t="shared" si="979"/>
        <v>1.32601049105549</v>
      </c>
    </row>
    <row r="419" spans="1:20" x14ac:dyDescent="0.25">
      <c r="A419" s="5">
        <v>44174</v>
      </c>
      <c r="B419">
        <v>0.21970000000000001</v>
      </c>
      <c r="C419">
        <v>0.2208</v>
      </c>
      <c r="D419">
        <v>0.20610000000000001</v>
      </c>
      <c r="E419">
        <v>0.21970000000000001</v>
      </c>
      <c r="F419">
        <v>23232242.940000001</v>
      </c>
      <c r="G419">
        <v>0</v>
      </c>
      <c r="L419" t="s">
        <v>7</v>
      </c>
      <c r="M419" t="s">
        <v>7</v>
      </c>
      <c r="N419" t="s">
        <v>8</v>
      </c>
      <c r="P419">
        <f t="shared" si="975"/>
        <v>0.85034013605442305</v>
      </c>
      <c r="Q419">
        <f t="shared" si="976"/>
        <v>19755308.622449011</v>
      </c>
      <c r="R419">
        <f t="shared" si="977"/>
        <v>143339663.6563887</v>
      </c>
      <c r="S419">
        <f t="shared" si="978"/>
        <v>1433.3966365638869</v>
      </c>
      <c r="T419">
        <f t="shared" si="979"/>
        <v>1.4333966365638868</v>
      </c>
    </row>
    <row r="420" spans="1:20" x14ac:dyDescent="0.25">
      <c r="A420" s="5">
        <v>44173</v>
      </c>
      <c r="B420">
        <v>0.2359</v>
      </c>
      <c r="C420">
        <v>0.23860000000000001</v>
      </c>
      <c r="D420">
        <v>0.217</v>
      </c>
      <c r="E420">
        <v>0.2198</v>
      </c>
      <c r="F420">
        <v>17831228.699999999</v>
      </c>
      <c r="G420">
        <v>0</v>
      </c>
      <c r="L420" t="s">
        <v>7</v>
      </c>
      <c r="M420" t="s">
        <v>7</v>
      </c>
      <c r="N420" t="s">
        <v>8</v>
      </c>
      <c r="P420">
        <f t="shared" si="975"/>
        <v>-0.74074074074074114</v>
      </c>
      <c r="Q420">
        <f t="shared" si="976"/>
        <v>-13208317.555555562</v>
      </c>
      <c r="R420">
        <f t="shared" si="977"/>
        <v>123584355.03393967</v>
      </c>
      <c r="S420">
        <f t="shared" si="978"/>
        <v>1235.8435503393966</v>
      </c>
      <c r="T420">
        <f t="shared" si="979"/>
        <v>1.2358435503393967</v>
      </c>
    </row>
    <row r="421" spans="1:20" x14ac:dyDescent="0.25">
      <c r="A421" s="5">
        <v>44172</v>
      </c>
      <c r="B421">
        <v>0.2374</v>
      </c>
      <c r="C421">
        <v>0.23949999999999999</v>
      </c>
      <c r="D421">
        <v>0.2311</v>
      </c>
      <c r="E421">
        <v>0.23569999999999999</v>
      </c>
      <c r="F421">
        <v>10165172.689999999</v>
      </c>
      <c r="G421">
        <v>0</v>
      </c>
      <c r="L421" t="s">
        <v>7</v>
      </c>
      <c r="M421" t="s">
        <v>8</v>
      </c>
      <c r="N421" t="s">
        <v>8</v>
      </c>
      <c r="P421">
        <f t="shared" si="975"/>
        <v>9.5238095238094761E-2</v>
      </c>
      <c r="Q421">
        <f t="shared" si="976"/>
        <v>968111.68476189987</v>
      </c>
      <c r="R421">
        <f t="shared" si="977"/>
        <v>136792672.58949524</v>
      </c>
      <c r="S421">
        <f t="shared" si="978"/>
        <v>1367.9267258949524</v>
      </c>
      <c r="T421">
        <f t="shared" si="979"/>
        <v>1.3679267258949523</v>
      </c>
    </row>
    <row r="422" spans="1:20" x14ac:dyDescent="0.25">
      <c r="A422" s="5">
        <v>44171</v>
      </c>
      <c r="B422">
        <v>0.23599999999999999</v>
      </c>
      <c r="C422">
        <v>0.2379</v>
      </c>
      <c r="D422">
        <v>0.22720000000000001</v>
      </c>
      <c r="E422">
        <v>0.23710000000000001</v>
      </c>
      <c r="F422">
        <v>10944917.449999999</v>
      </c>
      <c r="G422">
        <v>0</v>
      </c>
      <c r="L422" t="s">
        <v>7</v>
      </c>
      <c r="M422" t="s">
        <v>8</v>
      </c>
      <c r="N422" t="s">
        <v>8</v>
      </c>
      <c r="P422">
        <f t="shared" si="975"/>
        <v>0.85046728971962693</v>
      </c>
      <c r="Q422">
        <f t="shared" si="976"/>
        <v>9308294.2799065504</v>
      </c>
      <c r="R422">
        <f t="shared" si="977"/>
        <v>135824560.90473333</v>
      </c>
      <c r="S422">
        <f t="shared" si="978"/>
        <v>1358.2456090473333</v>
      </c>
      <c r="T422">
        <f t="shared" si="979"/>
        <v>1.3582456090473334</v>
      </c>
    </row>
    <row r="423" spans="1:20" x14ac:dyDescent="0.25">
      <c r="A423" s="5">
        <v>44170</v>
      </c>
      <c r="B423">
        <v>0.22850000000000001</v>
      </c>
      <c r="C423">
        <v>0.2364</v>
      </c>
      <c r="D423">
        <v>0.22559999999999999</v>
      </c>
      <c r="E423">
        <v>0.23599999999999999</v>
      </c>
      <c r="F423">
        <v>8127784.25</v>
      </c>
      <c r="G423">
        <v>0</v>
      </c>
      <c r="L423" t="s">
        <v>7</v>
      </c>
      <c r="M423" t="s">
        <v>8</v>
      </c>
      <c r="N423" t="s">
        <v>8</v>
      </c>
      <c r="P423">
        <f t="shared" si="975"/>
        <v>0.92592592592592382</v>
      </c>
      <c r="Q423">
        <f t="shared" si="976"/>
        <v>7525726.15740739</v>
      </c>
      <c r="R423">
        <f t="shared" si="977"/>
        <v>126516266.62482679</v>
      </c>
      <c r="S423">
        <f t="shared" si="978"/>
        <v>1265.1626662482679</v>
      </c>
      <c r="T423">
        <f t="shared" si="979"/>
        <v>1.2651626662482678</v>
      </c>
    </row>
    <row r="424" spans="1:20" x14ac:dyDescent="0.25">
      <c r="A424" s="5">
        <v>44169</v>
      </c>
      <c r="B424">
        <v>0.2429</v>
      </c>
      <c r="C424">
        <v>0.25069999999999998</v>
      </c>
      <c r="D424">
        <v>0.2253</v>
      </c>
      <c r="E424">
        <v>0.22850000000000001</v>
      </c>
      <c r="F424">
        <v>24803833.530000001</v>
      </c>
      <c r="G424">
        <v>0</v>
      </c>
      <c r="L424" t="s">
        <v>8</v>
      </c>
      <c r="M424" t="s">
        <v>8</v>
      </c>
      <c r="N424" t="s">
        <v>8</v>
      </c>
      <c r="P424">
        <f t="shared" si="975"/>
        <v>-0.74803149606299124</v>
      </c>
      <c r="Q424">
        <f t="shared" si="976"/>
        <v>-18554048.703543287</v>
      </c>
      <c r="R424">
        <f t="shared" si="977"/>
        <v>118990540.4674194</v>
      </c>
      <c r="S424">
        <f t="shared" si="978"/>
        <v>1189.905404674194</v>
      </c>
      <c r="T424">
        <f t="shared" si="979"/>
        <v>1.1899054046741939</v>
      </c>
    </row>
    <row r="425" spans="1:20" x14ac:dyDescent="0.25">
      <c r="A425" s="5">
        <v>44168</v>
      </c>
      <c r="B425">
        <v>0.24210000000000001</v>
      </c>
      <c r="C425">
        <v>0.2485</v>
      </c>
      <c r="D425">
        <v>0.23910000000000001</v>
      </c>
      <c r="E425">
        <v>0.2432</v>
      </c>
      <c r="F425">
        <v>15092969.140000001</v>
      </c>
      <c r="G425">
        <v>0</v>
      </c>
      <c r="L425" t="s">
        <v>8</v>
      </c>
      <c r="M425" t="s">
        <v>8</v>
      </c>
      <c r="N425" t="s">
        <v>8</v>
      </c>
      <c r="P425">
        <f t="shared" si="975"/>
        <v>-0.12765957446808593</v>
      </c>
      <c r="Q425">
        <f t="shared" si="976"/>
        <v>-1926762.0178723529</v>
      </c>
      <c r="R425">
        <f t="shared" si="977"/>
        <v>137544589.17096269</v>
      </c>
      <c r="S425">
        <f t="shared" si="978"/>
        <v>1375.4458917096269</v>
      </c>
      <c r="T425">
        <f t="shared" si="979"/>
        <v>1.3754458917096271</v>
      </c>
    </row>
    <row r="426" spans="1:20" x14ac:dyDescent="0.25">
      <c r="A426" s="5">
        <v>44167</v>
      </c>
      <c r="B426">
        <v>0.2349</v>
      </c>
      <c r="C426">
        <v>0.24529999999999999</v>
      </c>
      <c r="D426">
        <v>0.23050000000000001</v>
      </c>
      <c r="E426">
        <v>0.2422</v>
      </c>
      <c r="F426">
        <v>15728131.68</v>
      </c>
      <c r="G426">
        <v>0</v>
      </c>
      <c r="L426" t="s">
        <v>7</v>
      </c>
      <c r="M426" t="s">
        <v>8</v>
      </c>
      <c r="N426" t="s">
        <v>8</v>
      </c>
      <c r="P426">
        <f t="shared" si="975"/>
        <v>0.58108108108108159</v>
      </c>
      <c r="Q426">
        <f t="shared" si="976"/>
        <v>9139319.7600000072</v>
      </c>
      <c r="R426">
        <f t="shared" si="977"/>
        <v>139471351.18883505</v>
      </c>
      <c r="S426">
        <f t="shared" si="978"/>
        <v>1394.7135118883505</v>
      </c>
      <c r="T426">
        <f t="shared" si="979"/>
        <v>1.3947135118883505</v>
      </c>
    </row>
    <row r="427" spans="1:20" x14ac:dyDescent="0.25">
      <c r="A427" s="5">
        <v>44166</v>
      </c>
      <c r="B427">
        <v>0.2437</v>
      </c>
      <c r="C427">
        <v>0.26150000000000001</v>
      </c>
      <c r="D427">
        <v>0.23119999999999999</v>
      </c>
      <c r="E427">
        <v>0.2351</v>
      </c>
      <c r="F427">
        <v>35199786.630000003</v>
      </c>
      <c r="G427">
        <v>0</v>
      </c>
      <c r="L427" t="s">
        <v>8</v>
      </c>
      <c r="M427" t="s">
        <v>8</v>
      </c>
      <c r="N427" t="s">
        <v>8</v>
      </c>
      <c r="P427">
        <f t="shared" si="975"/>
        <v>-0.74257425742574179</v>
      </c>
      <c r="Q427">
        <f t="shared" si="976"/>
        <v>-26138455.418316808</v>
      </c>
      <c r="R427">
        <f t="shared" si="977"/>
        <v>130332031.42883503</v>
      </c>
      <c r="S427">
        <f t="shared" si="978"/>
        <v>1303.3203142883503</v>
      </c>
      <c r="T427">
        <f t="shared" si="979"/>
        <v>1.3033203142883503</v>
      </c>
    </row>
    <row r="428" spans="1:20" x14ac:dyDescent="0.25">
      <c r="A428" s="5">
        <v>44165</v>
      </c>
      <c r="B428">
        <v>0.23649999999999999</v>
      </c>
      <c r="C428">
        <v>0.24479999999999999</v>
      </c>
      <c r="D428">
        <v>0.2298</v>
      </c>
      <c r="E428">
        <v>0.24379999999999999</v>
      </c>
      <c r="F428">
        <v>21149414</v>
      </c>
      <c r="G428">
        <v>0</v>
      </c>
      <c r="L428" t="s">
        <v>8</v>
      </c>
      <c r="M428" t="s">
        <v>8</v>
      </c>
      <c r="N428" t="s">
        <v>8</v>
      </c>
      <c r="P428">
        <f t="shared" si="975"/>
        <v>0.86666666666666647</v>
      </c>
      <c r="Q428">
        <f t="shared" si="976"/>
        <v>18329492.133333329</v>
      </c>
      <c r="R428">
        <f t="shared" si="977"/>
        <v>156470486.84715185</v>
      </c>
      <c r="S428">
        <f t="shared" si="978"/>
        <v>1564.7048684715185</v>
      </c>
      <c r="T428">
        <f t="shared" si="979"/>
        <v>1.5647048684715186</v>
      </c>
    </row>
    <row r="429" spans="1:20" x14ac:dyDescent="0.25">
      <c r="A429" s="5">
        <v>44164</v>
      </c>
      <c r="B429">
        <v>0.22950000000000001</v>
      </c>
      <c r="C429">
        <v>0.23669999999999999</v>
      </c>
      <c r="D429">
        <v>0.22320000000000001</v>
      </c>
      <c r="E429">
        <v>0.23630000000000001</v>
      </c>
      <c r="F429">
        <v>13019509.279999999</v>
      </c>
      <c r="G429">
        <v>0</v>
      </c>
      <c r="L429" t="s">
        <v>8</v>
      </c>
      <c r="M429" t="s">
        <v>7</v>
      </c>
      <c r="N429" t="s">
        <v>8</v>
      </c>
      <c r="P429">
        <f t="shared" si="975"/>
        <v>0.9407407407407431</v>
      </c>
      <c r="Q429">
        <f t="shared" si="976"/>
        <v>12247982.804148179</v>
      </c>
      <c r="R429">
        <f t="shared" si="977"/>
        <v>138140994.71381852</v>
      </c>
      <c r="S429">
        <f t="shared" si="978"/>
        <v>1381.4099471381853</v>
      </c>
      <c r="T429">
        <f t="shared" si="979"/>
        <v>1.3814099471381853</v>
      </c>
    </row>
    <row r="430" spans="1:20" x14ac:dyDescent="0.25">
      <c r="A430" s="5">
        <v>44163</v>
      </c>
      <c r="B430">
        <v>0.22470000000000001</v>
      </c>
      <c r="C430">
        <v>0.23419999999999999</v>
      </c>
      <c r="D430">
        <v>0.21659999999999999</v>
      </c>
      <c r="E430">
        <v>0.22950000000000001</v>
      </c>
      <c r="F430">
        <v>18632153.07</v>
      </c>
      <c r="G430">
        <v>0</v>
      </c>
      <c r="L430" t="s">
        <v>8</v>
      </c>
      <c r="M430" t="s">
        <v>7</v>
      </c>
      <c r="N430" t="s">
        <v>8</v>
      </c>
      <c r="P430">
        <f t="shared" si="975"/>
        <v>0.4659090909090931</v>
      </c>
      <c r="Q430">
        <f t="shared" si="976"/>
        <v>8680889.4985227678</v>
      </c>
      <c r="R430">
        <f t="shared" si="977"/>
        <v>125893011.90967034</v>
      </c>
      <c r="S430">
        <f t="shared" si="978"/>
        <v>1258.9301190967035</v>
      </c>
      <c r="T430">
        <f t="shared" si="979"/>
        <v>1.2589301190967035</v>
      </c>
    </row>
    <row r="431" spans="1:20" x14ac:dyDescent="0.25">
      <c r="A431" s="5">
        <v>44162</v>
      </c>
      <c r="B431">
        <v>0.2248</v>
      </c>
      <c r="C431">
        <v>0.23050000000000001</v>
      </c>
      <c r="D431">
        <v>0.21260000000000001</v>
      </c>
      <c r="E431">
        <v>0.22500000000000001</v>
      </c>
      <c r="F431">
        <v>21968116.949999999</v>
      </c>
      <c r="G431">
        <v>0</v>
      </c>
      <c r="L431" t="s">
        <v>8</v>
      </c>
      <c r="M431" t="s">
        <v>7</v>
      </c>
      <c r="N431" t="s">
        <v>8</v>
      </c>
      <c r="P431">
        <f t="shared" si="975"/>
        <v>0.38547486033519496</v>
      </c>
      <c r="Q431">
        <f t="shared" si="976"/>
        <v>8468156.8131284788</v>
      </c>
      <c r="R431">
        <f t="shared" si="977"/>
        <v>117212122.41114756</v>
      </c>
      <c r="S431">
        <f t="shared" si="978"/>
        <v>1172.1212241114756</v>
      </c>
      <c r="T431">
        <f t="shared" si="979"/>
        <v>1.1721212241114756</v>
      </c>
    </row>
    <row r="432" spans="1:20" x14ac:dyDescent="0.25">
      <c r="A432" s="5">
        <v>44161</v>
      </c>
      <c r="B432">
        <v>0.25619999999999998</v>
      </c>
      <c r="C432">
        <v>0.26200000000000001</v>
      </c>
      <c r="D432">
        <v>0.20780000000000001</v>
      </c>
      <c r="E432">
        <v>0.22470000000000001</v>
      </c>
      <c r="F432">
        <v>67367624.859999999</v>
      </c>
      <c r="G432">
        <v>0</v>
      </c>
      <c r="L432" t="s">
        <v>7</v>
      </c>
      <c r="M432" t="s">
        <v>7</v>
      </c>
      <c r="N432" t="s">
        <v>8</v>
      </c>
      <c r="P432">
        <f t="shared" si="975"/>
        <v>-0.37638376383763844</v>
      </c>
      <c r="Q432">
        <f t="shared" si="976"/>
        <v>-25356080.20560886</v>
      </c>
      <c r="R432">
        <f t="shared" si="977"/>
        <v>108743965.59801908</v>
      </c>
      <c r="S432">
        <f t="shared" si="978"/>
        <v>1087.4396559801908</v>
      </c>
      <c r="T432">
        <f t="shared" si="979"/>
        <v>1.0874396559801907</v>
      </c>
    </row>
    <row r="433" spans="1:20" x14ac:dyDescent="0.25">
      <c r="A433" s="5">
        <v>44160</v>
      </c>
      <c r="B433">
        <v>0.26129999999999998</v>
      </c>
      <c r="C433">
        <v>0.2883</v>
      </c>
      <c r="D433">
        <v>0.246</v>
      </c>
      <c r="E433">
        <v>0.25619999999999998</v>
      </c>
      <c r="F433">
        <v>51319294.869999997</v>
      </c>
      <c r="G433">
        <v>0</v>
      </c>
      <c r="L433" t="s">
        <v>8</v>
      </c>
      <c r="M433" t="s">
        <v>8</v>
      </c>
      <c r="N433" t="s">
        <v>8</v>
      </c>
      <c r="P433">
        <f t="shared" si="975"/>
        <v>-0.51773049645390135</v>
      </c>
      <c r="Q433">
        <f t="shared" si="976"/>
        <v>-26569564.010709252</v>
      </c>
      <c r="R433">
        <f t="shared" si="977"/>
        <v>134100045.80362794</v>
      </c>
      <c r="S433">
        <f t="shared" si="978"/>
        <v>1341.0004580362793</v>
      </c>
      <c r="T433">
        <f t="shared" si="979"/>
        <v>1.3410004580362793</v>
      </c>
    </row>
    <row r="434" spans="1:20" x14ac:dyDescent="0.25">
      <c r="A434" s="5">
        <v>44159</v>
      </c>
      <c r="B434">
        <v>0.255</v>
      </c>
      <c r="C434">
        <v>0.27500000000000002</v>
      </c>
      <c r="D434">
        <v>0.24129999999999999</v>
      </c>
      <c r="E434">
        <v>0.26129999999999998</v>
      </c>
      <c r="F434">
        <v>61231491.789999999</v>
      </c>
      <c r="G434">
        <v>0</v>
      </c>
      <c r="L434" t="s">
        <v>8</v>
      </c>
      <c r="M434" t="s">
        <v>8</v>
      </c>
      <c r="N434" t="s">
        <v>8</v>
      </c>
      <c r="P434">
        <f t="shared" si="975"/>
        <v>0.1869436201780397</v>
      </c>
      <c r="Q434">
        <f t="shared" si="976"/>
        <v>11446836.744124517</v>
      </c>
      <c r="R434">
        <f t="shared" si="977"/>
        <v>160669609.81433719</v>
      </c>
      <c r="S434">
        <f t="shared" si="978"/>
        <v>1606.696098143372</v>
      </c>
      <c r="T434">
        <f t="shared" si="979"/>
        <v>1.606696098143372</v>
      </c>
    </row>
    <row r="435" spans="1:20" x14ac:dyDescent="0.25">
      <c r="A435" s="5">
        <v>44158</v>
      </c>
      <c r="B435">
        <v>0.21990000000000001</v>
      </c>
      <c r="C435">
        <v>0.26440000000000002</v>
      </c>
      <c r="D435">
        <v>0.21640000000000001</v>
      </c>
      <c r="E435">
        <v>0.25480000000000003</v>
      </c>
      <c r="F435">
        <v>63451589.770000003</v>
      </c>
      <c r="G435">
        <v>0</v>
      </c>
      <c r="L435" t="s">
        <v>8</v>
      </c>
      <c r="M435" t="s">
        <v>8</v>
      </c>
      <c r="N435" t="s">
        <v>8</v>
      </c>
      <c r="P435">
        <f t="shared" si="975"/>
        <v>0.6000000000000002</v>
      </c>
      <c r="Q435">
        <f t="shared" si="976"/>
        <v>38070953.862000018</v>
      </c>
      <c r="R435">
        <f t="shared" si="977"/>
        <v>149222773.07021266</v>
      </c>
      <c r="S435">
        <f t="shared" si="978"/>
        <v>1492.2277307021266</v>
      </c>
      <c r="T435">
        <f t="shared" si="979"/>
        <v>1.4922277307021266</v>
      </c>
    </row>
    <row r="436" spans="1:20" x14ac:dyDescent="0.25">
      <c r="A436" s="5">
        <v>44157</v>
      </c>
      <c r="B436">
        <v>0.23369999999999999</v>
      </c>
      <c r="C436">
        <v>0.23719999999999999</v>
      </c>
      <c r="D436">
        <v>0.2064</v>
      </c>
      <c r="E436">
        <v>0.22</v>
      </c>
      <c r="F436">
        <v>35261758.340000004</v>
      </c>
      <c r="G436">
        <v>0</v>
      </c>
      <c r="L436" t="s">
        <v>8</v>
      </c>
      <c r="M436" t="s">
        <v>8</v>
      </c>
      <c r="N436" t="s">
        <v>7</v>
      </c>
      <c r="P436">
        <f t="shared" si="975"/>
        <v>-0.11688311688311664</v>
      </c>
      <c r="Q436">
        <f t="shared" si="976"/>
        <v>-4121504.2215584335</v>
      </c>
      <c r="R436">
        <f t="shared" si="977"/>
        <v>111151819.20821266</v>
      </c>
      <c r="S436">
        <f t="shared" si="978"/>
        <v>1111.5181920821267</v>
      </c>
      <c r="T436">
        <f t="shared" si="979"/>
        <v>1.1115181920821267</v>
      </c>
    </row>
    <row r="437" spans="1:20" x14ac:dyDescent="0.25">
      <c r="A437" s="5">
        <v>44156</v>
      </c>
      <c r="B437">
        <v>0.20230000000000001</v>
      </c>
      <c r="C437">
        <v>0.2349</v>
      </c>
      <c r="D437">
        <v>0.2009</v>
      </c>
      <c r="E437">
        <v>0.23369999999999999</v>
      </c>
      <c r="F437">
        <v>47833486.990000002</v>
      </c>
      <c r="G437">
        <v>0</v>
      </c>
      <c r="L437" t="s">
        <v>8</v>
      </c>
      <c r="M437" t="s">
        <v>8</v>
      </c>
      <c r="N437" t="s">
        <v>7</v>
      </c>
      <c r="P437">
        <f t="shared" si="975"/>
        <v>0.92941176470588194</v>
      </c>
      <c r="Q437">
        <f t="shared" si="976"/>
        <v>44457005.555411749</v>
      </c>
      <c r="R437">
        <f t="shared" si="977"/>
        <v>115273323.4297711</v>
      </c>
      <c r="S437">
        <f t="shared" si="978"/>
        <v>1152.7332342977109</v>
      </c>
      <c r="T437">
        <f t="shared" si="979"/>
        <v>1.1527332342977108</v>
      </c>
    </row>
    <row r="438" spans="1:20" x14ac:dyDescent="0.25">
      <c r="A438" s="5">
        <v>44155</v>
      </c>
      <c r="B438">
        <v>0.19670000000000001</v>
      </c>
      <c r="C438">
        <v>0.20399999999999999</v>
      </c>
      <c r="D438">
        <v>0.19489999999999999</v>
      </c>
      <c r="E438">
        <v>0.2024</v>
      </c>
      <c r="F438">
        <v>24429269.77</v>
      </c>
      <c r="G438">
        <v>0</v>
      </c>
      <c r="L438" t="s">
        <v>8</v>
      </c>
      <c r="M438" t="s">
        <v>8</v>
      </c>
      <c r="N438" t="s">
        <v>7</v>
      </c>
      <c r="P438">
        <f t="shared" si="975"/>
        <v>0.64835164835165038</v>
      </c>
      <c r="Q438">
        <f t="shared" si="976"/>
        <v>15838757.323406642</v>
      </c>
      <c r="R438">
        <f t="shared" si="977"/>
        <v>70816317.874359354</v>
      </c>
      <c r="S438">
        <f t="shared" si="978"/>
        <v>708.16317874359356</v>
      </c>
      <c r="T438">
        <f t="shared" si="979"/>
        <v>0.70816317874359358</v>
      </c>
    </row>
    <row r="439" spans="1:20" x14ac:dyDescent="0.25">
      <c r="A439" s="5">
        <v>44154</v>
      </c>
      <c r="B439">
        <v>0.2001</v>
      </c>
      <c r="C439">
        <v>0.20419999999999999</v>
      </c>
      <c r="D439">
        <v>0.1943</v>
      </c>
      <c r="E439">
        <v>0.19670000000000001</v>
      </c>
      <c r="F439">
        <v>19966662.690000001</v>
      </c>
      <c r="G439">
        <v>0</v>
      </c>
      <c r="L439" t="s">
        <v>8</v>
      </c>
      <c r="M439" t="s">
        <v>8</v>
      </c>
      <c r="N439" t="s">
        <v>7</v>
      </c>
      <c r="P439">
        <f t="shared" si="975"/>
        <v>-0.51515151515151214</v>
      </c>
      <c r="Q439">
        <f t="shared" si="976"/>
        <v>-10285856.537272668</v>
      </c>
      <c r="R439">
        <f t="shared" si="977"/>
        <v>54977560.55095271</v>
      </c>
      <c r="S439">
        <f t="shared" si="978"/>
        <v>549.77560550952705</v>
      </c>
      <c r="T439">
        <f t="shared" si="979"/>
        <v>0.54977560550952709</v>
      </c>
    </row>
    <row r="440" spans="1:20" x14ac:dyDescent="0.25">
      <c r="A440" s="5">
        <v>44153</v>
      </c>
      <c r="B440">
        <v>0.2051</v>
      </c>
      <c r="C440">
        <v>0.20669999999999999</v>
      </c>
      <c r="D440">
        <v>0.18909999999999999</v>
      </c>
      <c r="E440">
        <v>0.2</v>
      </c>
      <c r="F440">
        <v>20856071.390000001</v>
      </c>
      <c r="G440">
        <v>0</v>
      </c>
      <c r="L440" t="s">
        <v>7</v>
      </c>
      <c r="M440" t="s">
        <v>8</v>
      </c>
      <c r="N440" t="s">
        <v>7</v>
      </c>
      <c r="P440">
        <f t="shared" si="975"/>
        <v>0.23863636363636567</v>
      </c>
      <c r="Q440">
        <f t="shared" si="976"/>
        <v>4977017.0362500427</v>
      </c>
      <c r="R440">
        <f t="shared" si="977"/>
        <v>65263417.08822538</v>
      </c>
      <c r="S440">
        <f t="shared" si="978"/>
        <v>652.63417088225378</v>
      </c>
      <c r="T440">
        <f t="shared" si="979"/>
        <v>0.65263417088225384</v>
      </c>
    </row>
    <row r="441" spans="1:20" x14ac:dyDescent="0.25">
      <c r="A441" s="5">
        <v>44152</v>
      </c>
      <c r="B441">
        <v>0.19750000000000001</v>
      </c>
      <c r="C441">
        <v>0.2082</v>
      </c>
      <c r="D441">
        <v>0.1973</v>
      </c>
      <c r="E441">
        <v>0.2051</v>
      </c>
      <c r="F441">
        <v>21185914.52</v>
      </c>
      <c r="G441">
        <v>0</v>
      </c>
      <c r="L441" t="s">
        <v>8</v>
      </c>
      <c r="M441" t="s">
        <v>8</v>
      </c>
      <c r="N441" t="s">
        <v>7</v>
      </c>
      <c r="P441">
        <f t="shared" si="975"/>
        <v>0.43119266055045991</v>
      </c>
      <c r="Q441">
        <f t="shared" si="976"/>
        <v>9135210.8480734192</v>
      </c>
      <c r="R441">
        <f t="shared" si="977"/>
        <v>60286400.05197534</v>
      </c>
      <c r="S441">
        <f t="shared" si="978"/>
        <v>602.8640005197534</v>
      </c>
      <c r="T441">
        <f t="shared" si="979"/>
        <v>0.60286400051975342</v>
      </c>
    </row>
    <row r="442" spans="1:20" x14ac:dyDescent="0.25">
      <c r="A442" s="5">
        <v>44151</v>
      </c>
      <c r="B442">
        <v>0.19350000000000001</v>
      </c>
      <c r="C442">
        <v>0.20069999999999999</v>
      </c>
      <c r="D442">
        <v>0.19189999999999999</v>
      </c>
      <c r="E442">
        <v>0.19769999999999999</v>
      </c>
      <c r="F442">
        <v>12298814.029999999</v>
      </c>
      <c r="G442">
        <v>0</v>
      </c>
      <c r="L442" t="s">
        <v>7</v>
      </c>
      <c r="M442" t="s">
        <v>8</v>
      </c>
      <c r="N442" t="s">
        <v>7</v>
      </c>
      <c r="P442">
        <f t="shared" si="975"/>
        <v>0.31818181818181773</v>
      </c>
      <c r="Q442">
        <f t="shared" si="976"/>
        <v>3913259.0095454487</v>
      </c>
      <c r="R442">
        <f t="shared" si="977"/>
        <v>51151189.203901924</v>
      </c>
      <c r="S442">
        <f t="shared" si="978"/>
        <v>511.51189203901924</v>
      </c>
      <c r="T442">
        <f t="shared" si="979"/>
        <v>0.51151189203901926</v>
      </c>
    </row>
    <row r="443" spans="1:20" x14ac:dyDescent="0.25">
      <c r="A443" s="5">
        <v>44150</v>
      </c>
      <c r="B443">
        <v>0.1966</v>
      </c>
      <c r="C443">
        <v>0.20119999999999999</v>
      </c>
      <c r="D443">
        <v>0.18870000000000001</v>
      </c>
      <c r="E443">
        <v>0.19359999999999999</v>
      </c>
      <c r="F443">
        <v>14750593.449999999</v>
      </c>
      <c r="G443">
        <v>0</v>
      </c>
      <c r="L443" t="s">
        <v>7</v>
      </c>
      <c r="M443" t="s">
        <v>8</v>
      </c>
      <c r="N443" t="s">
        <v>7</v>
      </c>
      <c r="P443">
        <f t="shared" si="975"/>
        <v>-0.21600000000000091</v>
      </c>
      <c r="Q443">
        <f t="shared" si="976"/>
        <v>-3186128.1852000132</v>
      </c>
      <c r="R443">
        <f t="shared" si="977"/>
        <v>47237930.194356479</v>
      </c>
      <c r="S443">
        <f t="shared" si="978"/>
        <v>472.37930194356477</v>
      </c>
      <c r="T443">
        <f t="shared" si="979"/>
        <v>0.47237930194356476</v>
      </c>
    </row>
    <row r="444" spans="1:20" x14ac:dyDescent="0.25">
      <c r="A444" s="5">
        <v>44149</v>
      </c>
      <c r="B444">
        <v>0.2026</v>
      </c>
      <c r="C444">
        <v>0.2041</v>
      </c>
      <c r="D444">
        <v>0.1928</v>
      </c>
      <c r="E444">
        <v>0.1966</v>
      </c>
      <c r="F444">
        <v>12021403.42</v>
      </c>
      <c r="G444">
        <v>0</v>
      </c>
      <c r="L444" t="s">
        <v>7</v>
      </c>
      <c r="M444" t="s">
        <v>8</v>
      </c>
      <c r="N444" t="s">
        <v>7</v>
      </c>
      <c r="P444">
        <f t="shared" si="975"/>
        <v>-0.32743362831858475</v>
      </c>
      <c r="Q444">
        <f t="shared" si="976"/>
        <v>-3936211.7392920433</v>
      </c>
      <c r="R444">
        <f t="shared" si="977"/>
        <v>50424058.379556492</v>
      </c>
      <c r="S444">
        <f t="shared" si="978"/>
        <v>504.24058379556493</v>
      </c>
      <c r="T444">
        <f t="shared" si="979"/>
        <v>0.50424058379556491</v>
      </c>
    </row>
    <row r="445" spans="1:20" x14ac:dyDescent="0.25">
      <c r="A445" s="5">
        <v>44148</v>
      </c>
      <c r="B445">
        <v>0.19550000000000001</v>
      </c>
      <c r="C445">
        <v>0.20449999999999999</v>
      </c>
      <c r="D445">
        <v>0.19489999999999999</v>
      </c>
      <c r="E445">
        <v>0.2026</v>
      </c>
      <c r="F445">
        <v>9357003.4499999993</v>
      </c>
      <c r="G445">
        <v>0</v>
      </c>
      <c r="L445" t="s">
        <v>8</v>
      </c>
      <c r="M445" t="s">
        <v>8</v>
      </c>
      <c r="N445" t="s">
        <v>7</v>
      </c>
      <c r="P445">
        <f t="shared" si="975"/>
        <v>0.60416666666666963</v>
      </c>
      <c r="Q445">
        <f t="shared" si="976"/>
        <v>5653189.5843750276</v>
      </c>
      <c r="R445">
        <f t="shared" si="977"/>
        <v>54360270.118848532</v>
      </c>
      <c r="S445">
        <f t="shared" si="978"/>
        <v>543.6027011884853</v>
      </c>
      <c r="T445">
        <f t="shared" si="979"/>
        <v>0.5436027011884853</v>
      </c>
    </row>
    <row r="446" spans="1:20" x14ac:dyDescent="0.25">
      <c r="A446" s="5">
        <v>44147</v>
      </c>
      <c r="B446">
        <v>0.19939999999999999</v>
      </c>
      <c r="C446">
        <v>0.20649999999999999</v>
      </c>
      <c r="D446">
        <v>0.19350000000000001</v>
      </c>
      <c r="E446">
        <v>0.1956</v>
      </c>
      <c r="F446">
        <v>10456144.779999999</v>
      </c>
      <c r="G446">
        <v>0</v>
      </c>
      <c r="L446" t="s">
        <v>8</v>
      </c>
      <c r="M446" t="s">
        <v>8</v>
      </c>
      <c r="N446" t="s">
        <v>7</v>
      </c>
      <c r="P446">
        <f t="shared" si="975"/>
        <v>-0.67692307692307796</v>
      </c>
      <c r="Q446">
        <f t="shared" si="976"/>
        <v>-7078005.6972307796</v>
      </c>
      <c r="R446">
        <f t="shared" si="977"/>
        <v>48707080.534473509</v>
      </c>
      <c r="S446">
        <f t="shared" si="978"/>
        <v>487.07080534473511</v>
      </c>
      <c r="T446">
        <f t="shared" si="979"/>
        <v>0.48707080534473512</v>
      </c>
    </row>
    <row r="447" spans="1:20" x14ac:dyDescent="0.25">
      <c r="A447" s="5">
        <v>44146</v>
      </c>
      <c r="B447">
        <v>0.2014</v>
      </c>
      <c r="C447">
        <v>0.2079</v>
      </c>
      <c r="D447">
        <v>0.1991</v>
      </c>
      <c r="E447">
        <v>0.1996</v>
      </c>
      <c r="F447">
        <v>10856672.199999999</v>
      </c>
      <c r="G447">
        <v>0</v>
      </c>
      <c r="L447" t="s">
        <v>8</v>
      </c>
      <c r="M447" t="s">
        <v>8</v>
      </c>
      <c r="N447" t="s">
        <v>7</v>
      </c>
      <c r="P447">
        <f t="shared" si="975"/>
        <v>-0.88636363636363624</v>
      </c>
      <c r="Q447">
        <f t="shared" si="976"/>
        <v>-9622959.4499999974</v>
      </c>
      <c r="R447">
        <f t="shared" si="977"/>
        <v>55785086.231704287</v>
      </c>
      <c r="S447">
        <f t="shared" si="978"/>
        <v>557.85086231704292</v>
      </c>
      <c r="T447">
        <f t="shared" si="979"/>
        <v>0.55785086231704295</v>
      </c>
    </row>
    <row r="448" spans="1:20" x14ac:dyDescent="0.25">
      <c r="A448" s="5">
        <v>44145</v>
      </c>
      <c r="B448">
        <v>0.19420000000000001</v>
      </c>
      <c r="C448">
        <v>0.20649999999999999</v>
      </c>
      <c r="D448">
        <v>0.19270000000000001</v>
      </c>
      <c r="E448">
        <v>0.2016</v>
      </c>
      <c r="F448">
        <v>17346395.050000001</v>
      </c>
      <c r="G448">
        <v>0</v>
      </c>
      <c r="L448" t="s">
        <v>8</v>
      </c>
      <c r="M448" t="s">
        <v>8</v>
      </c>
      <c r="N448" t="s">
        <v>7</v>
      </c>
      <c r="P448">
        <f t="shared" si="975"/>
        <v>0.28985507246376879</v>
      </c>
      <c r="Q448">
        <f t="shared" si="976"/>
        <v>5027940.5942029105</v>
      </c>
      <c r="R448">
        <f t="shared" si="977"/>
        <v>65408045.681704283</v>
      </c>
      <c r="S448">
        <f t="shared" si="978"/>
        <v>654.08045681704277</v>
      </c>
      <c r="T448">
        <f t="shared" si="979"/>
        <v>0.65408045681704274</v>
      </c>
    </row>
    <row r="449" spans="1:20" x14ac:dyDescent="0.25">
      <c r="A449" s="5">
        <v>44144</v>
      </c>
      <c r="B449">
        <v>0.1983</v>
      </c>
      <c r="C449">
        <v>0.1991</v>
      </c>
      <c r="D449">
        <v>0.18870000000000001</v>
      </c>
      <c r="E449">
        <v>0.19400000000000001</v>
      </c>
      <c r="F449">
        <v>13854973.34</v>
      </c>
      <c r="G449">
        <v>0</v>
      </c>
      <c r="L449" t="s">
        <v>7</v>
      </c>
      <c r="M449" t="s">
        <v>8</v>
      </c>
      <c r="N449" t="s">
        <v>7</v>
      </c>
      <c r="P449">
        <f t="shared" si="975"/>
        <v>1.9230769230769794E-2</v>
      </c>
      <c r="Q449">
        <f t="shared" si="976"/>
        <v>266441.79500000778</v>
      </c>
      <c r="R449">
        <f t="shared" si="977"/>
        <v>60380105.087501369</v>
      </c>
      <c r="S449">
        <f t="shared" si="978"/>
        <v>603.80105087501374</v>
      </c>
      <c r="T449">
        <f t="shared" si="979"/>
        <v>0.60380105087501379</v>
      </c>
    </row>
    <row r="450" spans="1:20" x14ac:dyDescent="0.25">
      <c r="A450" s="5">
        <v>44143</v>
      </c>
      <c r="B450">
        <v>0.1925</v>
      </c>
      <c r="C450">
        <v>0.20369999999999999</v>
      </c>
      <c r="D450">
        <v>0.1903</v>
      </c>
      <c r="E450">
        <v>0.19839999999999999</v>
      </c>
      <c r="F450">
        <v>14265541.039999999</v>
      </c>
      <c r="G450">
        <v>0</v>
      </c>
      <c r="L450" t="s">
        <v>7</v>
      </c>
      <c r="M450" t="s">
        <v>8</v>
      </c>
      <c r="N450" t="s">
        <v>7</v>
      </c>
      <c r="P450">
        <f t="shared" si="975"/>
        <v>0.20895522388059687</v>
      </c>
      <c r="Q450">
        <f t="shared" si="976"/>
        <v>2980859.3217910426</v>
      </c>
      <c r="R450">
        <f t="shared" si="977"/>
        <v>60113663.29250136</v>
      </c>
      <c r="S450">
        <f t="shared" si="978"/>
        <v>601.1366329250136</v>
      </c>
      <c r="T450">
        <f t="shared" si="979"/>
        <v>0.60113663292501363</v>
      </c>
    </row>
    <row r="451" spans="1:20" x14ac:dyDescent="0.25">
      <c r="A451" s="5">
        <v>44142</v>
      </c>
      <c r="B451">
        <v>0.2041</v>
      </c>
      <c r="C451">
        <v>0.21179999999999999</v>
      </c>
      <c r="D451">
        <v>0.18559999999999999</v>
      </c>
      <c r="E451">
        <v>0.19239999999999999</v>
      </c>
      <c r="F451">
        <v>28457691.16</v>
      </c>
      <c r="G451">
        <v>0</v>
      </c>
      <c r="L451" t="s">
        <v>8</v>
      </c>
      <c r="M451" t="s">
        <v>8</v>
      </c>
      <c r="N451" t="s">
        <v>7</v>
      </c>
      <c r="P451">
        <f t="shared" si="975"/>
        <v>-0.48091603053435111</v>
      </c>
      <c r="Q451">
        <f t="shared" si="976"/>
        <v>-13685759.870839695</v>
      </c>
      <c r="R451">
        <f t="shared" si="977"/>
        <v>57132803.970710315</v>
      </c>
      <c r="S451">
        <f t="shared" si="978"/>
        <v>571.32803970710313</v>
      </c>
      <c r="T451">
        <f t="shared" si="979"/>
        <v>0.57132803970710311</v>
      </c>
    </row>
    <row r="452" spans="1:20" x14ac:dyDescent="0.25">
      <c r="A452" s="5">
        <v>44141</v>
      </c>
      <c r="B452">
        <v>0.19089999999999999</v>
      </c>
      <c r="C452">
        <v>0.20499999999999999</v>
      </c>
      <c r="D452">
        <v>0.1888</v>
      </c>
      <c r="E452">
        <v>0.20430000000000001</v>
      </c>
      <c r="F452">
        <v>22654871.969999999</v>
      </c>
      <c r="G452">
        <v>0</v>
      </c>
      <c r="L452" t="s">
        <v>8</v>
      </c>
      <c r="M452" t="s">
        <v>7</v>
      </c>
      <c r="N452" t="s">
        <v>7</v>
      </c>
      <c r="P452">
        <f t="shared" si="975"/>
        <v>0.91358024691358286</v>
      </c>
      <c r="Q452">
        <f t="shared" si="976"/>
        <v>20697043.528148208</v>
      </c>
      <c r="R452">
        <f t="shared" si="977"/>
        <v>70818563.841550007</v>
      </c>
      <c r="S452">
        <f t="shared" si="978"/>
        <v>708.18563841550008</v>
      </c>
      <c r="T452">
        <f t="shared" si="979"/>
        <v>0.70818563841550008</v>
      </c>
    </row>
    <row r="453" spans="1:20" x14ac:dyDescent="0.25">
      <c r="A453" s="5">
        <v>44140</v>
      </c>
      <c r="B453">
        <v>0.18540000000000001</v>
      </c>
      <c r="C453">
        <v>0.19170000000000001</v>
      </c>
      <c r="D453">
        <v>0.18099999999999999</v>
      </c>
      <c r="E453">
        <v>0.19089999999999999</v>
      </c>
      <c r="F453">
        <v>11615587.300000001</v>
      </c>
      <c r="G453">
        <v>0</v>
      </c>
      <c r="L453" t="s">
        <v>8</v>
      </c>
      <c r="M453" t="s">
        <v>7</v>
      </c>
      <c r="N453" t="s">
        <v>7</v>
      </c>
      <c r="P453">
        <f t="shared" si="975"/>
        <v>0.85046728971962204</v>
      </c>
      <c r="Q453">
        <f t="shared" si="976"/>
        <v>9878677.0495326631</v>
      </c>
      <c r="R453">
        <f t="shared" si="977"/>
        <v>50121520.313401803</v>
      </c>
      <c r="S453">
        <f t="shared" si="978"/>
        <v>501.21520313401805</v>
      </c>
      <c r="T453">
        <f t="shared" si="979"/>
        <v>0.50121520313401802</v>
      </c>
    </row>
    <row r="454" spans="1:20" x14ac:dyDescent="0.25">
      <c r="A454" s="5">
        <v>44139</v>
      </c>
      <c r="B454">
        <v>0.1807</v>
      </c>
      <c r="C454">
        <v>0.1855</v>
      </c>
      <c r="D454">
        <v>0.17599999999999999</v>
      </c>
      <c r="E454">
        <v>0.18529999999999999</v>
      </c>
      <c r="F454">
        <v>8429224.8699999992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80">IF(C454=D454,0,((E454-D454)-(C454-E454))/(C454-D454))</f>
        <v>0.95789473684210413</v>
      </c>
      <c r="Q454">
        <f t="shared" ref="Q454:Q517" si="981">F454*P454</f>
        <v>8074310.1386315683</v>
      </c>
      <c r="R454">
        <f t="shared" ref="R454:R517" si="982">R455+Q454</f>
        <v>40242843.263869144</v>
      </c>
      <c r="S454">
        <f t="shared" ref="S454:S517" si="983">R454/100000</f>
        <v>402.42843263869145</v>
      </c>
      <c r="T454">
        <f t="shared" ref="T454:T517" si="984">S454/1000</f>
        <v>0.40242843263869144</v>
      </c>
    </row>
    <row r="455" spans="1:20" x14ac:dyDescent="0.25">
      <c r="A455" s="5">
        <v>44138</v>
      </c>
      <c r="B455">
        <v>0.18329999999999999</v>
      </c>
      <c r="C455">
        <v>0.1847</v>
      </c>
      <c r="D455">
        <v>0.17519999999999999</v>
      </c>
      <c r="E455">
        <v>0.1807</v>
      </c>
      <c r="F455">
        <v>9569563.7599999998</v>
      </c>
      <c r="G455">
        <v>0</v>
      </c>
      <c r="L455" t="s">
        <v>7</v>
      </c>
      <c r="M455" t="s">
        <v>7</v>
      </c>
      <c r="N455" t="s">
        <v>7</v>
      </c>
      <c r="P455">
        <f t="shared" si="980"/>
        <v>0.15789473684210525</v>
      </c>
      <c r="Q455">
        <f t="shared" si="981"/>
        <v>1510983.7515789473</v>
      </c>
      <c r="R455">
        <f t="shared" si="982"/>
        <v>32168533.125237577</v>
      </c>
      <c r="S455">
        <f t="shared" si="983"/>
        <v>321.68533125237576</v>
      </c>
      <c r="T455">
        <f t="shared" si="984"/>
        <v>0.32168533125237575</v>
      </c>
    </row>
    <row r="456" spans="1:20" x14ac:dyDescent="0.25">
      <c r="A456" s="5">
        <v>44137</v>
      </c>
      <c r="B456">
        <v>0.19089999999999999</v>
      </c>
      <c r="C456">
        <v>0.193</v>
      </c>
      <c r="D456">
        <v>0.18140000000000001</v>
      </c>
      <c r="E456">
        <v>0.18340000000000001</v>
      </c>
      <c r="F456">
        <v>7537073.7999999998</v>
      </c>
      <c r="G456">
        <v>0</v>
      </c>
      <c r="L456" t="s">
        <v>8</v>
      </c>
      <c r="M456" t="s">
        <v>7</v>
      </c>
      <c r="N456" t="s">
        <v>7</v>
      </c>
      <c r="P456">
        <f t="shared" si="980"/>
        <v>-0.65517241379310309</v>
      </c>
      <c r="Q456">
        <f t="shared" si="981"/>
        <v>-4938082.8344827555</v>
      </c>
      <c r="R456">
        <f t="shared" si="982"/>
        <v>30657549.373658631</v>
      </c>
      <c r="S456">
        <f t="shared" si="983"/>
        <v>306.57549373658628</v>
      </c>
      <c r="T456">
        <f t="shared" si="984"/>
        <v>0.30657549373658627</v>
      </c>
    </row>
    <row r="457" spans="1:20" x14ac:dyDescent="0.25">
      <c r="A457" s="5">
        <v>44136</v>
      </c>
      <c r="B457">
        <v>0.1852</v>
      </c>
      <c r="C457">
        <v>0.19089999999999999</v>
      </c>
      <c r="D457">
        <v>0.18379999999999999</v>
      </c>
      <c r="E457">
        <v>0.19070000000000001</v>
      </c>
      <c r="F457">
        <v>5322187.45</v>
      </c>
      <c r="G457">
        <v>0</v>
      </c>
      <c r="L457" t="s">
        <v>8</v>
      </c>
      <c r="M457" t="s">
        <v>7</v>
      </c>
      <c r="N457" t="s">
        <v>7</v>
      </c>
      <c r="P457">
        <f t="shared" si="980"/>
        <v>0.9436619718309921</v>
      </c>
      <c r="Q457">
        <f t="shared" si="981"/>
        <v>5022345.9035211597</v>
      </c>
      <c r="R457">
        <f t="shared" si="982"/>
        <v>35595632.208141387</v>
      </c>
      <c r="S457">
        <f t="shared" si="983"/>
        <v>355.95632208141387</v>
      </c>
      <c r="T457">
        <f t="shared" si="984"/>
        <v>0.35595632208141387</v>
      </c>
    </row>
    <row r="458" spans="1:20" x14ac:dyDescent="0.25">
      <c r="A458" s="5">
        <v>44135</v>
      </c>
      <c r="B458">
        <v>0.18720000000000001</v>
      </c>
      <c r="C458">
        <v>0.1905</v>
      </c>
      <c r="D458">
        <v>0.18459999999999999</v>
      </c>
      <c r="E458">
        <v>0.18529999999999999</v>
      </c>
      <c r="F458">
        <v>7284868.4100000001</v>
      </c>
      <c r="G458">
        <v>0</v>
      </c>
      <c r="L458" t="s">
        <v>8</v>
      </c>
      <c r="M458" t="s">
        <v>7</v>
      </c>
      <c r="N458" t="s">
        <v>7</v>
      </c>
      <c r="P458">
        <f t="shared" si="980"/>
        <v>-0.76271186440677818</v>
      </c>
      <c r="Q458">
        <f t="shared" si="981"/>
        <v>-5556255.5669491421</v>
      </c>
      <c r="R458">
        <f t="shared" si="982"/>
        <v>30573286.304620229</v>
      </c>
      <c r="S458">
        <f t="shared" si="983"/>
        <v>305.73286304620228</v>
      </c>
      <c r="T458">
        <f t="shared" si="984"/>
        <v>0.30573286304620229</v>
      </c>
    </row>
    <row r="459" spans="1:20" x14ac:dyDescent="0.25">
      <c r="A459" s="5">
        <v>44134</v>
      </c>
      <c r="B459">
        <v>0.18940000000000001</v>
      </c>
      <c r="C459">
        <v>0.1905</v>
      </c>
      <c r="D459">
        <v>0.1767</v>
      </c>
      <c r="E459">
        <v>0.187</v>
      </c>
      <c r="F459">
        <v>16609734.42</v>
      </c>
      <c r="G459">
        <v>0</v>
      </c>
      <c r="L459" t="s">
        <v>7</v>
      </c>
      <c r="M459" t="s">
        <v>7</v>
      </c>
      <c r="N459" t="s">
        <v>7</v>
      </c>
      <c r="P459">
        <f t="shared" si="980"/>
        <v>0.4927536231884056</v>
      </c>
      <c r="Q459">
        <f t="shared" si="981"/>
        <v>8184506.8156521702</v>
      </c>
      <c r="R459">
        <f t="shared" si="982"/>
        <v>36129541.871569373</v>
      </c>
      <c r="S459">
        <f t="shared" si="983"/>
        <v>361.2954187156937</v>
      </c>
      <c r="T459">
        <f t="shared" si="984"/>
        <v>0.36129541871569371</v>
      </c>
    </row>
    <row r="460" spans="1:20" x14ac:dyDescent="0.25">
      <c r="A460" s="5">
        <v>44133</v>
      </c>
      <c r="B460">
        <v>0.19489999999999999</v>
      </c>
      <c r="C460">
        <v>0.1988</v>
      </c>
      <c r="D460">
        <v>0.18720000000000001</v>
      </c>
      <c r="E460">
        <v>0.18940000000000001</v>
      </c>
      <c r="F460">
        <v>13843681.439999999</v>
      </c>
      <c r="G460">
        <v>0</v>
      </c>
      <c r="L460" t="s">
        <v>7</v>
      </c>
      <c r="M460" t="s">
        <v>7</v>
      </c>
      <c r="N460" t="s">
        <v>7</v>
      </c>
      <c r="P460">
        <f t="shared" si="980"/>
        <v>-0.62068965517241248</v>
      </c>
      <c r="Q460">
        <f t="shared" si="981"/>
        <v>-8592629.8593103271</v>
      </c>
      <c r="R460">
        <f t="shared" si="982"/>
        <v>27945035.055917203</v>
      </c>
      <c r="S460">
        <f t="shared" si="983"/>
        <v>279.45035055917202</v>
      </c>
      <c r="T460">
        <f t="shared" si="984"/>
        <v>0.279450350559172</v>
      </c>
    </row>
    <row r="461" spans="1:20" x14ac:dyDescent="0.25">
      <c r="A461" s="5">
        <v>44132</v>
      </c>
      <c r="B461">
        <v>0.21329999999999999</v>
      </c>
      <c r="C461">
        <v>0.21360000000000001</v>
      </c>
      <c r="D461">
        <v>0.18959999999999999</v>
      </c>
      <c r="E461">
        <v>0.19489999999999999</v>
      </c>
      <c r="F461">
        <v>22552920.039999999</v>
      </c>
      <c r="G461">
        <v>0</v>
      </c>
      <c r="L461" t="s">
        <v>7</v>
      </c>
      <c r="M461" t="s">
        <v>7</v>
      </c>
      <c r="N461" t="s">
        <v>7</v>
      </c>
      <c r="P461">
        <f t="shared" si="980"/>
        <v>-0.55833333333333379</v>
      </c>
      <c r="Q461">
        <f t="shared" si="981"/>
        <v>-12592047.022333343</v>
      </c>
      <c r="R461">
        <f t="shared" si="982"/>
        <v>36537664.915227532</v>
      </c>
      <c r="S461">
        <f t="shared" si="983"/>
        <v>365.37664915227532</v>
      </c>
      <c r="T461">
        <f t="shared" si="984"/>
        <v>0.3653766491522753</v>
      </c>
    </row>
    <row r="462" spans="1:20" x14ac:dyDescent="0.25">
      <c r="A462" s="5">
        <v>44131</v>
      </c>
      <c r="B462">
        <v>0.21329999999999999</v>
      </c>
      <c r="C462">
        <v>0.21659999999999999</v>
      </c>
      <c r="D462">
        <v>0.20849999999999999</v>
      </c>
      <c r="E462">
        <v>0.2135</v>
      </c>
      <c r="F462">
        <v>11169723.609999999</v>
      </c>
      <c r="G462">
        <v>0</v>
      </c>
      <c r="L462" t="s">
        <v>7</v>
      </c>
      <c r="M462" t="s">
        <v>7</v>
      </c>
      <c r="N462" t="s">
        <v>7</v>
      </c>
      <c r="P462">
        <f t="shared" si="980"/>
        <v>0.23456790123456958</v>
      </c>
      <c r="Q462">
        <f t="shared" si="981"/>
        <v>2620058.6245679199</v>
      </c>
      <c r="R462">
        <f t="shared" si="982"/>
        <v>49129711.937560879</v>
      </c>
      <c r="S462">
        <f t="shared" si="983"/>
        <v>491.29711937560876</v>
      </c>
      <c r="T462">
        <f t="shared" si="984"/>
        <v>0.49129711937560877</v>
      </c>
    </row>
    <row r="463" spans="1:20" x14ac:dyDescent="0.25">
      <c r="A463" s="5">
        <v>44130</v>
      </c>
      <c r="B463">
        <v>0.21490000000000001</v>
      </c>
      <c r="C463">
        <v>0.222</v>
      </c>
      <c r="D463">
        <v>0.2089</v>
      </c>
      <c r="E463">
        <v>0.21340000000000001</v>
      </c>
      <c r="F463">
        <v>10655154.76</v>
      </c>
      <c r="G463">
        <v>0</v>
      </c>
      <c r="L463" t="s">
        <v>7</v>
      </c>
      <c r="M463" t="s">
        <v>7</v>
      </c>
      <c r="N463" t="s">
        <v>7</v>
      </c>
      <c r="P463">
        <f t="shared" si="980"/>
        <v>-0.31297709923664063</v>
      </c>
      <c r="Q463">
        <f t="shared" si="981"/>
        <v>-3334819.4287022837</v>
      </c>
      <c r="R463">
        <f t="shared" si="982"/>
        <v>46509653.31299296</v>
      </c>
      <c r="S463">
        <f t="shared" si="983"/>
        <v>465.09653312992958</v>
      </c>
      <c r="T463">
        <f t="shared" si="984"/>
        <v>0.4650965331299296</v>
      </c>
    </row>
    <row r="464" spans="1:20" x14ac:dyDescent="0.25">
      <c r="A464" s="5">
        <v>44129</v>
      </c>
      <c r="B464">
        <v>0.21890000000000001</v>
      </c>
      <c r="C464">
        <v>0.2208</v>
      </c>
      <c r="D464">
        <v>0.2135</v>
      </c>
      <c r="E464">
        <v>0.21510000000000001</v>
      </c>
      <c r="F464">
        <v>6257333</v>
      </c>
      <c r="G464">
        <v>0</v>
      </c>
      <c r="L464" t="s">
        <v>8</v>
      </c>
      <c r="M464" t="s">
        <v>7</v>
      </c>
      <c r="N464" t="s">
        <v>7</v>
      </c>
      <c r="P464">
        <f t="shared" si="980"/>
        <v>-0.5616438356164335</v>
      </c>
      <c r="Q464">
        <f t="shared" si="981"/>
        <v>-3514392.5068492847</v>
      </c>
      <c r="R464">
        <f t="shared" si="982"/>
        <v>49844472.741695248</v>
      </c>
      <c r="S464">
        <f t="shared" si="983"/>
        <v>498.4447274169525</v>
      </c>
      <c r="T464">
        <f t="shared" si="984"/>
        <v>0.4984447274169525</v>
      </c>
    </row>
    <row r="465" spans="1:20" x14ac:dyDescent="0.25">
      <c r="A465" s="5">
        <v>44128</v>
      </c>
      <c r="B465">
        <v>0.2218</v>
      </c>
      <c r="C465">
        <v>0.22220000000000001</v>
      </c>
      <c r="D465">
        <v>0.21709999999999999</v>
      </c>
      <c r="E465">
        <v>0.219</v>
      </c>
      <c r="F465">
        <v>5482859.3499999996</v>
      </c>
      <c r="G465">
        <v>0</v>
      </c>
      <c r="L465" t="s">
        <v>8</v>
      </c>
      <c r="M465" t="s">
        <v>7</v>
      </c>
      <c r="N465" t="s">
        <v>7</v>
      </c>
      <c r="P465">
        <f t="shared" si="980"/>
        <v>-0.25490196078431182</v>
      </c>
      <c r="Q465">
        <f t="shared" si="981"/>
        <v>-1397591.5990195973</v>
      </c>
      <c r="R465">
        <f t="shared" si="982"/>
        <v>53358865.248544529</v>
      </c>
      <c r="S465">
        <f t="shared" si="983"/>
        <v>533.58865248544532</v>
      </c>
      <c r="T465">
        <f t="shared" si="984"/>
        <v>0.53358865248544529</v>
      </c>
    </row>
    <row r="466" spans="1:20" x14ac:dyDescent="0.25">
      <c r="A466" s="5">
        <v>44127</v>
      </c>
      <c r="B466">
        <v>0.22309999999999999</v>
      </c>
      <c r="C466">
        <v>0.22539999999999999</v>
      </c>
      <c r="D466">
        <v>0.21560000000000001</v>
      </c>
      <c r="E466">
        <v>0.22159999999999999</v>
      </c>
      <c r="F466">
        <v>8271020.4299999997</v>
      </c>
      <c r="G466">
        <v>0</v>
      </c>
      <c r="L466" t="s">
        <v>8</v>
      </c>
      <c r="M466" t="s">
        <v>7</v>
      </c>
      <c r="N466" t="s">
        <v>7</v>
      </c>
      <c r="P466">
        <f t="shared" si="980"/>
        <v>0.22448979591836585</v>
      </c>
      <c r="Q466">
        <f t="shared" si="981"/>
        <v>1856759.6883673344</v>
      </c>
      <c r="R466">
        <f t="shared" si="982"/>
        <v>54756456.847564124</v>
      </c>
      <c r="S466">
        <f t="shared" si="983"/>
        <v>547.56456847564118</v>
      </c>
      <c r="T466">
        <f t="shared" si="984"/>
        <v>0.54756456847564117</v>
      </c>
    </row>
    <row r="467" spans="1:20" x14ac:dyDescent="0.25">
      <c r="A467" s="5">
        <v>44126</v>
      </c>
      <c r="B467">
        <v>0.2152</v>
      </c>
      <c r="C467">
        <v>0.22750000000000001</v>
      </c>
      <c r="D467">
        <v>0.21510000000000001</v>
      </c>
      <c r="E467">
        <v>0.22320000000000001</v>
      </c>
      <c r="F467">
        <v>14202241.109999999</v>
      </c>
      <c r="G467">
        <v>0</v>
      </c>
      <c r="L467" t="s">
        <v>8</v>
      </c>
      <c r="M467" t="s">
        <v>7</v>
      </c>
      <c r="N467" t="s">
        <v>7</v>
      </c>
      <c r="P467">
        <f t="shared" si="980"/>
        <v>0.30645161290322576</v>
      </c>
      <c r="Q467">
        <f t="shared" si="981"/>
        <v>4352299.6949999994</v>
      </c>
      <c r="R467">
        <f t="shared" si="982"/>
        <v>52899697.159196787</v>
      </c>
      <c r="S467">
        <f t="shared" si="983"/>
        <v>528.99697159196785</v>
      </c>
      <c r="T467">
        <f t="shared" si="984"/>
        <v>0.5289969715919679</v>
      </c>
    </row>
    <row r="468" spans="1:20" x14ac:dyDescent="0.25">
      <c r="A468" s="5">
        <v>44125</v>
      </c>
      <c r="B468">
        <v>0.20849999999999999</v>
      </c>
      <c r="C468">
        <v>0.21990000000000001</v>
      </c>
      <c r="D468">
        <v>0.2077</v>
      </c>
      <c r="E468">
        <v>0.2152</v>
      </c>
      <c r="F468">
        <v>10776882.789999999</v>
      </c>
      <c r="G468">
        <v>0</v>
      </c>
      <c r="L468" t="s">
        <v>8</v>
      </c>
      <c r="M468" t="s">
        <v>7</v>
      </c>
      <c r="N468" t="s">
        <v>7</v>
      </c>
      <c r="P468">
        <f t="shared" si="980"/>
        <v>0.22950819672131093</v>
      </c>
      <c r="Q468">
        <f t="shared" si="981"/>
        <v>2473382.93540983</v>
      </c>
      <c r="R468">
        <f t="shared" si="982"/>
        <v>48547397.464196786</v>
      </c>
      <c r="S468">
        <f t="shared" si="983"/>
        <v>485.47397464196786</v>
      </c>
      <c r="T468">
        <f t="shared" si="984"/>
        <v>0.48547397464196784</v>
      </c>
    </row>
    <row r="469" spans="1:20" x14ac:dyDescent="0.25">
      <c r="A469" s="5">
        <v>44124</v>
      </c>
      <c r="B469">
        <v>0.2142</v>
      </c>
      <c r="C469">
        <v>0.21490000000000001</v>
      </c>
      <c r="D469">
        <v>0.20119999999999999</v>
      </c>
      <c r="E469">
        <v>0.20830000000000001</v>
      </c>
      <c r="F469">
        <v>12640614.859999999</v>
      </c>
      <c r="G469">
        <v>0</v>
      </c>
      <c r="L469" t="s">
        <v>7</v>
      </c>
      <c r="M469" t="s">
        <v>7</v>
      </c>
      <c r="N469" t="s">
        <v>7</v>
      </c>
      <c r="P469">
        <f t="shared" si="980"/>
        <v>3.6496350364965513E-2</v>
      </c>
      <c r="Q469">
        <f t="shared" si="981"/>
        <v>461336.30875914945</v>
      </c>
      <c r="R469">
        <f t="shared" si="982"/>
        <v>46074014.528786957</v>
      </c>
      <c r="S469">
        <f t="shared" si="983"/>
        <v>460.74014528786955</v>
      </c>
      <c r="T469">
        <f t="shared" si="984"/>
        <v>0.46074014528786955</v>
      </c>
    </row>
    <row r="470" spans="1:20" x14ac:dyDescent="0.25">
      <c r="A470" s="5">
        <v>44123</v>
      </c>
      <c r="B470">
        <v>0.214</v>
      </c>
      <c r="C470">
        <v>0.21690000000000001</v>
      </c>
      <c r="D470">
        <v>0.20949999999999999</v>
      </c>
      <c r="E470">
        <v>0.21410000000000001</v>
      </c>
      <c r="F470">
        <v>6490515.8600000003</v>
      </c>
      <c r="G470">
        <v>0</v>
      </c>
      <c r="L470" t="s">
        <v>8</v>
      </c>
      <c r="M470" t="s">
        <v>7</v>
      </c>
      <c r="N470" t="s">
        <v>7</v>
      </c>
      <c r="P470">
        <f t="shared" si="980"/>
        <v>0.24324324324324587</v>
      </c>
      <c r="Q470">
        <f t="shared" si="981"/>
        <v>1578774.1281081252</v>
      </c>
      <c r="R470">
        <f t="shared" si="982"/>
        <v>45612678.220027804</v>
      </c>
      <c r="S470">
        <f t="shared" si="983"/>
        <v>456.12678220027806</v>
      </c>
      <c r="T470">
        <f t="shared" si="984"/>
        <v>0.45612678220027808</v>
      </c>
    </row>
    <row r="471" spans="1:20" x14ac:dyDescent="0.25">
      <c r="A471" s="5">
        <v>44122</v>
      </c>
      <c r="B471">
        <v>0.21440000000000001</v>
      </c>
      <c r="C471">
        <v>0.21829999999999999</v>
      </c>
      <c r="D471">
        <v>0.21329999999999999</v>
      </c>
      <c r="E471">
        <v>0.214</v>
      </c>
      <c r="F471">
        <v>4298250.8899999997</v>
      </c>
      <c r="G471">
        <v>0</v>
      </c>
      <c r="L471" t="s">
        <v>8</v>
      </c>
      <c r="M471" t="s">
        <v>7</v>
      </c>
      <c r="N471" t="s">
        <v>7</v>
      </c>
      <c r="P471">
        <f t="shared" si="980"/>
        <v>-0.71999999999999775</v>
      </c>
      <c r="Q471">
        <f t="shared" si="981"/>
        <v>-3094740.6407999899</v>
      </c>
      <c r="R471">
        <f t="shared" si="982"/>
        <v>44033904.091919675</v>
      </c>
      <c r="S471">
        <f t="shared" si="983"/>
        <v>440.33904091919675</v>
      </c>
      <c r="T471">
        <f t="shared" si="984"/>
        <v>0.44033904091919673</v>
      </c>
    </row>
    <row r="472" spans="1:20" x14ac:dyDescent="0.25">
      <c r="A472" s="5">
        <v>44121</v>
      </c>
      <c r="B472">
        <v>0.20710000000000001</v>
      </c>
      <c r="C472">
        <v>0.21640000000000001</v>
      </c>
      <c r="D472">
        <v>0.20499999999999999</v>
      </c>
      <c r="E472">
        <v>0.2145</v>
      </c>
      <c r="F472">
        <v>8585644.0800000001</v>
      </c>
      <c r="G472">
        <v>0</v>
      </c>
      <c r="L472" t="s">
        <v>7</v>
      </c>
      <c r="M472" t="s">
        <v>7</v>
      </c>
      <c r="N472" t="s">
        <v>7</v>
      </c>
      <c r="P472">
        <f t="shared" si="980"/>
        <v>0.66666666666666508</v>
      </c>
      <c r="Q472">
        <f t="shared" si="981"/>
        <v>5723762.7199999867</v>
      </c>
      <c r="R472">
        <f t="shared" si="982"/>
        <v>47128644.732719667</v>
      </c>
      <c r="S472">
        <f t="shared" si="983"/>
        <v>471.2864473271967</v>
      </c>
      <c r="T472">
        <f t="shared" si="984"/>
        <v>0.47128644732719671</v>
      </c>
    </row>
    <row r="473" spans="1:20" x14ac:dyDescent="0.25">
      <c r="A473" s="5">
        <v>44120</v>
      </c>
      <c r="B473">
        <v>0.21329999999999999</v>
      </c>
      <c r="C473">
        <v>0.21379999999999999</v>
      </c>
      <c r="D473">
        <v>0.20399999999999999</v>
      </c>
      <c r="E473">
        <v>0.20699999999999999</v>
      </c>
      <c r="F473">
        <v>7318792.5700000003</v>
      </c>
      <c r="G473">
        <v>0</v>
      </c>
      <c r="L473" t="s">
        <v>7</v>
      </c>
      <c r="M473" t="s">
        <v>7</v>
      </c>
      <c r="N473" t="s">
        <v>7</v>
      </c>
      <c r="P473">
        <f t="shared" si="980"/>
        <v>-0.38775510204081598</v>
      </c>
      <c r="Q473">
        <f t="shared" si="981"/>
        <v>-2837899.1597959162</v>
      </c>
      <c r="R473">
        <f t="shared" si="982"/>
        <v>41404882.012719683</v>
      </c>
      <c r="S473">
        <f t="shared" si="983"/>
        <v>414.04882012719685</v>
      </c>
      <c r="T473">
        <f t="shared" si="984"/>
        <v>0.41404882012719685</v>
      </c>
    </row>
    <row r="474" spans="1:20" x14ac:dyDescent="0.25">
      <c r="A474" s="5">
        <v>44119</v>
      </c>
      <c r="B474">
        <v>0.21479999999999999</v>
      </c>
      <c r="C474">
        <v>0.2152</v>
      </c>
      <c r="D474">
        <v>0.20910000000000001</v>
      </c>
      <c r="E474">
        <v>0.2132</v>
      </c>
      <c r="F474">
        <v>5876542.6100000003</v>
      </c>
      <c r="G474">
        <v>0</v>
      </c>
      <c r="L474" t="s">
        <v>7</v>
      </c>
      <c r="M474" t="s">
        <v>7</v>
      </c>
      <c r="N474" t="s">
        <v>7</v>
      </c>
      <c r="P474">
        <f t="shared" si="980"/>
        <v>0.34426229508196604</v>
      </c>
      <c r="Q474">
        <f t="shared" si="981"/>
        <v>2023072.0460655671</v>
      </c>
      <c r="R474">
        <f t="shared" si="982"/>
        <v>44242781.172515601</v>
      </c>
      <c r="S474">
        <f t="shared" si="983"/>
        <v>442.427811725156</v>
      </c>
      <c r="T474">
        <f t="shared" si="984"/>
        <v>0.44242781172515599</v>
      </c>
    </row>
    <row r="475" spans="1:20" x14ac:dyDescent="0.25">
      <c r="A475" s="5">
        <v>44118</v>
      </c>
      <c r="B475">
        <v>0.21709999999999999</v>
      </c>
      <c r="C475">
        <v>0.2195</v>
      </c>
      <c r="D475">
        <v>0.21110000000000001</v>
      </c>
      <c r="E475">
        <v>0.2147</v>
      </c>
      <c r="F475">
        <v>5976781.6600000001</v>
      </c>
      <c r="G475">
        <v>0</v>
      </c>
      <c r="L475" t="s">
        <v>7</v>
      </c>
      <c r="M475" t="s">
        <v>7</v>
      </c>
      <c r="N475" t="s">
        <v>7</v>
      </c>
      <c r="P475">
        <f t="shared" si="980"/>
        <v>-0.14285714285714379</v>
      </c>
      <c r="Q475">
        <f t="shared" si="981"/>
        <v>-853825.95142857707</v>
      </c>
      <c r="R475">
        <f t="shared" si="982"/>
        <v>42219709.126450032</v>
      </c>
      <c r="S475">
        <f t="shared" si="983"/>
        <v>422.19709126450033</v>
      </c>
      <c r="T475">
        <f t="shared" si="984"/>
        <v>0.42219709126450033</v>
      </c>
    </row>
    <row r="476" spans="1:20" x14ac:dyDescent="0.25">
      <c r="A476" s="5">
        <v>44117</v>
      </c>
      <c r="B476">
        <v>0.22009999999999999</v>
      </c>
      <c r="C476">
        <v>0.223</v>
      </c>
      <c r="D476">
        <v>0.214</v>
      </c>
      <c r="E476">
        <v>0.21709999999999999</v>
      </c>
      <c r="F476">
        <v>7797854.0199999996</v>
      </c>
      <c r="G476">
        <v>0</v>
      </c>
      <c r="L476" t="s">
        <v>8</v>
      </c>
      <c r="M476" t="s">
        <v>7</v>
      </c>
      <c r="N476" t="s">
        <v>7</v>
      </c>
      <c r="P476">
        <f t="shared" si="980"/>
        <v>-0.31111111111111356</v>
      </c>
      <c r="Q476">
        <f t="shared" si="981"/>
        <v>-2425999.0284444634</v>
      </c>
      <c r="R476">
        <f t="shared" si="982"/>
        <v>43073535.077878609</v>
      </c>
      <c r="S476">
        <f t="shared" si="983"/>
        <v>430.73535077878608</v>
      </c>
      <c r="T476">
        <f t="shared" si="984"/>
        <v>0.43073535077878611</v>
      </c>
    </row>
    <row r="477" spans="1:20" x14ac:dyDescent="0.25">
      <c r="A477" s="5">
        <v>44116</v>
      </c>
      <c r="B477">
        <v>0.22170000000000001</v>
      </c>
      <c r="C477">
        <v>0.22500000000000001</v>
      </c>
      <c r="D477">
        <v>0.21360000000000001</v>
      </c>
      <c r="E477">
        <v>0.2203</v>
      </c>
      <c r="F477">
        <v>13335114.59</v>
      </c>
      <c r="G477">
        <v>0</v>
      </c>
      <c r="L477" t="s">
        <v>8</v>
      </c>
      <c r="M477" t="s">
        <v>7</v>
      </c>
      <c r="N477" t="s">
        <v>7</v>
      </c>
      <c r="P477">
        <f t="shared" si="980"/>
        <v>0.1754385964912259</v>
      </c>
      <c r="Q477">
        <f t="shared" si="981"/>
        <v>2339493.7877192693</v>
      </c>
      <c r="R477">
        <f t="shared" si="982"/>
        <v>45499534.106323071</v>
      </c>
      <c r="S477">
        <f t="shared" si="983"/>
        <v>454.99534106323068</v>
      </c>
      <c r="T477">
        <f t="shared" si="984"/>
        <v>0.4549953410632307</v>
      </c>
    </row>
    <row r="478" spans="1:20" x14ac:dyDescent="0.25">
      <c r="A478" s="5">
        <v>44115</v>
      </c>
      <c r="B478">
        <v>0.22</v>
      </c>
      <c r="C478">
        <v>0.2233</v>
      </c>
      <c r="D478">
        <v>0.21560000000000001</v>
      </c>
      <c r="E478">
        <v>0.22159999999999999</v>
      </c>
      <c r="F478">
        <v>11167992.359999999</v>
      </c>
      <c r="G478">
        <v>0</v>
      </c>
      <c r="L478" t="s">
        <v>8</v>
      </c>
      <c r="M478" t="s">
        <v>7</v>
      </c>
      <c r="N478" t="s">
        <v>7</v>
      </c>
      <c r="P478">
        <f t="shared" si="980"/>
        <v>0.55844155844155574</v>
      </c>
      <c r="Q478">
        <f t="shared" si="981"/>
        <v>6236671.0581817878</v>
      </c>
      <c r="R478">
        <f t="shared" si="982"/>
        <v>43160040.318603799</v>
      </c>
      <c r="S478">
        <f t="shared" si="983"/>
        <v>431.60040318603797</v>
      </c>
      <c r="T478">
        <f t="shared" si="984"/>
        <v>0.43160040318603798</v>
      </c>
    </row>
    <row r="479" spans="1:20" x14ac:dyDescent="0.25">
      <c r="A479" s="5">
        <v>44114</v>
      </c>
      <c r="B479">
        <v>0.2218</v>
      </c>
      <c r="C479">
        <v>0.22850000000000001</v>
      </c>
      <c r="D479">
        <v>0.21929999999999999</v>
      </c>
      <c r="E479">
        <v>0.2203</v>
      </c>
      <c r="F479">
        <v>9029833.8599999994</v>
      </c>
      <c r="G479">
        <v>0</v>
      </c>
      <c r="L479" t="s">
        <v>8</v>
      </c>
      <c r="M479" t="s">
        <v>7</v>
      </c>
      <c r="N479" t="s">
        <v>7</v>
      </c>
      <c r="P479">
        <f t="shared" si="980"/>
        <v>-0.78260869565217406</v>
      </c>
      <c r="Q479">
        <f t="shared" si="981"/>
        <v>-7066826.4991304353</v>
      </c>
      <c r="R479">
        <f t="shared" si="982"/>
        <v>36923369.260422014</v>
      </c>
      <c r="S479">
        <f t="shared" si="983"/>
        <v>369.23369260422015</v>
      </c>
      <c r="T479">
        <f t="shared" si="984"/>
        <v>0.36923369260422018</v>
      </c>
    </row>
    <row r="480" spans="1:20" x14ac:dyDescent="0.25">
      <c r="A480" s="5">
        <v>44113</v>
      </c>
      <c r="B480">
        <v>0.21790000000000001</v>
      </c>
      <c r="C480">
        <v>0.22539999999999999</v>
      </c>
      <c r="D480">
        <v>0.21390000000000001</v>
      </c>
      <c r="E480">
        <v>0.22209999999999999</v>
      </c>
      <c r="F480">
        <v>8171956.6799999997</v>
      </c>
      <c r="G480">
        <v>0</v>
      </c>
      <c r="L480" t="s">
        <v>8</v>
      </c>
      <c r="M480" t="s">
        <v>7</v>
      </c>
      <c r="N480" t="s">
        <v>7</v>
      </c>
      <c r="P480">
        <f t="shared" si="980"/>
        <v>0.42608695652173872</v>
      </c>
      <c r="Q480">
        <f t="shared" si="981"/>
        <v>3481964.1506086923</v>
      </c>
      <c r="R480">
        <f t="shared" si="982"/>
        <v>43990195.759552449</v>
      </c>
      <c r="S480">
        <f t="shared" si="983"/>
        <v>439.90195759552449</v>
      </c>
      <c r="T480">
        <f t="shared" si="984"/>
        <v>0.43990195759552447</v>
      </c>
    </row>
    <row r="481" spans="1:20" x14ac:dyDescent="0.25">
      <c r="A481" s="5">
        <v>44112</v>
      </c>
      <c r="B481">
        <v>0.21460000000000001</v>
      </c>
      <c r="C481">
        <v>0.2195</v>
      </c>
      <c r="D481">
        <v>0.2051</v>
      </c>
      <c r="E481">
        <v>0.21740000000000001</v>
      </c>
      <c r="F481">
        <v>7646447.71</v>
      </c>
      <c r="G481">
        <v>0</v>
      </c>
      <c r="L481" t="s">
        <v>7</v>
      </c>
      <c r="M481" t="s">
        <v>7</v>
      </c>
      <c r="N481" t="s">
        <v>7</v>
      </c>
      <c r="P481">
        <f t="shared" si="980"/>
        <v>0.70833333333333459</v>
      </c>
      <c r="Q481">
        <f t="shared" si="981"/>
        <v>5416233.794583343</v>
      </c>
      <c r="R481">
        <f t="shared" si="982"/>
        <v>40508231.608943753</v>
      </c>
      <c r="S481">
        <f t="shared" si="983"/>
        <v>405.08231608943754</v>
      </c>
      <c r="T481">
        <f t="shared" si="984"/>
        <v>0.40508231608943757</v>
      </c>
    </row>
    <row r="482" spans="1:20" x14ac:dyDescent="0.25">
      <c r="A482" s="5">
        <v>44111</v>
      </c>
      <c r="B482">
        <v>0.2109</v>
      </c>
      <c r="C482">
        <v>0.21540000000000001</v>
      </c>
      <c r="D482">
        <v>0.20530000000000001</v>
      </c>
      <c r="E482">
        <v>0.21460000000000001</v>
      </c>
      <c r="F482">
        <v>6976997.6100000003</v>
      </c>
      <c r="G482">
        <v>0</v>
      </c>
      <c r="L482" t="s">
        <v>7</v>
      </c>
      <c r="M482" t="s">
        <v>7</v>
      </c>
      <c r="N482" t="s">
        <v>7</v>
      </c>
      <c r="P482">
        <f t="shared" si="980"/>
        <v>0.84158415841584255</v>
      </c>
      <c r="Q482">
        <f t="shared" si="981"/>
        <v>5871730.6618811954</v>
      </c>
      <c r="R482">
        <f t="shared" si="982"/>
        <v>35091997.81436041</v>
      </c>
      <c r="S482">
        <f t="shared" si="983"/>
        <v>350.91997814360411</v>
      </c>
      <c r="T482">
        <f t="shared" si="984"/>
        <v>0.35091997814360409</v>
      </c>
    </row>
    <row r="483" spans="1:20" x14ac:dyDescent="0.25">
      <c r="A483" s="5">
        <v>44110</v>
      </c>
      <c r="B483">
        <v>0.2218</v>
      </c>
      <c r="C483">
        <v>0.22209999999999999</v>
      </c>
      <c r="D483">
        <v>0.2064</v>
      </c>
      <c r="E483">
        <v>0.2107</v>
      </c>
      <c r="F483">
        <v>9474894.0500000007</v>
      </c>
      <c r="G483">
        <v>0</v>
      </c>
      <c r="L483" t="s">
        <v>7</v>
      </c>
      <c r="M483" t="s">
        <v>7</v>
      </c>
      <c r="N483" t="s">
        <v>7</v>
      </c>
      <c r="P483">
        <f t="shared" si="980"/>
        <v>-0.45222929936305728</v>
      </c>
      <c r="Q483">
        <f t="shared" si="981"/>
        <v>-4284824.6977707008</v>
      </c>
      <c r="R483">
        <f t="shared" si="982"/>
        <v>29220267.152479213</v>
      </c>
      <c r="S483">
        <f t="shared" si="983"/>
        <v>292.20267152479215</v>
      </c>
      <c r="T483">
        <f t="shared" si="984"/>
        <v>0.29220267152479218</v>
      </c>
    </row>
    <row r="484" spans="1:20" x14ac:dyDescent="0.25">
      <c r="A484" s="5">
        <v>44109</v>
      </c>
      <c r="B484">
        <v>0.2233</v>
      </c>
      <c r="C484">
        <v>0.22650000000000001</v>
      </c>
      <c r="D484">
        <v>0.21709999999999999</v>
      </c>
      <c r="E484">
        <v>0.2215</v>
      </c>
      <c r="F484">
        <v>6707232.2199999997</v>
      </c>
      <c r="G484">
        <v>0</v>
      </c>
      <c r="L484" t="s">
        <v>8</v>
      </c>
      <c r="M484" t="s">
        <v>8</v>
      </c>
      <c r="N484" t="s">
        <v>7</v>
      </c>
      <c r="P484">
        <f t="shared" si="980"/>
        <v>-6.3829787234041299E-2</v>
      </c>
      <c r="Q484">
        <f t="shared" si="981"/>
        <v>-428121.20553190645</v>
      </c>
      <c r="R484">
        <f t="shared" si="982"/>
        <v>33505091.850249913</v>
      </c>
      <c r="S484">
        <f t="shared" si="983"/>
        <v>335.05091850249914</v>
      </c>
      <c r="T484">
        <f t="shared" si="984"/>
        <v>0.33505091850249913</v>
      </c>
    </row>
    <row r="485" spans="1:20" x14ac:dyDescent="0.25">
      <c r="A485" s="5">
        <v>44108</v>
      </c>
      <c r="B485">
        <v>0.2203</v>
      </c>
      <c r="C485">
        <v>0.22450000000000001</v>
      </c>
      <c r="D485">
        <v>0.21629999999999999</v>
      </c>
      <c r="E485">
        <v>0.2235</v>
      </c>
      <c r="F485">
        <v>4556051.05</v>
      </c>
      <c r="G485">
        <v>0</v>
      </c>
      <c r="L485" t="s">
        <v>7</v>
      </c>
      <c r="M485" t="s">
        <v>8</v>
      </c>
      <c r="N485" t="s">
        <v>7</v>
      </c>
      <c r="P485">
        <f t="shared" si="980"/>
        <v>0.75609756097560987</v>
      </c>
      <c r="Q485">
        <f t="shared" si="981"/>
        <v>3444819.0865853662</v>
      </c>
      <c r="R485">
        <f t="shared" si="982"/>
        <v>33933213.055781819</v>
      </c>
      <c r="S485">
        <f t="shared" si="983"/>
        <v>339.33213055781818</v>
      </c>
      <c r="T485">
        <f t="shared" si="984"/>
        <v>0.33933213055781819</v>
      </c>
    </row>
    <row r="486" spans="1:20" x14ac:dyDescent="0.25">
      <c r="A486" s="5">
        <v>44107</v>
      </c>
      <c r="B486">
        <v>0.224</v>
      </c>
      <c r="C486">
        <v>0.22520000000000001</v>
      </c>
      <c r="D486">
        <v>0.22</v>
      </c>
      <c r="E486">
        <v>0.22040000000000001</v>
      </c>
      <c r="F486">
        <v>4392556.18</v>
      </c>
      <c r="G486">
        <v>0</v>
      </c>
      <c r="L486" t="s">
        <v>7</v>
      </c>
      <c r="M486" t="s">
        <v>8</v>
      </c>
      <c r="N486" t="s">
        <v>7</v>
      </c>
      <c r="P486">
        <f t="shared" si="980"/>
        <v>-0.84615384615384204</v>
      </c>
      <c r="Q486">
        <f t="shared" si="981"/>
        <v>-3716778.3061538278</v>
      </c>
      <c r="R486">
        <f t="shared" si="982"/>
        <v>30488393.969196454</v>
      </c>
      <c r="S486">
        <f t="shared" si="983"/>
        <v>304.88393969196454</v>
      </c>
      <c r="T486">
        <f t="shared" si="984"/>
        <v>0.30488393969196453</v>
      </c>
    </row>
    <row r="487" spans="1:20" x14ac:dyDescent="0.25">
      <c r="A487" s="5">
        <v>44106</v>
      </c>
      <c r="B487">
        <v>0.23019999999999999</v>
      </c>
      <c r="C487">
        <v>0.23319999999999999</v>
      </c>
      <c r="D487">
        <v>0.21129999999999999</v>
      </c>
      <c r="E487">
        <v>0.22389999999999999</v>
      </c>
      <c r="F487">
        <v>12547069.199999999</v>
      </c>
      <c r="G487">
        <v>0</v>
      </c>
      <c r="L487" t="s">
        <v>7</v>
      </c>
      <c r="M487" t="s">
        <v>8</v>
      </c>
      <c r="N487" t="s">
        <v>7</v>
      </c>
      <c r="P487">
        <f t="shared" si="980"/>
        <v>0.15068493150684917</v>
      </c>
      <c r="Q487">
        <f t="shared" si="981"/>
        <v>1890654.2630136968</v>
      </c>
      <c r="R487">
        <f t="shared" si="982"/>
        <v>34205172.27535028</v>
      </c>
      <c r="S487">
        <f t="shared" si="983"/>
        <v>342.05172275350282</v>
      </c>
      <c r="T487">
        <f t="shared" si="984"/>
        <v>0.34205172275350282</v>
      </c>
    </row>
    <row r="488" spans="1:20" x14ac:dyDescent="0.25">
      <c r="A488" s="5">
        <v>44105</v>
      </c>
      <c r="B488">
        <v>0.23960000000000001</v>
      </c>
      <c r="C488">
        <v>0.2477</v>
      </c>
      <c r="D488">
        <v>0.224</v>
      </c>
      <c r="E488">
        <v>0.2303</v>
      </c>
      <c r="F488">
        <v>12168409.890000001</v>
      </c>
      <c r="G488">
        <v>0</v>
      </c>
      <c r="L488" t="s">
        <v>8</v>
      </c>
      <c r="M488" t="s">
        <v>8</v>
      </c>
      <c r="N488" t="s">
        <v>7</v>
      </c>
      <c r="P488">
        <f t="shared" si="980"/>
        <v>-0.46835443037974683</v>
      </c>
      <c r="Q488">
        <f t="shared" si="981"/>
        <v>-5699128.6826582281</v>
      </c>
      <c r="R488">
        <f t="shared" si="982"/>
        <v>32314518.012336586</v>
      </c>
      <c r="S488">
        <f t="shared" si="983"/>
        <v>323.14518012336583</v>
      </c>
      <c r="T488">
        <f t="shared" si="984"/>
        <v>0.32314518012336585</v>
      </c>
    </row>
    <row r="489" spans="1:20" x14ac:dyDescent="0.25">
      <c r="A489" s="5">
        <v>44104</v>
      </c>
      <c r="B489">
        <v>0.23760000000000001</v>
      </c>
      <c r="C489">
        <v>0.24310000000000001</v>
      </c>
      <c r="D489">
        <v>0.23369999999999999</v>
      </c>
      <c r="E489">
        <v>0.2394</v>
      </c>
      <c r="F489">
        <v>11163284.859999999</v>
      </c>
      <c r="G489">
        <v>0</v>
      </c>
      <c r="L489" t="s">
        <v>8</v>
      </c>
      <c r="M489" t="s">
        <v>8</v>
      </c>
      <c r="N489" t="s">
        <v>7</v>
      </c>
      <c r="P489">
        <f t="shared" si="980"/>
        <v>0.21276595744680826</v>
      </c>
      <c r="Q489">
        <f t="shared" si="981"/>
        <v>2375166.9914893587</v>
      </c>
      <c r="R489">
        <f t="shared" si="982"/>
        <v>38013646.694994815</v>
      </c>
      <c r="S489">
        <f t="shared" si="983"/>
        <v>380.13646694994816</v>
      </c>
      <c r="T489">
        <f t="shared" si="984"/>
        <v>0.38013646694994818</v>
      </c>
    </row>
    <row r="490" spans="1:20" x14ac:dyDescent="0.25">
      <c r="A490" s="5">
        <v>44103</v>
      </c>
      <c r="B490">
        <v>0.2341</v>
      </c>
      <c r="C490">
        <v>0.23830000000000001</v>
      </c>
      <c r="D490">
        <v>0.2281</v>
      </c>
      <c r="E490">
        <v>0.23760000000000001</v>
      </c>
      <c r="F490">
        <v>10049300.390000001</v>
      </c>
      <c r="G490">
        <v>0</v>
      </c>
      <c r="L490" t="s">
        <v>8</v>
      </c>
      <c r="M490" t="s">
        <v>8</v>
      </c>
      <c r="N490" t="s">
        <v>7</v>
      </c>
      <c r="P490">
        <f t="shared" si="980"/>
        <v>0.86274509803921462</v>
      </c>
      <c r="Q490">
        <f t="shared" si="981"/>
        <v>8669984.650196068</v>
      </c>
      <c r="R490">
        <f t="shared" si="982"/>
        <v>35638479.703505456</v>
      </c>
      <c r="S490">
        <f t="shared" si="983"/>
        <v>356.38479703505459</v>
      </c>
      <c r="T490">
        <f t="shared" si="984"/>
        <v>0.3563847970350546</v>
      </c>
    </row>
    <row r="491" spans="1:20" x14ac:dyDescent="0.25">
      <c r="A491" s="5">
        <v>44102</v>
      </c>
      <c r="B491">
        <v>0.2296</v>
      </c>
      <c r="C491">
        <v>0.24310000000000001</v>
      </c>
      <c r="D491">
        <v>0.22919999999999999</v>
      </c>
      <c r="E491">
        <v>0.2341</v>
      </c>
      <c r="F491">
        <v>12486739.359999999</v>
      </c>
      <c r="G491">
        <v>0</v>
      </c>
      <c r="L491" t="s">
        <v>8</v>
      </c>
      <c r="M491" t="s">
        <v>8</v>
      </c>
      <c r="N491" t="s">
        <v>7</v>
      </c>
      <c r="P491">
        <f t="shared" si="980"/>
        <v>-0.29496402877697736</v>
      </c>
      <c r="Q491">
        <f t="shared" si="981"/>
        <v>-3683138.9479136555</v>
      </c>
      <c r="R491">
        <f t="shared" si="982"/>
        <v>26968495.053309385</v>
      </c>
      <c r="S491">
        <f t="shared" si="983"/>
        <v>269.68495053309385</v>
      </c>
      <c r="T491">
        <f t="shared" si="984"/>
        <v>0.26968495053309388</v>
      </c>
    </row>
    <row r="492" spans="1:20" x14ac:dyDescent="0.25">
      <c r="A492" s="5">
        <v>44101</v>
      </c>
      <c r="B492">
        <v>0.2326</v>
      </c>
      <c r="C492">
        <v>0.2364</v>
      </c>
      <c r="D492">
        <v>0.2213</v>
      </c>
      <c r="E492">
        <v>0.22939999999999999</v>
      </c>
      <c r="F492">
        <v>6171196.8600000003</v>
      </c>
      <c r="G492">
        <v>0</v>
      </c>
      <c r="L492" t="s">
        <v>7</v>
      </c>
      <c r="M492" t="s">
        <v>7</v>
      </c>
      <c r="N492" t="s">
        <v>7</v>
      </c>
      <c r="P492">
        <f t="shared" si="980"/>
        <v>7.2847682119204615E-2</v>
      </c>
      <c r="Q492">
        <f t="shared" si="981"/>
        <v>449557.38715231372</v>
      </c>
      <c r="R492">
        <f t="shared" si="982"/>
        <v>30651634.001223039</v>
      </c>
      <c r="S492">
        <f t="shared" si="983"/>
        <v>306.51634001223039</v>
      </c>
      <c r="T492">
        <f t="shared" si="984"/>
        <v>0.30651634001223038</v>
      </c>
    </row>
    <row r="493" spans="1:20" x14ac:dyDescent="0.25">
      <c r="A493" s="5">
        <v>44100</v>
      </c>
      <c r="B493">
        <v>0.23269999999999999</v>
      </c>
      <c r="C493">
        <v>0.23760000000000001</v>
      </c>
      <c r="D493">
        <v>0.22919999999999999</v>
      </c>
      <c r="E493">
        <v>0.23280000000000001</v>
      </c>
      <c r="F493">
        <v>6543943.7699999996</v>
      </c>
      <c r="G493">
        <v>0</v>
      </c>
      <c r="L493" t="s">
        <v>8</v>
      </c>
      <c r="M493" t="s">
        <v>7</v>
      </c>
      <c r="N493" t="s">
        <v>7</v>
      </c>
      <c r="P493">
        <f t="shared" si="980"/>
        <v>-0.14285714285714002</v>
      </c>
      <c r="Q493">
        <f t="shared" si="981"/>
        <v>-934849.10999998136</v>
      </c>
      <c r="R493">
        <f t="shared" si="982"/>
        <v>30202076.614070725</v>
      </c>
      <c r="S493">
        <f t="shared" si="983"/>
        <v>302.02076614070722</v>
      </c>
      <c r="T493">
        <f t="shared" si="984"/>
        <v>0.30202076614070722</v>
      </c>
    </row>
    <row r="494" spans="1:20" x14ac:dyDescent="0.25">
      <c r="A494" s="5">
        <v>44099</v>
      </c>
      <c r="B494">
        <v>0.22589999999999999</v>
      </c>
      <c r="C494">
        <v>0.2356</v>
      </c>
      <c r="D494">
        <v>0.21909999999999999</v>
      </c>
      <c r="E494">
        <v>0.23230000000000001</v>
      </c>
      <c r="F494">
        <v>10677126.6</v>
      </c>
      <c r="G494">
        <v>0</v>
      </c>
      <c r="L494" t="s">
        <v>8</v>
      </c>
      <c r="M494" t="s">
        <v>7</v>
      </c>
      <c r="N494" t="s">
        <v>7</v>
      </c>
      <c r="P494">
        <f t="shared" si="980"/>
        <v>0.60000000000000064</v>
      </c>
      <c r="Q494">
        <f t="shared" si="981"/>
        <v>6406275.9600000065</v>
      </c>
      <c r="R494">
        <f t="shared" si="982"/>
        <v>31136925.724070705</v>
      </c>
      <c r="S494">
        <f t="shared" si="983"/>
        <v>311.36925724070704</v>
      </c>
      <c r="T494">
        <f t="shared" si="984"/>
        <v>0.31136925724070702</v>
      </c>
    </row>
    <row r="495" spans="1:20" x14ac:dyDescent="0.25">
      <c r="A495" s="5">
        <v>44098</v>
      </c>
      <c r="B495">
        <v>0.21310000000000001</v>
      </c>
      <c r="C495">
        <v>0.22850000000000001</v>
      </c>
      <c r="D495">
        <v>0.2107</v>
      </c>
      <c r="E495">
        <v>0.22589999999999999</v>
      </c>
      <c r="F495">
        <v>11679694.710000001</v>
      </c>
      <c r="G495">
        <v>0</v>
      </c>
      <c r="L495" t="s">
        <v>7</v>
      </c>
      <c r="M495" t="s">
        <v>7</v>
      </c>
      <c r="N495" t="s">
        <v>7</v>
      </c>
      <c r="P495">
        <f t="shared" si="980"/>
        <v>0.70786516853932391</v>
      </c>
      <c r="Q495">
        <f t="shared" si="981"/>
        <v>8267649.0643820008</v>
      </c>
      <c r="R495">
        <f t="shared" si="982"/>
        <v>24730649.764070701</v>
      </c>
      <c r="S495">
        <f t="shared" si="983"/>
        <v>247.30649764070702</v>
      </c>
      <c r="T495">
        <f t="shared" si="984"/>
        <v>0.24730649764070703</v>
      </c>
    </row>
    <row r="496" spans="1:20" x14ac:dyDescent="0.25">
      <c r="A496" s="5">
        <v>44097</v>
      </c>
      <c r="B496">
        <v>0.22869999999999999</v>
      </c>
      <c r="C496">
        <v>0.2324</v>
      </c>
      <c r="D496">
        <v>0.21129999999999999</v>
      </c>
      <c r="E496">
        <v>0.21299999999999999</v>
      </c>
      <c r="F496">
        <v>14414440.189999999</v>
      </c>
      <c r="G496">
        <v>0</v>
      </c>
      <c r="L496" t="s">
        <v>8</v>
      </c>
      <c r="M496" t="s">
        <v>7</v>
      </c>
      <c r="N496" t="s">
        <v>7</v>
      </c>
      <c r="P496">
        <f t="shared" si="980"/>
        <v>-0.8388625592417055</v>
      </c>
      <c r="Q496">
        <f t="shared" si="981"/>
        <v>-12091734.187819894</v>
      </c>
      <c r="R496">
        <f t="shared" si="982"/>
        <v>16463000.699688699</v>
      </c>
      <c r="S496">
        <f t="shared" si="983"/>
        <v>164.630006996887</v>
      </c>
      <c r="T496">
        <f t="shared" si="984"/>
        <v>0.16463000699688701</v>
      </c>
    </row>
    <row r="497" spans="1:20" x14ac:dyDescent="0.25">
      <c r="A497" s="5">
        <v>44096</v>
      </c>
      <c r="B497">
        <v>0.2132</v>
      </c>
      <c r="C497">
        <v>0.22919999999999999</v>
      </c>
      <c r="D497">
        <v>0.2112</v>
      </c>
      <c r="E497">
        <v>0.22869999999999999</v>
      </c>
      <c r="F497">
        <v>12070884.77</v>
      </c>
      <c r="G497">
        <v>0</v>
      </c>
      <c r="L497" t="s">
        <v>8</v>
      </c>
      <c r="M497" t="s">
        <v>7</v>
      </c>
      <c r="N497" t="s">
        <v>7</v>
      </c>
      <c r="P497">
        <f t="shared" si="980"/>
        <v>0.94444444444444431</v>
      </c>
      <c r="Q497">
        <f t="shared" si="981"/>
        <v>11400280.060555553</v>
      </c>
      <c r="R497">
        <f t="shared" si="982"/>
        <v>28554734.887508593</v>
      </c>
      <c r="S497">
        <f t="shared" si="983"/>
        <v>285.54734887508596</v>
      </c>
      <c r="T497">
        <f t="shared" si="984"/>
        <v>0.28554734887508598</v>
      </c>
    </row>
    <row r="498" spans="1:20" x14ac:dyDescent="0.25">
      <c r="A498" s="5">
        <v>44095</v>
      </c>
      <c r="B498">
        <v>0.23760000000000001</v>
      </c>
      <c r="C498">
        <v>0.24349999999999999</v>
      </c>
      <c r="D498">
        <v>0.20610000000000001</v>
      </c>
      <c r="E498">
        <v>0.21310000000000001</v>
      </c>
      <c r="F498">
        <v>23617072.07</v>
      </c>
      <c r="G498">
        <v>0</v>
      </c>
      <c r="L498" t="s">
        <v>7</v>
      </c>
      <c r="M498" t="s">
        <v>7</v>
      </c>
      <c r="N498" t="s">
        <v>7</v>
      </c>
      <c r="P498">
        <f t="shared" si="980"/>
        <v>-0.62566844919786047</v>
      </c>
      <c r="Q498">
        <f t="shared" si="981"/>
        <v>-14776456.856631005</v>
      </c>
      <c r="R498">
        <f t="shared" si="982"/>
        <v>17154454.826953039</v>
      </c>
      <c r="S498">
        <f t="shared" si="983"/>
        <v>171.5445482695304</v>
      </c>
      <c r="T498">
        <f t="shared" si="984"/>
        <v>0.17154454826953039</v>
      </c>
    </row>
    <row r="499" spans="1:20" x14ac:dyDescent="0.25">
      <c r="A499" s="5">
        <v>44094</v>
      </c>
      <c r="B499">
        <v>0.2427</v>
      </c>
      <c r="C499">
        <v>0.24310000000000001</v>
      </c>
      <c r="D499">
        <v>0.2291</v>
      </c>
      <c r="E499">
        <v>0.23760000000000001</v>
      </c>
      <c r="F499">
        <v>11810764.800000001</v>
      </c>
      <c r="G499">
        <v>0</v>
      </c>
      <c r="L499" t="s">
        <v>7</v>
      </c>
      <c r="M499" t="s">
        <v>7</v>
      </c>
      <c r="N499" t="s">
        <v>7</v>
      </c>
      <c r="P499">
        <f t="shared" si="980"/>
        <v>0.21428571428571427</v>
      </c>
      <c r="Q499">
        <f t="shared" si="981"/>
        <v>2530878.1714285715</v>
      </c>
      <c r="R499">
        <f t="shared" si="982"/>
        <v>31930911.683584042</v>
      </c>
      <c r="S499">
        <f t="shared" si="983"/>
        <v>319.30911683584043</v>
      </c>
      <c r="T499">
        <f t="shared" si="984"/>
        <v>0.3193091168358404</v>
      </c>
    </row>
    <row r="500" spans="1:20" x14ac:dyDescent="0.25">
      <c r="A500" s="5">
        <v>44093</v>
      </c>
      <c r="B500">
        <v>0.24349999999999999</v>
      </c>
      <c r="C500">
        <v>0.24759999999999999</v>
      </c>
      <c r="D500">
        <v>0.24110000000000001</v>
      </c>
      <c r="E500">
        <v>0.24260000000000001</v>
      </c>
      <c r="F500">
        <v>8154373.96</v>
      </c>
      <c r="G500">
        <v>0</v>
      </c>
      <c r="L500" t="s">
        <v>7</v>
      </c>
      <c r="M500" t="s">
        <v>8</v>
      </c>
      <c r="N500" t="s">
        <v>7</v>
      </c>
      <c r="P500">
        <f t="shared" si="980"/>
        <v>-0.53846153846153644</v>
      </c>
      <c r="Q500">
        <f t="shared" si="981"/>
        <v>-4390816.7476922916</v>
      </c>
      <c r="R500">
        <f t="shared" si="982"/>
        <v>29400033.51215547</v>
      </c>
      <c r="S500">
        <f t="shared" si="983"/>
        <v>294.00033512155471</v>
      </c>
      <c r="T500">
        <f t="shared" si="984"/>
        <v>0.29400033512155471</v>
      </c>
    </row>
    <row r="501" spans="1:20" x14ac:dyDescent="0.25">
      <c r="A501" s="5">
        <v>44092</v>
      </c>
      <c r="B501">
        <v>0.24959999999999999</v>
      </c>
      <c r="C501">
        <v>0.25540000000000002</v>
      </c>
      <c r="D501">
        <v>0.2389</v>
      </c>
      <c r="E501">
        <v>0.24349999999999999</v>
      </c>
      <c r="F501">
        <v>14010075.33</v>
      </c>
      <c r="G501">
        <v>0</v>
      </c>
      <c r="L501" t="s">
        <v>7</v>
      </c>
      <c r="M501" t="s">
        <v>8</v>
      </c>
      <c r="N501" t="s">
        <v>7</v>
      </c>
      <c r="P501">
        <f t="shared" si="980"/>
        <v>-0.44242424242424377</v>
      </c>
      <c r="Q501">
        <f t="shared" si="981"/>
        <v>-6198396.9641818367</v>
      </c>
      <c r="R501">
        <f t="shared" si="982"/>
        <v>33790850.25984776</v>
      </c>
      <c r="S501">
        <f t="shared" si="983"/>
        <v>337.90850259847758</v>
      </c>
      <c r="T501">
        <f t="shared" si="984"/>
        <v>0.3379085025984776</v>
      </c>
    </row>
    <row r="502" spans="1:20" x14ac:dyDescent="0.25">
      <c r="A502" s="5">
        <v>44091</v>
      </c>
      <c r="B502">
        <v>0.25130000000000002</v>
      </c>
      <c r="C502">
        <v>0.25769999999999998</v>
      </c>
      <c r="D502">
        <v>0.2457</v>
      </c>
      <c r="E502">
        <v>0.24959999999999999</v>
      </c>
      <c r="F502">
        <v>12524126.5</v>
      </c>
      <c r="G502">
        <v>0</v>
      </c>
      <c r="L502" t="s">
        <v>8</v>
      </c>
      <c r="M502" t="s">
        <v>8</v>
      </c>
      <c r="N502" t="s">
        <v>7</v>
      </c>
      <c r="P502">
        <f t="shared" si="980"/>
        <v>-0.35000000000000125</v>
      </c>
      <c r="Q502">
        <f t="shared" si="981"/>
        <v>-4383444.2750000153</v>
      </c>
      <c r="R502">
        <f t="shared" si="982"/>
        <v>39989247.224029601</v>
      </c>
      <c r="S502">
        <f t="shared" si="983"/>
        <v>399.892472240296</v>
      </c>
      <c r="T502">
        <f t="shared" si="984"/>
        <v>0.399892472240296</v>
      </c>
    </row>
    <row r="503" spans="1:20" x14ac:dyDescent="0.25">
      <c r="A503" s="5">
        <v>44090</v>
      </c>
      <c r="B503">
        <v>0.24640000000000001</v>
      </c>
      <c r="C503">
        <v>0.25600000000000001</v>
      </c>
      <c r="D503">
        <v>0.2374</v>
      </c>
      <c r="E503">
        <v>0.25080000000000002</v>
      </c>
      <c r="F503">
        <v>10475180.98</v>
      </c>
      <c r="G503">
        <v>0</v>
      </c>
      <c r="L503" t="s">
        <v>7</v>
      </c>
      <c r="M503" t="s">
        <v>8</v>
      </c>
      <c r="N503" t="s">
        <v>7</v>
      </c>
      <c r="P503">
        <f t="shared" si="980"/>
        <v>0.44086021505376549</v>
      </c>
      <c r="Q503">
        <f t="shared" si="981"/>
        <v>4618090.5395699143</v>
      </c>
      <c r="R503">
        <f t="shared" si="982"/>
        <v>44372691.499029614</v>
      </c>
      <c r="S503">
        <f t="shared" si="983"/>
        <v>443.72691499029617</v>
      </c>
      <c r="T503">
        <f t="shared" si="984"/>
        <v>0.44372691499029615</v>
      </c>
    </row>
    <row r="504" spans="1:20" x14ac:dyDescent="0.25">
      <c r="A504" s="5">
        <v>44089</v>
      </c>
      <c r="B504">
        <v>0.25669999999999998</v>
      </c>
      <c r="C504">
        <v>0.25879999999999997</v>
      </c>
      <c r="D504">
        <v>0.24249999999999999</v>
      </c>
      <c r="E504">
        <v>0.2462</v>
      </c>
      <c r="F504">
        <v>8145724.3099999996</v>
      </c>
      <c r="G504">
        <v>0</v>
      </c>
      <c r="L504" t="s">
        <v>7</v>
      </c>
      <c r="M504" t="s">
        <v>8</v>
      </c>
      <c r="N504" t="s">
        <v>7</v>
      </c>
      <c r="P504">
        <f t="shared" si="980"/>
        <v>-0.54601226993864871</v>
      </c>
      <c r="Q504">
        <f t="shared" si="981"/>
        <v>-4447665.4207975324</v>
      </c>
      <c r="R504">
        <f t="shared" si="982"/>
        <v>39754600.9594597</v>
      </c>
      <c r="S504">
        <f t="shared" si="983"/>
        <v>397.54600959459702</v>
      </c>
      <c r="T504">
        <f t="shared" si="984"/>
        <v>0.39754600959459702</v>
      </c>
    </row>
    <row r="505" spans="1:20" x14ac:dyDescent="0.25">
      <c r="A505" s="5">
        <v>44088</v>
      </c>
      <c r="B505">
        <v>0.25819999999999999</v>
      </c>
      <c r="C505">
        <v>0.2631</v>
      </c>
      <c r="D505">
        <v>0.24970000000000001</v>
      </c>
      <c r="E505">
        <v>0.25650000000000001</v>
      </c>
      <c r="F505">
        <v>9263836.9700000007</v>
      </c>
      <c r="G505">
        <v>0</v>
      </c>
      <c r="L505" t="s">
        <v>7</v>
      </c>
      <c r="M505" t="s">
        <v>8</v>
      </c>
      <c r="N505" t="s">
        <v>7</v>
      </c>
      <c r="P505">
        <f t="shared" si="980"/>
        <v>1.4925373134328792E-2</v>
      </c>
      <c r="Q505">
        <f t="shared" si="981"/>
        <v>138266.22343283985</v>
      </c>
      <c r="R505">
        <f t="shared" si="982"/>
        <v>44202266.380257234</v>
      </c>
      <c r="S505">
        <f t="shared" si="983"/>
        <v>442.02266380257237</v>
      </c>
      <c r="T505">
        <f t="shared" si="984"/>
        <v>0.44202266380257238</v>
      </c>
    </row>
    <row r="506" spans="1:20" x14ac:dyDescent="0.25">
      <c r="A506" s="5">
        <v>44087</v>
      </c>
      <c r="B506">
        <v>0.27400000000000002</v>
      </c>
      <c r="C506">
        <v>0.2742</v>
      </c>
      <c r="D506">
        <v>0.2485</v>
      </c>
      <c r="E506">
        <v>0.25790000000000002</v>
      </c>
      <c r="F506">
        <v>13169866.039999999</v>
      </c>
      <c r="G506">
        <v>0</v>
      </c>
      <c r="L506" t="s">
        <v>7</v>
      </c>
      <c r="M506" t="s">
        <v>8</v>
      </c>
      <c r="N506" t="s">
        <v>7</v>
      </c>
      <c r="P506">
        <f t="shared" si="980"/>
        <v>-0.26848249027237203</v>
      </c>
      <c r="Q506">
        <f t="shared" si="981"/>
        <v>-3535878.4309727424</v>
      </c>
      <c r="R506">
        <f t="shared" si="982"/>
        <v>44064000.156824395</v>
      </c>
      <c r="S506">
        <f t="shared" si="983"/>
        <v>440.64000156824397</v>
      </c>
      <c r="T506">
        <f t="shared" si="984"/>
        <v>0.44064000156824396</v>
      </c>
    </row>
    <row r="507" spans="1:20" x14ac:dyDescent="0.25">
      <c r="A507" s="5">
        <v>44086</v>
      </c>
      <c r="B507">
        <v>0.2641</v>
      </c>
      <c r="C507">
        <v>0.2772</v>
      </c>
      <c r="D507">
        <v>0.26050000000000001</v>
      </c>
      <c r="E507">
        <v>0.27389999999999998</v>
      </c>
      <c r="F507">
        <v>12713628.060000001</v>
      </c>
      <c r="G507">
        <v>0</v>
      </c>
      <c r="L507" t="s">
        <v>8</v>
      </c>
      <c r="M507" t="s">
        <v>8</v>
      </c>
      <c r="N507" t="s">
        <v>7</v>
      </c>
      <c r="P507">
        <f t="shared" si="980"/>
        <v>0.60479041916167342</v>
      </c>
      <c r="Q507">
        <f t="shared" si="981"/>
        <v>7689080.4434730131</v>
      </c>
      <c r="R507">
        <f t="shared" si="982"/>
        <v>47599878.587797135</v>
      </c>
      <c r="S507">
        <f t="shared" si="983"/>
        <v>475.99878587797133</v>
      </c>
      <c r="T507">
        <f t="shared" si="984"/>
        <v>0.47599878587797134</v>
      </c>
    </row>
    <row r="508" spans="1:20" x14ac:dyDescent="0.25">
      <c r="A508" s="5">
        <v>44085</v>
      </c>
      <c r="B508">
        <v>0.2656</v>
      </c>
      <c r="C508">
        <v>0.26800000000000002</v>
      </c>
      <c r="D508">
        <v>0.25569999999999998</v>
      </c>
      <c r="E508">
        <v>0.26390000000000002</v>
      </c>
      <c r="F508">
        <v>9133839.0099999998</v>
      </c>
      <c r="G508">
        <v>0</v>
      </c>
      <c r="L508" t="s">
        <v>8</v>
      </c>
      <c r="M508" t="s">
        <v>8</v>
      </c>
      <c r="N508" t="s">
        <v>7</v>
      </c>
      <c r="P508">
        <f t="shared" si="980"/>
        <v>0.33333333333333637</v>
      </c>
      <c r="Q508">
        <f t="shared" si="981"/>
        <v>3044613.0033333609</v>
      </c>
      <c r="R508">
        <f t="shared" si="982"/>
        <v>39910798.144324124</v>
      </c>
      <c r="S508">
        <f t="shared" si="983"/>
        <v>399.10798144324121</v>
      </c>
      <c r="T508">
        <f t="shared" si="984"/>
        <v>0.39910798144324122</v>
      </c>
    </row>
    <row r="509" spans="1:20" x14ac:dyDescent="0.25">
      <c r="A509" s="5">
        <v>44084</v>
      </c>
      <c r="B509">
        <v>0.25740000000000002</v>
      </c>
      <c r="C509">
        <v>0.26979999999999998</v>
      </c>
      <c r="D509">
        <v>0.25409999999999999</v>
      </c>
      <c r="E509">
        <v>0.2656</v>
      </c>
      <c r="F509">
        <v>14490546.710000001</v>
      </c>
      <c r="G509">
        <v>0</v>
      </c>
      <c r="L509" t="s">
        <v>8</v>
      </c>
      <c r="M509" t="s">
        <v>8</v>
      </c>
      <c r="N509" t="s">
        <v>7</v>
      </c>
      <c r="P509">
        <f t="shared" si="980"/>
        <v>0.4649681528662441</v>
      </c>
      <c r="Q509">
        <f t="shared" si="981"/>
        <v>6737642.7377707306</v>
      </c>
      <c r="R509">
        <f t="shared" si="982"/>
        <v>36866185.140990764</v>
      </c>
      <c r="S509">
        <f t="shared" si="983"/>
        <v>368.66185140990763</v>
      </c>
      <c r="T509">
        <f t="shared" si="984"/>
        <v>0.36866185140990765</v>
      </c>
    </row>
    <row r="510" spans="1:20" x14ac:dyDescent="0.25">
      <c r="A510" s="5">
        <v>44083</v>
      </c>
      <c r="B510">
        <v>0.25109999999999999</v>
      </c>
      <c r="C510">
        <v>0.26390000000000002</v>
      </c>
      <c r="D510">
        <v>0.24079999999999999</v>
      </c>
      <c r="E510">
        <v>0.25669999999999998</v>
      </c>
      <c r="F510">
        <v>14743501.48</v>
      </c>
      <c r="G510">
        <v>0</v>
      </c>
      <c r="L510" t="s">
        <v>7</v>
      </c>
      <c r="M510" t="s">
        <v>7</v>
      </c>
      <c r="N510" t="s">
        <v>7</v>
      </c>
      <c r="P510">
        <f t="shared" si="980"/>
        <v>0.3766233766233742</v>
      </c>
      <c r="Q510">
        <f t="shared" si="981"/>
        <v>5552747.3106493149</v>
      </c>
      <c r="R510">
        <f t="shared" si="982"/>
        <v>30128542.403220035</v>
      </c>
      <c r="S510">
        <f t="shared" si="983"/>
        <v>301.28542403220035</v>
      </c>
      <c r="T510">
        <f t="shared" si="984"/>
        <v>0.30128542403220038</v>
      </c>
    </row>
    <row r="511" spans="1:20" x14ac:dyDescent="0.25">
      <c r="A511" s="5">
        <v>44082</v>
      </c>
      <c r="B511">
        <v>0.253</v>
      </c>
      <c r="C511">
        <v>0.26469999999999999</v>
      </c>
      <c r="D511">
        <v>0.24360000000000001</v>
      </c>
      <c r="E511">
        <v>0.251</v>
      </c>
      <c r="F511">
        <v>14179535.119999999</v>
      </c>
      <c r="G511">
        <v>0</v>
      </c>
      <c r="L511" t="s">
        <v>8</v>
      </c>
      <c r="M511" t="s">
        <v>7</v>
      </c>
      <c r="N511" t="s">
        <v>7</v>
      </c>
      <c r="P511">
        <f t="shared" si="980"/>
        <v>-0.29857819905213301</v>
      </c>
      <c r="Q511">
        <f t="shared" si="981"/>
        <v>-4233700.05952607</v>
      </c>
      <c r="R511">
        <f t="shared" si="982"/>
        <v>24575795.092570722</v>
      </c>
      <c r="S511">
        <f t="shared" si="983"/>
        <v>245.75795092570723</v>
      </c>
      <c r="T511">
        <f t="shared" si="984"/>
        <v>0.24575795092570724</v>
      </c>
    </row>
    <row r="512" spans="1:20" x14ac:dyDescent="0.25">
      <c r="A512" s="5">
        <v>44081</v>
      </c>
      <c r="B512">
        <v>0.25819999999999999</v>
      </c>
      <c r="C512">
        <v>0.2621</v>
      </c>
      <c r="D512">
        <v>0.23649999999999999</v>
      </c>
      <c r="E512">
        <v>0.25280000000000002</v>
      </c>
      <c r="F512">
        <v>16348895.1</v>
      </c>
      <c r="G512">
        <v>0</v>
      </c>
      <c r="L512" t="s">
        <v>7</v>
      </c>
      <c r="M512" t="s">
        <v>7</v>
      </c>
      <c r="N512" t="s">
        <v>7</v>
      </c>
      <c r="P512">
        <f t="shared" si="980"/>
        <v>0.27343750000000228</v>
      </c>
      <c r="Q512">
        <f t="shared" si="981"/>
        <v>4470401.0039062873</v>
      </c>
      <c r="R512">
        <f t="shared" si="982"/>
        <v>28809495.152096793</v>
      </c>
      <c r="S512">
        <f t="shared" si="983"/>
        <v>288.09495152096792</v>
      </c>
      <c r="T512">
        <f t="shared" si="984"/>
        <v>0.28809495152096792</v>
      </c>
    </row>
    <row r="513" spans="1:20" x14ac:dyDescent="0.25">
      <c r="A513" s="5">
        <v>44080</v>
      </c>
      <c r="B513">
        <v>0.23730000000000001</v>
      </c>
      <c r="C513">
        <v>0.26079999999999998</v>
      </c>
      <c r="D513">
        <v>0.2253</v>
      </c>
      <c r="E513">
        <v>0.25819999999999999</v>
      </c>
      <c r="F513">
        <v>18820440.98</v>
      </c>
      <c r="G513">
        <v>0</v>
      </c>
      <c r="L513" t="s">
        <v>8</v>
      </c>
      <c r="M513" t="s">
        <v>7</v>
      </c>
      <c r="N513" t="s">
        <v>7</v>
      </c>
      <c r="P513">
        <f t="shared" si="980"/>
        <v>0.8535211267605638</v>
      </c>
      <c r="Q513">
        <f t="shared" si="981"/>
        <v>16063643.991380289</v>
      </c>
      <c r="R513">
        <f t="shared" si="982"/>
        <v>24339094.148190506</v>
      </c>
      <c r="S513">
        <f t="shared" si="983"/>
        <v>243.39094148190506</v>
      </c>
      <c r="T513">
        <f t="shared" si="984"/>
        <v>0.24339094148190507</v>
      </c>
    </row>
    <row r="514" spans="1:20" x14ac:dyDescent="0.25">
      <c r="A514" s="5">
        <v>44079</v>
      </c>
      <c r="B514">
        <v>0.26450000000000001</v>
      </c>
      <c r="C514">
        <v>0.27139999999999997</v>
      </c>
      <c r="D514">
        <v>0.22320000000000001</v>
      </c>
      <c r="E514">
        <v>0.23719999999999999</v>
      </c>
      <c r="F514">
        <v>26814035.859999999</v>
      </c>
      <c r="G514">
        <v>0</v>
      </c>
      <c r="L514" t="s">
        <v>7</v>
      </c>
      <c r="M514" t="s">
        <v>7</v>
      </c>
      <c r="N514" t="s">
        <v>7</v>
      </c>
      <c r="P514">
        <f t="shared" si="980"/>
        <v>-0.41908713692946081</v>
      </c>
      <c r="Q514">
        <f t="shared" si="981"/>
        <v>-11237417.518091293</v>
      </c>
      <c r="R514">
        <f t="shared" si="982"/>
        <v>8275450.1568102147</v>
      </c>
      <c r="S514">
        <f t="shared" si="983"/>
        <v>82.754501568102143</v>
      </c>
      <c r="T514">
        <f t="shared" si="984"/>
        <v>8.2754501568102143E-2</v>
      </c>
    </row>
    <row r="515" spans="1:20" x14ac:dyDescent="0.25">
      <c r="A515" s="5">
        <v>44078</v>
      </c>
      <c r="B515">
        <v>0.25080000000000002</v>
      </c>
      <c r="C515">
        <v>0.27489999999999998</v>
      </c>
      <c r="D515">
        <v>0.2445</v>
      </c>
      <c r="E515">
        <v>0.2646</v>
      </c>
      <c r="F515">
        <v>36905057.899999999</v>
      </c>
      <c r="G515">
        <v>0</v>
      </c>
      <c r="L515" t="s">
        <v>8</v>
      </c>
      <c r="M515" t="s">
        <v>7</v>
      </c>
      <c r="N515" t="s">
        <v>7</v>
      </c>
      <c r="P515">
        <f t="shared" si="980"/>
        <v>0.3223684210526328</v>
      </c>
      <c r="Q515">
        <f t="shared" si="981"/>
        <v>11897025.244078992</v>
      </c>
      <c r="R515">
        <f t="shared" si="982"/>
        <v>19512867.674901508</v>
      </c>
      <c r="S515">
        <f t="shared" si="983"/>
        <v>195.12867674901509</v>
      </c>
      <c r="T515">
        <f t="shared" si="984"/>
        <v>0.19512867674901507</v>
      </c>
    </row>
    <row r="516" spans="1:20" x14ac:dyDescent="0.25">
      <c r="A516" s="5">
        <v>44077</v>
      </c>
      <c r="B516">
        <v>0.31709999999999999</v>
      </c>
      <c r="C516">
        <v>0.32050000000000001</v>
      </c>
      <c r="D516">
        <v>0.23319999999999999</v>
      </c>
      <c r="E516">
        <v>0.25080000000000002</v>
      </c>
      <c r="F516">
        <v>38043795.229999997</v>
      </c>
      <c r="G516">
        <v>0</v>
      </c>
      <c r="L516" t="s">
        <v>7</v>
      </c>
      <c r="M516" t="s">
        <v>7</v>
      </c>
      <c r="N516" t="s">
        <v>7</v>
      </c>
      <c r="P516">
        <f t="shared" si="980"/>
        <v>-0.59679266895761673</v>
      </c>
      <c r="Q516">
        <f t="shared" si="981"/>
        <v>-22704258.092588745</v>
      </c>
      <c r="R516">
        <f t="shared" si="982"/>
        <v>7615842.430822514</v>
      </c>
      <c r="S516">
        <f t="shared" si="983"/>
        <v>76.158424308225136</v>
      </c>
      <c r="T516">
        <f t="shared" si="984"/>
        <v>7.6158424308225142E-2</v>
      </c>
    </row>
    <row r="517" spans="1:20" x14ac:dyDescent="0.25">
      <c r="A517" s="5">
        <v>44076</v>
      </c>
      <c r="B517">
        <v>0.33489999999999998</v>
      </c>
      <c r="C517">
        <v>0.33900000000000002</v>
      </c>
      <c r="D517">
        <v>0.30080000000000001</v>
      </c>
      <c r="E517">
        <v>0.3165</v>
      </c>
      <c r="F517">
        <v>26053341.109999999</v>
      </c>
      <c r="G517">
        <v>0</v>
      </c>
      <c r="L517" t="s">
        <v>7</v>
      </c>
      <c r="M517" t="s">
        <v>7</v>
      </c>
      <c r="N517" t="s">
        <v>7</v>
      </c>
      <c r="P517">
        <f t="shared" si="980"/>
        <v>-0.17801047120418917</v>
      </c>
      <c r="Q517">
        <f t="shared" si="981"/>
        <v>-4637767.5274345726</v>
      </c>
      <c r="R517">
        <f t="shared" si="982"/>
        <v>30320100.523411259</v>
      </c>
      <c r="S517">
        <f t="shared" si="983"/>
        <v>303.20100523411259</v>
      </c>
      <c r="T517">
        <f t="shared" si="984"/>
        <v>0.30320100523411259</v>
      </c>
    </row>
    <row r="518" spans="1:20" x14ac:dyDescent="0.25">
      <c r="A518" s="5">
        <v>44075</v>
      </c>
      <c r="B518">
        <v>0.34820000000000001</v>
      </c>
      <c r="C518">
        <v>0.35210000000000002</v>
      </c>
      <c r="D518">
        <v>0.33119999999999999</v>
      </c>
      <c r="E518">
        <v>0.3347</v>
      </c>
      <c r="F518">
        <v>25892622.649999999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5">IF(C518=D518,0,((E518-D518)-(C518-E518))/(C518-D518))</f>
        <v>-0.66507177033492837</v>
      </c>
      <c r="Q518">
        <f t="shared" ref="Q518:Q581" si="986">F518*P518</f>
        <v>-17220452.384449765</v>
      </c>
      <c r="R518">
        <f t="shared" ref="R518:R581" si="987">R519+Q518</f>
        <v>34957868.050845832</v>
      </c>
      <c r="S518">
        <f t="shared" ref="S518:S581" si="988">R518/100000</f>
        <v>349.57868050845832</v>
      </c>
      <c r="T518">
        <f t="shared" ref="T518:T581" si="989">S518/1000</f>
        <v>0.34957868050845831</v>
      </c>
    </row>
    <row r="519" spans="1:20" x14ac:dyDescent="0.25">
      <c r="A519" s="5">
        <v>44074</v>
      </c>
      <c r="B519">
        <v>0.34589999999999999</v>
      </c>
      <c r="C519">
        <v>0.35749999999999998</v>
      </c>
      <c r="D519">
        <v>0.33639999999999998</v>
      </c>
      <c r="E519">
        <v>0.3478</v>
      </c>
      <c r="F519">
        <v>18100574.920000002</v>
      </c>
      <c r="G519">
        <v>0</v>
      </c>
      <c r="L519" t="s">
        <v>7</v>
      </c>
      <c r="M519" t="s">
        <v>7</v>
      </c>
      <c r="N519" t="s">
        <v>7</v>
      </c>
      <c r="P519">
        <f t="shared" si="985"/>
        <v>8.0568720379148542E-2</v>
      </c>
      <c r="Q519">
        <f t="shared" si="986"/>
        <v>1458340.1594313092</v>
      </c>
      <c r="R519">
        <f t="shared" si="987"/>
        <v>52178320.435295597</v>
      </c>
      <c r="S519">
        <f t="shared" si="988"/>
        <v>521.78320435295598</v>
      </c>
      <c r="T519">
        <f t="shared" si="989"/>
        <v>0.521783204352956</v>
      </c>
    </row>
    <row r="520" spans="1:20" x14ac:dyDescent="0.25">
      <c r="A520" s="5">
        <v>44073</v>
      </c>
      <c r="B520">
        <v>0.35149999999999998</v>
      </c>
      <c r="C520">
        <v>0.36380000000000001</v>
      </c>
      <c r="D520">
        <v>0.34399999999999997</v>
      </c>
      <c r="E520">
        <v>0.34570000000000001</v>
      </c>
      <c r="F520">
        <v>20731274.989999998</v>
      </c>
      <c r="G520">
        <v>0</v>
      </c>
      <c r="L520" t="s">
        <v>8</v>
      </c>
      <c r="M520" t="s">
        <v>7</v>
      </c>
      <c r="N520" t="s">
        <v>7</v>
      </c>
      <c r="P520">
        <f t="shared" si="985"/>
        <v>-0.82828282828282507</v>
      </c>
      <c r="Q520">
        <f t="shared" si="986"/>
        <v>-17171359.082626194</v>
      </c>
      <c r="R520">
        <f t="shared" si="987"/>
        <v>50719980.275864288</v>
      </c>
      <c r="S520">
        <f t="shared" si="988"/>
        <v>507.19980275864287</v>
      </c>
      <c r="T520">
        <f t="shared" si="989"/>
        <v>0.50719980275864285</v>
      </c>
    </row>
    <row r="521" spans="1:20" x14ac:dyDescent="0.25">
      <c r="A521" s="5">
        <v>44072</v>
      </c>
      <c r="B521">
        <v>0.34910000000000002</v>
      </c>
      <c r="C521">
        <v>0.36809999999999998</v>
      </c>
      <c r="D521">
        <v>0.34649999999999997</v>
      </c>
      <c r="E521">
        <v>0.35170000000000001</v>
      </c>
      <c r="F521">
        <v>30433313.149999999</v>
      </c>
      <c r="G521">
        <v>0</v>
      </c>
      <c r="L521" t="s">
        <v>8</v>
      </c>
      <c r="M521" t="s">
        <v>7</v>
      </c>
      <c r="N521" t="s">
        <v>7</v>
      </c>
      <c r="P521">
        <f t="shared" si="985"/>
        <v>-0.51851851851851516</v>
      </c>
      <c r="Q521">
        <f t="shared" si="986"/>
        <v>-15780236.448148046</v>
      </c>
      <c r="R521">
        <f t="shared" si="987"/>
        <v>67891339.358490482</v>
      </c>
      <c r="S521">
        <f t="shared" si="988"/>
        <v>678.91339358490484</v>
      </c>
      <c r="T521">
        <f t="shared" si="989"/>
        <v>0.67891339358490488</v>
      </c>
    </row>
    <row r="522" spans="1:20" x14ac:dyDescent="0.25">
      <c r="A522" s="5">
        <v>44071</v>
      </c>
      <c r="B522">
        <v>0.32679999999999998</v>
      </c>
      <c r="C522">
        <v>0.35339999999999999</v>
      </c>
      <c r="D522">
        <v>0.31950000000000001</v>
      </c>
      <c r="E522">
        <v>0.34910000000000002</v>
      </c>
      <c r="F522">
        <v>28471338.82</v>
      </c>
      <c r="G522">
        <v>0</v>
      </c>
      <c r="L522" t="s">
        <v>8</v>
      </c>
      <c r="M522" t="s">
        <v>7</v>
      </c>
      <c r="N522" t="s">
        <v>7</v>
      </c>
      <c r="P522">
        <f t="shared" si="985"/>
        <v>0.74631268436578335</v>
      </c>
      <c r="Q522">
        <f t="shared" si="986"/>
        <v>21248521.302241936</v>
      </c>
      <c r="R522">
        <f t="shared" si="987"/>
        <v>83671575.806638524</v>
      </c>
      <c r="S522">
        <f t="shared" si="988"/>
        <v>836.71575806638521</v>
      </c>
      <c r="T522">
        <f t="shared" si="989"/>
        <v>0.83671575806638521</v>
      </c>
    </row>
    <row r="523" spans="1:20" x14ac:dyDescent="0.25">
      <c r="A523" s="5">
        <v>44070</v>
      </c>
      <c r="B523">
        <v>0.35139999999999999</v>
      </c>
      <c r="C523">
        <v>0.35499999999999998</v>
      </c>
      <c r="D523">
        <v>0.31630000000000003</v>
      </c>
      <c r="E523">
        <v>0.32650000000000001</v>
      </c>
      <c r="F523">
        <v>40634551.560000002</v>
      </c>
      <c r="G523">
        <v>0</v>
      </c>
      <c r="L523" t="s">
        <v>7</v>
      </c>
      <c r="M523" t="s">
        <v>7</v>
      </c>
      <c r="N523" t="s">
        <v>7</v>
      </c>
      <c r="P523">
        <f t="shared" si="985"/>
        <v>-0.47286821705426363</v>
      </c>
      <c r="Q523">
        <f t="shared" si="986"/>
        <v>-19214787.946976747</v>
      </c>
      <c r="R523">
        <f t="shared" si="987"/>
        <v>62423054.504396588</v>
      </c>
      <c r="S523">
        <f t="shared" si="988"/>
        <v>624.23054504396589</v>
      </c>
      <c r="T523">
        <f t="shared" si="989"/>
        <v>0.62423054504396591</v>
      </c>
    </row>
    <row r="524" spans="1:20" x14ac:dyDescent="0.25">
      <c r="A524" s="5">
        <v>44069</v>
      </c>
      <c r="B524">
        <v>0.3453</v>
      </c>
      <c r="C524">
        <v>0.36890000000000001</v>
      </c>
      <c r="D524">
        <v>0.3417</v>
      </c>
      <c r="E524">
        <v>0.35139999999999999</v>
      </c>
      <c r="F524">
        <v>44188404.130000003</v>
      </c>
      <c r="G524">
        <v>0</v>
      </c>
      <c r="L524" t="s">
        <v>8</v>
      </c>
      <c r="M524" t="s">
        <v>7</v>
      </c>
      <c r="N524" t="s">
        <v>8</v>
      </c>
      <c r="P524">
        <f t="shared" si="985"/>
        <v>-0.28676470588235398</v>
      </c>
      <c r="Q524">
        <f t="shared" si="986"/>
        <v>-12671674.713750046</v>
      </c>
      <c r="R524">
        <f t="shared" si="987"/>
        <v>81637842.451373339</v>
      </c>
      <c r="S524">
        <f t="shared" si="988"/>
        <v>816.37842451373342</v>
      </c>
      <c r="T524">
        <f t="shared" si="989"/>
        <v>0.81637842451373344</v>
      </c>
    </row>
    <row r="525" spans="1:20" x14ac:dyDescent="0.25">
      <c r="A525" s="5">
        <v>44068</v>
      </c>
      <c r="B525">
        <v>0.39650000000000002</v>
      </c>
      <c r="C525">
        <v>0.39860000000000001</v>
      </c>
      <c r="D525">
        <v>0.32969999999999999</v>
      </c>
      <c r="E525">
        <v>0.34510000000000002</v>
      </c>
      <c r="F525">
        <v>59665071.57</v>
      </c>
      <c r="G525">
        <v>0</v>
      </c>
      <c r="L525" t="s">
        <v>7</v>
      </c>
      <c r="M525" t="s">
        <v>7</v>
      </c>
      <c r="N525" t="s">
        <v>8</v>
      </c>
      <c r="P525">
        <f t="shared" si="985"/>
        <v>-0.55297532656023163</v>
      </c>
      <c r="Q525">
        <f t="shared" si="986"/>
        <v>-32993312.435660344</v>
      </c>
      <c r="R525">
        <f t="shared" si="987"/>
        <v>94309517.165123388</v>
      </c>
      <c r="S525">
        <f t="shared" si="988"/>
        <v>943.09517165123384</v>
      </c>
      <c r="T525">
        <f t="shared" si="989"/>
        <v>0.9430951716512338</v>
      </c>
    </row>
    <row r="526" spans="1:20" x14ac:dyDescent="0.25">
      <c r="A526" s="5">
        <v>44067</v>
      </c>
      <c r="B526">
        <v>0.40250000000000002</v>
      </c>
      <c r="C526">
        <v>0.43619999999999998</v>
      </c>
      <c r="D526">
        <v>0.38300000000000001</v>
      </c>
      <c r="E526">
        <v>0.39660000000000001</v>
      </c>
      <c r="F526">
        <v>53428775.340000004</v>
      </c>
      <c r="G526">
        <v>0</v>
      </c>
      <c r="L526" t="s">
        <v>8</v>
      </c>
      <c r="M526" t="s">
        <v>8</v>
      </c>
      <c r="N526" t="s">
        <v>8</v>
      </c>
      <c r="P526">
        <f t="shared" si="985"/>
        <v>-0.48872180451127789</v>
      </c>
      <c r="Q526">
        <f t="shared" si="986"/>
        <v>-26111807.496992465</v>
      </c>
      <c r="R526">
        <f t="shared" si="987"/>
        <v>127302829.60078374</v>
      </c>
      <c r="S526">
        <f t="shared" si="988"/>
        <v>1273.0282960078373</v>
      </c>
      <c r="T526">
        <f t="shared" si="989"/>
        <v>1.2730282960078374</v>
      </c>
    </row>
    <row r="527" spans="1:20" x14ac:dyDescent="0.25">
      <c r="A527" s="5">
        <v>44066</v>
      </c>
      <c r="B527">
        <v>0.39789999999999998</v>
      </c>
      <c r="C527">
        <v>0.4264</v>
      </c>
      <c r="D527">
        <v>0.36859999999999998</v>
      </c>
      <c r="E527">
        <v>0.40239999999999998</v>
      </c>
      <c r="F527">
        <v>58492146.960000001</v>
      </c>
      <c r="G527">
        <v>0</v>
      </c>
      <c r="L527" t="s">
        <v>8</v>
      </c>
      <c r="M527" t="s">
        <v>8</v>
      </c>
      <c r="N527" t="s">
        <v>8</v>
      </c>
      <c r="P527">
        <f t="shared" si="985"/>
        <v>0.16955017301038014</v>
      </c>
      <c r="Q527">
        <f t="shared" si="986"/>
        <v>9917353.6368165817</v>
      </c>
      <c r="R527">
        <f t="shared" si="987"/>
        <v>153414637.0977762</v>
      </c>
      <c r="S527">
        <f t="shared" si="988"/>
        <v>1534.146370977762</v>
      </c>
      <c r="T527">
        <f t="shared" si="989"/>
        <v>1.5341463709777621</v>
      </c>
    </row>
    <row r="528" spans="1:20" x14ac:dyDescent="0.25">
      <c r="A528" s="5">
        <v>44065</v>
      </c>
      <c r="B528">
        <v>0.377</v>
      </c>
      <c r="C528">
        <v>0.40739999999999998</v>
      </c>
      <c r="D528">
        <v>0.34039999999999998</v>
      </c>
      <c r="E528">
        <v>0.3977</v>
      </c>
      <c r="F528">
        <v>70701844.329999998</v>
      </c>
      <c r="G528">
        <v>0</v>
      </c>
      <c r="L528" t="s">
        <v>7</v>
      </c>
      <c r="M528" t="s">
        <v>7</v>
      </c>
      <c r="N528" t="s">
        <v>8</v>
      </c>
      <c r="P528">
        <f t="shared" si="985"/>
        <v>0.7104477611940303</v>
      </c>
      <c r="Q528">
        <f t="shared" si="986"/>
        <v>50229967.016537346</v>
      </c>
      <c r="R528">
        <f t="shared" si="987"/>
        <v>143497283.46095961</v>
      </c>
      <c r="S528">
        <f t="shared" si="988"/>
        <v>1434.972834609596</v>
      </c>
      <c r="T528">
        <f t="shared" si="989"/>
        <v>1.434972834609596</v>
      </c>
    </row>
    <row r="529" spans="1:20" x14ac:dyDescent="0.25">
      <c r="A529" s="5">
        <v>44064</v>
      </c>
      <c r="B529">
        <v>0.36120000000000002</v>
      </c>
      <c r="C529">
        <v>0.44340000000000002</v>
      </c>
      <c r="D529">
        <v>0.3453</v>
      </c>
      <c r="E529">
        <v>0.37719999999999998</v>
      </c>
      <c r="F529">
        <v>209127448.90000001</v>
      </c>
      <c r="G529">
        <v>0</v>
      </c>
      <c r="L529" t="s">
        <v>8</v>
      </c>
      <c r="M529" t="s">
        <v>8</v>
      </c>
      <c r="N529" t="s">
        <v>8</v>
      </c>
      <c r="P529">
        <f t="shared" si="985"/>
        <v>-0.34964322120285468</v>
      </c>
      <c r="Q529">
        <f t="shared" si="986"/>
        <v>-73119994.875331387</v>
      </c>
      <c r="R529">
        <f t="shared" si="987"/>
        <v>93267316.44442226</v>
      </c>
      <c r="S529">
        <f t="shared" si="988"/>
        <v>932.67316444422261</v>
      </c>
      <c r="T529">
        <f t="shared" si="989"/>
        <v>0.93267316444422266</v>
      </c>
    </row>
    <row r="530" spans="1:20" x14ac:dyDescent="0.25">
      <c r="A530" s="5">
        <v>44063</v>
      </c>
      <c r="B530">
        <v>0.31819999999999998</v>
      </c>
      <c r="C530">
        <v>0.37209999999999999</v>
      </c>
      <c r="D530">
        <v>0.31780000000000003</v>
      </c>
      <c r="E530">
        <v>0.3609</v>
      </c>
      <c r="F530">
        <v>77669076.030000001</v>
      </c>
      <c r="G530">
        <v>0</v>
      </c>
      <c r="L530" t="s">
        <v>8</v>
      </c>
      <c r="M530" t="s">
        <v>8</v>
      </c>
      <c r="N530" t="s">
        <v>8</v>
      </c>
      <c r="P530">
        <f t="shared" si="985"/>
        <v>0.58747697974217328</v>
      </c>
      <c r="Q530">
        <f t="shared" si="986"/>
        <v>45628794.205469623</v>
      </c>
      <c r="R530">
        <f t="shared" si="987"/>
        <v>166387311.31975365</v>
      </c>
      <c r="S530">
        <f t="shared" si="988"/>
        <v>1663.8731131975364</v>
      </c>
      <c r="T530">
        <f t="shared" si="989"/>
        <v>1.6638731131975364</v>
      </c>
    </row>
    <row r="531" spans="1:20" x14ac:dyDescent="0.25">
      <c r="A531" s="5">
        <v>44062</v>
      </c>
      <c r="B531">
        <v>0.34960000000000002</v>
      </c>
      <c r="C531">
        <v>0.3574</v>
      </c>
      <c r="D531">
        <v>0.30959999999999999</v>
      </c>
      <c r="E531">
        <v>0.31809999999999999</v>
      </c>
      <c r="F531">
        <v>73131373.5</v>
      </c>
      <c r="G531">
        <v>0</v>
      </c>
      <c r="L531" t="s">
        <v>7</v>
      </c>
      <c r="M531" t="s">
        <v>7</v>
      </c>
      <c r="N531" t="s">
        <v>8</v>
      </c>
      <c r="P531">
        <f t="shared" si="985"/>
        <v>-0.64435146443514624</v>
      </c>
      <c r="Q531">
        <f t="shared" si="986"/>
        <v>-47122307.610878646</v>
      </c>
      <c r="R531">
        <f t="shared" si="987"/>
        <v>120758517.11428404</v>
      </c>
      <c r="S531">
        <f t="shared" si="988"/>
        <v>1207.5851711428404</v>
      </c>
      <c r="T531">
        <f t="shared" si="989"/>
        <v>1.2075851711428405</v>
      </c>
    </row>
    <row r="532" spans="1:20" x14ac:dyDescent="0.25">
      <c r="A532" s="5">
        <v>44061</v>
      </c>
      <c r="B532">
        <v>0.31640000000000001</v>
      </c>
      <c r="C532">
        <v>0.37859999999999999</v>
      </c>
      <c r="D532">
        <v>0.31580000000000003</v>
      </c>
      <c r="E532">
        <v>0.34960000000000002</v>
      </c>
      <c r="F532">
        <v>117311855.05</v>
      </c>
      <c r="G532">
        <v>0</v>
      </c>
      <c r="L532" t="s">
        <v>8</v>
      </c>
      <c r="M532" t="s">
        <v>8</v>
      </c>
      <c r="N532" t="s">
        <v>8</v>
      </c>
      <c r="P532">
        <f t="shared" si="985"/>
        <v>7.6433121019108735E-2</v>
      </c>
      <c r="Q532">
        <f t="shared" si="986"/>
        <v>8966511.2140127923</v>
      </c>
      <c r="R532">
        <f t="shared" si="987"/>
        <v>167880824.72516268</v>
      </c>
      <c r="S532">
        <f t="shared" si="988"/>
        <v>1678.8082472516269</v>
      </c>
      <c r="T532">
        <f t="shared" si="989"/>
        <v>1.6788082472516268</v>
      </c>
    </row>
    <row r="533" spans="1:20" x14ac:dyDescent="0.25">
      <c r="A533" s="5">
        <v>44060</v>
      </c>
      <c r="B533">
        <v>0.32450000000000001</v>
      </c>
      <c r="C533">
        <v>0.33960000000000001</v>
      </c>
      <c r="D533">
        <v>0.29870000000000002</v>
      </c>
      <c r="E533">
        <v>0.31680000000000003</v>
      </c>
      <c r="F533">
        <v>71009444.640000001</v>
      </c>
      <c r="G533">
        <v>0</v>
      </c>
      <c r="L533" t="s">
        <v>7</v>
      </c>
      <c r="M533" t="s">
        <v>8</v>
      </c>
      <c r="N533" t="s">
        <v>8</v>
      </c>
      <c r="P533">
        <f t="shared" si="985"/>
        <v>-0.11491442542787245</v>
      </c>
      <c r="Q533">
        <f t="shared" si="986"/>
        <v>-8160009.5307579171</v>
      </c>
      <c r="R533">
        <f t="shared" si="987"/>
        <v>158914313.51114988</v>
      </c>
      <c r="S533">
        <f t="shared" si="988"/>
        <v>1589.1431351114989</v>
      </c>
      <c r="T533">
        <f t="shared" si="989"/>
        <v>1.5891431351114989</v>
      </c>
    </row>
    <row r="534" spans="1:20" x14ac:dyDescent="0.25">
      <c r="A534" s="5">
        <v>44059</v>
      </c>
      <c r="B534">
        <v>0.2742</v>
      </c>
      <c r="C534">
        <v>0.33979999999999999</v>
      </c>
      <c r="D534">
        <v>0.27010000000000001</v>
      </c>
      <c r="E534">
        <v>0.32440000000000002</v>
      </c>
      <c r="F534">
        <v>68821077.709999993</v>
      </c>
      <c r="G534">
        <v>0</v>
      </c>
      <c r="L534" t="s">
        <v>8</v>
      </c>
      <c r="M534" t="s">
        <v>8</v>
      </c>
      <c r="N534" t="s">
        <v>8</v>
      </c>
      <c r="P534">
        <f t="shared" si="985"/>
        <v>0.55810616929698786</v>
      </c>
      <c r="Q534">
        <f t="shared" si="986"/>
        <v>38409468.047618411</v>
      </c>
      <c r="R534">
        <f t="shared" si="987"/>
        <v>167074323.04190779</v>
      </c>
      <c r="S534">
        <f t="shared" si="988"/>
        <v>1670.7432304190779</v>
      </c>
      <c r="T534">
        <f t="shared" si="989"/>
        <v>1.6707432304190779</v>
      </c>
    </row>
    <row r="535" spans="1:20" x14ac:dyDescent="0.25">
      <c r="A535" s="5">
        <v>44058</v>
      </c>
      <c r="B535">
        <v>0.2787</v>
      </c>
      <c r="C535">
        <v>0.28239999999999998</v>
      </c>
      <c r="D535">
        <v>0.27150000000000002</v>
      </c>
      <c r="E535">
        <v>0.27389999999999998</v>
      </c>
      <c r="F535">
        <v>19620001.190000001</v>
      </c>
      <c r="G535">
        <v>0</v>
      </c>
      <c r="L535" t="s">
        <v>8</v>
      </c>
      <c r="M535" t="s">
        <v>8</v>
      </c>
      <c r="N535" t="s">
        <v>8</v>
      </c>
      <c r="P535">
        <f t="shared" si="985"/>
        <v>-0.55963302752294208</v>
      </c>
      <c r="Q535">
        <f t="shared" si="986"/>
        <v>-10980000.665963428</v>
      </c>
      <c r="R535">
        <f t="shared" si="987"/>
        <v>128664854.99428938</v>
      </c>
      <c r="S535">
        <f t="shared" si="988"/>
        <v>1286.6485499428939</v>
      </c>
      <c r="T535">
        <f t="shared" si="989"/>
        <v>1.2866485499428939</v>
      </c>
    </row>
    <row r="536" spans="1:20" x14ac:dyDescent="0.25">
      <c r="A536" s="5">
        <v>44057</v>
      </c>
      <c r="B536">
        <v>0.26919999999999999</v>
      </c>
      <c r="C536">
        <v>0.28000000000000003</v>
      </c>
      <c r="D536">
        <v>0.26340000000000002</v>
      </c>
      <c r="E536">
        <v>0.2787</v>
      </c>
      <c r="F536">
        <v>18416148.109999999</v>
      </c>
      <c r="G536">
        <v>0</v>
      </c>
      <c r="L536" t="s">
        <v>8</v>
      </c>
      <c r="M536" t="s">
        <v>8</v>
      </c>
      <c r="N536" t="s">
        <v>8</v>
      </c>
      <c r="P536">
        <f t="shared" si="985"/>
        <v>0.84337349397590089</v>
      </c>
      <c r="Q536">
        <f t="shared" si="986"/>
        <v>15531691.177108383</v>
      </c>
      <c r="R536">
        <f t="shared" si="987"/>
        <v>139644855.66025281</v>
      </c>
      <c r="S536">
        <f t="shared" si="988"/>
        <v>1396.448556602528</v>
      </c>
      <c r="T536">
        <f t="shared" si="989"/>
        <v>1.396448556602528</v>
      </c>
    </row>
    <row r="537" spans="1:20" x14ac:dyDescent="0.25">
      <c r="A537" s="5">
        <v>44056</v>
      </c>
      <c r="B537">
        <v>0.27160000000000001</v>
      </c>
      <c r="C537">
        <v>0.27400000000000002</v>
      </c>
      <c r="D537">
        <v>0.25659999999999999</v>
      </c>
      <c r="E537">
        <v>0.26910000000000001</v>
      </c>
      <c r="F537">
        <v>15080443.99</v>
      </c>
      <c r="G537">
        <v>0</v>
      </c>
      <c r="L537" t="s">
        <v>8</v>
      </c>
      <c r="M537" t="s">
        <v>8</v>
      </c>
      <c r="N537" t="s">
        <v>8</v>
      </c>
      <c r="P537">
        <f t="shared" si="985"/>
        <v>0.43678160919540138</v>
      </c>
      <c r="Q537">
        <f t="shared" si="986"/>
        <v>6586860.5933333198</v>
      </c>
      <c r="R537">
        <f t="shared" si="987"/>
        <v>124113164.48314442</v>
      </c>
      <c r="S537">
        <f t="shared" si="988"/>
        <v>1241.1316448314442</v>
      </c>
      <c r="T537">
        <f t="shared" si="989"/>
        <v>1.2411316448314442</v>
      </c>
    </row>
    <row r="538" spans="1:20" x14ac:dyDescent="0.25">
      <c r="A538" s="5">
        <v>44055</v>
      </c>
      <c r="B538">
        <v>0.26179999999999998</v>
      </c>
      <c r="C538">
        <v>0.27410000000000001</v>
      </c>
      <c r="D538">
        <v>0.25090000000000001</v>
      </c>
      <c r="E538">
        <v>0.27160000000000001</v>
      </c>
      <c r="F538">
        <v>16374734.289999999</v>
      </c>
      <c r="G538">
        <v>0</v>
      </c>
      <c r="L538" t="s">
        <v>8</v>
      </c>
      <c r="M538" t="s">
        <v>8</v>
      </c>
      <c r="N538" t="s">
        <v>8</v>
      </c>
      <c r="P538">
        <f t="shared" si="985"/>
        <v>0.7844827586206895</v>
      </c>
      <c r="Q538">
        <f t="shared" si="986"/>
        <v>12845696.727499997</v>
      </c>
      <c r="R538">
        <f t="shared" si="987"/>
        <v>117526303.8898111</v>
      </c>
      <c r="S538">
        <f t="shared" si="988"/>
        <v>1175.2630388981111</v>
      </c>
      <c r="T538">
        <f t="shared" si="989"/>
        <v>1.1752630388981111</v>
      </c>
    </row>
    <row r="539" spans="1:20" x14ac:dyDescent="0.25">
      <c r="A539" s="5">
        <v>44054</v>
      </c>
      <c r="B539">
        <v>0.28670000000000001</v>
      </c>
      <c r="C539">
        <v>0.28789999999999999</v>
      </c>
      <c r="D539">
        <v>0.24940000000000001</v>
      </c>
      <c r="E539">
        <v>0.26169999999999999</v>
      </c>
      <c r="F539">
        <v>27072568.309999999</v>
      </c>
      <c r="G539">
        <v>0</v>
      </c>
      <c r="L539" t="s">
        <v>7</v>
      </c>
      <c r="M539" t="s">
        <v>8</v>
      </c>
      <c r="N539" t="s">
        <v>8</v>
      </c>
      <c r="P539">
        <f t="shared" si="985"/>
        <v>-0.36103896103896183</v>
      </c>
      <c r="Q539">
        <f t="shared" si="986"/>
        <v>-9774251.9352987222</v>
      </c>
      <c r="R539">
        <f t="shared" si="987"/>
        <v>104680607.16231111</v>
      </c>
      <c r="S539">
        <f t="shared" si="988"/>
        <v>1046.8060716231112</v>
      </c>
      <c r="T539">
        <f t="shared" si="989"/>
        <v>1.0468060716231111</v>
      </c>
    </row>
    <row r="540" spans="1:20" x14ac:dyDescent="0.25">
      <c r="A540" s="5">
        <v>44053</v>
      </c>
      <c r="B540">
        <v>0.26700000000000002</v>
      </c>
      <c r="C540">
        <v>0.28920000000000001</v>
      </c>
      <c r="D540">
        <v>0.25840000000000002</v>
      </c>
      <c r="E540">
        <v>0.28660000000000002</v>
      </c>
      <c r="F540">
        <v>32741215.940000001</v>
      </c>
      <c r="G540">
        <v>0</v>
      </c>
      <c r="L540" t="s">
        <v>8</v>
      </c>
      <c r="M540" t="s">
        <v>8</v>
      </c>
      <c r="N540" t="s">
        <v>8</v>
      </c>
      <c r="P540">
        <f t="shared" si="985"/>
        <v>0.83116883116883167</v>
      </c>
      <c r="Q540">
        <f t="shared" si="986"/>
        <v>27213478.183896121</v>
      </c>
      <c r="R540">
        <f t="shared" si="987"/>
        <v>114454859.09760983</v>
      </c>
      <c r="S540">
        <f t="shared" si="988"/>
        <v>1144.5485909760982</v>
      </c>
      <c r="T540">
        <f t="shared" si="989"/>
        <v>1.1445485909760982</v>
      </c>
    </row>
    <row r="541" spans="1:20" x14ac:dyDescent="0.25">
      <c r="A541" s="5">
        <v>44052</v>
      </c>
      <c r="B541">
        <v>0.2611</v>
      </c>
      <c r="C541">
        <v>0.27160000000000001</v>
      </c>
      <c r="D541">
        <v>0.26069999999999999</v>
      </c>
      <c r="E541">
        <v>0.26690000000000003</v>
      </c>
      <c r="F541">
        <v>17294736.649999999</v>
      </c>
      <c r="G541">
        <v>0</v>
      </c>
      <c r="L541" t="s">
        <v>8</v>
      </c>
      <c r="M541" t="s">
        <v>8</v>
      </c>
      <c r="N541" t="s">
        <v>8</v>
      </c>
      <c r="P541">
        <f t="shared" si="985"/>
        <v>0.13761467889908752</v>
      </c>
      <c r="Q541">
        <f t="shared" si="986"/>
        <v>2380009.6307340302</v>
      </c>
      <c r="R541">
        <f t="shared" si="987"/>
        <v>87241380.913713709</v>
      </c>
      <c r="S541">
        <f t="shared" si="988"/>
        <v>872.41380913713704</v>
      </c>
      <c r="T541">
        <f t="shared" si="989"/>
        <v>0.87241380913713706</v>
      </c>
    </row>
    <row r="542" spans="1:20" x14ac:dyDescent="0.25">
      <c r="A542" s="5">
        <v>44051</v>
      </c>
      <c r="B542">
        <v>0.253</v>
      </c>
      <c r="C542">
        <v>0.26169999999999999</v>
      </c>
      <c r="D542">
        <v>0.25169999999999998</v>
      </c>
      <c r="E542">
        <v>0.26140000000000002</v>
      </c>
      <c r="F542">
        <v>8642818.3900000006</v>
      </c>
      <c r="G542">
        <v>0</v>
      </c>
      <c r="L542" t="s">
        <v>8</v>
      </c>
      <c r="M542" t="s">
        <v>8</v>
      </c>
      <c r="N542" t="s">
        <v>8</v>
      </c>
      <c r="P542">
        <f t="shared" si="985"/>
        <v>0.94000000000000661</v>
      </c>
      <c r="Q542">
        <f t="shared" si="986"/>
        <v>8124249.286600058</v>
      </c>
      <c r="R542">
        <f t="shared" si="987"/>
        <v>84861371.282979682</v>
      </c>
      <c r="S542">
        <f t="shared" si="988"/>
        <v>848.61371282979678</v>
      </c>
      <c r="T542">
        <f t="shared" si="989"/>
        <v>0.84861371282979681</v>
      </c>
    </row>
    <row r="543" spans="1:20" x14ac:dyDescent="0.25">
      <c r="A543" s="5">
        <v>44050</v>
      </c>
      <c r="B543">
        <v>0.25879999999999997</v>
      </c>
      <c r="C543">
        <v>0.26500000000000001</v>
      </c>
      <c r="D543">
        <v>0.245</v>
      </c>
      <c r="E543">
        <v>0.253</v>
      </c>
      <c r="F543">
        <v>16688933.4</v>
      </c>
      <c r="G543">
        <v>0</v>
      </c>
      <c r="L543" t="s">
        <v>7</v>
      </c>
      <c r="M543" t="s">
        <v>8</v>
      </c>
      <c r="N543" t="s">
        <v>8</v>
      </c>
      <c r="P543">
        <f t="shared" si="985"/>
        <v>-0.2</v>
      </c>
      <c r="Q543">
        <f t="shared" si="986"/>
        <v>-3337786.68</v>
      </c>
      <c r="R543">
        <f t="shared" si="987"/>
        <v>76737121.996379629</v>
      </c>
      <c r="S543">
        <f t="shared" si="988"/>
        <v>767.37121996379631</v>
      </c>
      <c r="T543">
        <f t="shared" si="989"/>
        <v>0.76737121996379631</v>
      </c>
    </row>
    <row r="544" spans="1:20" x14ac:dyDescent="0.25">
      <c r="A544" s="5">
        <v>44049</v>
      </c>
      <c r="B544">
        <v>0.2576</v>
      </c>
      <c r="C544">
        <v>0.26</v>
      </c>
      <c r="D544">
        <v>0.25469999999999998</v>
      </c>
      <c r="E544">
        <v>0.25879999999999997</v>
      </c>
      <c r="F544">
        <v>13329637.220000001</v>
      </c>
      <c r="G544">
        <v>0</v>
      </c>
      <c r="L544" t="s">
        <v>8</v>
      </c>
      <c r="M544" t="s">
        <v>8</v>
      </c>
      <c r="N544" t="s">
        <v>8</v>
      </c>
      <c r="P544">
        <f t="shared" si="985"/>
        <v>0.54716981132074405</v>
      </c>
      <c r="Q544">
        <f t="shared" si="986"/>
        <v>7293575.0826413678</v>
      </c>
      <c r="R544">
        <f t="shared" si="987"/>
        <v>80074908.676379636</v>
      </c>
      <c r="S544">
        <f t="shared" si="988"/>
        <v>800.74908676379641</v>
      </c>
      <c r="T544">
        <f t="shared" si="989"/>
        <v>0.80074908676379641</v>
      </c>
    </row>
    <row r="545" spans="1:20" x14ac:dyDescent="0.25">
      <c r="A545" s="5">
        <v>44048</v>
      </c>
      <c r="B545">
        <v>0.2621</v>
      </c>
      <c r="C545">
        <v>0.26369999999999999</v>
      </c>
      <c r="D545">
        <v>0.25330000000000003</v>
      </c>
      <c r="E545">
        <v>0.25750000000000001</v>
      </c>
      <c r="F545">
        <v>16607550.970000001</v>
      </c>
      <c r="G545">
        <v>0</v>
      </c>
      <c r="L545" t="s">
        <v>8</v>
      </c>
      <c r="M545" t="s">
        <v>8</v>
      </c>
      <c r="N545" t="s">
        <v>8</v>
      </c>
      <c r="P545">
        <f t="shared" si="985"/>
        <v>-0.19230769230769312</v>
      </c>
      <c r="Q545">
        <f t="shared" si="986"/>
        <v>-3193759.8019230906</v>
      </c>
      <c r="R545">
        <f t="shared" si="987"/>
        <v>72781333.593738273</v>
      </c>
      <c r="S545">
        <f t="shared" si="988"/>
        <v>727.8133359373827</v>
      </c>
      <c r="T545">
        <f t="shared" si="989"/>
        <v>0.72781333593738273</v>
      </c>
    </row>
    <row r="546" spans="1:20" x14ac:dyDescent="0.25">
      <c r="A546" s="5">
        <v>44047</v>
      </c>
      <c r="B546">
        <v>0.25109999999999999</v>
      </c>
      <c r="C546">
        <v>0.26219999999999999</v>
      </c>
      <c r="D546">
        <v>0.25059999999999999</v>
      </c>
      <c r="E546">
        <v>0.26200000000000001</v>
      </c>
      <c r="F546">
        <v>12078904.59</v>
      </c>
      <c r="G546">
        <v>0</v>
      </c>
      <c r="L546" t="s">
        <v>8</v>
      </c>
      <c r="M546" t="s">
        <v>8</v>
      </c>
      <c r="N546" t="s">
        <v>8</v>
      </c>
      <c r="P546">
        <f t="shared" si="985"/>
        <v>0.96551724137931416</v>
      </c>
      <c r="Q546">
        <f t="shared" si="986"/>
        <v>11662390.638620736</v>
      </c>
      <c r="R546">
        <f t="shared" si="987"/>
        <v>75975093.395661369</v>
      </c>
      <c r="S546">
        <f t="shared" si="988"/>
        <v>759.75093395661372</v>
      </c>
      <c r="T546">
        <f t="shared" si="989"/>
        <v>0.75975093395661375</v>
      </c>
    </row>
    <row r="547" spans="1:20" x14ac:dyDescent="0.25">
      <c r="A547" s="5">
        <v>44046</v>
      </c>
      <c r="B547">
        <v>0.24310000000000001</v>
      </c>
      <c r="C547">
        <v>0.25580000000000003</v>
      </c>
      <c r="D547">
        <v>0.2399</v>
      </c>
      <c r="E547">
        <v>0.25080000000000002</v>
      </c>
      <c r="F547">
        <v>13051249.35</v>
      </c>
      <c r="G547">
        <v>0</v>
      </c>
      <c r="L547" t="s">
        <v>7</v>
      </c>
      <c r="M547" t="s">
        <v>8</v>
      </c>
      <c r="N547" t="s">
        <v>8</v>
      </c>
      <c r="P547">
        <f t="shared" si="985"/>
        <v>0.37106918238993752</v>
      </c>
      <c r="Q547">
        <f t="shared" si="986"/>
        <v>4842916.4254717035</v>
      </c>
      <c r="R547">
        <f t="shared" si="987"/>
        <v>64312702.757040627</v>
      </c>
      <c r="S547">
        <f t="shared" si="988"/>
        <v>643.12702757040631</v>
      </c>
      <c r="T547">
        <f t="shared" si="989"/>
        <v>0.6431270275704063</v>
      </c>
    </row>
    <row r="548" spans="1:20" x14ac:dyDescent="0.25">
      <c r="A548" s="5">
        <v>44045</v>
      </c>
      <c r="B548">
        <v>0.25919999999999999</v>
      </c>
      <c r="C548">
        <v>0.26369999999999999</v>
      </c>
      <c r="D548">
        <v>0.22</v>
      </c>
      <c r="E548">
        <v>0.2429</v>
      </c>
      <c r="F548">
        <v>27844732.84</v>
      </c>
      <c r="G548">
        <v>0</v>
      </c>
      <c r="L548" t="s">
        <v>8</v>
      </c>
      <c r="M548" t="s">
        <v>7</v>
      </c>
      <c r="N548" t="s">
        <v>8</v>
      </c>
      <c r="P548">
        <f t="shared" si="985"/>
        <v>4.8054919908467254E-2</v>
      </c>
      <c r="Q548">
        <f t="shared" si="986"/>
        <v>1338076.406498868</v>
      </c>
      <c r="R548">
        <f t="shared" si="987"/>
        <v>59469786.331568927</v>
      </c>
      <c r="S548">
        <f t="shared" si="988"/>
        <v>594.69786331568923</v>
      </c>
      <c r="T548">
        <f t="shared" si="989"/>
        <v>0.59469786331568919</v>
      </c>
    </row>
    <row r="549" spans="1:20" x14ac:dyDescent="0.25">
      <c r="A549" s="5">
        <v>44044</v>
      </c>
      <c r="B549">
        <v>0.25269999999999998</v>
      </c>
      <c r="C549">
        <v>0.25979999999999998</v>
      </c>
      <c r="D549">
        <v>0.249</v>
      </c>
      <c r="E549">
        <v>0.2586</v>
      </c>
      <c r="F549">
        <v>14887045.74</v>
      </c>
      <c r="G549">
        <v>0</v>
      </c>
      <c r="L549" t="s">
        <v>8</v>
      </c>
      <c r="M549" t="s">
        <v>7</v>
      </c>
      <c r="N549" t="s">
        <v>8</v>
      </c>
      <c r="P549">
        <f t="shared" si="985"/>
        <v>0.77777777777778123</v>
      </c>
      <c r="Q549">
        <f t="shared" si="986"/>
        <v>11578813.353333386</v>
      </c>
      <c r="R549">
        <f t="shared" si="987"/>
        <v>58131709.925070055</v>
      </c>
      <c r="S549">
        <f t="shared" si="988"/>
        <v>581.31709925070049</v>
      </c>
      <c r="T549">
        <f t="shared" si="989"/>
        <v>0.58131709925070052</v>
      </c>
    </row>
    <row r="550" spans="1:20" x14ac:dyDescent="0.25">
      <c r="A550" s="5">
        <v>44043</v>
      </c>
      <c r="B550">
        <v>0.24709999999999999</v>
      </c>
      <c r="C550">
        <v>0.25330000000000003</v>
      </c>
      <c r="D550">
        <v>0.2462</v>
      </c>
      <c r="E550">
        <v>0.2525</v>
      </c>
      <c r="F550">
        <v>8791067.1500000004</v>
      </c>
      <c r="G550">
        <v>0</v>
      </c>
      <c r="L550" t="s">
        <v>8</v>
      </c>
      <c r="M550" t="s">
        <v>7</v>
      </c>
      <c r="N550" t="s">
        <v>8</v>
      </c>
      <c r="P550">
        <f t="shared" si="985"/>
        <v>0.77464788732393797</v>
      </c>
      <c r="Q550">
        <f t="shared" si="986"/>
        <v>6809981.5950703723</v>
      </c>
      <c r="R550">
        <f t="shared" si="987"/>
        <v>46552896.571736671</v>
      </c>
      <c r="S550">
        <f t="shared" si="988"/>
        <v>465.5289657173667</v>
      </c>
      <c r="T550">
        <f t="shared" si="989"/>
        <v>0.46552896571736668</v>
      </c>
    </row>
    <row r="551" spans="1:20" x14ac:dyDescent="0.25">
      <c r="A551" s="5">
        <v>44042</v>
      </c>
      <c r="B551">
        <v>0.24779999999999999</v>
      </c>
      <c r="C551">
        <v>0.25190000000000001</v>
      </c>
      <c r="D551">
        <v>0.24610000000000001</v>
      </c>
      <c r="E551">
        <v>0.24709999999999999</v>
      </c>
      <c r="F551">
        <v>12943397.75</v>
      </c>
      <c r="G551">
        <v>0</v>
      </c>
      <c r="L551" t="s">
        <v>8</v>
      </c>
      <c r="M551" t="s">
        <v>7</v>
      </c>
      <c r="N551" t="s">
        <v>8</v>
      </c>
      <c r="P551">
        <f t="shared" si="985"/>
        <v>-0.65517241379311264</v>
      </c>
      <c r="Q551">
        <f t="shared" si="986"/>
        <v>-8480157.1465518437</v>
      </c>
      <c r="R551">
        <f t="shared" si="987"/>
        <v>39742914.976666301</v>
      </c>
      <c r="S551">
        <f t="shared" si="988"/>
        <v>397.42914976666299</v>
      </c>
      <c r="T551">
        <f t="shared" si="989"/>
        <v>0.39742914976666299</v>
      </c>
    </row>
    <row r="552" spans="1:20" x14ac:dyDescent="0.25">
      <c r="A552" s="5">
        <v>44041</v>
      </c>
      <c r="B552">
        <v>0.25119999999999998</v>
      </c>
      <c r="C552">
        <v>0.25559999999999999</v>
      </c>
      <c r="D552">
        <v>0.24610000000000001</v>
      </c>
      <c r="E552">
        <v>0.24759999999999999</v>
      </c>
      <c r="F552">
        <v>13001661.9</v>
      </c>
      <c r="G552">
        <v>0</v>
      </c>
      <c r="L552" t="s">
        <v>8</v>
      </c>
      <c r="M552" t="s">
        <v>7</v>
      </c>
      <c r="N552" t="s">
        <v>8</v>
      </c>
      <c r="P552">
        <f t="shared" si="985"/>
        <v>-0.68421052631579438</v>
      </c>
      <c r="Q552">
        <f t="shared" si="986"/>
        <v>-8895873.9315790106</v>
      </c>
      <c r="R552">
        <f t="shared" si="987"/>
        <v>48223072.123218141</v>
      </c>
      <c r="S552">
        <f t="shared" si="988"/>
        <v>482.23072123218139</v>
      </c>
      <c r="T552">
        <f t="shared" si="989"/>
        <v>0.48223072123218141</v>
      </c>
    </row>
    <row r="553" spans="1:20" x14ac:dyDescent="0.25">
      <c r="A553" s="5">
        <v>44040</v>
      </c>
      <c r="B553">
        <v>0.24840000000000001</v>
      </c>
      <c r="C553">
        <v>0.25600000000000001</v>
      </c>
      <c r="D553">
        <v>0.2414</v>
      </c>
      <c r="E553">
        <v>0.25109999999999999</v>
      </c>
      <c r="F553">
        <v>24397920.739999998</v>
      </c>
      <c r="G553">
        <v>0</v>
      </c>
      <c r="L553" t="s">
        <v>8</v>
      </c>
      <c r="M553" t="s">
        <v>7</v>
      </c>
      <c r="N553" t="s">
        <v>8</v>
      </c>
      <c r="P553">
        <f t="shared" si="985"/>
        <v>0.32876712328766922</v>
      </c>
      <c r="Q553">
        <f t="shared" si="986"/>
        <v>8021234.215890361</v>
      </c>
      <c r="R553">
        <f t="shared" si="987"/>
        <v>57118946.05479715</v>
      </c>
      <c r="S553">
        <f t="shared" si="988"/>
        <v>571.18946054797152</v>
      </c>
      <c r="T553">
        <f t="shared" si="989"/>
        <v>0.57118946054797148</v>
      </c>
    </row>
    <row r="554" spans="1:20" x14ac:dyDescent="0.25">
      <c r="A554" s="5">
        <v>44039</v>
      </c>
      <c r="B554">
        <v>0.25430000000000003</v>
      </c>
      <c r="C554">
        <v>0.25769999999999998</v>
      </c>
      <c r="D554">
        <v>0.2288</v>
      </c>
      <c r="E554">
        <v>0.2482</v>
      </c>
      <c r="F554">
        <v>45269196.280000001</v>
      </c>
      <c r="G554">
        <v>0</v>
      </c>
      <c r="L554" t="s">
        <v>7</v>
      </c>
      <c r="M554" t="s">
        <v>7</v>
      </c>
      <c r="N554" t="s">
        <v>8</v>
      </c>
      <c r="P554">
        <f t="shared" si="985"/>
        <v>0.34256055363321891</v>
      </c>
      <c r="Q554">
        <f t="shared" si="986"/>
        <v>15507440.940207655</v>
      </c>
      <c r="R554">
        <f t="shared" si="987"/>
        <v>49097711.838906787</v>
      </c>
      <c r="S554">
        <f t="shared" si="988"/>
        <v>490.97711838906787</v>
      </c>
      <c r="T554">
        <f t="shared" si="989"/>
        <v>0.49097711838906788</v>
      </c>
    </row>
    <row r="555" spans="1:20" x14ac:dyDescent="0.25">
      <c r="A555" s="5">
        <v>44038</v>
      </c>
      <c r="B555">
        <v>0.26379999999999998</v>
      </c>
      <c r="C555">
        <v>0.26719999999999999</v>
      </c>
      <c r="D555">
        <v>0.25269999999999998</v>
      </c>
      <c r="E555">
        <v>0.25419999999999998</v>
      </c>
      <c r="F555">
        <v>21239423.449999999</v>
      </c>
      <c r="G555">
        <v>0</v>
      </c>
      <c r="L555" t="s">
        <v>7</v>
      </c>
      <c r="M555" t="s">
        <v>7</v>
      </c>
      <c r="N555" t="s">
        <v>8</v>
      </c>
      <c r="P555">
        <f t="shared" si="985"/>
        <v>-0.7931034482758621</v>
      </c>
      <c r="Q555">
        <f t="shared" si="986"/>
        <v>-16845059.977586206</v>
      </c>
      <c r="R555">
        <f t="shared" si="987"/>
        <v>33590270.898699135</v>
      </c>
      <c r="S555">
        <f t="shared" si="988"/>
        <v>335.90270898699134</v>
      </c>
      <c r="T555">
        <f t="shared" si="989"/>
        <v>0.33590270898699132</v>
      </c>
    </row>
    <row r="556" spans="1:20" x14ac:dyDescent="0.25">
      <c r="A556" s="5">
        <v>44037</v>
      </c>
      <c r="B556">
        <v>0.25769999999999998</v>
      </c>
      <c r="C556">
        <v>0.26550000000000001</v>
      </c>
      <c r="D556">
        <v>0.25650000000000001</v>
      </c>
      <c r="E556">
        <v>0.26369999999999999</v>
      </c>
      <c r="F556">
        <v>19476076.66</v>
      </c>
      <c r="G556">
        <v>0</v>
      </c>
      <c r="L556" t="s">
        <v>7</v>
      </c>
      <c r="M556" t="s">
        <v>7</v>
      </c>
      <c r="N556" t="s">
        <v>8</v>
      </c>
      <c r="P556">
        <f t="shared" si="985"/>
        <v>0.59999999999999509</v>
      </c>
      <c r="Q556">
        <f t="shared" si="986"/>
        <v>11685645.995999904</v>
      </c>
      <c r="R556">
        <f t="shared" si="987"/>
        <v>50435330.876285337</v>
      </c>
      <c r="S556">
        <f t="shared" si="988"/>
        <v>504.35330876285337</v>
      </c>
      <c r="T556">
        <f t="shared" si="989"/>
        <v>0.50435330876285334</v>
      </c>
    </row>
    <row r="557" spans="1:20" x14ac:dyDescent="0.25">
      <c r="A557" s="5">
        <v>44036</v>
      </c>
      <c r="B557">
        <v>0.26479999999999998</v>
      </c>
      <c r="C557">
        <v>0.26479999999999998</v>
      </c>
      <c r="D557">
        <v>0.25640000000000002</v>
      </c>
      <c r="E557">
        <v>0.25769999999999998</v>
      </c>
      <c r="F557">
        <v>16636049.810000001</v>
      </c>
      <c r="G557">
        <v>0</v>
      </c>
      <c r="L557" t="s">
        <v>7</v>
      </c>
      <c r="M557" t="s">
        <v>7</v>
      </c>
      <c r="N557" t="s">
        <v>8</v>
      </c>
      <c r="P557">
        <f t="shared" si="985"/>
        <v>-0.69047619047619679</v>
      </c>
      <c r="Q557">
        <f t="shared" si="986"/>
        <v>-11486796.297381058</v>
      </c>
      <c r="R557">
        <f t="shared" si="987"/>
        <v>38749684.880285434</v>
      </c>
      <c r="S557">
        <f t="shared" si="988"/>
        <v>387.49684880285434</v>
      </c>
      <c r="T557">
        <f t="shared" si="989"/>
        <v>0.38749684880285434</v>
      </c>
    </row>
    <row r="558" spans="1:20" x14ac:dyDescent="0.25">
      <c r="A558" s="5">
        <v>44035</v>
      </c>
      <c r="B558">
        <v>0.26200000000000001</v>
      </c>
      <c r="C558">
        <v>0.26939999999999997</v>
      </c>
      <c r="D558">
        <v>0.2601</v>
      </c>
      <c r="E558">
        <v>0.2646</v>
      </c>
      <c r="F558">
        <v>11046994.119999999</v>
      </c>
      <c r="G558">
        <v>0</v>
      </c>
      <c r="L558" t="s">
        <v>7</v>
      </c>
      <c r="M558" t="s">
        <v>7</v>
      </c>
      <c r="N558" t="s">
        <v>8</v>
      </c>
      <c r="P558">
        <f t="shared" si="985"/>
        <v>-3.2258064516125569E-2</v>
      </c>
      <c r="Q558">
        <f t="shared" si="986"/>
        <v>-356354.64903221978</v>
      </c>
      <c r="R558">
        <f t="shared" si="987"/>
        <v>50236481.177666493</v>
      </c>
      <c r="S558">
        <f t="shared" si="988"/>
        <v>502.36481177666491</v>
      </c>
      <c r="T558">
        <f t="shared" si="989"/>
        <v>0.50236481177666492</v>
      </c>
    </row>
    <row r="559" spans="1:20" x14ac:dyDescent="0.25">
      <c r="A559" s="5">
        <v>44034</v>
      </c>
      <c r="B559">
        <v>0.2606</v>
      </c>
      <c r="C559">
        <v>0.26860000000000001</v>
      </c>
      <c r="D559">
        <v>0.25600000000000001</v>
      </c>
      <c r="E559">
        <v>0.2621</v>
      </c>
      <c r="F559">
        <v>10795474.34</v>
      </c>
      <c r="G559">
        <v>0</v>
      </c>
      <c r="L559" t="s">
        <v>7</v>
      </c>
      <c r="M559" t="s">
        <v>7</v>
      </c>
      <c r="N559" t="s">
        <v>8</v>
      </c>
      <c r="P559">
        <f t="shared" si="985"/>
        <v>-3.1746031746032653E-2</v>
      </c>
      <c r="Q559">
        <f t="shared" si="986"/>
        <v>-342713.47111112089</v>
      </c>
      <c r="R559">
        <f t="shared" si="987"/>
        <v>50592835.826698713</v>
      </c>
      <c r="S559">
        <f t="shared" si="988"/>
        <v>505.92835826698712</v>
      </c>
      <c r="T559">
        <f t="shared" si="989"/>
        <v>0.50592835826698712</v>
      </c>
    </row>
    <row r="560" spans="1:20" x14ac:dyDescent="0.25">
      <c r="A560" s="5">
        <v>44033</v>
      </c>
      <c r="B560">
        <v>0.25850000000000001</v>
      </c>
      <c r="C560">
        <v>0.26579999999999998</v>
      </c>
      <c r="D560">
        <v>0.25440000000000002</v>
      </c>
      <c r="E560">
        <v>0.26040000000000002</v>
      </c>
      <c r="F560">
        <v>17508809</v>
      </c>
      <c r="G560">
        <v>0</v>
      </c>
      <c r="L560" t="s">
        <v>7</v>
      </c>
      <c r="M560" t="s">
        <v>7</v>
      </c>
      <c r="N560" t="s">
        <v>8</v>
      </c>
      <c r="P560">
        <f t="shared" si="985"/>
        <v>5.2631578947372519E-2</v>
      </c>
      <c r="Q560">
        <f t="shared" si="986"/>
        <v>921516.26315796643</v>
      </c>
      <c r="R560">
        <f t="shared" si="987"/>
        <v>50935549.297809832</v>
      </c>
      <c r="S560">
        <f t="shared" si="988"/>
        <v>509.35549297809831</v>
      </c>
      <c r="T560">
        <f t="shared" si="989"/>
        <v>0.50935549297809835</v>
      </c>
    </row>
    <row r="561" spans="1:104" x14ac:dyDescent="0.25">
      <c r="A561" s="5">
        <v>44032</v>
      </c>
      <c r="B561">
        <v>0.27460000000000001</v>
      </c>
      <c r="C561">
        <v>0.27589999999999998</v>
      </c>
      <c r="D561">
        <v>0.25690000000000002</v>
      </c>
      <c r="E561">
        <v>0.25850000000000001</v>
      </c>
      <c r="F561">
        <v>17110783.449999999</v>
      </c>
      <c r="G561">
        <v>0</v>
      </c>
      <c r="L561" t="s">
        <v>7</v>
      </c>
      <c r="M561" t="s">
        <v>7</v>
      </c>
      <c r="N561" t="s">
        <v>8</v>
      </c>
      <c r="P561">
        <f t="shared" si="985"/>
        <v>-0.83157894736842175</v>
      </c>
      <c r="Q561">
        <f t="shared" si="986"/>
        <v>-14228967.290000012</v>
      </c>
      <c r="R561">
        <f t="shared" si="987"/>
        <v>50014033.034651868</v>
      </c>
      <c r="S561">
        <f t="shared" si="988"/>
        <v>500.14033034651868</v>
      </c>
      <c r="T561">
        <f t="shared" si="989"/>
        <v>0.50014033034651872</v>
      </c>
      <c r="CZ561" t="s">
        <v>7</v>
      </c>
    </row>
    <row r="562" spans="1:104" x14ac:dyDescent="0.25">
      <c r="A562" s="5">
        <v>44031</v>
      </c>
      <c r="B562">
        <v>0.26979999999999998</v>
      </c>
      <c r="C562">
        <v>0.2802</v>
      </c>
      <c r="D562">
        <v>0.26800000000000002</v>
      </c>
      <c r="E562">
        <v>0.27450000000000002</v>
      </c>
      <c r="F562">
        <v>21262410.289999999</v>
      </c>
      <c r="G562">
        <v>0</v>
      </c>
      <c r="L562" t="s">
        <v>8</v>
      </c>
      <c r="M562" t="s">
        <v>7</v>
      </c>
      <c r="N562" t="s">
        <v>8</v>
      </c>
      <c r="P562">
        <f t="shared" si="985"/>
        <v>6.5573770491805225E-2</v>
      </c>
      <c r="Q562">
        <f t="shared" si="986"/>
        <v>1394256.4124590578</v>
      </c>
      <c r="R562">
        <f t="shared" si="987"/>
        <v>64243000.324651882</v>
      </c>
      <c r="S562">
        <f t="shared" si="988"/>
        <v>642.43000324651882</v>
      </c>
      <c r="T562">
        <f t="shared" si="989"/>
        <v>0.64243000324651878</v>
      </c>
      <c r="CZ562" t="s">
        <v>7</v>
      </c>
    </row>
    <row r="563" spans="1:104" x14ac:dyDescent="0.25">
      <c r="A563" s="5">
        <v>44030</v>
      </c>
      <c r="B563">
        <v>0.26550000000000001</v>
      </c>
      <c r="C563">
        <v>0.2712</v>
      </c>
      <c r="D563">
        <v>0.2581</v>
      </c>
      <c r="E563">
        <v>0.26950000000000002</v>
      </c>
      <c r="F563">
        <v>13163443.289999999</v>
      </c>
      <c r="G563">
        <v>0</v>
      </c>
      <c r="L563" t="s">
        <v>7</v>
      </c>
      <c r="M563" t="s">
        <v>7</v>
      </c>
      <c r="N563" t="s">
        <v>8</v>
      </c>
      <c r="P563">
        <f t="shared" si="985"/>
        <v>0.74045801526717869</v>
      </c>
      <c r="Q563">
        <f t="shared" si="986"/>
        <v>9746977.0925954599</v>
      </c>
      <c r="R563">
        <f t="shared" si="987"/>
        <v>62848743.912192822</v>
      </c>
      <c r="S563">
        <f t="shared" si="988"/>
        <v>628.48743912192822</v>
      </c>
      <c r="T563">
        <f t="shared" si="989"/>
        <v>0.62848743912192817</v>
      </c>
      <c r="CZ563" t="s">
        <v>7</v>
      </c>
    </row>
    <row r="564" spans="1:104" x14ac:dyDescent="0.25">
      <c r="A564" s="5">
        <v>44029</v>
      </c>
      <c r="B564">
        <v>0.26069999999999999</v>
      </c>
      <c r="C564">
        <v>0.2777</v>
      </c>
      <c r="D564">
        <v>0.25950000000000001</v>
      </c>
      <c r="E564">
        <v>0.26540000000000002</v>
      </c>
      <c r="F564">
        <v>34272821.740000002</v>
      </c>
      <c r="G564">
        <v>0</v>
      </c>
      <c r="L564" t="s">
        <v>8</v>
      </c>
      <c r="M564" t="s">
        <v>7</v>
      </c>
      <c r="N564" t="s">
        <v>8</v>
      </c>
      <c r="P564">
        <f t="shared" si="985"/>
        <v>-0.35164835164834962</v>
      </c>
      <c r="Q564">
        <f t="shared" si="986"/>
        <v>-12051981.271208722</v>
      </c>
      <c r="R564">
        <f t="shared" si="987"/>
        <v>53101766.819597363</v>
      </c>
      <c r="S564">
        <f t="shared" si="988"/>
        <v>531.01766819597367</v>
      </c>
      <c r="T564">
        <f t="shared" si="989"/>
        <v>0.53101766819597362</v>
      </c>
    </row>
    <row r="565" spans="1:104" x14ac:dyDescent="0.25">
      <c r="A565" s="5">
        <v>44028</v>
      </c>
      <c r="B565">
        <v>0.2601</v>
      </c>
      <c r="C565">
        <v>0.28000000000000003</v>
      </c>
      <c r="D565">
        <v>0.23519999999999999</v>
      </c>
      <c r="E565">
        <v>0.26029999999999998</v>
      </c>
      <c r="F565">
        <v>43216446.399999999</v>
      </c>
      <c r="G565">
        <v>0</v>
      </c>
      <c r="L565" t="s">
        <v>7</v>
      </c>
      <c r="M565" t="s">
        <v>7</v>
      </c>
      <c r="N565" t="s">
        <v>8</v>
      </c>
      <c r="P565">
        <f t="shared" si="985"/>
        <v>0.12053571428571269</v>
      </c>
      <c r="Q565">
        <f t="shared" si="986"/>
        <v>5209125.2357142167</v>
      </c>
      <c r="R565">
        <f t="shared" si="987"/>
        <v>65153748.090806089</v>
      </c>
      <c r="S565">
        <f t="shared" si="988"/>
        <v>651.53748090806084</v>
      </c>
      <c r="T565">
        <f t="shared" si="989"/>
        <v>0.65153748090806085</v>
      </c>
    </row>
    <row r="566" spans="1:104" x14ac:dyDescent="0.25">
      <c r="A566" s="5">
        <v>44027</v>
      </c>
      <c r="B566">
        <v>0.26250000000000001</v>
      </c>
      <c r="C566">
        <v>0.26500000000000001</v>
      </c>
      <c r="D566">
        <v>0.25459999999999999</v>
      </c>
      <c r="E566">
        <v>0.25969999999999999</v>
      </c>
      <c r="F566">
        <v>13524584.619999999</v>
      </c>
      <c r="G566">
        <v>0</v>
      </c>
      <c r="L566" t="s">
        <v>7</v>
      </c>
      <c r="M566" t="s">
        <v>7</v>
      </c>
      <c r="N566" t="s">
        <v>8</v>
      </c>
      <c r="P566">
        <f t="shared" si="985"/>
        <v>-1.9230769230772413E-2</v>
      </c>
      <c r="Q566">
        <f t="shared" si="986"/>
        <v>-260088.16576927379</v>
      </c>
      <c r="R566">
        <f t="shared" si="987"/>
        <v>59944622.85509187</v>
      </c>
      <c r="S566">
        <f t="shared" si="988"/>
        <v>599.4462285509187</v>
      </c>
      <c r="T566">
        <f t="shared" si="989"/>
        <v>0.59944622855091867</v>
      </c>
    </row>
    <row r="567" spans="1:104" x14ac:dyDescent="0.25">
      <c r="A567" s="5">
        <v>44026</v>
      </c>
      <c r="B567">
        <v>0.26369999999999999</v>
      </c>
      <c r="C567">
        <v>0.26819999999999999</v>
      </c>
      <c r="D567">
        <v>0.25559999999999999</v>
      </c>
      <c r="E567">
        <v>0.26240000000000002</v>
      </c>
      <c r="F567">
        <v>14137351.92</v>
      </c>
      <c r="G567">
        <v>0</v>
      </c>
      <c r="L567" t="s">
        <v>7</v>
      </c>
      <c r="M567" t="s">
        <v>7</v>
      </c>
      <c r="N567" t="s">
        <v>8</v>
      </c>
      <c r="P567">
        <f t="shared" si="985"/>
        <v>7.9365079365083843E-2</v>
      </c>
      <c r="Q567">
        <f t="shared" si="986"/>
        <v>1122012.0571429206</v>
      </c>
      <c r="R567">
        <f t="shared" si="987"/>
        <v>60204711.020861141</v>
      </c>
      <c r="S567">
        <f t="shared" si="988"/>
        <v>602.04711020861146</v>
      </c>
      <c r="T567">
        <f t="shared" si="989"/>
        <v>0.60204711020861146</v>
      </c>
    </row>
    <row r="568" spans="1:104" x14ac:dyDescent="0.25">
      <c r="A568" s="5">
        <v>44025</v>
      </c>
      <c r="B568">
        <v>0.2601</v>
      </c>
      <c r="C568">
        <v>0.27929999999999999</v>
      </c>
      <c r="D568">
        <v>0.25419999999999998</v>
      </c>
      <c r="E568">
        <v>0.26340000000000002</v>
      </c>
      <c r="F568">
        <v>33197599.530000001</v>
      </c>
      <c r="G568">
        <v>0</v>
      </c>
      <c r="L568" t="s">
        <v>8</v>
      </c>
      <c r="M568" t="s">
        <v>7</v>
      </c>
      <c r="N568" t="s">
        <v>8</v>
      </c>
      <c r="P568">
        <f t="shared" si="985"/>
        <v>-0.2669322709163317</v>
      </c>
      <c r="Q568">
        <f t="shared" si="986"/>
        <v>-8861510.631513847</v>
      </c>
      <c r="R568">
        <f t="shared" si="987"/>
        <v>59082698.963718221</v>
      </c>
      <c r="S568">
        <f t="shared" si="988"/>
        <v>590.82698963718224</v>
      </c>
      <c r="T568">
        <f t="shared" si="989"/>
        <v>0.59082698963718228</v>
      </c>
    </row>
    <row r="569" spans="1:104" x14ac:dyDescent="0.25">
      <c r="A569" s="5">
        <v>44024</v>
      </c>
      <c r="B569">
        <v>0.2581</v>
      </c>
      <c r="C569">
        <v>0.26300000000000001</v>
      </c>
      <c r="D569">
        <v>0.252</v>
      </c>
      <c r="E569">
        <v>0.26</v>
      </c>
      <c r="F569">
        <v>8666821.1300000008</v>
      </c>
      <c r="G569">
        <v>0</v>
      </c>
      <c r="L569" t="s">
        <v>7</v>
      </c>
      <c r="M569" t="s">
        <v>7</v>
      </c>
      <c r="N569" t="s">
        <v>8</v>
      </c>
      <c r="P569">
        <f t="shared" si="985"/>
        <v>0.45454545454545453</v>
      </c>
      <c r="Q569">
        <f t="shared" si="986"/>
        <v>3939464.1500000004</v>
      </c>
      <c r="R569">
        <f t="shared" si="987"/>
        <v>67944209.595232069</v>
      </c>
      <c r="S569">
        <f t="shared" si="988"/>
        <v>679.44209595232064</v>
      </c>
      <c r="T569">
        <f t="shared" si="989"/>
        <v>0.67944209595232063</v>
      </c>
    </row>
    <row r="570" spans="1:104" x14ac:dyDescent="0.25">
      <c r="A570" s="5">
        <v>44023</v>
      </c>
      <c r="B570">
        <v>0.25490000000000002</v>
      </c>
      <c r="C570">
        <v>0.26</v>
      </c>
      <c r="D570">
        <v>0.25219999999999998</v>
      </c>
      <c r="E570">
        <v>0.25779999999999997</v>
      </c>
      <c r="F570">
        <v>8833983.3399999999</v>
      </c>
      <c r="G570">
        <v>0</v>
      </c>
      <c r="L570" t="s">
        <v>7</v>
      </c>
      <c r="M570" t="s">
        <v>7</v>
      </c>
      <c r="N570" t="s">
        <v>8</v>
      </c>
      <c r="P570">
        <f t="shared" si="985"/>
        <v>0.43589743589742896</v>
      </c>
      <c r="Q570">
        <f t="shared" si="986"/>
        <v>3850710.6866666055</v>
      </c>
      <c r="R570">
        <f t="shared" si="987"/>
        <v>64004745.445232064</v>
      </c>
      <c r="S570">
        <f t="shared" si="988"/>
        <v>640.04745445232061</v>
      </c>
      <c r="T570">
        <f t="shared" si="989"/>
        <v>0.64004745445232059</v>
      </c>
    </row>
    <row r="571" spans="1:104" x14ac:dyDescent="0.25">
      <c r="A571" s="5">
        <v>44022</v>
      </c>
      <c r="B571">
        <v>0.26169999999999999</v>
      </c>
      <c r="C571">
        <v>0.26200000000000001</v>
      </c>
      <c r="D571">
        <v>0.24579999999999999</v>
      </c>
      <c r="E571">
        <v>0.2545</v>
      </c>
      <c r="F571">
        <v>13619889.07</v>
      </c>
      <c r="G571">
        <v>0</v>
      </c>
      <c r="L571" t="s">
        <v>7</v>
      </c>
      <c r="M571" t="s">
        <v>7</v>
      </c>
      <c r="N571" t="s">
        <v>8</v>
      </c>
      <c r="P571">
        <f t="shared" si="985"/>
        <v>7.4074074074074389E-2</v>
      </c>
      <c r="Q571">
        <f t="shared" si="986"/>
        <v>1008880.6718518562</v>
      </c>
      <c r="R571">
        <f t="shared" si="987"/>
        <v>60154034.758565456</v>
      </c>
      <c r="S571">
        <f t="shared" si="988"/>
        <v>601.54034758565456</v>
      </c>
      <c r="T571">
        <f t="shared" si="989"/>
        <v>0.60154034758565456</v>
      </c>
    </row>
    <row r="572" spans="1:104" x14ac:dyDescent="0.25">
      <c r="A572" s="5">
        <v>44021</v>
      </c>
      <c r="B572">
        <v>0.26440000000000002</v>
      </c>
      <c r="C572">
        <v>0.27200000000000002</v>
      </c>
      <c r="D572">
        <v>0.25230000000000002</v>
      </c>
      <c r="E572">
        <v>0.26200000000000001</v>
      </c>
      <c r="F572">
        <v>25939402.199999999</v>
      </c>
      <c r="G572">
        <v>0</v>
      </c>
      <c r="L572" t="s">
        <v>8</v>
      </c>
      <c r="M572" t="s">
        <v>7</v>
      </c>
      <c r="N572" t="s">
        <v>8</v>
      </c>
      <c r="P572">
        <f t="shared" si="985"/>
        <v>-1.522842639594023E-2</v>
      </c>
      <c r="Q572">
        <f t="shared" si="986"/>
        <v>-395016.27715739008</v>
      </c>
      <c r="R572">
        <f t="shared" si="987"/>
        <v>59145154.086713597</v>
      </c>
      <c r="S572">
        <f t="shared" si="988"/>
        <v>591.45154086713592</v>
      </c>
      <c r="T572">
        <f t="shared" si="989"/>
        <v>0.59145154086713592</v>
      </c>
    </row>
    <row r="573" spans="1:104" x14ac:dyDescent="0.25">
      <c r="A573" s="5">
        <v>44020</v>
      </c>
      <c r="B573">
        <v>0.255</v>
      </c>
      <c r="C573">
        <v>0.27050000000000002</v>
      </c>
      <c r="D573">
        <v>0.25119999999999998</v>
      </c>
      <c r="E573">
        <v>0.26440000000000002</v>
      </c>
      <c r="F573">
        <v>23541601.25</v>
      </c>
      <c r="G573">
        <v>0</v>
      </c>
      <c r="L573" t="s">
        <v>8</v>
      </c>
      <c r="M573" t="s">
        <v>7</v>
      </c>
      <c r="N573" t="s">
        <v>8</v>
      </c>
      <c r="P573">
        <f t="shared" si="985"/>
        <v>0.36787564766839564</v>
      </c>
      <c r="Q573">
        <f t="shared" si="986"/>
        <v>8660381.8069948629</v>
      </c>
      <c r="R573">
        <f t="shared" si="987"/>
        <v>59540170.363870986</v>
      </c>
      <c r="S573">
        <f t="shared" si="988"/>
        <v>595.40170363870982</v>
      </c>
      <c r="T573">
        <f t="shared" si="989"/>
        <v>0.59540170363870981</v>
      </c>
    </row>
    <row r="574" spans="1:104" x14ac:dyDescent="0.25">
      <c r="A574" s="5">
        <v>44019</v>
      </c>
      <c r="B574">
        <v>0.26119999999999999</v>
      </c>
      <c r="C574">
        <v>0.26429999999999998</v>
      </c>
      <c r="D574">
        <v>0.25280000000000002</v>
      </c>
      <c r="E574">
        <v>0.25490000000000002</v>
      </c>
      <c r="F574">
        <v>16182139.43</v>
      </c>
      <c r="G574">
        <v>0</v>
      </c>
      <c r="L574" t="s">
        <v>8</v>
      </c>
      <c r="M574" t="s">
        <v>7</v>
      </c>
      <c r="N574" t="s">
        <v>8</v>
      </c>
      <c r="P574">
        <f t="shared" si="985"/>
        <v>-0.63478260869565239</v>
      </c>
      <c r="Q574">
        <f t="shared" si="986"/>
        <v>-10272140.681652177</v>
      </c>
      <c r="R574">
        <f t="shared" si="987"/>
        <v>50879788.556876123</v>
      </c>
      <c r="S574">
        <f t="shared" si="988"/>
        <v>508.79788556876122</v>
      </c>
      <c r="T574">
        <f t="shared" si="989"/>
        <v>0.50879788556876127</v>
      </c>
    </row>
    <row r="575" spans="1:104" x14ac:dyDescent="0.25">
      <c r="A575" s="5">
        <v>44018</v>
      </c>
      <c r="B575">
        <v>0.24640000000000001</v>
      </c>
      <c r="C575">
        <v>0.2626</v>
      </c>
      <c r="D575">
        <v>0.24390000000000001</v>
      </c>
      <c r="E575">
        <v>0.26079999999999998</v>
      </c>
      <c r="F575">
        <v>20202506.120000001</v>
      </c>
      <c r="G575">
        <v>0</v>
      </c>
      <c r="L575" t="s">
        <v>8</v>
      </c>
      <c r="M575" t="s">
        <v>7</v>
      </c>
      <c r="N575" t="s">
        <v>8</v>
      </c>
      <c r="P575">
        <f t="shared" si="985"/>
        <v>0.80748663101604012</v>
      </c>
      <c r="Q575">
        <f t="shared" si="986"/>
        <v>16313253.604919733</v>
      </c>
      <c r="R575">
        <f t="shared" si="987"/>
        <v>61151929.238528296</v>
      </c>
      <c r="S575">
        <f t="shared" si="988"/>
        <v>611.51929238528294</v>
      </c>
      <c r="T575">
        <f t="shared" si="989"/>
        <v>0.61151929238528291</v>
      </c>
    </row>
    <row r="576" spans="1:104" x14ac:dyDescent="0.25">
      <c r="A576" s="5">
        <v>44017</v>
      </c>
      <c r="B576">
        <v>0.24959999999999999</v>
      </c>
      <c r="C576">
        <v>0.25009999999999999</v>
      </c>
      <c r="D576">
        <v>0.2412</v>
      </c>
      <c r="E576">
        <v>0.2462</v>
      </c>
      <c r="F576">
        <v>16257056.77</v>
      </c>
      <c r="G576">
        <v>0</v>
      </c>
      <c r="L576" t="s">
        <v>7</v>
      </c>
      <c r="M576" t="s">
        <v>7</v>
      </c>
      <c r="N576" t="s">
        <v>8</v>
      </c>
      <c r="P576">
        <f t="shared" si="985"/>
        <v>0.12359550561797963</v>
      </c>
      <c r="Q576">
        <f t="shared" si="986"/>
        <v>2009299.1513483487</v>
      </c>
      <c r="R576">
        <f t="shared" si="987"/>
        <v>44838675.633608565</v>
      </c>
      <c r="S576">
        <f t="shared" si="988"/>
        <v>448.38675633608563</v>
      </c>
      <c r="T576">
        <f t="shared" si="989"/>
        <v>0.4483867563360856</v>
      </c>
    </row>
    <row r="577" spans="1:20" x14ac:dyDescent="0.25">
      <c r="A577" s="5">
        <v>44016</v>
      </c>
      <c r="B577">
        <v>0.2417</v>
      </c>
      <c r="C577">
        <v>0.25480000000000003</v>
      </c>
      <c r="D577">
        <v>0.2409</v>
      </c>
      <c r="E577">
        <v>0.24970000000000001</v>
      </c>
      <c r="F577">
        <v>17124527.649999999</v>
      </c>
      <c r="G577">
        <v>0</v>
      </c>
      <c r="L577" t="s">
        <v>7</v>
      </c>
      <c r="M577" t="s">
        <v>7</v>
      </c>
      <c r="N577" t="s">
        <v>8</v>
      </c>
      <c r="P577">
        <f t="shared" si="985"/>
        <v>0.26618705035971041</v>
      </c>
      <c r="Q577">
        <f t="shared" si="986"/>
        <v>4558327.5039568031</v>
      </c>
      <c r="R577">
        <f t="shared" si="987"/>
        <v>42829376.48226022</v>
      </c>
      <c r="S577">
        <f t="shared" si="988"/>
        <v>428.29376482260221</v>
      </c>
      <c r="T577">
        <f t="shared" si="989"/>
        <v>0.42829376482260223</v>
      </c>
    </row>
    <row r="578" spans="1:20" x14ac:dyDescent="0.25">
      <c r="A578" s="5">
        <v>44015</v>
      </c>
      <c r="B578">
        <v>0.2422</v>
      </c>
      <c r="C578">
        <v>0.24879999999999999</v>
      </c>
      <c r="D578">
        <v>0.24010000000000001</v>
      </c>
      <c r="E578">
        <v>0.24160000000000001</v>
      </c>
      <c r="F578">
        <v>23186863.850000001</v>
      </c>
      <c r="G578">
        <v>0</v>
      </c>
      <c r="L578" t="s">
        <v>7</v>
      </c>
      <c r="M578" t="s">
        <v>7</v>
      </c>
      <c r="N578" t="s">
        <v>8</v>
      </c>
      <c r="P578">
        <f t="shared" si="985"/>
        <v>-0.65517241379310254</v>
      </c>
      <c r="Q578">
        <f t="shared" si="986"/>
        <v>-15191393.556896532</v>
      </c>
      <c r="R578">
        <f t="shared" si="987"/>
        <v>38271048.978303418</v>
      </c>
      <c r="S578">
        <f t="shared" si="988"/>
        <v>382.71048978303418</v>
      </c>
      <c r="T578">
        <f t="shared" si="989"/>
        <v>0.38271048978303418</v>
      </c>
    </row>
    <row r="579" spans="1:20" x14ac:dyDescent="0.25">
      <c r="A579" s="5">
        <v>44014</v>
      </c>
      <c r="B579">
        <v>0.25640000000000002</v>
      </c>
      <c r="C579">
        <v>0.25990000000000002</v>
      </c>
      <c r="D579">
        <v>0.2417</v>
      </c>
      <c r="E579">
        <v>0.24210000000000001</v>
      </c>
      <c r="F579">
        <v>27285461.050000001</v>
      </c>
      <c r="G579">
        <v>0</v>
      </c>
      <c r="L579" t="s">
        <v>7</v>
      </c>
      <c r="M579" t="s">
        <v>7</v>
      </c>
      <c r="N579" t="s">
        <v>8</v>
      </c>
      <c r="P579">
        <f t="shared" si="985"/>
        <v>-0.95604395604395487</v>
      </c>
      <c r="Q579">
        <f t="shared" si="986"/>
        <v>-26086100.124725245</v>
      </c>
      <c r="R579">
        <f t="shared" si="987"/>
        <v>53462442.535199948</v>
      </c>
      <c r="S579">
        <f t="shared" si="988"/>
        <v>534.62442535199943</v>
      </c>
      <c r="T579">
        <f t="shared" si="989"/>
        <v>0.53462442535199939</v>
      </c>
    </row>
    <row r="580" spans="1:20" x14ac:dyDescent="0.25">
      <c r="A580" s="5">
        <v>44013</v>
      </c>
      <c r="B580">
        <v>0.25140000000000001</v>
      </c>
      <c r="C580">
        <v>0.2636</v>
      </c>
      <c r="D580">
        <v>0.25009999999999999</v>
      </c>
      <c r="E580">
        <v>0.25640000000000002</v>
      </c>
      <c r="F580">
        <v>16821191.399999999</v>
      </c>
      <c r="G580">
        <v>0</v>
      </c>
      <c r="L580" t="s">
        <v>7</v>
      </c>
      <c r="M580" t="s">
        <v>7</v>
      </c>
      <c r="N580" t="s">
        <v>8</v>
      </c>
      <c r="P580">
        <f t="shared" si="985"/>
        <v>-6.6666666666663377E-2</v>
      </c>
      <c r="Q580">
        <f t="shared" si="986"/>
        <v>-1121412.7599999446</v>
      </c>
      <c r="R580">
        <f t="shared" si="987"/>
        <v>79548542.659925193</v>
      </c>
      <c r="S580">
        <f t="shared" si="988"/>
        <v>795.48542659925192</v>
      </c>
      <c r="T580">
        <f t="shared" si="989"/>
        <v>0.79548542659925192</v>
      </c>
    </row>
    <row r="581" spans="1:20" x14ac:dyDescent="0.25">
      <c r="A581" s="5">
        <v>44012</v>
      </c>
      <c r="B581">
        <v>0.2621</v>
      </c>
      <c r="C581">
        <v>0.26419999999999999</v>
      </c>
      <c r="D581">
        <v>0.25009999999999999</v>
      </c>
      <c r="E581">
        <v>0.25140000000000001</v>
      </c>
      <c r="F581">
        <v>13674837.83</v>
      </c>
      <c r="G581">
        <v>0</v>
      </c>
      <c r="L581" t="s">
        <v>7</v>
      </c>
      <c r="M581" t="s">
        <v>7</v>
      </c>
      <c r="N581" t="s">
        <v>8</v>
      </c>
      <c r="P581">
        <f t="shared" si="985"/>
        <v>-0.81560283687942936</v>
      </c>
      <c r="Q581">
        <f t="shared" si="986"/>
        <v>-11153236.52801414</v>
      </c>
      <c r="R581">
        <f t="shared" si="987"/>
        <v>80669955.419925138</v>
      </c>
      <c r="S581">
        <f t="shared" si="988"/>
        <v>806.69955419925134</v>
      </c>
      <c r="T581">
        <f t="shared" si="989"/>
        <v>0.80669955419925132</v>
      </c>
    </row>
    <row r="582" spans="1:20" x14ac:dyDescent="0.25">
      <c r="A582" s="5">
        <v>44011</v>
      </c>
      <c r="B582">
        <v>0.2641</v>
      </c>
      <c r="C582">
        <v>0.26900000000000002</v>
      </c>
      <c r="D582">
        <v>0.25309999999999999</v>
      </c>
      <c r="E582">
        <v>0.26169999999999999</v>
      </c>
      <c r="F582">
        <v>25791471.390000001</v>
      </c>
      <c r="G582">
        <v>0</v>
      </c>
      <c r="L582" t="s">
        <v>7</v>
      </c>
      <c r="M582" t="s">
        <v>7</v>
      </c>
      <c r="N582" t="s">
        <v>8</v>
      </c>
      <c r="P582">
        <f t="shared" ref="P582:P645" si="990">IF(C582=D582,0,((E582-D582)-(C582-E582))/(C582-D582))</f>
        <v>8.1761006289306021E-2</v>
      </c>
      <c r="Q582">
        <f t="shared" ref="Q582:Q645" si="991">F582*P582</f>
        <v>2108736.6545282463</v>
      </c>
      <c r="R582">
        <f t="shared" ref="R582:R645" si="992">R583+Q582</f>
        <v>91823191.947939277</v>
      </c>
      <c r="S582">
        <f t="shared" ref="S582:S645" si="993">R582/100000</f>
        <v>918.23191947939279</v>
      </c>
      <c r="T582">
        <f t="shared" ref="T582:T645" si="994">S582/1000</f>
        <v>0.91823191947939276</v>
      </c>
    </row>
    <row r="583" spans="1:20" x14ac:dyDescent="0.25">
      <c r="A583" s="5">
        <v>44010</v>
      </c>
      <c r="B583">
        <v>0.27100000000000002</v>
      </c>
      <c r="C583">
        <v>0.27339999999999998</v>
      </c>
      <c r="D583">
        <v>0.25700000000000001</v>
      </c>
      <c r="E583">
        <v>0.26350000000000001</v>
      </c>
      <c r="F583">
        <v>45766044.140000001</v>
      </c>
      <c r="G583">
        <v>0</v>
      </c>
      <c r="L583" t="s">
        <v>7</v>
      </c>
      <c r="M583" t="s">
        <v>8</v>
      </c>
      <c r="N583" t="s">
        <v>8</v>
      </c>
      <c r="P583">
        <f t="shared" si="990"/>
        <v>-0.20731707317072956</v>
      </c>
      <c r="Q583">
        <f t="shared" si="991"/>
        <v>-9488082.3217072189</v>
      </c>
      <c r="R583">
        <f t="shared" si="992"/>
        <v>89714455.293411031</v>
      </c>
      <c r="S583">
        <f t="shared" si="993"/>
        <v>897.14455293411027</v>
      </c>
      <c r="T583">
        <f t="shared" si="994"/>
        <v>0.89714455293411022</v>
      </c>
    </row>
    <row r="584" spans="1:20" x14ac:dyDescent="0.25">
      <c r="A584" s="5">
        <v>44009</v>
      </c>
      <c r="B584">
        <v>0.27200000000000002</v>
      </c>
      <c r="C584">
        <v>0.2989</v>
      </c>
      <c r="D584">
        <v>0.26600000000000001</v>
      </c>
      <c r="E584">
        <v>0.27089999999999997</v>
      </c>
      <c r="F584">
        <v>81472206.209999993</v>
      </c>
      <c r="G584">
        <v>0</v>
      </c>
      <c r="L584" t="s">
        <v>8</v>
      </c>
      <c r="M584" t="s">
        <v>8</v>
      </c>
      <c r="N584" t="s">
        <v>8</v>
      </c>
      <c r="P584">
        <f t="shared" si="990"/>
        <v>-0.70212765957447043</v>
      </c>
      <c r="Q584">
        <f t="shared" si="991"/>
        <v>-57203889.466595933</v>
      </c>
      <c r="R584">
        <f t="shared" si="992"/>
        <v>99202537.61511825</v>
      </c>
      <c r="S584">
        <f t="shared" si="993"/>
        <v>992.02537615118251</v>
      </c>
      <c r="T584">
        <f t="shared" si="994"/>
        <v>0.99202537615118247</v>
      </c>
    </row>
    <row r="585" spans="1:20" x14ac:dyDescent="0.25">
      <c r="A585" s="5">
        <v>44008</v>
      </c>
      <c r="B585">
        <v>0.27039999999999997</v>
      </c>
      <c r="C585">
        <v>0.2737</v>
      </c>
      <c r="D585">
        <v>0.25580000000000003</v>
      </c>
      <c r="E585">
        <v>0.27200000000000002</v>
      </c>
      <c r="F585">
        <v>18847932.68</v>
      </c>
      <c r="G585">
        <v>0</v>
      </c>
      <c r="L585" t="s">
        <v>8</v>
      </c>
      <c r="M585" t="s">
        <v>8</v>
      </c>
      <c r="N585" t="s">
        <v>8</v>
      </c>
      <c r="P585">
        <f t="shared" si="990"/>
        <v>0.81005586592178969</v>
      </c>
      <c r="Q585">
        <f t="shared" si="991"/>
        <v>15267878.427932998</v>
      </c>
      <c r="R585">
        <f t="shared" si="992"/>
        <v>156406427.08171418</v>
      </c>
      <c r="S585">
        <f t="shared" si="993"/>
        <v>1564.0642708171417</v>
      </c>
      <c r="T585">
        <f t="shared" si="994"/>
        <v>1.5640642708171417</v>
      </c>
    </row>
    <row r="586" spans="1:20" x14ac:dyDescent="0.25">
      <c r="A586" s="5">
        <v>44007</v>
      </c>
      <c r="B586">
        <v>0.2495</v>
      </c>
      <c r="C586">
        <v>0.27079999999999999</v>
      </c>
      <c r="D586">
        <v>0.2402</v>
      </c>
      <c r="E586">
        <v>0.27050000000000002</v>
      </c>
      <c r="F586">
        <v>25318867.960000001</v>
      </c>
      <c r="G586">
        <v>0</v>
      </c>
      <c r="L586" t="s">
        <v>8</v>
      </c>
      <c r="M586" t="s">
        <v>8</v>
      </c>
      <c r="N586" t="s">
        <v>8</v>
      </c>
      <c r="P586">
        <f t="shared" si="990"/>
        <v>0.98039215686274728</v>
      </c>
      <c r="Q586">
        <f t="shared" si="991"/>
        <v>24822419.568627506</v>
      </c>
      <c r="R586">
        <f t="shared" si="992"/>
        <v>141138548.65378118</v>
      </c>
      <c r="S586">
        <f t="shared" si="993"/>
        <v>1411.3854865378119</v>
      </c>
      <c r="T586">
        <f t="shared" si="994"/>
        <v>1.4113854865378119</v>
      </c>
    </row>
    <row r="587" spans="1:20" x14ac:dyDescent="0.25">
      <c r="A587" s="5">
        <v>44006</v>
      </c>
      <c r="B587">
        <v>0.25829999999999997</v>
      </c>
      <c r="C587">
        <v>0.26550000000000001</v>
      </c>
      <c r="D587">
        <v>0.24210000000000001</v>
      </c>
      <c r="E587">
        <v>0.24909999999999999</v>
      </c>
      <c r="F587">
        <v>21737382.02</v>
      </c>
      <c r="G587">
        <v>0</v>
      </c>
      <c r="L587" t="s">
        <v>8</v>
      </c>
      <c r="M587" t="s">
        <v>8</v>
      </c>
      <c r="N587" t="s">
        <v>8</v>
      </c>
      <c r="P587">
        <f t="shared" si="990"/>
        <v>-0.40170940170940367</v>
      </c>
      <c r="Q587">
        <f t="shared" si="991"/>
        <v>-8732110.7259829491</v>
      </c>
      <c r="R587">
        <f t="shared" si="992"/>
        <v>116316129.08515368</v>
      </c>
      <c r="S587">
        <f t="shared" si="993"/>
        <v>1163.1612908515369</v>
      </c>
      <c r="T587">
        <f t="shared" si="994"/>
        <v>1.163161290851537</v>
      </c>
    </row>
    <row r="588" spans="1:20" x14ac:dyDescent="0.25">
      <c r="A588" s="5">
        <v>44005</v>
      </c>
      <c r="B588">
        <v>0.24479999999999999</v>
      </c>
      <c r="C588">
        <v>0.26300000000000001</v>
      </c>
      <c r="D588">
        <v>0.24249999999999999</v>
      </c>
      <c r="E588">
        <v>0.25819999999999999</v>
      </c>
      <c r="F588">
        <v>25275961.129999999</v>
      </c>
      <c r="G588">
        <v>0</v>
      </c>
      <c r="L588" t="s">
        <v>8</v>
      </c>
      <c r="M588" t="s">
        <v>8</v>
      </c>
      <c r="N588" t="s">
        <v>8</v>
      </c>
      <c r="P588">
        <f t="shared" si="990"/>
        <v>0.53170731707316854</v>
      </c>
      <c r="Q588">
        <f t="shared" si="991"/>
        <v>13439413.478877993</v>
      </c>
      <c r="R588">
        <f t="shared" si="992"/>
        <v>125048239.81113663</v>
      </c>
      <c r="S588">
        <f t="shared" si="993"/>
        <v>1250.4823981113664</v>
      </c>
      <c r="T588">
        <f t="shared" si="994"/>
        <v>1.2504823981113664</v>
      </c>
    </row>
    <row r="589" spans="1:20" x14ac:dyDescent="0.25">
      <c r="A589" s="5">
        <v>44004</v>
      </c>
      <c r="B589">
        <v>0.24229999999999999</v>
      </c>
      <c r="C589">
        <v>0.25090000000000001</v>
      </c>
      <c r="D589">
        <v>0.24030000000000001</v>
      </c>
      <c r="E589">
        <v>0.24440000000000001</v>
      </c>
      <c r="F589">
        <v>25927489.32</v>
      </c>
      <c r="G589">
        <v>0</v>
      </c>
      <c r="L589" t="s">
        <v>8</v>
      </c>
      <c r="M589" t="s">
        <v>8</v>
      </c>
      <c r="N589" t="s">
        <v>8</v>
      </c>
      <c r="P589">
        <f t="shared" si="990"/>
        <v>-0.22641509433962392</v>
      </c>
      <c r="Q589">
        <f t="shared" si="991"/>
        <v>-5870374.9403773919</v>
      </c>
      <c r="R589">
        <f t="shared" si="992"/>
        <v>111608826.33225864</v>
      </c>
      <c r="S589">
        <f t="shared" si="993"/>
        <v>1116.0882633225865</v>
      </c>
      <c r="T589">
        <f t="shared" si="994"/>
        <v>1.1160882633225866</v>
      </c>
    </row>
    <row r="590" spans="1:20" x14ac:dyDescent="0.25">
      <c r="A590" s="5">
        <v>44003</v>
      </c>
      <c r="B590">
        <v>0.23089999999999999</v>
      </c>
      <c r="C590">
        <v>0.25030000000000002</v>
      </c>
      <c r="D590">
        <v>0.23</v>
      </c>
      <c r="E590">
        <v>0.24229999999999999</v>
      </c>
      <c r="F590">
        <v>29464548.859999999</v>
      </c>
      <c r="G590">
        <v>0</v>
      </c>
      <c r="L590" t="s">
        <v>8</v>
      </c>
      <c r="M590" t="s">
        <v>8</v>
      </c>
      <c r="N590" t="s">
        <v>8</v>
      </c>
      <c r="P590">
        <f t="shared" si="990"/>
        <v>0.21182266009851922</v>
      </c>
      <c r="Q590">
        <f t="shared" si="991"/>
        <v>6241259.1181279914</v>
      </c>
      <c r="R590">
        <f t="shared" si="992"/>
        <v>117479201.27263604</v>
      </c>
      <c r="S590">
        <f t="shared" si="993"/>
        <v>1174.7920127263603</v>
      </c>
      <c r="T590">
        <f t="shared" si="994"/>
        <v>1.1747920127263602</v>
      </c>
    </row>
    <row r="591" spans="1:20" x14ac:dyDescent="0.25">
      <c r="A591" s="5">
        <v>44002</v>
      </c>
      <c r="B591">
        <v>0.21759999999999999</v>
      </c>
      <c r="C591">
        <v>0.2334</v>
      </c>
      <c r="D591">
        <v>0.21609999999999999</v>
      </c>
      <c r="E591">
        <v>0.23080000000000001</v>
      </c>
      <c r="F591">
        <v>24284851.329999998</v>
      </c>
      <c r="G591">
        <v>0</v>
      </c>
      <c r="L591" t="s">
        <v>8</v>
      </c>
      <c r="M591" t="s">
        <v>7</v>
      </c>
      <c r="N591" t="s">
        <v>8</v>
      </c>
      <c r="P591">
        <f t="shared" si="990"/>
        <v>0.69942196531792022</v>
      </c>
      <c r="Q591">
        <f t="shared" si="991"/>
        <v>16985358.444682106</v>
      </c>
      <c r="R591">
        <f t="shared" si="992"/>
        <v>111237942.15450805</v>
      </c>
      <c r="S591">
        <f t="shared" si="993"/>
        <v>1112.3794215450805</v>
      </c>
      <c r="T591">
        <f t="shared" si="994"/>
        <v>1.1123794215450804</v>
      </c>
    </row>
    <row r="592" spans="1:20" x14ac:dyDescent="0.25">
      <c r="A592" s="5">
        <v>44001</v>
      </c>
      <c r="B592">
        <v>0.218</v>
      </c>
      <c r="C592">
        <v>0.223</v>
      </c>
      <c r="D592">
        <v>0.21390000000000001</v>
      </c>
      <c r="E592">
        <v>0.2177</v>
      </c>
      <c r="F592">
        <v>7109626.25</v>
      </c>
      <c r="G592">
        <v>0</v>
      </c>
      <c r="L592" t="s">
        <v>8</v>
      </c>
      <c r="M592" t="s">
        <v>7</v>
      </c>
      <c r="N592" t="s">
        <v>8</v>
      </c>
      <c r="P592">
        <f t="shared" si="990"/>
        <v>-0.16483516483516503</v>
      </c>
      <c r="Q592">
        <f t="shared" si="991"/>
        <v>-1171916.4148351662</v>
      </c>
      <c r="R592">
        <f t="shared" si="992"/>
        <v>94252583.709825948</v>
      </c>
      <c r="S592">
        <f t="shared" si="993"/>
        <v>942.52583709825944</v>
      </c>
      <c r="T592">
        <f t="shared" si="994"/>
        <v>0.94252583709825943</v>
      </c>
    </row>
    <row r="593" spans="1:20" x14ac:dyDescent="0.25">
      <c r="A593" s="5">
        <v>44000</v>
      </c>
      <c r="B593">
        <v>0.22359999999999999</v>
      </c>
      <c r="C593">
        <v>0.22459999999999999</v>
      </c>
      <c r="D593">
        <v>0.2145</v>
      </c>
      <c r="E593">
        <v>0.21779999999999999</v>
      </c>
      <c r="F593">
        <v>6891603.04</v>
      </c>
      <c r="G593">
        <v>0</v>
      </c>
      <c r="L593" t="s">
        <v>8</v>
      </c>
      <c r="M593" t="s">
        <v>7</v>
      </c>
      <c r="N593" t="s">
        <v>8</v>
      </c>
      <c r="P593">
        <f t="shared" si="990"/>
        <v>-0.3465346534653469</v>
      </c>
      <c r="Q593">
        <f t="shared" si="991"/>
        <v>-2388179.2712871311</v>
      </c>
      <c r="R593">
        <f t="shared" si="992"/>
        <v>95424500.124661118</v>
      </c>
      <c r="S593">
        <f t="shared" si="993"/>
        <v>954.2450012466112</v>
      </c>
      <c r="T593">
        <f t="shared" si="994"/>
        <v>0.95424500124661116</v>
      </c>
    </row>
    <row r="594" spans="1:20" x14ac:dyDescent="0.25">
      <c r="A594" s="5">
        <v>43999</v>
      </c>
      <c r="B594">
        <v>0.22539999999999999</v>
      </c>
      <c r="C594">
        <v>0.22739999999999999</v>
      </c>
      <c r="D594">
        <v>0.2167</v>
      </c>
      <c r="E594">
        <v>0.22370000000000001</v>
      </c>
      <c r="F594">
        <v>9094164.6600000001</v>
      </c>
      <c r="G594">
        <v>0</v>
      </c>
      <c r="L594" t="s">
        <v>8</v>
      </c>
      <c r="M594" t="s">
        <v>7</v>
      </c>
      <c r="N594" t="s">
        <v>8</v>
      </c>
      <c r="P594">
        <f t="shared" si="990"/>
        <v>0.30841121495327373</v>
      </c>
      <c r="Q594">
        <f t="shared" si="991"/>
        <v>2804742.3717757254</v>
      </c>
      <c r="R594">
        <f t="shared" si="992"/>
        <v>97812679.395948246</v>
      </c>
      <c r="S594">
        <f t="shared" si="993"/>
        <v>978.12679395948248</v>
      </c>
      <c r="T594">
        <f t="shared" si="994"/>
        <v>0.97812679395948243</v>
      </c>
    </row>
    <row r="595" spans="1:20" x14ac:dyDescent="0.25">
      <c r="A595" s="5">
        <v>43998</v>
      </c>
      <c r="B595">
        <v>0.222</v>
      </c>
      <c r="C595">
        <v>0.2283</v>
      </c>
      <c r="D595">
        <v>0.2198</v>
      </c>
      <c r="E595">
        <v>0.22500000000000001</v>
      </c>
      <c r="F595">
        <v>6000275.75</v>
      </c>
      <c r="G595">
        <v>0</v>
      </c>
      <c r="L595" t="s">
        <v>8</v>
      </c>
      <c r="M595" t="s">
        <v>7</v>
      </c>
      <c r="N595" t="s">
        <v>8</v>
      </c>
      <c r="P595">
        <f t="shared" si="990"/>
        <v>0.2235294117647072</v>
      </c>
      <c r="Q595">
        <f t="shared" si="991"/>
        <v>1341238.1088235374</v>
      </c>
      <c r="R595">
        <f t="shared" si="992"/>
        <v>95007937.024172515</v>
      </c>
      <c r="S595">
        <f t="shared" si="993"/>
        <v>950.0793702417252</v>
      </c>
      <c r="T595">
        <f t="shared" si="994"/>
        <v>0.95007937024172517</v>
      </c>
    </row>
    <row r="596" spans="1:20" x14ac:dyDescent="0.25">
      <c r="A596" s="5">
        <v>43997</v>
      </c>
      <c r="B596">
        <v>0.22370000000000001</v>
      </c>
      <c r="C596">
        <v>0.22550000000000001</v>
      </c>
      <c r="D596">
        <v>0.20669999999999999</v>
      </c>
      <c r="E596">
        <v>0.22220000000000001</v>
      </c>
      <c r="F596">
        <v>18261381.16</v>
      </c>
      <c r="G596">
        <v>0</v>
      </c>
      <c r="L596" t="s">
        <v>7</v>
      </c>
      <c r="M596" t="s">
        <v>7</v>
      </c>
      <c r="N596" t="s">
        <v>8</v>
      </c>
      <c r="P596">
        <f t="shared" si="990"/>
        <v>0.64893617021276639</v>
      </c>
      <c r="Q596">
        <f t="shared" si="991"/>
        <v>11850470.752765965</v>
      </c>
      <c r="R596">
        <f t="shared" si="992"/>
        <v>93666698.915348977</v>
      </c>
      <c r="S596">
        <f t="shared" si="993"/>
        <v>936.66698915348979</v>
      </c>
      <c r="T596">
        <f t="shared" si="994"/>
        <v>0.93666698915348978</v>
      </c>
    </row>
    <row r="597" spans="1:20" x14ac:dyDescent="0.25">
      <c r="A597" s="5">
        <v>43996</v>
      </c>
      <c r="B597">
        <v>0.23269999999999999</v>
      </c>
      <c r="C597">
        <v>0.23899999999999999</v>
      </c>
      <c r="D597">
        <v>0.22309999999999999</v>
      </c>
      <c r="E597">
        <v>0.22359999999999999</v>
      </c>
      <c r="F597">
        <v>12056975.18</v>
      </c>
      <c r="G597">
        <v>0</v>
      </c>
      <c r="L597" t="s">
        <v>8</v>
      </c>
      <c r="M597" t="s">
        <v>7</v>
      </c>
      <c r="N597" t="s">
        <v>8</v>
      </c>
      <c r="P597">
        <f t="shared" si="990"/>
        <v>-0.93710691823899361</v>
      </c>
      <c r="Q597">
        <f t="shared" si="991"/>
        <v>-11298674.854213836</v>
      </c>
      <c r="R597">
        <f t="shared" si="992"/>
        <v>81816228.162583008</v>
      </c>
      <c r="S597">
        <f t="shared" si="993"/>
        <v>818.16228162583013</v>
      </c>
      <c r="T597">
        <f t="shared" si="994"/>
        <v>0.81816228162583016</v>
      </c>
    </row>
    <row r="598" spans="1:20" x14ac:dyDescent="0.25">
      <c r="A598" s="5">
        <v>43995</v>
      </c>
      <c r="B598">
        <v>0.2293</v>
      </c>
      <c r="C598">
        <v>0.23419999999999999</v>
      </c>
      <c r="D598">
        <v>0.22389999999999999</v>
      </c>
      <c r="E598">
        <v>0.2324</v>
      </c>
      <c r="F598">
        <v>7820621.6699999999</v>
      </c>
      <c r="G598">
        <v>0</v>
      </c>
      <c r="L598" t="s">
        <v>8</v>
      </c>
      <c r="M598" t="s">
        <v>7</v>
      </c>
      <c r="N598" t="s">
        <v>8</v>
      </c>
      <c r="P598">
        <f t="shared" si="990"/>
        <v>0.65048543689320482</v>
      </c>
      <c r="Q598">
        <f t="shared" si="991"/>
        <v>5087200.5037864149</v>
      </c>
      <c r="R598">
        <f t="shared" si="992"/>
        <v>93114903.016796842</v>
      </c>
      <c r="S598">
        <f t="shared" si="993"/>
        <v>931.14903016796848</v>
      </c>
      <c r="T598">
        <f t="shared" si="994"/>
        <v>0.93114903016796846</v>
      </c>
    </row>
    <row r="599" spans="1:20" x14ac:dyDescent="0.25">
      <c r="A599" s="5">
        <v>43994</v>
      </c>
      <c r="B599">
        <v>0.22239999999999999</v>
      </c>
      <c r="C599">
        <v>0.23549999999999999</v>
      </c>
      <c r="D599">
        <v>0.20710000000000001</v>
      </c>
      <c r="E599">
        <v>0.22950000000000001</v>
      </c>
      <c r="F599">
        <v>17826449.780000001</v>
      </c>
      <c r="G599">
        <v>0</v>
      </c>
      <c r="L599" t="s">
        <v>7</v>
      </c>
      <c r="M599" t="s">
        <v>7</v>
      </c>
      <c r="N599" t="s">
        <v>8</v>
      </c>
      <c r="P599">
        <f t="shared" si="990"/>
        <v>0.57746478873239571</v>
      </c>
      <c r="Q599">
        <f t="shared" si="991"/>
        <v>10294147.056056364</v>
      </c>
      <c r="R599">
        <f t="shared" si="992"/>
        <v>88027702.513010427</v>
      </c>
      <c r="S599">
        <f t="shared" si="993"/>
        <v>880.27702513010422</v>
      </c>
      <c r="T599">
        <f t="shared" si="994"/>
        <v>0.8802770251301042</v>
      </c>
    </row>
    <row r="600" spans="1:20" x14ac:dyDescent="0.25">
      <c r="A600" s="5">
        <v>43993</v>
      </c>
      <c r="B600">
        <v>0.25030000000000002</v>
      </c>
      <c r="C600">
        <v>0.25530000000000003</v>
      </c>
      <c r="D600">
        <v>0.219</v>
      </c>
      <c r="E600">
        <v>0.222</v>
      </c>
      <c r="F600">
        <v>22575571.25</v>
      </c>
      <c r="G600">
        <v>0</v>
      </c>
      <c r="L600" t="s">
        <v>7</v>
      </c>
      <c r="M600" t="s">
        <v>7</v>
      </c>
      <c r="N600" t="s">
        <v>8</v>
      </c>
      <c r="P600">
        <f t="shared" si="990"/>
        <v>-0.83471074380165289</v>
      </c>
      <c r="Q600">
        <f t="shared" si="991"/>
        <v>-18844071.86983471</v>
      </c>
      <c r="R600">
        <f t="shared" si="992"/>
        <v>77733555.456954062</v>
      </c>
      <c r="S600">
        <f t="shared" si="993"/>
        <v>777.33555456954059</v>
      </c>
      <c r="T600">
        <f t="shared" si="994"/>
        <v>0.77733555456954062</v>
      </c>
    </row>
    <row r="601" spans="1:20" x14ac:dyDescent="0.25">
      <c r="A601" s="5">
        <v>43992</v>
      </c>
      <c r="B601">
        <v>0.2515</v>
      </c>
      <c r="C601">
        <v>0.25240000000000001</v>
      </c>
      <c r="D601">
        <v>0.2445</v>
      </c>
      <c r="E601">
        <v>0.25019999999999998</v>
      </c>
      <c r="F601">
        <v>17237531.84</v>
      </c>
      <c r="G601">
        <v>0</v>
      </c>
      <c r="L601" t="s">
        <v>8</v>
      </c>
      <c r="M601" t="s">
        <v>8</v>
      </c>
      <c r="N601" t="s">
        <v>8</v>
      </c>
      <c r="P601">
        <f t="shared" si="990"/>
        <v>0.44303797468353667</v>
      </c>
      <c r="Q601">
        <f t="shared" si="991"/>
        <v>7636881.1949365772</v>
      </c>
      <c r="R601">
        <f t="shared" si="992"/>
        <v>96577627.326788768</v>
      </c>
      <c r="S601">
        <f t="shared" si="993"/>
        <v>965.77627326788763</v>
      </c>
      <c r="T601">
        <f t="shared" si="994"/>
        <v>0.96577627326788762</v>
      </c>
    </row>
    <row r="602" spans="1:20" x14ac:dyDescent="0.25">
      <c r="A602" s="5">
        <v>43991</v>
      </c>
      <c r="B602">
        <v>0.25750000000000001</v>
      </c>
      <c r="C602">
        <v>0.2596</v>
      </c>
      <c r="D602">
        <v>0.248</v>
      </c>
      <c r="E602">
        <v>0.25119999999999998</v>
      </c>
      <c r="F602">
        <v>24096984.100000001</v>
      </c>
      <c r="G602">
        <v>0</v>
      </c>
      <c r="L602" t="s">
        <v>8</v>
      </c>
      <c r="M602" t="s">
        <v>8</v>
      </c>
      <c r="N602" t="s">
        <v>8</v>
      </c>
      <c r="P602">
        <f t="shared" si="990"/>
        <v>-0.4482758620689688</v>
      </c>
      <c r="Q602">
        <f t="shared" si="991"/>
        <v>-10802096.320689734</v>
      </c>
      <c r="R602">
        <f t="shared" si="992"/>
        <v>88940746.131852195</v>
      </c>
      <c r="S602">
        <f t="shared" si="993"/>
        <v>889.407461318522</v>
      </c>
      <c r="T602">
        <f t="shared" si="994"/>
        <v>0.889407461318522</v>
      </c>
    </row>
    <row r="603" spans="1:20" x14ac:dyDescent="0.25">
      <c r="A603" s="5">
        <v>43990</v>
      </c>
      <c r="B603">
        <v>0.2346</v>
      </c>
      <c r="C603">
        <v>0.2581</v>
      </c>
      <c r="D603">
        <v>0.23269999999999999</v>
      </c>
      <c r="E603">
        <v>0.25740000000000002</v>
      </c>
      <c r="F603">
        <v>29395421.050000001</v>
      </c>
      <c r="G603">
        <v>0</v>
      </c>
      <c r="L603" t="s">
        <v>8</v>
      </c>
      <c r="M603" t="s">
        <v>8</v>
      </c>
      <c r="N603" t="s">
        <v>8</v>
      </c>
      <c r="P603">
        <f t="shared" si="990"/>
        <v>0.94488188976378129</v>
      </c>
      <c r="Q603">
        <f t="shared" si="991"/>
        <v>27775200.992126036</v>
      </c>
      <c r="R603">
        <f t="shared" si="992"/>
        <v>99742842.452541932</v>
      </c>
      <c r="S603">
        <f t="shared" si="993"/>
        <v>997.42842452541936</v>
      </c>
      <c r="T603">
        <f t="shared" si="994"/>
        <v>0.99742842452541935</v>
      </c>
    </row>
    <row r="604" spans="1:20" x14ac:dyDescent="0.25">
      <c r="A604" s="5">
        <v>43989</v>
      </c>
      <c r="B604">
        <v>0.23680000000000001</v>
      </c>
      <c r="C604">
        <v>0.24</v>
      </c>
      <c r="D604">
        <v>0.22670000000000001</v>
      </c>
      <c r="E604">
        <v>0.2346</v>
      </c>
      <c r="F604">
        <v>10520395.970000001</v>
      </c>
      <c r="G604">
        <v>0</v>
      </c>
      <c r="L604" t="s">
        <v>7</v>
      </c>
      <c r="M604" t="s">
        <v>8</v>
      </c>
      <c r="N604" t="s">
        <v>8</v>
      </c>
      <c r="P604">
        <f t="shared" si="990"/>
        <v>0.18796992481203054</v>
      </c>
      <c r="Q604">
        <f t="shared" si="991"/>
        <v>1977518.0394736892</v>
      </c>
      <c r="R604">
        <f t="shared" si="992"/>
        <v>71967641.4604159</v>
      </c>
      <c r="S604">
        <f t="shared" si="993"/>
        <v>719.67641460415905</v>
      </c>
      <c r="T604">
        <f t="shared" si="994"/>
        <v>0.7196764146041591</v>
      </c>
    </row>
    <row r="605" spans="1:20" x14ac:dyDescent="0.25">
      <c r="A605" s="5">
        <v>43988</v>
      </c>
      <c r="B605">
        <v>0.24410000000000001</v>
      </c>
      <c r="C605">
        <v>0.2452</v>
      </c>
      <c r="D605">
        <v>0.23499999999999999</v>
      </c>
      <c r="E605">
        <v>0.23699999999999999</v>
      </c>
      <c r="F605">
        <v>11850969.189999999</v>
      </c>
      <c r="G605">
        <v>0</v>
      </c>
      <c r="L605" t="s">
        <v>8</v>
      </c>
      <c r="M605" t="s">
        <v>8</v>
      </c>
      <c r="N605" t="s">
        <v>8</v>
      </c>
      <c r="P605">
        <f t="shared" si="990"/>
        <v>-0.60784313725490213</v>
      </c>
      <c r="Q605">
        <f t="shared" si="991"/>
        <v>-7203530.2919607861</v>
      </c>
      <c r="R605">
        <f t="shared" si="992"/>
        <v>69990123.420942217</v>
      </c>
      <c r="S605">
        <f t="shared" si="993"/>
        <v>699.90123420942223</v>
      </c>
      <c r="T605">
        <f t="shared" si="994"/>
        <v>0.69990123420942219</v>
      </c>
    </row>
    <row r="606" spans="1:20" x14ac:dyDescent="0.25">
      <c r="A606" s="5">
        <v>43987</v>
      </c>
      <c r="B606">
        <v>0.24160000000000001</v>
      </c>
      <c r="C606">
        <v>0.248</v>
      </c>
      <c r="D606">
        <v>0.23699999999999999</v>
      </c>
      <c r="E606">
        <v>0.24429999999999999</v>
      </c>
      <c r="F606">
        <v>24392610.949999999</v>
      </c>
      <c r="G606">
        <v>0</v>
      </c>
      <c r="L606" t="s">
        <v>8</v>
      </c>
      <c r="M606" t="s">
        <v>8</v>
      </c>
      <c r="N606" t="s">
        <v>8</v>
      </c>
      <c r="P606">
        <f t="shared" si="990"/>
        <v>0.32727272727272627</v>
      </c>
      <c r="Q606">
        <f t="shared" si="991"/>
        <v>7983036.3109090663</v>
      </c>
      <c r="R606">
        <f t="shared" si="992"/>
        <v>77193653.712903008</v>
      </c>
      <c r="S606">
        <f t="shared" si="993"/>
        <v>771.93653712903006</v>
      </c>
      <c r="T606">
        <f t="shared" si="994"/>
        <v>0.7719365371290301</v>
      </c>
    </row>
    <row r="607" spans="1:20" x14ac:dyDescent="0.25">
      <c r="A607" s="5">
        <v>43986</v>
      </c>
      <c r="B607">
        <v>0.22459999999999999</v>
      </c>
      <c r="C607">
        <v>0.245</v>
      </c>
      <c r="D607">
        <v>0.222</v>
      </c>
      <c r="E607">
        <v>0.2414</v>
      </c>
      <c r="F607">
        <v>31084926.18</v>
      </c>
      <c r="G607">
        <v>0</v>
      </c>
      <c r="L607" t="s">
        <v>8</v>
      </c>
      <c r="M607" t="s">
        <v>8</v>
      </c>
      <c r="N607" t="s">
        <v>8</v>
      </c>
      <c r="P607">
        <f t="shared" si="990"/>
        <v>0.68695652173913102</v>
      </c>
      <c r="Q607">
        <f t="shared" si="991"/>
        <v>21353992.767130453</v>
      </c>
      <c r="R607">
        <f t="shared" si="992"/>
        <v>69210617.401993945</v>
      </c>
      <c r="S607">
        <f t="shared" si="993"/>
        <v>692.10617401993943</v>
      </c>
      <c r="T607">
        <f t="shared" si="994"/>
        <v>0.69210617401993946</v>
      </c>
    </row>
    <row r="608" spans="1:20" x14ac:dyDescent="0.25">
      <c r="A608" s="5">
        <v>43985</v>
      </c>
      <c r="B608">
        <v>0.2152</v>
      </c>
      <c r="C608">
        <v>0.22520000000000001</v>
      </c>
      <c r="D608">
        <v>0.21</v>
      </c>
      <c r="E608">
        <v>0.22439999999999999</v>
      </c>
      <c r="F608">
        <v>10086631.640000001</v>
      </c>
      <c r="G608">
        <v>0</v>
      </c>
      <c r="L608" t="s">
        <v>8</v>
      </c>
      <c r="M608" t="s">
        <v>8</v>
      </c>
      <c r="N608" t="s">
        <v>7</v>
      </c>
      <c r="P608">
        <f t="shared" si="990"/>
        <v>0.89473684210526028</v>
      </c>
      <c r="Q608">
        <f t="shared" si="991"/>
        <v>9024880.9410526026</v>
      </c>
      <c r="R608">
        <f t="shared" si="992"/>
        <v>47856624.634863496</v>
      </c>
      <c r="S608">
        <f t="shared" si="993"/>
        <v>478.56624634863493</v>
      </c>
      <c r="T608">
        <f t="shared" si="994"/>
        <v>0.47856624634863493</v>
      </c>
    </row>
    <row r="609" spans="1:20" x14ac:dyDescent="0.25">
      <c r="A609" s="5">
        <v>43984</v>
      </c>
      <c r="B609">
        <v>0.22450000000000001</v>
      </c>
      <c r="C609">
        <v>0.23039999999999999</v>
      </c>
      <c r="D609">
        <v>0.20119999999999999</v>
      </c>
      <c r="E609">
        <v>0.21529999999999999</v>
      </c>
      <c r="F609">
        <v>18516470.170000002</v>
      </c>
      <c r="G609">
        <v>0</v>
      </c>
      <c r="L609" t="s">
        <v>7</v>
      </c>
      <c r="M609" t="s">
        <v>8</v>
      </c>
      <c r="N609" t="s">
        <v>7</v>
      </c>
      <c r="P609">
        <f t="shared" si="990"/>
        <v>-3.4246575342465779E-2</v>
      </c>
      <c r="Q609">
        <f t="shared" si="991"/>
        <v>-634125.69075342524</v>
      </c>
      <c r="R609">
        <f t="shared" si="992"/>
        <v>38831743.693810895</v>
      </c>
      <c r="S609">
        <f t="shared" si="993"/>
        <v>388.31743693810893</v>
      </c>
      <c r="T609">
        <f t="shared" si="994"/>
        <v>0.38831743693810894</v>
      </c>
    </row>
    <row r="610" spans="1:20" x14ac:dyDescent="0.25">
      <c r="A610" s="5">
        <v>43983</v>
      </c>
      <c r="B610">
        <v>0.21099999999999999</v>
      </c>
      <c r="C610">
        <v>0.22550000000000001</v>
      </c>
      <c r="D610">
        <v>0.20960000000000001</v>
      </c>
      <c r="E610">
        <v>0.22389999999999999</v>
      </c>
      <c r="F610">
        <v>13817043.380000001</v>
      </c>
      <c r="G610">
        <v>0</v>
      </c>
      <c r="L610" t="s">
        <v>7</v>
      </c>
      <c r="M610" t="s">
        <v>8</v>
      </c>
      <c r="N610" t="s">
        <v>7</v>
      </c>
      <c r="P610">
        <f t="shared" si="990"/>
        <v>0.79874213836477759</v>
      </c>
      <c r="Q610">
        <f t="shared" si="991"/>
        <v>11036254.775220094</v>
      </c>
      <c r="R610">
        <f t="shared" si="992"/>
        <v>39465869.384564318</v>
      </c>
      <c r="S610">
        <f t="shared" si="993"/>
        <v>394.6586938456432</v>
      </c>
      <c r="T610">
        <f t="shared" si="994"/>
        <v>0.39465869384564323</v>
      </c>
    </row>
    <row r="611" spans="1:20" x14ac:dyDescent="0.25">
      <c r="A611" s="5">
        <v>43982</v>
      </c>
      <c r="B611">
        <v>0.2205</v>
      </c>
      <c r="C611">
        <v>0.23</v>
      </c>
      <c r="D611">
        <v>0.20799999999999999</v>
      </c>
      <c r="E611">
        <v>0.21129999999999999</v>
      </c>
      <c r="F611">
        <v>21476692.420000002</v>
      </c>
      <c r="G611">
        <v>0</v>
      </c>
      <c r="L611" t="s">
        <v>8</v>
      </c>
      <c r="M611" t="s">
        <v>8</v>
      </c>
      <c r="N611" t="s">
        <v>7</v>
      </c>
      <c r="P611">
        <f t="shared" si="990"/>
        <v>-0.70000000000000051</v>
      </c>
      <c r="Q611">
        <f t="shared" si="991"/>
        <v>-15033684.694000011</v>
      </c>
      <c r="R611">
        <f t="shared" si="992"/>
        <v>28429614.609344222</v>
      </c>
      <c r="S611">
        <f t="shared" si="993"/>
        <v>284.29614609344219</v>
      </c>
      <c r="T611">
        <f t="shared" si="994"/>
        <v>0.28429614609344217</v>
      </c>
    </row>
    <row r="612" spans="1:20" x14ac:dyDescent="0.25">
      <c r="A612" s="5">
        <v>43981</v>
      </c>
      <c r="B612">
        <v>0.20930000000000001</v>
      </c>
      <c r="C612">
        <v>0.2213</v>
      </c>
      <c r="D612">
        <v>0.20669999999999999</v>
      </c>
      <c r="E612">
        <v>0.22040000000000001</v>
      </c>
      <c r="F612">
        <v>15587510.82</v>
      </c>
      <c r="G612">
        <v>0</v>
      </c>
      <c r="L612" t="s">
        <v>8</v>
      </c>
      <c r="M612" t="s">
        <v>8</v>
      </c>
      <c r="N612" t="s">
        <v>7</v>
      </c>
      <c r="P612">
        <f t="shared" si="990"/>
        <v>0.87671232876712546</v>
      </c>
      <c r="Q612">
        <f t="shared" si="991"/>
        <v>13665762.910684966</v>
      </c>
      <c r="R612">
        <f t="shared" si="992"/>
        <v>43463299.303344235</v>
      </c>
      <c r="S612">
        <f t="shared" si="993"/>
        <v>434.63299303344235</v>
      </c>
      <c r="T612">
        <f t="shared" si="994"/>
        <v>0.43463299303344233</v>
      </c>
    </row>
    <row r="613" spans="1:20" x14ac:dyDescent="0.25">
      <c r="A613" s="5">
        <v>43980</v>
      </c>
      <c r="B613">
        <v>0.21290000000000001</v>
      </c>
      <c r="C613">
        <v>0.21529999999999999</v>
      </c>
      <c r="D613">
        <v>0.20749999999999999</v>
      </c>
      <c r="E613">
        <v>0.2092</v>
      </c>
      <c r="F613">
        <v>11923532.16</v>
      </c>
      <c r="G613">
        <v>0</v>
      </c>
      <c r="L613" t="s">
        <v>8</v>
      </c>
      <c r="M613" t="s">
        <v>8</v>
      </c>
      <c r="N613" t="s">
        <v>7</v>
      </c>
      <c r="P613">
        <f t="shared" si="990"/>
        <v>-0.56410256410256232</v>
      </c>
      <c r="Q613">
        <f t="shared" si="991"/>
        <v>-6726095.0646153633</v>
      </c>
      <c r="R613">
        <f t="shared" si="992"/>
        <v>29797536.392659269</v>
      </c>
      <c r="S613">
        <f t="shared" si="993"/>
        <v>297.97536392659271</v>
      </c>
      <c r="T613">
        <f t="shared" si="994"/>
        <v>0.29797536392659268</v>
      </c>
    </row>
    <row r="614" spans="1:20" x14ac:dyDescent="0.25">
      <c r="A614" s="5">
        <v>43979</v>
      </c>
      <c r="B614">
        <v>0.20730000000000001</v>
      </c>
      <c r="C614">
        <v>0.21410000000000001</v>
      </c>
      <c r="D614">
        <v>0.20449999999999999</v>
      </c>
      <c r="E614">
        <v>0.21279999999999999</v>
      </c>
      <c r="F614">
        <v>15334993.75</v>
      </c>
      <c r="G614">
        <v>0</v>
      </c>
      <c r="L614" t="s">
        <v>8</v>
      </c>
      <c r="M614" t="s">
        <v>8</v>
      </c>
      <c r="N614" t="s">
        <v>7</v>
      </c>
      <c r="P614">
        <f t="shared" si="990"/>
        <v>0.72916666666666252</v>
      </c>
      <c r="Q614">
        <f t="shared" si="991"/>
        <v>11181766.276041603</v>
      </c>
      <c r="R614">
        <f t="shared" si="992"/>
        <v>36523631.457274631</v>
      </c>
      <c r="S614">
        <f t="shared" si="993"/>
        <v>365.23631457274632</v>
      </c>
      <c r="T614">
        <f t="shared" si="994"/>
        <v>0.3652363145727463</v>
      </c>
    </row>
    <row r="615" spans="1:20" x14ac:dyDescent="0.25">
      <c r="A615" s="5">
        <v>43978</v>
      </c>
      <c r="B615">
        <v>0.2034</v>
      </c>
      <c r="C615">
        <v>0.20780000000000001</v>
      </c>
      <c r="D615">
        <v>0.20039999999999999</v>
      </c>
      <c r="E615">
        <v>0.2074</v>
      </c>
      <c r="F615">
        <v>12283348.689999999</v>
      </c>
      <c r="G615">
        <v>0</v>
      </c>
      <c r="L615" t="s">
        <v>8</v>
      </c>
      <c r="M615" t="s">
        <v>8</v>
      </c>
      <c r="N615" t="s">
        <v>7</v>
      </c>
      <c r="P615">
        <f t="shared" si="990"/>
        <v>0.891891891891889</v>
      </c>
      <c r="Q615">
        <f t="shared" si="991"/>
        <v>10955419.101891857</v>
      </c>
      <c r="R615">
        <f t="shared" si="992"/>
        <v>25341865.181233026</v>
      </c>
      <c r="S615">
        <f t="shared" si="993"/>
        <v>253.41865181233027</v>
      </c>
      <c r="T615">
        <f t="shared" si="994"/>
        <v>0.25341865181233025</v>
      </c>
    </row>
    <row r="616" spans="1:20" x14ac:dyDescent="0.25">
      <c r="A616" s="5">
        <v>43977</v>
      </c>
      <c r="B616">
        <v>0.2051</v>
      </c>
      <c r="C616">
        <v>0.2092</v>
      </c>
      <c r="D616">
        <v>0.19989999999999999</v>
      </c>
      <c r="E616">
        <v>0.20349999999999999</v>
      </c>
      <c r="F616">
        <v>16204008.289999999</v>
      </c>
      <c r="G616">
        <v>0</v>
      </c>
      <c r="L616" t="s">
        <v>8</v>
      </c>
      <c r="M616" t="s">
        <v>8</v>
      </c>
      <c r="N616" t="s">
        <v>7</v>
      </c>
      <c r="P616">
        <f t="shared" si="990"/>
        <v>-0.22580645161290516</v>
      </c>
      <c r="Q616">
        <f t="shared" si="991"/>
        <v>-3658969.6138709988</v>
      </c>
      <c r="R616">
        <f t="shared" si="992"/>
        <v>14386446.079341168</v>
      </c>
      <c r="S616">
        <f t="shared" si="993"/>
        <v>143.86446079341167</v>
      </c>
      <c r="T616">
        <f t="shared" si="994"/>
        <v>0.14386446079341167</v>
      </c>
    </row>
    <row r="617" spans="1:20" x14ac:dyDescent="0.25">
      <c r="A617" s="5">
        <v>43976</v>
      </c>
      <c r="B617">
        <v>0.19289999999999999</v>
      </c>
      <c r="C617">
        <v>0.20610000000000001</v>
      </c>
      <c r="D617">
        <v>0.1915</v>
      </c>
      <c r="E617">
        <v>0.20499999999999999</v>
      </c>
      <c r="F617">
        <v>14662477.439999999</v>
      </c>
      <c r="G617">
        <v>0</v>
      </c>
      <c r="L617" t="s">
        <v>8</v>
      </c>
      <c r="M617" t="s">
        <v>8</v>
      </c>
      <c r="N617" t="s">
        <v>7</v>
      </c>
      <c r="P617">
        <f t="shared" si="990"/>
        <v>0.84931506849314831</v>
      </c>
      <c r="Q617">
        <f t="shared" si="991"/>
        <v>12453063.031232841</v>
      </c>
      <c r="R617">
        <f t="shared" si="992"/>
        <v>18045415.693212166</v>
      </c>
      <c r="S617">
        <f t="shared" si="993"/>
        <v>180.45415693212166</v>
      </c>
      <c r="T617">
        <f t="shared" si="994"/>
        <v>0.18045415693212166</v>
      </c>
    </row>
    <row r="618" spans="1:20" x14ac:dyDescent="0.25">
      <c r="A618" s="5">
        <v>43975</v>
      </c>
      <c r="B618">
        <v>0.20269999999999999</v>
      </c>
      <c r="C618">
        <v>0.2082</v>
      </c>
      <c r="D618">
        <v>0.19289999999999999</v>
      </c>
      <c r="E618">
        <v>0.19309999999999999</v>
      </c>
      <c r="F618">
        <v>12459901.1</v>
      </c>
      <c r="G618">
        <v>0</v>
      </c>
      <c r="L618" t="s">
        <v>7</v>
      </c>
      <c r="M618" t="s">
        <v>8</v>
      </c>
      <c r="N618" t="s">
        <v>7</v>
      </c>
      <c r="P618">
        <f t="shared" si="990"/>
        <v>-0.97385620915032611</v>
      </c>
      <c r="Q618">
        <f t="shared" si="991"/>
        <v>-12134152.051633978</v>
      </c>
      <c r="R618">
        <f t="shared" si="992"/>
        <v>5592352.6619793233</v>
      </c>
      <c r="S618">
        <f t="shared" si="993"/>
        <v>55.923526619793229</v>
      </c>
      <c r="T618">
        <f t="shared" si="994"/>
        <v>5.5923526619793232E-2</v>
      </c>
    </row>
    <row r="619" spans="1:20" x14ac:dyDescent="0.25">
      <c r="A619" s="5">
        <v>43974</v>
      </c>
      <c r="B619">
        <v>0.20599999999999999</v>
      </c>
      <c r="C619">
        <v>0.21099999999999999</v>
      </c>
      <c r="D619">
        <v>0.20050000000000001</v>
      </c>
      <c r="E619">
        <v>0.20280000000000001</v>
      </c>
      <c r="F619">
        <v>10852790.460000001</v>
      </c>
      <c r="G619">
        <v>0</v>
      </c>
      <c r="L619" t="s">
        <v>8</v>
      </c>
      <c r="M619" t="s">
        <v>8</v>
      </c>
      <c r="N619" t="s">
        <v>7</v>
      </c>
      <c r="P619">
        <f t="shared" si="990"/>
        <v>-0.5619047619047618</v>
      </c>
      <c r="Q619">
        <f t="shared" si="991"/>
        <v>-6098234.6394285709</v>
      </c>
      <c r="R619">
        <f t="shared" si="992"/>
        <v>17726504.713613302</v>
      </c>
      <c r="S619">
        <f t="shared" si="993"/>
        <v>177.26504713613301</v>
      </c>
      <c r="T619">
        <f t="shared" si="994"/>
        <v>0.177265047136133</v>
      </c>
    </row>
    <row r="620" spans="1:20" x14ac:dyDescent="0.25">
      <c r="A620" s="5">
        <v>43973</v>
      </c>
      <c r="B620">
        <v>0.1953</v>
      </c>
      <c r="C620">
        <v>0.20910000000000001</v>
      </c>
      <c r="D620">
        <v>0.1923</v>
      </c>
      <c r="E620">
        <v>0.20569999999999999</v>
      </c>
      <c r="F620">
        <v>14078376.92</v>
      </c>
      <c r="G620">
        <v>0</v>
      </c>
      <c r="L620" t="s">
        <v>8</v>
      </c>
      <c r="M620" t="s">
        <v>8</v>
      </c>
      <c r="N620" t="s">
        <v>7</v>
      </c>
      <c r="P620">
        <f t="shared" si="990"/>
        <v>0.59523809523809379</v>
      </c>
      <c r="Q620">
        <f t="shared" si="991"/>
        <v>8379986.2619047416</v>
      </c>
      <c r="R620">
        <f t="shared" si="992"/>
        <v>23824739.353041872</v>
      </c>
      <c r="S620">
        <f t="shared" si="993"/>
        <v>238.24739353041872</v>
      </c>
      <c r="T620">
        <f t="shared" si="994"/>
        <v>0.23824739353041871</v>
      </c>
    </row>
    <row r="621" spans="1:20" x14ac:dyDescent="0.25">
      <c r="A621" s="5">
        <v>43972</v>
      </c>
      <c r="B621">
        <v>0.20399999999999999</v>
      </c>
      <c r="C621">
        <v>0.20580000000000001</v>
      </c>
      <c r="D621">
        <v>0.18779999999999999</v>
      </c>
      <c r="E621">
        <v>0.19539999999999999</v>
      </c>
      <c r="F621">
        <v>17935698.199999999</v>
      </c>
      <c r="G621">
        <v>0</v>
      </c>
      <c r="L621" t="s">
        <v>7</v>
      </c>
      <c r="M621" t="s">
        <v>8</v>
      </c>
      <c r="N621" t="s">
        <v>7</v>
      </c>
      <c r="P621">
        <f t="shared" si="990"/>
        <v>-0.15555555555555678</v>
      </c>
      <c r="Q621">
        <f t="shared" si="991"/>
        <v>-2789997.4977777996</v>
      </c>
      <c r="R621">
        <f t="shared" si="992"/>
        <v>15444753.091137132</v>
      </c>
      <c r="S621">
        <f t="shared" si="993"/>
        <v>154.44753091137133</v>
      </c>
      <c r="T621">
        <f t="shared" si="994"/>
        <v>0.15444753091137134</v>
      </c>
    </row>
    <row r="622" spans="1:20" x14ac:dyDescent="0.25">
      <c r="A622" s="5">
        <v>43971</v>
      </c>
      <c r="B622">
        <v>0.20660000000000001</v>
      </c>
      <c r="C622">
        <v>0.21210000000000001</v>
      </c>
      <c r="D622">
        <v>0.19850000000000001</v>
      </c>
      <c r="E622">
        <v>0.2039</v>
      </c>
      <c r="F622">
        <v>16054933.23</v>
      </c>
      <c r="G622">
        <v>0</v>
      </c>
      <c r="L622" t="s">
        <v>7</v>
      </c>
      <c r="M622" t="s">
        <v>8</v>
      </c>
      <c r="N622" t="s">
        <v>7</v>
      </c>
      <c r="P622">
        <f t="shared" si="990"/>
        <v>-0.20588235294117826</v>
      </c>
      <c r="Q622">
        <f t="shared" si="991"/>
        <v>-3305427.4297059113</v>
      </c>
      <c r="R622">
        <f t="shared" si="992"/>
        <v>18234750.588914931</v>
      </c>
      <c r="S622">
        <f t="shared" si="993"/>
        <v>182.34750588914932</v>
      </c>
      <c r="T622">
        <f t="shared" si="994"/>
        <v>0.18234750588914933</v>
      </c>
    </row>
    <row r="623" spans="1:20" x14ac:dyDescent="0.25">
      <c r="A623" s="5">
        <v>43970</v>
      </c>
      <c r="B623">
        <v>0.2102</v>
      </c>
      <c r="C623">
        <v>0.2102</v>
      </c>
      <c r="D623">
        <v>0.20319999999999999</v>
      </c>
      <c r="E623">
        <v>0.20669999999999999</v>
      </c>
      <c r="F623">
        <v>12541969.550000001</v>
      </c>
      <c r="G623">
        <v>0</v>
      </c>
      <c r="L623" t="s">
        <v>8</v>
      </c>
      <c r="M623" t="s">
        <v>8</v>
      </c>
      <c r="N623" t="s">
        <v>7</v>
      </c>
      <c r="P623">
        <f t="shared" si="990"/>
        <v>0</v>
      </c>
      <c r="Q623">
        <f t="shared" si="991"/>
        <v>0</v>
      </c>
      <c r="R623">
        <f t="shared" si="992"/>
        <v>21540178.018620841</v>
      </c>
      <c r="S623">
        <f t="shared" si="993"/>
        <v>215.40178018620841</v>
      </c>
      <c r="T623">
        <f t="shared" si="994"/>
        <v>0.21540178018620842</v>
      </c>
    </row>
    <row r="624" spans="1:20" x14ac:dyDescent="0.25">
      <c r="A624" s="5">
        <v>43969</v>
      </c>
      <c r="B624">
        <v>0.2049</v>
      </c>
      <c r="C624">
        <v>0.21229999999999999</v>
      </c>
      <c r="D624">
        <v>0.2036</v>
      </c>
      <c r="E624">
        <v>0.2102</v>
      </c>
      <c r="F624">
        <v>14670617.83</v>
      </c>
      <c r="G624">
        <v>0</v>
      </c>
      <c r="L624" t="s">
        <v>8</v>
      </c>
      <c r="M624" t="s">
        <v>8</v>
      </c>
      <c r="N624" t="s">
        <v>7</v>
      </c>
      <c r="P624">
        <f t="shared" si="990"/>
        <v>0.51724137931034619</v>
      </c>
      <c r="Q624">
        <f t="shared" si="991"/>
        <v>7588250.601724158</v>
      </c>
      <c r="R624">
        <f t="shared" si="992"/>
        <v>21540178.018620841</v>
      </c>
      <c r="S624">
        <f t="shared" si="993"/>
        <v>215.40178018620841</v>
      </c>
      <c r="T624">
        <f t="shared" si="994"/>
        <v>0.21540178018620842</v>
      </c>
    </row>
    <row r="625" spans="1:20" x14ac:dyDescent="0.25">
      <c r="A625" s="5">
        <v>43968</v>
      </c>
      <c r="B625">
        <v>0.2034</v>
      </c>
      <c r="C625">
        <v>0.21629999999999999</v>
      </c>
      <c r="D625">
        <v>0.2011</v>
      </c>
      <c r="E625">
        <v>0.2051</v>
      </c>
      <c r="F625">
        <v>21037435.739999998</v>
      </c>
      <c r="G625">
        <v>0</v>
      </c>
      <c r="L625" t="s">
        <v>8</v>
      </c>
      <c r="M625" t="s">
        <v>8</v>
      </c>
      <c r="N625" t="s">
        <v>7</v>
      </c>
      <c r="P625">
        <f t="shared" si="990"/>
        <v>-0.47368421052631504</v>
      </c>
      <c r="Q625">
        <f t="shared" si="991"/>
        <v>-9965101.1399999838</v>
      </c>
      <c r="R625">
        <f t="shared" si="992"/>
        <v>13951927.416896684</v>
      </c>
      <c r="S625">
        <f t="shared" si="993"/>
        <v>139.51927416896683</v>
      </c>
      <c r="T625">
        <f t="shared" si="994"/>
        <v>0.13951927416896684</v>
      </c>
    </row>
    <row r="626" spans="1:20" x14ac:dyDescent="0.25">
      <c r="A626" s="5">
        <v>43967</v>
      </c>
      <c r="B626">
        <v>0.19889999999999999</v>
      </c>
      <c r="C626">
        <v>0.20760000000000001</v>
      </c>
      <c r="D626">
        <v>0.19650000000000001</v>
      </c>
      <c r="E626">
        <v>0.2034</v>
      </c>
      <c r="F626">
        <v>13857981.210000001</v>
      </c>
      <c r="G626">
        <v>0</v>
      </c>
      <c r="L626" t="s">
        <v>7</v>
      </c>
      <c r="M626" t="s">
        <v>8</v>
      </c>
      <c r="N626" t="s">
        <v>7</v>
      </c>
      <c r="P626">
        <f t="shared" si="990"/>
        <v>0.24324324324324148</v>
      </c>
      <c r="Q626">
        <f t="shared" si="991"/>
        <v>3370860.2943243003</v>
      </c>
      <c r="R626">
        <f t="shared" si="992"/>
        <v>23917028.556896668</v>
      </c>
      <c r="S626">
        <f t="shared" si="993"/>
        <v>239.17028556896668</v>
      </c>
      <c r="T626">
        <f t="shared" si="994"/>
        <v>0.23917028556896669</v>
      </c>
    </row>
    <row r="627" spans="1:20" x14ac:dyDescent="0.25">
      <c r="A627" s="5">
        <v>43966</v>
      </c>
      <c r="B627">
        <v>0.20080000000000001</v>
      </c>
      <c r="C627">
        <v>0.21360000000000001</v>
      </c>
      <c r="D627">
        <v>0.19800000000000001</v>
      </c>
      <c r="E627">
        <v>0.1988</v>
      </c>
      <c r="F627">
        <v>27009240.449999999</v>
      </c>
      <c r="G627">
        <v>0</v>
      </c>
      <c r="L627" t="s">
        <v>8</v>
      </c>
      <c r="M627" t="s">
        <v>8</v>
      </c>
      <c r="N627" t="s">
        <v>7</v>
      </c>
      <c r="P627">
        <f t="shared" si="990"/>
        <v>-0.89743589743589802</v>
      </c>
      <c r="Q627">
        <f t="shared" si="991"/>
        <v>-24239061.942307707</v>
      </c>
      <c r="R627">
        <f t="shared" si="992"/>
        <v>20546168.262572367</v>
      </c>
      <c r="S627">
        <f t="shared" si="993"/>
        <v>205.46168262572365</v>
      </c>
      <c r="T627">
        <f t="shared" si="994"/>
        <v>0.20546168262572365</v>
      </c>
    </row>
    <row r="628" spans="1:20" x14ac:dyDescent="0.25">
      <c r="A628" s="5">
        <v>43965</v>
      </c>
      <c r="B628">
        <v>0.2026</v>
      </c>
      <c r="C628">
        <v>0.20810000000000001</v>
      </c>
      <c r="D628">
        <v>0.1956</v>
      </c>
      <c r="E628">
        <v>0.20030000000000001</v>
      </c>
      <c r="F628">
        <v>17984538.98</v>
      </c>
      <c r="G628">
        <v>0</v>
      </c>
      <c r="L628" t="s">
        <v>7</v>
      </c>
      <c r="M628" t="s">
        <v>8</v>
      </c>
      <c r="N628" t="s">
        <v>7</v>
      </c>
      <c r="P628">
        <f t="shared" si="990"/>
        <v>-0.24799999999999911</v>
      </c>
      <c r="Q628">
        <f t="shared" si="991"/>
        <v>-4460165.6670399839</v>
      </c>
      <c r="R628">
        <f t="shared" si="992"/>
        <v>44785230.204880074</v>
      </c>
      <c r="S628">
        <f t="shared" si="993"/>
        <v>447.85230204880071</v>
      </c>
      <c r="T628">
        <f t="shared" si="994"/>
        <v>0.44785230204880072</v>
      </c>
    </row>
    <row r="629" spans="1:20" x14ac:dyDescent="0.25">
      <c r="A629" s="5">
        <v>43964</v>
      </c>
      <c r="B629">
        <v>0.2072</v>
      </c>
      <c r="C629">
        <v>0.2117</v>
      </c>
      <c r="D629">
        <v>0.19719999999999999</v>
      </c>
      <c r="E629">
        <v>0.2024</v>
      </c>
      <c r="F629">
        <v>22122870.23</v>
      </c>
      <c r="G629">
        <v>0</v>
      </c>
      <c r="L629" t="s">
        <v>8</v>
      </c>
      <c r="M629" t="s">
        <v>8</v>
      </c>
      <c r="N629" t="s">
        <v>7</v>
      </c>
      <c r="P629">
        <f t="shared" si="990"/>
        <v>-0.28275862068965441</v>
      </c>
      <c r="Q629">
        <f t="shared" si="991"/>
        <v>-6255432.2719310177</v>
      </c>
      <c r="R629">
        <f t="shared" si="992"/>
        <v>49245395.871920057</v>
      </c>
      <c r="S629">
        <f t="shared" si="993"/>
        <v>492.45395871920056</v>
      </c>
      <c r="T629">
        <f t="shared" si="994"/>
        <v>0.49245395871920056</v>
      </c>
    </row>
    <row r="630" spans="1:20" x14ac:dyDescent="0.25">
      <c r="A630" s="5">
        <v>43963</v>
      </c>
      <c r="B630">
        <v>0.18360000000000001</v>
      </c>
      <c r="C630">
        <v>0.2077</v>
      </c>
      <c r="D630">
        <v>0.18290000000000001</v>
      </c>
      <c r="E630">
        <v>0.2072</v>
      </c>
      <c r="F630">
        <v>27199303.050000001</v>
      </c>
      <c r="G630">
        <v>0</v>
      </c>
      <c r="L630" t="s">
        <v>8</v>
      </c>
      <c r="M630" t="s">
        <v>7</v>
      </c>
      <c r="N630" t="s">
        <v>7</v>
      </c>
      <c r="P630">
        <f t="shared" si="990"/>
        <v>0.95967741935483863</v>
      </c>
      <c r="Q630">
        <f t="shared" si="991"/>
        <v>26102556.959274191</v>
      </c>
      <c r="R630">
        <f t="shared" si="992"/>
        <v>55500828.143851072</v>
      </c>
      <c r="S630">
        <f t="shared" si="993"/>
        <v>555.00828143851072</v>
      </c>
      <c r="T630">
        <f t="shared" si="994"/>
        <v>0.55500828143851078</v>
      </c>
    </row>
    <row r="631" spans="1:20" x14ac:dyDescent="0.25">
      <c r="A631" s="5">
        <v>43962</v>
      </c>
      <c r="B631">
        <v>0.19589999999999999</v>
      </c>
      <c r="C631">
        <v>0.20019999999999999</v>
      </c>
      <c r="D631">
        <v>0.17810000000000001</v>
      </c>
      <c r="E631">
        <v>0.1835</v>
      </c>
      <c r="F631">
        <v>35024891.710000001</v>
      </c>
      <c r="G631">
        <v>0</v>
      </c>
      <c r="L631" t="s">
        <v>8</v>
      </c>
      <c r="M631" t="s">
        <v>7</v>
      </c>
      <c r="N631" t="s">
        <v>7</v>
      </c>
      <c r="P631">
        <f t="shared" si="990"/>
        <v>-0.51131221719457076</v>
      </c>
      <c r="Q631">
        <f t="shared" si="991"/>
        <v>-17908655.037239842</v>
      </c>
      <c r="R631">
        <f t="shared" si="992"/>
        <v>29398271.184576884</v>
      </c>
      <c r="S631">
        <f t="shared" si="993"/>
        <v>293.98271184576885</v>
      </c>
      <c r="T631">
        <f t="shared" si="994"/>
        <v>0.29398271184576885</v>
      </c>
    </row>
    <row r="632" spans="1:20" x14ac:dyDescent="0.25">
      <c r="A632" s="5">
        <v>43961</v>
      </c>
      <c r="B632">
        <v>0.2175</v>
      </c>
      <c r="C632">
        <v>0.2177</v>
      </c>
      <c r="D632">
        <v>0.1784</v>
      </c>
      <c r="E632">
        <v>0.19570000000000001</v>
      </c>
      <c r="F632">
        <v>70081527.25</v>
      </c>
      <c r="G632">
        <v>0</v>
      </c>
      <c r="L632" t="s">
        <v>7</v>
      </c>
      <c r="M632" t="s">
        <v>7</v>
      </c>
      <c r="N632" t="s">
        <v>7</v>
      </c>
      <c r="P632">
        <f t="shared" si="990"/>
        <v>-0.1195928753180657</v>
      </c>
      <c r="Q632">
        <f t="shared" si="991"/>
        <v>-8381251.3505088734</v>
      </c>
      <c r="R632">
        <f t="shared" si="992"/>
        <v>47306926.221816726</v>
      </c>
      <c r="S632">
        <f t="shared" si="993"/>
        <v>473.06926221816724</v>
      </c>
      <c r="T632">
        <f t="shared" si="994"/>
        <v>0.47306926221816725</v>
      </c>
    </row>
    <row r="633" spans="1:20" x14ac:dyDescent="0.25">
      <c r="A633" s="5">
        <v>43960</v>
      </c>
      <c r="B633">
        <v>0.22739999999999999</v>
      </c>
      <c r="C633">
        <v>0.2555</v>
      </c>
      <c r="D633">
        <v>0.2147</v>
      </c>
      <c r="E633">
        <v>0.2172</v>
      </c>
      <c r="F633">
        <v>86760039.849999994</v>
      </c>
      <c r="G633">
        <v>0</v>
      </c>
      <c r="L633" t="s">
        <v>8</v>
      </c>
      <c r="M633" t="s">
        <v>8</v>
      </c>
      <c r="N633" t="s">
        <v>8</v>
      </c>
      <c r="P633">
        <f t="shared" si="990"/>
        <v>-0.87745098039215674</v>
      </c>
      <c r="Q633">
        <f t="shared" si="991"/>
        <v>-76127682.025245085</v>
      </c>
      <c r="R633">
        <f t="shared" si="992"/>
        <v>55688177.572325602</v>
      </c>
      <c r="S633">
        <f t="shared" si="993"/>
        <v>556.88177572325606</v>
      </c>
      <c r="T633">
        <f t="shared" si="994"/>
        <v>0.55688177572325603</v>
      </c>
    </row>
    <row r="634" spans="1:20" x14ac:dyDescent="0.25">
      <c r="A634" s="5">
        <v>43959</v>
      </c>
      <c r="B634">
        <v>0.185</v>
      </c>
      <c r="C634">
        <v>0.23799999999999999</v>
      </c>
      <c r="D634">
        <v>0.1847</v>
      </c>
      <c r="E634">
        <v>0.22789999999999999</v>
      </c>
      <c r="F634">
        <v>82162148.129999995</v>
      </c>
      <c r="G634">
        <v>0</v>
      </c>
      <c r="L634" t="s">
        <v>8</v>
      </c>
      <c r="M634" t="s">
        <v>8</v>
      </c>
      <c r="N634" t="s">
        <v>8</v>
      </c>
      <c r="P634">
        <f t="shared" si="990"/>
        <v>0.62101313320825513</v>
      </c>
      <c r="Q634">
        <f t="shared" si="991"/>
        <v>51023773.041332074</v>
      </c>
      <c r="R634">
        <f t="shared" si="992"/>
        <v>131815859.59757069</v>
      </c>
      <c r="S634">
        <f t="shared" si="993"/>
        <v>1318.1585959757069</v>
      </c>
      <c r="T634">
        <f t="shared" si="994"/>
        <v>1.3181585959757069</v>
      </c>
    </row>
    <row r="635" spans="1:20" x14ac:dyDescent="0.25">
      <c r="A635" s="5">
        <v>43958</v>
      </c>
      <c r="B635">
        <v>0.17849999999999999</v>
      </c>
      <c r="C635">
        <v>0.1855</v>
      </c>
      <c r="D635">
        <v>0.17560000000000001</v>
      </c>
      <c r="E635">
        <v>0.1847</v>
      </c>
      <c r="F635">
        <v>11353083</v>
      </c>
      <c r="G635">
        <v>0</v>
      </c>
      <c r="L635" t="s">
        <v>7</v>
      </c>
      <c r="M635" t="s">
        <v>8</v>
      </c>
      <c r="N635" t="s">
        <v>8</v>
      </c>
      <c r="P635">
        <f t="shared" si="990"/>
        <v>0.83838383838383923</v>
      </c>
      <c r="Q635">
        <f t="shared" si="991"/>
        <v>9518241.3030303121</v>
      </c>
      <c r="R635">
        <f t="shared" si="992"/>
        <v>80792086.556238607</v>
      </c>
      <c r="S635">
        <f t="shared" si="993"/>
        <v>807.9208655623861</v>
      </c>
      <c r="T635">
        <f t="shared" si="994"/>
        <v>0.80792086556238607</v>
      </c>
    </row>
    <row r="636" spans="1:20" x14ac:dyDescent="0.25">
      <c r="A636" s="5">
        <v>43957</v>
      </c>
      <c r="B636">
        <v>0.18579999999999999</v>
      </c>
      <c r="C636">
        <v>0.1893</v>
      </c>
      <c r="D636">
        <v>0.17760000000000001</v>
      </c>
      <c r="E636">
        <v>0.17849999999999999</v>
      </c>
      <c r="F636">
        <v>9796937.9199999999</v>
      </c>
      <c r="G636">
        <v>0</v>
      </c>
      <c r="L636" t="s">
        <v>7</v>
      </c>
      <c r="M636" t="s">
        <v>8</v>
      </c>
      <c r="N636" t="s">
        <v>8</v>
      </c>
      <c r="P636">
        <f t="shared" si="990"/>
        <v>-0.8461538461538487</v>
      </c>
      <c r="Q636">
        <f t="shared" si="991"/>
        <v>-8289716.7015384864</v>
      </c>
      <c r="R636">
        <f t="shared" si="992"/>
        <v>71273845.253208295</v>
      </c>
      <c r="S636">
        <f t="shared" si="993"/>
        <v>712.73845253208299</v>
      </c>
      <c r="T636">
        <f t="shared" si="994"/>
        <v>0.71273845253208301</v>
      </c>
    </row>
    <row r="637" spans="1:20" x14ac:dyDescent="0.25">
      <c r="A637" s="5">
        <v>43956</v>
      </c>
      <c r="B637">
        <v>0.1865</v>
      </c>
      <c r="C637">
        <v>0.19</v>
      </c>
      <c r="D637">
        <v>0.1812</v>
      </c>
      <c r="E637">
        <v>0.18590000000000001</v>
      </c>
      <c r="F637">
        <v>6769293.0099999998</v>
      </c>
      <c r="G637">
        <v>0</v>
      </c>
      <c r="L637" t="s">
        <v>8</v>
      </c>
      <c r="M637" t="s">
        <v>8</v>
      </c>
      <c r="N637" t="s">
        <v>8</v>
      </c>
      <c r="P637">
        <f t="shared" si="990"/>
        <v>6.818181818182012E-2</v>
      </c>
      <c r="Q637">
        <f t="shared" si="991"/>
        <v>461542.70522728586</v>
      </c>
      <c r="R637">
        <f t="shared" si="992"/>
        <v>79563561.954746783</v>
      </c>
      <c r="S637">
        <f t="shared" si="993"/>
        <v>795.63561954746785</v>
      </c>
      <c r="T637">
        <f t="shared" si="994"/>
        <v>0.79563561954746786</v>
      </c>
    </row>
    <row r="638" spans="1:20" x14ac:dyDescent="0.25">
      <c r="A638" s="5">
        <v>43955</v>
      </c>
      <c r="B638">
        <v>0.18479999999999999</v>
      </c>
      <c r="C638">
        <v>0.1893</v>
      </c>
      <c r="D638">
        <v>0.17449999999999999</v>
      </c>
      <c r="E638">
        <v>0.1865</v>
      </c>
      <c r="F638">
        <v>9332183.8900000006</v>
      </c>
      <c r="G638">
        <v>0</v>
      </c>
      <c r="L638" t="s">
        <v>7</v>
      </c>
      <c r="M638" t="s">
        <v>8</v>
      </c>
      <c r="N638" t="s">
        <v>8</v>
      </c>
      <c r="P638">
        <f t="shared" si="990"/>
        <v>0.62162162162162227</v>
      </c>
      <c r="Q638">
        <f t="shared" si="991"/>
        <v>5801087.2829729794</v>
      </c>
      <c r="R638">
        <f t="shared" si="992"/>
        <v>79102019.249519497</v>
      </c>
      <c r="S638">
        <f t="shared" si="993"/>
        <v>791.02019249519492</v>
      </c>
      <c r="T638">
        <f t="shared" si="994"/>
        <v>0.79102019249519495</v>
      </c>
    </row>
    <row r="639" spans="1:20" x14ac:dyDescent="0.25">
      <c r="A639" s="5">
        <v>43954</v>
      </c>
      <c r="B639">
        <v>0.19089999999999999</v>
      </c>
      <c r="C639">
        <v>0.19370000000000001</v>
      </c>
      <c r="D639">
        <v>0.1822</v>
      </c>
      <c r="E639">
        <v>0.1847</v>
      </c>
      <c r="F639">
        <v>8825435.1400000006</v>
      </c>
      <c r="G639">
        <v>0</v>
      </c>
      <c r="L639" t="s">
        <v>8</v>
      </c>
      <c r="M639" t="s">
        <v>8</v>
      </c>
      <c r="N639" t="s">
        <v>8</v>
      </c>
      <c r="P639">
        <f t="shared" si="990"/>
        <v>-0.56521739130434778</v>
      </c>
      <c r="Q639">
        <f t="shared" si="991"/>
        <v>-4988289.4269565213</v>
      </c>
      <c r="R639">
        <f t="shared" si="992"/>
        <v>73300931.966546521</v>
      </c>
      <c r="S639">
        <f t="shared" si="993"/>
        <v>733.00931966546523</v>
      </c>
      <c r="T639">
        <f t="shared" si="994"/>
        <v>0.73300931966546523</v>
      </c>
    </row>
    <row r="640" spans="1:20" x14ac:dyDescent="0.25">
      <c r="A640" s="5">
        <v>43953</v>
      </c>
      <c r="B640">
        <v>0.18770000000000001</v>
      </c>
      <c r="C640">
        <v>0.1925</v>
      </c>
      <c r="D640">
        <v>0.187</v>
      </c>
      <c r="E640">
        <v>0.19089999999999999</v>
      </c>
      <c r="F640">
        <v>8133032.5700000003</v>
      </c>
      <c r="G640">
        <v>0</v>
      </c>
      <c r="L640" t="s">
        <v>8</v>
      </c>
      <c r="M640" t="s">
        <v>8</v>
      </c>
      <c r="N640" t="s">
        <v>8</v>
      </c>
      <c r="P640">
        <f t="shared" si="990"/>
        <v>0.4181818181818121</v>
      </c>
      <c r="Q640">
        <f t="shared" si="991"/>
        <v>3401086.3474544962</v>
      </c>
      <c r="R640">
        <f t="shared" si="992"/>
        <v>78289221.39350304</v>
      </c>
      <c r="S640">
        <f t="shared" si="993"/>
        <v>782.89221393503044</v>
      </c>
      <c r="T640">
        <f t="shared" si="994"/>
        <v>0.78289221393503039</v>
      </c>
    </row>
    <row r="641" spans="1:20" x14ac:dyDescent="0.25">
      <c r="A641" s="5">
        <v>43952</v>
      </c>
      <c r="B641">
        <v>0.183</v>
      </c>
      <c r="C641">
        <v>0.19339999999999999</v>
      </c>
      <c r="D641">
        <v>0.18260000000000001</v>
      </c>
      <c r="E641">
        <v>0.18740000000000001</v>
      </c>
      <c r="F641">
        <v>8647141.1699999999</v>
      </c>
      <c r="G641">
        <v>0</v>
      </c>
      <c r="L641" t="s">
        <v>8</v>
      </c>
      <c r="M641" t="s">
        <v>8</v>
      </c>
      <c r="N641" t="s">
        <v>8</v>
      </c>
      <c r="P641">
        <f t="shared" si="990"/>
        <v>-0.1111111111111094</v>
      </c>
      <c r="Q641">
        <f t="shared" si="991"/>
        <v>-960793.46333331848</v>
      </c>
      <c r="R641">
        <f t="shared" si="992"/>
        <v>74888135.046048537</v>
      </c>
      <c r="S641">
        <f t="shared" si="993"/>
        <v>748.88135046048535</v>
      </c>
      <c r="T641">
        <f t="shared" si="994"/>
        <v>0.74888135046048532</v>
      </c>
    </row>
    <row r="642" spans="1:20" x14ac:dyDescent="0.25">
      <c r="A642" s="5">
        <v>43951</v>
      </c>
      <c r="B642">
        <v>0.19400000000000001</v>
      </c>
      <c r="C642">
        <v>0.1993</v>
      </c>
      <c r="D642">
        <v>0.17749999999999999</v>
      </c>
      <c r="E642">
        <v>0.18360000000000001</v>
      </c>
      <c r="F642">
        <v>20349011.260000002</v>
      </c>
      <c r="G642">
        <v>0</v>
      </c>
      <c r="L642" t="s">
        <v>7</v>
      </c>
      <c r="M642" t="s">
        <v>8</v>
      </c>
      <c r="N642" t="s">
        <v>8</v>
      </c>
      <c r="P642">
        <f t="shared" si="990"/>
        <v>-0.44036697247706252</v>
      </c>
      <c r="Q642">
        <f t="shared" si="991"/>
        <v>-8961032.4814678561</v>
      </c>
      <c r="R642">
        <f t="shared" si="992"/>
        <v>75848928.50938186</v>
      </c>
      <c r="S642">
        <f t="shared" si="993"/>
        <v>758.48928509381858</v>
      </c>
      <c r="T642">
        <f t="shared" si="994"/>
        <v>0.75848928509381863</v>
      </c>
    </row>
    <row r="643" spans="1:20" x14ac:dyDescent="0.25">
      <c r="A643" s="5">
        <v>43950</v>
      </c>
      <c r="B643">
        <v>0.1835</v>
      </c>
      <c r="C643">
        <v>0.19750000000000001</v>
      </c>
      <c r="D643">
        <v>0.1827</v>
      </c>
      <c r="E643">
        <v>0.1938</v>
      </c>
      <c r="F643">
        <v>19623411.280000001</v>
      </c>
      <c r="G643">
        <v>0</v>
      </c>
      <c r="L643" t="s">
        <v>8</v>
      </c>
      <c r="M643" t="s">
        <v>8</v>
      </c>
      <c r="N643" t="s">
        <v>8</v>
      </c>
      <c r="P643">
        <f t="shared" si="990"/>
        <v>0.49999999999999906</v>
      </c>
      <c r="Q643">
        <f t="shared" si="991"/>
        <v>9811705.639999982</v>
      </c>
      <c r="R643">
        <f t="shared" si="992"/>
        <v>84809960.990849718</v>
      </c>
      <c r="S643">
        <f t="shared" si="993"/>
        <v>848.0996099084972</v>
      </c>
      <c r="T643">
        <f t="shared" si="994"/>
        <v>0.8480996099084972</v>
      </c>
    </row>
    <row r="644" spans="1:20" x14ac:dyDescent="0.25">
      <c r="A644" s="5">
        <v>43949</v>
      </c>
      <c r="B644">
        <v>0.18129999999999999</v>
      </c>
      <c r="C644">
        <v>0.18410000000000001</v>
      </c>
      <c r="D644">
        <v>0.1754</v>
      </c>
      <c r="E644">
        <v>0.1835</v>
      </c>
      <c r="F644">
        <v>8920434.4399999995</v>
      </c>
      <c r="G644">
        <v>0</v>
      </c>
      <c r="L644" t="s">
        <v>8</v>
      </c>
      <c r="M644" t="s">
        <v>8</v>
      </c>
      <c r="N644" t="s">
        <v>8</v>
      </c>
      <c r="P644">
        <f t="shared" si="990"/>
        <v>0.86206896551723766</v>
      </c>
      <c r="Q644">
        <f t="shared" si="991"/>
        <v>7690029.6896551391</v>
      </c>
      <c r="R644">
        <f t="shared" si="992"/>
        <v>74998255.350849733</v>
      </c>
      <c r="S644">
        <f t="shared" si="993"/>
        <v>749.98255350849729</v>
      </c>
      <c r="T644">
        <f t="shared" si="994"/>
        <v>0.7499825535084973</v>
      </c>
    </row>
    <row r="645" spans="1:20" x14ac:dyDescent="0.25">
      <c r="A645" s="5">
        <v>43948</v>
      </c>
      <c r="B645">
        <v>0.184</v>
      </c>
      <c r="C645">
        <v>0.1855</v>
      </c>
      <c r="D645">
        <v>0.17580000000000001</v>
      </c>
      <c r="E645">
        <v>0.18110000000000001</v>
      </c>
      <c r="F645">
        <v>8987419.9000000004</v>
      </c>
      <c r="G645">
        <v>0</v>
      </c>
      <c r="L645" t="s">
        <v>8</v>
      </c>
      <c r="M645" t="s">
        <v>8</v>
      </c>
      <c r="N645" t="s">
        <v>8</v>
      </c>
      <c r="P645">
        <f t="shared" si="990"/>
        <v>9.2783505154640539E-2</v>
      </c>
      <c r="Q645">
        <f t="shared" si="991"/>
        <v>833884.32061856904</v>
      </c>
      <c r="R645">
        <f t="shared" si="992"/>
        <v>67308225.661194593</v>
      </c>
      <c r="S645">
        <f t="shared" si="993"/>
        <v>673.08225661194592</v>
      </c>
      <c r="T645">
        <f t="shared" si="994"/>
        <v>0.67308225661194587</v>
      </c>
    </row>
    <row r="646" spans="1:20" x14ac:dyDescent="0.25">
      <c r="A646" s="5">
        <v>43947</v>
      </c>
      <c r="B646">
        <v>0.18229999999999999</v>
      </c>
      <c r="C646">
        <v>0.18890000000000001</v>
      </c>
      <c r="D646">
        <v>0.18129999999999999</v>
      </c>
      <c r="E646">
        <v>0.184</v>
      </c>
      <c r="F646">
        <v>8443740.2200000007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5">IF(C646=D646,0,((E646-D646)-(C646-E646))/(C646-D646))</f>
        <v>-0.28947368421052644</v>
      </c>
      <c r="Q646">
        <f t="shared" ref="Q646:Q709" si="996">F646*P646</f>
        <v>-2444240.5900000012</v>
      </c>
      <c r="R646">
        <f t="shared" ref="R646:R709" si="997">R647+Q646</f>
        <v>66474341.340576023</v>
      </c>
      <c r="S646">
        <f t="shared" ref="S646:S709" si="998">R646/100000</f>
        <v>664.74341340576018</v>
      </c>
      <c r="T646">
        <f t="shared" ref="T646:T709" si="999">S646/1000</f>
        <v>0.66474341340576015</v>
      </c>
    </row>
    <row r="647" spans="1:20" x14ac:dyDescent="0.25">
      <c r="A647" s="5">
        <v>43946</v>
      </c>
      <c r="B647">
        <v>0.17699999999999999</v>
      </c>
      <c r="C647">
        <v>0.1888</v>
      </c>
      <c r="D647">
        <v>0.1734</v>
      </c>
      <c r="E647">
        <v>0.18260000000000001</v>
      </c>
      <c r="F647">
        <v>16189193.77</v>
      </c>
      <c r="G647">
        <v>0</v>
      </c>
      <c r="L647" t="s">
        <v>8</v>
      </c>
      <c r="M647" t="s">
        <v>8</v>
      </c>
      <c r="N647" t="s">
        <v>8</v>
      </c>
      <c r="P647">
        <f t="shared" si="995"/>
        <v>0.19480519480519681</v>
      </c>
      <c r="Q647">
        <f t="shared" si="996"/>
        <v>3153739.0461039287</v>
      </c>
      <c r="R647">
        <f t="shared" si="997"/>
        <v>68918581.930576026</v>
      </c>
      <c r="S647">
        <f t="shared" si="998"/>
        <v>689.18581930576022</v>
      </c>
      <c r="T647">
        <f t="shared" si="999"/>
        <v>0.68918581930576017</v>
      </c>
    </row>
    <row r="648" spans="1:20" x14ac:dyDescent="0.25">
      <c r="A648" s="5">
        <v>43945</v>
      </c>
      <c r="B648">
        <v>0.16750000000000001</v>
      </c>
      <c r="C648">
        <v>0.18179999999999999</v>
      </c>
      <c r="D648">
        <v>0.16700000000000001</v>
      </c>
      <c r="E648">
        <v>0.17680000000000001</v>
      </c>
      <c r="F648">
        <v>18384131.27</v>
      </c>
      <c r="G648">
        <v>0</v>
      </c>
      <c r="L648" t="s">
        <v>8</v>
      </c>
      <c r="M648" t="s">
        <v>8</v>
      </c>
      <c r="N648" t="s">
        <v>8</v>
      </c>
      <c r="P648">
        <f t="shared" si="995"/>
        <v>0.32432432432432656</v>
      </c>
      <c r="Q648">
        <f t="shared" si="996"/>
        <v>5962420.9524324732</v>
      </c>
      <c r="R648">
        <f t="shared" si="997"/>
        <v>65764842.884472094</v>
      </c>
      <c r="S648">
        <f t="shared" si="998"/>
        <v>657.64842884472091</v>
      </c>
      <c r="T648">
        <f t="shared" si="999"/>
        <v>0.65764842884472086</v>
      </c>
    </row>
    <row r="649" spans="1:20" x14ac:dyDescent="0.25">
      <c r="A649" s="5">
        <v>43944</v>
      </c>
      <c r="B649">
        <v>0.16550000000000001</v>
      </c>
      <c r="C649">
        <v>0.17499999999999999</v>
      </c>
      <c r="D649">
        <v>0.1615</v>
      </c>
      <c r="E649">
        <v>0.16739999999999999</v>
      </c>
      <c r="F649">
        <v>13996053.449999999</v>
      </c>
      <c r="G649">
        <v>0</v>
      </c>
      <c r="L649" t="s">
        <v>8</v>
      </c>
      <c r="M649" t="s">
        <v>8</v>
      </c>
      <c r="N649" t="s">
        <v>8</v>
      </c>
      <c r="P649">
        <f t="shared" si="995"/>
        <v>-0.12592592592592661</v>
      </c>
      <c r="Q649">
        <f t="shared" si="996"/>
        <v>-1762465.9900000095</v>
      </c>
      <c r="R649">
        <f t="shared" si="997"/>
        <v>59802421.932039618</v>
      </c>
      <c r="S649">
        <f t="shared" si="998"/>
        <v>598.02421932039624</v>
      </c>
      <c r="T649">
        <f t="shared" si="999"/>
        <v>0.59802421932039629</v>
      </c>
    </row>
    <row r="650" spans="1:20" x14ac:dyDescent="0.25">
      <c r="A650" s="5">
        <v>43943</v>
      </c>
      <c r="B650">
        <v>0.15820000000000001</v>
      </c>
      <c r="C650">
        <v>0.16689999999999999</v>
      </c>
      <c r="D650">
        <v>0.15770000000000001</v>
      </c>
      <c r="E650">
        <v>0.16550000000000001</v>
      </c>
      <c r="F650">
        <v>6459224.9900000002</v>
      </c>
      <c r="G650">
        <v>0</v>
      </c>
      <c r="L650" t="s">
        <v>8</v>
      </c>
      <c r="M650" t="s">
        <v>8</v>
      </c>
      <c r="N650" t="s">
        <v>8</v>
      </c>
      <c r="P650">
        <f t="shared" si="995"/>
        <v>0.69565217391304635</v>
      </c>
      <c r="Q650">
        <f t="shared" si="996"/>
        <v>4493373.9060869748</v>
      </c>
      <c r="R650">
        <f t="shared" si="997"/>
        <v>61564887.922039628</v>
      </c>
      <c r="S650">
        <f t="shared" si="998"/>
        <v>615.64887922039622</v>
      </c>
      <c r="T650">
        <f t="shared" si="999"/>
        <v>0.61564887922039624</v>
      </c>
    </row>
    <row r="651" spans="1:20" x14ac:dyDescent="0.25">
      <c r="A651" s="5">
        <v>43942</v>
      </c>
      <c r="B651">
        <v>0.15629999999999999</v>
      </c>
      <c r="C651">
        <v>0.16009999999999999</v>
      </c>
      <c r="D651">
        <v>0.1547</v>
      </c>
      <c r="E651">
        <v>0.158</v>
      </c>
      <c r="F651">
        <v>6806173.0899999999</v>
      </c>
      <c r="G651">
        <v>0</v>
      </c>
      <c r="L651" t="s">
        <v>7</v>
      </c>
      <c r="M651" t="s">
        <v>8</v>
      </c>
      <c r="N651" t="s">
        <v>8</v>
      </c>
      <c r="P651">
        <f t="shared" si="995"/>
        <v>0.22222222222222393</v>
      </c>
      <c r="Q651">
        <f t="shared" si="996"/>
        <v>1512482.9088889004</v>
      </c>
      <c r="R651">
        <f t="shared" si="997"/>
        <v>57071514.015952654</v>
      </c>
      <c r="S651">
        <f t="shared" si="998"/>
        <v>570.71514015952653</v>
      </c>
      <c r="T651">
        <f t="shared" si="999"/>
        <v>0.57071514015952651</v>
      </c>
    </row>
    <row r="652" spans="1:20" x14ac:dyDescent="0.25">
      <c r="A652" s="5">
        <v>43941</v>
      </c>
      <c r="B652">
        <v>0.16450000000000001</v>
      </c>
      <c r="C652">
        <v>0.16980000000000001</v>
      </c>
      <c r="D652">
        <v>0.1552</v>
      </c>
      <c r="E652">
        <v>0.15640000000000001</v>
      </c>
      <c r="F652">
        <v>12379102.279999999</v>
      </c>
      <c r="G652">
        <v>0</v>
      </c>
      <c r="L652" t="s">
        <v>7</v>
      </c>
      <c r="M652" t="s">
        <v>8</v>
      </c>
      <c r="N652" t="s">
        <v>8</v>
      </c>
      <c r="P652">
        <f t="shared" si="995"/>
        <v>-0.8356164383561635</v>
      </c>
      <c r="Q652">
        <f t="shared" si="996"/>
        <v>-10344181.357260263</v>
      </c>
      <c r="R652">
        <f t="shared" si="997"/>
        <v>55559031.107063755</v>
      </c>
      <c r="S652">
        <f t="shared" si="998"/>
        <v>555.59031107063754</v>
      </c>
      <c r="T652">
        <f t="shared" si="999"/>
        <v>0.5555903110706375</v>
      </c>
    </row>
    <row r="653" spans="1:20" x14ac:dyDescent="0.25">
      <c r="A653" s="5">
        <v>43940</v>
      </c>
      <c r="B653">
        <v>0.17130000000000001</v>
      </c>
      <c r="C653">
        <v>0.17169999999999999</v>
      </c>
      <c r="D653">
        <v>0.16400000000000001</v>
      </c>
      <c r="E653">
        <v>0.16470000000000001</v>
      </c>
      <c r="F653">
        <v>7949767.71</v>
      </c>
      <c r="G653">
        <v>0</v>
      </c>
      <c r="L653" t="s">
        <v>8</v>
      </c>
      <c r="M653" t="s">
        <v>8</v>
      </c>
      <c r="N653" t="s">
        <v>8</v>
      </c>
      <c r="P653">
        <f t="shared" si="995"/>
        <v>-0.81818181818181623</v>
      </c>
      <c r="Q653">
        <f t="shared" si="996"/>
        <v>-6504355.3990908936</v>
      </c>
      <c r="R653">
        <f t="shared" si="997"/>
        <v>65903212.46432402</v>
      </c>
      <c r="S653">
        <f t="shared" si="998"/>
        <v>659.03212464324019</v>
      </c>
      <c r="T653">
        <f t="shared" si="999"/>
        <v>0.65903212464324024</v>
      </c>
    </row>
    <row r="654" spans="1:20" x14ac:dyDescent="0.25">
      <c r="A654" s="5">
        <v>43939</v>
      </c>
      <c r="B654">
        <v>0.1651</v>
      </c>
      <c r="C654">
        <v>0.17399999999999999</v>
      </c>
      <c r="D654">
        <v>0.16489999999999999</v>
      </c>
      <c r="E654">
        <v>0.17130000000000001</v>
      </c>
      <c r="F654">
        <v>9337377.5899999999</v>
      </c>
      <c r="G654">
        <v>0</v>
      </c>
      <c r="L654" t="s">
        <v>8</v>
      </c>
      <c r="M654" t="s">
        <v>8</v>
      </c>
      <c r="N654" t="s">
        <v>8</v>
      </c>
      <c r="P654">
        <f t="shared" si="995"/>
        <v>0.40659340659341076</v>
      </c>
      <c r="Q654">
        <f t="shared" si="996"/>
        <v>3796516.1629670719</v>
      </c>
      <c r="R654">
        <f t="shared" si="997"/>
        <v>72407567.863414913</v>
      </c>
      <c r="S654">
        <f t="shared" si="998"/>
        <v>724.07567863414909</v>
      </c>
      <c r="T654">
        <f t="shared" si="999"/>
        <v>0.72407567863414912</v>
      </c>
    </row>
    <row r="655" spans="1:20" x14ac:dyDescent="0.25">
      <c r="A655" s="5">
        <v>43938</v>
      </c>
      <c r="B655">
        <v>0.1658</v>
      </c>
      <c r="C655">
        <v>0.16839999999999999</v>
      </c>
      <c r="D655">
        <v>0.16309999999999999</v>
      </c>
      <c r="E655">
        <v>0.1651</v>
      </c>
      <c r="F655">
        <v>7461664.8899999997</v>
      </c>
      <c r="G655">
        <v>0</v>
      </c>
      <c r="L655" t="s">
        <v>8</v>
      </c>
      <c r="M655" t="s">
        <v>8</v>
      </c>
      <c r="N655" t="s">
        <v>8</v>
      </c>
      <c r="P655">
        <f t="shared" si="995"/>
        <v>-0.24528301886792372</v>
      </c>
      <c r="Q655">
        <f t="shared" si="996"/>
        <v>-1830219.6899999939</v>
      </c>
      <c r="R655">
        <f t="shared" si="997"/>
        <v>68611051.700447842</v>
      </c>
      <c r="S655">
        <f t="shared" si="998"/>
        <v>686.11051700447842</v>
      </c>
      <c r="T655">
        <f t="shared" si="999"/>
        <v>0.68611051700447845</v>
      </c>
    </row>
    <row r="656" spans="1:20" x14ac:dyDescent="0.25">
      <c r="A656" s="5">
        <v>43937</v>
      </c>
      <c r="B656">
        <v>0.15529999999999999</v>
      </c>
      <c r="C656">
        <v>0.1701</v>
      </c>
      <c r="D656">
        <v>0.15079999999999999</v>
      </c>
      <c r="E656">
        <v>0.1653</v>
      </c>
      <c r="F656">
        <v>18354478.469999999</v>
      </c>
      <c r="G656">
        <v>0</v>
      </c>
      <c r="L656" t="s">
        <v>7</v>
      </c>
      <c r="M656" t="s">
        <v>8</v>
      </c>
      <c r="N656" t="s">
        <v>8</v>
      </c>
      <c r="P656">
        <f t="shared" si="995"/>
        <v>0.50259067357512999</v>
      </c>
      <c r="Q656">
        <f t="shared" si="996"/>
        <v>9224789.6973575205</v>
      </c>
      <c r="R656">
        <f t="shared" si="997"/>
        <v>70441271.39044784</v>
      </c>
      <c r="S656">
        <f t="shared" si="998"/>
        <v>704.41271390447844</v>
      </c>
      <c r="T656">
        <f t="shared" si="999"/>
        <v>0.70441271390447846</v>
      </c>
    </row>
    <row r="657" spans="1:20" x14ac:dyDescent="0.25">
      <c r="A657" s="5">
        <v>43936</v>
      </c>
      <c r="B657">
        <v>0.16539999999999999</v>
      </c>
      <c r="C657">
        <v>0.16830000000000001</v>
      </c>
      <c r="D657">
        <v>0.1545</v>
      </c>
      <c r="E657">
        <v>0.1552</v>
      </c>
      <c r="F657">
        <v>13523391.609999999</v>
      </c>
      <c r="G657">
        <v>0</v>
      </c>
      <c r="L657" t="s">
        <v>7</v>
      </c>
      <c r="M657" t="s">
        <v>8</v>
      </c>
      <c r="N657" t="s">
        <v>8</v>
      </c>
      <c r="P657">
        <f t="shared" si="995"/>
        <v>-0.89855072463768026</v>
      </c>
      <c r="Q657">
        <f t="shared" si="996"/>
        <v>-12151453.330724625</v>
      </c>
      <c r="R657">
        <f t="shared" si="997"/>
        <v>61216481.69309032</v>
      </c>
      <c r="S657">
        <f t="shared" si="998"/>
        <v>612.16481693090316</v>
      </c>
      <c r="T657">
        <f t="shared" si="999"/>
        <v>0.61216481693090319</v>
      </c>
    </row>
    <row r="658" spans="1:20" x14ac:dyDescent="0.25">
      <c r="A658" s="5">
        <v>43935</v>
      </c>
      <c r="B658">
        <v>0.15820000000000001</v>
      </c>
      <c r="C658">
        <v>0.17069999999999999</v>
      </c>
      <c r="D658">
        <v>0.1573</v>
      </c>
      <c r="E658">
        <v>0.1653</v>
      </c>
      <c r="F658">
        <v>15470253.43</v>
      </c>
      <c r="G658">
        <v>0</v>
      </c>
      <c r="L658" t="s">
        <v>8</v>
      </c>
      <c r="M658" t="s">
        <v>8</v>
      </c>
      <c r="N658" t="s">
        <v>8</v>
      </c>
      <c r="P658">
        <f t="shared" si="995"/>
        <v>0.19402985074627013</v>
      </c>
      <c r="Q658">
        <f t="shared" si="996"/>
        <v>3001690.9640298737</v>
      </c>
      <c r="R658">
        <f t="shared" si="997"/>
        <v>73367935.023814946</v>
      </c>
      <c r="S658">
        <f t="shared" si="998"/>
        <v>733.67935023814948</v>
      </c>
      <c r="T658">
        <f t="shared" si="999"/>
        <v>0.73367935023814945</v>
      </c>
    </row>
    <row r="659" spans="1:20" x14ac:dyDescent="0.25">
      <c r="A659" s="5">
        <v>43934</v>
      </c>
      <c r="B659">
        <v>0.15989999999999999</v>
      </c>
      <c r="C659">
        <v>0.16059999999999999</v>
      </c>
      <c r="D659">
        <v>0.15040000000000001</v>
      </c>
      <c r="E659">
        <v>0.15820000000000001</v>
      </c>
      <c r="F659">
        <v>12899902.359999999</v>
      </c>
      <c r="G659">
        <v>0</v>
      </c>
      <c r="L659" t="s">
        <v>7</v>
      </c>
      <c r="M659" t="s">
        <v>8</v>
      </c>
      <c r="N659" t="s">
        <v>8</v>
      </c>
      <c r="P659">
        <f t="shared" si="995"/>
        <v>0.52941176470588458</v>
      </c>
      <c r="Q659">
        <f t="shared" si="996"/>
        <v>6829360.0729412045</v>
      </c>
      <c r="R659">
        <f t="shared" si="997"/>
        <v>70366244.059785068</v>
      </c>
      <c r="S659">
        <f t="shared" si="998"/>
        <v>703.66244059785072</v>
      </c>
      <c r="T659">
        <f t="shared" si="999"/>
        <v>0.70366244059785077</v>
      </c>
    </row>
    <row r="660" spans="1:20" x14ac:dyDescent="0.25">
      <c r="A660" s="5">
        <v>43933</v>
      </c>
      <c r="B660">
        <v>0.1615</v>
      </c>
      <c r="C660">
        <v>0.16789999999999999</v>
      </c>
      <c r="D660">
        <v>0.15720000000000001</v>
      </c>
      <c r="E660">
        <v>0.1598</v>
      </c>
      <c r="F660">
        <v>11381785.66</v>
      </c>
      <c r="G660">
        <v>0</v>
      </c>
      <c r="L660" t="s">
        <v>8</v>
      </c>
      <c r="M660" t="s">
        <v>8</v>
      </c>
      <c r="N660" t="s">
        <v>8</v>
      </c>
      <c r="P660">
        <f t="shared" si="995"/>
        <v>-0.5140186915887861</v>
      </c>
      <c r="Q660">
        <f t="shared" si="996"/>
        <v>-5850450.5728972079</v>
      </c>
      <c r="R660">
        <f t="shared" si="997"/>
        <v>63536883.986843869</v>
      </c>
      <c r="S660">
        <f t="shared" si="998"/>
        <v>635.36883986843873</v>
      </c>
      <c r="T660">
        <f t="shared" si="999"/>
        <v>0.63536883986843873</v>
      </c>
    </row>
    <row r="661" spans="1:20" x14ac:dyDescent="0.25">
      <c r="A661" s="5">
        <v>43932</v>
      </c>
      <c r="B661">
        <v>0.16220000000000001</v>
      </c>
      <c r="C661">
        <v>0.16669999999999999</v>
      </c>
      <c r="D661">
        <v>0.15570000000000001</v>
      </c>
      <c r="E661">
        <v>0.1615</v>
      </c>
      <c r="F661">
        <v>10808900.029999999</v>
      </c>
      <c r="G661">
        <v>0</v>
      </c>
      <c r="L661" t="s">
        <v>8</v>
      </c>
      <c r="M661" t="s">
        <v>8</v>
      </c>
      <c r="N661" t="s">
        <v>8</v>
      </c>
      <c r="P661">
        <f t="shared" si="995"/>
        <v>5.4545454545456194E-2</v>
      </c>
      <c r="Q661">
        <f t="shared" si="996"/>
        <v>589576.36527274502</v>
      </c>
      <c r="R661">
        <f t="shared" si="997"/>
        <v>69387334.55974108</v>
      </c>
      <c r="S661">
        <f t="shared" si="998"/>
        <v>693.87334559741078</v>
      </c>
      <c r="T661">
        <f t="shared" si="999"/>
        <v>0.69387334559741076</v>
      </c>
    </row>
    <row r="662" spans="1:20" x14ac:dyDescent="0.25">
      <c r="A662" s="5">
        <v>43931</v>
      </c>
      <c r="B662">
        <v>0.17199999999999999</v>
      </c>
      <c r="C662">
        <v>0.17749999999999999</v>
      </c>
      <c r="D662">
        <v>0.153</v>
      </c>
      <c r="E662">
        <v>0.16209999999999999</v>
      </c>
      <c r="F662">
        <v>21596665.620000001</v>
      </c>
      <c r="G662">
        <v>0</v>
      </c>
      <c r="L662" t="s">
        <v>7</v>
      </c>
      <c r="M662" t="s">
        <v>8</v>
      </c>
      <c r="N662" t="s">
        <v>8</v>
      </c>
      <c r="P662">
        <f t="shared" si="995"/>
        <v>-0.25714285714285723</v>
      </c>
      <c r="Q662">
        <f t="shared" si="996"/>
        <v>-5553428.3022857169</v>
      </c>
      <c r="R662">
        <f t="shared" si="997"/>
        <v>68797758.194468334</v>
      </c>
      <c r="S662">
        <f t="shared" si="998"/>
        <v>687.97758194468338</v>
      </c>
      <c r="T662">
        <f t="shared" si="999"/>
        <v>0.68797758194468339</v>
      </c>
    </row>
    <row r="663" spans="1:20" x14ac:dyDescent="0.25">
      <c r="A663" s="5">
        <v>43930</v>
      </c>
      <c r="B663">
        <v>0.16639999999999999</v>
      </c>
      <c r="C663">
        <v>0.18060000000000001</v>
      </c>
      <c r="D663">
        <v>0.16209999999999999</v>
      </c>
      <c r="E663">
        <v>0.1719</v>
      </c>
      <c r="F663">
        <v>37410160.07</v>
      </c>
      <c r="G663">
        <v>0</v>
      </c>
      <c r="L663" t="s">
        <v>8</v>
      </c>
      <c r="M663" t="s">
        <v>8</v>
      </c>
      <c r="N663" t="s">
        <v>8</v>
      </c>
      <c r="P663">
        <f t="shared" si="995"/>
        <v>5.9459459459458859E-2</v>
      </c>
      <c r="Q663">
        <f t="shared" si="996"/>
        <v>2224387.8960540318</v>
      </c>
      <c r="R663">
        <f t="shared" si="997"/>
        <v>74351186.49675405</v>
      </c>
      <c r="S663">
        <f t="shared" si="998"/>
        <v>743.51186496754053</v>
      </c>
      <c r="T663">
        <f t="shared" si="999"/>
        <v>0.74351186496754051</v>
      </c>
    </row>
    <row r="664" spans="1:20" x14ac:dyDescent="0.25">
      <c r="A664" s="5">
        <v>43929</v>
      </c>
      <c r="B664">
        <v>0.16109999999999999</v>
      </c>
      <c r="C664">
        <v>0.17050000000000001</v>
      </c>
      <c r="D664">
        <v>0.15970000000000001</v>
      </c>
      <c r="E664">
        <v>0.16619999999999999</v>
      </c>
      <c r="F664">
        <v>14571790.41</v>
      </c>
      <c r="G664">
        <v>0</v>
      </c>
      <c r="L664" t="s">
        <v>7</v>
      </c>
      <c r="M664" t="s">
        <v>8</v>
      </c>
      <c r="N664" t="s">
        <v>8</v>
      </c>
      <c r="P664">
        <f t="shared" si="995"/>
        <v>0.2037037037036992</v>
      </c>
      <c r="Q664">
        <f t="shared" si="996"/>
        <v>2968327.6761110453</v>
      </c>
      <c r="R664">
        <f t="shared" si="997"/>
        <v>72126798.600700021</v>
      </c>
      <c r="S664">
        <f t="shared" si="998"/>
        <v>721.26798600700022</v>
      </c>
      <c r="T664">
        <f t="shared" si="999"/>
        <v>0.72126798600700026</v>
      </c>
    </row>
    <row r="665" spans="1:20" x14ac:dyDescent="0.25">
      <c r="A665" s="5">
        <v>43928</v>
      </c>
      <c r="B665">
        <v>0.16159999999999999</v>
      </c>
      <c r="C665">
        <v>0.17199999999999999</v>
      </c>
      <c r="D665">
        <v>0.15609999999999999</v>
      </c>
      <c r="E665">
        <v>0.16089999999999999</v>
      </c>
      <c r="F665">
        <v>17053192.859999999</v>
      </c>
      <c r="G665">
        <v>0</v>
      </c>
      <c r="L665" t="s">
        <v>8</v>
      </c>
      <c r="M665" t="s">
        <v>8</v>
      </c>
      <c r="N665" t="s">
        <v>8</v>
      </c>
      <c r="P665">
        <f t="shared" si="995"/>
        <v>-0.3962264150943397</v>
      </c>
      <c r="Q665">
        <f t="shared" si="996"/>
        <v>-6756925.4728301894</v>
      </c>
      <c r="R665">
        <f t="shared" si="997"/>
        <v>69158470.924588978</v>
      </c>
      <c r="S665">
        <f t="shared" si="998"/>
        <v>691.58470924588983</v>
      </c>
      <c r="T665">
        <f t="shared" si="999"/>
        <v>0.69158470924588977</v>
      </c>
    </row>
    <row r="666" spans="1:20" x14ac:dyDescent="0.25">
      <c r="A666" s="5">
        <v>43927</v>
      </c>
      <c r="B666">
        <v>0.1462</v>
      </c>
      <c r="C666">
        <v>0.16209999999999999</v>
      </c>
      <c r="D666">
        <v>0.14610000000000001</v>
      </c>
      <c r="E666">
        <v>0.16139999999999999</v>
      </c>
      <c r="F666">
        <v>17883068.260000002</v>
      </c>
      <c r="G666">
        <v>0</v>
      </c>
      <c r="L666" t="s">
        <v>8</v>
      </c>
      <c r="M666" t="s">
        <v>8</v>
      </c>
      <c r="N666" t="s">
        <v>8</v>
      </c>
      <c r="P666">
        <f t="shared" si="995"/>
        <v>0.9124999999999992</v>
      </c>
      <c r="Q666">
        <f t="shared" si="996"/>
        <v>16318299.787249988</v>
      </c>
      <c r="R666">
        <f t="shared" si="997"/>
        <v>75915396.39741917</v>
      </c>
      <c r="S666">
        <f t="shared" si="998"/>
        <v>759.1539639741917</v>
      </c>
      <c r="T666">
        <f t="shared" si="999"/>
        <v>0.75915396397419166</v>
      </c>
    </row>
    <row r="667" spans="1:20" x14ac:dyDescent="0.25">
      <c r="A667" s="5">
        <v>43926</v>
      </c>
      <c r="B667">
        <v>0.1467</v>
      </c>
      <c r="C667">
        <v>0.14860000000000001</v>
      </c>
      <c r="D667">
        <v>0.14430000000000001</v>
      </c>
      <c r="E667">
        <v>0.14599999999999999</v>
      </c>
      <c r="F667">
        <v>4981570.07</v>
      </c>
      <c r="G667">
        <v>0</v>
      </c>
      <c r="L667" t="s">
        <v>8</v>
      </c>
      <c r="M667" t="s">
        <v>7</v>
      </c>
      <c r="N667" t="s">
        <v>8</v>
      </c>
      <c r="P667">
        <f t="shared" si="995"/>
        <v>-0.20930232558140466</v>
      </c>
      <c r="Q667">
        <f t="shared" si="996"/>
        <v>-1042654.2006977209</v>
      </c>
      <c r="R667">
        <f t="shared" si="997"/>
        <v>59597096.610169187</v>
      </c>
      <c r="S667">
        <f t="shared" si="998"/>
        <v>595.97096610169183</v>
      </c>
      <c r="T667">
        <f t="shared" si="999"/>
        <v>0.59597096610169187</v>
      </c>
    </row>
    <row r="668" spans="1:20" x14ac:dyDescent="0.25">
      <c r="A668" s="5">
        <v>43925</v>
      </c>
      <c r="B668">
        <v>0.14460000000000001</v>
      </c>
      <c r="C668">
        <v>0.14899999999999999</v>
      </c>
      <c r="D668">
        <v>0.14280000000000001</v>
      </c>
      <c r="E668">
        <v>0.14660000000000001</v>
      </c>
      <c r="F668">
        <v>5328486.0599999996</v>
      </c>
      <c r="G668">
        <v>0</v>
      </c>
      <c r="L668" t="s">
        <v>8</v>
      </c>
      <c r="M668" t="s">
        <v>7</v>
      </c>
      <c r="N668" t="s">
        <v>8</v>
      </c>
      <c r="P668">
        <f t="shared" si="995"/>
        <v>0.22580645161290583</v>
      </c>
      <c r="Q668">
        <f t="shared" si="996"/>
        <v>1203206.5296774332</v>
      </c>
      <c r="R668">
        <f t="shared" si="997"/>
        <v>60639750.810866907</v>
      </c>
      <c r="S668">
        <f t="shared" si="998"/>
        <v>606.39750810866906</v>
      </c>
      <c r="T668">
        <f t="shared" si="999"/>
        <v>0.6063975081086691</v>
      </c>
    </row>
    <row r="669" spans="1:20" x14ac:dyDescent="0.25">
      <c r="A669" s="5">
        <v>43924</v>
      </c>
      <c r="B669">
        <v>0.14369999999999999</v>
      </c>
      <c r="C669">
        <v>0.15049999999999999</v>
      </c>
      <c r="D669">
        <v>0.1416</v>
      </c>
      <c r="E669">
        <v>0.1444</v>
      </c>
      <c r="F669">
        <v>7893977.7999999998</v>
      </c>
      <c r="G669">
        <v>0</v>
      </c>
      <c r="L669" t="s">
        <v>8</v>
      </c>
      <c r="M669" t="s">
        <v>7</v>
      </c>
      <c r="N669" t="s">
        <v>8</v>
      </c>
      <c r="P669">
        <f t="shared" si="995"/>
        <v>-0.37078651685393266</v>
      </c>
      <c r="Q669">
        <f t="shared" si="996"/>
        <v>-2926980.53258427</v>
      </c>
      <c r="R669">
        <f t="shared" si="997"/>
        <v>59436544.281189471</v>
      </c>
      <c r="S669">
        <f t="shared" si="998"/>
        <v>594.3654428118947</v>
      </c>
      <c r="T669">
        <f t="shared" si="999"/>
        <v>0.59436544281189474</v>
      </c>
    </row>
    <row r="670" spans="1:20" x14ac:dyDescent="0.25">
      <c r="A670" s="5">
        <v>43923</v>
      </c>
      <c r="B670">
        <v>0.14269999999999999</v>
      </c>
      <c r="C670">
        <v>0.15140000000000001</v>
      </c>
      <c r="D670">
        <v>0.14130000000000001</v>
      </c>
      <c r="E670">
        <v>0.14369999999999999</v>
      </c>
      <c r="F670">
        <v>11748205.380000001</v>
      </c>
      <c r="G670">
        <v>0</v>
      </c>
      <c r="L670" t="s">
        <v>8</v>
      </c>
      <c r="M670" t="s">
        <v>7</v>
      </c>
      <c r="N670" t="s">
        <v>8</v>
      </c>
      <c r="P670">
        <f t="shared" si="995"/>
        <v>-0.52475247524752755</v>
      </c>
      <c r="Q670">
        <f t="shared" si="996"/>
        <v>-6164899.8528713202</v>
      </c>
      <c r="R670">
        <f t="shared" si="997"/>
        <v>62363524.813773744</v>
      </c>
      <c r="S670">
        <f t="shared" si="998"/>
        <v>623.63524813773745</v>
      </c>
      <c r="T670">
        <f t="shared" si="999"/>
        <v>0.62363524813773741</v>
      </c>
    </row>
    <row r="671" spans="1:20" x14ac:dyDescent="0.25">
      <c r="A671" s="5">
        <v>43922</v>
      </c>
      <c r="B671">
        <v>0.1416</v>
      </c>
      <c r="C671">
        <v>0.1439</v>
      </c>
      <c r="D671">
        <v>0.1351</v>
      </c>
      <c r="E671">
        <v>0.1426</v>
      </c>
      <c r="F671">
        <v>5684260.1399999997</v>
      </c>
      <c r="G671">
        <v>0</v>
      </c>
      <c r="L671" t="s">
        <v>7</v>
      </c>
      <c r="M671" t="s">
        <v>7</v>
      </c>
      <c r="N671" t="s">
        <v>8</v>
      </c>
      <c r="P671">
        <f t="shared" si="995"/>
        <v>0.70454545454545559</v>
      </c>
      <c r="Q671">
        <f t="shared" si="996"/>
        <v>4004819.6440909146</v>
      </c>
      <c r="R671">
        <f t="shared" si="997"/>
        <v>68528424.666645065</v>
      </c>
      <c r="S671">
        <f t="shared" si="998"/>
        <v>685.2842466664506</v>
      </c>
      <c r="T671">
        <f t="shared" si="999"/>
        <v>0.6852842466664506</v>
      </c>
    </row>
    <row r="672" spans="1:20" x14ac:dyDescent="0.25">
      <c r="A672" s="5">
        <v>43921</v>
      </c>
      <c r="B672">
        <v>0.13930000000000001</v>
      </c>
      <c r="C672">
        <v>0.1439</v>
      </c>
      <c r="D672">
        <v>0.13730000000000001</v>
      </c>
      <c r="E672">
        <v>0.1416</v>
      </c>
      <c r="F672">
        <v>5099792.04</v>
      </c>
      <c r="G672">
        <v>0</v>
      </c>
      <c r="L672" t="s">
        <v>7</v>
      </c>
      <c r="M672" t="s">
        <v>7</v>
      </c>
      <c r="N672" t="s">
        <v>8</v>
      </c>
      <c r="P672">
        <f t="shared" si="995"/>
        <v>0.30303030303030354</v>
      </c>
      <c r="Q672">
        <f t="shared" si="996"/>
        <v>1545391.5272727299</v>
      </c>
      <c r="R672">
        <f t="shared" si="997"/>
        <v>64523605.022554144</v>
      </c>
      <c r="S672">
        <f t="shared" si="998"/>
        <v>645.23605022554148</v>
      </c>
      <c r="T672">
        <f t="shared" si="999"/>
        <v>0.64523605022554142</v>
      </c>
    </row>
    <row r="673" spans="1:20" x14ac:dyDescent="0.25">
      <c r="A673" s="5">
        <v>43920</v>
      </c>
      <c r="B673">
        <v>0.13039999999999999</v>
      </c>
      <c r="C673">
        <v>0.1467</v>
      </c>
      <c r="D673">
        <v>0.12970000000000001</v>
      </c>
      <c r="E673">
        <v>0.1394</v>
      </c>
      <c r="F673">
        <v>8693137.25</v>
      </c>
      <c r="G673">
        <v>0</v>
      </c>
      <c r="L673" t="s">
        <v>8</v>
      </c>
      <c r="M673" t="s">
        <v>7</v>
      </c>
      <c r="N673" t="s">
        <v>8</v>
      </c>
      <c r="P673">
        <f t="shared" si="995"/>
        <v>0.14117647058823454</v>
      </c>
      <c r="Q673">
        <f t="shared" si="996"/>
        <v>1227266.435294111</v>
      </c>
      <c r="R673">
        <f t="shared" si="997"/>
        <v>62978213.495281413</v>
      </c>
      <c r="S673">
        <f t="shared" si="998"/>
        <v>629.78213495281409</v>
      </c>
      <c r="T673">
        <f t="shared" si="999"/>
        <v>0.6297821349528141</v>
      </c>
    </row>
    <row r="674" spans="1:20" x14ac:dyDescent="0.25">
      <c r="A674" s="5">
        <v>43919</v>
      </c>
      <c r="B674">
        <v>0.13869999999999999</v>
      </c>
      <c r="C674">
        <v>0.13919999999999999</v>
      </c>
      <c r="D674">
        <v>0.12959999999999999</v>
      </c>
      <c r="E674">
        <v>0.1303</v>
      </c>
      <c r="F674">
        <v>4379113.87</v>
      </c>
      <c r="G674">
        <v>0</v>
      </c>
      <c r="L674" t="s">
        <v>7</v>
      </c>
      <c r="M674" t="s">
        <v>7</v>
      </c>
      <c r="N674" t="s">
        <v>8</v>
      </c>
      <c r="P674">
        <f t="shared" si="995"/>
        <v>-0.8541666666666653</v>
      </c>
      <c r="Q674">
        <f t="shared" si="996"/>
        <v>-3740493.097291661</v>
      </c>
      <c r="R674">
        <f t="shared" si="997"/>
        <v>61750947.059987299</v>
      </c>
      <c r="S674">
        <f t="shared" si="998"/>
        <v>617.509470599873</v>
      </c>
      <c r="T674">
        <f t="shared" si="999"/>
        <v>0.61750947059987304</v>
      </c>
    </row>
    <row r="675" spans="1:20" x14ac:dyDescent="0.25">
      <c r="A675" s="5">
        <v>43918</v>
      </c>
      <c r="B675">
        <v>0.13930000000000001</v>
      </c>
      <c r="C675">
        <v>0.1399</v>
      </c>
      <c r="D675">
        <v>0.13270000000000001</v>
      </c>
      <c r="E675">
        <v>0.1389</v>
      </c>
      <c r="F675">
        <v>8070337.0099999998</v>
      </c>
      <c r="G675">
        <v>0</v>
      </c>
      <c r="L675" t="s">
        <v>7</v>
      </c>
      <c r="M675" t="s">
        <v>7</v>
      </c>
      <c r="N675" t="s">
        <v>8</v>
      </c>
      <c r="P675">
        <f t="shared" si="995"/>
        <v>0.72222222222222132</v>
      </c>
      <c r="Q675">
        <f t="shared" si="996"/>
        <v>5828576.7294444367</v>
      </c>
      <c r="R675">
        <f t="shared" si="997"/>
        <v>65491440.157278962</v>
      </c>
      <c r="S675">
        <f t="shared" si="998"/>
        <v>654.91440157278964</v>
      </c>
      <c r="T675">
        <f t="shared" si="999"/>
        <v>0.65491440157278968</v>
      </c>
    </row>
    <row r="676" spans="1:20" x14ac:dyDescent="0.25">
      <c r="A676" s="5">
        <v>43917</v>
      </c>
      <c r="B676">
        <v>0.15179999999999999</v>
      </c>
      <c r="C676">
        <v>0.154</v>
      </c>
      <c r="D676">
        <v>0.13830000000000001</v>
      </c>
      <c r="E676">
        <v>0.13930000000000001</v>
      </c>
      <c r="F676">
        <v>10775577.77</v>
      </c>
      <c r="G676">
        <v>0</v>
      </c>
      <c r="L676" t="s">
        <v>7</v>
      </c>
      <c r="M676" t="s">
        <v>7</v>
      </c>
      <c r="N676" t="s">
        <v>8</v>
      </c>
      <c r="P676">
        <f t="shared" si="995"/>
        <v>-0.87261146496815267</v>
      </c>
      <c r="Q676">
        <f t="shared" si="996"/>
        <v>-9402892.7037579585</v>
      </c>
      <c r="R676">
        <f t="shared" si="997"/>
        <v>59662863.427834526</v>
      </c>
      <c r="S676">
        <f t="shared" si="998"/>
        <v>596.6286342783452</v>
      </c>
      <c r="T676">
        <f t="shared" si="999"/>
        <v>0.59662863427834523</v>
      </c>
    </row>
    <row r="677" spans="1:20" x14ac:dyDescent="0.25">
      <c r="A677" s="5">
        <v>43916</v>
      </c>
      <c r="B677">
        <v>0.1484</v>
      </c>
      <c r="C677">
        <v>0.15390000000000001</v>
      </c>
      <c r="D677">
        <v>0.14599999999999999</v>
      </c>
      <c r="E677">
        <v>0.15179999999999999</v>
      </c>
      <c r="F677">
        <v>13274763.67</v>
      </c>
      <c r="G677">
        <v>0</v>
      </c>
      <c r="L677" t="s">
        <v>7</v>
      </c>
      <c r="M677" t="s">
        <v>8</v>
      </c>
      <c r="N677" t="s">
        <v>8</v>
      </c>
      <c r="P677">
        <f t="shared" si="995"/>
        <v>0.46835443037974339</v>
      </c>
      <c r="Q677">
        <f t="shared" si="996"/>
        <v>6217294.3770885617</v>
      </c>
      <c r="R677">
        <f t="shared" si="997"/>
        <v>69065756.131592482</v>
      </c>
      <c r="S677">
        <f t="shared" si="998"/>
        <v>690.6575613159248</v>
      </c>
      <c r="T677">
        <f t="shared" si="999"/>
        <v>0.69065756131592482</v>
      </c>
    </row>
    <row r="678" spans="1:20" x14ac:dyDescent="0.25">
      <c r="A678" s="5">
        <v>43915</v>
      </c>
      <c r="B678">
        <v>0.1532</v>
      </c>
      <c r="C678">
        <v>0.16589999999999999</v>
      </c>
      <c r="D678">
        <v>0.1454</v>
      </c>
      <c r="E678">
        <v>0.14849999999999999</v>
      </c>
      <c r="F678">
        <v>28889400.129999999</v>
      </c>
      <c r="G678">
        <v>0</v>
      </c>
      <c r="L678" t="s">
        <v>8</v>
      </c>
      <c r="M678" t="s">
        <v>8</v>
      </c>
      <c r="N678" t="s">
        <v>8</v>
      </c>
      <c r="P678">
        <f t="shared" si="995"/>
        <v>-0.69756097560975672</v>
      </c>
      <c r="Q678">
        <f t="shared" si="996"/>
        <v>-20152118.139463432</v>
      </c>
      <c r="R678">
        <f t="shared" si="997"/>
        <v>62848461.754503913</v>
      </c>
      <c r="S678">
        <f t="shared" si="998"/>
        <v>628.4846175450391</v>
      </c>
      <c r="T678">
        <f t="shared" si="999"/>
        <v>0.62848461754503915</v>
      </c>
    </row>
    <row r="679" spans="1:20" x14ac:dyDescent="0.25">
      <c r="A679" s="5">
        <v>43914</v>
      </c>
      <c r="B679">
        <v>0.13489999999999999</v>
      </c>
      <c r="C679">
        <v>0.16250000000000001</v>
      </c>
      <c r="D679">
        <v>0.13139999999999999</v>
      </c>
      <c r="E679">
        <v>0.15329999999999999</v>
      </c>
      <c r="F679">
        <v>36655730.780000001</v>
      </c>
      <c r="G679">
        <v>0</v>
      </c>
      <c r="L679" t="s">
        <v>8</v>
      </c>
      <c r="M679" t="s">
        <v>8</v>
      </c>
      <c r="N679" t="s">
        <v>8</v>
      </c>
      <c r="P679">
        <f t="shared" si="995"/>
        <v>0.40836012861736276</v>
      </c>
      <c r="Q679">
        <f t="shared" si="996"/>
        <v>14968738.935884224</v>
      </c>
      <c r="R679">
        <f t="shared" si="997"/>
        <v>83000579.893967345</v>
      </c>
      <c r="S679">
        <f t="shared" si="998"/>
        <v>830.00579893967347</v>
      </c>
      <c r="T679">
        <f t="shared" si="999"/>
        <v>0.83000579893967352</v>
      </c>
    </row>
    <row r="680" spans="1:20" x14ac:dyDescent="0.25">
      <c r="A680" s="5">
        <v>43913</v>
      </c>
      <c r="B680">
        <v>0.12379999999999999</v>
      </c>
      <c r="C680">
        <v>0.13489999999999999</v>
      </c>
      <c r="D680">
        <v>0.1207</v>
      </c>
      <c r="E680">
        <v>0.13469999999999999</v>
      </c>
      <c r="F680">
        <v>7940791.4699999997</v>
      </c>
      <c r="G680">
        <v>0</v>
      </c>
      <c r="L680" t="s">
        <v>7</v>
      </c>
      <c r="M680" t="s">
        <v>7</v>
      </c>
      <c r="N680" t="s">
        <v>8</v>
      </c>
      <c r="P680">
        <f t="shared" si="995"/>
        <v>0.97183098591549211</v>
      </c>
      <c r="Q680">
        <f t="shared" si="996"/>
        <v>7717107.2032394297</v>
      </c>
      <c r="R680">
        <f t="shared" si="997"/>
        <v>68031840.958083123</v>
      </c>
      <c r="S680">
        <f t="shared" si="998"/>
        <v>680.31840958083126</v>
      </c>
      <c r="T680">
        <f t="shared" si="999"/>
        <v>0.68031840958083123</v>
      </c>
    </row>
    <row r="681" spans="1:20" x14ac:dyDescent="0.25">
      <c r="A681" s="5">
        <v>43912</v>
      </c>
      <c r="B681">
        <v>0.13650000000000001</v>
      </c>
      <c r="C681">
        <v>0.1386</v>
      </c>
      <c r="D681">
        <v>0.1229</v>
      </c>
      <c r="E681">
        <v>0.1237</v>
      </c>
      <c r="F681">
        <v>6151611.6200000001</v>
      </c>
      <c r="G681">
        <v>0</v>
      </c>
      <c r="L681" t="s">
        <v>7</v>
      </c>
      <c r="M681" t="s">
        <v>7</v>
      </c>
      <c r="N681" t="s">
        <v>8</v>
      </c>
      <c r="P681">
        <f t="shared" si="995"/>
        <v>-0.89808917197452121</v>
      </c>
      <c r="Q681">
        <f t="shared" si="996"/>
        <v>-5524695.7861146433</v>
      </c>
      <c r="R681">
        <f t="shared" si="997"/>
        <v>60314733.75484369</v>
      </c>
      <c r="S681">
        <f t="shared" si="998"/>
        <v>603.14733754843689</v>
      </c>
      <c r="T681">
        <f t="shared" si="999"/>
        <v>0.60314733754843686</v>
      </c>
    </row>
    <row r="682" spans="1:20" x14ac:dyDescent="0.25">
      <c r="A682" s="5">
        <v>43911</v>
      </c>
      <c r="B682">
        <v>0.13469999999999999</v>
      </c>
      <c r="C682">
        <v>0.14119999999999999</v>
      </c>
      <c r="D682">
        <v>0.1265</v>
      </c>
      <c r="E682">
        <v>0.1366</v>
      </c>
      <c r="F682">
        <v>8218757.75</v>
      </c>
      <c r="G682">
        <v>0</v>
      </c>
      <c r="L682" t="s">
        <v>7</v>
      </c>
      <c r="M682" t="s">
        <v>7</v>
      </c>
      <c r="N682" t="s">
        <v>8</v>
      </c>
      <c r="P682">
        <f t="shared" si="995"/>
        <v>0.37414965986394616</v>
      </c>
      <c r="Q682">
        <f t="shared" si="996"/>
        <v>3075045.4166666716</v>
      </c>
      <c r="R682">
        <f t="shared" si="997"/>
        <v>65839429.54095833</v>
      </c>
      <c r="S682">
        <f t="shared" si="998"/>
        <v>658.39429540958326</v>
      </c>
      <c r="T682">
        <f t="shared" si="999"/>
        <v>0.65839429540958327</v>
      </c>
    </row>
    <row r="683" spans="1:20" x14ac:dyDescent="0.25">
      <c r="A683" s="5">
        <v>43910</v>
      </c>
      <c r="B683">
        <v>0.1366</v>
      </c>
      <c r="C683">
        <v>0.15720000000000001</v>
      </c>
      <c r="D683">
        <v>0.12</v>
      </c>
      <c r="E683">
        <v>0.13450000000000001</v>
      </c>
      <c r="F683">
        <v>18776217.960000001</v>
      </c>
      <c r="G683">
        <v>0</v>
      </c>
      <c r="L683" t="s">
        <v>8</v>
      </c>
      <c r="M683" t="s">
        <v>8</v>
      </c>
      <c r="N683" t="s">
        <v>8</v>
      </c>
      <c r="P683">
        <f t="shared" si="995"/>
        <v>-0.22043010752688125</v>
      </c>
      <c r="Q683">
        <f t="shared" si="996"/>
        <v>-4138843.7438709592</v>
      </c>
      <c r="R683">
        <f t="shared" si="997"/>
        <v>62764384.124291658</v>
      </c>
      <c r="S683">
        <f t="shared" si="998"/>
        <v>627.64384124291655</v>
      </c>
      <c r="T683">
        <f t="shared" si="999"/>
        <v>0.6276438412429165</v>
      </c>
    </row>
    <row r="684" spans="1:20" x14ac:dyDescent="0.25">
      <c r="A684" s="5">
        <v>43909</v>
      </c>
      <c r="B684">
        <v>0.11990000000000001</v>
      </c>
      <c r="C684">
        <v>0.14399999999999999</v>
      </c>
      <c r="D684">
        <v>0.1192</v>
      </c>
      <c r="E684">
        <v>0.13639999999999999</v>
      </c>
      <c r="F684">
        <v>20006443.16</v>
      </c>
      <c r="G684">
        <v>0</v>
      </c>
      <c r="L684" t="s">
        <v>8</v>
      </c>
      <c r="M684" t="s">
        <v>8</v>
      </c>
      <c r="N684" t="s">
        <v>8</v>
      </c>
      <c r="P684">
        <f t="shared" si="995"/>
        <v>0.38709677419354843</v>
      </c>
      <c r="Q684">
        <f t="shared" si="996"/>
        <v>7744429.6103225816</v>
      </c>
      <c r="R684">
        <f t="shared" si="997"/>
        <v>66903227.868162617</v>
      </c>
      <c r="S684">
        <f t="shared" si="998"/>
        <v>669.03227868162617</v>
      </c>
      <c r="T684">
        <f t="shared" si="999"/>
        <v>0.66903227868162618</v>
      </c>
    </row>
    <row r="685" spans="1:20" x14ac:dyDescent="0.25">
      <c r="A685" s="5">
        <v>43908</v>
      </c>
      <c r="B685">
        <v>0.11749999999999999</v>
      </c>
      <c r="C685">
        <v>0.12</v>
      </c>
      <c r="D685">
        <v>0.1119</v>
      </c>
      <c r="E685">
        <v>0.1198</v>
      </c>
      <c r="F685">
        <v>13317528.17</v>
      </c>
      <c r="G685">
        <v>0</v>
      </c>
      <c r="L685" t="s">
        <v>7</v>
      </c>
      <c r="M685" t="s">
        <v>8</v>
      </c>
      <c r="N685" t="s">
        <v>7</v>
      </c>
      <c r="P685">
        <f t="shared" si="995"/>
        <v>0.95061728395061929</v>
      </c>
      <c r="Q685">
        <f t="shared" si="996"/>
        <v>12659872.457901262</v>
      </c>
      <c r="R685">
        <f t="shared" si="997"/>
        <v>59158798.257840037</v>
      </c>
      <c r="S685">
        <f t="shared" si="998"/>
        <v>591.58798257840033</v>
      </c>
      <c r="T685">
        <f t="shared" si="999"/>
        <v>0.59158798257840028</v>
      </c>
    </row>
    <row r="686" spans="1:20" x14ac:dyDescent="0.25">
      <c r="A686" s="5">
        <v>43907</v>
      </c>
      <c r="B686">
        <v>0.112</v>
      </c>
      <c r="C686">
        <v>0.12330000000000001</v>
      </c>
      <c r="D686">
        <v>0.1104</v>
      </c>
      <c r="E686">
        <v>0.1176</v>
      </c>
      <c r="F686">
        <v>11420237.24</v>
      </c>
      <c r="G686">
        <v>0</v>
      </c>
      <c r="L686" t="s">
        <v>8</v>
      </c>
      <c r="M686" t="s">
        <v>8</v>
      </c>
      <c r="N686" t="s">
        <v>7</v>
      </c>
      <c r="P686">
        <f t="shared" si="995"/>
        <v>0.1162790697674408</v>
      </c>
      <c r="Q686">
        <f t="shared" si="996"/>
        <v>1327934.5627906856</v>
      </c>
      <c r="R686">
        <f t="shared" si="997"/>
        <v>46498925.799938776</v>
      </c>
      <c r="S686">
        <f t="shared" si="998"/>
        <v>464.98925799938775</v>
      </c>
      <c r="T686">
        <f t="shared" si="999"/>
        <v>0.46498925799938773</v>
      </c>
    </row>
    <row r="687" spans="1:20" x14ac:dyDescent="0.25">
      <c r="A687" s="5">
        <v>43906</v>
      </c>
      <c r="B687">
        <v>0.1236</v>
      </c>
      <c r="C687">
        <v>0.1237</v>
      </c>
      <c r="D687">
        <v>9.8400000000000001E-2</v>
      </c>
      <c r="E687">
        <v>0.1118</v>
      </c>
      <c r="F687">
        <v>17135278.710000001</v>
      </c>
      <c r="G687">
        <v>0</v>
      </c>
      <c r="L687" t="s">
        <v>7</v>
      </c>
      <c r="M687" t="s">
        <v>7</v>
      </c>
      <c r="N687" t="s">
        <v>7</v>
      </c>
      <c r="P687">
        <f t="shared" si="995"/>
        <v>5.9288537549406613E-2</v>
      </c>
      <c r="Q687">
        <f t="shared" si="996"/>
        <v>1015925.6152173828</v>
      </c>
      <c r="R687">
        <f t="shared" si="997"/>
        <v>45170991.237148091</v>
      </c>
      <c r="S687">
        <f t="shared" si="998"/>
        <v>451.70991237148093</v>
      </c>
      <c r="T687">
        <f t="shared" si="999"/>
        <v>0.45170991237148095</v>
      </c>
    </row>
    <row r="688" spans="1:20" x14ac:dyDescent="0.25">
      <c r="A688" s="5">
        <v>43905</v>
      </c>
      <c r="B688">
        <v>0.12330000000000001</v>
      </c>
      <c r="C688">
        <v>0.1336</v>
      </c>
      <c r="D688">
        <v>0.1188</v>
      </c>
      <c r="E688">
        <v>0.1234</v>
      </c>
      <c r="F688">
        <v>10077854.15</v>
      </c>
      <c r="G688">
        <v>0</v>
      </c>
      <c r="L688" t="s">
        <v>7</v>
      </c>
      <c r="M688" t="s">
        <v>8</v>
      </c>
      <c r="N688" t="s">
        <v>8</v>
      </c>
      <c r="P688">
        <f t="shared" si="995"/>
        <v>-0.37837837837837907</v>
      </c>
      <c r="Q688">
        <f t="shared" si="996"/>
        <v>-3813242.1108108177</v>
      </c>
      <c r="R688">
        <f t="shared" si="997"/>
        <v>44155065.621930711</v>
      </c>
      <c r="S688">
        <f t="shared" si="998"/>
        <v>441.55065621930709</v>
      </c>
      <c r="T688">
        <f t="shared" si="999"/>
        <v>0.44155065621930711</v>
      </c>
    </row>
    <row r="689" spans="1:20" x14ac:dyDescent="0.25">
      <c r="A689" s="5">
        <v>43904</v>
      </c>
      <c r="B689">
        <v>0.1328</v>
      </c>
      <c r="C689">
        <v>0.1353</v>
      </c>
      <c r="D689">
        <v>0.12</v>
      </c>
      <c r="E689">
        <v>0.12330000000000001</v>
      </c>
      <c r="F689">
        <v>11584128.279999999</v>
      </c>
      <c r="G689">
        <v>0</v>
      </c>
      <c r="L689" t="s">
        <v>8</v>
      </c>
      <c r="M689" t="s">
        <v>8</v>
      </c>
      <c r="N689" t="s">
        <v>8</v>
      </c>
      <c r="P689">
        <f t="shared" si="995"/>
        <v>-0.56862745098039091</v>
      </c>
      <c r="Q689">
        <f t="shared" si="996"/>
        <v>-6587053.3356862599</v>
      </c>
      <c r="R689">
        <f t="shared" si="997"/>
        <v>47968307.732741527</v>
      </c>
      <c r="S689">
        <f t="shared" si="998"/>
        <v>479.68307732741528</v>
      </c>
      <c r="T689">
        <f t="shared" si="999"/>
        <v>0.47968307732741527</v>
      </c>
    </row>
    <row r="690" spans="1:20" x14ac:dyDescent="0.25">
      <c r="A690" s="5">
        <v>43903</v>
      </c>
      <c r="B690">
        <v>0.11</v>
      </c>
      <c r="C690">
        <v>0.15160000000000001</v>
      </c>
      <c r="D690">
        <v>0.08</v>
      </c>
      <c r="E690">
        <v>0.13239999999999999</v>
      </c>
      <c r="F690">
        <v>34904862.170000002</v>
      </c>
      <c r="G690">
        <v>0</v>
      </c>
      <c r="L690" t="s">
        <v>7</v>
      </c>
      <c r="M690" t="s">
        <v>7</v>
      </c>
      <c r="N690" t="s">
        <v>7</v>
      </c>
      <c r="P690">
        <f t="shared" si="995"/>
        <v>0.46368715083798828</v>
      </c>
      <c r="Q690">
        <f t="shared" si="996"/>
        <v>16184936.089999981</v>
      </c>
      <c r="R690">
        <f t="shared" si="997"/>
        <v>54555361.068427786</v>
      </c>
      <c r="S690">
        <f t="shared" si="998"/>
        <v>545.55361068427783</v>
      </c>
      <c r="T690">
        <f t="shared" si="999"/>
        <v>0.54555361068427788</v>
      </c>
    </row>
    <row r="691" spans="1:20" x14ac:dyDescent="0.25">
      <c r="A691" s="5">
        <v>43902</v>
      </c>
      <c r="B691">
        <v>0.2</v>
      </c>
      <c r="C691">
        <v>0.2014</v>
      </c>
      <c r="D691">
        <v>0.10440000000000001</v>
      </c>
      <c r="E691">
        <v>0.11</v>
      </c>
      <c r="F691">
        <v>36385604.189999998</v>
      </c>
      <c r="G691">
        <v>0</v>
      </c>
      <c r="L691" t="s">
        <v>7</v>
      </c>
      <c r="M691" t="s">
        <v>7</v>
      </c>
      <c r="N691" t="s">
        <v>7</v>
      </c>
      <c r="P691">
        <f t="shared" si="995"/>
        <v>-0.88453608247422688</v>
      </c>
      <c r="Q691">
        <f t="shared" si="996"/>
        <v>-32184379.788680412</v>
      </c>
      <c r="R691">
        <f t="shared" si="997"/>
        <v>38370424.978427805</v>
      </c>
      <c r="S691">
        <f t="shared" si="998"/>
        <v>383.70424978427803</v>
      </c>
      <c r="T691">
        <f t="shared" si="999"/>
        <v>0.38370424978427803</v>
      </c>
    </row>
    <row r="692" spans="1:20" x14ac:dyDescent="0.25">
      <c r="A692" s="5">
        <v>43901</v>
      </c>
      <c r="B692">
        <v>0.20330000000000001</v>
      </c>
      <c r="C692">
        <v>0.21490000000000001</v>
      </c>
      <c r="D692">
        <v>0.18190000000000001</v>
      </c>
      <c r="E692">
        <v>0.19969999999999999</v>
      </c>
      <c r="F692">
        <v>20479335.440000001</v>
      </c>
      <c r="G692">
        <v>0</v>
      </c>
      <c r="L692" t="s">
        <v>8</v>
      </c>
      <c r="M692" t="s">
        <v>8</v>
      </c>
      <c r="N692" t="s">
        <v>7</v>
      </c>
      <c r="P692">
        <f t="shared" si="995"/>
        <v>7.8787878787877672E-2</v>
      </c>
      <c r="Q692">
        <f t="shared" si="996"/>
        <v>1613523.3983030075</v>
      </c>
      <c r="R692">
        <f t="shared" si="997"/>
        <v>70554804.767108217</v>
      </c>
      <c r="S692">
        <f t="shared" si="998"/>
        <v>705.54804767108214</v>
      </c>
      <c r="T692">
        <f t="shared" si="999"/>
        <v>0.70554804767108215</v>
      </c>
    </row>
    <row r="693" spans="1:20" x14ac:dyDescent="0.25">
      <c r="A693" s="5">
        <v>43900</v>
      </c>
      <c r="B693">
        <v>0.19539999999999999</v>
      </c>
      <c r="C693">
        <v>0.2109</v>
      </c>
      <c r="D693">
        <v>0.1925</v>
      </c>
      <c r="E693">
        <v>0.20330000000000001</v>
      </c>
      <c r="F693">
        <v>14538847.039999999</v>
      </c>
      <c r="G693">
        <v>0</v>
      </c>
      <c r="L693" t="s">
        <v>8</v>
      </c>
      <c r="M693" t="s">
        <v>8</v>
      </c>
      <c r="N693" t="s">
        <v>7</v>
      </c>
      <c r="P693">
        <f t="shared" si="995"/>
        <v>0.17391304347826134</v>
      </c>
      <c r="Q693">
        <f t="shared" si="996"/>
        <v>2528495.1373913111</v>
      </c>
      <c r="R693">
        <f t="shared" si="997"/>
        <v>68941281.368805215</v>
      </c>
      <c r="S693">
        <f t="shared" si="998"/>
        <v>689.4128136880521</v>
      </c>
      <c r="T693">
        <f t="shared" si="999"/>
        <v>0.68941281368805207</v>
      </c>
    </row>
    <row r="694" spans="1:20" x14ac:dyDescent="0.25">
      <c r="A694" s="5">
        <v>43899</v>
      </c>
      <c r="B694">
        <v>0.1925</v>
      </c>
      <c r="C694">
        <v>0.20250000000000001</v>
      </c>
      <c r="D694">
        <v>0.17949999999999999</v>
      </c>
      <c r="E694">
        <v>0.19550000000000001</v>
      </c>
      <c r="F694">
        <v>16705362.02</v>
      </c>
      <c r="G694">
        <v>0</v>
      </c>
      <c r="L694" t="s">
        <v>7</v>
      </c>
      <c r="M694" t="s">
        <v>7</v>
      </c>
      <c r="N694" t="s">
        <v>7</v>
      </c>
      <c r="P694">
        <f t="shared" si="995"/>
        <v>0.39130434782608697</v>
      </c>
      <c r="Q694">
        <f t="shared" si="996"/>
        <v>6536880.7904347824</v>
      </c>
      <c r="R694">
        <f t="shared" si="997"/>
        <v>66412786.231413908</v>
      </c>
      <c r="S694">
        <f t="shared" si="998"/>
        <v>664.12786231413907</v>
      </c>
      <c r="T694">
        <f t="shared" si="999"/>
        <v>0.66412786231413912</v>
      </c>
    </row>
    <row r="695" spans="1:20" x14ac:dyDescent="0.25">
      <c r="A695" s="5">
        <v>43898</v>
      </c>
      <c r="B695">
        <v>0.22720000000000001</v>
      </c>
      <c r="C695">
        <v>0.22720000000000001</v>
      </c>
      <c r="D695">
        <v>0.19109999999999999</v>
      </c>
      <c r="E695">
        <v>0.1923</v>
      </c>
      <c r="F695">
        <v>13666004.09</v>
      </c>
      <c r="G695">
        <v>0</v>
      </c>
      <c r="L695" t="s">
        <v>7</v>
      </c>
      <c r="M695" t="s">
        <v>7</v>
      </c>
      <c r="N695" t="s">
        <v>7</v>
      </c>
      <c r="P695">
        <f t="shared" si="995"/>
        <v>-0.93351800554016584</v>
      </c>
      <c r="Q695">
        <f t="shared" si="996"/>
        <v>-12757460.881800549</v>
      </c>
      <c r="R695">
        <f t="shared" si="997"/>
        <v>59875905.440979123</v>
      </c>
      <c r="S695">
        <f t="shared" si="998"/>
        <v>598.75905440979125</v>
      </c>
      <c r="T695">
        <f t="shared" si="999"/>
        <v>0.59875905440979127</v>
      </c>
    </row>
    <row r="696" spans="1:20" x14ac:dyDescent="0.25">
      <c r="A696" s="5">
        <v>43897</v>
      </c>
      <c r="B696">
        <v>0.24249999999999999</v>
      </c>
      <c r="C696">
        <v>0.2427</v>
      </c>
      <c r="D696">
        <v>0.22409999999999999</v>
      </c>
      <c r="E696">
        <v>0.22720000000000001</v>
      </c>
      <c r="F696">
        <v>6822975.3600000003</v>
      </c>
      <c r="G696">
        <v>0</v>
      </c>
      <c r="L696" t="s">
        <v>7</v>
      </c>
      <c r="M696" t="s">
        <v>8</v>
      </c>
      <c r="N696" t="s">
        <v>7</v>
      </c>
      <c r="P696">
        <f t="shared" si="995"/>
        <v>-0.66666666666666463</v>
      </c>
      <c r="Q696">
        <f t="shared" si="996"/>
        <v>-4548650.2399999863</v>
      </c>
      <c r="R696">
        <f t="shared" si="997"/>
        <v>72633366.32277967</v>
      </c>
      <c r="S696">
        <f t="shared" si="998"/>
        <v>726.33366322779671</v>
      </c>
      <c r="T696">
        <f t="shared" si="999"/>
        <v>0.72633366322779669</v>
      </c>
    </row>
    <row r="697" spans="1:20" x14ac:dyDescent="0.25">
      <c r="A697" s="5">
        <v>43896</v>
      </c>
      <c r="B697">
        <v>0.2344</v>
      </c>
      <c r="C697">
        <v>0.248</v>
      </c>
      <c r="D697">
        <v>0.22589999999999999</v>
      </c>
      <c r="E697">
        <v>0.2424</v>
      </c>
      <c r="F697">
        <v>14098587.369999999</v>
      </c>
      <c r="G697">
        <v>0</v>
      </c>
      <c r="L697" t="s">
        <v>8</v>
      </c>
      <c r="M697" t="s">
        <v>8</v>
      </c>
      <c r="N697" t="s">
        <v>7</v>
      </c>
      <c r="P697">
        <f t="shared" si="995"/>
        <v>0.49321266968325866</v>
      </c>
      <c r="Q697">
        <f t="shared" si="996"/>
        <v>6953601.9155203719</v>
      </c>
      <c r="R697">
        <f t="shared" si="997"/>
        <v>77182016.56277965</v>
      </c>
      <c r="S697">
        <f t="shared" si="998"/>
        <v>771.82016562779654</v>
      </c>
      <c r="T697">
        <f t="shared" si="999"/>
        <v>0.77182016562779654</v>
      </c>
    </row>
    <row r="698" spans="1:20" x14ac:dyDescent="0.25">
      <c r="A698" s="5">
        <v>43895</v>
      </c>
      <c r="B698">
        <v>0.23169999999999999</v>
      </c>
      <c r="C698">
        <v>0.245</v>
      </c>
      <c r="D698">
        <v>0.23169999999999999</v>
      </c>
      <c r="E698">
        <v>0.23430000000000001</v>
      </c>
      <c r="F698">
        <v>12834712.060000001</v>
      </c>
      <c r="G698">
        <v>0</v>
      </c>
      <c r="L698" t="s">
        <v>8</v>
      </c>
      <c r="M698" t="s">
        <v>8</v>
      </c>
      <c r="N698" t="s">
        <v>7</v>
      </c>
      <c r="P698">
        <f t="shared" si="995"/>
        <v>-0.6090225563909748</v>
      </c>
      <c r="Q698">
        <f t="shared" si="996"/>
        <v>-7816629.1493232744</v>
      </c>
      <c r="R698">
        <f t="shared" si="997"/>
        <v>70228414.64725928</v>
      </c>
      <c r="S698">
        <f t="shared" si="998"/>
        <v>702.28414647259285</v>
      </c>
      <c r="T698">
        <f t="shared" si="999"/>
        <v>0.70228414647259285</v>
      </c>
    </row>
    <row r="699" spans="1:20" x14ac:dyDescent="0.25">
      <c r="A699" s="5">
        <v>43894</v>
      </c>
      <c r="B699">
        <v>0.2238</v>
      </c>
      <c r="C699">
        <v>0.23380000000000001</v>
      </c>
      <c r="D699">
        <v>0.22239999999999999</v>
      </c>
      <c r="E699">
        <v>0.23169999999999999</v>
      </c>
      <c r="F699">
        <v>9693662.1899999995</v>
      </c>
      <c r="G699">
        <v>0</v>
      </c>
      <c r="L699" t="s">
        <v>8</v>
      </c>
      <c r="M699" t="s">
        <v>7</v>
      </c>
      <c r="N699" t="s">
        <v>7</v>
      </c>
      <c r="P699">
        <f t="shared" si="995"/>
        <v>0.63157894736841846</v>
      </c>
      <c r="Q699">
        <f t="shared" si="996"/>
        <v>6122312.9621052379</v>
      </c>
      <c r="R699">
        <f t="shared" si="997"/>
        <v>78045043.79658255</v>
      </c>
      <c r="S699">
        <f t="shared" si="998"/>
        <v>780.45043796582547</v>
      </c>
      <c r="T699">
        <f t="shared" si="999"/>
        <v>0.78045043796582547</v>
      </c>
    </row>
    <row r="700" spans="1:20" x14ac:dyDescent="0.25">
      <c r="A700" s="5">
        <v>43893</v>
      </c>
      <c r="B700">
        <v>0.22770000000000001</v>
      </c>
      <c r="C700">
        <v>0.23</v>
      </c>
      <c r="D700">
        <v>0.21959999999999999</v>
      </c>
      <c r="E700">
        <v>0.22370000000000001</v>
      </c>
      <c r="F700">
        <v>8113049.1299999999</v>
      </c>
      <c r="G700">
        <v>0</v>
      </c>
      <c r="L700" t="s">
        <v>8</v>
      </c>
      <c r="M700" t="s">
        <v>7</v>
      </c>
      <c r="N700" t="s">
        <v>7</v>
      </c>
      <c r="P700">
        <f t="shared" si="995"/>
        <v>-0.21153846153845918</v>
      </c>
      <c r="Q700">
        <f t="shared" si="996"/>
        <v>-1716221.9313461347</v>
      </c>
      <c r="R700">
        <f t="shared" si="997"/>
        <v>71922730.834477305</v>
      </c>
      <c r="S700">
        <f t="shared" si="998"/>
        <v>719.22730834477306</v>
      </c>
      <c r="T700">
        <f t="shared" si="999"/>
        <v>0.71922730834477311</v>
      </c>
    </row>
    <row r="701" spans="1:20" x14ac:dyDescent="0.25">
      <c r="A701" s="5">
        <v>43892</v>
      </c>
      <c r="B701">
        <v>0.20960000000000001</v>
      </c>
      <c r="C701">
        <v>0.23039999999999999</v>
      </c>
      <c r="D701">
        <v>0.2079</v>
      </c>
      <c r="E701">
        <v>0.22770000000000001</v>
      </c>
      <c r="F701">
        <v>10553867.74</v>
      </c>
      <c r="G701">
        <v>0</v>
      </c>
      <c r="L701" t="s">
        <v>8</v>
      </c>
      <c r="M701" t="s">
        <v>7</v>
      </c>
      <c r="N701" t="s">
        <v>7</v>
      </c>
      <c r="P701">
        <f t="shared" si="995"/>
        <v>0.76000000000000167</v>
      </c>
      <c r="Q701">
        <f t="shared" si="996"/>
        <v>8020939.4824000178</v>
      </c>
      <c r="R701">
        <f t="shared" si="997"/>
        <v>73638952.765823439</v>
      </c>
      <c r="S701">
        <f t="shared" si="998"/>
        <v>736.38952765823444</v>
      </c>
      <c r="T701">
        <f t="shared" si="999"/>
        <v>0.7363895276582344</v>
      </c>
    </row>
    <row r="702" spans="1:20" x14ac:dyDescent="0.25">
      <c r="A702" s="5">
        <v>43891</v>
      </c>
      <c r="B702">
        <v>0.21079999999999999</v>
      </c>
      <c r="C702">
        <v>0.21829999999999999</v>
      </c>
      <c r="D702">
        <v>0.20380000000000001</v>
      </c>
      <c r="E702">
        <v>0.20910000000000001</v>
      </c>
      <c r="F702">
        <v>7486949.1799999997</v>
      </c>
      <c r="G702">
        <v>0</v>
      </c>
      <c r="L702" t="s">
        <v>7</v>
      </c>
      <c r="M702" t="s">
        <v>7</v>
      </c>
      <c r="N702" t="s">
        <v>7</v>
      </c>
      <c r="P702">
        <f t="shared" si="995"/>
        <v>-0.26896551724137868</v>
      </c>
      <c r="Q702">
        <f t="shared" si="996"/>
        <v>-2013731.1587586158</v>
      </c>
      <c r="R702">
        <f t="shared" si="997"/>
        <v>65618013.283423416</v>
      </c>
      <c r="S702">
        <f t="shared" si="998"/>
        <v>656.1801328342342</v>
      </c>
      <c r="T702">
        <f t="shared" si="999"/>
        <v>0.65618013283423415</v>
      </c>
    </row>
    <row r="703" spans="1:20" x14ac:dyDescent="0.25">
      <c r="A703" s="5">
        <v>43890</v>
      </c>
      <c r="B703">
        <v>0.21540000000000001</v>
      </c>
      <c r="C703">
        <v>0.222</v>
      </c>
      <c r="D703">
        <v>0.21079999999999999</v>
      </c>
      <c r="E703">
        <v>0.21079999999999999</v>
      </c>
      <c r="F703">
        <v>4579880.8099999996</v>
      </c>
      <c r="G703">
        <v>0</v>
      </c>
      <c r="L703" t="s">
        <v>7</v>
      </c>
      <c r="M703" t="s">
        <v>7</v>
      </c>
      <c r="N703" t="s">
        <v>7</v>
      </c>
      <c r="P703">
        <f t="shared" si="995"/>
        <v>-1</v>
      </c>
      <c r="Q703">
        <f t="shared" si="996"/>
        <v>-4579880.8099999996</v>
      </c>
      <c r="R703">
        <f t="shared" si="997"/>
        <v>67631744.442182034</v>
      </c>
      <c r="S703">
        <f t="shared" si="998"/>
        <v>676.31744442182037</v>
      </c>
      <c r="T703">
        <f t="shared" si="999"/>
        <v>0.6763174444218204</v>
      </c>
    </row>
    <row r="704" spans="1:20" x14ac:dyDescent="0.25">
      <c r="A704" s="5">
        <v>43889</v>
      </c>
      <c r="B704">
        <v>0.22120000000000001</v>
      </c>
      <c r="C704">
        <v>0.2266</v>
      </c>
      <c r="D704">
        <v>0.20630000000000001</v>
      </c>
      <c r="E704">
        <v>0.21529999999999999</v>
      </c>
      <c r="F704">
        <v>12872715.1</v>
      </c>
      <c r="G704">
        <v>0</v>
      </c>
      <c r="L704" t="s">
        <v>7</v>
      </c>
      <c r="M704" t="s">
        <v>7</v>
      </c>
      <c r="N704" t="s">
        <v>7</v>
      </c>
      <c r="P704">
        <f t="shared" si="995"/>
        <v>-0.11330049261083872</v>
      </c>
      <c r="Q704">
        <f t="shared" si="996"/>
        <v>-1458484.962068982</v>
      </c>
      <c r="R704">
        <f t="shared" si="997"/>
        <v>72211625.252182037</v>
      </c>
      <c r="S704">
        <f t="shared" si="998"/>
        <v>722.11625252182034</v>
      </c>
      <c r="T704">
        <f t="shared" si="999"/>
        <v>0.72211625252182032</v>
      </c>
    </row>
    <row r="705" spans="1:20" x14ac:dyDescent="0.25">
      <c r="A705" s="5">
        <v>43888</v>
      </c>
      <c r="B705">
        <v>0.21840000000000001</v>
      </c>
      <c r="C705">
        <v>0.23150000000000001</v>
      </c>
      <c r="D705">
        <v>0.20749999999999999</v>
      </c>
      <c r="E705">
        <v>0.221</v>
      </c>
      <c r="F705">
        <v>14348426.48</v>
      </c>
      <c r="G705">
        <v>0</v>
      </c>
      <c r="L705" t="s">
        <v>8</v>
      </c>
      <c r="M705" t="s">
        <v>7</v>
      </c>
      <c r="N705" t="s">
        <v>7</v>
      </c>
      <c r="P705">
        <f t="shared" si="995"/>
        <v>0.125</v>
      </c>
      <c r="Q705">
        <f t="shared" si="996"/>
        <v>1793553.31</v>
      </c>
      <c r="R705">
        <f t="shared" si="997"/>
        <v>73670110.214251012</v>
      </c>
      <c r="S705">
        <f t="shared" si="998"/>
        <v>736.70110214251008</v>
      </c>
      <c r="T705">
        <f t="shared" si="999"/>
        <v>0.73670110214251006</v>
      </c>
    </row>
    <row r="706" spans="1:20" x14ac:dyDescent="0.25">
      <c r="A706" s="5">
        <v>43887</v>
      </c>
      <c r="B706">
        <v>0.23380000000000001</v>
      </c>
      <c r="C706">
        <v>0.23899999999999999</v>
      </c>
      <c r="D706">
        <v>0.20119999999999999</v>
      </c>
      <c r="E706">
        <v>0.21870000000000001</v>
      </c>
      <c r="F706">
        <v>27795252.350000001</v>
      </c>
      <c r="G706">
        <v>0</v>
      </c>
      <c r="L706" t="s">
        <v>7</v>
      </c>
      <c r="M706" t="s">
        <v>7</v>
      </c>
      <c r="N706" t="s">
        <v>7</v>
      </c>
      <c r="P706">
        <f t="shared" si="995"/>
        <v>-7.4074074074073265E-2</v>
      </c>
      <c r="Q706">
        <f t="shared" si="996"/>
        <v>-2058907.5814814591</v>
      </c>
      <c r="R706">
        <f t="shared" si="997"/>
        <v>71876556.904251009</v>
      </c>
      <c r="S706">
        <f t="shared" si="998"/>
        <v>718.76556904251004</v>
      </c>
      <c r="T706">
        <f t="shared" si="999"/>
        <v>0.71876556904250999</v>
      </c>
    </row>
    <row r="707" spans="1:20" x14ac:dyDescent="0.25">
      <c r="A707" s="5">
        <v>43886</v>
      </c>
      <c r="B707">
        <v>0.25700000000000001</v>
      </c>
      <c r="C707">
        <v>0.25740000000000002</v>
      </c>
      <c r="D707">
        <v>0.2311</v>
      </c>
      <c r="E707">
        <v>0.2339</v>
      </c>
      <c r="F707">
        <v>14712674.279999999</v>
      </c>
      <c r="G707">
        <v>0</v>
      </c>
      <c r="L707" t="s">
        <v>7</v>
      </c>
      <c r="M707" t="s">
        <v>7</v>
      </c>
      <c r="N707" t="s">
        <v>7</v>
      </c>
      <c r="P707">
        <f t="shared" si="995"/>
        <v>-0.787072243346008</v>
      </c>
      <c r="Q707">
        <f t="shared" si="996"/>
        <v>-11579937.551178712</v>
      </c>
      <c r="R707">
        <f t="shared" si="997"/>
        <v>73935464.485732466</v>
      </c>
      <c r="S707">
        <f t="shared" si="998"/>
        <v>739.35464485732462</v>
      </c>
      <c r="T707">
        <f t="shared" si="999"/>
        <v>0.73935464485732461</v>
      </c>
    </row>
    <row r="708" spans="1:20" x14ac:dyDescent="0.25">
      <c r="A708" s="5">
        <v>43885</v>
      </c>
      <c r="B708">
        <v>0.27629999999999999</v>
      </c>
      <c r="C708">
        <v>0.27760000000000001</v>
      </c>
      <c r="D708">
        <v>0.24959999999999999</v>
      </c>
      <c r="E708">
        <v>0.25659999999999999</v>
      </c>
      <c r="F708">
        <v>12591155.43</v>
      </c>
      <c r="G708">
        <v>0</v>
      </c>
      <c r="L708" t="s">
        <v>7</v>
      </c>
      <c r="M708" t="s">
        <v>8</v>
      </c>
      <c r="N708" t="s">
        <v>7</v>
      </c>
      <c r="P708">
        <f t="shared" si="995"/>
        <v>-0.5</v>
      </c>
      <c r="Q708">
        <f t="shared" si="996"/>
        <v>-6295577.7149999999</v>
      </c>
      <c r="R708">
        <f t="shared" si="997"/>
        <v>85515402.036911175</v>
      </c>
      <c r="S708">
        <f t="shared" si="998"/>
        <v>855.15402036911178</v>
      </c>
      <c r="T708">
        <f t="shared" si="999"/>
        <v>0.85515402036911181</v>
      </c>
    </row>
    <row r="709" spans="1:20" x14ac:dyDescent="0.25">
      <c r="A709" s="5">
        <v>43884</v>
      </c>
      <c r="B709">
        <v>0.27200000000000002</v>
      </c>
      <c r="C709">
        <v>0.28360000000000002</v>
      </c>
      <c r="D709">
        <v>0.26919999999999999</v>
      </c>
      <c r="E709">
        <v>0.27589999999999998</v>
      </c>
      <c r="F709">
        <v>11677808.73</v>
      </c>
      <c r="G709">
        <v>0</v>
      </c>
      <c r="L709" t="s">
        <v>8</v>
      </c>
      <c r="M709" t="s">
        <v>8</v>
      </c>
      <c r="N709" t="s">
        <v>7</v>
      </c>
      <c r="P709">
        <f t="shared" si="995"/>
        <v>-6.944444444444825E-2</v>
      </c>
      <c r="Q709">
        <f t="shared" si="996"/>
        <v>-810958.9395833778</v>
      </c>
      <c r="R709">
        <f t="shared" si="997"/>
        <v>91810979.751911178</v>
      </c>
      <c r="S709">
        <f t="shared" si="998"/>
        <v>918.10979751911179</v>
      </c>
      <c r="T709">
        <f t="shared" si="999"/>
        <v>0.91810979751911181</v>
      </c>
    </row>
    <row r="710" spans="1:20" x14ac:dyDescent="0.25">
      <c r="A710" s="5">
        <v>43883</v>
      </c>
      <c r="B710">
        <v>0.26629999999999998</v>
      </c>
      <c r="C710">
        <v>0.27500000000000002</v>
      </c>
      <c r="D710">
        <v>0.26400000000000001</v>
      </c>
      <c r="E710">
        <v>0.2717</v>
      </c>
      <c r="F710">
        <v>9227501.1400000006</v>
      </c>
      <c r="G710">
        <v>0</v>
      </c>
      <c r="L710" t="s">
        <v>8</v>
      </c>
      <c r="M710" t="s">
        <v>8</v>
      </c>
      <c r="N710" t="s">
        <v>7</v>
      </c>
      <c r="P710">
        <f t="shared" ref="P710:P766" si="1000">IF(C710=D710,0,((E710-D710)-(C710-E710))/(C710-D710))</f>
        <v>0.39999999999999597</v>
      </c>
      <c r="Q710">
        <f t="shared" ref="Q710:Q766" si="1001">F710*P710</f>
        <v>3691000.455999963</v>
      </c>
      <c r="R710">
        <f t="shared" ref="R710:R766" si="1002">R711+Q710</f>
        <v>92621938.691494554</v>
      </c>
      <c r="S710">
        <f t="shared" ref="S710:S766" si="1003">R710/100000</f>
        <v>926.21938691494552</v>
      </c>
      <c r="T710">
        <f t="shared" ref="T710:T766" si="1004">S710/1000</f>
        <v>0.92621938691494554</v>
      </c>
    </row>
    <row r="711" spans="1:20" x14ac:dyDescent="0.25">
      <c r="A711" s="5">
        <v>43882</v>
      </c>
      <c r="B711">
        <v>0.25650000000000001</v>
      </c>
      <c r="C711">
        <v>0.27139999999999997</v>
      </c>
      <c r="D711">
        <v>0.25259999999999999</v>
      </c>
      <c r="E711">
        <v>0.26529999999999998</v>
      </c>
      <c r="F711">
        <v>10450672.27</v>
      </c>
      <c r="G711">
        <v>0</v>
      </c>
      <c r="L711" t="s">
        <v>8</v>
      </c>
      <c r="M711" t="s">
        <v>8</v>
      </c>
      <c r="N711" t="s">
        <v>7</v>
      </c>
      <c r="P711">
        <f t="shared" si="1000"/>
        <v>0.35106382978723405</v>
      </c>
      <c r="Q711">
        <f t="shared" si="1001"/>
        <v>3668853.0309574469</v>
      </c>
      <c r="R711">
        <f t="shared" si="1002"/>
        <v>88930938.235494599</v>
      </c>
      <c r="S711">
        <f t="shared" si="1003"/>
        <v>889.30938235494602</v>
      </c>
      <c r="T711">
        <f t="shared" si="1004"/>
        <v>0.88930938235494605</v>
      </c>
    </row>
    <row r="712" spans="1:20" x14ac:dyDescent="0.25">
      <c r="A712" s="5">
        <v>43881</v>
      </c>
      <c r="B712">
        <v>0.25769999999999998</v>
      </c>
      <c r="C712">
        <v>0.26119999999999999</v>
      </c>
      <c r="D712">
        <v>0.24340000000000001</v>
      </c>
      <c r="E712">
        <v>0.25640000000000002</v>
      </c>
      <c r="F712">
        <v>11023252.880000001</v>
      </c>
      <c r="G712">
        <v>0</v>
      </c>
      <c r="L712" t="s">
        <v>7</v>
      </c>
      <c r="M712" t="s">
        <v>8</v>
      </c>
      <c r="N712" t="s">
        <v>7</v>
      </c>
      <c r="P712">
        <f t="shared" si="1000"/>
        <v>0.46067415730337352</v>
      </c>
      <c r="Q712">
        <f t="shared" si="1001"/>
        <v>5078127.7312359856</v>
      </c>
      <c r="R712">
        <f t="shared" si="1002"/>
        <v>85262085.204537153</v>
      </c>
      <c r="S712">
        <f t="shared" si="1003"/>
        <v>852.62085204537152</v>
      </c>
      <c r="T712">
        <f t="shared" si="1004"/>
        <v>0.85262085204537152</v>
      </c>
    </row>
    <row r="713" spans="1:20" x14ac:dyDescent="0.25">
      <c r="A713" s="5">
        <v>43880</v>
      </c>
      <c r="B713">
        <v>0.28149999999999997</v>
      </c>
      <c r="C713">
        <v>0.28470000000000001</v>
      </c>
      <c r="D713">
        <v>0.24640000000000001</v>
      </c>
      <c r="E713">
        <v>0.25850000000000001</v>
      </c>
      <c r="F713">
        <v>12671518.92</v>
      </c>
      <c r="G713">
        <v>0</v>
      </c>
      <c r="L713" t="s">
        <v>7</v>
      </c>
      <c r="M713" t="s">
        <v>8</v>
      </c>
      <c r="N713" t="s">
        <v>7</v>
      </c>
      <c r="P713">
        <f t="shared" si="1000"/>
        <v>-0.36814621409921672</v>
      </c>
      <c r="Q713">
        <f t="shared" si="1001"/>
        <v>-4664971.7172845956</v>
      </c>
      <c r="R713">
        <f t="shared" si="1002"/>
        <v>80183957.473301172</v>
      </c>
      <c r="S713">
        <f t="shared" si="1003"/>
        <v>801.83957473301177</v>
      </c>
      <c r="T713">
        <f t="shared" si="1004"/>
        <v>0.80183957473301182</v>
      </c>
    </row>
    <row r="714" spans="1:20" x14ac:dyDescent="0.25">
      <c r="A714" s="5">
        <v>43879</v>
      </c>
      <c r="B714">
        <v>0.26690000000000003</v>
      </c>
      <c r="C714">
        <v>0.28999999999999998</v>
      </c>
      <c r="D714">
        <v>0.26</v>
      </c>
      <c r="E714">
        <v>0.28189999999999998</v>
      </c>
      <c r="F714">
        <v>16432368.449999999</v>
      </c>
      <c r="G714">
        <v>0</v>
      </c>
      <c r="L714" t="s">
        <v>8</v>
      </c>
      <c r="M714" t="s">
        <v>8</v>
      </c>
      <c r="N714" t="s">
        <v>7</v>
      </c>
      <c r="P714">
        <f t="shared" si="1000"/>
        <v>0.45999999999999974</v>
      </c>
      <c r="Q714">
        <f t="shared" si="1001"/>
        <v>7558889.4869999951</v>
      </c>
      <c r="R714">
        <f t="shared" si="1002"/>
        <v>84848929.190585762</v>
      </c>
      <c r="S714">
        <f t="shared" si="1003"/>
        <v>848.48929190585761</v>
      </c>
      <c r="T714">
        <f t="shared" si="1004"/>
        <v>0.84848929190585765</v>
      </c>
    </row>
    <row r="715" spans="1:20" x14ac:dyDescent="0.25">
      <c r="A715" s="5">
        <v>43878</v>
      </c>
      <c r="B715">
        <v>0.2631</v>
      </c>
      <c r="C715">
        <v>0.26879999999999998</v>
      </c>
      <c r="D715">
        <v>0.23810000000000001</v>
      </c>
      <c r="E715">
        <v>0.26640000000000003</v>
      </c>
      <c r="F715">
        <v>15974784.67</v>
      </c>
      <c r="G715">
        <v>0</v>
      </c>
      <c r="L715" t="s">
        <v>8</v>
      </c>
      <c r="M715" t="s">
        <v>7</v>
      </c>
      <c r="N715" t="s">
        <v>7</v>
      </c>
      <c r="P715">
        <f t="shared" si="1000"/>
        <v>0.84364820846905797</v>
      </c>
      <c r="Q715">
        <f t="shared" si="1001"/>
        <v>13477098.467524471</v>
      </c>
      <c r="R715">
        <f t="shared" si="1002"/>
        <v>77290039.703585774</v>
      </c>
      <c r="S715">
        <f t="shared" si="1003"/>
        <v>772.90039703585774</v>
      </c>
      <c r="T715">
        <f t="shared" si="1004"/>
        <v>0.77290039703585778</v>
      </c>
    </row>
    <row r="716" spans="1:20" x14ac:dyDescent="0.25">
      <c r="A716" s="5">
        <v>43877</v>
      </c>
      <c r="B716">
        <v>0.2787</v>
      </c>
      <c r="C716">
        <v>0.28999999999999998</v>
      </c>
      <c r="D716">
        <v>0.23400000000000001</v>
      </c>
      <c r="E716">
        <v>0.26319999999999999</v>
      </c>
      <c r="F716">
        <v>19170571.32</v>
      </c>
      <c r="G716">
        <v>0</v>
      </c>
      <c r="L716" t="s">
        <v>7</v>
      </c>
      <c r="M716" t="s">
        <v>7</v>
      </c>
      <c r="N716" t="s">
        <v>7</v>
      </c>
      <c r="P716">
        <f t="shared" si="1000"/>
        <v>4.2857142857142622E-2</v>
      </c>
      <c r="Q716">
        <f t="shared" si="1001"/>
        <v>821595.91371428117</v>
      </c>
      <c r="R716">
        <f t="shared" si="1002"/>
        <v>63812941.236061297</v>
      </c>
      <c r="S716">
        <f t="shared" si="1003"/>
        <v>638.12941236061295</v>
      </c>
      <c r="T716">
        <f t="shared" si="1004"/>
        <v>0.63812941236061294</v>
      </c>
    </row>
    <row r="717" spans="1:20" x14ac:dyDescent="0.25">
      <c r="A717" s="5">
        <v>43876</v>
      </c>
      <c r="B717">
        <v>0.311</v>
      </c>
      <c r="C717">
        <v>0.32169999999999999</v>
      </c>
      <c r="D717">
        <v>0.27139999999999997</v>
      </c>
      <c r="E717">
        <v>0.27939999999999998</v>
      </c>
      <c r="F717">
        <v>18994900.859999999</v>
      </c>
      <c r="G717">
        <v>0</v>
      </c>
      <c r="L717" t="s">
        <v>8</v>
      </c>
      <c r="M717" t="s">
        <v>8</v>
      </c>
      <c r="N717" t="s">
        <v>8</v>
      </c>
      <c r="P717">
        <f t="shared" si="1000"/>
        <v>-0.6819085487077533</v>
      </c>
      <c r="Q717">
        <f t="shared" si="1001"/>
        <v>-12952785.278290255</v>
      </c>
      <c r="R717">
        <f t="shared" si="1002"/>
        <v>62991345.322347015</v>
      </c>
      <c r="S717">
        <f t="shared" si="1003"/>
        <v>629.91345322347013</v>
      </c>
      <c r="T717">
        <f t="shared" si="1004"/>
        <v>0.62991345322347014</v>
      </c>
    </row>
    <row r="718" spans="1:20" x14ac:dyDescent="0.25">
      <c r="A718" s="5">
        <v>43875</v>
      </c>
      <c r="B718">
        <v>0.29459999999999997</v>
      </c>
      <c r="C718">
        <v>0.31590000000000001</v>
      </c>
      <c r="D718">
        <v>0.29289999999999999</v>
      </c>
      <c r="E718">
        <v>0.3115</v>
      </c>
      <c r="F718">
        <v>12539456.76</v>
      </c>
      <c r="G718">
        <v>0</v>
      </c>
      <c r="L718" t="s">
        <v>8</v>
      </c>
      <c r="M718" t="s">
        <v>8</v>
      </c>
      <c r="N718" t="s">
        <v>8</v>
      </c>
      <c r="P718">
        <f t="shared" si="1000"/>
        <v>0.61739130434782508</v>
      </c>
      <c r="Q718">
        <f t="shared" si="1001"/>
        <v>7741751.5648695529</v>
      </c>
      <c r="R718">
        <f t="shared" si="1002"/>
        <v>75944130.600637272</v>
      </c>
      <c r="S718">
        <f t="shared" si="1003"/>
        <v>759.44130600637277</v>
      </c>
      <c r="T718">
        <f t="shared" si="1004"/>
        <v>0.75944130600637272</v>
      </c>
    </row>
    <row r="719" spans="1:20" x14ac:dyDescent="0.25">
      <c r="A719" s="5">
        <v>43874</v>
      </c>
      <c r="B719">
        <v>0.30259999999999998</v>
      </c>
      <c r="C719">
        <v>0.316</v>
      </c>
      <c r="D719">
        <v>0.28120000000000001</v>
      </c>
      <c r="E719">
        <v>0.29389999999999999</v>
      </c>
      <c r="F719">
        <v>20308726.079999998</v>
      </c>
      <c r="G719">
        <v>0</v>
      </c>
      <c r="L719" t="s">
        <v>7</v>
      </c>
      <c r="M719" t="s">
        <v>8</v>
      </c>
      <c r="N719" t="s">
        <v>8</v>
      </c>
      <c r="P719">
        <f t="shared" si="1000"/>
        <v>-0.27011494252873619</v>
      </c>
      <c r="Q719">
        <f t="shared" si="1001"/>
        <v>-5485690.3779310454</v>
      </c>
      <c r="R719">
        <f t="shared" si="1002"/>
        <v>68202379.035767719</v>
      </c>
      <c r="S719">
        <f t="shared" si="1003"/>
        <v>682.02379035767717</v>
      </c>
      <c r="T719">
        <f t="shared" si="1004"/>
        <v>0.68202379035767713</v>
      </c>
    </row>
    <row r="720" spans="1:20" x14ac:dyDescent="0.25">
      <c r="A720" s="5">
        <v>43873</v>
      </c>
      <c r="B720">
        <v>0.29270000000000002</v>
      </c>
      <c r="C720">
        <v>0.3221</v>
      </c>
      <c r="D720">
        <v>0.28739999999999999</v>
      </c>
      <c r="E720">
        <v>0.30270000000000002</v>
      </c>
      <c r="F720">
        <v>21938530.66</v>
      </c>
      <c r="G720">
        <v>0</v>
      </c>
      <c r="L720" t="s">
        <v>8</v>
      </c>
      <c r="M720" t="s">
        <v>8</v>
      </c>
      <c r="N720" t="s">
        <v>8</v>
      </c>
      <c r="P720">
        <f t="shared" si="1000"/>
        <v>-0.11815561959653995</v>
      </c>
      <c r="Q720">
        <f t="shared" si="1001"/>
        <v>-2592160.6831699884</v>
      </c>
      <c r="R720">
        <f t="shared" si="1002"/>
        <v>73688069.413698763</v>
      </c>
      <c r="S720">
        <f t="shared" si="1003"/>
        <v>736.88069413698759</v>
      </c>
      <c r="T720">
        <f t="shared" si="1004"/>
        <v>0.73688069413698754</v>
      </c>
    </row>
    <row r="721" spans="1:20" x14ac:dyDescent="0.25">
      <c r="A721" s="5">
        <v>43872</v>
      </c>
      <c r="B721">
        <v>0.26429999999999998</v>
      </c>
      <c r="C721">
        <v>0.29880000000000001</v>
      </c>
      <c r="D721">
        <v>0.25940000000000002</v>
      </c>
      <c r="E721">
        <v>0.29270000000000002</v>
      </c>
      <c r="F721">
        <v>28838871.43</v>
      </c>
      <c r="G721">
        <v>0</v>
      </c>
      <c r="L721" t="s">
        <v>8</v>
      </c>
      <c r="M721" t="s">
        <v>8</v>
      </c>
      <c r="N721" t="s">
        <v>8</v>
      </c>
      <c r="P721">
        <f t="shared" si="1000"/>
        <v>0.69035532994923876</v>
      </c>
      <c r="Q721">
        <f t="shared" si="1001"/>
        <v>19909068.601421326</v>
      </c>
      <c r="R721">
        <f t="shared" si="1002"/>
        <v>76280230.096868753</v>
      </c>
      <c r="S721">
        <f t="shared" si="1003"/>
        <v>762.80230096868752</v>
      </c>
      <c r="T721">
        <f t="shared" si="1004"/>
        <v>0.76280230096868751</v>
      </c>
    </row>
    <row r="722" spans="1:20" x14ac:dyDescent="0.25">
      <c r="A722" s="5">
        <v>43871</v>
      </c>
      <c r="B722">
        <v>0.27279999999999999</v>
      </c>
      <c r="C722">
        <v>0.2742</v>
      </c>
      <c r="D722">
        <v>0.25209999999999999</v>
      </c>
      <c r="E722">
        <v>0.26379999999999998</v>
      </c>
      <c r="F722">
        <v>12805786.68</v>
      </c>
      <c r="G722">
        <v>0</v>
      </c>
      <c r="L722" t="s">
        <v>7</v>
      </c>
      <c r="M722" t="s">
        <v>8</v>
      </c>
      <c r="N722" t="s">
        <v>8</v>
      </c>
      <c r="P722">
        <f t="shared" si="1000"/>
        <v>5.8823529411763227E-2</v>
      </c>
      <c r="Q722">
        <f t="shared" si="1001"/>
        <v>753281.56941174576</v>
      </c>
      <c r="R722">
        <f t="shared" si="1002"/>
        <v>56371161.495447427</v>
      </c>
      <c r="S722">
        <f t="shared" si="1003"/>
        <v>563.71161495447427</v>
      </c>
      <c r="T722">
        <f t="shared" si="1004"/>
        <v>0.5637116149544743</v>
      </c>
    </row>
    <row r="723" spans="1:20" x14ac:dyDescent="0.25">
      <c r="A723" s="5">
        <v>43870</v>
      </c>
      <c r="B723">
        <v>0.25590000000000002</v>
      </c>
      <c r="C723">
        <v>0.27629999999999999</v>
      </c>
      <c r="D723">
        <v>0.25259999999999999</v>
      </c>
      <c r="E723">
        <v>0.27279999999999999</v>
      </c>
      <c r="F723">
        <v>14054306.359999999</v>
      </c>
      <c r="G723">
        <v>0</v>
      </c>
      <c r="L723" t="s">
        <v>8</v>
      </c>
      <c r="M723" t="s">
        <v>8</v>
      </c>
      <c r="N723" t="s">
        <v>8</v>
      </c>
      <c r="P723">
        <f t="shared" si="1000"/>
        <v>0.70464135021097019</v>
      </c>
      <c r="Q723">
        <f t="shared" si="1001"/>
        <v>9903245.4097890258</v>
      </c>
      <c r="R723">
        <f t="shared" si="1002"/>
        <v>55617879.92603568</v>
      </c>
      <c r="S723">
        <f t="shared" si="1003"/>
        <v>556.17879926035675</v>
      </c>
      <c r="T723">
        <f t="shared" si="1004"/>
        <v>0.55617879926035674</v>
      </c>
    </row>
    <row r="724" spans="1:20" x14ac:dyDescent="0.25">
      <c r="A724" s="5">
        <v>43869</v>
      </c>
      <c r="B724">
        <v>0.26369999999999999</v>
      </c>
      <c r="C724">
        <v>0.26440000000000002</v>
      </c>
      <c r="D724">
        <v>0.24740000000000001</v>
      </c>
      <c r="E724">
        <v>0.25559999999999999</v>
      </c>
      <c r="F724">
        <v>7509396.4000000004</v>
      </c>
      <c r="G724">
        <v>0</v>
      </c>
      <c r="L724" t="s">
        <v>7</v>
      </c>
      <c r="M724" t="s">
        <v>8</v>
      </c>
      <c r="N724" t="s">
        <v>8</v>
      </c>
      <c r="P724">
        <f t="shared" si="1000"/>
        <v>-3.5294117647061439E-2</v>
      </c>
      <c r="Q724">
        <f t="shared" si="1001"/>
        <v>-265037.52000001963</v>
      </c>
      <c r="R724">
        <f t="shared" si="1002"/>
        <v>45714634.516246654</v>
      </c>
      <c r="S724">
        <f t="shared" si="1003"/>
        <v>457.14634516246656</v>
      </c>
      <c r="T724">
        <f t="shared" si="1004"/>
        <v>0.45714634516246655</v>
      </c>
    </row>
    <row r="725" spans="1:20" x14ac:dyDescent="0.25">
      <c r="A725" s="5">
        <v>43868</v>
      </c>
      <c r="B725">
        <v>0.2656</v>
      </c>
      <c r="C725">
        <v>0.27150000000000002</v>
      </c>
      <c r="D725">
        <v>0.25850000000000001</v>
      </c>
      <c r="E725">
        <v>0.2636</v>
      </c>
      <c r="F725">
        <v>10434236.060000001</v>
      </c>
      <c r="G725">
        <v>0</v>
      </c>
      <c r="L725" t="s">
        <v>8</v>
      </c>
      <c r="M725" t="s">
        <v>8</v>
      </c>
      <c r="N725" t="s">
        <v>8</v>
      </c>
      <c r="P725">
        <f t="shared" si="1000"/>
        <v>-0.21538461538461709</v>
      </c>
      <c r="Q725">
        <f t="shared" si="1001"/>
        <v>-2247373.9206154025</v>
      </c>
      <c r="R725">
        <f t="shared" si="1002"/>
        <v>45979672.036246672</v>
      </c>
      <c r="S725">
        <f t="shared" si="1003"/>
        <v>459.79672036246671</v>
      </c>
      <c r="T725">
        <f t="shared" si="1004"/>
        <v>0.45979672036246672</v>
      </c>
    </row>
    <row r="726" spans="1:20" x14ac:dyDescent="0.25">
      <c r="A726" s="5">
        <v>43867</v>
      </c>
      <c r="B726">
        <v>0.2515</v>
      </c>
      <c r="C726">
        <v>0.27089999999999997</v>
      </c>
      <c r="D726">
        <v>0.24840000000000001</v>
      </c>
      <c r="E726">
        <v>0.26519999999999999</v>
      </c>
      <c r="F726">
        <v>15533746.18</v>
      </c>
      <c r="G726">
        <v>0</v>
      </c>
      <c r="L726" t="s">
        <v>8</v>
      </c>
      <c r="M726" t="s">
        <v>8</v>
      </c>
      <c r="N726" t="s">
        <v>8</v>
      </c>
      <c r="P726">
        <f t="shared" si="1000"/>
        <v>0.49333333333333407</v>
      </c>
      <c r="Q726">
        <f t="shared" si="1001"/>
        <v>7663314.7821333446</v>
      </c>
      <c r="R726">
        <f t="shared" si="1002"/>
        <v>48227045.956862077</v>
      </c>
      <c r="S726">
        <f t="shared" si="1003"/>
        <v>482.27045956862077</v>
      </c>
      <c r="T726">
        <f t="shared" si="1004"/>
        <v>0.48227045956862075</v>
      </c>
    </row>
    <row r="727" spans="1:20" x14ac:dyDescent="0.25">
      <c r="A727" s="5">
        <v>43866</v>
      </c>
      <c r="B727">
        <v>0.2429</v>
      </c>
      <c r="C727">
        <v>0.2535</v>
      </c>
      <c r="D727">
        <v>0.2379</v>
      </c>
      <c r="E727">
        <v>0.2515</v>
      </c>
      <c r="F727">
        <v>14907904.17</v>
      </c>
      <c r="G727">
        <v>0</v>
      </c>
      <c r="L727" t="s">
        <v>8</v>
      </c>
      <c r="M727" t="s">
        <v>8</v>
      </c>
      <c r="N727" t="s">
        <v>8</v>
      </c>
      <c r="P727">
        <f t="shared" si="1000"/>
        <v>0.74358974358974339</v>
      </c>
      <c r="Q727">
        <f t="shared" si="1001"/>
        <v>11085364.639230765</v>
      </c>
      <c r="R727">
        <f t="shared" si="1002"/>
        <v>40563731.174728736</v>
      </c>
      <c r="S727">
        <f t="shared" si="1003"/>
        <v>405.63731174728736</v>
      </c>
      <c r="T727">
        <f t="shared" si="1004"/>
        <v>0.40563731174728734</v>
      </c>
    </row>
    <row r="728" spans="1:20" x14ac:dyDescent="0.25">
      <c r="A728" s="5">
        <v>43865</v>
      </c>
      <c r="B728">
        <v>0.2349</v>
      </c>
      <c r="C728">
        <v>0.25119999999999998</v>
      </c>
      <c r="D728">
        <v>0.23069999999999999</v>
      </c>
      <c r="E728">
        <v>0.24299999999999999</v>
      </c>
      <c r="F728">
        <v>25397752.77</v>
      </c>
      <c r="G728">
        <v>0</v>
      </c>
      <c r="L728" t="s">
        <v>8</v>
      </c>
      <c r="M728" t="s">
        <v>8</v>
      </c>
      <c r="N728" t="s">
        <v>8</v>
      </c>
      <c r="P728">
        <f t="shared" si="1000"/>
        <v>0.20000000000000109</v>
      </c>
      <c r="Q728">
        <f t="shared" si="1001"/>
        <v>5079550.5540000275</v>
      </c>
      <c r="R728">
        <f t="shared" si="1002"/>
        <v>29478366.535497975</v>
      </c>
      <c r="S728">
        <f t="shared" si="1003"/>
        <v>294.78366535497975</v>
      </c>
      <c r="T728">
        <f t="shared" si="1004"/>
        <v>0.29478366535497974</v>
      </c>
    </row>
    <row r="729" spans="1:20" x14ac:dyDescent="0.25">
      <c r="A729" s="5">
        <v>43864</v>
      </c>
      <c r="B729">
        <v>0.22370000000000001</v>
      </c>
      <c r="C729">
        <v>0.23780000000000001</v>
      </c>
      <c r="D729">
        <v>0.2223</v>
      </c>
      <c r="E729">
        <v>0.23480000000000001</v>
      </c>
      <c r="F729">
        <v>13140100.369999999</v>
      </c>
      <c r="G729">
        <v>0</v>
      </c>
      <c r="L729" t="s">
        <v>8</v>
      </c>
      <c r="M729" t="s">
        <v>8</v>
      </c>
      <c r="N729" t="s">
        <v>7</v>
      </c>
      <c r="P729">
        <f t="shared" si="1000"/>
        <v>0.61290322580645162</v>
      </c>
      <c r="Q729">
        <f t="shared" si="1001"/>
        <v>8053609.9041935485</v>
      </c>
      <c r="R729">
        <f t="shared" si="1002"/>
        <v>24398815.981497947</v>
      </c>
      <c r="S729">
        <f t="shared" si="1003"/>
        <v>243.98815981497947</v>
      </c>
      <c r="T729">
        <f t="shared" si="1004"/>
        <v>0.24398815981497946</v>
      </c>
    </row>
    <row r="730" spans="1:20" x14ac:dyDescent="0.25">
      <c r="A730" s="5">
        <v>43863</v>
      </c>
      <c r="B730">
        <v>0.2243</v>
      </c>
      <c r="C730">
        <v>0.23</v>
      </c>
      <c r="D730">
        <v>0.21840000000000001</v>
      </c>
      <c r="E730">
        <v>0.224</v>
      </c>
      <c r="F730">
        <v>12609927.99</v>
      </c>
      <c r="G730">
        <v>0</v>
      </c>
      <c r="L730" t="s">
        <v>8</v>
      </c>
      <c r="M730" t="s">
        <v>7</v>
      </c>
      <c r="N730" t="s">
        <v>7</v>
      </c>
      <c r="P730">
        <f t="shared" si="1000"/>
        <v>-3.4482758620690647E-2</v>
      </c>
      <c r="Q730">
        <f t="shared" si="1001"/>
        <v>-434825.1031034608</v>
      </c>
      <c r="R730">
        <f t="shared" si="1002"/>
        <v>16345206.077304399</v>
      </c>
      <c r="S730">
        <f t="shared" si="1003"/>
        <v>163.452060773044</v>
      </c>
      <c r="T730">
        <f t="shared" si="1004"/>
        <v>0.163452060773044</v>
      </c>
    </row>
    <row r="731" spans="1:20" x14ac:dyDescent="0.25">
      <c r="A731" s="5">
        <v>43862</v>
      </c>
      <c r="B731">
        <v>0.21990000000000001</v>
      </c>
      <c r="C731">
        <v>0.2261</v>
      </c>
      <c r="D731">
        <v>0.21920000000000001</v>
      </c>
      <c r="E731">
        <v>0.22409999999999999</v>
      </c>
      <c r="F731">
        <v>6072945.7800000003</v>
      </c>
      <c r="G731">
        <v>0</v>
      </c>
      <c r="L731" t="s">
        <v>7</v>
      </c>
      <c r="M731" t="s">
        <v>7</v>
      </c>
      <c r="N731" t="s">
        <v>7</v>
      </c>
      <c r="P731">
        <f t="shared" si="1000"/>
        <v>0.42028985507246236</v>
      </c>
      <c r="Q731">
        <f t="shared" si="1001"/>
        <v>2552397.501739122</v>
      </c>
      <c r="R731">
        <f t="shared" si="1002"/>
        <v>16780031.180407859</v>
      </c>
      <c r="S731">
        <f t="shared" si="1003"/>
        <v>167.8003118040786</v>
      </c>
      <c r="T731">
        <f t="shared" si="1004"/>
        <v>0.16780031180407862</v>
      </c>
    </row>
    <row r="732" spans="1:20" x14ac:dyDescent="0.25">
      <c r="A732" s="5">
        <v>43861</v>
      </c>
      <c r="B732">
        <v>0.22320000000000001</v>
      </c>
      <c r="C732">
        <v>0.22589999999999999</v>
      </c>
      <c r="D732">
        <v>0.21029999999999999</v>
      </c>
      <c r="E732">
        <v>0.2195</v>
      </c>
      <c r="F732">
        <v>7418036.71</v>
      </c>
      <c r="G732">
        <v>0</v>
      </c>
      <c r="L732" t="s">
        <v>7</v>
      </c>
      <c r="M732" t="s">
        <v>7</v>
      </c>
      <c r="N732" t="s">
        <v>7</v>
      </c>
      <c r="P732">
        <f t="shared" si="1000"/>
        <v>0.17948717948718104</v>
      </c>
      <c r="Q732">
        <f t="shared" si="1001"/>
        <v>1331442.4864102679</v>
      </c>
      <c r="R732">
        <f t="shared" si="1002"/>
        <v>14227633.678668737</v>
      </c>
      <c r="S732">
        <f t="shared" si="1003"/>
        <v>142.27633678668738</v>
      </c>
      <c r="T732">
        <f t="shared" si="1004"/>
        <v>0.14227633678668739</v>
      </c>
    </row>
    <row r="733" spans="1:20" x14ac:dyDescent="0.25">
      <c r="A733" s="5">
        <v>43860</v>
      </c>
      <c r="B733">
        <v>0.2177</v>
      </c>
      <c r="C733">
        <v>0.22550000000000001</v>
      </c>
      <c r="D733">
        <v>0.21429999999999999</v>
      </c>
      <c r="E733">
        <v>0.2233</v>
      </c>
      <c r="F733">
        <v>8140314.9400000004</v>
      </c>
      <c r="G733">
        <v>0</v>
      </c>
      <c r="L733" t="s">
        <v>7</v>
      </c>
      <c r="M733" t="s">
        <v>7</v>
      </c>
      <c r="N733" t="s">
        <v>7</v>
      </c>
      <c r="P733">
        <f t="shared" si="1000"/>
        <v>0.60714285714285632</v>
      </c>
      <c r="Q733">
        <f t="shared" si="1001"/>
        <v>4942334.0707142791</v>
      </c>
      <c r="R733">
        <f t="shared" si="1002"/>
        <v>12896191.19225847</v>
      </c>
      <c r="S733">
        <f t="shared" si="1003"/>
        <v>128.9619119225847</v>
      </c>
      <c r="T733">
        <f t="shared" si="1004"/>
        <v>0.12896191192258472</v>
      </c>
    </row>
    <row r="734" spans="1:20" x14ac:dyDescent="0.25">
      <c r="A734" s="5">
        <v>43859</v>
      </c>
      <c r="B734">
        <v>0.22220000000000001</v>
      </c>
      <c r="C734">
        <v>0.22589999999999999</v>
      </c>
      <c r="D734">
        <v>0.2167</v>
      </c>
      <c r="E734">
        <v>0.21820000000000001</v>
      </c>
      <c r="F734">
        <v>8427047.6400000006</v>
      </c>
      <c r="G734">
        <v>0</v>
      </c>
      <c r="L734" t="s">
        <v>7</v>
      </c>
      <c r="M734" t="s">
        <v>7</v>
      </c>
      <c r="N734" t="s">
        <v>7</v>
      </c>
      <c r="P734">
        <f t="shared" si="1000"/>
        <v>-0.67391304347826009</v>
      </c>
      <c r="Q734">
        <f t="shared" si="1001"/>
        <v>-5679097.3226086898</v>
      </c>
      <c r="R734">
        <f t="shared" si="1002"/>
        <v>7953857.1215441907</v>
      </c>
      <c r="S734">
        <f t="shared" si="1003"/>
        <v>79.538571215441905</v>
      </c>
      <c r="T734">
        <f t="shared" si="1004"/>
        <v>7.9538571215441903E-2</v>
      </c>
    </row>
    <row r="735" spans="1:20" x14ac:dyDescent="0.25">
      <c r="A735" s="5">
        <v>43858</v>
      </c>
      <c r="B735">
        <v>0.22620000000000001</v>
      </c>
      <c r="C735">
        <v>0.23130000000000001</v>
      </c>
      <c r="D735">
        <v>0.21540000000000001</v>
      </c>
      <c r="E735">
        <v>0.222</v>
      </c>
      <c r="F735">
        <v>10212856.27</v>
      </c>
      <c r="G735">
        <v>0</v>
      </c>
      <c r="L735" t="s">
        <v>8</v>
      </c>
      <c r="M735" t="s">
        <v>7</v>
      </c>
      <c r="N735" t="s">
        <v>7</v>
      </c>
      <c r="P735">
        <f t="shared" si="1000"/>
        <v>-0.1698113207547175</v>
      </c>
      <c r="Q735">
        <f t="shared" si="1001"/>
        <v>-1734258.6118867977</v>
      </c>
      <c r="R735">
        <f t="shared" si="1002"/>
        <v>13632954.44415288</v>
      </c>
      <c r="S735">
        <f t="shared" si="1003"/>
        <v>136.32954444152881</v>
      </c>
      <c r="T735">
        <f t="shared" si="1004"/>
        <v>0.13632954444152881</v>
      </c>
    </row>
    <row r="736" spans="1:20" x14ac:dyDescent="0.25">
      <c r="A736" s="5">
        <v>43857</v>
      </c>
      <c r="B736">
        <v>0.21160000000000001</v>
      </c>
      <c r="C736">
        <v>0.22869999999999999</v>
      </c>
      <c r="D736">
        <v>0.2107</v>
      </c>
      <c r="E736">
        <v>0.22589999999999999</v>
      </c>
      <c r="F736">
        <v>8925280.5600000005</v>
      </c>
      <c r="G736">
        <v>0</v>
      </c>
      <c r="L736" t="s">
        <v>8</v>
      </c>
      <c r="M736" t="s">
        <v>7</v>
      </c>
      <c r="N736" t="s">
        <v>7</v>
      </c>
      <c r="P736">
        <f t="shared" si="1000"/>
        <v>0.68888888888888899</v>
      </c>
      <c r="Q736">
        <f t="shared" si="1001"/>
        <v>6148526.6080000009</v>
      </c>
      <c r="R736">
        <f t="shared" si="1002"/>
        <v>15367213.056039678</v>
      </c>
      <c r="S736">
        <f t="shared" si="1003"/>
        <v>153.67213056039677</v>
      </c>
      <c r="T736">
        <f t="shared" si="1004"/>
        <v>0.15367213056039677</v>
      </c>
    </row>
    <row r="737" spans="1:20" x14ac:dyDescent="0.25">
      <c r="A737" s="5">
        <v>43856</v>
      </c>
      <c r="B737">
        <v>0.2039</v>
      </c>
      <c r="C737">
        <v>0.21279999999999999</v>
      </c>
      <c r="D737">
        <v>0.20150000000000001</v>
      </c>
      <c r="E737">
        <v>0.2117</v>
      </c>
      <c r="F737">
        <v>3383194.06</v>
      </c>
      <c r="G737">
        <v>0</v>
      </c>
      <c r="L737" t="s">
        <v>7</v>
      </c>
      <c r="M737" t="s">
        <v>7</v>
      </c>
      <c r="N737" t="s">
        <v>7</v>
      </c>
      <c r="P737">
        <f t="shared" si="1000"/>
        <v>0.8053097345132757</v>
      </c>
      <c r="Q737">
        <f t="shared" si="1001"/>
        <v>2724519.1102654915</v>
      </c>
      <c r="R737">
        <f t="shared" si="1002"/>
        <v>9218686.448039677</v>
      </c>
      <c r="S737">
        <f t="shared" si="1003"/>
        <v>92.186864480396764</v>
      </c>
      <c r="T737">
        <f t="shared" si="1004"/>
        <v>9.2186864480396757E-2</v>
      </c>
    </row>
    <row r="738" spans="1:20" x14ac:dyDescent="0.25">
      <c r="A738" s="5">
        <v>43855</v>
      </c>
      <c r="B738">
        <v>0.20749999999999999</v>
      </c>
      <c r="C738">
        <v>0.20749999999999999</v>
      </c>
      <c r="D738">
        <v>0.19950000000000001</v>
      </c>
      <c r="E738">
        <v>0.2039</v>
      </c>
      <c r="F738">
        <v>2286884.1800000002</v>
      </c>
      <c r="G738">
        <v>0</v>
      </c>
      <c r="L738" t="s">
        <v>7</v>
      </c>
      <c r="M738" t="s">
        <v>7</v>
      </c>
      <c r="N738" t="s">
        <v>7</v>
      </c>
      <c r="P738">
        <f t="shared" si="1000"/>
        <v>9.9999999999999659E-2</v>
      </c>
      <c r="Q738">
        <f t="shared" si="1001"/>
        <v>228688.41799999925</v>
      </c>
      <c r="R738">
        <f t="shared" si="1002"/>
        <v>6494167.3377741855</v>
      </c>
      <c r="S738">
        <f t="shared" si="1003"/>
        <v>64.94167337774185</v>
      </c>
      <c r="T738">
        <f t="shared" si="1004"/>
        <v>6.4941673377741843E-2</v>
      </c>
    </row>
    <row r="739" spans="1:20" x14ac:dyDescent="0.25">
      <c r="A739" s="5">
        <v>43854</v>
      </c>
      <c r="B739">
        <v>0.20760000000000001</v>
      </c>
      <c r="C739">
        <v>0.21</v>
      </c>
      <c r="D739">
        <v>0.1986</v>
      </c>
      <c r="E739">
        <v>0.2077</v>
      </c>
      <c r="F739">
        <v>3482791.81</v>
      </c>
      <c r="G739">
        <v>0</v>
      </c>
      <c r="L739" t="s">
        <v>7</v>
      </c>
      <c r="M739" t="s">
        <v>7</v>
      </c>
      <c r="N739" t="s">
        <v>7</v>
      </c>
      <c r="P739">
        <f t="shared" si="1000"/>
        <v>0.59649122807017585</v>
      </c>
      <c r="Q739">
        <f t="shared" si="1001"/>
        <v>2077454.7638596506</v>
      </c>
      <c r="R739">
        <f t="shared" si="1002"/>
        <v>6265478.9197741859</v>
      </c>
      <c r="S739">
        <f t="shared" si="1003"/>
        <v>62.654789197741856</v>
      </c>
      <c r="T739">
        <f t="shared" si="1004"/>
        <v>6.2654789197741853E-2</v>
      </c>
    </row>
    <row r="740" spans="1:20" x14ac:dyDescent="0.25">
      <c r="A740" s="5">
        <v>43853</v>
      </c>
      <c r="B740">
        <v>0.21859999999999999</v>
      </c>
      <c r="C740">
        <v>0.21859999999999999</v>
      </c>
      <c r="D740">
        <v>0.20330000000000001</v>
      </c>
      <c r="E740">
        <v>0.20749999999999999</v>
      </c>
      <c r="F740">
        <v>3869196.15</v>
      </c>
      <c r="G740">
        <v>0</v>
      </c>
      <c r="L740" t="s">
        <v>7</v>
      </c>
      <c r="M740" t="s">
        <v>8</v>
      </c>
      <c r="N740" t="s">
        <v>7</v>
      </c>
      <c r="P740">
        <f t="shared" si="1000"/>
        <v>-0.45098039215686447</v>
      </c>
      <c r="Q740">
        <f t="shared" si="1001"/>
        <v>-1744931.5970588301</v>
      </c>
      <c r="R740">
        <f t="shared" si="1002"/>
        <v>4188024.1559145357</v>
      </c>
      <c r="S740">
        <f t="shared" si="1003"/>
        <v>41.880241559145361</v>
      </c>
      <c r="T740">
        <f t="shared" si="1004"/>
        <v>4.1880241559145361E-2</v>
      </c>
    </row>
    <row r="741" spans="1:20" x14ac:dyDescent="0.25">
      <c r="A741" s="5">
        <v>43852</v>
      </c>
      <c r="B741">
        <v>0.22070000000000001</v>
      </c>
      <c r="C741">
        <v>0.22220000000000001</v>
      </c>
      <c r="D741">
        <v>0.2152</v>
      </c>
      <c r="E741">
        <v>0.21859999999999999</v>
      </c>
      <c r="F741">
        <v>2616208.56</v>
      </c>
      <c r="G741">
        <v>0</v>
      </c>
      <c r="L741" t="s">
        <v>7</v>
      </c>
      <c r="M741" t="s">
        <v>8</v>
      </c>
      <c r="N741" t="s">
        <v>7</v>
      </c>
      <c r="P741">
        <f t="shared" si="1000"/>
        <v>-2.8571428571433331E-2</v>
      </c>
      <c r="Q741">
        <f t="shared" si="1001"/>
        <v>-74748.816000012448</v>
      </c>
      <c r="R741">
        <f t="shared" si="1002"/>
        <v>5932955.7529733656</v>
      </c>
      <c r="S741">
        <f t="shared" si="1003"/>
        <v>59.329557529733655</v>
      </c>
      <c r="T741">
        <f t="shared" si="1004"/>
        <v>5.9329557529733658E-2</v>
      </c>
    </row>
    <row r="742" spans="1:20" x14ac:dyDescent="0.25">
      <c r="A742" s="5">
        <v>43851</v>
      </c>
      <c r="B742">
        <v>0.22309999999999999</v>
      </c>
      <c r="C742">
        <v>0.22639999999999999</v>
      </c>
      <c r="D742">
        <v>0.21229999999999999</v>
      </c>
      <c r="E742">
        <v>0.2203</v>
      </c>
      <c r="F742">
        <v>3894790.91</v>
      </c>
      <c r="G742">
        <v>0</v>
      </c>
      <c r="L742" t="s">
        <v>7</v>
      </c>
      <c r="M742" t="s">
        <v>8</v>
      </c>
      <c r="N742" t="s">
        <v>7</v>
      </c>
      <c r="P742">
        <f t="shared" si="1000"/>
        <v>0.13475177304964628</v>
      </c>
      <c r="Q742">
        <f t="shared" si="1001"/>
        <v>524829.98078014527</v>
      </c>
      <c r="R742">
        <f t="shared" si="1002"/>
        <v>6007704.5689733783</v>
      </c>
      <c r="S742">
        <f t="shared" si="1003"/>
        <v>60.077045689733779</v>
      </c>
      <c r="T742">
        <f t="shared" si="1004"/>
        <v>6.007704568973378E-2</v>
      </c>
    </row>
    <row r="743" spans="1:20" x14ac:dyDescent="0.25">
      <c r="A743" s="5">
        <v>43850</v>
      </c>
      <c r="B743">
        <v>0.21390000000000001</v>
      </c>
      <c r="C743">
        <v>0.22650000000000001</v>
      </c>
      <c r="D743">
        <v>0.2097</v>
      </c>
      <c r="E743">
        <v>0.22259999999999999</v>
      </c>
      <c r="F743">
        <v>5151359.09</v>
      </c>
      <c r="G743">
        <v>0</v>
      </c>
      <c r="L743" t="s">
        <v>8</v>
      </c>
      <c r="M743" t="s">
        <v>8</v>
      </c>
      <c r="N743" t="s">
        <v>7</v>
      </c>
      <c r="P743">
        <f t="shared" si="1000"/>
        <v>0.53571428571428426</v>
      </c>
      <c r="Q743">
        <f t="shared" si="1001"/>
        <v>2759656.6553571355</v>
      </c>
      <c r="R743">
        <f t="shared" si="1002"/>
        <v>5482874.5881932331</v>
      </c>
      <c r="S743">
        <f t="shared" si="1003"/>
        <v>54.828745881932335</v>
      </c>
      <c r="T743">
        <f t="shared" si="1004"/>
        <v>5.4828745881932338E-2</v>
      </c>
    </row>
    <row r="744" spans="1:20" x14ac:dyDescent="0.25">
      <c r="A744" s="5">
        <v>43849</v>
      </c>
      <c r="B744">
        <v>0.223</v>
      </c>
      <c r="C744">
        <v>0.23039999999999999</v>
      </c>
      <c r="D744">
        <v>0.2056</v>
      </c>
      <c r="E744">
        <v>0.21390000000000001</v>
      </c>
      <c r="F744">
        <v>7449349.5700000003</v>
      </c>
      <c r="G744">
        <v>0</v>
      </c>
      <c r="L744" t="s">
        <v>7</v>
      </c>
      <c r="M744" t="s">
        <v>8</v>
      </c>
      <c r="N744" t="s">
        <v>7</v>
      </c>
      <c r="P744">
        <f t="shared" si="1000"/>
        <v>-0.33064516129032212</v>
      </c>
      <c r="Q744">
        <f t="shared" si="1001"/>
        <v>-2463091.390080642</v>
      </c>
      <c r="R744">
        <f t="shared" si="1002"/>
        <v>2723217.9328360977</v>
      </c>
      <c r="S744">
        <f t="shared" si="1003"/>
        <v>27.232179328360978</v>
      </c>
      <c r="T744">
        <f t="shared" si="1004"/>
        <v>2.7232179328360979E-2</v>
      </c>
    </row>
    <row r="745" spans="1:20" x14ac:dyDescent="0.25">
      <c r="A745" s="5">
        <v>43848</v>
      </c>
      <c r="B745">
        <v>0.2278</v>
      </c>
      <c r="C745">
        <v>0.23230000000000001</v>
      </c>
      <c r="D745">
        <v>0.2175</v>
      </c>
      <c r="E745">
        <v>0.22309999999999999</v>
      </c>
      <c r="F745">
        <v>4634032.74</v>
      </c>
      <c r="G745">
        <v>0</v>
      </c>
      <c r="L745" t="s">
        <v>7</v>
      </c>
      <c r="M745" t="s">
        <v>8</v>
      </c>
      <c r="N745" t="s">
        <v>7</v>
      </c>
      <c r="P745">
        <f t="shared" si="1000"/>
        <v>-0.24324324324324445</v>
      </c>
      <c r="Q745">
        <f t="shared" si="1001"/>
        <v>-1127197.1529729785</v>
      </c>
      <c r="R745">
        <f t="shared" si="1002"/>
        <v>5186309.3229167396</v>
      </c>
      <c r="S745">
        <f t="shared" si="1003"/>
        <v>51.863093229167397</v>
      </c>
      <c r="T745">
        <f t="shared" si="1004"/>
        <v>5.1863093229167399E-2</v>
      </c>
    </row>
    <row r="746" spans="1:20" x14ac:dyDescent="0.25">
      <c r="A746" s="5">
        <v>43847</v>
      </c>
      <c r="B746">
        <v>0.21809999999999999</v>
      </c>
      <c r="C746">
        <v>0.23350000000000001</v>
      </c>
      <c r="D746">
        <v>0.2132</v>
      </c>
      <c r="E746">
        <v>0.22839999999999999</v>
      </c>
      <c r="F746">
        <v>11168225.41</v>
      </c>
      <c r="G746">
        <v>0</v>
      </c>
      <c r="L746" t="s">
        <v>8</v>
      </c>
      <c r="M746" t="s">
        <v>8</v>
      </c>
      <c r="N746" t="s">
        <v>7</v>
      </c>
      <c r="P746">
        <f t="shared" si="1000"/>
        <v>0.49753694581280611</v>
      </c>
      <c r="Q746">
        <f t="shared" si="1001"/>
        <v>5556604.7606403744</v>
      </c>
      <c r="R746">
        <f t="shared" si="1002"/>
        <v>6313506.4758897182</v>
      </c>
      <c r="S746">
        <f t="shared" si="1003"/>
        <v>63.13506475889718</v>
      </c>
      <c r="T746">
        <f t="shared" si="1004"/>
        <v>6.3135064758897186E-2</v>
      </c>
    </row>
    <row r="747" spans="1:20" x14ac:dyDescent="0.25">
      <c r="A747" s="5">
        <v>43846</v>
      </c>
      <c r="B747">
        <v>0.22040000000000001</v>
      </c>
      <c r="C747">
        <v>0.22189999999999999</v>
      </c>
      <c r="D747">
        <v>0.20860000000000001</v>
      </c>
      <c r="E747">
        <v>0.2177</v>
      </c>
      <c r="F747">
        <v>6194402.9100000001</v>
      </c>
      <c r="G747">
        <v>0</v>
      </c>
      <c r="L747" t="s">
        <v>7</v>
      </c>
      <c r="M747" t="s">
        <v>8</v>
      </c>
      <c r="N747" t="s">
        <v>7</v>
      </c>
      <c r="P747">
        <f t="shared" si="1000"/>
        <v>0.3684210526315807</v>
      </c>
      <c r="Q747">
        <f t="shared" si="1001"/>
        <v>2282148.4405263267</v>
      </c>
      <c r="R747">
        <f t="shared" si="1002"/>
        <v>756901.71524934424</v>
      </c>
      <c r="S747">
        <f t="shared" si="1003"/>
        <v>7.5690171524934424</v>
      </c>
      <c r="T747">
        <f t="shared" si="1004"/>
        <v>7.5690171524934423E-3</v>
      </c>
    </row>
    <row r="748" spans="1:20" x14ac:dyDescent="0.25">
      <c r="A748" s="5">
        <v>43845</v>
      </c>
      <c r="B748">
        <v>0.214</v>
      </c>
      <c r="C748">
        <v>0.23830000000000001</v>
      </c>
      <c r="D748">
        <v>0.20949999999999999</v>
      </c>
      <c r="E748">
        <v>0.22040000000000001</v>
      </c>
      <c r="F748">
        <v>17936467.739999998</v>
      </c>
      <c r="G748">
        <v>0</v>
      </c>
      <c r="L748" t="s">
        <v>8</v>
      </c>
      <c r="M748" t="s">
        <v>8</v>
      </c>
      <c r="N748" t="s">
        <v>7</v>
      </c>
      <c r="P748">
        <f t="shared" si="1000"/>
        <v>-0.24305555555555464</v>
      </c>
      <c r="Q748">
        <f t="shared" si="1001"/>
        <v>-4359558.1312499829</v>
      </c>
      <c r="R748">
        <f t="shared" si="1002"/>
        <v>-1525246.7252769824</v>
      </c>
      <c r="S748">
        <f t="shared" si="1003"/>
        <v>-15.252467252769824</v>
      </c>
      <c r="T748">
        <f t="shared" si="1004"/>
        <v>-1.5252467252769825E-2</v>
      </c>
    </row>
    <row r="749" spans="1:20" x14ac:dyDescent="0.25">
      <c r="A749" s="5">
        <v>43844</v>
      </c>
      <c r="B749">
        <v>0.18679999999999999</v>
      </c>
      <c r="C749">
        <v>0.21440000000000001</v>
      </c>
      <c r="D749">
        <v>0.18659999999999999</v>
      </c>
      <c r="E749">
        <v>0.21440000000000001</v>
      </c>
      <c r="F749">
        <v>12477779.33</v>
      </c>
      <c r="G749">
        <v>0</v>
      </c>
      <c r="L749" t="s">
        <v>8</v>
      </c>
      <c r="M749" t="s">
        <v>8</v>
      </c>
      <c r="N749" t="s">
        <v>7</v>
      </c>
      <c r="P749">
        <f t="shared" si="1000"/>
        <v>1</v>
      </c>
      <c r="Q749">
        <f t="shared" si="1001"/>
        <v>12477779.33</v>
      </c>
      <c r="R749">
        <f t="shared" si="1002"/>
        <v>2834311.4059730005</v>
      </c>
      <c r="S749">
        <f t="shared" si="1003"/>
        <v>28.343114059730006</v>
      </c>
      <c r="T749">
        <f t="shared" si="1004"/>
        <v>2.8343114059730005E-2</v>
      </c>
    </row>
    <row r="750" spans="1:20" x14ac:dyDescent="0.25">
      <c r="A750" s="5">
        <v>43843</v>
      </c>
      <c r="B750">
        <v>0.1898</v>
      </c>
      <c r="C750">
        <v>0.1908</v>
      </c>
      <c r="D750">
        <v>0.1865</v>
      </c>
      <c r="E750">
        <v>0.1867</v>
      </c>
      <c r="F750">
        <v>1939068.9</v>
      </c>
      <c r="G750">
        <v>0</v>
      </c>
      <c r="L750" t="s">
        <v>8</v>
      </c>
      <c r="M750" t="s">
        <v>7</v>
      </c>
      <c r="N750" t="s">
        <v>7</v>
      </c>
      <c r="P750">
        <f t="shared" si="1000"/>
        <v>-0.90697674418604379</v>
      </c>
      <c r="Q750">
        <f t="shared" si="1001"/>
        <v>-1758690.3976744132</v>
      </c>
      <c r="R750">
        <f t="shared" si="1002"/>
        <v>-9643467.9240269996</v>
      </c>
      <c r="S750">
        <f t="shared" si="1003"/>
        <v>-96.43467924027</v>
      </c>
      <c r="T750">
        <f t="shared" si="1004"/>
        <v>-9.6434679240269994E-2</v>
      </c>
    </row>
    <row r="751" spans="1:20" x14ac:dyDescent="0.25">
      <c r="A751" s="5">
        <v>43842</v>
      </c>
      <c r="B751">
        <v>0.18809999999999999</v>
      </c>
      <c r="C751">
        <v>0.1925</v>
      </c>
      <c r="D751">
        <v>0.187</v>
      </c>
      <c r="E751">
        <v>0.19020000000000001</v>
      </c>
      <c r="F751">
        <v>1865000.75</v>
      </c>
      <c r="G751">
        <v>0</v>
      </c>
      <c r="L751" t="s">
        <v>8</v>
      </c>
      <c r="M751" t="s">
        <v>7</v>
      </c>
      <c r="N751" t="s">
        <v>7</v>
      </c>
      <c r="P751">
        <f t="shared" si="1000"/>
        <v>0.16363636363636566</v>
      </c>
      <c r="Q751">
        <f t="shared" si="1001"/>
        <v>305181.9409090947</v>
      </c>
      <c r="R751">
        <f t="shared" si="1002"/>
        <v>-7884777.5263525872</v>
      </c>
      <c r="S751">
        <f t="shared" si="1003"/>
        <v>-78.847775263525875</v>
      </c>
      <c r="T751">
        <f t="shared" si="1004"/>
        <v>-7.8847775263525877E-2</v>
      </c>
    </row>
    <row r="752" spans="1:20" x14ac:dyDescent="0.25">
      <c r="A752" s="5">
        <v>43841</v>
      </c>
      <c r="B752">
        <v>0.18720000000000001</v>
      </c>
      <c r="C752">
        <v>0.19420000000000001</v>
      </c>
      <c r="D752">
        <v>0.18629999999999999</v>
      </c>
      <c r="E752">
        <v>0.18859999999999999</v>
      </c>
      <c r="F752">
        <v>4058406.08</v>
      </c>
      <c r="G752">
        <v>0</v>
      </c>
      <c r="L752" t="s">
        <v>8</v>
      </c>
      <c r="M752" t="s">
        <v>7</v>
      </c>
      <c r="N752" t="s">
        <v>7</v>
      </c>
      <c r="P752">
        <f t="shared" si="1000"/>
        <v>-0.417721518987344</v>
      </c>
      <c r="Q752">
        <f t="shared" si="1001"/>
        <v>-1695283.5524050724</v>
      </c>
      <c r="R752">
        <f t="shared" si="1002"/>
        <v>-8189959.4672616823</v>
      </c>
      <c r="S752">
        <f t="shared" si="1003"/>
        <v>-81.899594672616828</v>
      </c>
      <c r="T752">
        <f t="shared" si="1004"/>
        <v>-8.1899594672616829E-2</v>
      </c>
    </row>
    <row r="753" spans="1:20" x14ac:dyDescent="0.25">
      <c r="A753" s="5">
        <v>43840</v>
      </c>
      <c r="B753">
        <v>0.18479999999999999</v>
      </c>
      <c r="C753">
        <v>0.188</v>
      </c>
      <c r="D753">
        <v>0.1817</v>
      </c>
      <c r="E753">
        <v>0.18759999999999999</v>
      </c>
      <c r="F753">
        <v>4056382.91</v>
      </c>
      <c r="G753">
        <v>0</v>
      </c>
      <c r="L753" t="s">
        <v>7</v>
      </c>
      <c r="M753" t="s">
        <v>7</v>
      </c>
      <c r="N753" t="s">
        <v>7</v>
      </c>
      <c r="P753">
        <f t="shared" si="1000"/>
        <v>0.87301587301586936</v>
      </c>
      <c r="Q753">
        <f t="shared" si="1001"/>
        <v>3541286.6674603028</v>
      </c>
      <c r="R753">
        <f t="shared" si="1002"/>
        <v>-6494675.9148566099</v>
      </c>
      <c r="S753">
        <f t="shared" si="1003"/>
        <v>-64.946759148566102</v>
      </c>
      <c r="T753">
        <f t="shared" si="1004"/>
        <v>-6.4946759148566097E-2</v>
      </c>
    </row>
    <row r="754" spans="1:20" x14ac:dyDescent="0.25">
      <c r="A754" s="5">
        <v>43839</v>
      </c>
      <c r="B754">
        <v>0.1827</v>
      </c>
      <c r="C754">
        <v>0.18940000000000001</v>
      </c>
      <c r="D754">
        <v>0.18060000000000001</v>
      </c>
      <c r="E754">
        <v>0.18509999999999999</v>
      </c>
      <c r="F754">
        <v>4990004.3600000003</v>
      </c>
      <c r="G754">
        <v>0</v>
      </c>
      <c r="L754" t="s">
        <v>7</v>
      </c>
      <c r="M754" t="s">
        <v>7</v>
      </c>
      <c r="N754" t="s">
        <v>7</v>
      </c>
      <c r="P754">
        <f t="shared" si="1000"/>
        <v>2.2727272727267066E-2</v>
      </c>
      <c r="Q754">
        <f t="shared" si="1001"/>
        <v>113409.18999997176</v>
      </c>
      <c r="R754">
        <f t="shared" si="1002"/>
        <v>-10035962.582316913</v>
      </c>
      <c r="S754">
        <f t="shared" si="1003"/>
        <v>-100.35962582316913</v>
      </c>
      <c r="T754">
        <f t="shared" si="1004"/>
        <v>-0.10035962582316912</v>
      </c>
    </row>
    <row r="755" spans="1:20" x14ac:dyDescent="0.25">
      <c r="A755" s="5">
        <v>43838</v>
      </c>
      <c r="B755">
        <v>0.19270000000000001</v>
      </c>
      <c r="C755">
        <v>0.1956</v>
      </c>
      <c r="D755">
        <v>0.18160000000000001</v>
      </c>
      <c r="E755">
        <v>0.18279999999999999</v>
      </c>
      <c r="F755">
        <v>8219993.0499999998</v>
      </c>
      <c r="G755">
        <v>0</v>
      </c>
      <c r="L755" t="s">
        <v>7</v>
      </c>
      <c r="M755" t="s">
        <v>7</v>
      </c>
      <c r="N755" t="s">
        <v>7</v>
      </c>
      <c r="P755">
        <f t="shared" si="1000"/>
        <v>-0.8285714285714314</v>
      </c>
      <c r="Q755">
        <f t="shared" si="1001"/>
        <v>-6810851.3842857378</v>
      </c>
      <c r="R755">
        <f t="shared" si="1002"/>
        <v>-10149371.772316884</v>
      </c>
      <c r="S755">
        <f t="shared" si="1003"/>
        <v>-101.49371772316884</v>
      </c>
      <c r="T755">
        <f t="shared" si="1004"/>
        <v>-0.10149371772316884</v>
      </c>
    </row>
    <row r="756" spans="1:20" x14ac:dyDescent="0.25">
      <c r="A756" s="5">
        <v>43837</v>
      </c>
      <c r="B756">
        <v>0.1918</v>
      </c>
      <c r="C756">
        <v>0.19800000000000001</v>
      </c>
      <c r="D756">
        <v>0.19059999999999999</v>
      </c>
      <c r="E756">
        <v>0.19220000000000001</v>
      </c>
      <c r="F756">
        <v>7253046.4199999999</v>
      </c>
      <c r="G756">
        <v>0</v>
      </c>
      <c r="L756" t="s">
        <v>8</v>
      </c>
      <c r="M756" t="s">
        <v>7</v>
      </c>
      <c r="N756" t="s">
        <v>7</v>
      </c>
      <c r="P756">
        <f t="shared" si="1000"/>
        <v>-0.56756756756756377</v>
      </c>
      <c r="Q756">
        <f t="shared" si="1001"/>
        <v>-4116593.9140540264</v>
      </c>
      <c r="R756">
        <f t="shared" si="1002"/>
        <v>-3338520.3880311474</v>
      </c>
      <c r="S756">
        <f t="shared" si="1003"/>
        <v>-33.385203880311472</v>
      </c>
      <c r="T756">
        <f t="shared" si="1004"/>
        <v>-3.3385203880311472E-2</v>
      </c>
    </row>
    <row r="757" spans="1:20" x14ac:dyDescent="0.25">
      <c r="A757" s="5">
        <v>43836</v>
      </c>
      <c r="B757">
        <v>0.18759999999999999</v>
      </c>
      <c r="C757">
        <v>0.1963</v>
      </c>
      <c r="D757">
        <v>0.18690000000000001</v>
      </c>
      <c r="E757">
        <v>0.1915</v>
      </c>
      <c r="F757">
        <v>6180132.3799999999</v>
      </c>
      <c r="G757">
        <v>0</v>
      </c>
      <c r="L757" t="s">
        <v>8</v>
      </c>
      <c r="M757" t="s">
        <v>7</v>
      </c>
      <c r="N757" t="s">
        <v>7</v>
      </c>
      <c r="P757">
        <f t="shared" si="1000"/>
        <v>-2.1276595744681479E-2</v>
      </c>
      <c r="Q757">
        <f t="shared" si="1001"/>
        <v>-131492.17829787621</v>
      </c>
      <c r="R757">
        <f t="shared" si="1002"/>
        <v>778073.52602287894</v>
      </c>
      <c r="S757">
        <f t="shared" si="1003"/>
        <v>7.7807352602287896</v>
      </c>
      <c r="T757">
        <f t="shared" si="1004"/>
        <v>7.7807352602287895E-3</v>
      </c>
    </row>
    <row r="758" spans="1:20" x14ac:dyDescent="0.25">
      <c r="A758" s="5">
        <v>43835</v>
      </c>
      <c r="B758">
        <v>0.1883</v>
      </c>
      <c r="C758">
        <v>0.1928</v>
      </c>
      <c r="D758">
        <v>0.1845</v>
      </c>
      <c r="E758">
        <v>0.18740000000000001</v>
      </c>
      <c r="F758">
        <v>4521328.0999999996</v>
      </c>
      <c r="G758">
        <v>0</v>
      </c>
      <c r="L758" t="s">
        <v>7</v>
      </c>
      <c r="M758" t="s">
        <v>7</v>
      </c>
      <c r="N758" t="s">
        <v>7</v>
      </c>
      <c r="P758">
        <f t="shared" si="1000"/>
        <v>-0.3012048192771053</v>
      </c>
      <c r="Q758">
        <f t="shared" si="1001"/>
        <v>-1361845.8132529978</v>
      </c>
      <c r="R758">
        <f t="shared" si="1002"/>
        <v>909565.70432075509</v>
      </c>
      <c r="S758">
        <f t="shared" si="1003"/>
        <v>9.0956570432075505</v>
      </c>
      <c r="T758">
        <f t="shared" si="1004"/>
        <v>9.0956570432075504E-3</v>
      </c>
    </row>
    <row r="759" spans="1:20" x14ac:dyDescent="0.25">
      <c r="A759" s="5">
        <v>43834</v>
      </c>
      <c r="B759">
        <v>0.1865</v>
      </c>
      <c r="C759">
        <v>0.19</v>
      </c>
      <c r="D759">
        <v>0.18310000000000001</v>
      </c>
      <c r="E759">
        <v>0.1883</v>
      </c>
      <c r="F759">
        <v>3558817.62</v>
      </c>
      <c r="G759">
        <v>0</v>
      </c>
      <c r="L759" t="s">
        <v>7</v>
      </c>
      <c r="M759" t="s">
        <v>7</v>
      </c>
      <c r="N759" t="s">
        <v>7</v>
      </c>
      <c r="P759">
        <f t="shared" si="1000"/>
        <v>0.50724637681159146</v>
      </c>
      <c r="Q759">
        <f t="shared" si="1001"/>
        <v>1805197.3434782512</v>
      </c>
      <c r="R759">
        <f t="shared" si="1002"/>
        <v>2271411.5175737529</v>
      </c>
      <c r="S759">
        <f t="shared" si="1003"/>
        <v>22.714115175737529</v>
      </c>
      <c r="T759">
        <f t="shared" si="1004"/>
        <v>2.2714115175737529E-2</v>
      </c>
    </row>
    <row r="760" spans="1:20" x14ac:dyDescent="0.25">
      <c r="A760" s="5">
        <v>43833</v>
      </c>
      <c r="B760">
        <v>0.1825</v>
      </c>
      <c r="C760">
        <v>0.19270000000000001</v>
      </c>
      <c r="D760">
        <v>0.17899999999999999</v>
      </c>
      <c r="E760">
        <v>0.1865</v>
      </c>
      <c r="F760">
        <v>13464510.09</v>
      </c>
      <c r="G760">
        <v>0</v>
      </c>
      <c r="L760" t="s">
        <v>7</v>
      </c>
      <c r="M760" t="s">
        <v>7</v>
      </c>
      <c r="N760" t="s">
        <v>7</v>
      </c>
      <c r="P760">
        <f t="shared" si="1000"/>
        <v>9.4890510948904661E-2</v>
      </c>
      <c r="Q760">
        <f t="shared" si="1001"/>
        <v>1277654.2421167823</v>
      </c>
      <c r="R760">
        <f t="shared" si="1002"/>
        <v>466214.17409550166</v>
      </c>
      <c r="S760">
        <f t="shared" si="1003"/>
        <v>4.6621417409550165</v>
      </c>
      <c r="T760">
        <f t="shared" si="1004"/>
        <v>4.6621417409550168E-3</v>
      </c>
    </row>
    <row r="761" spans="1:20" x14ac:dyDescent="0.25">
      <c r="A761" s="5">
        <v>43832</v>
      </c>
      <c r="B761">
        <v>0.19600000000000001</v>
      </c>
      <c r="C761">
        <v>0.1961</v>
      </c>
      <c r="D761">
        <v>0.18140000000000001</v>
      </c>
      <c r="E761">
        <v>0.1827</v>
      </c>
      <c r="F761">
        <v>9516134.3100000005</v>
      </c>
      <c r="G761">
        <v>0</v>
      </c>
      <c r="L761" t="s">
        <v>7</v>
      </c>
      <c r="M761" t="s">
        <v>7</v>
      </c>
      <c r="N761" t="s">
        <v>7</v>
      </c>
      <c r="P761">
        <f t="shared" si="1000"/>
        <v>-0.82312925170068074</v>
      </c>
      <c r="Q761">
        <f t="shared" si="1001"/>
        <v>-7833008.5136734741</v>
      </c>
      <c r="R761">
        <f t="shared" si="1002"/>
        <v>-811440.06802128069</v>
      </c>
      <c r="S761">
        <f t="shared" si="1003"/>
        <v>-8.1144006802128068</v>
      </c>
      <c r="T761">
        <f t="shared" si="1004"/>
        <v>-8.114400680212807E-3</v>
      </c>
    </row>
    <row r="762" spans="1:20" x14ac:dyDescent="0.25">
      <c r="A762" s="5">
        <v>43831</v>
      </c>
      <c r="B762">
        <v>0.18079999999999999</v>
      </c>
      <c r="C762">
        <v>0.19839999999999999</v>
      </c>
      <c r="D762">
        <v>0.18</v>
      </c>
      <c r="E762">
        <v>0.19620000000000001</v>
      </c>
      <c r="F762">
        <v>9228347.0999999996</v>
      </c>
      <c r="G762">
        <v>0</v>
      </c>
      <c r="P762">
        <f t="shared" si="1000"/>
        <v>0.76086956521739346</v>
      </c>
      <c r="Q762">
        <f t="shared" si="1001"/>
        <v>7021568.4456521934</v>
      </c>
      <c r="R762">
        <f t="shared" si="1002"/>
        <v>7021568.4456521934</v>
      </c>
      <c r="S762">
        <f t="shared" si="1003"/>
        <v>70.215684456521927</v>
      </c>
      <c r="T762">
        <f t="shared" si="1004"/>
        <v>7.0215684456521932E-2</v>
      </c>
    </row>
    <row r="763" spans="1:20" x14ac:dyDescent="0.25">
      <c r="A763" s="5"/>
      <c r="C763" s="4"/>
      <c r="D763" s="4"/>
      <c r="P763">
        <f t="shared" si="1000"/>
        <v>0</v>
      </c>
      <c r="Q763">
        <f t="shared" si="1001"/>
        <v>0</v>
      </c>
      <c r="R763">
        <f t="shared" si="1002"/>
        <v>0</v>
      </c>
      <c r="S763">
        <f t="shared" si="1003"/>
        <v>0</v>
      </c>
      <c r="T763">
        <f t="shared" si="1004"/>
        <v>0</v>
      </c>
    </row>
    <row r="764" spans="1:20" x14ac:dyDescent="0.25">
      <c r="A764" s="5"/>
      <c r="C764" s="4"/>
      <c r="D764" s="4"/>
      <c r="P764">
        <f t="shared" si="1000"/>
        <v>0</v>
      </c>
      <c r="Q764">
        <f t="shared" si="1001"/>
        <v>0</v>
      </c>
      <c r="R764">
        <f t="shared" si="1002"/>
        <v>0</v>
      </c>
      <c r="S764">
        <f t="shared" si="1003"/>
        <v>0</v>
      </c>
      <c r="T764">
        <f t="shared" si="1004"/>
        <v>0</v>
      </c>
    </row>
    <row r="765" spans="1:20" x14ac:dyDescent="0.25">
      <c r="A765" s="5"/>
      <c r="C765" s="4"/>
      <c r="D765" s="4"/>
      <c r="P765">
        <f t="shared" si="1000"/>
        <v>0</v>
      </c>
      <c r="Q765">
        <f t="shared" si="1001"/>
        <v>0</v>
      </c>
      <c r="R765">
        <f t="shared" si="1002"/>
        <v>0</v>
      </c>
      <c r="S765">
        <f t="shared" si="1003"/>
        <v>0</v>
      </c>
      <c r="T765">
        <f t="shared" si="1004"/>
        <v>0</v>
      </c>
    </row>
    <row r="766" spans="1:20" x14ac:dyDescent="0.25">
      <c r="A766" s="5"/>
      <c r="C766" s="4"/>
      <c r="D766" s="4"/>
      <c r="P766">
        <f t="shared" si="1000"/>
        <v>0</v>
      </c>
      <c r="Q766">
        <f t="shared" si="1001"/>
        <v>0</v>
      </c>
      <c r="R766">
        <f t="shared" si="1002"/>
        <v>0</v>
      </c>
      <c r="S766">
        <f t="shared" si="1003"/>
        <v>0</v>
      </c>
      <c r="T766">
        <f t="shared" si="1004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MN598" sqref="MN598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$A$597</v>
      </c>
      <c r="D111" s="1" t="str">
        <f>ADDRESS(C121-1,D121,1,1)</f>
        <v>$MN$597</v>
      </c>
      <c r="E111"/>
    </row>
    <row r="112" spans="1:5" x14ac:dyDescent="0.25">
      <c r="A112" s="7">
        <v>12164.144957890772</v>
      </c>
      <c r="C112" s="1" t="str">
        <f>ADDRESS(C121,1,1,1)</f>
        <v>$A$598</v>
      </c>
      <c r="D112" s="1" t="str">
        <f>ADDRESS(C121,D121-1,1,1)</f>
        <v>$MM$598</v>
      </c>
      <c r="E112"/>
    </row>
    <row r="113" spans="1:5" x14ac:dyDescent="0.25">
      <c r="A113" s="7">
        <v>11925.63231165762</v>
      </c>
      <c r="C113" s="1" t="str">
        <f>ADDRESS(C121+1,1,1,1)</f>
        <v>$A$599</v>
      </c>
      <c r="D113" s="1" t="str">
        <f>ADDRESS(C121-1,D121+1,1,1)</f>
        <v>$MO$597</v>
      </c>
    </row>
    <row r="114" spans="1:5" x14ac:dyDescent="0.25">
      <c r="A114" s="7">
        <v>11691.796383978059</v>
      </c>
      <c r="C114" s="1" t="str">
        <f>ADDRESS(C121,D121,1,1)</f>
        <v>$MN$598</v>
      </c>
      <c r="D114" s="1" t="str">
        <f>ADDRESS(C121+1,D121+1,1,1)</f>
        <v>$MO$599</v>
      </c>
    </row>
    <row r="115" spans="1:5" x14ac:dyDescent="0.25">
      <c r="A115" s="7">
        <v>11462.545474488292</v>
      </c>
      <c r="C115" s="1" t="str">
        <f>ADDRESS(C121+1,D121,1,1)</f>
        <v>$MN$599</v>
      </c>
    </row>
    <row r="116" spans="1:5" x14ac:dyDescent="0.25">
      <c r="A116" s="7">
        <v>11237.789680870874</v>
      </c>
      <c r="C116" s="1">
        <f>C117-1</f>
        <v>597</v>
      </c>
    </row>
    <row r="117" spans="1:5" x14ac:dyDescent="0.25">
      <c r="A117" s="7">
        <v>11017.440863598895</v>
      </c>
      <c r="C117" s="1">
        <f>C121</f>
        <v>598</v>
      </c>
      <c r="D117" s="1">
        <f>D121</f>
        <v>352</v>
      </c>
    </row>
    <row r="118" spans="1:5" x14ac:dyDescent="0.25">
      <c r="A118" s="7">
        <v>10801.412611371465</v>
      </c>
      <c r="C118" s="1">
        <f>C117+1</f>
        <v>599</v>
      </c>
      <c r="D118" s="1">
        <f>D117+1</f>
        <v>353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598</v>
      </c>
      <c r="D121" s="19">
        <v>352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R598</v>
      </c>
      <c r="D123" s="1" t="str">
        <f>"C"&amp;D121</f>
        <v>C352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0.80426303909328967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328" x14ac:dyDescent="0.25">
      <c r="A545" s="7">
        <v>2.2972444660248938</v>
      </c>
      <c r="B545"/>
      <c r="C545"/>
      <c r="D545"/>
      <c r="E545"/>
    </row>
    <row r="546" spans="1:328" x14ac:dyDescent="0.25">
      <c r="A546" s="7">
        <v>2.252200456887151</v>
      </c>
      <c r="B546"/>
      <c r="C546"/>
      <c r="D546"/>
      <c r="E546"/>
    </row>
    <row r="547" spans="1:328" x14ac:dyDescent="0.25">
      <c r="A547" s="7">
        <v>2.208039663614854</v>
      </c>
      <c r="B547"/>
      <c r="C547"/>
      <c r="D547"/>
      <c r="E547"/>
    </row>
    <row r="548" spans="1:328" x14ac:dyDescent="0.25">
      <c r="A548" s="7">
        <v>2.1647447682498568</v>
      </c>
      <c r="B548"/>
      <c r="C548"/>
      <c r="D548"/>
      <c r="E548"/>
    </row>
    <row r="549" spans="1:328" x14ac:dyDescent="0.25">
      <c r="A549" s="7">
        <v>2.1222987924018204</v>
      </c>
      <c r="B549"/>
      <c r="C549"/>
      <c r="D549"/>
      <c r="E549"/>
    </row>
    <row r="550" spans="1:328" x14ac:dyDescent="0.25">
      <c r="A550" s="7">
        <v>2.0806850905900198</v>
      </c>
      <c r="B550"/>
      <c r="C550"/>
      <c r="D550"/>
      <c r="E550"/>
    </row>
    <row r="551" spans="1:328" x14ac:dyDescent="0.25">
      <c r="A551" s="7">
        <v>2.0398873437157055</v>
      </c>
      <c r="B551"/>
      <c r="C551"/>
      <c r="D551"/>
      <c r="E551"/>
    </row>
    <row r="552" spans="1:328" x14ac:dyDescent="0.25">
      <c r="A552" s="7">
        <v>1.9998895526624565</v>
      </c>
      <c r="B552"/>
      <c r="C552"/>
      <c r="D552"/>
      <c r="E552"/>
    </row>
    <row r="553" spans="1:328" x14ac:dyDescent="0.25">
      <c r="A553" s="7">
        <v>1.9606760320220162</v>
      </c>
      <c r="B553"/>
      <c r="C553"/>
      <c r="D553"/>
      <c r="E553"/>
    </row>
    <row r="554" spans="1:328" x14ac:dyDescent="0.25">
      <c r="A554" s="7">
        <v>1.9222314039431532</v>
      </c>
      <c r="B554"/>
      <c r="C554"/>
      <c r="D554"/>
      <c r="E554"/>
      <c r="LO554" s="27" t="s">
        <v>8</v>
      </c>
    </row>
    <row r="555" spans="1:328" x14ac:dyDescent="0.25">
      <c r="A555" s="7">
        <v>1.8845405921011305</v>
      </c>
      <c r="B555"/>
      <c r="C555"/>
      <c r="D555"/>
      <c r="E555"/>
      <c r="LO555" s="27" t="s">
        <v>8</v>
      </c>
      <c r="LP555" s="27" t="s">
        <v>7</v>
      </c>
    </row>
    <row r="556" spans="1:328" x14ac:dyDescent="0.25">
      <c r="A556" s="7">
        <v>1.8475888157854219</v>
      </c>
      <c r="B556"/>
      <c r="C556"/>
      <c r="D556"/>
      <c r="E556"/>
      <c r="LM556" s="27" t="s">
        <v>8</v>
      </c>
      <c r="LO556" s="27" t="s">
        <v>8</v>
      </c>
      <c r="LP556" s="27" t="s">
        <v>7</v>
      </c>
    </row>
    <row r="557" spans="1:328" x14ac:dyDescent="0.25">
      <c r="A557" s="7">
        <v>1.8113615841033548</v>
      </c>
      <c r="B557"/>
      <c r="C557"/>
      <c r="D557"/>
      <c r="E557"/>
      <c r="LM557" s="27" t="s">
        <v>8</v>
      </c>
      <c r="LN557" s="27" t="s">
        <v>7</v>
      </c>
      <c r="LO557" s="27" t="s">
        <v>8</v>
      </c>
      <c r="LP557" s="27" t="s">
        <v>7</v>
      </c>
    </row>
    <row r="558" spans="1:328" x14ac:dyDescent="0.25">
      <c r="A558" s="7">
        <v>1.7758446902974065</v>
      </c>
      <c r="B558"/>
      <c r="C558"/>
      <c r="D558"/>
      <c r="E558"/>
      <c r="LM558" s="27" t="s">
        <v>8</v>
      </c>
      <c r="LN558" s="27" t="s">
        <v>7</v>
      </c>
      <c r="LO558" s="27" t="s">
        <v>8</v>
      </c>
      <c r="LP558" s="27" t="s">
        <v>7</v>
      </c>
    </row>
    <row r="559" spans="1:328" x14ac:dyDescent="0.25">
      <c r="A559" s="7">
        <v>1.7410242061739281</v>
      </c>
      <c r="B559"/>
      <c r="C559"/>
      <c r="D559"/>
      <c r="E559"/>
      <c r="LM559" s="27" t="s">
        <v>8</v>
      </c>
      <c r="LN559" s="27" t="s">
        <v>7</v>
      </c>
      <c r="LO559" s="27" t="s">
        <v>8</v>
      </c>
      <c r="LP559" s="27" t="s">
        <v>7</v>
      </c>
    </row>
    <row r="560" spans="1:328" x14ac:dyDescent="0.25">
      <c r="A560" s="7">
        <v>1.7068864766411058</v>
      </c>
      <c r="B560"/>
      <c r="C560"/>
      <c r="D560"/>
      <c r="E560"/>
      <c r="LM560" s="27" t="s">
        <v>8</v>
      </c>
      <c r="LN560" s="27" t="s">
        <v>7</v>
      </c>
      <c r="LO560" s="27" t="s">
        <v>8</v>
      </c>
      <c r="LP560" s="27" t="s">
        <v>7</v>
      </c>
    </row>
    <row r="561" spans="1:344" x14ac:dyDescent="0.25">
      <c r="A561" s="7">
        <v>1.6734181143540252</v>
      </c>
      <c r="B561"/>
      <c r="C561"/>
      <c r="D561"/>
      <c r="E561"/>
      <c r="LM561" s="27" t="s">
        <v>8</v>
      </c>
      <c r="LN561" s="27" t="s">
        <v>7</v>
      </c>
      <c r="LO561" s="27" t="s">
        <v>8</v>
      </c>
      <c r="LP561" s="27" t="s">
        <v>7</v>
      </c>
      <c r="LQ561" s="27" t="s">
        <v>8</v>
      </c>
    </row>
    <row r="562" spans="1:344" x14ac:dyDescent="0.25">
      <c r="A562" s="7">
        <v>1.6406059944647307</v>
      </c>
      <c r="B562"/>
      <c r="C562"/>
      <c r="D562"/>
      <c r="E562"/>
      <c r="HA562" s="27" t="s">
        <v>8</v>
      </c>
      <c r="LM562" s="27" t="s">
        <v>8</v>
      </c>
      <c r="LN562" s="27" t="s">
        <v>7</v>
      </c>
      <c r="LO562" s="27" t="s">
        <v>8</v>
      </c>
      <c r="LP562" s="27" t="s">
        <v>7</v>
      </c>
      <c r="LQ562" s="27" t="s">
        <v>8</v>
      </c>
      <c r="LR562" s="27" t="s">
        <v>7</v>
      </c>
    </row>
    <row r="563" spans="1:344" x14ac:dyDescent="0.25">
      <c r="A563" s="7">
        <v>1.6084372494752261</v>
      </c>
      <c r="B563"/>
      <c r="C563"/>
      <c r="D563"/>
      <c r="E563"/>
      <c r="HA563" s="27" t="s">
        <v>8</v>
      </c>
      <c r="HB563" s="27" t="s">
        <v>7</v>
      </c>
      <c r="LM563" s="27" t="s">
        <v>8</v>
      </c>
      <c r="LN563" s="27" t="s">
        <v>7</v>
      </c>
      <c r="LO563" s="27" t="s">
        <v>8</v>
      </c>
      <c r="LP563" s="27" t="s">
        <v>7</v>
      </c>
      <c r="LQ563" s="27" t="s">
        <v>8</v>
      </c>
      <c r="LR563" s="27" t="s">
        <v>7</v>
      </c>
    </row>
    <row r="564" spans="1:344" x14ac:dyDescent="0.25">
      <c r="A564" s="7">
        <v>1.5768992641913981</v>
      </c>
      <c r="B564"/>
      <c r="C564"/>
      <c r="D564"/>
      <c r="E564"/>
      <c r="HA564" s="27" t="s">
        <v>8</v>
      </c>
      <c r="HB564" s="27" t="s">
        <v>7</v>
      </c>
      <c r="HE564" s="27" t="s">
        <v>8</v>
      </c>
      <c r="HG564" s="27" t="s">
        <v>8</v>
      </c>
      <c r="HS564" s="27" t="s">
        <v>8</v>
      </c>
      <c r="LM564" s="27" t="s">
        <v>8</v>
      </c>
      <c r="LN564" s="27" t="s">
        <v>7</v>
      </c>
      <c r="LO564" s="27" t="s">
        <v>8</v>
      </c>
      <c r="LP564" s="27" t="s">
        <v>7</v>
      </c>
      <c r="LQ564" s="27" t="s">
        <v>8</v>
      </c>
      <c r="LR564" s="27" t="s">
        <v>7</v>
      </c>
    </row>
    <row r="565" spans="1:344" x14ac:dyDescent="0.25">
      <c r="A565" s="7">
        <v>1.5459796707758806</v>
      </c>
      <c r="B565"/>
      <c r="C565"/>
      <c r="D565"/>
      <c r="E565"/>
      <c r="HA565" s="27" t="s">
        <v>8</v>
      </c>
      <c r="HB565" s="27" t="s">
        <v>7</v>
      </c>
      <c r="HC565" s="27" t="s">
        <v>8</v>
      </c>
      <c r="HE565" s="27" t="s">
        <v>8</v>
      </c>
      <c r="HF565" s="27" t="s">
        <v>7</v>
      </c>
      <c r="HG565" s="27" t="s">
        <v>8</v>
      </c>
      <c r="HH565" s="27" t="s">
        <v>7</v>
      </c>
      <c r="HS565" s="27" t="s">
        <v>8</v>
      </c>
      <c r="HT565" s="27" t="s">
        <v>7</v>
      </c>
      <c r="LM565" s="27" t="s">
        <v>8</v>
      </c>
      <c r="LN565" s="27" t="s">
        <v>7</v>
      </c>
      <c r="LO565" s="27" t="s">
        <v>8</v>
      </c>
      <c r="LP565" s="27" t="s">
        <v>7</v>
      </c>
      <c r="LQ565" s="27" t="s">
        <v>8</v>
      </c>
      <c r="LR565" s="27" t="s">
        <v>7</v>
      </c>
    </row>
    <row r="566" spans="1:344" x14ac:dyDescent="0.25">
      <c r="A566" s="7">
        <v>1.5156663438979221</v>
      </c>
      <c r="B566"/>
      <c r="C566"/>
      <c r="D566"/>
      <c r="E566"/>
      <c r="HA566" s="27" t="s">
        <v>8</v>
      </c>
      <c r="HB566" s="27" t="s">
        <v>7</v>
      </c>
      <c r="HC566" s="27" t="s">
        <v>8</v>
      </c>
      <c r="HD566" s="27" t="s">
        <v>7</v>
      </c>
      <c r="HE566" s="27" t="s">
        <v>8</v>
      </c>
      <c r="HF566" s="27" t="s">
        <v>7</v>
      </c>
      <c r="HG566" s="27" t="s">
        <v>8</v>
      </c>
      <c r="HH566" s="27" t="s">
        <v>7</v>
      </c>
      <c r="HS566" s="27" t="s">
        <v>8</v>
      </c>
      <c r="HT566" s="27" t="s">
        <v>7</v>
      </c>
      <c r="LM566" s="27" t="s">
        <v>8</v>
      </c>
      <c r="LN566" s="27" t="s">
        <v>7</v>
      </c>
      <c r="LO566" s="27" t="s">
        <v>8</v>
      </c>
      <c r="LP566" s="27" t="s">
        <v>7</v>
      </c>
      <c r="LQ566" s="27" t="s">
        <v>8</v>
      </c>
      <c r="LR566" s="27" t="s">
        <v>7</v>
      </c>
    </row>
    <row r="567" spans="1:344" x14ac:dyDescent="0.25">
      <c r="A567" s="7">
        <v>1.4859473959783549</v>
      </c>
      <c r="B567"/>
      <c r="C567"/>
      <c r="D567"/>
      <c r="E567"/>
      <c r="HA567" s="27" t="s">
        <v>8</v>
      </c>
      <c r="HB567" s="27" t="s">
        <v>7</v>
      </c>
      <c r="HC567" s="27" t="s">
        <v>8</v>
      </c>
      <c r="HD567" s="27" t="s">
        <v>7</v>
      </c>
      <c r="HE567" s="27" t="s">
        <v>8</v>
      </c>
      <c r="HF567" s="27" t="s">
        <v>7</v>
      </c>
      <c r="HG567" s="27" t="s">
        <v>8</v>
      </c>
      <c r="HH567" s="27" t="s">
        <v>7</v>
      </c>
      <c r="HI567" s="27" t="s">
        <v>8</v>
      </c>
      <c r="HS567" s="27" t="s">
        <v>8</v>
      </c>
      <c r="HT567" s="27" t="s">
        <v>7</v>
      </c>
      <c r="LM567" s="27" t="s">
        <v>8</v>
      </c>
      <c r="LN567" s="27" t="s">
        <v>7</v>
      </c>
      <c r="LO567" s="27" t="s">
        <v>8</v>
      </c>
      <c r="LP567" s="27" t="s">
        <v>7</v>
      </c>
      <c r="LQ567" s="27" t="s">
        <v>8</v>
      </c>
      <c r="LR567" s="27" t="s">
        <v>7</v>
      </c>
    </row>
    <row r="568" spans="1:344" x14ac:dyDescent="0.25">
      <c r="A568" s="7">
        <v>1.4568111725277988</v>
      </c>
      <c r="B568"/>
      <c r="C568"/>
      <c r="D568"/>
      <c r="E568"/>
      <c r="HA568" s="27" t="s">
        <v>8</v>
      </c>
      <c r="HB568" s="27" t="s">
        <v>7</v>
      </c>
      <c r="HC568" s="27" t="s">
        <v>8</v>
      </c>
      <c r="HD568" s="27" t="s">
        <v>7</v>
      </c>
      <c r="HE568" s="27" t="s">
        <v>8</v>
      </c>
      <c r="HF568" s="27" t="s">
        <v>7</v>
      </c>
      <c r="HG568" s="27" t="s">
        <v>8</v>
      </c>
      <c r="HH568" s="27" t="s">
        <v>7</v>
      </c>
      <c r="HI568" s="27" t="s">
        <v>8</v>
      </c>
      <c r="HJ568" s="27" t="s">
        <v>7</v>
      </c>
      <c r="HS568" s="27" t="s">
        <v>8</v>
      </c>
      <c r="HT568" s="27" t="s">
        <v>7</v>
      </c>
      <c r="KW568" s="27" t="s">
        <v>8</v>
      </c>
      <c r="LM568" s="27" t="s">
        <v>8</v>
      </c>
      <c r="LN568" s="27" t="s">
        <v>7</v>
      </c>
      <c r="LO568" s="27" t="s">
        <v>8</v>
      </c>
      <c r="LP568" s="27" t="s">
        <v>7</v>
      </c>
      <c r="LR568" s="27" t="s">
        <v>7</v>
      </c>
    </row>
    <row r="569" spans="1:344" x14ac:dyDescent="0.25">
      <c r="A569" s="7">
        <v>1.4282462475762734</v>
      </c>
      <c r="B569"/>
      <c r="C569"/>
      <c r="D569"/>
      <c r="E569"/>
      <c r="HA569" s="27" t="s">
        <v>8</v>
      </c>
      <c r="HB569" s="27" t="s">
        <v>7</v>
      </c>
      <c r="HC569" s="27" t="s">
        <v>8</v>
      </c>
      <c r="HD569" s="27" t="s">
        <v>7</v>
      </c>
      <c r="HE569" s="27" t="s">
        <v>8</v>
      </c>
      <c r="HF569" s="27" t="s">
        <v>7</v>
      </c>
      <c r="HG569" s="27" t="s">
        <v>8</v>
      </c>
      <c r="HH569" s="27" t="s">
        <v>7</v>
      </c>
      <c r="HI569" s="27" t="s">
        <v>8</v>
      </c>
      <c r="HJ569" s="27" t="s">
        <v>7</v>
      </c>
      <c r="HS569" s="27" t="s">
        <v>8</v>
      </c>
      <c r="HT569" s="27" t="s">
        <v>7</v>
      </c>
      <c r="KW569" s="27" t="s">
        <v>8</v>
      </c>
      <c r="KX569" s="27" t="s">
        <v>7</v>
      </c>
      <c r="LM569" s="27" t="s">
        <v>8</v>
      </c>
      <c r="LN569" s="27" t="s">
        <v>7</v>
      </c>
      <c r="LO569" s="27" t="s">
        <v>8</v>
      </c>
      <c r="LR569" s="27" t="s">
        <v>7</v>
      </c>
      <c r="MC569" s="27" t="s">
        <v>8</v>
      </c>
    </row>
    <row r="570" spans="1:344" x14ac:dyDescent="0.25">
      <c r="A570" s="7">
        <v>1.4002414191924248</v>
      </c>
      <c r="B570"/>
      <c r="C570"/>
      <c r="D570"/>
      <c r="E570"/>
      <c r="HA570" s="27" t="s">
        <v>8</v>
      </c>
      <c r="HB570" s="27" t="s">
        <v>7</v>
      </c>
      <c r="HD570" s="27" t="s">
        <v>7</v>
      </c>
      <c r="HF570" s="27" t="s">
        <v>7</v>
      </c>
      <c r="HH570" s="27" t="s">
        <v>7</v>
      </c>
      <c r="HI570" s="27" t="s">
        <v>8</v>
      </c>
      <c r="HJ570" s="27" t="s">
        <v>7</v>
      </c>
      <c r="HS570" s="27" t="s">
        <v>8</v>
      </c>
      <c r="HT570" s="27" t="s">
        <v>7</v>
      </c>
      <c r="HU570" s="27" t="s">
        <v>8</v>
      </c>
      <c r="KW570" s="27" t="s">
        <v>8</v>
      </c>
      <c r="KX570" s="27" t="s">
        <v>7</v>
      </c>
      <c r="LM570" s="27" t="s">
        <v>8</v>
      </c>
      <c r="LN570" s="27" t="s">
        <v>7</v>
      </c>
      <c r="LO570" s="27" t="s">
        <v>8</v>
      </c>
      <c r="LR570" s="27" t="s">
        <v>7</v>
      </c>
      <c r="LS570" s="27" t="s">
        <v>8</v>
      </c>
      <c r="MC570" s="27" t="s">
        <v>8</v>
      </c>
      <c r="MD570" s="27" t="s">
        <v>7</v>
      </c>
    </row>
    <row r="571" spans="1:344" x14ac:dyDescent="0.25">
      <c r="A571" s="7">
        <v>1.3727857050906125</v>
      </c>
      <c r="B571"/>
      <c r="C571"/>
      <c r="D571"/>
      <c r="E571"/>
      <c r="GM571" s="27" t="s">
        <v>8</v>
      </c>
      <c r="GY571" s="27" t="s">
        <v>8</v>
      </c>
      <c r="HA571" s="27" t="s">
        <v>8</v>
      </c>
      <c r="HH571" s="27" t="s">
        <v>7</v>
      </c>
      <c r="HI571" s="27" t="s">
        <v>8</v>
      </c>
      <c r="HJ571" s="27" t="s">
        <v>7</v>
      </c>
      <c r="HS571" s="27" t="s">
        <v>8</v>
      </c>
      <c r="HT571" s="27" t="s">
        <v>7</v>
      </c>
      <c r="HU571" s="27" t="s">
        <v>8</v>
      </c>
      <c r="HV571" s="27" t="s">
        <v>7</v>
      </c>
      <c r="KW571" s="27" t="s">
        <v>8</v>
      </c>
      <c r="KX571" s="27" t="s">
        <v>7</v>
      </c>
      <c r="LC571" s="27" t="s">
        <v>8</v>
      </c>
      <c r="LM571" s="27" t="s">
        <v>8</v>
      </c>
      <c r="LN571" s="27" t="s">
        <v>7</v>
      </c>
      <c r="LO571" s="27" t="s">
        <v>8</v>
      </c>
      <c r="LR571" s="27" t="s">
        <v>7</v>
      </c>
      <c r="LS571" s="27" t="s">
        <v>8</v>
      </c>
      <c r="LT571" s="27" t="s">
        <v>7</v>
      </c>
      <c r="MA571" s="27" t="s">
        <v>8</v>
      </c>
      <c r="MC571" s="27" t="s">
        <v>8</v>
      </c>
      <c r="MD571" s="27" t="s">
        <v>7</v>
      </c>
    </row>
    <row r="572" spans="1:344" x14ac:dyDescent="0.25">
      <c r="A572" s="7">
        <v>1.3458683383241299</v>
      </c>
      <c r="B572"/>
      <c r="C572"/>
      <c r="D572"/>
      <c r="E572"/>
      <c r="GM572" s="27" t="s">
        <v>8</v>
      </c>
      <c r="GN572" s="27" t="s">
        <v>7</v>
      </c>
      <c r="GY572" s="27" t="s">
        <v>8</v>
      </c>
      <c r="GZ572" s="27" t="s">
        <v>7</v>
      </c>
      <c r="HA572" s="27" t="s">
        <v>8</v>
      </c>
      <c r="HH572" s="27" t="s">
        <v>7</v>
      </c>
      <c r="HI572" s="27" t="s">
        <v>8</v>
      </c>
      <c r="HJ572" s="27" t="s">
        <v>7</v>
      </c>
      <c r="HS572" s="27" t="s">
        <v>8</v>
      </c>
      <c r="HT572" s="27" t="s">
        <v>7</v>
      </c>
      <c r="HU572" s="27" t="s">
        <v>8</v>
      </c>
      <c r="HV572" s="27" t="s">
        <v>7</v>
      </c>
      <c r="KW572" s="27" t="s">
        <v>8</v>
      </c>
      <c r="KX572" s="27" t="s">
        <v>7</v>
      </c>
      <c r="LC572" s="27" t="s">
        <v>8</v>
      </c>
      <c r="LD572" s="27" t="s">
        <v>7</v>
      </c>
      <c r="LM572" s="27" t="s">
        <v>8</v>
      </c>
      <c r="LN572" s="27" t="s">
        <v>7</v>
      </c>
      <c r="LR572" s="27" t="s">
        <v>7</v>
      </c>
      <c r="LS572" s="27" t="s">
        <v>8</v>
      </c>
      <c r="LT572" s="27" t="s">
        <v>7</v>
      </c>
      <c r="MA572" s="27" t="s">
        <v>8</v>
      </c>
      <c r="MB572" s="27" t="s">
        <v>7</v>
      </c>
      <c r="MC572" s="27" t="s">
        <v>8</v>
      </c>
      <c r="MD572" s="27" t="s">
        <v>7</v>
      </c>
      <c r="ME572" s="27" t="s">
        <v>8</v>
      </c>
    </row>
    <row r="573" spans="1:344" x14ac:dyDescent="0.25">
      <c r="A573" s="7">
        <v>1.3194787630628724</v>
      </c>
      <c r="B573"/>
      <c r="C573"/>
      <c r="D573"/>
      <c r="E573"/>
      <c r="GM573" s="27" t="s">
        <v>8</v>
      </c>
      <c r="GN573" s="27" t="s">
        <v>7</v>
      </c>
      <c r="GY573" s="27" t="s">
        <v>8</v>
      </c>
      <c r="GZ573" s="27" t="s">
        <v>7</v>
      </c>
      <c r="HA573" s="27" t="s">
        <v>8</v>
      </c>
      <c r="HH573" s="27" t="s">
        <v>7</v>
      </c>
      <c r="HI573" s="27" t="s">
        <v>8</v>
      </c>
      <c r="HJ573" s="27" t="s">
        <v>7</v>
      </c>
      <c r="HQ573" s="27" t="s">
        <v>8</v>
      </c>
      <c r="HS573" s="27" t="s">
        <v>8</v>
      </c>
      <c r="HT573" s="27" t="s">
        <v>7</v>
      </c>
      <c r="HU573" s="27" t="s">
        <v>8</v>
      </c>
      <c r="HV573" s="27" t="s">
        <v>7</v>
      </c>
      <c r="KW573" s="27" t="s">
        <v>8</v>
      </c>
      <c r="KX573" s="27" t="s">
        <v>7</v>
      </c>
      <c r="LC573" s="27" t="s">
        <v>8</v>
      </c>
      <c r="LD573" s="27" t="s">
        <v>7</v>
      </c>
      <c r="LM573" s="27" t="s">
        <v>8</v>
      </c>
      <c r="LR573" s="27" t="s">
        <v>7</v>
      </c>
      <c r="LS573" s="27" t="s">
        <v>8</v>
      </c>
      <c r="LT573" s="27" t="s">
        <v>7</v>
      </c>
      <c r="MA573" s="27" t="s">
        <v>8</v>
      </c>
      <c r="MB573" s="27" t="s">
        <v>7</v>
      </c>
      <c r="MC573" s="27" t="s">
        <v>8</v>
      </c>
      <c r="MD573" s="27" t="s">
        <v>7</v>
      </c>
      <c r="ME573" s="27" t="s">
        <v>8</v>
      </c>
      <c r="MF573" s="27" t="s">
        <v>7</v>
      </c>
    </row>
    <row r="574" spans="1:344" x14ac:dyDescent="0.25">
      <c r="A574" s="7">
        <v>1.2936066304537963</v>
      </c>
      <c r="B574"/>
      <c r="C574"/>
      <c r="D574"/>
      <c r="E574"/>
      <c r="GM574" s="27" t="s">
        <v>8</v>
      </c>
      <c r="GN574" s="27" t="s">
        <v>7</v>
      </c>
      <c r="GY574" s="27" t="s">
        <v>8</v>
      </c>
      <c r="GZ574" s="27" t="s">
        <v>7</v>
      </c>
      <c r="HA574" s="27" t="s">
        <v>8</v>
      </c>
      <c r="HH574" s="27" t="s">
        <v>7</v>
      </c>
      <c r="HI574" s="27" t="s">
        <v>8</v>
      </c>
      <c r="HJ574" s="27" t="s">
        <v>7</v>
      </c>
      <c r="HK574" s="27" t="s">
        <v>8</v>
      </c>
      <c r="HQ574" s="27" t="s">
        <v>8</v>
      </c>
      <c r="HR574" s="27" t="s">
        <v>7</v>
      </c>
      <c r="HS574" s="27" t="s">
        <v>8</v>
      </c>
      <c r="HT574" s="27" t="s">
        <v>7</v>
      </c>
      <c r="HU574" s="27" t="s">
        <v>8</v>
      </c>
      <c r="HV574" s="27" t="s">
        <v>7</v>
      </c>
      <c r="KW574" s="27" t="s">
        <v>8</v>
      </c>
      <c r="KX574" s="27" t="s">
        <v>7</v>
      </c>
      <c r="LC574" s="27" t="s">
        <v>8</v>
      </c>
      <c r="LD574" s="27" t="s">
        <v>7</v>
      </c>
      <c r="LM574" s="27" t="s">
        <v>8</v>
      </c>
      <c r="LR574" s="27" t="s">
        <v>7</v>
      </c>
      <c r="LS574" s="27" t="s">
        <v>8</v>
      </c>
      <c r="LT574" s="27" t="s">
        <v>7</v>
      </c>
      <c r="MA574" s="27" t="s">
        <v>8</v>
      </c>
      <c r="MB574" s="27" t="s">
        <v>7</v>
      </c>
      <c r="MD574" s="27" t="s">
        <v>7</v>
      </c>
      <c r="ME574" s="27" t="s">
        <v>8</v>
      </c>
      <c r="MF574" s="27" t="s">
        <v>7</v>
      </c>
    </row>
    <row r="575" spans="1:344" x14ac:dyDescent="0.25">
      <c r="A575" s="7">
        <v>1.2682417945625455</v>
      </c>
      <c r="B575"/>
      <c r="C575"/>
      <c r="D575"/>
      <c r="E575"/>
      <c r="GM575" s="27" t="s">
        <v>8</v>
      </c>
      <c r="GN575" s="27" t="s">
        <v>7</v>
      </c>
      <c r="GW575" s="27" t="s">
        <v>8</v>
      </c>
      <c r="GY575" s="27" t="s">
        <v>8</v>
      </c>
      <c r="GZ575" s="27" t="s">
        <v>7</v>
      </c>
      <c r="HA575" s="27" t="s">
        <v>8</v>
      </c>
      <c r="HH575" s="27" t="s">
        <v>7</v>
      </c>
      <c r="HI575" s="27" t="s">
        <v>8</v>
      </c>
      <c r="HJ575" s="27" t="s">
        <v>7</v>
      </c>
      <c r="HK575" s="27" t="s">
        <v>8</v>
      </c>
      <c r="HL575" s="27" t="s">
        <v>7</v>
      </c>
      <c r="HO575" s="27" t="s">
        <v>8</v>
      </c>
      <c r="HQ575" s="27" t="s">
        <v>8</v>
      </c>
      <c r="HR575" s="27" t="s">
        <v>7</v>
      </c>
      <c r="HS575" s="27" t="s">
        <v>8</v>
      </c>
      <c r="HT575" s="27" t="s">
        <v>7</v>
      </c>
      <c r="HU575" s="27" t="s">
        <v>8</v>
      </c>
      <c r="HV575" s="27" t="s">
        <v>7</v>
      </c>
      <c r="KW575" s="27" t="s">
        <v>8</v>
      </c>
      <c r="KX575" s="27" t="s">
        <v>7</v>
      </c>
      <c r="LC575" s="27" t="s">
        <v>8</v>
      </c>
      <c r="LD575" s="27" t="s">
        <v>7</v>
      </c>
      <c r="LM575" s="27" t="s">
        <v>8</v>
      </c>
      <c r="LR575" s="27" t="s">
        <v>7</v>
      </c>
      <c r="LS575" s="27" t="s">
        <v>8</v>
      </c>
      <c r="LT575" s="27" t="s">
        <v>7</v>
      </c>
      <c r="MA575" s="27" t="s">
        <v>8</v>
      </c>
      <c r="MD575" s="27" t="s">
        <v>7</v>
      </c>
      <c r="ME575" s="27" t="s">
        <v>8</v>
      </c>
      <c r="MF575" s="27" t="s">
        <v>7</v>
      </c>
    </row>
    <row r="576" spans="1:344" x14ac:dyDescent="0.25">
      <c r="A576" s="7">
        <v>1.2433743083946525</v>
      </c>
      <c r="B576"/>
      <c r="C576"/>
      <c r="D576"/>
      <c r="E576"/>
      <c r="GM576" s="27" t="s">
        <v>8</v>
      </c>
      <c r="GN576" s="27" t="s">
        <v>7</v>
      </c>
      <c r="GW576" s="27" t="s">
        <v>8</v>
      </c>
      <c r="GX576" s="27" t="s">
        <v>7</v>
      </c>
      <c r="GY576" s="27" t="s">
        <v>8</v>
      </c>
      <c r="GZ576" s="27" t="s">
        <v>7</v>
      </c>
      <c r="HA576" s="27" t="s">
        <v>8</v>
      </c>
      <c r="HH576" s="27" t="s">
        <v>7</v>
      </c>
      <c r="HI576" s="27" t="s">
        <v>8</v>
      </c>
      <c r="HJ576" s="27" t="s">
        <v>7</v>
      </c>
      <c r="HK576" s="27" t="s">
        <v>8</v>
      </c>
      <c r="HL576" s="27" t="s">
        <v>7</v>
      </c>
      <c r="HO576" s="27" t="s">
        <v>8</v>
      </c>
      <c r="HP576" s="27" t="s">
        <v>7</v>
      </c>
      <c r="HQ576" s="27" t="s">
        <v>8</v>
      </c>
      <c r="HR576" s="27" t="s">
        <v>7</v>
      </c>
      <c r="HS576" s="27" t="s">
        <v>8</v>
      </c>
      <c r="HT576" s="27" t="s">
        <v>7</v>
      </c>
      <c r="HV576" s="27" t="s">
        <v>7</v>
      </c>
      <c r="HW576" s="27" t="s">
        <v>8</v>
      </c>
      <c r="KW576" s="27" t="s">
        <v>8</v>
      </c>
      <c r="KX576" s="27" t="s">
        <v>7</v>
      </c>
      <c r="LC576" s="27" t="s">
        <v>8</v>
      </c>
      <c r="LD576" s="27" t="s">
        <v>7</v>
      </c>
      <c r="LM576" s="27" t="s">
        <v>8</v>
      </c>
      <c r="LR576" s="27" t="s">
        <v>7</v>
      </c>
      <c r="LS576" s="27" t="s">
        <v>8</v>
      </c>
      <c r="LT576" s="27" t="s">
        <v>7</v>
      </c>
      <c r="MA576" s="27" t="s">
        <v>8</v>
      </c>
      <c r="MD576" s="27" t="s">
        <v>7</v>
      </c>
      <c r="ME576" s="27" t="s">
        <v>8</v>
      </c>
      <c r="MF576" s="27" t="s">
        <v>7</v>
      </c>
    </row>
    <row r="577" spans="1:350" x14ac:dyDescent="0.25">
      <c r="A577" s="7">
        <v>1.2189944199947573</v>
      </c>
      <c r="B577"/>
      <c r="C577"/>
      <c r="D577"/>
      <c r="E577"/>
      <c r="GM577" s="27" t="s">
        <v>8</v>
      </c>
      <c r="GN577" s="27" t="s">
        <v>7</v>
      </c>
      <c r="GW577" s="27" t="s">
        <v>8</v>
      </c>
      <c r="GX577" s="27" t="s">
        <v>7</v>
      </c>
      <c r="GY577" s="27" t="s">
        <v>8</v>
      </c>
      <c r="GZ577" s="27" t="s">
        <v>7</v>
      </c>
      <c r="HA577" s="27" t="s">
        <v>8</v>
      </c>
      <c r="HH577" s="27" t="s">
        <v>7</v>
      </c>
      <c r="HI577" s="27" t="s">
        <v>8</v>
      </c>
      <c r="HJ577" s="27" t="s">
        <v>7</v>
      </c>
      <c r="HK577" s="27" t="s">
        <v>8</v>
      </c>
      <c r="HL577" s="27" t="s">
        <v>7</v>
      </c>
      <c r="HO577" s="27" t="s">
        <v>8</v>
      </c>
      <c r="HP577" s="27" t="s">
        <v>7</v>
      </c>
      <c r="HQ577" s="27" t="s">
        <v>8</v>
      </c>
      <c r="HR577" s="27" t="s">
        <v>7</v>
      </c>
      <c r="HS577" s="27" t="s">
        <v>8</v>
      </c>
      <c r="HV577" s="27" t="s">
        <v>7</v>
      </c>
      <c r="HW577" s="27" t="s">
        <v>8</v>
      </c>
      <c r="HX577" s="27" t="s">
        <v>7</v>
      </c>
      <c r="KW577" s="27" t="s">
        <v>8</v>
      </c>
      <c r="KX577" s="27" t="s">
        <v>7</v>
      </c>
      <c r="LC577" s="27" t="s">
        <v>8</v>
      </c>
      <c r="LD577" s="27" t="s">
        <v>7</v>
      </c>
      <c r="LE577" s="27" t="s">
        <v>8</v>
      </c>
      <c r="LG577" s="27" t="s">
        <v>8</v>
      </c>
      <c r="LM577" s="27" t="s">
        <v>8</v>
      </c>
      <c r="LR577" s="27" t="s">
        <v>7</v>
      </c>
      <c r="LS577" s="27" t="s">
        <v>8</v>
      </c>
      <c r="LT577" s="27" t="s">
        <v>7</v>
      </c>
      <c r="LU577" s="27" t="s">
        <v>8</v>
      </c>
      <c r="LW577" s="27" t="s">
        <v>8</v>
      </c>
      <c r="MA577" s="27" t="s">
        <v>8</v>
      </c>
      <c r="MD577" s="27" t="s">
        <v>7</v>
      </c>
      <c r="ME577" s="27" t="s">
        <v>8</v>
      </c>
      <c r="MF577" s="27" t="s">
        <v>7</v>
      </c>
    </row>
    <row r="578" spans="1:350" x14ac:dyDescent="0.25">
      <c r="A578" s="7">
        <v>1.1950925686223111</v>
      </c>
      <c r="B578"/>
      <c r="C578"/>
      <c r="D578"/>
      <c r="E578"/>
      <c r="GM578" s="27" t="s">
        <v>8</v>
      </c>
      <c r="GN578" s="27" t="s">
        <v>7</v>
      </c>
      <c r="GO578" s="27" t="s">
        <v>8</v>
      </c>
      <c r="GU578" s="27" t="s">
        <v>8</v>
      </c>
      <c r="GW578" s="27" t="s">
        <v>8</v>
      </c>
      <c r="GX578" s="27" t="s">
        <v>7</v>
      </c>
      <c r="GY578" s="27" t="s">
        <v>8</v>
      </c>
      <c r="GZ578" s="27" t="s">
        <v>7</v>
      </c>
      <c r="HH578" s="27" t="s">
        <v>7</v>
      </c>
      <c r="HI578" s="27" t="s">
        <v>8</v>
      </c>
      <c r="HJ578" s="27" t="s">
        <v>7</v>
      </c>
      <c r="HK578" s="27" t="s">
        <v>8</v>
      </c>
      <c r="HL578" s="27" t="s">
        <v>7</v>
      </c>
      <c r="HO578" s="27" t="s">
        <v>8</v>
      </c>
      <c r="HP578" s="27" t="s">
        <v>7</v>
      </c>
      <c r="HQ578" s="27" t="s">
        <v>8</v>
      </c>
      <c r="HR578" s="27" t="s">
        <v>7</v>
      </c>
      <c r="HS578" s="27" t="s">
        <v>8</v>
      </c>
      <c r="HV578" s="27" t="s">
        <v>7</v>
      </c>
      <c r="HW578" s="27" t="s">
        <v>8</v>
      </c>
      <c r="HX578" s="27" t="s">
        <v>7</v>
      </c>
      <c r="KW578" s="27" t="s">
        <v>8</v>
      </c>
      <c r="KX578" s="27" t="s">
        <v>7</v>
      </c>
      <c r="LC578" s="27" t="s">
        <v>8</v>
      </c>
      <c r="LD578" s="27" t="s">
        <v>7</v>
      </c>
      <c r="LE578" s="27" t="s">
        <v>8</v>
      </c>
      <c r="LF578" s="27" t="s">
        <v>7</v>
      </c>
      <c r="LG578" s="27" t="s">
        <v>8</v>
      </c>
      <c r="LH578" s="27" t="s">
        <v>7</v>
      </c>
      <c r="LM578" s="27" t="s">
        <v>8</v>
      </c>
      <c r="LR578" s="27" t="s">
        <v>7</v>
      </c>
      <c r="LS578" s="27" t="s">
        <v>8</v>
      </c>
      <c r="LT578" s="27" t="s">
        <v>7</v>
      </c>
      <c r="LU578" s="27" t="s">
        <v>8</v>
      </c>
      <c r="LV578" s="27" t="s">
        <v>7</v>
      </c>
      <c r="LW578" s="27" t="s">
        <v>8</v>
      </c>
      <c r="LX578" s="27" t="s">
        <v>7</v>
      </c>
      <c r="LY578" s="27" t="s">
        <v>8</v>
      </c>
      <c r="MA578" s="27" t="s">
        <v>8</v>
      </c>
      <c r="MD578" s="27" t="s">
        <v>7</v>
      </c>
      <c r="ME578" s="27" t="s">
        <v>8</v>
      </c>
      <c r="MF578" s="27" t="s">
        <v>7</v>
      </c>
      <c r="MG578" s="27" t="s">
        <v>8</v>
      </c>
    </row>
    <row r="579" spans="1:350" x14ac:dyDescent="0.25">
      <c r="A579" s="7">
        <v>1.1716593810022657</v>
      </c>
      <c r="B579"/>
      <c r="C579"/>
      <c r="D579"/>
      <c r="E579"/>
      <c r="GM579" s="27" t="s">
        <v>8</v>
      </c>
      <c r="GN579" s="27" t="s">
        <v>7</v>
      </c>
      <c r="GO579" s="27" t="s">
        <v>8</v>
      </c>
      <c r="GP579" s="27" t="s">
        <v>7</v>
      </c>
      <c r="GU579" s="27" t="s">
        <v>8</v>
      </c>
      <c r="GV579" s="27" t="s">
        <v>7</v>
      </c>
      <c r="GW579" s="27" t="s">
        <v>8</v>
      </c>
      <c r="GX579" s="27" t="s">
        <v>7</v>
      </c>
      <c r="GY579" s="27" t="s">
        <v>8</v>
      </c>
      <c r="HH579" s="27" t="s">
        <v>7</v>
      </c>
      <c r="HI579" s="27" t="s">
        <v>8</v>
      </c>
      <c r="HJ579" s="27" t="s">
        <v>7</v>
      </c>
      <c r="HL579" s="27" t="s">
        <v>7</v>
      </c>
      <c r="HM579" s="27" t="s">
        <v>8</v>
      </c>
      <c r="HO579" s="27" t="s">
        <v>8</v>
      </c>
      <c r="HP579" s="27" t="s">
        <v>7</v>
      </c>
      <c r="HR579" s="27" t="s">
        <v>7</v>
      </c>
      <c r="HS579" s="27" t="s">
        <v>8</v>
      </c>
      <c r="HV579" s="27" t="s">
        <v>7</v>
      </c>
      <c r="HW579" s="27" t="s">
        <v>8</v>
      </c>
      <c r="HX579" s="27" t="s">
        <v>7</v>
      </c>
      <c r="KW579" s="27" t="s">
        <v>8</v>
      </c>
      <c r="KX579" s="27" t="s">
        <v>7</v>
      </c>
      <c r="LC579" s="27" t="s">
        <v>8</v>
      </c>
      <c r="LD579" s="27" t="s">
        <v>7</v>
      </c>
      <c r="LE579" s="27" t="s">
        <v>8</v>
      </c>
      <c r="LF579" s="27" t="s">
        <v>7</v>
      </c>
      <c r="LG579" s="27" t="s">
        <v>8</v>
      </c>
      <c r="LH579" s="27" t="s">
        <v>7</v>
      </c>
      <c r="LM579" s="27" t="s">
        <v>8</v>
      </c>
      <c r="LR579" s="27" t="s">
        <v>7</v>
      </c>
      <c r="LS579" s="27" t="s">
        <v>8</v>
      </c>
      <c r="LT579" s="27" t="s">
        <v>7</v>
      </c>
      <c r="LU579" s="27" t="s">
        <v>8</v>
      </c>
      <c r="LV579" s="27" t="s">
        <v>7</v>
      </c>
      <c r="LW579" s="27" t="s">
        <v>8</v>
      </c>
      <c r="LX579" s="27" t="s">
        <v>7</v>
      </c>
      <c r="LY579" s="27" t="s">
        <v>8</v>
      </c>
      <c r="LZ579" s="27" t="s">
        <v>7</v>
      </c>
      <c r="MA579" s="27" t="s">
        <v>8</v>
      </c>
      <c r="MD579" s="27" t="s">
        <v>7</v>
      </c>
      <c r="ME579" s="27" t="s">
        <v>8</v>
      </c>
      <c r="MF579" s="27" t="s">
        <v>7</v>
      </c>
      <c r="MG579" s="27" t="s">
        <v>8</v>
      </c>
      <c r="MH579" s="27" t="s">
        <v>7</v>
      </c>
    </row>
    <row r="580" spans="1:350" x14ac:dyDescent="0.25">
      <c r="A580" s="7">
        <v>1.14868566764928</v>
      </c>
      <c r="B580"/>
      <c r="C580"/>
      <c r="D580"/>
      <c r="E580"/>
      <c r="GM580" s="27" t="s">
        <v>8</v>
      </c>
      <c r="GN580" s="27" t="s">
        <v>7</v>
      </c>
      <c r="GO580" s="27" t="s">
        <v>8</v>
      </c>
      <c r="GP580" s="27" t="s">
        <v>7</v>
      </c>
      <c r="GS580" s="27" t="s">
        <v>8</v>
      </c>
      <c r="GU580" s="27" t="s">
        <v>8</v>
      </c>
      <c r="GV580" s="27" t="s">
        <v>7</v>
      </c>
      <c r="GW580" s="27" t="s">
        <v>8</v>
      </c>
      <c r="GX580" s="27" t="s">
        <v>7</v>
      </c>
      <c r="GY580" s="27" t="s">
        <v>8</v>
      </c>
      <c r="HH580" s="27" t="s">
        <v>7</v>
      </c>
      <c r="HI580" s="27" t="s">
        <v>8</v>
      </c>
      <c r="HL580" s="27" t="s">
        <v>7</v>
      </c>
      <c r="HM580" s="27" t="s">
        <v>8</v>
      </c>
      <c r="HN580" s="27" t="s">
        <v>7</v>
      </c>
      <c r="HO580" s="27" t="s">
        <v>8</v>
      </c>
      <c r="HR580" s="27" t="s">
        <v>7</v>
      </c>
      <c r="HV580" s="27" t="s">
        <v>7</v>
      </c>
      <c r="HW580" s="27" t="s">
        <v>8</v>
      </c>
      <c r="HX580" s="27" t="s">
        <v>7</v>
      </c>
      <c r="KW580" s="27" t="s">
        <v>8</v>
      </c>
      <c r="KX580" s="27" t="s">
        <v>7</v>
      </c>
      <c r="LC580" s="27" t="s">
        <v>8</v>
      </c>
      <c r="LD580" s="27" t="s">
        <v>7</v>
      </c>
      <c r="LE580" s="27" t="s">
        <v>8</v>
      </c>
      <c r="LF580" s="27" t="s">
        <v>7</v>
      </c>
      <c r="LG580" s="27" t="s">
        <v>8</v>
      </c>
      <c r="LH580" s="27" t="s">
        <v>7</v>
      </c>
      <c r="LK580" s="27" t="s">
        <v>8</v>
      </c>
      <c r="LM580" s="27" t="s">
        <v>8</v>
      </c>
      <c r="LR580" s="27" t="s">
        <v>7</v>
      </c>
      <c r="LS580" s="27" t="s">
        <v>8</v>
      </c>
      <c r="LT580" s="27" t="s">
        <v>7</v>
      </c>
      <c r="LU580" s="27" t="s">
        <v>8</v>
      </c>
      <c r="LV580" s="27" t="s">
        <v>7</v>
      </c>
      <c r="LW580" s="27" t="s">
        <v>8</v>
      </c>
      <c r="LX580" s="27" t="s">
        <v>7</v>
      </c>
      <c r="LY580" s="27" t="s">
        <v>8</v>
      </c>
      <c r="LZ580" s="27" t="s">
        <v>7</v>
      </c>
      <c r="MA580" s="27" t="s">
        <v>8</v>
      </c>
      <c r="MD580" s="27" t="s">
        <v>7</v>
      </c>
      <c r="ME580" s="27" t="s">
        <v>8</v>
      </c>
      <c r="MF580" s="27" t="s">
        <v>7</v>
      </c>
      <c r="MG580" s="27" t="s">
        <v>8</v>
      </c>
      <c r="MH580" s="27" t="s">
        <v>7</v>
      </c>
    </row>
    <row r="581" spans="1:350" x14ac:dyDescent="0.25">
      <c r="A581" s="7">
        <v>1.1261624192640001</v>
      </c>
      <c r="B581"/>
      <c r="C581"/>
      <c r="D581"/>
      <c r="E581"/>
      <c r="GM581" s="27" t="s">
        <v>8</v>
      </c>
      <c r="GN581" s="27" t="s">
        <v>7</v>
      </c>
      <c r="GO581" s="27" t="s">
        <v>8</v>
      </c>
      <c r="GP581" s="27" t="s">
        <v>7</v>
      </c>
      <c r="GS581" s="27" t="s">
        <v>8</v>
      </c>
      <c r="GT581" s="27" t="s">
        <v>7</v>
      </c>
      <c r="GU581" s="27" t="s">
        <v>8</v>
      </c>
      <c r="GV581" s="27" t="s">
        <v>7</v>
      </c>
      <c r="GW581" s="27" t="s">
        <v>8</v>
      </c>
      <c r="GX581" s="27" t="s">
        <v>7</v>
      </c>
      <c r="GY581" s="27" t="s">
        <v>8</v>
      </c>
      <c r="HH581" s="27" t="s">
        <v>7</v>
      </c>
      <c r="HI581" s="27" t="s">
        <v>8</v>
      </c>
      <c r="HL581" s="27" t="s">
        <v>7</v>
      </c>
      <c r="HM581" s="27" t="s">
        <v>8</v>
      </c>
      <c r="HN581" s="27" t="s">
        <v>7</v>
      </c>
      <c r="HO581" s="27" t="s">
        <v>8</v>
      </c>
      <c r="HV581" s="27" t="s">
        <v>7</v>
      </c>
      <c r="HW581" s="27" t="s">
        <v>8</v>
      </c>
      <c r="HX581" s="27" t="s">
        <v>7</v>
      </c>
      <c r="HY581" s="27" t="s">
        <v>8</v>
      </c>
      <c r="KW581" s="27" t="s">
        <v>8</v>
      </c>
      <c r="KX581" s="27" t="s">
        <v>7</v>
      </c>
      <c r="LC581" s="27" t="s">
        <v>8</v>
      </c>
      <c r="LD581" s="27" t="s">
        <v>7</v>
      </c>
      <c r="LE581" s="27" t="s">
        <v>8</v>
      </c>
      <c r="LF581" s="27" t="s">
        <v>7</v>
      </c>
      <c r="LH581" s="27" t="s">
        <v>7</v>
      </c>
      <c r="LI581" s="27" t="s">
        <v>8</v>
      </c>
      <c r="LK581" s="27" t="s">
        <v>8</v>
      </c>
      <c r="LL581" s="27" t="s">
        <v>7</v>
      </c>
      <c r="LM581" s="27" t="s">
        <v>8</v>
      </c>
      <c r="LR581" s="27" t="s">
        <v>7</v>
      </c>
      <c r="LS581" s="27" t="s">
        <v>8</v>
      </c>
      <c r="LT581" s="27" t="s">
        <v>7</v>
      </c>
      <c r="LU581" s="27" t="s">
        <v>8</v>
      </c>
      <c r="LV581" s="27" t="s">
        <v>7</v>
      </c>
      <c r="LW581" s="27" t="s">
        <v>8</v>
      </c>
      <c r="LX581" s="27" t="s">
        <v>7</v>
      </c>
      <c r="LY581" s="27" t="s">
        <v>8</v>
      </c>
      <c r="LZ581" s="27" t="s">
        <v>7</v>
      </c>
      <c r="MA581" s="27" t="s">
        <v>8</v>
      </c>
      <c r="MD581" s="27" t="s">
        <v>7</v>
      </c>
      <c r="MF581" s="27" t="s">
        <v>7</v>
      </c>
      <c r="MH581" s="27" t="s">
        <v>7</v>
      </c>
    </row>
    <row r="582" spans="1:350" x14ac:dyDescent="0.25">
      <c r="A582" s="7">
        <v>1.1040808032</v>
      </c>
      <c r="B582"/>
      <c r="C582"/>
      <c r="D582"/>
      <c r="E582"/>
      <c r="GM582" s="27" t="s">
        <v>8</v>
      </c>
      <c r="GN582" s="27" t="s">
        <v>7</v>
      </c>
      <c r="GO582" s="27" t="s">
        <v>8</v>
      </c>
      <c r="GP582" s="27" t="s">
        <v>7</v>
      </c>
      <c r="GS582" s="27" t="s">
        <v>8</v>
      </c>
      <c r="GT582" s="27" t="s">
        <v>7</v>
      </c>
      <c r="GU582" s="27" t="s">
        <v>8</v>
      </c>
      <c r="GV582" s="27" t="s">
        <v>7</v>
      </c>
      <c r="GW582" s="27" t="s">
        <v>8</v>
      </c>
      <c r="GX582" s="27" t="s">
        <v>7</v>
      </c>
      <c r="HH582" s="27" t="s">
        <v>7</v>
      </c>
      <c r="HL582" s="27" t="s">
        <v>7</v>
      </c>
      <c r="HM582" s="27" t="s">
        <v>8</v>
      </c>
      <c r="HN582" s="27" t="s">
        <v>7</v>
      </c>
      <c r="HO582" s="27" t="s">
        <v>8</v>
      </c>
      <c r="HV582" s="27" t="s">
        <v>7</v>
      </c>
      <c r="HX582" s="27" t="s">
        <v>7</v>
      </c>
      <c r="HY582" s="27" t="s">
        <v>8</v>
      </c>
      <c r="HZ582" s="27" t="s">
        <v>7</v>
      </c>
      <c r="KW582" s="27" t="s">
        <v>8</v>
      </c>
      <c r="KX582" s="27" t="s">
        <v>7</v>
      </c>
      <c r="KY582" s="27" t="s">
        <v>8</v>
      </c>
      <c r="LC582" s="27" t="s">
        <v>8</v>
      </c>
      <c r="LD582" s="27" t="s">
        <v>7</v>
      </c>
      <c r="LE582" s="27" t="s">
        <v>8</v>
      </c>
      <c r="LH582" s="27" t="s">
        <v>7</v>
      </c>
      <c r="LI582" s="27" t="s">
        <v>8</v>
      </c>
      <c r="LJ582" s="27" t="s">
        <v>7</v>
      </c>
      <c r="LK582" s="27" t="s">
        <v>8</v>
      </c>
      <c r="LL582" s="27" t="s">
        <v>7</v>
      </c>
      <c r="LM582" s="27" t="s">
        <v>8</v>
      </c>
      <c r="LR582" s="27" t="s">
        <v>7</v>
      </c>
      <c r="LS582" s="27" t="s">
        <v>8</v>
      </c>
      <c r="LT582" s="27" t="s">
        <v>7</v>
      </c>
      <c r="LU582" s="27" t="s">
        <v>8</v>
      </c>
      <c r="LV582" s="27" t="s">
        <v>7</v>
      </c>
      <c r="LW582" s="27" t="s">
        <v>8</v>
      </c>
      <c r="LX582" s="27" t="s">
        <v>7</v>
      </c>
      <c r="LY582" s="27" t="s">
        <v>8</v>
      </c>
      <c r="LZ582" s="27" t="s">
        <v>7</v>
      </c>
      <c r="MA582" s="27" t="s">
        <v>8</v>
      </c>
      <c r="MH582" s="27" t="s">
        <v>7</v>
      </c>
      <c r="MI582" s="27" t="s">
        <v>8</v>
      </c>
    </row>
    <row r="583" spans="1:350" x14ac:dyDescent="0.25">
      <c r="A583" s="7">
        <v>1.08243216</v>
      </c>
      <c r="B583"/>
      <c r="C583"/>
      <c r="D583"/>
      <c r="E583"/>
      <c r="GM583" s="27" t="s">
        <v>8</v>
      </c>
      <c r="GN583" s="27" t="s">
        <v>7</v>
      </c>
      <c r="GO583" s="27" t="s">
        <v>8</v>
      </c>
      <c r="GP583" s="27" t="s">
        <v>7</v>
      </c>
      <c r="GQ583" s="27" t="s">
        <v>8</v>
      </c>
      <c r="GS583" s="27" t="s">
        <v>8</v>
      </c>
      <c r="GT583" s="27" t="s">
        <v>7</v>
      </c>
      <c r="GV583" s="27" t="s">
        <v>7</v>
      </c>
      <c r="HL583" s="27" t="s">
        <v>7</v>
      </c>
      <c r="HM583" s="27" t="s">
        <v>8</v>
      </c>
      <c r="HN583" s="27" t="s">
        <v>7</v>
      </c>
      <c r="HO583" s="27" t="s">
        <v>8</v>
      </c>
      <c r="HX583" s="27" t="s">
        <v>7</v>
      </c>
      <c r="HY583" s="27" t="s">
        <v>8</v>
      </c>
      <c r="HZ583" s="27" t="s">
        <v>7</v>
      </c>
      <c r="KW583" s="27" t="s">
        <v>8</v>
      </c>
      <c r="KX583" s="27" t="s">
        <v>7</v>
      </c>
      <c r="KY583" s="27" t="s">
        <v>8</v>
      </c>
      <c r="KZ583" s="27" t="s">
        <v>7</v>
      </c>
      <c r="LA583" s="27" t="s">
        <v>8</v>
      </c>
      <c r="LC583" s="27" t="s">
        <v>8</v>
      </c>
      <c r="LD583" s="27" t="s">
        <v>7</v>
      </c>
      <c r="LE583" s="27" t="s">
        <v>8</v>
      </c>
      <c r="LH583" s="27" t="s">
        <v>7</v>
      </c>
      <c r="LI583" s="27" t="s">
        <v>8</v>
      </c>
      <c r="LJ583" s="27" t="s">
        <v>7</v>
      </c>
      <c r="LK583" s="27" t="s">
        <v>8</v>
      </c>
      <c r="LL583" s="27" t="s">
        <v>7</v>
      </c>
      <c r="LM583" s="27" t="s">
        <v>8</v>
      </c>
      <c r="LR583" s="27" t="s">
        <v>7</v>
      </c>
      <c r="LS583" s="27" t="s">
        <v>8</v>
      </c>
      <c r="LT583" s="27" t="s">
        <v>7</v>
      </c>
      <c r="LU583" s="27" t="s">
        <v>8</v>
      </c>
      <c r="LV583" s="27" t="s">
        <v>7</v>
      </c>
      <c r="LW583" s="27" t="s">
        <v>8</v>
      </c>
      <c r="LX583" s="27" t="s">
        <v>7</v>
      </c>
      <c r="LY583" s="27" t="s">
        <v>8</v>
      </c>
      <c r="LZ583" s="27" t="s">
        <v>7</v>
      </c>
      <c r="MA583" s="27" t="s">
        <v>8</v>
      </c>
      <c r="MH583" s="27" t="s">
        <v>7</v>
      </c>
      <c r="MI583" s="27" t="s">
        <v>8</v>
      </c>
      <c r="MJ583" s="27" t="s">
        <v>7</v>
      </c>
      <c r="MK583" s="27" t="s">
        <v>8</v>
      </c>
    </row>
    <row r="584" spans="1:350" x14ac:dyDescent="0.25">
      <c r="A584" s="7">
        <v>1.0612079999999999</v>
      </c>
      <c r="B584"/>
      <c r="C584"/>
      <c r="D584"/>
      <c r="E584"/>
      <c r="GM584" s="27" t="s">
        <v>8</v>
      </c>
      <c r="GN584" s="27" t="s">
        <v>7</v>
      </c>
      <c r="GP584" s="27" t="s">
        <v>7</v>
      </c>
      <c r="GQ584" s="27" t="s">
        <v>8</v>
      </c>
      <c r="GR584" s="27" t="s">
        <v>7</v>
      </c>
      <c r="GS584" s="27" t="s">
        <v>8</v>
      </c>
      <c r="HL584" s="27" t="s">
        <v>7</v>
      </c>
      <c r="HM584" s="27" t="s">
        <v>8</v>
      </c>
      <c r="HN584" s="27" t="s">
        <v>7</v>
      </c>
      <c r="HO584" s="27" t="s">
        <v>8</v>
      </c>
      <c r="HX584" s="27" t="s">
        <v>7</v>
      </c>
      <c r="HY584" s="27" t="s">
        <v>8</v>
      </c>
      <c r="HZ584" s="27" t="s">
        <v>7</v>
      </c>
      <c r="KW584" s="27" t="s">
        <v>8</v>
      </c>
      <c r="KX584" s="27" t="s">
        <v>7</v>
      </c>
      <c r="KY584" s="27" t="s">
        <v>8</v>
      </c>
      <c r="KZ584" s="27" t="s">
        <v>7</v>
      </c>
      <c r="LA584" s="27" t="s">
        <v>8</v>
      </c>
      <c r="LB584" s="27" t="s">
        <v>7</v>
      </c>
      <c r="LC584" s="27" t="s">
        <v>8</v>
      </c>
      <c r="LD584" s="27" t="s">
        <v>7</v>
      </c>
      <c r="LE584" s="27" t="s">
        <v>8</v>
      </c>
      <c r="LH584" s="27" t="s">
        <v>7</v>
      </c>
      <c r="LI584" s="27" t="s">
        <v>8</v>
      </c>
      <c r="LJ584" s="27" t="s">
        <v>7</v>
      </c>
      <c r="LK584" s="27" t="s">
        <v>8</v>
      </c>
      <c r="LL584" s="27" t="s">
        <v>7</v>
      </c>
      <c r="LM584" s="27" t="s">
        <v>8</v>
      </c>
      <c r="LR584" s="27" t="s">
        <v>7</v>
      </c>
      <c r="LS584" s="27" t="s">
        <v>8</v>
      </c>
      <c r="LT584" s="27" t="s">
        <v>7</v>
      </c>
      <c r="LU584" s="27" t="s">
        <v>8</v>
      </c>
      <c r="LV584" s="27" t="s">
        <v>7</v>
      </c>
      <c r="LW584" s="27" t="s">
        <v>8</v>
      </c>
      <c r="LX584" s="27" t="s">
        <v>7</v>
      </c>
      <c r="LZ584" s="27" t="s">
        <v>7</v>
      </c>
      <c r="MH584" s="27" t="s">
        <v>7</v>
      </c>
      <c r="MI584" s="27" t="s">
        <v>8</v>
      </c>
      <c r="MJ584" s="27" t="s">
        <v>7</v>
      </c>
      <c r="MK584" s="27" t="s">
        <v>8</v>
      </c>
      <c r="ML584" s="27" t="s">
        <v>7</v>
      </c>
    </row>
    <row r="585" spans="1:350" x14ac:dyDescent="0.25">
      <c r="A585" s="7">
        <v>1.0404</v>
      </c>
      <c r="B585"/>
      <c r="C585"/>
      <c r="D585"/>
      <c r="E585"/>
      <c r="GM585" s="27" t="s">
        <v>8</v>
      </c>
      <c r="GP585" s="27" t="s">
        <v>7</v>
      </c>
      <c r="GQ585" s="27" t="s">
        <v>8</v>
      </c>
      <c r="GR585" s="27" t="s">
        <v>7</v>
      </c>
      <c r="GS585" s="27" t="s">
        <v>8</v>
      </c>
      <c r="HL585" s="27" t="s">
        <v>7</v>
      </c>
      <c r="HM585" s="27" t="s">
        <v>8</v>
      </c>
      <c r="HN585" s="27" t="s">
        <v>7</v>
      </c>
      <c r="HO585" s="27" t="s">
        <v>8</v>
      </c>
      <c r="HX585" s="27" t="s">
        <v>7</v>
      </c>
      <c r="HZ585" s="27" t="s">
        <v>7</v>
      </c>
      <c r="KW585" s="27" t="s">
        <v>8</v>
      </c>
      <c r="KX585" s="27" t="s">
        <v>7</v>
      </c>
      <c r="KY585" s="27" t="s">
        <v>8</v>
      </c>
      <c r="KZ585" s="27" t="s">
        <v>7</v>
      </c>
      <c r="LA585" s="27" t="s">
        <v>8</v>
      </c>
      <c r="LB585" s="27" t="s">
        <v>7</v>
      </c>
      <c r="LC585" s="27" t="s">
        <v>8</v>
      </c>
      <c r="LD585" s="27" t="s">
        <v>7</v>
      </c>
      <c r="LE585" s="27" t="s">
        <v>8</v>
      </c>
      <c r="LH585" s="27" t="s">
        <v>7</v>
      </c>
      <c r="LI585" s="27" t="s">
        <v>8</v>
      </c>
      <c r="LJ585" s="27" t="s">
        <v>7</v>
      </c>
      <c r="LK585" s="27" t="s">
        <v>8</v>
      </c>
      <c r="LL585" s="27" t="s">
        <v>7</v>
      </c>
      <c r="LM585" s="27" t="s">
        <v>8</v>
      </c>
      <c r="LR585" s="27" t="s">
        <v>7</v>
      </c>
      <c r="LS585" s="27" t="s">
        <v>8</v>
      </c>
      <c r="LT585" s="27" t="s">
        <v>7</v>
      </c>
      <c r="LV585" s="27" t="s">
        <v>7</v>
      </c>
      <c r="LW585" s="27" t="s">
        <v>8</v>
      </c>
      <c r="MH585" s="27" t="s">
        <v>7</v>
      </c>
      <c r="MI585" s="27" t="s">
        <v>8</v>
      </c>
      <c r="MJ585" s="27" t="s">
        <v>7</v>
      </c>
      <c r="MK585" s="27" t="s">
        <v>8</v>
      </c>
      <c r="ML585" s="27" t="s">
        <v>7</v>
      </c>
    </row>
    <row r="586" spans="1:350" x14ac:dyDescent="0.25">
      <c r="A586" s="7">
        <v>1.02</v>
      </c>
      <c r="B586"/>
      <c r="C586"/>
      <c r="D586"/>
      <c r="E586"/>
      <c r="GM586" s="27" t="s">
        <v>8</v>
      </c>
      <c r="GP586" s="27" t="s">
        <v>7</v>
      </c>
      <c r="GQ586" s="27" t="s">
        <v>8</v>
      </c>
      <c r="GR586" s="27" t="s">
        <v>7</v>
      </c>
      <c r="HL586" s="27" t="s">
        <v>7</v>
      </c>
      <c r="HM586" s="27" t="s">
        <v>8</v>
      </c>
      <c r="HN586" s="27" t="s">
        <v>7</v>
      </c>
      <c r="HO586" s="27" t="s">
        <v>8</v>
      </c>
      <c r="HZ586" s="27" t="s">
        <v>7</v>
      </c>
      <c r="KW586" s="27" t="s">
        <v>8</v>
      </c>
      <c r="KX586" s="27" t="s">
        <v>7</v>
      </c>
      <c r="KY586" s="27" t="s">
        <v>8</v>
      </c>
      <c r="KZ586" s="27" t="s">
        <v>7</v>
      </c>
      <c r="LA586" s="27" t="s">
        <v>8</v>
      </c>
      <c r="LB586" s="27" t="s">
        <v>7</v>
      </c>
      <c r="LC586" s="27" t="s">
        <v>8</v>
      </c>
      <c r="LD586" s="27" t="s">
        <v>7</v>
      </c>
      <c r="LH586" s="27" t="s">
        <v>7</v>
      </c>
      <c r="LI586" s="27" t="s">
        <v>8</v>
      </c>
      <c r="LJ586" s="27" t="s">
        <v>7</v>
      </c>
      <c r="LK586" s="27" t="s">
        <v>8</v>
      </c>
      <c r="LL586" s="27" t="s">
        <v>7</v>
      </c>
      <c r="LR586" s="27" t="s">
        <v>7</v>
      </c>
      <c r="LS586" s="27" t="s">
        <v>8</v>
      </c>
      <c r="LV586" s="27" t="s">
        <v>7</v>
      </c>
      <c r="LW586" s="27" t="s">
        <v>8</v>
      </c>
      <c r="MH586" s="27" t="s">
        <v>7</v>
      </c>
      <c r="MI586" s="27" t="s">
        <v>8</v>
      </c>
      <c r="MJ586" s="27" t="s">
        <v>7</v>
      </c>
      <c r="ML586" s="27" t="s">
        <v>7</v>
      </c>
    </row>
    <row r="587" spans="1:350" x14ac:dyDescent="0.25">
      <c r="A587" s="7">
        <v>1</v>
      </c>
      <c r="B587"/>
      <c r="C587"/>
      <c r="D587"/>
      <c r="E587" s="29" t="s">
        <v>8</v>
      </c>
      <c r="GM587" s="27" t="s">
        <v>8</v>
      </c>
      <c r="GP587" s="27" t="s">
        <v>7</v>
      </c>
      <c r="GQ587" s="27" t="s">
        <v>8</v>
      </c>
      <c r="HL587" s="27" t="s">
        <v>7</v>
      </c>
      <c r="HM587" s="27" t="s">
        <v>8</v>
      </c>
      <c r="HN587" s="27" t="s">
        <v>7</v>
      </c>
      <c r="HO587" s="27" t="s">
        <v>8</v>
      </c>
      <c r="HZ587" s="27" t="s">
        <v>7</v>
      </c>
      <c r="JW587" s="27" t="s">
        <v>8</v>
      </c>
      <c r="KW587" s="27" t="s">
        <v>8</v>
      </c>
      <c r="KX587" s="27" t="s">
        <v>7</v>
      </c>
      <c r="KY587" s="27" t="s">
        <v>8</v>
      </c>
      <c r="KZ587" s="27" t="s">
        <v>7</v>
      </c>
      <c r="LA587" s="27" t="s">
        <v>8</v>
      </c>
      <c r="LB587" s="27" t="s">
        <v>7</v>
      </c>
      <c r="LC587" s="27" t="s">
        <v>8</v>
      </c>
      <c r="LH587" s="27" t="s">
        <v>7</v>
      </c>
      <c r="LI587" s="27" t="s">
        <v>8</v>
      </c>
      <c r="LJ587" s="27" t="s">
        <v>7</v>
      </c>
      <c r="LK587" s="27" t="s">
        <v>8</v>
      </c>
      <c r="LR587" s="27" t="s">
        <v>7</v>
      </c>
      <c r="LS587" s="27" t="s">
        <v>8</v>
      </c>
      <c r="LV587" s="27" t="s">
        <v>7</v>
      </c>
      <c r="MH587" s="27" t="s">
        <v>7</v>
      </c>
      <c r="MI587" s="27" t="s">
        <v>8</v>
      </c>
      <c r="ML587" s="27" t="s">
        <v>7</v>
      </c>
    </row>
    <row r="588" spans="1:350" x14ac:dyDescent="0.25">
      <c r="A588" s="7">
        <v>0.98039215686274506</v>
      </c>
      <c r="B588"/>
      <c r="C588"/>
      <c r="D588"/>
      <c r="E588"/>
      <c r="F588" s="27" t="s">
        <v>7</v>
      </c>
      <c r="GM588" s="27" t="s">
        <v>8</v>
      </c>
      <c r="GP588" s="27" t="s">
        <v>7</v>
      </c>
      <c r="GQ588" s="27" t="s">
        <v>8</v>
      </c>
      <c r="HL588" s="27" t="s">
        <v>7</v>
      </c>
      <c r="HM588" s="27" t="s">
        <v>8</v>
      </c>
      <c r="HN588" s="27" t="s">
        <v>7</v>
      </c>
      <c r="HZ588" s="27" t="s">
        <v>7</v>
      </c>
      <c r="JW588" s="27" t="s">
        <v>8</v>
      </c>
      <c r="JX588" s="27" t="s">
        <v>7</v>
      </c>
      <c r="KW588" s="27" t="s">
        <v>8</v>
      </c>
      <c r="KX588" s="27" t="s">
        <v>7</v>
      </c>
      <c r="KY588" s="27" t="s">
        <v>8</v>
      </c>
      <c r="KZ588" s="27" t="s">
        <v>7</v>
      </c>
      <c r="LA588" s="27" t="s">
        <v>8</v>
      </c>
      <c r="LB588" s="27" t="s">
        <v>7</v>
      </c>
      <c r="LC588" s="27" t="s">
        <v>8</v>
      </c>
      <c r="LH588" s="27" t="s">
        <v>7</v>
      </c>
      <c r="LJ588" s="27" t="s">
        <v>7</v>
      </c>
      <c r="LK588" s="27" t="s">
        <v>8</v>
      </c>
      <c r="LR588" s="27" t="s">
        <v>7</v>
      </c>
      <c r="LS588" s="27" t="s">
        <v>8</v>
      </c>
      <c r="MH588" s="27" t="s">
        <v>7</v>
      </c>
      <c r="MI588" s="27" t="s">
        <v>8</v>
      </c>
      <c r="ML588" s="27" t="s">
        <v>7</v>
      </c>
    </row>
    <row r="589" spans="1:350" x14ac:dyDescent="0.25">
      <c r="A589" s="7">
        <v>0.96116878123798544</v>
      </c>
      <c r="B589"/>
      <c r="C589"/>
      <c r="D589"/>
      <c r="E589"/>
      <c r="F589" s="27" t="s">
        <v>7</v>
      </c>
      <c r="GM589" s="27" t="s">
        <v>8</v>
      </c>
      <c r="GP589" s="27" t="s">
        <v>7</v>
      </c>
      <c r="GQ589" s="27" t="s">
        <v>8</v>
      </c>
      <c r="HL589" s="27" t="s">
        <v>7</v>
      </c>
      <c r="HM589" s="27" t="s">
        <v>8</v>
      </c>
      <c r="HZ589" s="27" t="s">
        <v>7</v>
      </c>
      <c r="JW589" s="27" t="s">
        <v>8</v>
      </c>
      <c r="JX589" s="27" t="s">
        <v>7</v>
      </c>
      <c r="KW589" s="27" t="s">
        <v>8</v>
      </c>
      <c r="KX589" s="27" t="s">
        <v>7</v>
      </c>
      <c r="KZ589" s="27" t="s">
        <v>7</v>
      </c>
      <c r="LA589" s="27" t="s">
        <v>8</v>
      </c>
      <c r="LB589" s="27" t="s">
        <v>7</v>
      </c>
      <c r="LJ589" s="27" t="s">
        <v>7</v>
      </c>
      <c r="LR589" s="27" t="s">
        <v>7</v>
      </c>
      <c r="LS589" s="27" t="s">
        <v>8</v>
      </c>
      <c r="MH589" s="27" t="s">
        <v>7</v>
      </c>
      <c r="MI589" s="27" t="s">
        <v>8</v>
      </c>
      <c r="ML589" s="27" t="s">
        <v>7</v>
      </c>
    </row>
    <row r="590" spans="1:350" x14ac:dyDescent="0.25">
      <c r="A590" s="7">
        <v>0.94232233454704462</v>
      </c>
      <c r="B590"/>
      <c r="C590"/>
      <c r="D590"/>
      <c r="E590"/>
      <c r="F590" s="27" t="s">
        <v>7</v>
      </c>
      <c r="GM590" s="27" t="s">
        <v>8</v>
      </c>
      <c r="GP590" s="27" t="s">
        <v>7</v>
      </c>
      <c r="HL590" s="27" t="s">
        <v>7</v>
      </c>
      <c r="HM590" s="27" t="s">
        <v>8</v>
      </c>
      <c r="HZ590" s="27" t="s">
        <v>7</v>
      </c>
      <c r="JW590" s="27" t="s">
        <v>8</v>
      </c>
      <c r="JX590" s="27" t="s">
        <v>7</v>
      </c>
      <c r="KW590" s="27" t="s">
        <v>8</v>
      </c>
      <c r="KZ590" s="27" t="s">
        <v>7</v>
      </c>
      <c r="LR590" s="27" t="s">
        <v>7</v>
      </c>
      <c r="LS590" s="27" t="s">
        <v>8</v>
      </c>
      <c r="MH590" s="27" t="s">
        <v>7</v>
      </c>
      <c r="ML590" s="27" t="s">
        <v>7</v>
      </c>
    </row>
    <row r="591" spans="1:350" x14ac:dyDescent="0.25">
      <c r="A591" s="7">
        <v>0.92384542602651432</v>
      </c>
      <c r="B591"/>
      <c r="C591"/>
      <c r="D591"/>
      <c r="E591"/>
      <c r="F591" s="27" t="s">
        <v>7</v>
      </c>
      <c r="GM591" s="27" t="s">
        <v>8</v>
      </c>
      <c r="HL591" s="27" t="s">
        <v>7</v>
      </c>
      <c r="HM591" s="27" t="s">
        <v>8</v>
      </c>
      <c r="HZ591" s="27" t="s">
        <v>7</v>
      </c>
      <c r="IE591" s="27" t="s">
        <v>8</v>
      </c>
      <c r="JW591" s="27" t="s">
        <v>8</v>
      </c>
      <c r="JX591" s="27" t="s">
        <v>7</v>
      </c>
      <c r="KW591" s="27" t="s">
        <v>8</v>
      </c>
      <c r="LR591" s="27" t="s">
        <v>7</v>
      </c>
      <c r="LS591" s="27" t="s">
        <v>8</v>
      </c>
      <c r="ML591" s="27" t="s">
        <v>7</v>
      </c>
    </row>
    <row r="592" spans="1:350" x14ac:dyDescent="0.25">
      <c r="A592" s="7">
        <v>0.90573080982991594</v>
      </c>
      <c r="B592"/>
      <c r="C592"/>
      <c r="D592"/>
      <c r="E592"/>
      <c r="F592" s="27" t="s">
        <v>7</v>
      </c>
      <c r="GM592" s="27" t="s">
        <v>8</v>
      </c>
      <c r="HL592" s="27" t="s">
        <v>7</v>
      </c>
      <c r="HM592" s="27" t="s">
        <v>8</v>
      </c>
      <c r="HZ592" s="27" t="s">
        <v>7</v>
      </c>
      <c r="IA592" s="27" t="s">
        <v>8</v>
      </c>
      <c r="IE592" s="27" t="s">
        <v>8</v>
      </c>
      <c r="IF592" s="27" t="s">
        <v>7</v>
      </c>
      <c r="JQ592" s="27" t="s">
        <v>8</v>
      </c>
      <c r="JW592" s="27" t="s">
        <v>8</v>
      </c>
      <c r="JX592" s="27" t="s">
        <v>7</v>
      </c>
      <c r="KW592" s="27" t="s">
        <v>8</v>
      </c>
      <c r="LR592" s="27" t="s">
        <v>7</v>
      </c>
      <c r="LS592" s="27" t="s">
        <v>8</v>
      </c>
      <c r="ML592" s="27" t="s">
        <v>7</v>
      </c>
    </row>
    <row r="593" spans="1:352" x14ac:dyDescent="0.25">
      <c r="A593" s="7">
        <v>0.8879713821861922</v>
      </c>
      <c r="B593"/>
      <c r="C593"/>
      <c r="D593"/>
      <c r="E593"/>
      <c r="F593" s="27" t="s">
        <v>7</v>
      </c>
      <c r="GM593" s="27" t="s">
        <v>8</v>
      </c>
      <c r="HL593" s="27" t="s">
        <v>7</v>
      </c>
      <c r="HM593" s="27" t="s">
        <v>8</v>
      </c>
      <c r="HZ593" s="27" t="s">
        <v>7</v>
      </c>
      <c r="IA593" s="27" t="s">
        <v>8</v>
      </c>
      <c r="IB593" s="27" t="s">
        <v>7</v>
      </c>
      <c r="IE593" s="27" t="s">
        <v>8</v>
      </c>
      <c r="IF593" s="27" t="s">
        <v>7</v>
      </c>
      <c r="JQ593" s="27" t="s">
        <v>8</v>
      </c>
      <c r="JR593" s="27" t="s">
        <v>7</v>
      </c>
      <c r="JS593" s="27" t="s">
        <v>8</v>
      </c>
      <c r="JW593" s="27" t="s">
        <v>8</v>
      </c>
      <c r="JX593" s="27" t="s">
        <v>7</v>
      </c>
      <c r="KW593" s="27" t="s">
        <v>8</v>
      </c>
      <c r="LR593" s="27" t="s">
        <v>7</v>
      </c>
      <c r="ML593" s="27" t="s">
        <v>7</v>
      </c>
    </row>
    <row r="594" spans="1:352" x14ac:dyDescent="0.25">
      <c r="A594" s="7">
        <v>0.87056017861391399</v>
      </c>
      <c r="B594"/>
      <c r="C594"/>
      <c r="D594"/>
      <c r="E594"/>
      <c r="F594" s="27" t="s">
        <v>7</v>
      </c>
      <c r="GI594" s="27" t="s">
        <v>8</v>
      </c>
      <c r="GM594" s="27" t="s">
        <v>8</v>
      </c>
      <c r="HL594" s="27" t="s">
        <v>7</v>
      </c>
      <c r="HM594" s="27" t="s">
        <v>8</v>
      </c>
      <c r="HZ594" s="27" t="s">
        <v>7</v>
      </c>
      <c r="IA594" s="27" t="s">
        <v>8</v>
      </c>
      <c r="IB594" s="27" t="s">
        <v>7</v>
      </c>
      <c r="IE594" s="27" t="s">
        <v>8</v>
      </c>
      <c r="IF594" s="27" t="s">
        <v>7</v>
      </c>
      <c r="JQ594" s="27" t="s">
        <v>8</v>
      </c>
      <c r="JR594" s="27" t="s">
        <v>7</v>
      </c>
      <c r="JS594" s="27" t="s">
        <v>8</v>
      </c>
      <c r="JT594" s="27" t="s">
        <v>7</v>
      </c>
      <c r="JW594" s="27" t="s">
        <v>8</v>
      </c>
      <c r="JX594" s="27" t="s">
        <v>7</v>
      </c>
      <c r="KW594" s="27" t="s">
        <v>8</v>
      </c>
      <c r="ML594" s="27" t="s">
        <v>7</v>
      </c>
      <c r="MM594" s="27" t="s">
        <v>8</v>
      </c>
    </row>
    <row r="595" spans="1:352" x14ac:dyDescent="0.25">
      <c r="A595" s="7">
        <v>0.85349037119011173</v>
      </c>
      <c r="B595"/>
      <c r="C595"/>
      <c r="D595"/>
      <c r="E595"/>
      <c r="F595" s="27" t="s">
        <v>7</v>
      </c>
      <c r="GI595" s="27" t="s">
        <v>8</v>
      </c>
      <c r="GJ595" s="27" t="s">
        <v>7</v>
      </c>
      <c r="GM595" s="27" t="s">
        <v>8</v>
      </c>
      <c r="HL595" s="27" t="s">
        <v>7</v>
      </c>
      <c r="HZ595" s="27" t="s">
        <v>7</v>
      </c>
      <c r="IA595" s="27" t="s">
        <v>8</v>
      </c>
      <c r="IB595" s="27" t="s">
        <v>7</v>
      </c>
      <c r="IE595" s="27" t="s">
        <v>8</v>
      </c>
      <c r="IF595" s="27" t="s">
        <v>7</v>
      </c>
      <c r="JQ595" s="27" t="s">
        <v>8</v>
      </c>
      <c r="JR595" s="27" t="s">
        <v>7</v>
      </c>
      <c r="JS595" s="27" t="s">
        <v>8</v>
      </c>
      <c r="JT595" s="27" t="s">
        <v>7</v>
      </c>
      <c r="JW595" s="27" t="s">
        <v>8</v>
      </c>
      <c r="JX595" s="27" t="s">
        <v>7</v>
      </c>
      <c r="KW595" s="27" t="s">
        <v>8</v>
      </c>
      <c r="ML595" s="27" t="s">
        <v>7</v>
      </c>
      <c r="MM595" s="27" t="s">
        <v>8</v>
      </c>
      <c r="MN595" s="27" t="s">
        <v>7</v>
      </c>
    </row>
    <row r="596" spans="1:352" x14ac:dyDescent="0.25">
      <c r="A596" s="7">
        <v>0.83675526587265858</v>
      </c>
      <c r="B596"/>
      <c r="C596"/>
      <c r="D596"/>
      <c r="E596"/>
      <c r="F596" s="27" t="s">
        <v>7</v>
      </c>
      <c r="GG596" s="27" t="s">
        <v>8</v>
      </c>
      <c r="GI596" s="27" t="s">
        <v>8</v>
      </c>
      <c r="GJ596" s="27" t="s">
        <v>7</v>
      </c>
      <c r="GK596" s="27" t="s">
        <v>8</v>
      </c>
      <c r="GM596" s="27" t="s">
        <v>8</v>
      </c>
      <c r="HZ596" s="27" t="s">
        <v>7</v>
      </c>
      <c r="IA596" s="27" t="s">
        <v>8</v>
      </c>
      <c r="IB596" s="27" t="s">
        <v>7</v>
      </c>
      <c r="IE596" s="27" t="s">
        <v>8</v>
      </c>
      <c r="IF596" s="27" t="s">
        <v>7</v>
      </c>
      <c r="IG596" s="27" t="s">
        <v>8</v>
      </c>
      <c r="JQ596" s="27" t="s">
        <v>8</v>
      </c>
      <c r="JR596" s="27" t="s">
        <v>7</v>
      </c>
      <c r="JS596" s="27" t="s">
        <v>8</v>
      </c>
      <c r="JT596" s="27" t="s">
        <v>7</v>
      </c>
      <c r="JU596" s="27" t="s">
        <v>8</v>
      </c>
      <c r="JW596" s="27" t="s">
        <v>8</v>
      </c>
      <c r="JX596" s="27" t="s">
        <v>7</v>
      </c>
      <c r="JY596" s="27" t="s">
        <v>8</v>
      </c>
      <c r="KW596" s="27" t="s">
        <v>8</v>
      </c>
      <c r="ML596" s="27" t="s">
        <v>7</v>
      </c>
      <c r="MM596" s="27" t="s">
        <v>8</v>
      </c>
      <c r="MN596" s="27" t="s">
        <v>7</v>
      </c>
    </row>
    <row r="597" spans="1:352" x14ac:dyDescent="0.25">
      <c r="A597" s="7">
        <v>0.82034829987515545</v>
      </c>
      <c r="B597"/>
      <c r="C597"/>
      <c r="D597"/>
      <c r="E597"/>
      <c r="F597" s="27" t="s">
        <v>7</v>
      </c>
      <c r="GG597" s="27" t="s">
        <v>8</v>
      </c>
      <c r="GH597" s="27" t="s">
        <v>7</v>
      </c>
      <c r="GI597" s="27" t="s">
        <v>8</v>
      </c>
      <c r="GJ597" s="27" t="s">
        <v>7</v>
      </c>
      <c r="GK597" s="27" t="s">
        <v>8</v>
      </c>
      <c r="GL597" s="27" t="s">
        <v>7</v>
      </c>
      <c r="GM597" s="27" t="s">
        <v>8</v>
      </c>
      <c r="HZ597" s="27" t="s">
        <v>7</v>
      </c>
      <c r="IA597" s="27" t="s">
        <v>8</v>
      </c>
      <c r="IB597" s="27" t="s">
        <v>7</v>
      </c>
      <c r="IE597" s="27" t="s">
        <v>8</v>
      </c>
      <c r="IF597" s="27" t="s">
        <v>7</v>
      </c>
      <c r="IG597" s="27" t="s">
        <v>8</v>
      </c>
      <c r="IH597" s="27" t="s">
        <v>7</v>
      </c>
      <c r="JO597" s="27" t="s">
        <v>8</v>
      </c>
      <c r="JQ597" s="27" t="s">
        <v>8</v>
      </c>
      <c r="JR597" s="27" t="s">
        <v>7</v>
      </c>
      <c r="JS597" s="27" t="s">
        <v>8</v>
      </c>
      <c r="JT597" s="27" t="s">
        <v>7</v>
      </c>
      <c r="JU597" s="27" t="s">
        <v>8</v>
      </c>
      <c r="JV597" s="27" t="s">
        <v>7</v>
      </c>
      <c r="JW597" s="27" t="s">
        <v>8</v>
      </c>
      <c r="JX597" s="27" t="s">
        <v>7</v>
      </c>
      <c r="JY597" s="27" t="s">
        <v>8</v>
      </c>
      <c r="JZ597" s="27" t="s">
        <v>7</v>
      </c>
      <c r="KW597" s="27" t="s">
        <v>8</v>
      </c>
      <c r="ML597" s="27" t="s">
        <v>7</v>
      </c>
      <c r="MM597" s="27" t="s">
        <v>8</v>
      </c>
      <c r="MN597" s="27" t="s">
        <v>7</v>
      </c>
    </row>
    <row r="598" spans="1:352" x14ac:dyDescent="0.25">
      <c r="A598" s="7">
        <v>0.80426303909328967</v>
      </c>
      <c r="B598"/>
      <c r="C598"/>
      <c r="D598"/>
      <c r="E598"/>
      <c r="F598" s="27" t="s">
        <v>7</v>
      </c>
      <c r="GG598" s="27" t="s">
        <v>8</v>
      </c>
      <c r="GH598" s="27" t="s">
        <v>7</v>
      </c>
      <c r="GI598" s="27" t="s">
        <v>8</v>
      </c>
      <c r="GJ598" s="27" t="s">
        <v>7</v>
      </c>
      <c r="GK598" s="27" t="s">
        <v>8</v>
      </c>
      <c r="GL598" s="27" t="s">
        <v>7</v>
      </c>
      <c r="GM598" s="27" t="s">
        <v>8</v>
      </c>
      <c r="HZ598" s="27" t="s">
        <v>7</v>
      </c>
      <c r="IA598" s="27" t="s">
        <v>8</v>
      </c>
      <c r="IB598" s="27" t="s">
        <v>7</v>
      </c>
      <c r="IE598" s="27" t="s">
        <v>8</v>
      </c>
      <c r="IF598" s="27" t="s">
        <v>7</v>
      </c>
      <c r="IG598" s="27" t="s">
        <v>8</v>
      </c>
      <c r="IH598" s="27" t="s">
        <v>7</v>
      </c>
      <c r="II598" s="27" t="s">
        <v>8</v>
      </c>
      <c r="JO598" s="27" t="s">
        <v>8</v>
      </c>
      <c r="JP598" s="27" t="s">
        <v>7</v>
      </c>
      <c r="JQ598" s="27" t="s">
        <v>8</v>
      </c>
      <c r="JR598" s="27" t="s">
        <v>7</v>
      </c>
      <c r="JT598" s="27" t="s">
        <v>7</v>
      </c>
      <c r="JU598" s="27" t="s">
        <v>8</v>
      </c>
      <c r="JV598" s="27" t="s">
        <v>7</v>
      </c>
      <c r="JW598" s="27" t="s">
        <v>8</v>
      </c>
      <c r="JX598" s="27" t="s">
        <v>7</v>
      </c>
      <c r="JY598" s="27" t="s">
        <v>8</v>
      </c>
      <c r="JZ598" s="27" t="s">
        <v>7</v>
      </c>
      <c r="KA598" s="27" t="s">
        <v>8</v>
      </c>
      <c r="KC598" s="27" t="s">
        <v>8</v>
      </c>
      <c r="KW598" s="27" t="s">
        <v>8</v>
      </c>
      <c r="ML598" s="27" t="s">
        <v>7</v>
      </c>
      <c r="MM598" s="27" t="s">
        <v>8</v>
      </c>
      <c r="MN598" s="27" t="s">
        <v>7</v>
      </c>
    </row>
    <row r="599" spans="1:352" x14ac:dyDescent="0.25">
      <c r="A599" s="7">
        <v>0.78849317558165644</v>
      </c>
      <c r="B599"/>
      <c r="C599"/>
      <c r="D599"/>
      <c r="E599"/>
      <c r="F599" s="27" t="s">
        <v>7</v>
      </c>
      <c r="GG599" s="27" t="s">
        <v>8</v>
      </c>
      <c r="GH599" s="27" t="s">
        <v>7</v>
      </c>
      <c r="GI599" s="27" t="s">
        <v>8</v>
      </c>
      <c r="GJ599" s="27" t="s">
        <v>7</v>
      </c>
      <c r="GK599" s="27" t="s">
        <v>8</v>
      </c>
      <c r="GL599" s="27" t="s">
        <v>7</v>
      </c>
      <c r="GM599" s="27" t="s">
        <v>8</v>
      </c>
      <c r="HZ599" s="27" t="s">
        <v>7</v>
      </c>
      <c r="IA599" s="27" t="s">
        <v>8</v>
      </c>
      <c r="IB599" s="27" t="s">
        <v>7</v>
      </c>
      <c r="IE599" s="27" t="s">
        <v>8</v>
      </c>
      <c r="IF599" s="27" t="s">
        <v>7</v>
      </c>
      <c r="IG599" s="27" t="s">
        <v>8</v>
      </c>
      <c r="IH599" s="27" t="s">
        <v>7</v>
      </c>
      <c r="II599" s="27" t="s">
        <v>8</v>
      </c>
      <c r="IJ599" s="27" t="s">
        <v>7</v>
      </c>
      <c r="JK599" s="27" t="s">
        <v>8</v>
      </c>
      <c r="JM599" s="27" t="s">
        <v>8</v>
      </c>
      <c r="JO599" s="27" t="s">
        <v>8</v>
      </c>
      <c r="JP599" s="27" t="s">
        <v>7</v>
      </c>
      <c r="JQ599" s="27" t="s">
        <v>8</v>
      </c>
      <c r="JT599" s="27" t="s">
        <v>7</v>
      </c>
      <c r="JU599" s="27" t="s">
        <v>8</v>
      </c>
      <c r="JV599" s="27" t="s">
        <v>7</v>
      </c>
      <c r="JX599" s="27" t="s">
        <v>7</v>
      </c>
      <c r="JY599" s="27" t="s">
        <v>8</v>
      </c>
      <c r="JZ599" s="27" t="s">
        <v>7</v>
      </c>
      <c r="KA599" s="27" t="s">
        <v>8</v>
      </c>
      <c r="KB599" s="27" t="s">
        <v>7</v>
      </c>
      <c r="KC599" s="27" t="s">
        <v>8</v>
      </c>
      <c r="KD599" s="27" t="s">
        <v>7</v>
      </c>
      <c r="KW599" s="27" t="s">
        <v>8</v>
      </c>
      <c r="ML599" s="27" t="s">
        <v>7</v>
      </c>
      <c r="MM599" s="27" t="s">
        <v>8</v>
      </c>
    </row>
    <row r="600" spans="1:352" x14ac:dyDescent="0.25">
      <c r="A600" s="7">
        <v>0.77303252508005538</v>
      </c>
      <c r="B600"/>
      <c r="C600"/>
      <c r="D600"/>
      <c r="E600"/>
      <c r="F600" s="27" t="s">
        <v>7</v>
      </c>
      <c r="GG600" s="27" t="s">
        <v>8</v>
      </c>
      <c r="GH600" s="27" t="s">
        <v>7</v>
      </c>
      <c r="GI600" s="27" t="s">
        <v>8</v>
      </c>
      <c r="GJ600" s="27" t="s">
        <v>7</v>
      </c>
      <c r="GK600" s="27" t="s">
        <v>8</v>
      </c>
      <c r="GL600" s="27" t="s">
        <v>7</v>
      </c>
      <c r="GM600" s="27" t="s">
        <v>8</v>
      </c>
      <c r="HZ600" s="27" t="s">
        <v>7</v>
      </c>
      <c r="IA600" s="27" t="s">
        <v>8</v>
      </c>
      <c r="IB600" s="27" t="s">
        <v>7</v>
      </c>
      <c r="IE600" s="27" t="s">
        <v>8</v>
      </c>
      <c r="IF600" s="27" t="s">
        <v>7</v>
      </c>
      <c r="IG600" s="27" t="s">
        <v>8</v>
      </c>
      <c r="IH600" s="27" t="s">
        <v>7</v>
      </c>
      <c r="II600" s="27" t="s">
        <v>8</v>
      </c>
      <c r="IJ600" s="27" t="s">
        <v>7</v>
      </c>
      <c r="JK600" s="27" t="s">
        <v>8</v>
      </c>
      <c r="JL600" s="27" t="s">
        <v>7</v>
      </c>
      <c r="JM600" s="27" t="s">
        <v>8</v>
      </c>
      <c r="JN600" s="27" t="s">
        <v>7</v>
      </c>
      <c r="JO600" s="27" t="s">
        <v>8</v>
      </c>
      <c r="JP600" s="27" t="s">
        <v>7</v>
      </c>
      <c r="JQ600" s="27" t="s">
        <v>8</v>
      </c>
      <c r="JT600" s="27" t="s">
        <v>7</v>
      </c>
      <c r="JX600" s="27" t="s">
        <v>7</v>
      </c>
      <c r="JY600" s="27" t="s">
        <v>8</v>
      </c>
      <c r="JZ600" s="27" t="s">
        <v>7</v>
      </c>
      <c r="KA600" s="27" t="s">
        <v>8</v>
      </c>
      <c r="KB600" s="27" t="s">
        <v>7</v>
      </c>
      <c r="KC600" s="27" t="s">
        <v>8</v>
      </c>
      <c r="KD600" s="27" t="s">
        <v>7</v>
      </c>
      <c r="KM600" s="27" t="s">
        <v>8</v>
      </c>
      <c r="KW600" s="27" t="s">
        <v>8</v>
      </c>
      <c r="ML600" s="27" t="s">
        <v>7</v>
      </c>
      <c r="MM600" s="27" t="s">
        <v>8</v>
      </c>
    </row>
    <row r="601" spans="1:352" x14ac:dyDescent="0.25">
      <c r="A601" s="7">
        <v>0.75787502458828959</v>
      </c>
      <c r="B601"/>
      <c r="C601"/>
      <c r="D601"/>
      <c r="E601"/>
      <c r="F601" s="27" t="s">
        <v>7</v>
      </c>
      <c r="GG601" s="27" t="s">
        <v>8</v>
      </c>
      <c r="GH601" s="27" t="s">
        <v>7</v>
      </c>
      <c r="GI601" s="27" t="s">
        <v>8</v>
      </c>
      <c r="GJ601" s="27" t="s">
        <v>7</v>
      </c>
      <c r="GK601" s="27" t="s">
        <v>8</v>
      </c>
      <c r="GL601" s="27" t="s">
        <v>7</v>
      </c>
      <c r="GM601" s="27" t="s">
        <v>8</v>
      </c>
      <c r="HZ601" s="27" t="s">
        <v>7</v>
      </c>
      <c r="IA601" s="27" t="s">
        <v>8</v>
      </c>
      <c r="IB601" s="27" t="s">
        <v>7</v>
      </c>
      <c r="IC601" s="27" t="s">
        <v>8</v>
      </c>
      <c r="IE601" s="27" t="s">
        <v>8</v>
      </c>
      <c r="IF601" s="27" t="s">
        <v>7</v>
      </c>
      <c r="IG601" s="27" t="s">
        <v>8</v>
      </c>
      <c r="IH601" s="27" t="s">
        <v>7</v>
      </c>
      <c r="II601" s="27" t="s">
        <v>8</v>
      </c>
      <c r="IJ601" s="27" t="s">
        <v>7</v>
      </c>
      <c r="JK601" s="27" t="s">
        <v>8</v>
      </c>
      <c r="JL601" s="27" t="s">
        <v>7</v>
      </c>
      <c r="JM601" s="27" t="s">
        <v>8</v>
      </c>
      <c r="JN601" s="27" t="s">
        <v>7</v>
      </c>
      <c r="JO601" s="27" t="s">
        <v>8</v>
      </c>
      <c r="JP601" s="27" t="s">
        <v>7</v>
      </c>
      <c r="JQ601" s="27" t="s">
        <v>8</v>
      </c>
      <c r="JX601" s="27" t="s">
        <v>7</v>
      </c>
      <c r="JY601" s="27" t="s">
        <v>8</v>
      </c>
      <c r="JZ601" s="27" t="s">
        <v>7</v>
      </c>
      <c r="KA601" s="27" t="s">
        <v>8</v>
      </c>
      <c r="KB601" s="27" t="s">
        <v>7</v>
      </c>
      <c r="KC601" s="27" t="s">
        <v>8</v>
      </c>
      <c r="KD601" s="27" t="s">
        <v>7</v>
      </c>
      <c r="KM601" s="27" t="s">
        <v>8</v>
      </c>
      <c r="KN601" s="27" t="s">
        <v>7</v>
      </c>
      <c r="KW601" s="27" t="s">
        <v>8</v>
      </c>
      <c r="ML601" s="27" t="s">
        <v>7</v>
      </c>
      <c r="MM601" s="27" t="s">
        <v>8</v>
      </c>
    </row>
    <row r="602" spans="1:352" x14ac:dyDescent="0.25">
      <c r="A602" s="7">
        <v>0.74301472998851925</v>
      </c>
      <c r="B602"/>
      <c r="C602"/>
      <c r="D602"/>
      <c r="E602"/>
      <c r="F602" s="27" t="s">
        <v>7</v>
      </c>
      <c r="GG602" s="27" t="s">
        <v>8</v>
      </c>
      <c r="GH602" s="27" t="s">
        <v>7</v>
      </c>
      <c r="GI602" s="27" t="s">
        <v>8</v>
      </c>
      <c r="GJ602" s="27" t="s">
        <v>7</v>
      </c>
      <c r="GK602" s="27" t="s">
        <v>8</v>
      </c>
      <c r="GL602" s="27" t="s">
        <v>7</v>
      </c>
      <c r="GM602" s="27" t="s">
        <v>8</v>
      </c>
      <c r="HZ602" s="27" t="s">
        <v>7</v>
      </c>
      <c r="IA602" s="27" t="s">
        <v>8</v>
      </c>
      <c r="IB602" s="27" t="s">
        <v>7</v>
      </c>
      <c r="IC602" s="27" t="s">
        <v>8</v>
      </c>
      <c r="ID602" s="27" t="s">
        <v>7</v>
      </c>
      <c r="IE602" s="27" t="s">
        <v>8</v>
      </c>
      <c r="IF602" s="27" t="s">
        <v>7</v>
      </c>
      <c r="IG602" s="27" t="s">
        <v>8</v>
      </c>
      <c r="IH602" s="27" t="s">
        <v>7</v>
      </c>
      <c r="II602" s="27" t="s">
        <v>8</v>
      </c>
      <c r="IJ602" s="27" t="s">
        <v>7</v>
      </c>
      <c r="JK602" s="27" t="s">
        <v>8</v>
      </c>
      <c r="JL602" s="27" t="s">
        <v>7</v>
      </c>
      <c r="JM602" s="27" t="s">
        <v>8</v>
      </c>
      <c r="JN602" s="27" t="s">
        <v>7</v>
      </c>
      <c r="JP602" s="27" t="s">
        <v>7</v>
      </c>
      <c r="JQ602" s="27" t="s">
        <v>8</v>
      </c>
      <c r="JX602" s="27" t="s">
        <v>7</v>
      </c>
      <c r="JY602" s="27" t="s">
        <v>8</v>
      </c>
      <c r="JZ602" s="27" t="s">
        <v>7</v>
      </c>
      <c r="KB602" s="27" t="s">
        <v>7</v>
      </c>
      <c r="KC602" s="27" t="s">
        <v>8</v>
      </c>
      <c r="KD602" s="27" t="s">
        <v>7</v>
      </c>
      <c r="KK602" s="27" t="s">
        <v>8</v>
      </c>
      <c r="KM602" s="27" t="s">
        <v>8</v>
      </c>
      <c r="KN602" s="27" t="s">
        <v>7</v>
      </c>
      <c r="KU602" s="27" t="s">
        <v>8</v>
      </c>
      <c r="KW602" s="27" t="s">
        <v>8</v>
      </c>
      <c r="ML602" s="27" t="s">
        <v>7</v>
      </c>
      <c r="MM602" s="27" t="s">
        <v>8</v>
      </c>
    </row>
    <row r="603" spans="1:352" x14ac:dyDescent="0.25">
      <c r="A603" s="7">
        <v>0.72844581371423456</v>
      </c>
      <c r="B603"/>
      <c r="C603"/>
      <c r="D603"/>
      <c r="E603"/>
      <c r="F603" s="27" t="s">
        <v>7</v>
      </c>
      <c r="GG603" s="27" t="s">
        <v>8</v>
      </c>
      <c r="GH603" s="27" t="s">
        <v>7</v>
      </c>
      <c r="GI603" s="27" t="s">
        <v>8</v>
      </c>
      <c r="GJ603" s="27" t="s">
        <v>7</v>
      </c>
      <c r="GL603" s="27" t="s">
        <v>7</v>
      </c>
      <c r="HZ603" s="27" t="s">
        <v>7</v>
      </c>
      <c r="IA603" s="27" t="s">
        <v>8</v>
      </c>
      <c r="IB603" s="27" t="s">
        <v>7</v>
      </c>
      <c r="IC603" s="27" t="s">
        <v>8</v>
      </c>
      <c r="ID603" s="27" t="s">
        <v>7</v>
      </c>
      <c r="IE603" s="27" t="s">
        <v>8</v>
      </c>
      <c r="IF603" s="27" t="s">
        <v>7</v>
      </c>
      <c r="IG603" s="27" t="s">
        <v>8</v>
      </c>
      <c r="IH603" s="27" t="s">
        <v>7</v>
      </c>
      <c r="IJ603" s="27" t="s">
        <v>7</v>
      </c>
      <c r="JI603" s="27" t="s">
        <v>8</v>
      </c>
      <c r="JK603" s="27" t="s">
        <v>8</v>
      </c>
      <c r="JL603" s="27" t="s">
        <v>7</v>
      </c>
      <c r="JM603" s="27" t="s">
        <v>8</v>
      </c>
      <c r="JP603" s="27" t="s">
        <v>7</v>
      </c>
      <c r="JQ603" s="27" t="s">
        <v>8</v>
      </c>
      <c r="JX603" s="27" t="s">
        <v>7</v>
      </c>
      <c r="JY603" s="27" t="s">
        <v>8</v>
      </c>
      <c r="KB603" s="27" t="s">
        <v>7</v>
      </c>
      <c r="KC603" s="27" t="s">
        <v>8</v>
      </c>
      <c r="KD603" s="27" t="s">
        <v>7</v>
      </c>
      <c r="KI603" s="27" t="s">
        <v>8</v>
      </c>
      <c r="KK603" s="27" t="s">
        <v>8</v>
      </c>
      <c r="KL603" s="27" t="s">
        <v>7</v>
      </c>
      <c r="KM603" s="27" t="s">
        <v>8</v>
      </c>
      <c r="KN603" s="27" t="s">
        <v>7</v>
      </c>
      <c r="KQ603" s="27" t="s">
        <v>8</v>
      </c>
      <c r="KS603" s="27" t="s">
        <v>8</v>
      </c>
      <c r="KU603" s="27" t="s">
        <v>8</v>
      </c>
      <c r="KV603" s="27" t="s">
        <v>7</v>
      </c>
      <c r="KW603" s="27" t="s">
        <v>8</v>
      </c>
      <c r="ML603" s="27" t="s">
        <v>7</v>
      </c>
      <c r="MM603" s="27" t="s">
        <v>8</v>
      </c>
    </row>
    <row r="604" spans="1:352" x14ac:dyDescent="0.25">
      <c r="A604" s="7">
        <v>0.71416256246493581</v>
      </c>
      <c r="B604"/>
      <c r="C604"/>
      <c r="D604"/>
      <c r="E604"/>
      <c r="F604" s="27" t="s">
        <v>7</v>
      </c>
      <c r="GG604" s="27" t="s">
        <v>8</v>
      </c>
      <c r="GH604" s="27" t="s">
        <v>7</v>
      </c>
      <c r="GI604" s="27" t="s">
        <v>8</v>
      </c>
      <c r="HZ604" s="27" t="s">
        <v>7</v>
      </c>
      <c r="IA604" s="27" t="s">
        <v>8</v>
      </c>
      <c r="IB604" s="27" t="s">
        <v>7</v>
      </c>
      <c r="IC604" s="27" t="s">
        <v>8</v>
      </c>
      <c r="ID604" s="27" t="s">
        <v>7</v>
      </c>
      <c r="IE604" s="27" t="s">
        <v>8</v>
      </c>
      <c r="IF604" s="27" t="s">
        <v>7</v>
      </c>
      <c r="IG604" s="27" t="s">
        <v>8</v>
      </c>
      <c r="IJ604" s="27" t="s">
        <v>7</v>
      </c>
      <c r="IM604" s="27" t="s">
        <v>8</v>
      </c>
      <c r="IO604" s="27" t="s">
        <v>8</v>
      </c>
      <c r="JG604" s="27" t="s">
        <v>8</v>
      </c>
      <c r="JI604" s="27" t="s">
        <v>8</v>
      </c>
      <c r="JJ604" s="27" t="s">
        <v>7</v>
      </c>
      <c r="JK604" s="27" t="s">
        <v>8</v>
      </c>
      <c r="JL604" s="27" t="s">
        <v>7</v>
      </c>
      <c r="JM604" s="27" t="s">
        <v>8</v>
      </c>
      <c r="JP604" s="27" t="s">
        <v>7</v>
      </c>
      <c r="JQ604" s="27" t="s">
        <v>8</v>
      </c>
      <c r="JX604" s="27" t="s">
        <v>7</v>
      </c>
      <c r="JY604" s="27" t="s">
        <v>8</v>
      </c>
      <c r="KB604" s="27" t="s">
        <v>7</v>
      </c>
      <c r="KD604" s="27" t="s">
        <v>7</v>
      </c>
      <c r="KE604" s="27" t="s">
        <v>8</v>
      </c>
      <c r="KI604" s="27" t="s">
        <v>8</v>
      </c>
      <c r="KJ604" s="27" t="s">
        <v>7</v>
      </c>
      <c r="KK604" s="27" t="s">
        <v>8</v>
      </c>
      <c r="KL604" s="27" t="s">
        <v>7</v>
      </c>
      <c r="KM604" s="27" t="s">
        <v>8</v>
      </c>
      <c r="KN604" s="27" t="s">
        <v>7</v>
      </c>
      <c r="KO604" s="27" t="s">
        <v>8</v>
      </c>
      <c r="KQ604" s="27" t="s">
        <v>8</v>
      </c>
      <c r="KR604" s="27" t="s">
        <v>7</v>
      </c>
      <c r="KS604" s="27" t="s">
        <v>8</v>
      </c>
      <c r="KT604" s="27" t="s">
        <v>7</v>
      </c>
      <c r="KU604" s="27" t="s">
        <v>8</v>
      </c>
      <c r="KV604" s="27" t="s">
        <v>7</v>
      </c>
      <c r="KW604" s="27" t="s">
        <v>8</v>
      </c>
      <c r="ML604" s="27" t="s">
        <v>7</v>
      </c>
      <c r="MM604" s="27" t="s">
        <v>8</v>
      </c>
    </row>
    <row r="605" spans="1:352" x14ac:dyDescent="0.25">
      <c r="A605" s="7">
        <v>0.7001593749656233</v>
      </c>
      <c r="B605"/>
      <c r="C605"/>
      <c r="D605"/>
      <c r="E605"/>
      <c r="F605" s="27" t="s">
        <v>7</v>
      </c>
      <c r="FU605" s="27" t="s">
        <v>8</v>
      </c>
      <c r="GG605" s="27" t="s">
        <v>8</v>
      </c>
      <c r="GH605" s="27" t="s">
        <v>7</v>
      </c>
      <c r="GI605" s="27" t="s">
        <v>8</v>
      </c>
      <c r="HZ605" s="27" t="s">
        <v>7</v>
      </c>
      <c r="IA605" s="27" t="s">
        <v>8</v>
      </c>
      <c r="IB605" s="27" t="s">
        <v>7</v>
      </c>
      <c r="IC605" s="27" t="s">
        <v>8</v>
      </c>
      <c r="ID605" s="27" t="s">
        <v>7</v>
      </c>
      <c r="IE605" s="27" t="s">
        <v>8</v>
      </c>
      <c r="IF605" s="27" t="s">
        <v>7</v>
      </c>
      <c r="IG605" s="27" t="s">
        <v>8</v>
      </c>
      <c r="IJ605" s="27" t="s">
        <v>7</v>
      </c>
      <c r="IK605" s="27" t="s">
        <v>8</v>
      </c>
      <c r="IM605" s="27" t="s">
        <v>8</v>
      </c>
      <c r="IN605" s="27" t="s">
        <v>7</v>
      </c>
      <c r="IO605" s="27" t="s">
        <v>8</v>
      </c>
      <c r="IP605" s="27" t="s">
        <v>7</v>
      </c>
      <c r="JG605" s="27" t="s">
        <v>8</v>
      </c>
      <c r="JH605" s="27" t="s">
        <v>7</v>
      </c>
      <c r="JI605" s="27" t="s">
        <v>8</v>
      </c>
      <c r="JJ605" s="27" t="s">
        <v>7</v>
      </c>
      <c r="JK605" s="27" t="s">
        <v>8</v>
      </c>
      <c r="JL605" s="27" t="s">
        <v>7</v>
      </c>
      <c r="JP605" s="27" t="s">
        <v>7</v>
      </c>
      <c r="JX605" s="27" t="s">
        <v>7</v>
      </c>
      <c r="JY605" s="27" t="s">
        <v>8</v>
      </c>
      <c r="KD605" s="27" t="s">
        <v>7</v>
      </c>
      <c r="KE605" s="27" t="s">
        <v>8</v>
      </c>
      <c r="KF605" s="27" t="s">
        <v>7</v>
      </c>
      <c r="KI605" s="27" t="s">
        <v>8</v>
      </c>
      <c r="KJ605" s="27" t="s">
        <v>7</v>
      </c>
      <c r="KK605" s="27" t="s">
        <v>8</v>
      </c>
      <c r="KL605" s="27" t="s">
        <v>7</v>
      </c>
      <c r="KN605" s="27" t="s">
        <v>7</v>
      </c>
      <c r="KO605" s="27" t="s">
        <v>8</v>
      </c>
      <c r="KP605" s="27" t="s">
        <v>7</v>
      </c>
      <c r="KQ605" s="27" t="s">
        <v>8</v>
      </c>
      <c r="KR605" s="27" t="s">
        <v>7</v>
      </c>
      <c r="KS605" s="27" t="s">
        <v>8</v>
      </c>
      <c r="KT605" s="27" t="s">
        <v>7</v>
      </c>
      <c r="KU605" s="27" t="s">
        <v>8</v>
      </c>
      <c r="KV605" s="27" t="s">
        <v>7</v>
      </c>
      <c r="KW605" s="27" t="s">
        <v>8</v>
      </c>
      <c r="ML605" s="27" t="s">
        <v>7</v>
      </c>
      <c r="MM605" s="27" t="s">
        <v>8</v>
      </c>
    </row>
    <row r="606" spans="1:352" x14ac:dyDescent="0.25">
      <c r="A606" s="7">
        <v>0.68643075977021883</v>
      </c>
      <c r="B606"/>
      <c r="C606"/>
      <c r="D606"/>
      <c r="E606"/>
      <c r="F606" s="27" t="s">
        <v>7</v>
      </c>
      <c r="FU606" s="27" t="s">
        <v>8</v>
      </c>
      <c r="FV606" s="27" t="s">
        <v>7</v>
      </c>
      <c r="GG606" s="27" t="s">
        <v>8</v>
      </c>
      <c r="GH606" s="27" t="s">
        <v>7</v>
      </c>
      <c r="GI606" s="27" t="s">
        <v>8</v>
      </c>
      <c r="HZ606" s="27" t="s">
        <v>7</v>
      </c>
      <c r="IA606" s="27" t="s">
        <v>8</v>
      </c>
      <c r="IB606" s="27" t="s">
        <v>7</v>
      </c>
      <c r="IC606" s="27" t="s">
        <v>8</v>
      </c>
      <c r="ID606" s="27" t="s">
        <v>7</v>
      </c>
      <c r="IE606" s="27" t="s">
        <v>8</v>
      </c>
      <c r="IF606" s="27" t="s">
        <v>7</v>
      </c>
      <c r="IG606" s="27" t="s">
        <v>8</v>
      </c>
      <c r="IJ606" s="27" t="s">
        <v>7</v>
      </c>
      <c r="IK606" s="27" t="s">
        <v>8</v>
      </c>
      <c r="IL606" s="27" t="s">
        <v>7</v>
      </c>
      <c r="IM606" s="27" t="s">
        <v>8</v>
      </c>
      <c r="IN606" s="27" t="s">
        <v>7</v>
      </c>
      <c r="IO606" s="27" t="s">
        <v>8</v>
      </c>
      <c r="IP606" s="27" t="s">
        <v>7</v>
      </c>
      <c r="JG606" s="27" t="s">
        <v>8</v>
      </c>
      <c r="JH606" s="27" t="s">
        <v>7</v>
      </c>
      <c r="JI606" s="27" t="s">
        <v>8</v>
      </c>
      <c r="JJ606" s="27" t="s">
        <v>7</v>
      </c>
      <c r="JK606" s="27" t="s">
        <v>8</v>
      </c>
      <c r="JX606" s="27" t="s">
        <v>7</v>
      </c>
      <c r="KD606" s="27" t="s">
        <v>7</v>
      </c>
      <c r="KE606" s="27" t="s">
        <v>8</v>
      </c>
      <c r="KF606" s="27" t="s">
        <v>7</v>
      </c>
      <c r="KI606" s="27" t="s">
        <v>8</v>
      </c>
      <c r="KJ606" s="27" t="s">
        <v>7</v>
      </c>
      <c r="KN606" s="27" t="s">
        <v>7</v>
      </c>
      <c r="KO606" s="27" t="s">
        <v>8</v>
      </c>
      <c r="KP606" s="27" t="s">
        <v>7</v>
      </c>
      <c r="KQ606" s="27" t="s">
        <v>8</v>
      </c>
      <c r="KR606" s="27" t="s">
        <v>7</v>
      </c>
      <c r="KS606" s="27" t="s">
        <v>8</v>
      </c>
      <c r="KT606" s="27" t="s">
        <v>7</v>
      </c>
      <c r="KV606" s="27" t="s">
        <v>7</v>
      </c>
      <c r="KW606" s="27" t="s">
        <v>8</v>
      </c>
      <c r="ML606" s="27" t="s">
        <v>7</v>
      </c>
      <c r="MM606" s="27" t="s">
        <v>8</v>
      </c>
    </row>
    <row r="607" spans="1:352" x14ac:dyDescent="0.25">
      <c r="A607" s="7">
        <v>0.67297133310805768</v>
      </c>
      <c r="B607"/>
      <c r="C607"/>
      <c r="D607"/>
      <c r="E607"/>
      <c r="F607" s="27" t="s">
        <v>7</v>
      </c>
      <c r="FU607" s="27" t="s">
        <v>8</v>
      </c>
      <c r="FV607" s="27" t="s">
        <v>7</v>
      </c>
      <c r="GG607" s="27" t="s">
        <v>8</v>
      </c>
      <c r="GH607" s="27" t="s">
        <v>7</v>
      </c>
      <c r="GI607" s="27" t="s">
        <v>8</v>
      </c>
      <c r="HZ607" s="27" t="s">
        <v>7</v>
      </c>
      <c r="IA607" s="27" t="s">
        <v>8</v>
      </c>
      <c r="IB607" s="27" t="s">
        <v>7</v>
      </c>
      <c r="IC607" s="27" t="s">
        <v>8</v>
      </c>
      <c r="ID607" s="27" t="s">
        <v>7</v>
      </c>
      <c r="IE607" s="27" t="s">
        <v>8</v>
      </c>
      <c r="IF607" s="27" t="s">
        <v>7</v>
      </c>
      <c r="IG607" s="27" t="s">
        <v>8</v>
      </c>
      <c r="IJ607" s="27" t="s">
        <v>7</v>
      </c>
      <c r="IK607" s="27" t="s">
        <v>8</v>
      </c>
      <c r="IL607" s="27" t="s">
        <v>7</v>
      </c>
      <c r="IM607" s="27" t="s">
        <v>8</v>
      </c>
      <c r="IN607" s="27" t="s">
        <v>7</v>
      </c>
      <c r="IO607" s="27" t="s">
        <v>8</v>
      </c>
      <c r="IP607" s="27" t="s">
        <v>7</v>
      </c>
      <c r="JG607" s="27" t="s">
        <v>8</v>
      </c>
      <c r="JH607" s="27" t="s">
        <v>7</v>
      </c>
      <c r="JI607" s="27" t="s">
        <v>8</v>
      </c>
      <c r="JJ607" s="27" t="s">
        <v>7</v>
      </c>
      <c r="JK607" s="27" t="s">
        <v>8</v>
      </c>
      <c r="KD607" s="27" t="s">
        <v>7</v>
      </c>
      <c r="KE607" s="27" t="s">
        <v>8</v>
      </c>
      <c r="KF607" s="27" t="s">
        <v>7</v>
      </c>
      <c r="KI607" s="27" t="s">
        <v>8</v>
      </c>
      <c r="KN607" s="27" t="s">
        <v>7</v>
      </c>
      <c r="KP607" s="27" t="s">
        <v>7</v>
      </c>
      <c r="KR607" s="27" t="s">
        <v>7</v>
      </c>
      <c r="KV607" s="27" t="s">
        <v>7</v>
      </c>
      <c r="KW607" s="27" t="s">
        <v>8</v>
      </c>
      <c r="ML607" s="27" t="s">
        <v>7</v>
      </c>
    </row>
    <row r="608" spans="1:352" x14ac:dyDescent="0.25">
      <c r="A608" s="7">
        <v>0.65977581677260566</v>
      </c>
      <c r="B608"/>
      <c r="C608"/>
      <c r="D608"/>
      <c r="E608"/>
      <c r="F608" s="27" t="s">
        <v>7</v>
      </c>
      <c r="FU608" s="27" t="s">
        <v>8</v>
      </c>
      <c r="FV608" s="27" t="s">
        <v>7</v>
      </c>
      <c r="GG608" s="27" t="s">
        <v>8</v>
      </c>
      <c r="GH608" s="27" t="s">
        <v>7</v>
      </c>
      <c r="GI608" s="27" t="s">
        <v>8</v>
      </c>
      <c r="HZ608" s="27" t="s">
        <v>7</v>
      </c>
      <c r="IA608" s="27" t="s">
        <v>8</v>
      </c>
      <c r="IB608" s="27" t="s">
        <v>7</v>
      </c>
      <c r="ID608" s="27" t="s">
        <v>7</v>
      </c>
      <c r="IE608" s="27" t="s">
        <v>8</v>
      </c>
      <c r="IF608" s="27" t="s">
        <v>7</v>
      </c>
      <c r="IG608" s="27" t="s">
        <v>8</v>
      </c>
      <c r="IJ608" s="27" t="s">
        <v>7</v>
      </c>
      <c r="IK608" s="27" t="s">
        <v>8</v>
      </c>
      <c r="IL608" s="27" t="s">
        <v>7</v>
      </c>
      <c r="IM608" s="27" t="s">
        <v>8</v>
      </c>
      <c r="IN608" s="27" t="s">
        <v>7</v>
      </c>
      <c r="IO608" s="27" t="s">
        <v>8</v>
      </c>
      <c r="IP608" s="27" t="s">
        <v>7</v>
      </c>
      <c r="JG608" s="27" t="s">
        <v>8</v>
      </c>
      <c r="JH608" s="27" t="s">
        <v>7</v>
      </c>
      <c r="JI608" s="27" t="s">
        <v>8</v>
      </c>
      <c r="JJ608" s="27" t="s">
        <v>7</v>
      </c>
      <c r="KD608" s="27" t="s">
        <v>7</v>
      </c>
      <c r="KE608" s="27" t="s">
        <v>8</v>
      </c>
      <c r="KF608" s="27" t="s">
        <v>7</v>
      </c>
      <c r="KI608" s="27" t="s">
        <v>8</v>
      </c>
      <c r="KV608" s="27" t="s">
        <v>7</v>
      </c>
      <c r="KW608" s="27" t="s">
        <v>8</v>
      </c>
    </row>
    <row r="609" spans="1:309" x14ac:dyDescent="0.25">
      <c r="A609" s="7">
        <v>0.64683903605157422</v>
      </c>
      <c r="B609"/>
      <c r="C609"/>
      <c r="D609"/>
      <c r="E609"/>
      <c r="F609" s="27" t="s">
        <v>7</v>
      </c>
      <c r="FU609" s="27" t="s">
        <v>8</v>
      </c>
      <c r="FV609" s="27" t="s">
        <v>7</v>
      </c>
      <c r="FY609" s="27" t="s">
        <v>8</v>
      </c>
      <c r="GG609" s="27" t="s">
        <v>8</v>
      </c>
      <c r="GH609" s="27" t="s">
        <v>7</v>
      </c>
      <c r="GI609" s="27" t="s">
        <v>8</v>
      </c>
      <c r="HZ609" s="27" t="s">
        <v>7</v>
      </c>
      <c r="IA609" s="27" t="s">
        <v>8</v>
      </c>
      <c r="ID609" s="27" t="s">
        <v>7</v>
      </c>
      <c r="IE609" s="27" t="s">
        <v>8</v>
      </c>
      <c r="IF609" s="27" t="s">
        <v>7</v>
      </c>
      <c r="IJ609" s="27" t="s">
        <v>7</v>
      </c>
      <c r="IK609" s="27" t="s">
        <v>8</v>
      </c>
      <c r="IL609" s="27" t="s">
        <v>7</v>
      </c>
      <c r="IN609" s="27" t="s">
        <v>7</v>
      </c>
      <c r="IO609" s="27" t="s">
        <v>8</v>
      </c>
      <c r="IP609" s="27" t="s">
        <v>7</v>
      </c>
      <c r="IY609" s="27" t="s">
        <v>8</v>
      </c>
      <c r="JG609" s="27" t="s">
        <v>8</v>
      </c>
      <c r="JH609" s="27" t="s">
        <v>7</v>
      </c>
      <c r="JI609" s="27" t="s">
        <v>8</v>
      </c>
      <c r="KD609" s="27" t="s">
        <v>7</v>
      </c>
      <c r="KE609" s="27" t="s">
        <v>8</v>
      </c>
      <c r="KF609" s="27" t="s">
        <v>7</v>
      </c>
      <c r="KG609" s="27" t="s">
        <v>8</v>
      </c>
      <c r="KI609" s="27" t="s">
        <v>8</v>
      </c>
      <c r="KV609" s="27" t="s">
        <v>7</v>
      </c>
      <c r="KW609" s="27" t="s">
        <v>8</v>
      </c>
    </row>
    <row r="610" spans="1:309" x14ac:dyDescent="0.25">
      <c r="A610" s="7">
        <v>0.63415591769762181</v>
      </c>
      <c r="B610"/>
      <c r="C610"/>
      <c r="D610"/>
      <c r="E610"/>
      <c r="F610" s="27" t="s">
        <v>7</v>
      </c>
      <c r="FU610" s="27" t="s">
        <v>8</v>
      </c>
      <c r="FV610" s="27" t="s">
        <v>7</v>
      </c>
      <c r="FY610" s="27" t="s">
        <v>8</v>
      </c>
      <c r="FZ610" s="27" t="s">
        <v>7</v>
      </c>
      <c r="GA610" s="27" t="s">
        <v>8</v>
      </c>
      <c r="GG610" s="27" t="s">
        <v>8</v>
      </c>
      <c r="GH610" s="27" t="s">
        <v>7</v>
      </c>
      <c r="HZ610" s="27" t="s">
        <v>7</v>
      </c>
      <c r="IA610" s="27" t="s">
        <v>8</v>
      </c>
      <c r="ID610" s="27" t="s">
        <v>7</v>
      </c>
      <c r="IE610" s="27" t="s">
        <v>8</v>
      </c>
      <c r="IJ610" s="27" t="s">
        <v>7</v>
      </c>
      <c r="IK610" s="27" t="s">
        <v>8</v>
      </c>
      <c r="IN610" s="27" t="s">
        <v>7</v>
      </c>
      <c r="IO610" s="27" t="s">
        <v>8</v>
      </c>
      <c r="IP610" s="27" t="s">
        <v>7</v>
      </c>
      <c r="IY610" s="27" t="s">
        <v>8</v>
      </c>
      <c r="IZ610" s="27" t="s">
        <v>7</v>
      </c>
      <c r="JG610" s="27" t="s">
        <v>8</v>
      </c>
      <c r="JH610" s="27" t="s">
        <v>7</v>
      </c>
      <c r="JI610" s="27" t="s">
        <v>8</v>
      </c>
      <c r="KD610" s="27" t="s">
        <v>7</v>
      </c>
      <c r="KE610" s="27" t="s">
        <v>8</v>
      </c>
      <c r="KF610" s="27" t="s">
        <v>7</v>
      </c>
      <c r="KG610" s="27" t="s">
        <v>8</v>
      </c>
      <c r="KH610" s="27" t="s">
        <v>7</v>
      </c>
      <c r="KI610" s="27" t="s">
        <v>8</v>
      </c>
      <c r="KV610" s="27" t="s">
        <v>7</v>
      </c>
    </row>
    <row r="611" spans="1:309" x14ac:dyDescent="0.25">
      <c r="A611" s="7">
        <v>0.62172148793884496</v>
      </c>
      <c r="B611"/>
      <c r="C611"/>
      <c r="D611"/>
      <c r="E611"/>
      <c r="F611" s="27" t="s">
        <v>7</v>
      </c>
      <c r="FU611" s="27" t="s">
        <v>8</v>
      </c>
      <c r="FV611" s="27" t="s">
        <v>7</v>
      </c>
      <c r="FY611" s="27" t="s">
        <v>8</v>
      </c>
      <c r="FZ611" s="27" t="s">
        <v>7</v>
      </c>
      <c r="GA611" s="27" t="s">
        <v>8</v>
      </c>
      <c r="GB611" s="27" t="s">
        <v>7</v>
      </c>
      <c r="GG611" s="27" t="s">
        <v>8</v>
      </c>
      <c r="HZ611" s="27" t="s">
        <v>7</v>
      </c>
      <c r="IA611" s="27" t="s">
        <v>8</v>
      </c>
      <c r="ID611" s="27" t="s">
        <v>7</v>
      </c>
      <c r="IE611" s="27" t="s">
        <v>8</v>
      </c>
      <c r="IJ611" s="27" t="s">
        <v>7</v>
      </c>
      <c r="IK611" s="27" t="s">
        <v>8</v>
      </c>
      <c r="IN611" s="27" t="s">
        <v>7</v>
      </c>
      <c r="IO611" s="27" t="s">
        <v>8</v>
      </c>
      <c r="IP611" s="27" t="s">
        <v>7</v>
      </c>
      <c r="IY611" s="27" t="s">
        <v>8</v>
      </c>
      <c r="IZ611" s="27" t="s">
        <v>7</v>
      </c>
      <c r="JG611" s="27" t="s">
        <v>8</v>
      </c>
      <c r="JH611" s="27" t="s">
        <v>7</v>
      </c>
      <c r="KD611" s="27" t="s">
        <v>7</v>
      </c>
      <c r="KE611" s="27" t="s">
        <v>8</v>
      </c>
      <c r="KF611" s="27" t="s">
        <v>7</v>
      </c>
      <c r="KG611" s="27" t="s">
        <v>8</v>
      </c>
      <c r="KH611" s="27" t="s">
        <v>7</v>
      </c>
      <c r="KI611" s="27" t="s">
        <v>8</v>
      </c>
    </row>
    <row r="612" spans="1:309" x14ac:dyDescent="0.25">
      <c r="A612" s="7">
        <v>0.60953087052827937</v>
      </c>
      <c r="B612"/>
      <c r="C612"/>
      <c r="D612"/>
      <c r="E612"/>
      <c r="F612" s="27" t="s">
        <v>7</v>
      </c>
      <c r="FU612" s="27" t="s">
        <v>8</v>
      </c>
      <c r="FV612" s="27" t="s">
        <v>7</v>
      </c>
      <c r="FY612" s="27" t="s">
        <v>8</v>
      </c>
      <c r="FZ612" s="27" t="s">
        <v>7</v>
      </c>
      <c r="GA612" s="27" t="s">
        <v>8</v>
      </c>
      <c r="GB612" s="27" t="s">
        <v>7</v>
      </c>
      <c r="GG612" s="27" t="s">
        <v>8</v>
      </c>
      <c r="HZ612" s="27" t="s">
        <v>7</v>
      </c>
      <c r="IA612" s="27" t="s">
        <v>8</v>
      </c>
      <c r="ID612" s="27" t="s">
        <v>7</v>
      </c>
      <c r="IE612" s="27" t="s">
        <v>8</v>
      </c>
      <c r="IJ612" s="27" t="s">
        <v>7</v>
      </c>
      <c r="IN612" s="27" t="s">
        <v>7</v>
      </c>
      <c r="IO612" s="27" t="s">
        <v>8</v>
      </c>
      <c r="IP612" s="27" t="s">
        <v>7</v>
      </c>
      <c r="IS612" s="27" t="s">
        <v>8</v>
      </c>
      <c r="IU612" s="27" t="s">
        <v>8</v>
      </c>
      <c r="IW612" s="27" t="s">
        <v>8</v>
      </c>
      <c r="IY612" s="27" t="s">
        <v>8</v>
      </c>
      <c r="IZ612" s="27" t="s">
        <v>7</v>
      </c>
      <c r="JG612" s="27" t="s">
        <v>8</v>
      </c>
      <c r="KD612" s="27" t="s">
        <v>7</v>
      </c>
      <c r="KE612" s="27" t="s">
        <v>8</v>
      </c>
      <c r="KF612" s="27" t="s">
        <v>7</v>
      </c>
      <c r="KG612" s="27" t="s">
        <v>8</v>
      </c>
      <c r="KH612" s="27" t="s">
        <v>7</v>
      </c>
      <c r="KI612" s="27" t="s">
        <v>8</v>
      </c>
    </row>
    <row r="613" spans="1:309" x14ac:dyDescent="0.25">
      <c r="A613" s="7">
        <v>0.59757928483164646</v>
      </c>
      <c r="B613"/>
      <c r="C613"/>
      <c r="D613"/>
      <c r="E613"/>
      <c r="F613" s="27" t="s">
        <v>7</v>
      </c>
      <c r="FU613" s="27" t="s">
        <v>8</v>
      </c>
      <c r="FV613" s="27" t="s">
        <v>7</v>
      </c>
      <c r="FY613" s="27" t="s">
        <v>8</v>
      </c>
      <c r="FZ613" s="27" t="s">
        <v>7</v>
      </c>
      <c r="GA613" s="27" t="s">
        <v>8</v>
      </c>
      <c r="GB613" s="27" t="s">
        <v>7</v>
      </c>
      <c r="GG613" s="27" t="s">
        <v>8</v>
      </c>
      <c r="HZ613" s="27" t="s">
        <v>7</v>
      </c>
      <c r="IA613" s="27" t="s">
        <v>8</v>
      </c>
      <c r="ID613" s="27" t="s">
        <v>7</v>
      </c>
      <c r="IE613" s="27" t="s">
        <v>8</v>
      </c>
      <c r="IN613" s="27" t="s">
        <v>7</v>
      </c>
      <c r="IP613" s="27" t="s">
        <v>7</v>
      </c>
      <c r="IS613" s="27" t="s">
        <v>8</v>
      </c>
      <c r="IT613" s="27" t="s">
        <v>7</v>
      </c>
      <c r="IU613" s="27" t="s">
        <v>8</v>
      </c>
      <c r="IV613" s="27" t="s">
        <v>7</v>
      </c>
      <c r="IW613" s="27" t="s">
        <v>8</v>
      </c>
      <c r="IX613" s="27" t="s">
        <v>7</v>
      </c>
      <c r="IY613" s="27" t="s">
        <v>8</v>
      </c>
      <c r="IZ613" s="27" t="s">
        <v>7</v>
      </c>
      <c r="JC613" s="27" t="s">
        <v>8</v>
      </c>
      <c r="JE613" s="27" t="s">
        <v>8</v>
      </c>
      <c r="JG613" s="27" t="s">
        <v>8</v>
      </c>
      <c r="KD613" s="27" t="s">
        <v>7</v>
      </c>
      <c r="KF613" s="27" t="s">
        <v>7</v>
      </c>
      <c r="KH613" s="27" t="s">
        <v>7</v>
      </c>
      <c r="KI613" s="27" t="s">
        <v>8</v>
      </c>
    </row>
    <row r="614" spans="1:309" x14ac:dyDescent="0.25">
      <c r="A614" s="7">
        <v>0.58586204395259456</v>
      </c>
      <c r="B614"/>
      <c r="C614"/>
      <c r="D614"/>
      <c r="E614"/>
      <c r="F614" s="27" t="s">
        <v>7</v>
      </c>
      <c r="FU614" s="27" t="s">
        <v>8</v>
      </c>
      <c r="FV614" s="27" t="s">
        <v>7</v>
      </c>
      <c r="FW614" s="27" t="s">
        <v>8</v>
      </c>
      <c r="FY614" s="27" t="s">
        <v>8</v>
      </c>
      <c r="FZ614" s="27" t="s">
        <v>7</v>
      </c>
      <c r="GA614" s="27" t="s">
        <v>8</v>
      </c>
      <c r="GB614" s="27" t="s">
        <v>7</v>
      </c>
      <c r="GG614" s="27" t="s">
        <v>8</v>
      </c>
      <c r="HZ614" s="27" t="s">
        <v>7</v>
      </c>
      <c r="IA614" s="27" t="s">
        <v>8</v>
      </c>
      <c r="ID614" s="27" t="s">
        <v>7</v>
      </c>
      <c r="IE614" s="27" t="s">
        <v>8</v>
      </c>
      <c r="IP614" s="27" t="s">
        <v>7</v>
      </c>
      <c r="IQ614" s="27" t="s">
        <v>8</v>
      </c>
      <c r="IS614" s="27" t="s">
        <v>8</v>
      </c>
      <c r="IT614" s="27" t="s">
        <v>7</v>
      </c>
      <c r="IU614" s="27" t="s">
        <v>8</v>
      </c>
      <c r="IV614" s="27" t="s">
        <v>7</v>
      </c>
      <c r="IW614" s="27" t="s">
        <v>8</v>
      </c>
      <c r="IX614" s="27" t="s">
        <v>7</v>
      </c>
      <c r="IY614" s="27" t="s">
        <v>8</v>
      </c>
      <c r="IZ614" s="27" t="s">
        <v>7</v>
      </c>
      <c r="JC614" s="27" t="s">
        <v>8</v>
      </c>
      <c r="JD614" s="27" t="s">
        <v>7</v>
      </c>
      <c r="JE614" s="27" t="s">
        <v>8</v>
      </c>
      <c r="JF614" s="27" t="s">
        <v>7</v>
      </c>
      <c r="JG614" s="27" t="s">
        <v>8</v>
      </c>
      <c r="KH614" s="27" t="s">
        <v>7</v>
      </c>
    </row>
    <row r="615" spans="1:309" x14ac:dyDescent="0.25">
      <c r="A615" s="7">
        <v>0.57437455289470052</v>
      </c>
      <c r="B615"/>
      <c r="C615"/>
      <c r="D615"/>
      <c r="E615"/>
      <c r="F615" s="27" t="s">
        <v>7</v>
      </c>
      <c r="FU615" s="27" t="s">
        <v>8</v>
      </c>
      <c r="FV615" s="27" t="s">
        <v>7</v>
      </c>
      <c r="FW615" s="27" t="s">
        <v>8</v>
      </c>
      <c r="FX615" s="27" t="s">
        <v>7</v>
      </c>
      <c r="FY615" s="27" t="s">
        <v>8</v>
      </c>
      <c r="FZ615" s="27" t="s">
        <v>7</v>
      </c>
      <c r="GA615" s="27" t="s">
        <v>8</v>
      </c>
      <c r="GB615" s="27" t="s">
        <v>7</v>
      </c>
      <c r="GG615" s="27" t="s">
        <v>8</v>
      </c>
      <c r="HZ615" s="27" t="s">
        <v>7</v>
      </c>
      <c r="IA615" s="27" t="s">
        <v>8</v>
      </c>
      <c r="ID615" s="27" t="s">
        <v>7</v>
      </c>
      <c r="IE615" s="27" t="s">
        <v>8</v>
      </c>
      <c r="IP615" s="27" t="s">
        <v>7</v>
      </c>
      <c r="IQ615" s="27" t="s">
        <v>8</v>
      </c>
      <c r="IR615" s="27" t="s">
        <v>7</v>
      </c>
      <c r="IS615" s="27" t="s">
        <v>8</v>
      </c>
      <c r="IT615" s="27" t="s">
        <v>7</v>
      </c>
      <c r="IU615" s="27" t="s">
        <v>8</v>
      </c>
      <c r="IV615" s="27" t="s">
        <v>7</v>
      </c>
      <c r="IW615" s="27" t="s">
        <v>8</v>
      </c>
      <c r="IX615" s="27" t="s">
        <v>7</v>
      </c>
      <c r="IY615" s="27" t="s">
        <v>8</v>
      </c>
      <c r="IZ615" s="27" t="s">
        <v>7</v>
      </c>
      <c r="JA615" s="27" t="s">
        <v>8</v>
      </c>
      <c r="JC615" s="27" t="s">
        <v>8</v>
      </c>
      <c r="JD615" s="27" t="s">
        <v>7</v>
      </c>
      <c r="JE615" s="27" t="s">
        <v>8</v>
      </c>
      <c r="JF615" s="27" t="s">
        <v>7</v>
      </c>
      <c r="JG615" s="27" t="s">
        <v>8</v>
      </c>
    </row>
    <row r="616" spans="1:309" x14ac:dyDescent="0.25">
      <c r="A616" s="7">
        <v>0.56311230675951029</v>
      </c>
      <c r="B616"/>
      <c r="C616"/>
      <c r="D616"/>
      <c r="E616"/>
      <c r="F616" s="27" t="s">
        <v>7</v>
      </c>
      <c r="FU616" s="27" t="s">
        <v>8</v>
      </c>
      <c r="FV616" s="27" t="s">
        <v>7</v>
      </c>
      <c r="FW616" s="27" t="s">
        <v>8</v>
      </c>
      <c r="FX616" s="27" t="s">
        <v>7</v>
      </c>
      <c r="FY616" s="27" t="s">
        <v>8</v>
      </c>
      <c r="FZ616" s="27" t="s">
        <v>7</v>
      </c>
      <c r="GA616" s="27" t="s">
        <v>8</v>
      </c>
      <c r="GB616" s="27" t="s">
        <v>7</v>
      </c>
      <c r="GE616" s="27" t="s">
        <v>8</v>
      </c>
      <c r="GG616" s="27" t="s">
        <v>8</v>
      </c>
      <c r="HZ616" s="27" t="s">
        <v>7</v>
      </c>
      <c r="ID616" s="27" t="s">
        <v>7</v>
      </c>
      <c r="IE616" s="27" t="s">
        <v>8</v>
      </c>
      <c r="IP616" s="27" t="s">
        <v>7</v>
      </c>
      <c r="IQ616" s="27" t="s">
        <v>8</v>
      </c>
      <c r="IR616" s="27" t="s">
        <v>7</v>
      </c>
      <c r="IS616" s="27" t="s">
        <v>8</v>
      </c>
      <c r="IT616" s="27" t="s">
        <v>7</v>
      </c>
      <c r="IV616" s="27" t="s">
        <v>7</v>
      </c>
      <c r="IW616" s="27" t="s">
        <v>8</v>
      </c>
      <c r="IX616" s="27" t="s">
        <v>7</v>
      </c>
      <c r="IZ616" s="27" t="s">
        <v>7</v>
      </c>
      <c r="JA616" s="27" t="s">
        <v>8</v>
      </c>
      <c r="JB616" s="27" t="s">
        <v>7</v>
      </c>
      <c r="JC616" s="27" t="s">
        <v>8</v>
      </c>
      <c r="JD616" s="27" t="s">
        <v>7</v>
      </c>
      <c r="JE616" s="27" t="s">
        <v>8</v>
      </c>
      <c r="JF616" s="27" t="s">
        <v>7</v>
      </c>
      <c r="JG616" s="27" t="s">
        <v>8</v>
      </c>
    </row>
    <row r="617" spans="1:309" x14ac:dyDescent="0.25">
      <c r="A617" s="7">
        <v>0.55207088897991208</v>
      </c>
      <c r="B617"/>
      <c r="C617"/>
      <c r="D617"/>
      <c r="E617"/>
      <c r="F617" s="27" t="s">
        <v>7</v>
      </c>
      <c r="FU617" s="27" t="s">
        <v>8</v>
      </c>
      <c r="FV617" s="27" t="s">
        <v>7</v>
      </c>
      <c r="FW617" s="27" t="s">
        <v>8</v>
      </c>
      <c r="FX617" s="27" t="s">
        <v>7</v>
      </c>
      <c r="FY617" s="27" t="s">
        <v>8</v>
      </c>
      <c r="FZ617" s="27" t="s">
        <v>7</v>
      </c>
      <c r="GB617" s="27" t="s">
        <v>7</v>
      </c>
      <c r="GE617" s="27" t="s">
        <v>8</v>
      </c>
      <c r="GF617" s="27" t="s">
        <v>7</v>
      </c>
      <c r="GG617" s="27" t="s">
        <v>8</v>
      </c>
      <c r="ID617" s="27" t="s">
        <v>7</v>
      </c>
      <c r="IE617" s="27" t="s">
        <v>8</v>
      </c>
      <c r="IP617" s="27" t="s">
        <v>7</v>
      </c>
      <c r="IQ617" s="27" t="s">
        <v>8</v>
      </c>
      <c r="IR617" s="27" t="s">
        <v>7</v>
      </c>
      <c r="IS617" s="27" t="s">
        <v>8</v>
      </c>
      <c r="IV617" s="27" t="s">
        <v>7</v>
      </c>
      <c r="IZ617" s="27" t="s">
        <v>7</v>
      </c>
      <c r="JA617" s="27" t="s">
        <v>8</v>
      </c>
      <c r="JB617" s="27" t="s">
        <v>7</v>
      </c>
      <c r="JC617" s="27" t="s">
        <v>8</v>
      </c>
      <c r="JD617" s="27" t="s">
        <v>7</v>
      </c>
      <c r="JE617" s="27" t="s">
        <v>8</v>
      </c>
      <c r="JF617" s="27" t="s">
        <v>7</v>
      </c>
      <c r="JG617" s="27" t="s">
        <v>8</v>
      </c>
    </row>
    <row r="618" spans="1:309" x14ac:dyDescent="0.25">
      <c r="A618" s="7">
        <v>0.54124596958814908</v>
      </c>
      <c r="B618"/>
      <c r="C618"/>
      <c r="D618"/>
      <c r="E618"/>
      <c r="F618" s="27" t="s">
        <v>7</v>
      </c>
      <c r="FU618" s="27" t="s">
        <v>8</v>
      </c>
      <c r="FV618" s="27" t="s">
        <v>7</v>
      </c>
      <c r="FW618" s="27" t="s">
        <v>8</v>
      </c>
      <c r="FX618" s="27" t="s">
        <v>7</v>
      </c>
      <c r="FY618" s="27" t="s">
        <v>8</v>
      </c>
      <c r="GB618" s="27" t="s">
        <v>7</v>
      </c>
      <c r="GC618" s="27" t="s">
        <v>8</v>
      </c>
      <c r="GE618" s="27" t="s">
        <v>8</v>
      </c>
      <c r="GF618" s="27" t="s">
        <v>7</v>
      </c>
      <c r="GG618" s="27" t="s">
        <v>8</v>
      </c>
      <c r="ID618" s="27" t="s">
        <v>7</v>
      </c>
      <c r="IE618" s="27" t="s">
        <v>8</v>
      </c>
      <c r="IP618" s="27" t="s">
        <v>7</v>
      </c>
      <c r="IQ618" s="27" t="s">
        <v>8</v>
      </c>
      <c r="IR618" s="27" t="s">
        <v>7</v>
      </c>
      <c r="IS618" s="27" t="s">
        <v>8</v>
      </c>
      <c r="IZ618" s="27" t="s">
        <v>7</v>
      </c>
      <c r="JB618" s="27" t="s">
        <v>7</v>
      </c>
      <c r="JC618" s="27" t="s">
        <v>8</v>
      </c>
      <c r="JD618" s="27" t="s">
        <v>7</v>
      </c>
      <c r="JE618" s="27" t="s">
        <v>8</v>
      </c>
      <c r="JF618" s="27" t="s">
        <v>7</v>
      </c>
    </row>
    <row r="619" spans="1:309" x14ac:dyDescent="0.25">
      <c r="A619" s="7">
        <v>0.53063330351779314</v>
      </c>
      <c r="B619"/>
      <c r="C619"/>
      <c r="D619"/>
      <c r="E619"/>
      <c r="F619" s="27" t="s">
        <v>7</v>
      </c>
      <c r="FU619" s="27" t="s">
        <v>8</v>
      </c>
      <c r="FV619" s="27" t="s">
        <v>7</v>
      </c>
      <c r="FW619" s="27" t="s">
        <v>8</v>
      </c>
      <c r="FX619" s="27" t="s">
        <v>7</v>
      </c>
      <c r="FY619" s="27" t="s">
        <v>8</v>
      </c>
      <c r="GB619" s="27" t="s">
        <v>7</v>
      </c>
      <c r="GC619" s="27" t="s">
        <v>8</v>
      </c>
      <c r="GD619" s="27" t="s">
        <v>7</v>
      </c>
      <c r="GE619" s="27" t="s">
        <v>8</v>
      </c>
      <c r="GF619" s="27" t="s">
        <v>7</v>
      </c>
      <c r="GG619" s="27" t="s">
        <v>8</v>
      </c>
      <c r="ID619" s="27" t="s">
        <v>7</v>
      </c>
      <c r="IE619" s="27" t="s">
        <v>8</v>
      </c>
      <c r="IP619" s="27" t="s">
        <v>7</v>
      </c>
      <c r="IQ619" s="27" t="s">
        <v>8</v>
      </c>
      <c r="IR619" s="27" t="s">
        <v>7</v>
      </c>
      <c r="IS619" s="27" t="s">
        <v>8</v>
      </c>
      <c r="JB619" s="27" t="s">
        <v>7</v>
      </c>
      <c r="JC619" s="27" t="s">
        <v>8</v>
      </c>
      <c r="JD619" s="27" t="s">
        <v>7</v>
      </c>
      <c r="JE619" s="27" t="s">
        <v>8</v>
      </c>
    </row>
    <row r="620" spans="1:309" x14ac:dyDescent="0.25">
      <c r="A620" s="7">
        <v>0.52022872893901284</v>
      </c>
      <c r="B620"/>
      <c r="C620"/>
      <c r="D620"/>
      <c r="E620"/>
      <c r="F620" s="27" t="s">
        <v>7</v>
      </c>
      <c r="FU620" s="27" t="s">
        <v>8</v>
      </c>
      <c r="FV620" s="27" t="s">
        <v>7</v>
      </c>
      <c r="FW620" s="27" t="s">
        <v>8</v>
      </c>
      <c r="FX620" s="27" t="s">
        <v>7</v>
      </c>
      <c r="FY620" s="27" t="s">
        <v>8</v>
      </c>
      <c r="GB620" s="27" t="s">
        <v>7</v>
      </c>
      <c r="GC620" s="27" t="s">
        <v>8</v>
      </c>
      <c r="GD620" s="27" t="s">
        <v>7</v>
      </c>
      <c r="GE620" s="27" t="s">
        <v>8</v>
      </c>
      <c r="GF620" s="27" t="s">
        <v>7</v>
      </c>
      <c r="GG620" s="27" t="s">
        <v>8</v>
      </c>
      <c r="ID620" s="27" t="s">
        <v>7</v>
      </c>
      <c r="IE620" s="27" t="s">
        <v>8</v>
      </c>
      <c r="IP620" s="27" t="s">
        <v>7</v>
      </c>
      <c r="IQ620" s="27" t="s">
        <v>8</v>
      </c>
      <c r="IR620" s="27" t="s">
        <v>7</v>
      </c>
      <c r="IS620" s="27" t="s">
        <v>8</v>
      </c>
      <c r="JB620" s="27" t="s">
        <v>7</v>
      </c>
      <c r="JC620" s="27" t="s">
        <v>8</v>
      </c>
      <c r="JD620" s="27" t="s">
        <v>7</v>
      </c>
      <c r="JE620" s="27" t="s">
        <v>8</v>
      </c>
    </row>
    <row r="621" spans="1:309" x14ac:dyDescent="0.25">
      <c r="A621" s="7">
        <v>0.51002816562648323</v>
      </c>
      <c r="B621"/>
      <c r="C621"/>
      <c r="D621"/>
      <c r="E621"/>
      <c r="F621" s="27" t="s">
        <v>7</v>
      </c>
      <c r="FU621" s="27" t="s">
        <v>8</v>
      </c>
      <c r="FV621" s="27" t="s">
        <v>7</v>
      </c>
      <c r="FW621" s="27" t="s">
        <v>8</v>
      </c>
      <c r="FX621" s="27" t="s">
        <v>7</v>
      </c>
      <c r="GB621" s="27" t="s">
        <v>7</v>
      </c>
      <c r="GC621" s="27" t="s">
        <v>8</v>
      </c>
      <c r="GD621" s="27" t="s">
        <v>7</v>
      </c>
      <c r="GE621" s="27" t="s">
        <v>8</v>
      </c>
      <c r="GF621" s="27" t="s">
        <v>7</v>
      </c>
      <c r="GG621" s="27" t="s">
        <v>8</v>
      </c>
      <c r="ID621" s="27" t="s">
        <v>7</v>
      </c>
      <c r="IE621" s="27" t="s">
        <v>8</v>
      </c>
      <c r="IP621" s="27" t="s">
        <v>7</v>
      </c>
      <c r="IQ621" s="27" t="s">
        <v>8</v>
      </c>
      <c r="IR621" s="27" t="s">
        <v>7</v>
      </c>
      <c r="IS621" s="27" t="s">
        <v>8</v>
      </c>
      <c r="JB621" s="27" t="s">
        <v>7</v>
      </c>
      <c r="JC621" s="27" t="s">
        <v>8</v>
      </c>
      <c r="JD621" s="27" t="s">
        <v>7</v>
      </c>
      <c r="JE621" s="27" t="s">
        <v>8</v>
      </c>
    </row>
    <row r="622" spans="1:309" x14ac:dyDescent="0.25">
      <c r="A622" s="7">
        <v>0.50002761335929735</v>
      </c>
      <c r="B622"/>
      <c r="C622"/>
      <c r="D622"/>
      <c r="E622"/>
      <c r="F622" s="27" t="s">
        <v>7</v>
      </c>
      <c r="FU622" s="27" t="s">
        <v>8</v>
      </c>
      <c r="FV622" s="27" t="s">
        <v>7</v>
      </c>
      <c r="FW622" s="27" t="s">
        <v>8</v>
      </c>
      <c r="GB622" s="27" t="s">
        <v>7</v>
      </c>
      <c r="GC622" s="27" t="s">
        <v>8</v>
      </c>
      <c r="GD622" s="27" t="s">
        <v>7</v>
      </c>
      <c r="GE622" s="27" t="s">
        <v>8</v>
      </c>
      <c r="GF622" s="27" t="s">
        <v>7</v>
      </c>
      <c r="GG622" s="27" t="s">
        <v>8</v>
      </c>
      <c r="ID622" s="27" t="s">
        <v>7</v>
      </c>
      <c r="IE622" s="27" t="s">
        <v>8</v>
      </c>
      <c r="IP622" s="27" t="s">
        <v>7</v>
      </c>
      <c r="IQ622" s="27" t="s">
        <v>8</v>
      </c>
      <c r="IR622" s="27" t="s">
        <v>7</v>
      </c>
      <c r="IS622" s="27" t="s">
        <v>8</v>
      </c>
      <c r="JB622" s="27" t="s">
        <v>7</v>
      </c>
      <c r="JD622" s="27" t="s">
        <v>7</v>
      </c>
      <c r="JE622" s="27" t="s">
        <v>8</v>
      </c>
    </row>
    <row r="623" spans="1:309" x14ac:dyDescent="0.25">
      <c r="A623" s="7">
        <v>0.49022315035225228</v>
      </c>
      <c r="B623"/>
      <c r="C623"/>
      <c r="D623"/>
      <c r="E623"/>
      <c r="F623" s="27" t="s">
        <v>7</v>
      </c>
      <c r="FU623" s="27" t="s">
        <v>8</v>
      </c>
      <c r="FV623" s="27" t="s">
        <v>7</v>
      </c>
      <c r="FW623" s="27" t="s">
        <v>8</v>
      </c>
      <c r="GB623" s="27" t="s">
        <v>7</v>
      </c>
      <c r="GC623" s="27" t="s">
        <v>8</v>
      </c>
      <c r="GD623" s="27" t="s">
        <v>7</v>
      </c>
      <c r="GE623" s="27" t="s">
        <v>8</v>
      </c>
      <c r="GF623" s="27" t="s">
        <v>7</v>
      </c>
      <c r="GG623" s="27" t="s">
        <v>8</v>
      </c>
      <c r="ID623" s="27" t="s">
        <v>7</v>
      </c>
      <c r="IE623" s="27" t="s">
        <v>8</v>
      </c>
      <c r="IP623" s="27" t="s">
        <v>7</v>
      </c>
      <c r="IQ623" s="27" t="s">
        <v>8</v>
      </c>
      <c r="IR623" s="27" t="s">
        <v>7</v>
      </c>
      <c r="JD623" s="18" t="s">
        <v>7</v>
      </c>
      <c r="JE623" s="27" t="s">
        <v>8</v>
      </c>
    </row>
    <row r="624" spans="1:309" x14ac:dyDescent="0.25">
      <c r="A624" s="7">
        <v>0.48061093171789437</v>
      </c>
      <c r="B624"/>
      <c r="C624"/>
      <c r="D624"/>
      <c r="E624"/>
      <c r="F624" s="27" t="s">
        <v>7</v>
      </c>
      <c r="FU624" s="27" t="s">
        <v>8</v>
      </c>
      <c r="FV624" s="27" t="s">
        <v>7</v>
      </c>
      <c r="FW624" s="27" t="s">
        <v>8</v>
      </c>
      <c r="GB624" s="27" t="s">
        <v>7</v>
      </c>
      <c r="GC624" s="27" t="s">
        <v>8</v>
      </c>
      <c r="GD624" s="27" t="s">
        <v>7</v>
      </c>
      <c r="GE624" s="27" t="s">
        <v>8</v>
      </c>
      <c r="GF624" s="27" t="s">
        <v>7</v>
      </c>
      <c r="GG624" s="27" t="s">
        <v>8</v>
      </c>
      <c r="ID624" s="27" t="s">
        <v>7</v>
      </c>
      <c r="IE624" s="27" t="s">
        <v>8</v>
      </c>
      <c r="IP624" s="27" t="s">
        <v>7</v>
      </c>
      <c r="IQ624" s="27" t="s">
        <v>8</v>
      </c>
      <c r="JD624" s="27" t="s">
        <v>7</v>
      </c>
      <c r="JE624" s="27" t="s">
        <v>8</v>
      </c>
    </row>
    <row r="625" spans="1:265" x14ac:dyDescent="0.25">
      <c r="A625" s="7">
        <v>0.47118718795871994</v>
      </c>
      <c r="B625"/>
      <c r="C625"/>
      <c r="D625"/>
      <c r="E625"/>
      <c r="F625" s="27" t="s">
        <v>7</v>
      </c>
      <c r="FU625" s="27" t="s">
        <v>8</v>
      </c>
      <c r="FV625" s="27" t="s">
        <v>7</v>
      </c>
      <c r="FW625" s="27" t="s">
        <v>8</v>
      </c>
      <c r="GB625" s="27" t="s">
        <v>7</v>
      </c>
      <c r="GC625" s="27" t="s">
        <v>8</v>
      </c>
      <c r="GD625" s="27" t="s">
        <v>7</v>
      </c>
      <c r="GE625" s="27" t="s">
        <v>8</v>
      </c>
      <c r="GF625" s="27" t="s">
        <v>7</v>
      </c>
      <c r="GG625" s="27" t="s">
        <v>8</v>
      </c>
      <c r="ID625" s="27" t="s">
        <v>7</v>
      </c>
      <c r="IE625" s="27" t="s">
        <v>8</v>
      </c>
      <c r="IP625" s="27" t="s">
        <v>7</v>
      </c>
      <c r="IQ625" s="27" t="s">
        <v>8</v>
      </c>
      <c r="JD625" s="27" t="s">
        <v>7</v>
      </c>
      <c r="JE625" s="27" t="s">
        <v>8</v>
      </c>
    </row>
    <row r="626" spans="1:265" x14ac:dyDescent="0.25">
      <c r="A626" s="7">
        <v>0.46194822348894116</v>
      </c>
      <c r="B626"/>
      <c r="C626"/>
      <c r="D626"/>
      <c r="E626"/>
      <c r="F626" s="27" t="s">
        <v>7</v>
      </c>
      <c r="FU626" s="27" t="s">
        <v>8</v>
      </c>
      <c r="FV626" s="27" t="s">
        <v>7</v>
      </c>
      <c r="GB626" s="27" t="s">
        <v>7</v>
      </c>
      <c r="GC626" s="27" t="s">
        <v>8</v>
      </c>
      <c r="GD626" s="27" t="s">
        <v>7</v>
      </c>
      <c r="GE626" s="27" t="s">
        <v>8</v>
      </c>
      <c r="GF626" s="27" t="s">
        <v>7</v>
      </c>
      <c r="ID626" s="27" t="s">
        <v>7</v>
      </c>
      <c r="IP626" s="27" t="s">
        <v>7</v>
      </c>
      <c r="IQ626" s="27" t="s">
        <v>8</v>
      </c>
      <c r="JD626" s="27" t="s">
        <v>7</v>
      </c>
    </row>
    <row r="627" spans="1:265" x14ac:dyDescent="0.25">
      <c r="A627" s="7">
        <v>0.45289041518523643</v>
      </c>
      <c r="B627"/>
      <c r="C627"/>
      <c r="D627"/>
      <c r="E627"/>
      <c r="F627" s="27" t="s">
        <v>7</v>
      </c>
      <c r="FU627" s="27" t="s">
        <v>8</v>
      </c>
      <c r="GB627" s="27" t="s">
        <v>7</v>
      </c>
      <c r="GC627" s="27" t="s">
        <v>8</v>
      </c>
      <c r="GD627" s="27" t="s">
        <v>7</v>
      </c>
      <c r="GE627" s="27" t="s">
        <v>8</v>
      </c>
      <c r="IP627" s="27" t="s">
        <v>7</v>
      </c>
      <c r="IQ627" s="27" t="s">
        <v>8</v>
      </c>
    </row>
    <row r="628" spans="1:265" x14ac:dyDescent="0.25">
      <c r="A628" s="7">
        <v>0.44401021096591808</v>
      </c>
      <c r="B628"/>
      <c r="C628"/>
      <c r="D628"/>
      <c r="E628"/>
      <c r="F628" s="27" t="s">
        <v>7</v>
      </c>
      <c r="FU628" s="27" t="s">
        <v>8</v>
      </c>
      <c r="GB628" s="27" t="s">
        <v>7</v>
      </c>
      <c r="GC628" s="27" t="s">
        <v>8</v>
      </c>
      <c r="GD628" s="27" t="s">
        <v>7</v>
      </c>
      <c r="IP628" s="27" t="s">
        <v>7</v>
      </c>
      <c r="IQ628" s="27" t="s">
        <v>8</v>
      </c>
    </row>
    <row r="629" spans="1:265" x14ac:dyDescent="0.25">
      <c r="A629" s="7">
        <v>0.4353041283979589</v>
      </c>
      <c r="B629"/>
      <c r="C629"/>
      <c r="D629"/>
      <c r="E629"/>
      <c r="F629" s="27" t="s">
        <v>7</v>
      </c>
      <c r="CU629" s="27" t="s">
        <v>8</v>
      </c>
      <c r="CW629" s="27" t="s">
        <v>8</v>
      </c>
      <c r="FU629" s="27" t="s">
        <v>8</v>
      </c>
      <c r="GB629" s="27" t="s">
        <v>7</v>
      </c>
      <c r="GC629" s="27" t="s">
        <v>8</v>
      </c>
      <c r="IP629" s="27" t="s">
        <v>7</v>
      </c>
      <c r="IQ629" s="27" t="s">
        <v>8</v>
      </c>
    </row>
    <row r="630" spans="1:265" x14ac:dyDescent="0.25">
      <c r="A630" s="7">
        <v>0.4267687533313323</v>
      </c>
      <c r="B630"/>
      <c r="C630"/>
      <c r="D630"/>
      <c r="E630"/>
      <c r="F630" s="27" t="s">
        <v>7</v>
      </c>
      <c r="CU630" s="27" t="s">
        <v>8</v>
      </c>
      <c r="CV630" s="27" t="s">
        <v>7</v>
      </c>
      <c r="CW630" s="27" t="s">
        <v>8</v>
      </c>
      <c r="CX630" s="27" t="s">
        <v>7</v>
      </c>
      <c r="FS630" s="27" t="s">
        <v>8</v>
      </c>
      <c r="FU630" s="27" t="s">
        <v>8</v>
      </c>
      <c r="GB630" s="27" t="s">
        <v>7</v>
      </c>
      <c r="GC630" s="27" t="s">
        <v>8</v>
      </c>
      <c r="IP630" s="27" t="s">
        <v>7</v>
      </c>
    </row>
    <row r="631" spans="1:265" x14ac:dyDescent="0.25">
      <c r="A631" s="7">
        <v>0.41840073856012971</v>
      </c>
      <c r="B631"/>
      <c r="C631"/>
      <c r="D631"/>
      <c r="E631"/>
      <c r="F631" s="27" t="s">
        <v>7</v>
      </c>
      <c r="CU631" s="27" t="s">
        <v>8</v>
      </c>
      <c r="CV631" s="27" t="s">
        <v>7</v>
      </c>
      <c r="CW631" s="27" t="s">
        <v>8</v>
      </c>
      <c r="CX631" s="27" t="s">
        <v>7</v>
      </c>
      <c r="FS631" s="27" t="s">
        <v>8</v>
      </c>
      <c r="FT631" s="27" t="s">
        <v>7</v>
      </c>
      <c r="FU631" s="27" t="s">
        <v>8</v>
      </c>
      <c r="GB631" s="27" t="s">
        <v>7</v>
      </c>
      <c r="GC631" s="27" t="s">
        <v>8</v>
      </c>
    </row>
    <row r="632" spans="1:265" x14ac:dyDescent="0.25">
      <c r="A632" s="7">
        <v>0.41019680250993112</v>
      </c>
      <c r="B632"/>
      <c r="C632"/>
      <c r="D632"/>
      <c r="E632"/>
      <c r="F632" s="27" t="s">
        <v>7</v>
      </c>
      <c r="CU632" s="27" t="s">
        <v>8</v>
      </c>
      <c r="CV632" s="27" t="s">
        <v>7</v>
      </c>
      <c r="CW632" s="27" t="s">
        <v>8</v>
      </c>
      <c r="CX632" s="27" t="s">
        <v>7</v>
      </c>
      <c r="FS632" s="27" t="s">
        <v>8</v>
      </c>
      <c r="FT632" s="27" t="s">
        <v>7</v>
      </c>
      <c r="FU632" s="27" t="s">
        <v>8</v>
      </c>
      <c r="GB632" s="27" t="s">
        <v>7</v>
      </c>
      <c r="GC632" s="27" t="s">
        <v>8</v>
      </c>
    </row>
    <row r="633" spans="1:265" x14ac:dyDescent="0.25">
      <c r="A633" s="7">
        <v>0.40215372795091286</v>
      </c>
      <c r="B633"/>
      <c r="C633"/>
      <c r="D633"/>
      <c r="E633"/>
      <c r="F633" s="27" t="s">
        <v>7</v>
      </c>
      <c r="CU633" s="27" t="s">
        <v>8</v>
      </c>
      <c r="CV633" s="27" t="s">
        <v>7</v>
      </c>
      <c r="CW633" s="27" t="s">
        <v>8</v>
      </c>
      <c r="CX633" s="27" t="s">
        <v>7</v>
      </c>
      <c r="FS633" s="27" t="s">
        <v>8</v>
      </c>
      <c r="FT633" s="27" t="s">
        <v>7</v>
      </c>
      <c r="FU633" s="27" t="s">
        <v>8</v>
      </c>
      <c r="GB633" s="27" t="s">
        <v>7</v>
      </c>
    </row>
    <row r="634" spans="1:265" x14ac:dyDescent="0.25">
      <c r="A634" s="7">
        <v>0.39426836073618904</v>
      </c>
      <c r="B634"/>
      <c r="C634"/>
      <c r="D634"/>
      <c r="E634"/>
      <c r="F634" s="27" t="s">
        <v>7</v>
      </c>
      <c r="CU634" s="27" t="s">
        <v>8</v>
      </c>
      <c r="CV634" s="27" t="s">
        <v>7</v>
      </c>
      <c r="CW634" s="27" t="s">
        <v>8</v>
      </c>
      <c r="CX634" s="27" t="s">
        <v>7</v>
      </c>
      <c r="FS634" s="27" t="s">
        <v>8</v>
      </c>
      <c r="FT634" s="27" t="s">
        <v>7</v>
      </c>
      <c r="FU634" s="27" t="s">
        <v>8</v>
      </c>
    </row>
    <row r="635" spans="1:265" x14ac:dyDescent="0.25">
      <c r="A635" s="7">
        <v>0.38653760856489122</v>
      </c>
      <c r="B635"/>
      <c r="C635"/>
      <c r="D635"/>
      <c r="E635"/>
      <c r="F635" s="27" t="s">
        <v>7</v>
      </c>
      <c r="CU635" s="27" t="s">
        <v>8</v>
      </c>
      <c r="CV635" s="27" t="s">
        <v>7</v>
      </c>
      <c r="CW635" s="27" t="s">
        <v>8</v>
      </c>
      <c r="CX635" s="27" t="s">
        <v>7</v>
      </c>
      <c r="FS635" s="27" t="s">
        <v>8</v>
      </c>
      <c r="FT635" s="27" t="s">
        <v>7</v>
      </c>
    </row>
    <row r="636" spans="1:265" x14ac:dyDescent="0.25">
      <c r="A636" s="7">
        <v>0.37895843976950117</v>
      </c>
      <c r="B636"/>
      <c r="C636"/>
      <c r="D636"/>
      <c r="E636"/>
      <c r="F636" s="27" t="s">
        <v>7</v>
      </c>
      <c r="CU636" s="27" t="s">
        <v>8</v>
      </c>
      <c r="CV636" s="27" t="s">
        <v>7</v>
      </c>
      <c r="CW636" s="27" t="s">
        <v>8</v>
      </c>
      <c r="CX636" s="27" t="s">
        <v>7</v>
      </c>
      <c r="FS636" s="27" t="s">
        <v>8</v>
      </c>
    </row>
    <row r="637" spans="1:265" x14ac:dyDescent="0.25">
      <c r="A637" s="7">
        <v>0.37152788212696197</v>
      </c>
      <c r="B637"/>
      <c r="C637"/>
      <c r="D637"/>
      <c r="E637"/>
      <c r="F637" s="27" t="s">
        <v>7</v>
      </c>
      <c r="CS637" s="27" t="s">
        <v>8</v>
      </c>
      <c r="CU637" s="27" t="s">
        <v>8</v>
      </c>
      <c r="CV637" s="27" t="s">
        <v>7</v>
      </c>
      <c r="CW637" s="27" t="s">
        <v>8</v>
      </c>
      <c r="CX637" s="27" t="s">
        <v>7</v>
      </c>
      <c r="FQ637" s="27" t="s">
        <v>8</v>
      </c>
      <c r="FS637" s="27" t="s">
        <v>8</v>
      </c>
    </row>
    <row r="638" spans="1:265" x14ac:dyDescent="0.25">
      <c r="A638" s="7">
        <v>0.36424302169310002</v>
      </c>
      <c r="B638"/>
      <c r="C638"/>
      <c r="D638"/>
      <c r="E638"/>
      <c r="F638" s="27" t="s">
        <v>7</v>
      </c>
      <c r="CS638" s="27" t="s">
        <v>8</v>
      </c>
      <c r="CT638" s="27" t="s">
        <v>7</v>
      </c>
      <c r="CU638" s="27" t="s">
        <v>8</v>
      </c>
      <c r="CV638" s="27" t="s">
        <v>7</v>
      </c>
      <c r="CW638" s="27" t="s">
        <v>8</v>
      </c>
      <c r="CX638" s="27" t="s">
        <v>7</v>
      </c>
      <c r="CY638" s="27" t="s">
        <v>8</v>
      </c>
      <c r="DA638" s="27" t="s">
        <v>8</v>
      </c>
      <c r="FQ638" s="27" t="s">
        <v>8</v>
      </c>
      <c r="FR638" s="27" t="s">
        <v>7</v>
      </c>
      <c r="FS638" s="27" t="s">
        <v>8</v>
      </c>
    </row>
    <row r="639" spans="1:265" x14ac:dyDescent="0.25">
      <c r="A639" s="7">
        <v>0.35710100165990194</v>
      </c>
      <c r="B639"/>
      <c r="C639"/>
      <c r="D639"/>
      <c r="E639"/>
      <c r="F639" s="27" t="s">
        <v>7</v>
      </c>
      <c r="CS639" s="27" t="s">
        <v>8</v>
      </c>
      <c r="CT639" s="27" t="s">
        <v>7</v>
      </c>
      <c r="CU639" s="27" t="s">
        <v>8</v>
      </c>
      <c r="CV639" s="27" t="s">
        <v>7</v>
      </c>
      <c r="CW639" s="27" t="s">
        <v>8</v>
      </c>
      <c r="CX639" s="27" t="s">
        <v>7</v>
      </c>
      <c r="CY639" s="27" t="s">
        <v>8</v>
      </c>
      <c r="CZ639" s="27" t="s">
        <v>7</v>
      </c>
      <c r="DA639" s="27" t="s">
        <v>8</v>
      </c>
      <c r="DB639" s="27" t="s">
        <v>7</v>
      </c>
      <c r="FI639" s="27" t="s">
        <v>8</v>
      </c>
      <c r="FQ639" s="27" t="s">
        <v>8</v>
      </c>
      <c r="FR639" s="27" t="s">
        <v>7</v>
      </c>
      <c r="FS639" s="27" t="s">
        <v>8</v>
      </c>
    </row>
    <row r="640" spans="1:265" x14ac:dyDescent="0.25">
      <c r="A640" s="7">
        <v>0.35009902123519804</v>
      </c>
      <c r="B640"/>
      <c r="C640"/>
      <c r="D640"/>
      <c r="E640"/>
      <c r="F640" s="27" t="s">
        <v>7</v>
      </c>
      <c r="CS640" s="27" t="s">
        <v>8</v>
      </c>
      <c r="CT640" s="27" t="s">
        <v>7</v>
      </c>
      <c r="CU640" s="27" t="s">
        <v>8</v>
      </c>
      <c r="CV640" s="27" t="s">
        <v>7</v>
      </c>
      <c r="CW640" s="27" t="s">
        <v>8</v>
      </c>
      <c r="CX640" s="27" t="s">
        <v>7</v>
      </c>
      <c r="CY640" s="27" t="s">
        <v>8</v>
      </c>
      <c r="CZ640" s="27" t="s">
        <v>7</v>
      </c>
      <c r="DA640" s="27" t="s">
        <v>8</v>
      </c>
      <c r="DB640" s="27" t="s">
        <v>7</v>
      </c>
      <c r="FI640" s="27" t="s">
        <v>8</v>
      </c>
      <c r="FJ640" s="27" t="s">
        <v>7</v>
      </c>
      <c r="FQ640" s="27" t="s">
        <v>8</v>
      </c>
      <c r="FR640" s="27" t="s">
        <v>7</v>
      </c>
      <c r="FS640" s="27" t="s">
        <v>8</v>
      </c>
    </row>
    <row r="641" spans="1:174" x14ac:dyDescent="0.25">
      <c r="A641" s="7">
        <v>0.34323433454431179</v>
      </c>
      <c r="B641"/>
      <c r="C641"/>
      <c r="D641"/>
      <c r="E641"/>
      <c r="F641" s="27" t="s">
        <v>7</v>
      </c>
      <c r="CS641" s="27" t="s">
        <v>8</v>
      </c>
      <c r="CT641" s="27" t="s">
        <v>7</v>
      </c>
      <c r="CU641" s="27" t="s">
        <v>8</v>
      </c>
      <c r="CV641" s="27" t="s">
        <v>7</v>
      </c>
      <c r="CX641" s="27" t="s">
        <v>7</v>
      </c>
      <c r="CY641" s="27" t="s">
        <v>8</v>
      </c>
      <c r="CZ641" s="27" t="s">
        <v>7</v>
      </c>
      <c r="DA641" s="27" t="s">
        <v>8</v>
      </c>
      <c r="DB641" s="27" t="s">
        <v>7</v>
      </c>
      <c r="FI641" s="27" t="s">
        <v>8</v>
      </c>
      <c r="FJ641" s="27" t="s">
        <v>7</v>
      </c>
      <c r="FQ641" s="27" t="s">
        <v>8</v>
      </c>
      <c r="FR641" s="27" t="s">
        <v>7</v>
      </c>
    </row>
    <row r="642" spans="1:174" x14ac:dyDescent="0.25">
      <c r="A642" s="7">
        <v>0.33650424955324681</v>
      </c>
      <c r="B642"/>
      <c r="C642"/>
      <c r="D642"/>
      <c r="E642"/>
      <c r="F642" s="27" t="s">
        <v>7</v>
      </c>
      <c r="CQ642" s="27" t="s">
        <v>8</v>
      </c>
      <c r="CS642" s="27" t="s">
        <v>8</v>
      </c>
      <c r="CT642" s="27" t="s">
        <v>7</v>
      </c>
      <c r="CU642" s="27" t="s">
        <v>8</v>
      </c>
      <c r="CX642" s="27" t="s">
        <v>7</v>
      </c>
      <c r="CY642" s="27" t="s">
        <v>8</v>
      </c>
      <c r="CZ642" s="27" t="s">
        <v>7</v>
      </c>
      <c r="DA642" s="27" t="s">
        <v>8</v>
      </c>
      <c r="DB642" s="27" t="s">
        <v>7</v>
      </c>
      <c r="FI642" s="27" t="s">
        <v>8</v>
      </c>
      <c r="FJ642" s="27" t="s">
        <v>7</v>
      </c>
      <c r="FQ642" s="27" t="s">
        <v>8</v>
      </c>
    </row>
    <row r="643" spans="1:174" x14ac:dyDescent="0.25">
      <c r="A643" s="7">
        <v>0.3299061270129871</v>
      </c>
      <c r="B643"/>
      <c r="C643"/>
      <c r="D643"/>
      <c r="E643"/>
      <c r="F643" s="27" t="s">
        <v>7</v>
      </c>
      <c r="CQ643" s="27" t="s">
        <v>8</v>
      </c>
      <c r="CR643" s="27" t="s">
        <v>7</v>
      </c>
      <c r="CS643" s="27" t="s">
        <v>8</v>
      </c>
      <c r="CT643" s="27" t="s">
        <v>7</v>
      </c>
      <c r="CU643" s="27" t="s">
        <v>8</v>
      </c>
      <c r="CX643" s="27" t="s">
        <v>7</v>
      </c>
      <c r="CZ643" s="27" t="s">
        <v>7</v>
      </c>
      <c r="DA643" s="27" t="s">
        <v>8</v>
      </c>
      <c r="DB643" s="27" t="s">
        <v>7</v>
      </c>
      <c r="FI643" s="27" t="s">
        <v>8</v>
      </c>
      <c r="FJ643" s="27" t="s">
        <v>7</v>
      </c>
      <c r="FQ643" s="27" t="s">
        <v>8</v>
      </c>
    </row>
    <row r="644" spans="1:174" x14ac:dyDescent="0.25">
      <c r="A644" s="7">
        <v>0.32343737942449713</v>
      </c>
      <c r="B644"/>
      <c r="C644"/>
      <c r="D644"/>
      <c r="E644"/>
      <c r="F644" s="27" t="s">
        <v>7</v>
      </c>
      <c r="CQ644" s="27" t="s">
        <v>8</v>
      </c>
      <c r="CR644" s="27" t="s">
        <v>7</v>
      </c>
      <c r="CS644" s="27" t="s">
        <v>8</v>
      </c>
      <c r="CT644" s="27" t="s">
        <v>7</v>
      </c>
      <c r="CU644" s="27" t="s">
        <v>8</v>
      </c>
      <c r="CZ644" s="27" t="s">
        <v>7</v>
      </c>
      <c r="DA644" s="27" t="s">
        <v>8</v>
      </c>
      <c r="DB644" s="27" t="s">
        <v>7</v>
      </c>
      <c r="FI644" s="27" t="s">
        <v>8</v>
      </c>
      <c r="FJ644" s="27" t="s">
        <v>7</v>
      </c>
      <c r="FM644" s="27" t="s">
        <v>8</v>
      </c>
      <c r="FO644" s="27" t="s">
        <v>8</v>
      </c>
      <c r="FQ644" s="27" t="s">
        <v>8</v>
      </c>
    </row>
    <row r="645" spans="1:174" x14ac:dyDescent="0.25">
      <c r="A645" s="7">
        <v>0.31709547002401678</v>
      </c>
      <c r="B645"/>
      <c r="C645"/>
      <c r="D645"/>
      <c r="E645"/>
      <c r="F645" s="27" t="s">
        <v>7</v>
      </c>
      <c r="U645" s="27" t="s">
        <v>8</v>
      </c>
      <c r="W645" s="27" t="s">
        <v>8</v>
      </c>
      <c r="CQ645" s="27" t="s">
        <v>8</v>
      </c>
      <c r="CR645" s="27" t="s">
        <v>7</v>
      </c>
      <c r="CS645" s="27" t="s">
        <v>8</v>
      </c>
      <c r="CT645" s="27" t="s">
        <v>7</v>
      </c>
      <c r="CU645" s="27" t="s">
        <v>8</v>
      </c>
      <c r="CZ645" s="27" t="s">
        <v>7</v>
      </c>
      <c r="DB645" s="27" t="s">
        <v>7</v>
      </c>
      <c r="FI645" s="27" t="s">
        <v>8</v>
      </c>
      <c r="FJ645" s="27" t="s">
        <v>7</v>
      </c>
      <c r="FK645" s="27" t="s">
        <v>8</v>
      </c>
      <c r="FM645" s="27" t="s">
        <v>8</v>
      </c>
      <c r="FN645" s="27" t="s">
        <v>7</v>
      </c>
      <c r="FO645" s="27" t="s">
        <v>8</v>
      </c>
      <c r="FP645" s="27" t="s">
        <v>7</v>
      </c>
      <c r="FQ645" s="27" t="s">
        <v>8</v>
      </c>
    </row>
    <row r="646" spans="1:174" x14ac:dyDescent="0.25">
      <c r="A646" s="7">
        <v>0.31087791178825175</v>
      </c>
      <c r="B646"/>
      <c r="C646"/>
      <c r="D646"/>
      <c r="E646"/>
      <c r="F646" s="27" t="s">
        <v>7</v>
      </c>
      <c r="U646" s="27" t="s">
        <v>8</v>
      </c>
      <c r="V646" s="27" t="s">
        <v>7</v>
      </c>
      <c r="W646" s="27" t="s">
        <v>8</v>
      </c>
      <c r="X646" s="27" t="s">
        <v>7</v>
      </c>
      <c r="CQ646" s="27" t="s">
        <v>8</v>
      </c>
      <c r="CR646" s="27" t="s">
        <v>7</v>
      </c>
      <c r="CS646" s="27" t="s">
        <v>8</v>
      </c>
      <c r="CT646" s="27" t="s">
        <v>7</v>
      </c>
      <c r="DB646" s="27" t="s">
        <v>7</v>
      </c>
      <c r="FI646" s="27" t="s">
        <v>8</v>
      </c>
      <c r="FJ646" s="27" t="s">
        <v>7</v>
      </c>
      <c r="FK646" s="27" t="s">
        <v>8</v>
      </c>
      <c r="FL646" s="27" t="s">
        <v>7</v>
      </c>
      <c r="FM646" s="27" t="s">
        <v>8</v>
      </c>
      <c r="FN646" s="27" t="s">
        <v>7</v>
      </c>
      <c r="FO646" s="27" t="s">
        <v>8</v>
      </c>
      <c r="FP646" s="27" t="s">
        <v>7</v>
      </c>
      <c r="FQ646" s="27" t="s">
        <v>8</v>
      </c>
    </row>
    <row r="647" spans="1:174" x14ac:dyDescent="0.25">
      <c r="A647" s="7">
        <v>0.30478226645907036</v>
      </c>
      <c r="B647"/>
      <c r="C647"/>
      <c r="D647"/>
      <c r="E647"/>
      <c r="F647" s="27" t="s">
        <v>7</v>
      </c>
      <c r="U647" s="27" t="s">
        <v>8</v>
      </c>
      <c r="V647" s="27" t="s">
        <v>7</v>
      </c>
      <c r="W647" s="27" t="s">
        <v>8</v>
      </c>
      <c r="X647" s="27" t="s">
        <v>7</v>
      </c>
      <c r="CQ647" s="27" t="s">
        <v>8</v>
      </c>
      <c r="CR647" s="27" t="s">
        <v>7</v>
      </c>
      <c r="CS647" s="27" t="s">
        <v>8</v>
      </c>
      <c r="DB647" s="27" t="s">
        <v>7</v>
      </c>
      <c r="FI647" s="27" t="s">
        <v>8</v>
      </c>
      <c r="FJ647" s="27" t="s">
        <v>7</v>
      </c>
      <c r="FK647" s="27" t="s">
        <v>8</v>
      </c>
      <c r="FL647" s="27" t="s">
        <v>7</v>
      </c>
      <c r="FM647" s="27" t="s">
        <v>8</v>
      </c>
      <c r="FN647" s="27" t="s">
        <v>7</v>
      </c>
      <c r="FO647" s="27" t="s">
        <v>8</v>
      </c>
      <c r="FP647" s="27" t="s">
        <v>7</v>
      </c>
    </row>
    <row r="648" spans="1:174" x14ac:dyDescent="0.25">
      <c r="A648" s="7">
        <v>0.29880614358732388</v>
      </c>
      <c r="B648"/>
      <c r="C648"/>
      <c r="D648"/>
      <c r="E648"/>
      <c r="F648" s="27" t="s">
        <v>7</v>
      </c>
      <c r="U648" s="27" t="s">
        <v>8</v>
      </c>
      <c r="V648" s="27" t="s">
        <v>7</v>
      </c>
      <c r="W648" s="27" t="s">
        <v>8</v>
      </c>
      <c r="X648" s="27" t="s">
        <v>7</v>
      </c>
      <c r="CA648" s="27" t="s">
        <v>8</v>
      </c>
      <c r="CQ648" s="27" t="s">
        <v>8</v>
      </c>
      <c r="CR648" s="27" t="s">
        <v>7</v>
      </c>
      <c r="DB648" s="27" t="s">
        <v>7</v>
      </c>
      <c r="FG648" s="27" t="s">
        <v>8</v>
      </c>
      <c r="FI648" s="27" t="s">
        <v>8</v>
      </c>
      <c r="FJ648" s="27" t="s">
        <v>7</v>
      </c>
      <c r="FK648" s="27" t="s">
        <v>8</v>
      </c>
      <c r="FL648" s="27" t="s">
        <v>7</v>
      </c>
      <c r="FM648" s="27" t="s">
        <v>8</v>
      </c>
      <c r="FN648" s="27" t="s">
        <v>7</v>
      </c>
      <c r="FO648" s="27" t="s">
        <v>8</v>
      </c>
    </row>
    <row r="649" spans="1:174" x14ac:dyDescent="0.25">
      <c r="A649" s="7">
        <v>0.2929471995954156</v>
      </c>
      <c r="B649"/>
      <c r="C649"/>
      <c r="D649"/>
      <c r="E649"/>
      <c r="F649" s="27" t="s">
        <v>7</v>
      </c>
      <c r="U649" s="27" t="s">
        <v>8</v>
      </c>
      <c r="V649" s="27" t="s">
        <v>7</v>
      </c>
      <c r="W649" s="27" t="s">
        <v>8</v>
      </c>
      <c r="X649" s="27" t="s">
        <v>7</v>
      </c>
      <c r="CA649" s="27" t="s">
        <v>8</v>
      </c>
      <c r="CB649" s="27" t="s">
        <v>7</v>
      </c>
      <c r="CQ649" s="27" t="s">
        <v>8</v>
      </c>
      <c r="DB649" s="27" t="s">
        <v>7</v>
      </c>
      <c r="EY649" s="27" t="s">
        <v>8</v>
      </c>
      <c r="FG649" s="27" t="s">
        <v>8</v>
      </c>
      <c r="FH649" s="27" t="s">
        <v>7</v>
      </c>
      <c r="FI649" s="27" t="s">
        <v>8</v>
      </c>
      <c r="FJ649" s="27" t="s">
        <v>7</v>
      </c>
      <c r="FK649" s="27" t="s">
        <v>8</v>
      </c>
      <c r="FL649" s="27" t="s">
        <v>7</v>
      </c>
      <c r="FN649" s="27" t="s">
        <v>7</v>
      </c>
    </row>
    <row r="650" spans="1:174" x14ac:dyDescent="0.25">
      <c r="A650" s="7">
        <v>0.28720313685825055</v>
      </c>
      <c r="B650"/>
      <c r="C650"/>
      <c r="D650"/>
      <c r="E650"/>
      <c r="F650" s="27" t="s">
        <v>7</v>
      </c>
      <c r="U650" s="27" t="s">
        <v>8</v>
      </c>
      <c r="V650" s="27" t="s">
        <v>7</v>
      </c>
      <c r="W650" s="27" t="s">
        <v>8</v>
      </c>
      <c r="X650" s="27" t="s">
        <v>7</v>
      </c>
      <c r="Y650" s="27" t="s">
        <v>8</v>
      </c>
      <c r="CA650" s="27" t="s">
        <v>8</v>
      </c>
      <c r="CB650" s="27" t="s">
        <v>7</v>
      </c>
      <c r="CO650" s="27" t="s">
        <v>8</v>
      </c>
      <c r="CQ650" s="27" t="s">
        <v>8</v>
      </c>
      <c r="DB650" s="27" t="s">
        <v>7</v>
      </c>
      <c r="EI650" s="27" t="s">
        <v>8</v>
      </c>
      <c r="EY650" s="27" t="s">
        <v>8</v>
      </c>
      <c r="EZ650" s="27" t="s">
        <v>7</v>
      </c>
      <c r="FE650" s="27" t="s">
        <v>8</v>
      </c>
      <c r="FG650" s="27" t="s">
        <v>8</v>
      </c>
      <c r="FH650" s="27" t="s">
        <v>7</v>
      </c>
      <c r="FI650" s="27" t="s">
        <v>8</v>
      </c>
      <c r="FJ650" s="27" t="s">
        <v>7</v>
      </c>
      <c r="FK650" s="27" t="s">
        <v>8</v>
      </c>
    </row>
    <row r="651" spans="1:174" x14ac:dyDescent="0.25">
      <c r="A651" s="7">
        <v>0.28157170280220645</v>
      </c>
      <c r="B651"/>
      <c r="C651"/>
      <c r="D651"/>
      <c r="E651"/>
      <c r="F651" s="27" t="s">
        <v>7</v>
      </c>
      <c r="U651" s="27" t="s">
        <v>8</v>
      </c>
      <c r="V651" s="27" t="s">
        <v>7</v>
      </c>
      <c r="X651" s="27" t="s">
        <v>7</v>
      </c>
      <c r="Y651" s="27" t="s">
        <v>8</v>
      </c>
      <c r="Z651" s="27" t="s">
        <v>7</v>
      </c>
      <c r="AA651" s="27" t="s">
        <v>8</v>
      </c>
      <c r="CA651" s="27" t="s">
        <v>8</v>
      </c>
      <c r="CB651" s="27" t="s">
        <v>7</v>
      </c>
      <c r="CO651" s="27" t="s">
        <v>8</v>
      </c>
      <c r="CP651" s="27" t="s">
        <v>7</v>
      </c>
      <c r="CQ651" s="27" t="s">
        <v>8</v>
      </c>
      <c r="DB651" s="27" t="s">
        <v>7</v>
      </c>
      <c r="EI651" s="27" t="s">
        <v>8</v>
      </c>
      <c r="EJ651" s="27" t="s">
        <v>7</v>
      </c>
      <c r="EW651" s="27" t="s">
        <v>8</v>
      </c>
      <c r="EY651" s="27" t="s">
        <v>8</v>
      </c>
      <c r="EZ651" s="27" t="s">
        <v>7</v>
      </c>
      <c r="FE651" s="27" t="s">
        <v>8</v>
      </c>
      <c r="FF651" s="27" t="s">
        <v>7</v>
      </c>
      <c r="FG651" s="27" t="s">
        <v>8</v>
      </c>
      <c r="FH651" s="27" t="s">
        <v>7</v>
      </c>
      <c r="FI651" s="27" t="s">
        <v>8</v>
      </c>
      <c r="FJ651" s="27" t="s">
        <v>7</v>
      </c>
      <c r="FK651" s="27" t="s">
        <v>8</v>
      </c>
    </row>
    <row r="652" spans="1:174" x14ac:dyDescent="0.25">
      <c r="A652" s="7">
        <v>0.27605068902177105</v>
      </c>
      <c r="B652"/>
      <c r="C652"/>
      <c r="D652"/>
      <c r="E652"/>
      <c r="F652" s="27" t="s">
        <v>7</v>
      </c>
      <c r="S652" s="27" t="s">
        <v>8</v>
      </c>
      <c r="U652" s="27" t="s">
        <v>8</v>
      </c>
      <c r="X652" s="27" t="s">
        <v>7</v>
      </c>
      <c r="Y652" s="27" t="s">
        <v>8</v>
      </c>
      <c r="Z652" s="27" t="s">
        <v>7</v>
      </c>
      <c r="AA652" s="27" t="s">
        <v>8</v>
      </c>
      <c r="AB652" s="27" t="s">
        <v>7</v>
      </c>
      <c r="CA652" s="27" t="s">
        <v>8</v>
      </c>
      <c r="CB652" s="27" t="s">
        <v>7</v>
      </c>
      <c r="CE652" s="27" t="s">
        <v>8</v>
      </c>
      <c r="CG652" s="27" t="s">
        <v>8</v>
      </c>
      <c r="CI652" s="27" t="s">
        <v>8</v>
      </c>
      <c r="CO652" s="27" t="s">
        <v>8</v>
      </c>
      <c r="CP652" s="27" t="s">
        <v>7</v>
      </c>
      <c r="CQ652" s="27" t="s">
        <v>8</v>
      </c>
      <c r="DB652" s="27" t="s">
        <v>7</v>
      </c>
      <c r="DI652" s="27" t="s">
        <v>8</v>
      </c>
      <c r="EI652" s="27" t="s">
        <v>8</v>
      </c>
      <c r="EJ652" s="27" t="s">
        <v>7</v>
      </c>
      <c r="EW652" s="27" t="s">
        <v>8</v>
      </c>
      <c r="EX652" s="27" t="s">
        <v>7</v>
      </c>
      <c r="EY652" s="27" t="s">
        <v>8</v>
      </c>
      <c r="EZ652" s="27" t="s">
        <v>7</v>
      </c>
      <c r="FE652" s="27" t="s">
        <v>8</v>
      </c>
      <c r="FF652" s="27" t="s">
        <v>7</v>
      </c>
      <c r="FG652" s="27" t="s">
        <v>8</v>
      </c>
      <c r="FH652" s="27" t="s">
        <v>7</v>
      </c>
      <c r="FI652" s="27" t="s">
        <v>8</v>
      </c>
      <c r="FJ652" s="27" t="s">
        <v>7</v>
      </c>
    </row>
    <row r="653" spans="1:174" x14ac:dyDescent="0.25">
      <c r="A653" s="7">
        <v>0.27063793041350104</v>
      </c>
      <c r="B653"/>
      <c r="C653"/>
      <c r="D653"/>
      <c r="E653"/>
      <c r="F653" s="27" t="s">
        <v>7</v>
      </c>
      <c r="Q653" s="27" t="s">
        <v>8</v>
      </c>
      <c r="S653" s="27" t="s">
        <v>8</v>
      </c>
      <c r="T653" s="27" t="s">
        <v>7</v>
      </c>
      <c r="U653" s="27" t="s">
        <v>8</v>
      </c>
      <c r="X653" s="27" t="s">
        <v>7</v>
      </c>
      <c r="Y653" s="27" t="s">
        <v>8</v>
      </c>
      <c r="Z653" s="27" t="s">
        <v>7</v>
      </c>
      <c r="AA653" s="27" t="s">
        <v>8</v>
      </c>
      <c r="AB653" s="27" t="s">
        <v>7</v>
      </c>
      <c r="CA653" s="27" t="s">
        <v>8</v>
      </c>
      <c r="CB653" s="27" t="s">
        <v>7</v>
      </c>
      <c r="CC653" s="27" t="s">
        <v>8</v>
      </c>
      <c r="CE653" s="27" t="s">
        <v>8</v>
      </c>
      <c r="CF653" s="27" t="s">
        <v>7</v>
      </c>
      <c r="CG653" s="27" t="s">
        <v>8</v>
      </c>
      <c r="CH653" s="27" t="s">
        <v>7</v>
      </c>
      <c r="CI653" s="27" t="s">
        <v>8</v>
      </c>
      <c r="CJ653" s="27" t="s">
        <v>7</v>
      </c>
      <c r="CO653" s="27" t="s">
        <v>8</v>
      </c>
      <c r="CP653" s="27" t="s">
        <v>7</v>
      </c>
      <c r="CQ653" s="27" t="s">
        <v>8</v>
      </c>
      <c r="DB653" s="27" t="s">
        <v>7</v>
      </c>
      <c r="DC653" s="27" t="s">
        <v>8</v>
      </c>
      <c r="DI653" s="27" t="s">
        <v>8</v>
      </c>
      <c r="DJ653" s="27" t="s">
        <v>7</v>
      </c>
      <c r="EI653" s="27" t="s">
        <v>8</v>
      </c>
      <c r="EJ653" s="27" t="s">
        <v>7</v>
      </c>
      <c r="EW653" s="27" t="s">
        <v>8</v>
      </c>
      <c r="EX653" s="27" t="s">
        <v>7</v>
      </c>
      <c r="EY653" s="27" t="s">
        <v>8</v>
      </c>
      <c r="EZ653" s="27" t="s">
        <v>7</v>
      </c>
      <c r="FE653" s="27" t="s">
        <v>8</v>
      </c>
      <c r="FF653" s="27" t="s">
        <v>7</v>
      </c>
      <c r="FG653" s="27" t="s">
        <v>8</v>
      </c>
      <c r="FH653" s="27" t="s">
        <v>7</v>
      </c>
      <c r="FI653" s="27" t="s">
        <v>8</v>
      </c>
    </row>
    <row r="654" spans="1:174" x14ac:dyDescent="0.25">
      <c r="A654" s="7">
        <v>0.26533130432696184</v>
      </c>
      <c r="B654"/>
      <c r="C654"/>
      <c r="D654"/>
      <c r="E654"/>
      <c r="F654" s="27" t="s">
        <v>7</v>
      </c>
      <c r="Q654" s="27" t="s">
        <v>8</v>
      </c>
      <c r="R654" s="27" t="s">
        <v>7</v>
      </c>
      <c r="S654" s="27" t="s">
        <v>8</v>
      </c>
      <c r="T654" s="27" t="s">
        <v>7</v>
      </c>
      <c r="U654" s="27" t="s">
        <v>8</v>
      </c>
      <c r="X654" s="27" t="s">
        <v>7</v>
      </c>
      <c r="Y654" s="27" t="s">
        <v>8</v>
      </c>
      <c r="Z654" s="27" t="s">
        <v>7</v>
      </c>
      <c r="AA654" s="27" t="s">
        <v>8</v>
      </c>
      <c r="AB654" s="27" t="s">
        <v>7</v>
      </c>
      <c r="CA654" s="27" t="s">
        <v>8</v>
      </c>
      <c r="CB654" s="27" t="s">
        <v>7</v>
      </c>
      <c r="CC654" s="27" t="s">
        <v>8</v>
      </c>
      <c r="CD654" s="27" t="s">
        <v>7</v>
      </c>
      <c r="CE654" s="27" t="s">
        <v>8</v>
      </c>
      <c r="CF654" s="27" t="s">
        <v>7</v>
      </c>
      <c r="CG654" s="27" t="s">
        <v>8</v>
      </c>
      <c r="CH654" s="27" t="s">
        <v>7</v>
      </c>
      <c r="CI654" s="27" t="s">
        <v>8</v>
      </c>
      <c r="CJ654" s="27" t="s">
        <v>7</v>
      </c>
      <c r="CO654" s="27" t="s">
        <v>8</v>
      </c>
      <c r="CP654" s="27" t="s">
        <v>7</v>
      </c>
      <c r="CQ654" s="27" t="s">
        <v>8</v>
      </c>
      <c r="DB654" s="27" t="s">
        <v>7</v>
      </c>
      <c r="DC654" s="27" t="s">
        <v>8</v>
      </c>
      <c r="DD654" s="27" t="s">
        <v>7</v>
      </c>
      <c r="DI654" s="27" t="s">
        <v>8</v>
      </c>
      <c r="DJ654" s="27" t="s">
        <v>7</v>
      </c>
      <c r="EI654" s="27" t="s">
        <v>8</v>
      </c>
      <c r="EJ654" s="27" t="s">
        <v>7</v>
      </c>
      <c r="EW654" s="27" t="s">
        <v>8</v>
      </c>
      <c r="EX654" s="27" t="s">
        <v>7</v>
      </c>
      <c r="EY654" s="27" t="s">
        <v>8</v>
      </c>
      <c r="EZ654" s="27" t="s">
        <v>7</v>
      </c>
      <c r="FE654" s="27" t="s">
        <v>8</v>
      </c>
      <c r="FF654" s="27" t="s">
        <v>7</v>
      </c>
      <c r="FG654" s="27" t="s">
        <v>8</v>
      </c>
      <c r="FH654" s="27" t="s">
        <v>7</v>
      </c>
      <c r="FI654" s="27" t="s">
        <v>8</v>
      </c>
    </row>
    <row r="655" spans="1:174" x14ac:dyDescent="0.25">
      <c r="A655" s="7">
        <v>0.26012872973231554</v>
      </c>
      <c r="B655"/>
      <c r="C655"/>
      <c r="D655"/>
      <c r="E655"/>
      <c r="F655" s="27" t="s">
        <v>7</v>
      </c>
      <c r="Q655" s="27" t="s">
        <v>8</v>
      </c>
      <c r="R655" s="27" t="s">
        <v>7</v>
      </c>
      <c r="S655" s="27" t="s">
        <v>8</v>
      </c>
      <c r="T655" s="27" t="s">
        <v>7</v>
      </c>
      <c r="U655" s="27" t="s">
        <v>8</v>
      </c>
      <c r="X655" s="27" t="s">
        <v>7</v>
      </c>
      <c r="Y655" s="27" t="s">
        <v>8</v>
      </c>
      <c r="Z655" s="27" t="s">
        <v>7</v>
      </c>
      <c r="AA655" s="27" t="s">
        <v>8</v>
      </c>
      <c r="AB655" s="27" t="s">
        <v>7</v>
      </c>
      <c r="CA655" s="27" t="s">
        <v>8</v>
      </c>
      <c r="CB655" s="27" t="s">
        <v>7</v>
      </c>
      <c r="CC655" s="27" t="s">
        <v>8</v>
      </c>
      <c r="CD655" s="27" t="s">
        <v>7</v>
      </c>
      <c r="CE655" s="27" t="s">
        <v>8</v>
      </c>
      <c r="CF655" s="27" t="s">
        <v>7</v>
      </c>
      <c r="CG655" s="27" t="s">
        <v>8</v>
      </c>
      <c r="CH655" s="27" t="s">
        <v>7</v>
      </c>
      <c r="CJ655" s="27" t="s">
        <v>7</v>
      </c>
      <c r="CK655" s="27" t="s">
        <v>8</v>
      </c>
      <c r="CM655" s="27" t="s">
        <v>8</v>
      </c>
      <c r="CO655" s="27" t="s">
        <v>8</v>
      </c>
      <c r="CP655" s="27" t="s">
        <v>7</v>
      </c>
      <c r="CQ655" s="27" t="s">
        <v>8</v>
      </c>
      <c r="DB655" s="27" t="s">
        <v>7</v>
      </c>
      <c r="DC655" s="27" t="s">
        <v>8</v>
      </c>
      <c r="DD655" s="27" t="s">
        <v>7</v>
      </c>
      <c r="DE655" s="27" t="s">
        <v>8</v>
      </c>
      <c r="DG655" s="27" t="s">
        <v>8</v>
      </c>
      <c r="DI655" s="27" t="s">
        <v>8</v>
      </c>
      <c r="DJ655" s="27" t="s">
        <v>7</v>
      </c>
      <c r="EI655" s="27" t="s">
        <v>8</v>
      </c>
      <c r="EJ655" s="27" t="s">
        <v>7</v>
      </c>
      <c r="EK655" s="27" t="s">
        <v>8</v>
      </c>
      <c r="EO655" s="27" t="s">
        <v>8</v>
      </c>
      <c r="EW655" s="27" t="s">
        <v>8</v>
      </c>
      <c r="EX655" s="27" t="s">
        <v>7</v>
      </c>
      <c r="EY655" s="27" t="s">
        <v>8</v>
      </c>
      <c r="EZ655" s="27" t="s">
        <v>7</v>
      </c>
      <c r="FE655" s="27" t="s">
        <v>8</v>
      </c>
      <c r="FF655" s="27" t="s">
        <v>7</v>
      </c>
      <c r="FG655" s="27" t="s">
        <v>8</v>
      </c>
      <c r="FH655" s="27" t="s">
        <v>7</v>
      </c>
      <c r="FI655" s="27" t="s">
        <v>8</v>
      </c>
    </row>
    <row r="656" spans="1:174" x14ac:dyDescent="0.25">
      <c r="A656" s="7">
        <v>0.25502816640423093</v>
      </c>
      <c r="B656"/>
      <c r="C656"/>
      <c r="D656"/>
      <c r="E656"/>
      <c r="F656" s="27" t="s">
        <v>7</v>
      </c>
      <c r="Q656" s="27" t="s">
        <v>8</v>
      </c>
      <c r="R656" s="27" t="s">
        <v>7</v>
      </c>
      <c r="S656" s="27" t="s">
        <v>8</v>
      </c>
      <c r="T656" s="27" t="s">
        <v>7</v>
      </c>
      <c r="X656" s="27" t="s">
        <v>7</v>
      </c>
      <c r="Y656" s="27" t="s">
        <v>8</v>
      </c>
      <c r="Z656" s="27" t="s">
        <v>7</v>
      </c>
      <c r="AA656" s="27" t="s">
        <v>8</v>
      </c>
      <c r="AB656" s="27" t="s">
        <v>7</v>
      </c>
      <c r="BI656" s="27" t="s">
        <v>8</v>
      </c>
      <c r="BW656" s="27" t="s">
        <v>8</v>
      </c>
      <c r="CA656" s="27" t="s">
        <v>8</v>
      </c>
      <c r="CB656" s="27" t="s">
        <v>7</v>
      </c>
      <c r="CC656" s="27" t="s">
        <v>8</v>
      </c>
      <c r="CD656" s="27" t="s">
        <v>7</v>
      </c>
      <c r="CE656" s="27" t="s">
        <v>8</v>
      </c>
      <c r="CF656" s="27" t="s">
        <v>7</v>
      </c>
      <c r="CG656" s="27" t="s">
        <v>8</v>
      </c>
      <c r="CJ656" s="27" t="s">
        <v>7</v>
      </c>
      <c r="CK656" s="27" t="s">
        <v>8</v>
      </c>
      <c r="CL656" s="27" t="s">
        <v>7</v>
      </c>
      <c r="CM656" s="27" t="s">
        <v>8</v>
      </c>
      <c r="CN656" s="27" t="s">
        <v>7</v>
      </c>
      <c r="CO656" s="27" t="s">
        <v>8</v>
      </c>
      <c r="CP656" s="27" t="s">
        <v>7</v>
      </c>
      <c r="CQ656" s="27" t="s">
        <v>8</v>
      </c>
      <c r="DB656" s="27" t="s">
        <v>7</v>
      </c>
      <c r="DC656" s="27" t="s">
        <v>8</v>
      </c>
      <c r="DD656" s="27" t="s">
        <v>7</v>
      </c>
      <c r="DE656" s="27" t="s">
        <v>8</v>
      </c>
      <c r="DF656" s="27" t="s">
        <v>7</v>
      </c>
      <c r="DG656" s="27" t="s">
        <v>8</v>
      </c>
      <c r="DH656" s="27" t="s">
        <v>7</v>
      </c>
      <c r="DI656" s="27" t="s">
        <v>8</v>
      </c>
      <c r="DJ656" s="27" t="s">
        <v>7</v>
      </c>
      <c r="DK656" s="27" t="s">
        <v>8</v>
      </c>
      <c r="EI656" s="27" t="s">
        <v>8</v>
      </c>
      <c r="EJ656" s="27" t="s">
        <v>7</v>
      </c>
      <c r="EK656" s="27" t="s">
        <v>8</v>
      </c>
      <c r="EL656" s="27" t="s">
        <v>7</v>
      </c>
      <c r="EO656" s="27" t="s">
        <v>8</v>
      </c>
      <c r="EP656" s="27" t="s">
        <v>7</v>
      </c>
      <c r="EW656" s="27" t="s">
        <v>8</v>
      </c>
      <c r="EX656" s="27" t="s">
        <v>7</v>
      </c>
      <c r="EY656" s="27" t="s">
        <v>8</v>
      </c>
      <c r="EZ656" s="27" t="s">
        <v>7</v>
      </c>
      <c r="FC656" s="27" t="s">
        <v>8</v>
      </c>
      <c r="FE656" s="27" t="s">
        <v>8</v>
      </c>
      <c r="FF656" s="27" t="s">
        <v>7</v>
      </c>
      <c r="FG656" s="27" t="s">
        <v>8</v>
      </c>
      <c r="FH656" s="27" t="s">
        <v>7</v>
      </c>
      <c r="FI656" s="27" t="s">
        <v>8</v>
      </c>
    </row>
    <row r="657" spans="1:165" x14ac:dyDescent="0.25">
      <c r="A657" s="7">
        <v>0.25002761412179503</v>
      </c>
      <c r="B657"/>
      <c r="C657"/>
      <c r="D657"/>
      <c r="E657"/>
      <c r="F657" s="27" t="s">
        <v>7</v>
      </c>
      <c r="Q657" s="27" t="s">
        <v>8</v>
      </c>
      <c r="R657" s="27" t="s">
        <v>7</v>
      </c>
      <c r="X657" s="27" t="s">
        <v>7</v>
      </c>
      <c r="Y657" s="27" t="s">
        <v>8</v>
      </c>
      <c r="Z657" s="27" t="s">
        <v>7</v>
      </c>
      <c r="AA657" s="27" t="s">
        <v>8</v>
      </c>
      <c r="AB657" s="27" t="s">
        <v>7</v>
      </c>
      <c r="BI657" s="27" t="s">
        <v>8</v>
      </c>
      <c r="BJ657" s="27" t="s">
        <v>7</v>
      </c>
      <c r="BW657" s="27" t="s">
        <v>8</v>
      </c>
      <c r="BX657" s="27" t="s">
        <v>7</v>
      </c>
      <c r="CA657" s="27" t="s">
        <v>8</v>
      </c>
      <c r="CB657" s="27" t="s">
        <v>7</v>
      </c>
      <c r="CC657" s="27" t="s">
        <v>8</v>
      </c>
      <c r="CD657" s="27" t="s">
        <v>7</v>
      </c>
      <c r="CF657" s="27" t="s">
        <v>7</v>
      </c>
      <c r="CG657" s="27" t="s">
        <v>8</v>
      </c>
      <c r="CJ657" s="27" t="s">
        <v>7</v>
      </c>
      <c r="CK657" s="27" t="s">
        <v>8</v>
      </c>
      <c r="CL657" s="27" t="s">
        <v>7</v>
      </c>
      <c r="CM657" s="27" t="s">
        <v>8</v>
      </c>
      <c r="CN657" s="27" t="s">
        <v>7</v>
      </c>
      <c r="CO657" s="27" t="s">
        <v>8</v>
      </c>
      <c r="CP657" s="27" t="s">
        <v>7</v>
      </c>
      <c r="DB657" s="27" t="s">
        <v>7</v>
      </c>
      <c r="DC657" s="27" t="s">
        <v>8</v>
      </c>
      <c r="DD657" s="27" t="s">
        <v>7</v>
      </c>
      <c r="DE657" s="27" t="s">
        <v>8</v>
      </c>
      <c r="DF657" s="27" t="s">
        <v>7</v>
      </c>
      <c r="DG657" s="27" t="s">
        <v>8</v>
      </c>
      <c r="DH657" s="27" t="s">
        <v>7</v>
      </c>
      <c r="DI657" s="27" t="s">
        <v>8</v>
      </c>
      <c r="DJ657" s="27" t="s">
        <v>7</v>
      </c>
      <c r="DK657" s="27" t="s">
        <v>8</v>
      </c>
      <c r="DL657" s="27" t="s">
        <v>7</v>
      </c>
      <c r="EI657" s="27" t="s">
        <v>8</v>
      </c>
      <c r="EJ657" s="27" t="s">
        <v>7</v>
      </c>
      <c r="EK657" s="27" t="s">
        <v>8</v>
      </c>
      <c r="EL657" s="27" t="s">
        <v>7</v>
      </c>
      <c r="EM657" s="27" t="s">
        <v>8</v>
      </c>
      <c r="EO657" s="27" t="s">
        <v>8</v>
      </c>
      <c r="EP657" s="27" t="s">
        <v>7</v>
      </c>
      <c r="EW657" s="27" t="s">
        <v>8</v>
      </c>
      <c r="EX657" s="27" t="s">
        <v>7</v>
      </c>
      <c r="EY657" s="27" t="s">
        <v>8</v>
      </c>
      <c r="EZ657" s="27" t="s">
        <v>7</v>
      </c>
      <c r="FC657" s="27" t="s">
        <v>8</v>
      </c>
      <c r="FD657" s="27" t="s">
        <v>7</v>
      </c>
      <c r="FE657" s="27" t="s">
        <v>8</v>
      </c>
      <c r="FF657" s="27" t="s">
        <v>7</v>
      </c>
      <c r="FH657" s="27" t="s">
        <v>7</v>
      </c>
      <c r="FI657" s="27" t="s">
        <v>8</v>
      </c>
    </row>
    <row r="658" spans="1:165" x14ac:dyDescent="0.25">
      <c r="A658" s="7">
        <v>0.24512511188411276</v>
      </c>
      <c r="B658"/>
      <c r="C658"/>
      <c r="D658"/>
      <c r="E658"/>
      <c r="F658" s="27" t="s">
        <v>7</v>
      </c>
      <c r="Q658" s="27" t="s">
        <v>8</v>
      </c>
      <c r="X658" s="27" t="s">
        <v>7</v>
      </c>
      <c r="Y658" s="27" t="s">
        <v>8</v>
      </c>
      <c r="Z658" s="27" t="s">
        <v>7</v>
      </c>
      <c r="AB658" s="27" t="s">
        <v>7</v>
      </c>
      <c r="AE658" s="27" t="s">
        <v>8</v>
      </c>
      <c r="BI658" s="27" t="s">
        <v>8</v>
      </c>
      <c r="BJ658" s="27" t="s">
        <v>7</v>
      </c>
      <c r="BU658" s="27" t="s">
        <v>8</v>
      </c>
      <c r="BW658" s="27" t="s">
        <v>8</v>
      </c>
      <c r="BX658" s="27" t="s">
        <v>7</v>
      </c>
      <c r="CA658" s="27" t="s">
        <v>8</v>
      </c>
      <c r="CB658" s="27" t="s">
        <v>7</v>
      </c>
      <c r="CC658" s="27" t="s">
        <v>8</v>
      </c>
      <c r="CF658" s="27" t="s">
        <v>7</v>
      </c>
      <c r="CG658" s="27" t="s">
        <v>8</v>
      </c>
      <c r="CJ658" s="27" t="s">
        <v>7</v>
      </c>
      <c r="CK658" s="27" t="s">
        <v>8</v>
      </c>
      <c r="CL658" s="27" t="s">
        <v>7</v>
      </c>
      <c r="CM658" s="27" t="s">
        <v>8</v>
      </c>
      <c r="CN658" s="27" t="s">
        <v>7</v>
      </c>
      <c r="DB658" s="27" t="s">
        <v>7</v>
      </c>
      <c r="DC658" s="27" t="s">
        <v>8</v>
      </c>
      <c r="DD658" s="27" t="s">
        <v>7</v>
      </c>
      <c r="DE658" s="27" t="s">
        <v>8</v>
      </c>
      <c r="DF658" s="27" t="s">
        <v>7</v>
      </c>
      <c r="DG658" s="27" t="s">
        <v>8</v>
      </c>
      <c r="DH658" s="27" t="s">
        <v>7</v>
      </c>
      <c r="DJ658" s="27" t="s">
        <v>7</v>
      </c>
      <c r="DK658" s="27" t="s">
        <v>8</v>
      </c>
      <c r="DL658" s="27" t="s">
        <v>7</v>
      </c>
      <c r="DQ658" s="27" t="s">
        <v>8</v>
      </c>
      <c r="EI658" s="27" t="s">
        <v>8</v>
      </c>
      <c r="EJ658" s="27" t="s">
        <v>7</v>
      </c>
      <c r="EK658" s="27" t="s">
        <v>8</v>
      </c>
      <c r="EL658" s="27" t="s">
        <v>7</v>
      </c>
      <c r="EM658" s="27" t="s">
        <v>8</v>
      </c>
      <c r="EN658" s="27" t="s">
        <v>7</v>
      </c>
      <c r="EO658" s="27" t="s">
        <v>8</v>
      </c>
      <c r="EP658" s="27" t="s">
        <v>7</v>
      </c>
      <c r="EW658" s="27" t="s">
        <v>8</v>
      </c>
      <c r="EX658" s="27" t="s">
        <v>7</v>
      </c>
      <c r="EY658" s="27" t="s">
        <v>8</v>
      </c>
      <c r="EZ658" s="27" t="s">
        <v>7</v>
      </c>
      <c r="FA658" s="27" t="s">
        <v>8</v>
      </c>
      <c r="FC658" s="27" t="s">
        <v>8</v>
      </c>
      <c r="FD658" s="27" t="s">
        <v>7</v>
      </c>
      <c r="FE658" s="27" t="s">
        <v>8</v>
      </c>
      <c r="FH658" s="27" t="s">
        <v>7</v>
      </c>
      <c r="FI658" s="27" t="s">
        <v>8</v>
      </c>
    </row>
    <row r="659" spans="1:165" x14ac:dyDescent="0.25">
      <c r="A659" s="7">
        <v>0.24031873714128701</v>
      </c>
      <c r="B659"/>
      <c r="C659"/>
      <c r="D659"/>
      <c r="E659"/>
      <c r="F659" s="27" t="s">
        <v>7</v>
      </c>
      <c r="Q659" s="27" t="s">
        <v>8</v>
      </c>
      <c r="X659" s="27" t="s">
        <v>7</v>
      </c>
      <c r="Y659" s="27" t="s">
        <v>8</v>
      </c>
      <c r="AB659" s="27" t="s">
        <v>7</v>
      </c>
      <c r="AE659" s="27" t="s">
        <v>8</v>
      </c>
      <c r="AF659" s="27" t="s">
        <v>7</v>
      </c>
      <c r="BI659" s="27" t="s">
        <v>8</v>
      </c>
      <c r="BJ659" s="27" t="s">
        <v>7</v>
      </c>
      <c r="BU659" s="27" t="s">
        <v>8</v>
      </c>
      <c r="BV659" s="27" t="s">
        <v>7</v>
      </c>
      <c r="BW659" s="27" t="s">
        <v>8</v>
      </c>
      <c r="BX659" s="27" t="s">
        <v>7</v>
      </c>
      <c r="CA659" s="27" t="s">
        <v>8</v>
      </c>
      <c r="CB659" s="27" t="s">
        <v>7</v>
      </c>
      <c r="CF659" s="27" t="s">
        <v>7</v>
      </c>
      <c r="CG659" s="27" t="s">
        <v>8</v>
      </c>
      <c r="CJ659" s="27" t="s">
        <v>7</v>
      </c>
      <c r="CK659" s="27" t="s">
        <v>8</v>
      </c>
      <c r="CL659" s="27" t="s">
        <v>7</v>
      </c>
      <c r="DB659" s="27" t="s">
        <v>7</v>
      </c>
      <c r="DC659" s="27" t="s">
        <v>8</v>
      </c>
      <c r="DD659" s="27" t="s">
        <v>7</v>
      </c>
      <c r="DE659" s="27" t="s">
        <v>8</v>
      </c>
      <c r="DF659" s="27" t="s">
        <v>7</v>
      </c>
      <c r="DJ659" s="27" t="s">
        <v>7</v>
      </c>
      <c r="DL659" s="27" t="s">
        <v>7</v>
      </c>
      <c r="DQ659" s="27" t="s">
        <v>8</v>
      </c>
      <c r="DR659" s="27" t="s">
        <v>7</v>
      </c>
      <c r="EI659" s="27" t="s">
        <v>8</v>
      </c>
      <c r="EJ659" s="27" t="s">
        <v>7</v>
      </c>
      <c r="EK659" s="27" t="s">
        <v>8</v>
      </c>
      <c r="EL659" s="27" t="s">
        <v>7</v>
      </c>
      <c r="EM659" s="27" t="s">
        <v>8</v>
      </c>
      <c r="EN659" s="27" t="s">
        <v>7</v>
      </c>
      <c r="EO659" s="27" t="s">
        <v>8</v>
      </c>
      <c r="EP659" s="27" t="s">
        <v>7</v>
      </c>
      <c r="EW659" s="27" t="s">
        <v>8</v>
      </c>
      <c r="EX659" s="27" t="s">
        <v>7</v>
      </c>
      <c r="EZ659" s="27" t="s">
        <v>7</v>
      </c>
      <c r="FA659" s="27" t="s">
        <v>8</v>
      </c>
      <c r="FB659" s="27" t="s">
        <v>7</v>
      </c>
      <c r="FC659" s="27" t="s">
        <v>8</v>
      </c>
      <c r="FD659" s="27" t="s">
        <v>7</v>
      </c>
      <c r="FE659" s="27" t="s">
        <v>8</v>
      </c>
      <c r="FH659" s="27" t="s">
        <v>7</v>
      </c>
      <c r="FI659" s="27" t="s">
        <v>8</v>
      </c>
    </row>
    <row r="660" spans="1:165" x14ac:dyDescent="0.25">
      <c r="A660" s="7">
        <v>0.23560660504047748</v>
      </c>
      <c r="B660"/>
      <c r="C660"/>
      <c r="D660"/>
      <c r="E660"/>
      <c r="F660" s="27" t="s">
        <v>7</v>
      </c>
      <c r="I660" s="27" t="s">
        <v>8</v>
      </c>
      <c r="Q660" s="27" t="s">
        <v>8</v>
      </c>
      <c r="X660" s="27" t="s">
        <v>7</v>
      </c>
      <c r="AB660" s="27" t="s">
        <v>7</v>
      </c>
      <c r="AE660" s="27" t="s">
        <v>8</v>
      </c>
      <c r="AF660" s="27" t="s">
        <v>7</v>
      </c>
      <c r="BI660" s="27" t="s">
        <v>8</v>
      </c>
      <c r="BJ660" s="27" t="s">
        <v>7</v>
      </c>
      <c r="BU660" s="27" t="s">
        <v>8</v>
      </c>
      <c r="BV660" s="27" t="s">
        <v>7</v>
      </c>
      <c r="BW660" s="27" t="s">
        <v>8</v>
      </c>
      <c r="BX660" s="27" t="s">
        <v>7</v>
      </c>
      <c r="BY660" s="27" t="s">
        <v>8</v>
      </c>
      <c r="CA660" s="27" t="s">
        <v>8</v>
      </c>
      <c r="CF660" s="27" t="s">
        <v>7</v>
      </c>
      <c r="CJ660" s="27" t="s">
        <v>7</v>
      </c>
      <c r="CK660" s="27" t="s">
        <v>8</v>
      </c>
      <c r="DB660" s="27" t="s">
        <v>7</v>
      </c>
      <c r="DD660" s="27" t="s">
        <v>7</v>
      </c>
      <c r="DE660" s="27" t="s">
        <v>8</v>
      </c>
      <c r="DL660" s="27" t="s">
        <v>7</v>
      </c>
      <c r="DO660" s="27" t="s">
        <v>8</v>
      </c>
      <c r="DQ660" s="27" t="s">
        <v>8</v>
      </c>
      <c r="DR660" s="27" t="s">
        <v>7</v>
      </c>
      <c r="EI660" s="27" t="s">
        <v>8</v>
      </c>
      <c r="EJ660" s="27" t="s">
        <v>7</v>
      </c>
      <c r="EK660" s="27" t="s">
        <v>8</v>
      </c>
      <c r="EL660" s="27" t="s">
        <v>7</v>
      </c>
      <c r="EM660" s="27" t="s">
        <v>8</v>
      </c>
      <c r="EN660" s="27" t="s">
        <v>7</v>
      </c>
      <c r="EO660" s="27" t="s">
        <v>8</v>
      </c>
      <c r="EP660" s="27" t="s">
        <v>7</v>
      </c>
      <c r="EU660" s="27" t="s">
        <v>8</v>
      </c>
      <c r="EW660" s="27" t="s">
        <v>8</v>
      </c>
      <c r="EZ660" s="27" t="s">
        <v>7</v>
      </c>
      <c r="FA660" s="27" t="s">
        <v>8</v>
      </c>
      <c r="FB660" s="27" t="s">
        <v>7</v>
      </c>
      <c r="FC660" s="27" t="s">
        <v>8</v>
      </c>
      <c r="FD660" s="27" t="s">
        <v>7</v>
      </c>
      <c r="FE660" s="27" t="s">
        <v>8</v>
      </c>
      <c r="FH660" s="27" t="s">
        <v>7</v>
      </c>
      <c r="FI660" s="27" t="s">
        <v>8</v>
      </c>
    </row>
    <row r="661" spans="1:165" x14ac:dyDescent="0.25">
      <c r="A661" s="7">
        <v>0.23098686768674265</v>
      </c>
      <c r="B661"/>
      <c r="C661"/>
      <c r="D661"/>
      <c r="E661"/>
      <c r="F661" s="27" t="s">
        <v>7</v>
      </c>
      <c r="I661" s="27" t="s">
        <v>8</v>
      </c>
      <c r="J661" s="27" t="s">
        <v>7</v>
      </c>
      <c r="K661" s="27" t="s">
        <v>8</v>
      </c>
      <c r="O661" s="27" t="s">
        <v>8</v>
      </c>
      <c r="Q661" s="27" t="s">
        <v>8</v>
      </c>
      <c r="AB661" s="27" t="s">
        <v>7</v>
      </c>
      <c r="AC661" s="27" t="s">
        <v>8</v>
      </c>
      <c r="AE661" s="27" t="s">
        <v>8</v>
      </c>
      <c r="AF661" s="27" t="s">
        <v>7</v>
      </c>
      <c r="BI661" s="27" t="s">
        <v>8</v>
      </c>
      <c r="BJ661" s="27" t="s">
        <v>7</v>
      </c>
      <c r="BU661" s="27" t="s">
        <v>8</v>
      </c>
      <c r="BV661" s="27" t="s">
        <v>7</v>
      </c>
      <c r="BX661" s="27" t="s">
        <v>7</v>
      </c>
      <c r="BY661" s="27" t="s">
        <v>8</v>
      </c>
      <c r="BZ661" s="27" t="s">
        <v>7</v>
      </c>
      <c r="CA661" s="27" t="s">
        <v>8</v>
      </c>
      <c r="CJ661" s="27" t="s">
        <v>7</v>
      </c>
      <c r="DD661" s="27" t="s">
        <v>7</v>
      </c>
      <c r="DE661" s="27" t="s">
        <v>8</v>
      </c>
      <c r="DL661" s="27" t="s">
        <v>7</v>
      </c>
      <c r="DM661" s="27" t="s">
        <v>8</v>
      </c>
      <c r="DO661" s="27" t="s">
        <v>8</v>
      </c>
      <c r="DP661" s="27" t="s">
        <v>7</v>
      </c>
      <c r="DQ661" s="27" t="s">
        <v>8</v>
      </c>
      <c r="DR661" s="27" t="s">
        <v>7</v>
      </c>
      <c r="EI661" s="27" t="s">
        <v>8</v>
      </c>
      <c r="EJ661" s="27" t="s">
        <v>7</v>
      </c>
      <c r="EK661" s="27" t="s">
        <v>8</v>
      </c>
      <c r="EL661" s="27" t="s">
        <v>7</v>
      </c>
      <c r="EN661" s="27" t="s">
        <v>7</v>
      </c>
      <c r="EO661" s="27" t="s">
        <v>8</v>
      </c>
      <c r="EP661" s="27" t="s">
        <v>7</v>
      </c>
      <c r="EU661" s="27" t="s">
        <v>8</v>
      </c>
      <c r="EV661" s="27" t="s">
        <v>7</v>
      </c>
      <c r="EW661" s="27" t="s">
        <v>8</v>
      </c>
      <c r="EZ661" s="27" t="s">
        <v>7</v>
      </c>
      <c r="FA661" s="27" t="s">
        <v>8</v>
      </c>
      <c r="FB661" s="27" t="s">
        <v>7</v>
      </c>
      <c r="FC661" s="27" t="s">
        <v>8</v>
      </c>
      <c r="FD661" s="27" t="s">
        <v>7</v>
      </c>
      <c r="FH661" s="27" t="s">
        <v>7</v>
      </c>
    </row>
    <row r="662" spans="1:165" x14ac:dyDescent="0.25">
      <c r="A662" s="7">
        <v>0.22645771341837515</v>
      </c>
      <c r="B662"/>
      <c r="C662"/>
      <c r="D662"/>
      <c r="E662"/>
      <c r="F662" s="27" t="s">
        <v>7</v>
      </c>
      <c r="I662" s="27" t="s">
        <v>8</v>
      </c>
      <c r="J662" s="27" t="s">
        <v>7</v>
      </c>
      <c r="K662" s="27" t="s">
        <v>8</v>
      </c>
      <c r="L662" s="27" t="s">
        <v>7</v>
      </c>
      <c r="M662" s="27" t="s">
        <v>8</v>
      </c>
      <c r="O662" s="27" t="s">
        <v>8</v>
      </c>
      <c r="P662" s="27" t="s">
        <v>7</v>
      </c>
      <c r="Q662" s="27" t="s">
        <v>8</v>
      </c>
      <c r="AB662" s="27" t="s">
        <v>7</v>
      </c>
      <c r="AC662" s="27" t="s">
        <v>8</v>
      </c>
      <c r="AD662" s="27" t="s">
        <v>7</v>
      </c>
      <c r="AE662" s="27" t="s">
        <v>8</v>
      </c>
      <c r="AF662" s="27" t="s">
        <v>7</v>
      </c>
      <c r="BI662" s="27" t="s">
        <v>8</v>
      </c>
      <c r="BJ662" s="27" t="s">
        <v>7</v>
      </c>
      <c r="BS662" s="27" t="s">
        <v>8</v>
      </c>
      <c r="BU662" s="27" t="s">
        <v>8</v>
      </c>
      <c r="BX662" s="27" t="s">
        <v>7</v>
      </c>
      <c r="BY662" s="27" t="s">
        <v>8</v>
      </c>
      <c r="BZ662" s="27" t="s">
        <v>7</v>
      </c>
      <c r="CA662" s="27" t="s">
        <v>8</v>
      </c>
      <c r="DD662" s="27" t="s">
        <v>7</v>
      </c>
      <c r="DL662" s="27" t="s">
        <v>7</v>
      </c>
      <c r="DM662" s="27" t="s">
        <v>8</v>
      </c>
      <c r="DN662" s="27" t="s">
        <v>7</v>
      </c>
      <c r="DO662" s="27" t="s">
        <v>8</v>
      </c>
      <c r="DP662" s="27" t="s">
        <v>7</v>
      </c>
      <c r="DQ662" s="27" t="s">
        <v>8</v>
      </c>
      <c r="DR662" s="27" t="s">
        <v>7</v>
      </c>
      <c r="DS662" s="27" t="s">
        <v>8</v>
      </c>
      <c r="DU662" s="27" t="s">
        <v>8</v>
      </c>
      <c r="DY662" s="27" t="s">
        <v>8</v>
      </c>
      <c r="EI662" s="27" t="s">
        <v>8</v>
      </c>
      <c r="EJ662" s="27" t="s">
        <v>7</v>
      </c>
      <c r="EK662" s="27" t="s">
        <v>8</v>
      </c>
      <c r="EN662" s="27" t="s">
        <v>7</v>
      </c>
      <c r="EO662" s="27" t="s">
        <v>8</v>
      </c>
      <c r="EP662" s="27" t="s">
        <v>7</v>
      </c>
      <c r="EU662" s="27" t="s">
        <v>8</v>
      </c>
      <c r="EV662" s="27" t="s">
        <v>7</v>
      </c>
      <c r="EW662" s="27" t="s">
        <v>8</v>
      </c>
      <c r="EZ662" s="27" t="s">
        <v>7</v>
      </c>
      <c r="FA662" s="27" t="s">
        <v>8</v>
      </c>
      <c r="FB662" s="27" t="s">
        <v>7</v>
      </c>
    </row>
    <row r="663" spans="1:165" x14ac:dyDescent="0.25">
      <c r="A663" s="7">
        <v>0.22201736609644623</v>
      </c>
      <c r="B663"/>
      <c r="C663"/>
      <c r="D663"/>
      <c r="E663"/>
      <c r="F663" s="27" t="s">
        <v>7</v>
      </c>
      <c r="I663" s="27" t="s">
        <v>8</v>
      </c>
      <c r="J663" s="27" t="s">
        <v>7</v>
      </c>
      <c r="K663" s="27" t="s">
        <v>8</v>
      </c>
      <c r="L663" s="27" t="s">
        <v>7</v>
      </c>
      <c r="M663" s="27" t="s">
        <v>8</v>
      </c>
      <c r="N663" s="27" t="s">
        <v>7</v>
      </c>
      <c r="O663" s="27" t="s">
        <v>8</v>
      </c>
      <c r="P663" s="27" t="s">
        <v>7</v>
      </c>
      <c r="Q663" s="27" t="s">
        <v>8</v>
      </c>
      <c r="AB663" s="27" t="s">
        <v>7</v>
      </c>
      <c r="AC663" s="27" t="s">
        <v>8</v>
      </c>
      <c r="AD663" s="27" t="s">
        <v>7</v>
      </c>
      <c r="AE663" s="27" t="s">
        <v>8</v>
      </c>
      <c r="AF663" s="27" t="s">
        <v>7</v>
      </c>
      <c r="BI663" s="27" t="s">
        <v>8</v>
      </c>
      <c r="BJ663" s="27" t="s">
        <v>7</v>
      </c>
      <c r="BS663" s="27" t="s">
        <v>8</v>
      </c>
      <c r="BT663" s="27" t="s">
        <v>7</v>
      </c>
      <c r="BU663" s="27" t="s">
        <v>8</v>
      </c>
      <c r="BX663" s="27" t="s">
        <v>7</v>
      </c>
      <c r="BY663" s="27" t="s">
        <v>8</v>
      </c>
      <c r="BZ663" s="27" t="s">
        <v>7</v>
      </c>
      <c r="CA663" s="27" t="s">
        <v>8</v>
      </c>
      <c r="DL663" s="27" t="s">
        <v>7</v>
      </c>
      <c r="DM663" s="27" t="s">
        <v>8</v>
      </c>
      <c r="DN663" s="27" t="s">
        <v>7</v>
      </c>
      <c r="DO663" s="27" t="s">
        <v>8</v>
      </c>
      <c r="DP663" s="27" t="s">
        <v>7</v>
      </c>
      <c r="DR663" s="27" t="s">
        <v>7</v>
      </c>
      <c r="DS663" s="27" t="s">
        <v>8</v>
      </c>
      <c r="DT663" s="27" t="s">
        <v>7</v>
      </c>
      <c r="DU663" s="27" t="s">
        <v>8</v>
      </c>
      <c r="DV663" s="27" t="s">
        <v>7</v>
      </c>
      <c r="DY663" s="27" t="s">
        <v>8</v>
      </c>
      <c r="DZ663" s="27" t="s">
        <v>7</v>
      </c>
      <c r="EI663" s="27" t="s">
        <v>8</v>
      </c>
      <c r="EJ663" s="27" t="s">
        <v>7</v>
      </c>
      <c r="EK663" s="27" t="s">
        <v>8</v>
      </c>
      <c r="EN663" s="27" t="s">
        <v>7</v>
      </c>
      <c r="EO663" s="27" t="s">
        <v>8</v>
      </c>
      <c r="EP663" s="27" t="s">
        <v>7</v>
      </c>
      <c r="EQ663" s="27" t="s">
        <v>8</v>
      </c>
      <c r="EU663" s="27" t="s">
        <v>8</v>
      </c>
      <c r="EV663" s="27" t="s">
        <v>7</v>
      </c>
      <c r="EW663" s="27" t="s">
        <v>8</v>
      </c>
      <c r="EZ663" s="27" t="s">
        <v>7</v>
      </c>
      <c r="FA663" s="27" t="s">
        <v>8</v>
      </c>
    </row>
    <row r="664" spans="1:165" x14ac:dyDescent="0.25">
      <c r="A664" s="7">
        <v>0.21766408440828061</v>
      </c>
      <c r="B664"/>
      <c r="C664"/>
      <c r="D664"/>
      <c r="E664"/>
      <c r="F664" s="27" t="s">
        <v>7</v>
      </c>
      <c r="I664" s="27" t="s">
        <v>8</v>
      </c>
      <c r="J664" s="27" t="s">
        <v>7</v>
      </c>
      <c r="K664" s="27" t="s">
        <v>8</v>
      </c>
      <c r="L664" s="27" t="s">
        <v>7</v>
      </c>
      <c r="M664" s="27" t="s">
        <v>8</v>
      </c>
      <c r="N664" s="27" t="s">
        <v>7</v>
      </c>
      <c r="O664" s="27" t="s">
        <v>8</v>
      </c>
      <c r="P664" s="27" t="s">
        <v>7</v>
      </c>
      <c r="Q664" s="27" t="s">
        <v>8</v>
      </c>
      <c r="AB664" s="27" t="s">
        <v>7</v>
      </c>
      <c r="AC664" s="27" t="s">
        <v>8</v>
      </c>
      <c r="AD664" s="27" t="s">
        <v>7</v>
      </c>
      <c r="AE664" s="27" t="s">
        <v>8</v>
      </c>
      <c r="AF664" s="27" t="s">
        <v>7</v>
      </c>
      <c r="BI664" s="27" t="s">
        <v>8</v>
      </c>
      <c r="BJ664" s="27" t="s">
        <v>7</v>
      </c>
      <c r="BS664" s="27" t="s">
        <v>8</v>
      </c>
      <c r="BT664" s="27" t="s">
        <v>7</v>
      </c>
      <c r="BU664" s="27" t="s">
        <v>8</v>
      </c>
      <c r="BX664" s="27" t="s">
        <v>7</v>
      </c>
      <c r="BY664" s="27" t="s">
        <v>8</v>
      </c>
      <c r="BZ664" s="27" t="s">
        <v>7</v>
      </c>
      <c r="CA664" s="27" t="s">
        <v>8</v>
      </c>
      <c r="DL664" s="27" t="s">
        <v>7</v>
      </c>
      <c r="DM664" s="27" t="s">
        <v>8</v>
      </c>
      <c r="DN664" s="27" t="s">
        <v>7</v>
      </c>
      <c r="DO664" s="27" t="s">
        <v>8</v>
      </c>
      <c r="DR664" s="27" t="s">
        <v>7</v>
      </c>
      <c r="DS664" s="27" t="s">
        <v>8</v>
      </c>
      <c r="DT664" s="27" t="s">
        <v>7</v>
      </c>
      <c r="DU664" s="27" t="s">
        <v>8</v>
      </c>
      <c r="DV664" s="27" t="s">
        <v>7</v>
      </c>
      <c r="DW664" s="27" t="s">
        <v>8</v>
      </c>
      <c r="DY664" s="27" t="s">
        <v>8</v>
      </c>
      <c r="DZ664" s="27" t="s">
        <v>7</v>
      </c>
      <c r="EI664" s="27" t="s">
        <v>8</v>
      </c>
      <c r="EJ664" s="27" t="s">
        <v>7</v>
      </c>
      <c r="EK664" s="27" t="s">
        <v>8</v>
      </c>
      <c r="EN664" s="27" t="s">
        <v>7</v>
      </c>
      <c r="EO664" s="27" t="s">
        <v>8</v>
      </c>
      <c r="EP664" s="27" t="s">
        <v>7</v>
      </c>
      <c r="EQ664" s="27" t="s">
        <v>8</v>
      </c>
      <c r="ER664" s="27" t="s">
        <v>7</v>
      </c>
      <c r="ES664" s="27" t="s">
        <v>8</v>
      </c>
      <c r="EU664" s="27" t="s">
        <v>8</v>
      </c>
      <c r="EV664" s="27" t="s">
        <v>7</v>
      </c>
      <c r="EZ664" s="27" t="s">
        <v>7</v>
      </c>
      <c r="FA664" s="27" t="s">
        <v>8</v>
      </c>
    </row>
    <row r="665" spans="1:165" x14ac:dyDescent="0.25">
      <c r="A665" s="7">
        <v>0.21339616118458882</v>
      </c>
      <c r="B665"/>
      <c r="C665"/>
      <c r="D665"/>
      <c r="E665"/>
      <c r="F665" s="27" t="s">
        <v>7</v>
      </c>
      <c r="I665" s="27" t="s">
        <v>8</v>
      </c>
      <c r="J665" s="27" t="s">
        <v>7</v>
      </c>
      <c r="K665" s="27" t="s">
        <v>8</v>
      </c>
      <c r="L665" s="27" t="s">
        <v>7</v>
      </c>
      <c r="M665" s="27" t="s">
        <v>8</v>
      </c>
      <c r="N665" s="27" t="s">
        <v>7</v>
      </c>
      <c r="O665" s="27" t="s">
        <v>8</v>
      </c>
      <c r="P665" s="27" t="s">
        <v>7</v>
      </c>
      <c r="AB665" s="27" t="s">
        <v>7</v>
      </c>
      <c r="AC665" s="27" t="s">
        <v>8</v>
      </c>
      <c r="AD665" s="27" t="s">
        <v>7</v>
      </c>
      <c r="AE665" s="27" t="s">
        <v>8</v>
      </c>
      <c r="AF665" s="27" t="s">
        <v>7</v>
      </c>
      <c r="AG665" s="27" t="s">
        <v>8</v>
      </c>
      <c r="BI665" s="27" t="s">
        <v>8</v>
      </c>
      <c r="BJ665" s="27" t="s">
        <v>7</v>
      </c>
      <c r="BM665" s="27" t="s">
        <v>8</v>
      </c>
      <c r="BO665" s="27" t="s">
        <v>8</v>
      </c>
      <c r="BS665" s="27" t="s">
        <v>8</v>
      </c>
      <c r="BT665" s="27" t="s">
        <v>7</v>
      </c>
      <c r="BU665" s="27" t="s">
        <v>8</v>
      </c>
      <c r="BX665" s="27" t="s">
        <v>7</v>
      </c>
      <c r="BY665" s="27" t="s">
        <v>8</v>
      </c>
      <c r="BZ665" s="27" t="s">
        <v>7</v>
      </c>
      <c r="CA665" s="27" t="s">
        <v>8</v>
      </c>
      <c r="DL665" s="27" t="s">
        <v>7</v>
      </c>
      <c r="DM665" s="27" t="s">
        <v>8</v>
      </c>
      <c r="DN665" s="27" t="s">
        <v>7</v>
      </c>
      <c r="DR665" s="27" t="s">
        <v>7</v>
      </c>
      <c r="DT665" s="27" t="s">
        <v>7</v>
      </c>
      <c r="DU665" s="27" t="s">
        <v>8</v>
      </c>
      <c r="DV665" s="27" t="s">
        <v>7</v>
      </c>
      <c r="DW665" s="27" t="s">
        <v>8</v>
      </c>
      <c r="DX665" s="27" t="s">
        <v>7</v>
      </c>
      <c r="DY665" s="27" t="s">
        <v>8</v>
      </c>
      <c r="DZ665" s="27" t="s">
        <v>7</v>
      </c>
      <c r="EI665" s="27" t="s">
        <v>8</v>
      </c>
      <c r="EJ665" s="27" t="s">
        <v>7</v>
      </c>
      <c r="EK665" s="27" t="s">
        <v>8</v>
      </c>
      <c r="EN665" s="27" t="s">
        <v>7</v>
      </c>
      <c r="EO665" s="27" t="s">
        <v>8</v>
      </c>
      <c r="EP665" s="27" t="s">
        <v>7</v>
      </c>
      <c r="EQ665" s="27" t="s">
        <v>8</v>
      </c>
      <c r="ER665" s="27" t="s">
        <v>7</v>
      </c>
      <c r="ES665" s="27" t="s">
        <v>8</v>
      </c>
      <c r="ET665" s="27" t="s">
        <v>7</v>
      </c>
      <c r="EU665" s="27" t="s">
        <v>8</v>
      </c>
      <c r="EZ665" s="27" t="s">
        <v>7</v>
      </c>
      <c r="FA665" s="27" t="s">
        <v>8</v>
      </c>
    </row>
    <row r="666" spans="1:165" x14ac:dyDescent="0.25">
      <c r="A666" s="7">
        <v>0.20921192272998904</v>
      </c>
      <c r="B666"/>
      <c r="C666"/>
      <c r="D666"/>
      <c r="E666"/>
      <c r="F666" s="27" t="s">
        <v>7</v>
      </c>
      <c r="I666" s="27" t="s">
        <v>8</v>
      </c>
      <c r="J666" s="27" t="s">
        <v>7</v>
      </c>
      <c r="L666" s="27" t="s">
        <v>7</v>
      </c>
      <c r="N666" s="27" t="s">
        <v>7</v>
      </c>
      <c r="O666" s="27" t="s">
        <v>8</v>
      </c>
      <c r="AB666" s="27" t="s">
        <v>7</v>
      </c>
      <c r="AC666" s="27" t="s">
        <v>8</v>
      </c>
      <c r="AD666" s="27" t="s">
        <v>7</v>
      </c>
      <c r="AE666" s="27" t="s">
        <v>8</v>
      </c>
      <c r="AF666" s="27" t="s">
        <v>7</v>
      </c>
      <c r="AG666" s="27" t="s">
        <v>8</v>
      </c>
      <c r="AH666" s="27" t="s">
        <v>7</v>
      </c>
      <c r="BI666" s="27" t="s">
        <v>8</v>
      </c>
      <c r="BJ666" s="27" t="s">
        <v>7</v>
      </c>
      <c r="BK666" s="27" t="s">
        <v>8</v>
      </c>
      <c r="BM666" s="27" t="s">
        <v>8</v>
      </c>
      <c r="BN666" s="27" t="s">
        <v>7</v>
      </c>
      <c r="BO666" s="27" t="s">
        <v>8</v>
      </c>
      <c r="BP666" s="27" t="s">
        <v>7</v>
      </c>
      <c r="BQ666" s="27" t="s">
        <v>8</v>
      </c>
      <c r="BS666" s="27" t="s">
        <v>8</v>
      </c>
      <c r="BT666" s="27" t="s">
        <v>7</v>
      </c>
      <c r="BU666" s="27" t="s">
        <v>8</v>
      </c>
      <c r="BX666" s="27" t="s">
        <v>7</v>
      </c>
      <c r="BZ666" s="27" t="s">
        <v>7</v>
      </c>
      <c r="DL666" s="27" t="s">
        <v>7</v>
      </c>
      <c r="DT666" s="27" t="s">
        <v>7</v>
      </c>
      <c r="DU666" s="27" t="s">
        <v>8</v>
      </c>
      <c r="DV666" s="27" t="s">
        <v>7</v>
      </c>
      <c r="DW666" s="27" t="s">
        <v>8</v>
      </c>
      <c r="DX666" s="27" t="s">
        <v>7</v>
      </c>
      <c r="DY666" s="27" t="s">
        <v>8</v>
      </c>
      <c r="DZ666" s="27" t="s">
        <v>7</v>
      </c>
      <c r="EC666" s="27" t="s">
        <v>8</v>
      </c>
      <c r="EI666" s="27" t="s">
        <v>8</v>
      </c>
      <c r="EJ666" s="27" t="s">
        <v>7</v>
      </c>
      <c r="EN666" s="27" t="s">
        <v>7</v>
      </c>
      <c r="EO666" s="27" t="s">
        <v>8</v>
      </c>
      <c r="EP666" s="27" t="s">
        <v>7</v>
      </c>
      <c r="EQ666" s="27" t="s">
        <v>8</v>
      </c>
      <c r="ER666" s="27" t="s">
        <v>7</v>
      </c>
      <c r="ES666" s="27" t="s">
        <v>8</v>
      </c>
      <c r="ET666" s="27" t="s">
        <v>7</v>
      </c>
      <c r="EU666" s="27" t="s">
        <v>8</v>
      </c>
      <c r="EZ666" s="27" t="s">
        <v>7</v>
      </c>
      <c r="FA666" s="27" t="s">
        <v>8</v>
      </c>
    </row>
    <row r="667" spans="1:165" x14ac:dyDescent="0.25">
      <c r="A667" s="7">
        <v>0.20510972816665593</v>
      </c>
      <c r="B667"/>
      <c r="C667"/>
      <c r="D667"/>
      <c r="E667"/>
      <c r="F667" s="27" t="s">
        <v>7</v>
      </c>
      <c r="I667" s="27" t="s">
        <v>8</v>
      </c>
      <c r="N667" s="27" t="s">
        <v>7</v>
      </c>
      <c r="O667" s="27" t="s">
        <v>8</v>
      </c>
      <c r="AB667" s="27" t="s">
        <v>7</v>
      </c>
      <c r="AD667" s="27" t="s">
        <v>7</v>
      </c>
      <c r="AF667" s="27" t="s">
        <v>7</v>
      </c>
      <c r="AG667" s="27" t="s">
        <v>8</v>
      </c>
      <c r="AH667" s="27" t="s">
        <v>7</v>
      </c>
      <c r="BI667" s="27" t="s">
        <v>8</v>
      </c>
      <c r="BJ667" s="27" t="s">
        <v>7</v>
      </c>
      <c r="BK667" s="27" t="s">
        <v>8</v>
      </c>
      <c r="BL667" s="27" t="s">
        <v>7</v>
      </c>
      <c r="BM667" s="27" t="s">
        <v>8</v>
      </c>
      <c r="BN667" s="27" t="s">
        <v>7</v>
      </c>
      <c r="BO667" s="27" t="s">
        <v>8</v>
      </c>
      <c r="BP667" s="27" t="s">
        <v>7</v>
      </c>
      <c r="BQ667" s="27" t="s">
        <v>8</v>
      </c>
      <c r="BR667" s="27" t="s">
        <v>7</v>
      </c>
      <c r="BS667" s="27" t="s">
        <v>8</v>
      </c>
      <c r="BT667" s="27" t="s">
        <v>7</v>
      </c>
      <c r="DT667" s="27" t="s">
        <v>7</v>
      </c>
      <c r="DV667" s="27" t="s">
        <v>7</v>
      </c>
      <c r="DX667" s="27" t="s">
        <v>7</v>
      </c>
      <c r="DZ667" s="27" t="s">
        <v>7</v>
      </c>
      <c r="EC667" s="27" t="s">
        <v>8</v>
      </c>
      <c r="ED667" s="27" t="s">
        <v>7</v>
      </c>
      <c r="EE667" s="27" t="s">
        <v>8</v>
      </c>
      <c r="EG667" s="27" t="s">
        <v>8</v>
      </c>
      <c r="EI667" s="27" t="s">
        <v>8</v>
      </c>
      <c r="EN667" s="27" t="s">
        <v>7</v>
      </c>
      <c r="EO667" s="27" t="s">
        <v>8</v>
      </c>
      <c r="EP667" s="27" t="s">
        <v>7</v>
      </c>
      <c r="EQ667" s="27" t="s">
        <v>8</v>
      </c>
      <c r="ER667" s="27" t="s">
        <v>7</v>
      </c>
      <c r="ET667" s="27" t="s">
        <v>7</v>
      </c>
      <c r="EU667" s="27" t="s">
        <v>8</v>
      </c>
      <c r="EZ667" s="27" t="s">
        <v>7</v>
      </c>
    </row>
    <row r="668" spans="1:165" x14ac:dyDescent="0.25">
      <c r="A668" s="7">
        <v>0.20108796879083912</v>
      </c>
      <c r="B668"/>
      <c r="C668"/>
      <c r="D668"/>
      <c r="E668"/>
      <c r="F668" s="27" t="s">
        <v>7</v>
      </c>
      <c r="I668" s="27" t="s">
        <v>8</v>
      </c>
      <c r="N668" s="27" t="s">
        <v>7</v>
      </c>
      <c r="AF668" s="27" t="s">
        <v>7</v>
      </c>
      <c r="AG668" s="27" t="s">
        <v>8</v>
      </c>
      <c r="AH668" s="27" t="s">
        <v>7</v>
      </c>
      <c r="BI668" s="27" t="s">
        <v>8</v>
      </c>
      <c r="BJ668" s="27" t="s">
        <v>7</v>
      </c>
      <c r="BK668" s="27" t="s">
        <v>8</v>
      </c>
      <c r="BL668" s="27" t="s">
        <v>7</v>
      </c>
      <c r="BM668" s="27" t="s">
        <v>8</v>
      </c>
      <c r="BN668" s="27" t="s">
        <v>7</v>
      </c>
      <c r="BO668" s="27" t="s">
        <v>8</v>
      </c>
      <c r="BP668" s="27" t="s">
        <v>7</v>
      </c>
      <c r="BQ668" s="27" t="s">
        <v>8</v>
      </c>
      <c r="BR668" s="27" t="s">
        <v>7</v>
      </c>
      <c r="BS668" s="27" t="s">
        <v>8</v>
      </c>
      <c r="DZ668" s="27" t="s">
        <v>7</v>
      </c>
      <c r="EC668" s="27" t="s">
        <v>8</v>
      </c>
      <c r="ED668" s="27" t="s">
        <v>7</v>
      </c>
      <c r="EE668" s="27" t="s">
        <v>8</v>
      </c>
      <c r="EF668" s="27" t="s">
        <v>7</v>
      </c>
      <c r="EG668" s="27" t="s">
        <v>8</v>
      </c>
      <c r="EH668" s="27" t="s">
        <v>7</v>
      </c>
      <c r="EI668" s="27" t="s">
        <v>8</v>
      </c>
      <c r="EN668" s="27" t="s">
        <v>7</v>
      </c>
      <c r="EP668" s="27" t="s">
        <v>7</v>
      </c>
      <c r="EQ668" s="27" t="s">
        <v>8</v>
      </c>
      <c r="ET668" s="27" t="s">
        <v>7</v>
      </c>
      <c r="EU668" s="27" t="s">
        <v>8</v>
      </c>
    </row>
    <row r="669" spans="1:165" x14ac:dyDescent="0.25">
      <c r="A669" s="7">
        <v>0.19714506744199917</v>
      </c>
      <c r="B669"/>
      <c r="C669"/>
      <c r="D669"/>
      <c r="E669"/>
      <c r="F669" s="27" t="s">
        <v>7</v>
      </c>
      <c r="G669" s="27" t="s">
        <v>8</v>
      </c>
      <c r="I669" s="27" t="s">
        <v>8</v>
      </c>
      <c r="AF669" s="27" t="s">
        <v>7</v>
      </c>
      <c r="AG669" s="27" t="s">
        <v>8</v>
      </c>
      <c r="AH669" s="27" t="s">
        <v>7</v>
      </c>
      <c r="BC669" s="27" t="s">
        <v>8</v>
      </c>
      <c r="BI669" s="27" t="s">
        <v>8</v>
      </c>
      <c r="BJ669" s="27" t="s">
        <v>7</v>
      </c>
      <c r="BK669" s="27" t="s">
        <v>8</v>
      </c>
      <c r="BL669" s="27" t="s">
        <v>7</v>
      </c>
      <c r="BN669" s="27" t="s">
        <v>7</v>
      </c>
      <c r="BP669" s="27" t="s">
        <v>7</v>
      </c>
      <c r="BQ669" s="27" t="s">
        <v>8</v>
      </c>
      <c r="BR669" s="27" t="s">
        <v>7</v>
      </c>
      <c r="BS669" s="27" t="s">
        <v>8</v>
      </c>
      <c r="DZ669" s="27" t="s">
        <v>7</v>
      </c>
      <c r="EC669" s="27" t="s">
        <v>8</v>
      </c>
      <c r="ED669" s="27" t="s">
        <v>7</v>
      </c>
      <c r="EE669" s="27" t="s">
        <v>8</v>
      </c>
      <c r="EF669" s="27" t="s">
        <v>7</v>
      </c>
      <c r="EG669" s="27" t="s">
        <v>8</v>
      </c>
      <c r="EH669" s="27" t="s">
        <v>7</v>
      </c>
      <c r="EI669" s="27" t="s">
        <v>8</v>
      </c>
      <c r="EP669" s="27" t="s">
        <v>7</v>
      </c>
      <c r="EQ669" s="27" t="s">
        <v>8</v>
      </c>
      <c r="ET669" s="27" t="s">
        <v>7</v>
      </c>
    </row>
    <row r="670" spans="1:165" x14ac:dyDescent="0.25">
      <c r="A670" s="7">
        <v>0.19327947788431293</v>
      </c>
      <c r="B670"/>
      <c r="C670"/>
      <c r="D670"/>
      <c r="E670"/>
      <c r="F670" s="27" t="s">
        <v>7</v>
      </c>
      <c r="G670" s="27" t="s">
        <v>8</v>
      </c>
      <c r="H670" s="27" t="s">
        <v>7</v>
      </c>
      <c r="I670" s="27" t="s">
        <v>8</v>
      </c>
      <c r="AF670" s="27" t="s">
        <v>7</v>
      </c>
      <c r="AG670" s="27" t="s">
        <v>8</v>
      </c>
      <c r="AH670" s="27" t="s">
        <v>7</v>
      </c>
      <c r="BC670" s="27" t="s">
        <v>8</v>
      </c>
      <c r="BD670" s="27" t="s">
        <v>7</v>
      </c>
      <c r="BE670" s="27" t="s">
        <v>8</v>
      </c>
      <c r="BI670" s="27" t="s">
        <v>8</v>
      </c>
      <c r="BJ670" s="27" t="s">
        <v>7</v>
      </c>
      <c r="BK670" s="27" t="s">
        <v>8</v>
      </c>
      <c r="BP670" s="27" t="s">
        <v>7</v>
      </c>
      <c r="BQ670" s="27" t="s">
        <v>8</v>
      </c>
      <c r="BR670" s="27" t="s">
        <v>7</v>
      </c>
      <c r="DZ670" s="27" t="s">
        <v>7</v>
      </c>
      <c r="EC670" s="27" t="s">
        <v>8</v>
      </c>
      <c r="ED670" s="27" t="s">
        <v>7</v>
      </c>
      <c r="EE670" s="27" t="s">
        <v>8</v>
      </c>
      <c r="EF670" s="27" t="s">
        <v>7</v>
      </c>
      <c r="EG670" s="27" t="s">
        <v>8</v>
      </c>
      <c r="EH670" s="27" t="s">
        <v>7</v>
      </c>
      <c r="EI670" s="27" t="s">
        <v>8</v>
      </c>
      <c r="EP670" s="27" t="s">
        <v>7</v>
      </c>
      <c r="EQ670" s="27" t="s">
        <v>8</v>
      </c>
    </row>
    <row r="671" spans="1:165" x14ac:dyDescent="0.25">
      <c r="A671" s="7">
        <v>0.18948968420030682</v>
      </c>
      <c r="B671"/>
      <c r="C671"/>
      <c r="D671"/>
      <c r="E671"/>
      <c r="F671" s="27" t="s">
        <v>7</v>
      </c>
      <c r="G671" s="27" t="s">
        <v>8</v>
      </c>
      <c r="H671" s="27" t="s">
        <v>7</v>
      </c>
      <c r="I671" s="27" t="s">
        <v>8</v>
      </c>
      <c r="AF671" s="27" t="s">
        <v>7</v>
      </c>
      <c r="AG671" s="27" t="s">
        <v>8</v>
      </c>
      <c r="AH671" s="27" t="s">
        <v>7</v>
      </c>
      <c r="BC671" s="27" t="s">
        <v>8</v>
      </c>
      <c r="BD671" s="27" t="s">
        <v>7</v>
      </c>
      <c r="BE671" s="27" t="s">
        <v>8</v>
      </c>
      <c r="BF671" s="27" t="s">
        <v>7</v>
      </c>
      <c r="BG671" s="27" t="s">
        <v>8</v>
      </c>
      <c r="BI671" s="27" t="s">
        <v>8</v>
      </c>
      <c r="BJ671" s="27" t="s">
        <v>7</v>
      </c>
      <c r="BK671" s="27" t="s">
        <v>8</v>
      </c>
      <c r="BP671" s="27" t="s">
        <v>7</v>
      </c>
      <c r="DZ671" s="27" t="s">
        <v>7</v>
      </c>
      <c r="EA671" s="27" t="s">
        <v>8</v>
      </c>
      <c r="EC671" s="27" t="s">
        <v>8</v>
      </c>
      <c r="ED671" s="27" t="s">
        <v>7</v>
      </c>
      <c r="EF671" s="27" t="s">
        <v>7</v>
      </c>
      <c r="EH671" s="27" t="s">
        <v>7</v>
      </c>
      <c r="EP671" s="27" t="s">
        <v>7</v>
      </c>
      <c r="EQ671" s="27" t="s">
        <v>8</v>
      </c>
    </row>
    <row r="672" spans="1:165" x14ac:dyDescent="0.25">
      <c r="A672" s="7">
        <v>0.18577420019637925</v>
      </c>
      <c r="B672"/>
      <c r="C672"/>
      <c r="D672"/>
      <c r="E672"/>
      <c r="F672" s="27" t="s">
        <v>7</v>
      </c>
      <c r="G672" s="27" t="s">
        <v>8</v>
      </c>
      <c r="H672" s="27" t="s">
        <v>7</v>
      </c>
      <c r="I672" s="27" t="s">
        <v>8</v>
      </c>
      <c r="AF672" s="27" t="s">
        <v>7</v>
      </c>
      <c r="AG672" s="27" t="s">
        <v>8</v>
      </c>
      <c r="AH672" s="27" t="s">
        <v>7</v>
      </c>
      <c r="BC672" s="27" t="s">
        <v>8</v>
      </c>
      <c r="BD672" s="27" t="s">
        <v>7</v>
      </c>
      <c r="BE672" s="27" t="s">
        <v>8</v>
      </c>
      <c r="BF672" s="27" t="s">
        <v>7</v>
      </c>
      <c r="BG672" s="27" t="s">
        <v>8</v>
      </c>
      <c r="BH672" s="27" t="s">
        <v>7</v>
      </c>
      <c r="BI672" s="27" t="s">
        <v>8</v>
      </c>
      <c r="BJ672" s="27" t="s">
        <v>7</v>
      </c>
      <c r="BK672" s="27" t="s">
        <v>8</v>
      </c>
      <c r="DZ672" s="27" t="s">
        <v>7</v>
      </c>
      <c r="EA672" s="27" t="s">
        <v>8</v>
      </c>
      <c r="EB672" s="27" t="s">
        <v>7</v>
      </c>
      <c r="EC672" s="27" t="s">
        <v>8</v>
      </c>
      <c r="EP672" s="27" t="s">
        <v>7</v>
      </c>
      <c r="EQ672" s="27" t="s">
        <v>8</v>
      </c>
    </row>
    <row r="673" spans="1:146" x14ac:dyDescent="0.25">
      <c r="A673" s="7">
        <v>0.18213156881997963</v>
      </c>
      <c r="B673"/>
      <c r="C673"/>
      <c r="D673"/>
      <c r="E673"/>
      <c r="F673" s="27" t="s">
        <v>7</v>
      </c>
      <c r="H673" s="27" t="s">
        <v>7</v>
      </c>
      <c r="AF673" s="27" t="s">
        <v>7</v>
      </c>
      <c r="AH673" s="27" t="s">
        <v>7</v>
      </c>
      <c r="BC673" s="27" t="s">
        <v>8</v>
      </c>
      <c r="BD673" s="27" t="s">
        <v>7</v>
      </c>
      <c r="BE673" s="27" t="s">
        <v>8</v>
      </c>
      <c r="BF673" s="27" t="s">
        <v>7</v>
      </c>
      <c r="BG673" s="27" t="s">
        <v>8</v>
      </c>
      <c r="BH673" s="27" t="s">
        <v>7</v>
      </c>
      <c r="BI673" s="27" t="s">
        <v>8</v>
      </c>
      <c r="BJ673" s="27" t="s">
        <v>7</v>
      </c>
      <c r="BK673" s="27" t="s">
        <v>8</v>
      </c>
      <c r="DZ673" s="27" t="s">
        <v>7</v>
      </c>
      <c r="EA673" s="27" t="s">
        <v>8</v>
      </c>
      <c r="EB673" s="27" t="s">
        <v>7</v>
      </c>
      <c r="EC673" s="27" t="s">
        <v>8</v>
      </c>
      <c r="EP673" s="27" t="s">
        <v>7</v>
      </c>
    </row>
    <row r="674" spans="1:146" x14ac:dyDescent="0.25">
      <c r="A674" s="7">
        <v>0.17856036158821534</v>
      </c>
      <c r="B674"/>
      <c r="C674"/>
      <c r="D674"/>
      <c r="E674"/>
      <c r="AH674" s="27" t="s">
        <v>7</v>
      </c>
      <c r="AU674" s="27" t="s">
        <v>8</v>
      </c>
      <c r="BC674" s="27" t="s">
        <v>8</v>
      </c>
      <c r="BD674" s="27" t="s">
        <v>7</v>
      </c>
      <c r="BF674" s="27" t="s">
        <v>7</v>
      </c>
      <c r="BG674" s="27" t="s">
        <v>8</v>
      </c>
      <c r="BH674" s="27" t="s">
        <v>7</v>
      </c>
      <c r="BJ674" s="27" t="s">
        <v>7</v>
      </c>
      <c r="DZ674" s="27" t="s">
        <v>7</v>
      </c>
      <c r="EB674" s="27" t="s">
        <v>7</v>
      </c>
    </row>
    <row r="675" spans="1:146" x14ac:dyDescent="0.25">
      <c r="A675" s="7">
        <v>0.17505917802766208</v>
      </c>
      <c r="B675"/>
      <c r="C675"/>
      <c r="D675"/>
      <c r="E675"/>
      <c r="AH675" s="27" t="s">
        <v>7</v>
      </c>
      <c r="AU675" s="27" t="s">
        <v>8</v>
      </c>
      <c r="AV675" s="27" t="s">
        <v>7</v>
      </c>
      <c r="BC675" s="27" t="s">
        <v>8</v>
      </c>
      <c r="BF675" s="27" t="s">
        <v>7</v>
      </c>
    </row>
    <row r="676" spans="1:146" x14ac:dyDescent="0.25">
      <c r="A676" s="7">
        <v>0.17162664512515888</v>
      </c>
      <c r="B676"/>
      <c r="C676"/>
      <c r="D676"/>
      <c r="E676"/>
      <c r="AH676" s="27" t="s">
        <v>7</v>
      </c>
      <c r="AS676" s="27" t="s">
        <v>8</v>
      </c>
      <c r="AU676" s="27" t="s">
        <v>8</v>
      </c>
      <c r="AV676" s="27" t="s">
        <v>7</v>
      </c>
      <c r="BA676" s="27" t="s">
        <v>8</v>
      </c>
      <c r="BC676" s="27" t="s">
        <v>8</v>
      </c>
    </row>
    <row r="677" spans="1:146" x14ac:dyDescent="0.25">
      <c r="A677" s="7">
        <v>0.16826141678937145</v>
      </c>
      <c r="B677"/>
      <c r="C677"/>
      <c r="D677"/>
      <c r="E677"/>
      <c r="AH677" s="27" t="s">
        <v>7</v>
      </c>
      <c r="AS677" s="27" t="s">
        <v>8</v>
      </c>
      <c r="AT677" s="27" t="s">
        <v>7</v>
      </c>
      <c r="AU677" s="27" t="s">
        <v>8</v>
      </c>
      <c r="AV677" s="27" t="s">
        <v>7</v>
      </c>
      <c r="AY677" s="27" t="s">
        <v>8</v>
      </c>
      <c r="BA677" s="27" t="s">
        <v>8</v>
      </c>
      <c r="BB677" s="27" t="s">
        <v>7</v>
      </c>
      <c r="BC677" s="27" t="s">
        <v>8</v>
      </c>
    </row>
    <row r="678" spans="1:146" x14ac:dyDescent="0.25">
      <c r="A678" s="7">
        <v>0.16496217332291319</v>
      </c>
      <c r="B678"/>
      <c r="C678"/>
      <c r="D678"/>
      <c r="E678"/>
      <c r="AH678" s="27" t="s">
        <v>7</v>
      </c>
      <c r="AO678" s="27" t="s">
        <v>8</v>
      </c>
      <c r="AS678" s="27" t="s">
        <v>8</v>
      </c>
      <c r="AT678" s="27" t="s">
        <v>7</v>
      </c>
      <c r="AU678" s="27" t="s">
        <v>8</v>
      </c>
      <c r="AV678" s="27" t="s">
        <v>7</v>
      </c>
      <c r="AW678" s="27" t="s">
        <v>8</v>
      </c>
      <c r="AY678" s="27" t="s">
        <v>8</v>
      </c>
      <c r="AZ678" s="27" t="s">
        <v>7</v>
      </c>
      <c r="BA678" s="27" t="s">
        <v>8</v>
      </c>
      <c r="BB678" s="27" t="s">
        <v>7</v>
      </c>
      <c r="BC678" s="27" t="s">
        <v>8</v>
      </c>
    </row>
    <row r="679" spans="1:146" x14ac:dyDescent="0.25">
      <c r="A679" s="7">
        <v>0.16172762090481685</v>
      </c>
      <c r="B679"/>
      <c r="C679"/>
      <c r="D679"/>
      <c r="E679"/>
      <c r="AH679" s="27" t="s">
        <v>7</v>
      </c>
      <c r="AO679" s="27" t="s">
        <v>8</v>
      </c>
      <c r="AP679" s="27" t="s">
        <v>7</v>
      </c>
      <c r="AS679" s="27" t="s">
        <v>8</v>
      </c>
      <c r="AT679" s="27" t="s">
        <v>7</v>
      </c>
      <c r="AV679" s="27" t="s">
        <v>7</v>
      </c>
      <c r="AW679" s="27" t="s">
        <v>8</v>
      </c>
      <c r="AX679" s="27" t="s">
        <v>7</v>
      </c>
      <c r="AY679" s="27" t="s">
        <v>8</v>
      </c>
      <c r="AZ679" s="27" t="s">
        <v>7</v>
      </c>
      <c r="BA679" s="27" t="s">
        <v>8</v>
      </c>
      <c r="BB679" s="27" t="s">
        <v>7</v>
      </c>
      <c r="BC679" s="27" t="s">
        <v>8</v>
      </c>
    </row>
    <row r="680" spans="1:146" x14ac:dyDescent="0.25">
      <c r="A680" s="7">
        <v>0.15855649108315376</v>
      </c>
      <c r="B680"/>
      <c r="C680"/>
      <c r="D680"/>
      <c r="E680"/>
      <c r="AH680" s="27" t="s">
        <v>7</v>
      </c>
      <c r="AO680" s="27" t="s">
        <v>8</v>
      </c>
      <c r="AP680" s="27" t="s">
        <v>7</v>
      </c>
      <c r="AS680" s="27" t="s">
        <v>8</v>
      </c>
      <c r="AV680" s="27" t="s">
        <v>7</v>
      </c>
      <c r="AW680" s="27" t="s">
        <v>8</v>
      </c>
      <c r="AX680" s="27" t="s">
        <v>7</v>
      </c>
      <c r="AY680" s="27" t="s">
        <v>8</v>
      </c>
      <c r="AZ680" s="27" t="s">
        <v>7</v>
      </c>
      <c r="BA680" s="27" t="s">
        <v>8</v>
      </c>
      <c r="BB680" s="27" t="s">
        <v>7</v>
      </c>
      <c r="BC680" s="27" t="s">
        <v>8</v>
      </c>
    </row>
    <row r="681" spans="1:146" x14ac:dyDescent="0.25">
      <c r="A681" s="7">
        <v>0.15544754027760171</v>
      </c>
      <c r="B681"/>
      <c r="C681"/>
      <c r="D681"/>
      <c r="E681"/>
      <c r="AH681" s="27" t="s">
        <v>7</v>
      </c>
      <c r="AM681" s="27" t="s">
        <v>8</v>
      </c>
      <c r="AO681" s="27" t="s">
        <v>8</v>
      </c>
      <c r="AP681" s="27" t="s">
        <v>7</v>
      </c>
      <c r="AS681" s="27" t="s">
        <v>8</v>
      </c>
      <c r="AV681" s="27" t="s">
        <v>7</v>
      </c>
      <c r="AX681" s="27" t="s">
        <v>7</v>
      </c>
      <c r="AY681" s="27" t="s">
        <v>8</v>
      </c>
      <c r="AZ681" s="27" t="s">
        <v>7</v>
      </c>
      <c r="BA681" s="27" t="s">
        <v>8</v>
      </c>
      <c r="BB681" s="27" t="s">
        <v>7</v>
      </c>
    </row>
    <row r="682" spans="1:146" x14ac:dyDescent="0.25">
      <c r="A682" s="7">
        <v>0.15239954929176638</v>
      </c>
      <c r="B682"/>
      <c r="C682"/>
      <c r="D682"/>
      <c r="E682"/>
      <c r="AH682" s="27" t="s">
        <v>7</v>
      </c>
      <c r="AM682" s="27" t="s">
        <v>8</v>
      </c>
      <c r="AN682" s="27" t="s">
        <v>7</v>
      </c>
      <c r="AO682" s="27" t="s">
        <v>8</v>
      </c>
      <c r="AP682" s="27" t="s">
        <v>7</v>
      </c>
      <c r="AS682" s="27" t="s">
        <v>8</v>
      </c>
      <c r="AX682" s="27" t="s">
        <v>7</v>
      </c>
      <c r="AZ682" s="27" t="s">
        <v>7</v>
      </c>
    </row>
    <row r="683" spans="1:146" x14ac:dyDescent="0.25">
      <c r="A683" s="7">
        <v>0.14941132283506509</v>
      </c>
      <c r="B683"/>
      <c r="C683"/>
      <c r="D683"/>
      <c r="E683"/>
      <c r="AH683" s="27" t="s">
        <v>7</v>
      </c>
      <c r="AM683" s="27" t="s">
        <v>8</v>
      </c>
      <c r="AN683" s="27" t="s">
        <v>7</v>
      </c>
      <c r="AO683" s="27" t="s">
        <v>8</v>
      </c>
      <c r="AP683" s="27" t="s">
        <v>7</v>
      </c>
      <c r="AS683" s="27" t="s">
        <v>8</v>
      </c>
    </row>
    <row r="684" spans="1:146" x14ac:dyDescent="0.25">
      <c r="A684" s="7">
        <v>0.14648168905398537</v>
      </c>
      <c r="B684"/>
      <c r="C684"/>
      <c r="D684"/>
      <c r="E684"/>
      <c r="AH684" s="27" t="s">
        <v>7</v>
      </c>
      <c r="AM684" s="27" t="s">
        <v>8</v>
      </c>
      <c r="AN684" s="27" t="s">
        <v>7</v>
      </c>
      <c r="AO684" s="27" t="s">
        <v>8</v>
      </c>
      <c r="AP684" s="27" t="s">
        <v>7</v>
      </c>
      <c r="AQ684" s="27" t="s">
        <v>8</v>
      </c>
      <c r="AS684" s="27" t="s">
        <v>8</v>
      </c>
    </row>
    <row r="685" spans="1:146" x14ac:dyDescent="0.25">
      <c r="A685" s="7">
        <v>0.14360949907253467</v>
      </c>
      <c r="B685"/>
      <c r="C685"/>
      <c r="D685"/>
      <c r="E685"/>
      <c r="AH685" s="27" t="s">
        <v>7</v>
      </c>
      <c r="AM685" s="27" t="s">
        <v>8</v>
      </c>
      <c r="AN685" s="27" t="s">
        <v>7</v>
      </c>
      <c r="AO685" s="27" t="s">
        <v>8</v>
      </c>
      <c r="AP685" s="27" t="s">
        <v>7</v>
      </c>
      <c r="AQ685" s="27" t="s">
        <v>8</v>
      </c>
      <c r="AR685" s="27" t="s">
        <v>7</v>
      </c>
      <c r="AS685" s="27" t="s">
        <v>8</v>
      </c>
    </row>
    <row r="686" spans="1:146" x14ac:dyDescent="0.25">
      <c r="A686" s="7">
        <v>0.14079362654170066</v>
      </c>
      <c r="B686"/>
      <c r="C686"/>
      <c r="D686"/>
      <c r="E686"/>
      <c r="AH686" s="27" t="s">
        <v>7</v>
      </c>
      <c r="AM686" s="27" t="s">
        <v>8</v>
      </c>
      <c r="AN686" s="27" t="s">
        <v>7</v>
      </c>
      <c r="AO686" s="27" t="s">
        <v>8</v>
      </c>
      <c r="AP686" s="27" t="s">
        <v>7</v>
      </c>
      <c r="AQ686" s="27" t="s">
        <v>8</v>
      </c>
      <c r="AR686" s="27" t="s">
        <v>7</v>
      </c>
      <c r="AS686" s="27" t="s">
        <v>8</v>
      </c>
    </row>
    <row r="687" spans="1:146" x14ac:dyDescent="0.25">
      <c r="A687" s="7">
        <v>0.13803296719774574</v>
      </c>
      <c r="B687"/>
      <c r="C687"/>
      <c r="D687"/>
      <c r="E687"/>
      <c r="AH687" s="27" t="s">
        <v>7</v>
      </c>
      <c r="AM687" s="27" t="s">
        <v>8</v>
      </c>
      <c r="AN687" s="27" t="s">
        <v>7</v>
      </c>
      <c r="AO687" s="27" t="s">
        <v>8</v>
      </c>
      <c r="AP687" s="27" t="s">
        <v>7</v>
      </c>
      <c r="AQ687" s="27" t="s">
        <v>8</v>
      </c>
      <c r="AR687" s="27" t="s">
        <v>7</v>
      </c>
      <c r="AS687" s="27" t="s">
        <v>8</v>
      </c>
    </row>
    <row r="688" spans="1:146" x14ac:dyDescent="0.25">
      <c r="A688" s="7">
        <v>0.1353264384291625</v>
      </c>
      <c r="B688"/>
      <c r="C688"/>
      <c r="D688"/>
      <c r="E688"/>
      <c r="AH688" s="27" t="s">
        <v>7</v>
      </c>
      <c r="AM688" s="27" t="s">
        <v>8</v>
      </c>
      <c r="AN688" s="27" t="s">
        <v>7</v>
      </c>
      <c r="AO688" s="27" t="s">
        <v>8</v>
      </c>
      <c r="AP688" s="27" t="s">
        <v>7</v>
      </c>
      <c r="AQ688" s="27" t="s">
        <v>8</v>
      </c>
      <c r="AR688" s="27" t="s">
        <v>7</v>
      </c>
    </row>
    <row r="689" spans="1:43" x14ac:dyDescent="0.25">
      <c r="A689" s="7">
        <v>0.13267297885212009</v>
      </c>
      <c r="B689"/>
      <c r="C689"/>
      <c r="D689"/>
      <c r="E689"/>
      <c r="AH689" s="27" t="s">
        <v>7</v>
      </c>
      <c r="AI689" s="27" t="s">
        <v>8</v>
      </c>
      <c r="AM689" s="27" t="s">
        <v>8</v>
      </c>
      <c r="AN689" s="27" t="s">
        <v>7</v>
      </c>
      <c r="AO689" s="27" t="s">
        <v>8</v>
      </c>
      <c r="AP689" s="27" t="s">
        <v>7</v>
      </c>
      <c r="AQ689" s="27" t="s">
        <v>8</v>
      </c>
    </row>
    <row r="690" spans="1:43" x14ac:dyDescent="0.25">
      <c r="A690" s="7">
        <v>0.13007154789423539</v>
      </c>
      <c r="B690"/>
      <c r="C690"/>
      <c r="D690"/>
      <c r="E690"/>
      <c r="AH690" s="27" t="s">
        <v>7</v>
      </c>
      <c r="AI690" s="27" t="s">
        <v>8</v>
      </c>
      <c r="AJ690" s="27" t="s">
        <v>7</v>
      </c>
      <c r="AM690" s="27" t="s">
        <v>8</v>
      </c>
      <c r="AN690" s="27" t="s">
        <v>7</v>
      </c>
      <c r="AO690" s="27" t="s">
        <v>8</v>
      </c>
      <c r="AP690" s="27" t="s">
        <v>7</v>
      </c>
    </row>
    <row r="691" spans="1:43" x14ac:dyDescent="0.25">
      <c r="A691" s="7">
        <v>0.12752112538650529</v>
      </c>
      <c r="B691"/>
      <c r="C691"/>
      <c r="D691"/>
      <c r="E691"/>
      <c r="AH691" s="27" t="s">
        <v>7</v>
      </c>
      <c r="AI691" s="27" t="s">
        <v>8</v>
      </c>
      <c r="AJ691" s="27" t="s">
        <v>7</v>
      </c>
      <c r="AM691" s="27" t="s">
        <v>8</v>
      </c>
      <c r="AN691" s="27" t="s">
        <v>7</v>
      </c>
      <c r="AO691" s="27" t="s">
        <v>8</v>
      </c>
    </row>
    <row r="692" spans="1:43" x14ac:dyDescent="0.25">
      <c r="A692" s="7">
        <v>0.12502071116324048</v>
      </c>
      <c r="B692"/>
      <c r="C692"/>
      <c r="D692"/>
      <c r="E692"/>
      <c r="AH692" s="27" t="s">
        <v>7</v>
      </c>
      <c r="AI692" s="27" t="s">
        <v>8</v>
      </c>
      <c r="AJ692" s="27" t="s">
        <v>7</v>
      </c>
      <c r="AM692" s="27" t="s">
        <v>8</v>
      </c>
      <c r="AN692" s="27" t="s">
        <v>7</v>
      </c>
      <c r="AO692" s="27" t="s">
        <v>8</v>
      </c>
    </row>
    <row r="693" spans="1:43" x14ac:dyDescent="0.25">
      <c r="A693" s="7">
        <v>0.1225693246698436</v>
      </c>
      <c r="B693"/>
      <c r="C693"/>
      <c r="D693"/>
      <c r="E693"/>
      <c r="AH693" s="27" t="s">
        <v>7</v>
      </c>
      <c r="AI693" s="27" t="s">
        <v>8</v>
      </c>
      <c r="AJ693" s="27" t="s">
        <v>7</v>
      </c>
      <c r="AK693" s="27" t="s">
        <v>8</v>
      </c>
      <c r="AM693" s="27" t="s">
        <v>8</v>
      </c>
      <c r="AN693" s="27" t="s">
        <v>7</v>
      </c>
    </row>
    <row r="694" spans="1:43" x14ac:dyDescent="0.25">
      <c r="A694" s="7">
        <v>0.12016600457827803</v>
      </c>
      <c r="B694"/>
      <c r="C694"/>
      <c r="D694"/>
      <c r="E694"/>
      <c r="AH694" s="27" t="s">
        <v>7</v>
      </c>
      <c r="AI694" s="27" t="s">
        <v>8</v>
      </c>
      <c r="AJ694" s="27" t="s">
        <v>7</v>
      </c>
      <c r="AK694" s="27" t="s">
        <v>8</v>
      </c>
      <c r="AL694" s="27" t="s">
        <v>7</v>
      </c>
      <c r="AM694" s="27" t="s">
        <v>8</v>
      </c>
    </row>
    <row r="695" spans="1:43" x14ac:dyDescent="0.25">
      <c r="A695" s="7">
        <v>0.1178098084100765</v>
      </c>
      <c r="B695"/>
      <c r="C695"/>
      <c r="D695"/>
      <c r="E695"/>
      <c r="AH695" s="27" t="s">
        <v>7</v>
      </c>
      <c r="AI695" s="27" t="s">
        <v>8</v>
      </c>
      <c r="AJ695" s="27" t="s">
        <v>7</v>
      </c>
      <c r="AK695" s="27" t="s">
        <v>8</v>
      </c>
      <c r="AL695" s="27" t="s">
        <v>7</v>
      </c>
      <c r="AM695" s="27" t="s">
        <v>8</v>
      </c>
    </row>
    <row r="696" spans="1:43" x14ac:dyDescent="0.25">
      <c r="A696" s="7">
        <v>0.11549981216674166</v>
      </c>
      <c r="B696"/>
      <c r="C696"/>
      <c r="D696"/>
      <c r="E696"/>
      <c r="AH696" s="27" t="s">
        <v>7</v>
      </c>
      <c r="AI696" s="27" t="s">
        <v>8</v>
      </c>
      <c r="AJ696" s="27" t="s">
        <v>7</v>
      </c>
      <c r="AK696" s="27" t="s">
        <v>8</v>
      </c>
      <c r="AL696" s="27" t="s">
        <v>7</v>
      </c>
      <c r="AM696" s="27" t="s">
        <v>8</v>
      </c>
    </row>
    <row r="697" spans="1:43" x14ac:dyDescent="0.25">
      <c r="A697" s="7">
        <v>0.11323510996739378</v>
      </c>
      <c r="B697"/>
      <c r="C697"/>
      <c r="D697"/>
      <c r="E697"/>
      <c r="AH697" s="27" t="s">
        <v>7</v>
      </c>
      <c r="AI697" s="27" t="s">
        <v>8</v>
      </c>
      <c r="AJ697" s="27" t="s">
        <v>7</v>
      </c>
      <c r="AK697" s="27" t="s">
        <v>8</v>
      </c>
      <c r="AL697" s="27" t="s">
        <v>7</v>
      </c>
    </row>
    <row r="698" spans="1:43" x14ac:dyDescent="0.25">
      <c r="A698" s="7">
        <v>0.11101481369352331</v>
      </c>
      <c r="B698"/>
      <c r="C698"/>
      <c r="D698"/>
      <c r="E698"/>
      <c r="AH698" s="27" t="s">
        <v>7</v>
      </c>
      <c r="AI698" s="27" t="s">
        <v>8</v>
      </c>
      <c r="AJ698" s="27" t="s">
        <v>7</v>
      </c>
      <c r="AK698" s="27" t="s">
        <v>8</v>
      </c>
    </row>
    <row r="699" spans="1:43" x14ac:dyDescent="0.25">
      <c r="A699" s="7">
        <v>0.10883805264070913</v>
      </c>
      <c r="B699"/>
      <c r="C699"/>
      <c r="D699"/>
      <c r="E699"/>
      <c r="AH699" s="27" t="s">
        <v>7</v>
      </c>
      <c r="AI699" s="27" t="s">
        <v>8</v>
      </c>
      <c r="AJ699" s="27" t="s">
        <v>7</v>
      </c>
      <c r="AK699" s="27" t="s">
        <v>8</v>
      </c>
    </row>
    <row r="700" spans="1:43" x14ac:dyDescent="0.25">
      <c r="A700" s="7">
        <v>0.10670397317716582</v>
      </c>
      <c r="B700"/>
      <c r="C700"/>
      <c r="D700"/>
      <c r="E700"/>
      <c r="AH700" s="27" t="s">
        <v>7</v>
      </c>
      <c r="AI700" s="27" t="s">
        <v>8</v>
      </c>
      <c r="AJ700" s="27" t="s">
        <v>7</v>
      </c>
      <c r="AK700" s="27" t="s">
        <v>8</v>
      </c>
    </row>
    <row r="701" spans="1:43" x14ac:dyDescent="0.25">
      <c r="A701" s="7">
        <v>0.1046117384089861</v>
      </c>
      <c r="B701"/>
      <c r="C701"/>
      <c r="D701"/>
      <c r="E701"/>
      <c r="AH701" s="27" t="s">
        <v>7</v>
      </c>
      <c r="AI701" s="27" t="s">
        <v>8</v>
      </c>
      <c r="AJ701" s="27" t="s">
        <v>7</v>
      </c>
      <c r="AK701" s="27" t="s">
        <v>8</v>
      </c>
    </row>
    <row r="702" spans="1:43" x14ac:dyDescent="0.25">
      <c r="A702" s="7">
        <v>0.10256052785194716</v>
      </c>
      <c r="B702"/>
      <c r="C702"/>
      <c r="D702"/>
      <c r="E702"/>
      <c r="AH702" s="27" t="s">
        <v>7</v>
      </c>
      <c r="AI702" s="27" t="s">
        <v>8</v>
      </c>
      <c r="AJ702" s="27" t="s">
        <v>7</v>
      </c>
      <c r="AK702" s="27" t="s">
        <v>8</v>
      </c>
    </row>
    <row r="703" spans="1:43" x14ac:dyDescent="0.25">
      <c r="A703" s="7">
        <v>0.10054953710975212</v>
      </c>
      <c r="B703"/>
      <c r="C703"/>
      <c r="D703"/>
      <c r="E703"/>
      <c r="AH703" s="27" t="s">
        <v>7</v>
      </c>
      <c r="AI703" s="27" t="s">
        <v>8</v>
      </c>
      <c r="AJ703" s="27" t="s">
        <v>7</v>
      </c>
      <c r="AK703" s="27" t="s">
        <v>8</v>
      </c>
    </row>
    <row r="704" spans="1:43" x14ac:dyDescent="0.25">
      <c r="A704" s="7">
        <v>9.8577977558580512E-2</v>
      </c>
      <c r="B704"/>
      <c r="C704"/>
      <c r="D704"/>
      <c r="E704"/>
      <c r="AH704" s="27" t="s">
        <v>7</v>
      </c>
      <c r="AI704" s="27" t="s">
        <v>8</v>
      </c>
      <c r="AJ704" s="27" t="s">
        <v>7</v>
      </c>
    </row>
    <row r="705" spans="1:35" x14ac:dyDescent="0.25">
      <c r="A705" s="7">
        <v>9.6645076037824032E-2</v>
      </c>
      <c r="B705"/>
      <c r="C705"/>
      <c r="D705"/>
      <c r="E705"/>
      <c r="AH705" s="27" t="s">
        <v>7</v>
      </c>
      <c r="AI705" s="27" t="s">
        <v>8</v>
      </c>
    </row>
    <row r="706" spans="1:35" x14ac:dyDescent="0.25">
      <c r="A706" s="7">
        <v>9.4750074546886304E-2</v>
      </c>
      <c r="B706"/>
      <c r="C706"/>
      <c r="D706"/>
      <c r="E706"/>
      <c r="AH706" s="27" t="s">
        <v>7</v>
      </c>
      <c r="AI706" s="27" t="s">
        <v>8</v>
      </c>
    </row>
    <row r="707" spans="1:35" x14ac:dyDescent="0.25">
      <c r="A707" s="7">
        <v>9.2892229947927743E-2</v>
      </c>
      <c r="B707"/>
      <c r="C707"/>
      <c r="D707"/>
      <c r="E707"/>
      <c r="AH707" s="27" t="s">
        <v>7</v>
      </c>
      <c r="AI707" s="27" t="s">
        <v>8</v>
      </c>
    </row>
    <row r="708" spans="1:35" x14ac:dyDescent="0.25">
      <c r="A708" s="7">
        <v>9.1070813674438963E-2</v>
      </c>
      <c r="B708"/>
      <c r="C708"/>
      <c r="D708"/>
      <c r="E708"/>
      <c r="AH708" s="27" t="s">
        <v>7</v>
      </c>
      <c r="AI708" s="27" t="s">
        <v>8</v>
      </c>
    </row>
    <row r="709" spans="1:35" x14ac:dyDescent="0.25">
      <c r="A709" s="7">
        <v>8.9285111445528392E-2</v>
      </c>
      <c r="B709"/>
      <c r="C709"/>
      <c r="D709"/>
      <c r="E709"/>
      <c r="AH709" s="27" t="s">
        <v>7</v>
      </c>
      <c r="AI709" s="27" t="s">
        <v>8</v>
      </c>
    </row>
    <row r="710" spans="1:35" x14ac:dyDescent="0.25">
      <c r="A710" s="7">
        <v>8.7534422985812155E-2</v>
      </c>
      <c r="B710"/>
      <c r="C710"/>
      <c r="D710"/>
      <c r="E710"/>
      <c r="AH710" s="27" t="s">
        <v>7</v>
      </c>
      <c r="AI710" s="27" t="s">
        <v>8</v>
      </c>
    </row>
    <row r="711" spans="1:35" x14ac:dyDescent="0.25">
      <c r="A711" s="7">
        <v>8.5818061750796232E-2</v>
      </c>
      <c r="B711"/>
      <c r="C711"/>
      <c r="D711"/>
      <c r="E711"/>
      <c r="AH711" s="27" t="s">
        <v>7</v>
      </c>
      <c r="AI711" s="27" t="s">
        <v>8</v>
      </c>
    </row>
    <row r="712" spans="1:35" x14ac:dyDescent="0.25">
      <c r="A712" s="7">
        <v>8.4135354657643366E-2</v>
      </c>
      <c r="B712"/>
      <c r="C712"/>
      <c r="D712"/>
      <c r="E712"/>
      <c r="AH712" s="27" t="s">
        <v>7</v>
      </c>
      <c r="AI712" s="27" t="s">
        <v>8</v>
      </c>
    </row>
    <row r="713" spans="1:35" x14ac:dyDescent="0.25">
      <c r="A713" s="7">
        <v>8.248564182121898E-2</v>
      </c>
      <c r="B713"/>
      <c r="C713"/>
      <c r="D713"/>
      <c r="E713"/>
      <c r="AH713" s="27" t="s">
        <v>7</v>
      </c>
      <c r="AI713" s="27" t="s">
        <v>8</v>
      </c>
    </row>
    <row r="714" spans="1:35" x14ac:dyDescent="0.25">
      <c r="A714" s="7">
        <v>8.0868276295312735E-2</v>
      </c>
      <c r="B714"/>
      <c r="C714"/>
      <c r="D714"/>
      <c r="E714"/>
      <c r="AH714" s="27" t="s">
        <v>7</v>
      </c>
    </row>
    <row r="715" spans="1:35" x14ac:dyDescent="0.25">
      <c r="A715" s="7">
        <v>7.9282623818934056E-2</v>
      </c>
      <c r="B715"/>
      <c r="C715"/>
      <c r="D715"/>
      <c r="E715"/>
    </row>
    <row r="716" spans="1:35" x14ac:dyDescent="0.25">
      <c r="A716" s="7">
        <v>7.7728062567582412E-2</v>
      </c>
      <c r="B716"/>
      <c r="C716"/>
      <c r="D716"/>
      <c r="E716"/>
    </row>
    <row r="717" spans="1:35" x14ac:dyDescent="0.25">
      <c r="A717" s="7">
        <v>7.6203982909394521E-2</v>
      </c>
      <c r="B717"/>
      <c r="C717"/>
      <c r="D717"/>
      <c r="E717"/>
    </row>
    <row r="718" spans="1:35" x14ac:dyDescent="0.25">
      <c r="A718" s="7">
        <v>7.4709787166073058E-2</v>
      </c>
      <c r="B718"/>
      <c r="C718"/>
      <c r="D718"/>
      <c r="E718"/>
    </row>
    <row r="719" spans="1:35" x14ac:dyDescent="0.25">
      <c r="A719" s="7">
        <v>7.3244889378503E-2</v>
      </c>
      <c r="B719"/>
      <c r="C719"/>
      <c r="D719"/>
      <c r="E719"/>
    </row>
    <row r="720" spans="1:3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63" operator="equal">
      <formula>$U$1</formula>
    </cfRule>
    <cfRule type="cellIs" dxfId="89" priority="1164" operator="equal">
      <formula>$S$1</formula>
    </cfRule>
  </conditionalFormatting>
  <conditionalFormatting sqref="D27">
    <cfRule type="cellIs" dxfId="88" priority="1161" operator="equal">
      <formula>$S$1</formula>
    </cfRule>
    <cfRule type="cellIs" dxfId="87" priority="1162" operator="equal">
      <formula>$U$1</formula>
    </cfRule>
  </conditionalFormatting>
  <conditionalFormatting sqref="C164">
    <cfRule type="cellIs" dxfId="86" priority="1159" operator="equal">
      <formula>$U$1</formula>
    </cfRule>
    <cfRule type="cellIs" dxfId="85" priority="1160" operator="equal">
      <formula>$S$1</formula>
    </cfRule>
  </conditionalFormatting>
  <conditionalFormatting sqref="D164">
    <cfRule type="cellIs" dxfId="84" priority="1157" operator="equal">
      <formula>$S$1</formula>
    </cfRule>
    <cfRule type="cellIs" dxfId="83" priority="1158" operator="equal">
      <formula>$U$1</formula>
    </cfRule>
  </conditionalFormatting>
  <conditionalFormatting sqref="C55">
    <cfRule type="cellIs" dxfId="82" priority="1155" operator="equal">
      <formula>$U$1</formula>
    </cfRule>
    <cfRule type="cellIs" dxfId="81" priority="1156" operator="equal">
      <formula>$S$1</formula>
    </cfRule>
  </conditionalFormatting>
  <conditionalFormatting sqref="D55">
    <cfRule type="cellIs" dxfId="80" priority="1153" operator="equal">
      <formula>$S$1</formula>
    </cfRule>
    <cfRule type="cellIs" dxfId="79" priority="1154" operator="equal">
      <formula>$U$1</formula>
    </cfRule>
  </conditionalFormatting>
  <conditionalFormatting sqref="C89">
    <cfRule type="cellIs" dxfId="78" priority="1151" operator="equal">
      <formula>$U$1</formula>
    </cfRule>
    <cfRule type="cellIs" dxfId="77" priority="1152" operator="equal">
      <formula>$S$1</formula>
    </cfRule>
  </conditionalFormatting>
  <conditionalFormatting sqref="D89">
    <cfRule type="cellIs" dxfId="76" priority="1149" operator="equal">
      <formula>$S$1</formula>
    </cfRule>
    <cfRule type="cellIs" dxfId="75" priority="1150" operator="equal">
      <formula>$U$1</formula>
    </cfRule>
  </conditionalFormatting>
  <conditionalFormatting sqref="C136">
    <cfRule type="cellIs" dxfId="74" priority="1147" operator="equal">
      <formula>$U$1</formula>
    </cfRule>
    <cfRule type="cellIs" dxfId="73" priority="1148" operator="equal">
      <formula>$S$1</formula>
    </cfRule>
  </conditionalFormatting>
  <conditionalFormatting sqref="D136">
    <cfRule type="cellIs" dxfId="72" priority="1145" operator="equal">
      <formula>$S$1</formula>
    </cfRule>
    <cfRule type="cellIs" dxfId="71" priority="1146" operator="equal">
      <formula>$U$1</formula>
    </cfRule>
  </conditionalFormatting>
  <conditionalFormatting sqref="C1">
    <cfRule type="cellIs" dxfId="70" priority="114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27" zoomScale="90" zoomScaleNormal="90" workbookViewId="0">
      <pane xSplit="4" topLeftCell="BI1" activePane="topRight" state="frozen"/>
      <selection activeCell="A109" sqref="A109"/>
      <selection pane="topRight" activeCell="DY243" sqref="DY24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$A$242</v>
      </c>
      <c r="D111" s="1" t="str">
        <f>ADDRESS(C121-1,D121,1,1)</f>
        <v>$DY$242</v>
      </c>
      <c r="E111"/>
    </row>
    <row r="112" spans="1:5" x14ac:dyDescent="0.25">
      <c r="A112" s="30">
        <v>515.50191262726139</v>
      </c>
      <c r="C112" s="1" t="str">
        <f>ADDRESS(C121,1,1,1)</f>
        <v>$A$243</v>
      </c>
      <c r="D112" s="1" t="str">
        <f>ADDRESS(C121,D121-1,1,1)</f>
        <v>$DX$243</v>
      </c>
      <c r="E112"/>
    </row>
    <row r="113" spans="1:5" x14ac:dyDescent="0.25">
      <c r="A113" s="30">
        <v>490.95420250215363</v>
      </c>
      <c r="C113" s="1" t="str">
        <f>ADDRESS(C121+1,1,1,1)</f>
        <v>$A$244</v>
      </c>
      <c r="D113" s="1" t="str">
        <f>ADDRESS(C121-1,D121+1,1,1)</f>
        <v>$DZ$242</v>
      </c>
    </row>
    <row r="114" spans="1:5" x14ac:dyDescent="0.25">
      <c r="A114" s="30">
        <v>467.57543095443202</v>
      </c>
      <c r="C114" s="1" t="str">
        <f>ADDRESS(C121,D121,1,1)</f>
        <v>$DY$243</v>
      </c>
      <c r="D114" s="1" t="str">
        <f>ADDRESS(C121+1,D121+1,1,1)</f>
        <v>$DZ$244</v>
      </c>
    </row>
    <row r="115" spans="1:5" x14ac:dyDescent="0.25">
      <c r="A115" s="30">
        <v>445.30993424231622</v>
      </c>
      <c r="C115" s="1" t="str">
        <f>ADDRESS(C121+1,D121,1,1)</f>
        <v>$DY$244</v>
      </c>
    </row>
    <row r="116" spans="1:5" x14ac:dyDescent="0.25">
      <c r="A116" s="30">
        <v>424.10469927839637</v>
      </c>
      <c r="C116" s="1">
        <f>C117-1</f>
        <v>242</v>
      </c>
    </row>
    <row r="117" spans="1:5" x14ac:dyDescent="0.25">
      <c r="A117" s="30">
        <v>403.9092374079965</v>
      </c>
      <c r="C117" s="1">
        <f>C121</f>
        <v>243</v>
      </c>
      <c r="D117" s="1">
        <f>D121</f>
        <v>129</v>
      </c>
    </row>
    <row r="118" spans="1:5" x14ac:dyDescent="0.25">
      <c r="A118" s="30">
        <v>384.6754641980919</v>
      </c>
      <c r="C118" s="1">
        <f>C117+1</f>
        <v>244</v>
      </c>
      <c r="D118" s="1">
        <f>D117+1</f>
        <v>130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243</v>
      </c>
      <c r="D121" s="19">
        <v>129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R243</v>
      </c>
      <c r="D123" s="1" t="str">
        <f>"C"&amp;D121</f>
        <v>C129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0.86383759853147501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128" x14ac:dyDescent="0.25">
      <c r="A225" s="30">
        <v>2.0789281794113688</v>
      </c>
      <c r="E225"/>
    </row>
    <row r="226" spans="1:128" x14ac:dyDescent="0.25">
      <c r="A226" s="30">
        <v>1.9799315994393987</v>
      </c>
      <c r="E226"/>
    </row>
    <row r="227" spans="1:128" x14ac:dyDescent="0.25">
      <c r="A227" s="30">
        <v>1.8856491423232367</v>
      </c>
      <c r="E227"/>
      <c r="DK227" s="27" t="s">
        <v>8</v>
      </c>
    </row>
    <row r="228" spans="1:128" x14ac:dyDescent="0.25">
      <c r="A228" s="30">
        <v>1.7958563260221301</v>
      </c>
      <c r="C228" s="7"/>
      <c r="D228"/>
      <c r="E228"/>
      <c r="DI228" s="27" t="s">
        <v>8</v>
      </c>
      <c r="DK228" s="27" t="s">
        <v>8</v>
      </c>
      <c r="DL228" s="27" t="s">
        <v>7</v>
      </c>
    </row>
    <row r="229" spans="1:128" x14ac:dyDescent="0.25">
      <c r="A229" s="30">
        <v>1.7103393581163142</v>
      </c>
      <c r="E229"/>
      <c r="DI229" s="27" t="s">
        <v>8</v>
      </c>
      <c r="DJ229" s="27" t="s">
        <v>7</v>
      </c>
      <c r="DK229" s="27" t="s">
        <v>8</v>
      </c>
      <c r="DL229" s="27" t="s">
        <v>7</v>
      </c>
    </row>
    <row r="230" spans="1:128" x14ac:dyDescent="0.25">
      <c r="A230" s="30">
        <v>1.628894626777442</v>
      </c>
      <c r="E230"/>
      <c r="BS230" s="27" t="s">
        <v>8</v>
      </c>
      <c r="DI230" s="27" t="s">
        <v>8</v>
      </c>
      <c r="DJ230" s="27" t="s">
        <v>7</v>
      </c>
      <c r="DK230" s="27" t="s">
        <v>8</v>
      </c>
      <c r="DL230" s="27" t="s">
        <v>7</v>
      </c>
    </row>
    <row r="231" spans="1:128" x14ac:dyDescent="0.25">
      <c r="A231" s="30">
        <v>1.5513282159785162</v>
      </c>
      <c r="C231"/>
      <c r="D231"/>
      <c r="E231"/>
      <c r="BS231" s="27" t="s">
        <v>8</v>
      </c>
      <c r="BT231" s="27" t="s">
        <v>7</v>
      </c>
      <c r="BY231" s="31" t="s">
        <v>8</v>
      </c>
      <c r="DI231" s="27" t="s">
        <v>8</v>
      </c>
      <c r="DJ231" s="27" t="s">
        <v>7</v>
      </c>
      <c r="DK231" s="27" t="s">
        <v>8</v>
      </c>
      <c r="DL231" s="27" t="s">
        <v>7</v>
      </c>
    </row>
    <row r="232" spans="1:128" x14ac:dyDescent="0.25">
      <c r="A232" s="30">
        <v>1.477455443789063</v>
      </c>
      <c r="E232"/>
      <c r="BS232" s="27" t="s">
        <v>8</v>
      </c>
      <c r="BT232" s="27" t="s">
        <v>7</v>
      </c>
      <c r="BU232" s="27" t="s">
        <v>8</v>
      </c>
      <c r="BY232" s="27" t="s">
        <v>8</v>
      </c>
      <c r="BZ232" s="31" t="s">
        <v>7</v>
      </c>
      <c r="DI232" s="27" t="s">
        <v>8</v>
      </c>
      <c r="DJ232" s="27" t="s">
        <v>7</v>
      </c>
      <c r="DK232" s="27" t="s">
        <v>8</v>
      </c>
      <c r="DL232" s="27" t="s">
        <v>7</v>
      </c>
    </row>
    <row r="233" spans="1:128" x14ac:dyDescent="0.25">
      <c r="A233" s="30">
        <v>1.4071004226562505</v>
      </c>
      <c r="E233"/>
      <c r="BS233" s="27" t="s">
        <v>8</v>
      </c>
      <c r="BT233" s="27" t="s">
        <v>7</v>
      </c>
      <c r="BU233" s="27" t="s">
        <v>8</v>
      </c>
      <c r="BV233" s="27" t="s">
        <v>7</v>
      </c>
      <c r="BY233" s="27" t="s">
        <v>8</v>
      </c>
      <c r="BZ233" s="27" t="s">
        <v>7</v>
      </c>
      <c r="CA233" s="31"/>
      <c r="DC233" s="27" t="s">
        <v>8</v>
      </c>
      <c r="DI233" s="27" t="s">
        <v>8</v>
      </c>
      <c r="DJ233" s="27" t="s">
        <v>7</v>
      </c>
      <c r="DK233" s="27" t="s">
        <v>8</v>
      </c>
      <c r="DL233" s="27" t="s">
        <v>7</v>
      </c>
      <c r="DM233" s="27" t="s">
        <v>8</v>
      </c>
      <c r="DS233" s="27" t="s">
        <v>8</v>
      </c>
    </row>
    <row r="234" spans="1:128" x14ac:dyDescent="0.25">
      <c r="A234" s="30">
        <v>1.3400956406250004</v>
      </c>
      <c r="E234"/>
      <c r="BO234" s="27" t="s">
        <v>8</v>
      </c>
      <c r="BS234" s="27" t="s">
        <v>8</v>
      </c>
      <c r="BT234" s="27" t="s">
        <v>7</v>
      </c>
      <c r="BU234" s="27" t="s">
        <v>8</v>
      </c>
      <c r="BV234" s="27" t="s">
        <v>7</v>
      </c>
      <c r="BY234" s="27" t="s">
        <v>8</v>
      </c>
      <c r="BZ234" s="27" t="s">
        <v>7</v>
      </c>
      <c r="CB234" s="31"/>
      <c r="DC234" s="27" t="s">
        <v>8</v>
      </c>
      <c r="DD234" s="27" t="s">
        <v>7</v>
      </c>
      <c r="DE234" s="27" t="s">
        <v>8</v>
      </c>
      <c r="DI234" s="27" t="s">
        <v>8</v>
      </c>
      <c r="DJ234" s="27" t="s">
        <v>7</v>
      </c>
      <c r="DL234" s="27" t="s">
        <v>7</v>
      </c>
      <c r="DM234" s="27" t="s">
        <v>8</v>
      </c>
      <c r="DN234" s="27" t="s">
        <v>7</v>
      </c>
      <c r="DS234" s="27" t="s">
        <v>8</v>
      </c>
      <c r="DT234" s="27" t="s">
        <v>7</v>
      </c>
      <c r="DU234" s="27" t="s">
        <v>8</v>
      </c>
    </row>
    <row r="235" spans="1:128" x14ac:dyDescent="0.25">
      <c r="A235" s="30">
        <v>1.2762815625000004</v>
      </c>
      <c r="C235"/>
      <c r="E235"/>
      <c r="BO235" s="27" t="s">
        <v>8</v>
      </c>
      <c r="BP235" s="27" t="s">
        <v>7</v>
      </c>
      <c r="BQ235" s="27" t="s">
        <v>8</v>
      </c>
      <c r="BS235" s="27" t="s">
        <v>8</v>
      </c>
      <c r="BT235" s="27" t="s">
        <v>7</v>
      </c>
      <c r="BU235" s="27" t="s">
        <v>8</v>
      </c>
      <c r="BV235" s="27" t="s">
        <v>7</v>
      </c>
      <c r="BY235" s="27" t="s">
        <v>8</v>
      </c>
      <c r="BZ235" s="27" t="s">
        <v>7</v>
      </c>
      <c r="CC235" s="31"/>
      <c r="DC235" s="27" t="s">
        <v>8</v>
      </c>
      <c r="DD235" s="27" t="s">
        <v>7</v>
      </c>
      <c r="DE235" s="27" t="s">
        <v>8</v>
      </c>
      <c r="DF235" s="27" t="s">
        <v>7</v>
      </c>
      <c r="DI235" s="27" t="s">
        <v>8</v>
      </c>
      <c r="DL235" s="27" t="s">
        <v>7</v>
      </c>
      <c r="DM235" s="27" t="s">
        <v>8</v>
      </c>
      <c r="DN235" s="27" t="s">
        <v>7</v>
      </c>
      <c r="DS235" s="27" t="s">
        <v>8</v>
      </c>
      <c r="DT235" s="27" t="s">
        <v>7</v>
      </c>
      <c r="DU235" s="27" t="s">
        <v>8</v>
      </c>
      <c r="DV235" s="27" t="s">
        <v>7</v>
      </c>
    </row>
    <row r="236" spans="1:128" x14ac:dyDescent="0.25">
      <c r="A236" s="30">
        <v>1.2155062500000002</v>
      </c>
      <c r="E236"/>
      <c r="BO236" s="27" t="s">
        <v>8</v>
      </c>
      <c r="BP236" s="27" t="s">
        <v>7</v>
      </c>
      <c r="BQ236" s="27" t="s">
        <v>8</v>
      </c>
      <c r="BR236" s="27" t="s">
        <v>7</v>
      </c>
      <c r="BS236" s="27" t="s">
        <v>8</v>
      </c>
      <c r="BT236" s="27" t="s">
        <v>7</v>
      </c>
      <c r="BU236" s="27" t="s">
        <v>8</v>
      </c>
      <c r="BV236" s="27" t="s">
        <v>7</v>
      </c>
      <c r="BY236" s="33" t="s">
        <v>8</v>
      </c>
      <c r="BZ236" s="27" t="s">
        <v>7</v>
      </c>
      <c r="CD236" s="31"/>
      <c r="DC236" s="27" t="s">
        <v>8</v>
      </c>
      <c r="DD236" s="27" t="s">
        <v>7</v>
      </c>
      <c r="DE236" s="27" t="s">
        <v>8</v>
      </c>
      <c r="DF236" s="27" t="s">
        <v>7</v>
      </c>
      <c r="DG236" s="27" t="s">
        <v>8</v>
      </c>
      <c r="DI236" s="27" t="s">
        <v>8</v>
      </c>
      <c r="DL236" s="27" t="s">
        <v>7</v>
      </c>
      <c r="DM236" s="27" t="s">
        <v>8</v>
      </c>
      <c r="DN236" s="27" t="s">
        <v>7</v>
      </c>
      <c r="DO236" s="27" t="s">
        <v>8</v>
      </c>
      <c r="DQ236" s="27" t="s">
        <v>8</v>
      </c>
      <c r="DS236" s="27" t="s">
        <v>8</v>
      </c>
      <c r="DT236" s="27" t="s">
        <v>7</v>
      </c>
      <c r="DU236" s="27" t="s">
        <v>8</v>
      </c>
      <c r="DV236" s="27" t="s">
        <v>7</v>
      </c>
    </row>
    <row r="237" spans="1:128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BO237" s="27" t="s">
        <v>8</v>
      </c>
      <c r="BP237" s="27" t="s">
        <v>7</v>
      </c>
      <c r="BQ237" s="27" t="s">
        <v>8</v>
      </c>
      <c r="BR237" s="27" t="s">
        <v>7</v>
      </c>
      <c r="BS237" s="27" t="s">
        <v>8</v>
      </c>
      <c r="BT237" s="27" t="s">
        <v>7</v>
      </c>
      <c r="BU237" s="27" t="s">
        <v>8</v>
      </c>
      <c r="BV237" s="27" t="s">
        <v>7</v>
      </c>
      <c r="BW237" s="27" t="s">
        <v>8</v>
      </c>
      <c r="BY237" s="27" t="s">
        <v>8</v>
      </c>
      <c r="BZ237" s="27" t="s">
        <v>7</v>
      </c>
      <c r="CE237" s="31"/>
      <c r="DC237" s="27" t="s">
        <v>8</v>
      </c>
      <c r="DD237" s="27" t="s">
        <v>7</v>
      </c>
      <c r="DE237" s="27" t="s">
        <v>8</v>
      </c>
      <c r="DF237" s="27" t="s">
        <v>7</v>
      </c>
      <c r="DG237" s="27" t="s">
        <v>8</v>
      </c>
      <c r="DH237" s="27" t="s">
        <v>7</v>
      </c>
      <c r="DI237" s="27" t="s">
        <v>8</v>
      </c>
      <c r="DL237" s="27" t="s">
        <v>7</v>
      </c>
      <c r="DM237" s="27" t="s">
        <v>8</v>
      </c>
      <c r="DN237" s="27" t="s">
        <v>7</v>
      </c>
      <c r="DO237" s="27" t="s">
        <v>8</v>
      </c>
      <c r="DP237" s="27" t="s">
        <v>7</v>
      </c>
      <c r="DQ237" s="27" t="s">
        <v>8</v>
      </c>
      <c r="DR237" s="27" t="s">
        <v>7</v>
      </c>
      <c r="DS237" s="27" t="s">
        <v>8</v>
      </c>
      <c r="DT237" s="27" t="s">
        <v>7</v>
      </c>
      <c r="DV237" s="27" t="s">
        <v>7</v>
      </c>
    </row>
    <row r="238" spans="1:128" x14ac:dyDescent="0.25">
      <c r="A238" s="30">
        <v>1.1025</v>
      </c>
      <c r="E238"/>
      <c r="BO238" s="27" t="s">
        <v>8</v>
      </c>
      <c r="BP238" s="27" t="s">
        <v>7</v>
      </c>
      <c r="BQ238" s="27" t="s">
        <v>8</v>
      </c>
      <c r="BR238" s="32" t="s">
        <v>7</v>
      </c>
      <c r="BT238" s="32" t="s">
        <v>7</v>
      </c>
      <c r="BV238" s="27" t="s">
        <v>7</v>
      </c>
      <c r="BW238" s="27" t="s">
        <v>8</v>
      </c>
      <c r="BX238" s="27" t="s">
        <v>7</v>
      </c>
      <c r="BY238" s="27" t="s">
        <v>8</v>
      </c>
      <c r="BZ238" s="27" t="s">
        <v>7</v>
      </c>
      <c r="CF238" s="31"/>
      <c r="DC238" s="27" t="s">
        <v>8</v>
      </c>
      <c r="DD238" s="27" t="s">
        <v>7</v>
      </c>
      <c r="DE238" s="27" t="s">
        <v>8</v>
      </c>
      <c r="DF238" s="27" t="s">
        <v>7</v>
      </c>
      <c r="DG238" s="27" t="s">
        <v>8</v>
      </c>
      <c r="DH238" s="27" t="s">
        <v>7</v>
      </c>
      <c r="DI238" s="27" t="s">
        <v>8</v>
      </c>
      <c r="DL238" s="27" t="s">
        <v>7</v>
      </c>
      <c r="DM238" s="27" t="s">
        <v>8</v>
      </c>
      <c r="DN238" s="27" t="s">
        <v>7</v>
      </c>
      <c r="DO238" s="27" t="s">
        <v>8</v>
      </c>
      <c r="DP238" s="27" t="s">
        <v>7</v>
      </c>
      <c r="DQ238" s="27" t="s">
        <v>8</v>
      </c>
      <c r="DR238" s="27" t="s">
        <v>7</v>
      </c>
      <c r="DS238" s="27" t="s">
        <v>8</v>
      </c>
      <c r="DV238" s="27" t="s">
        <v>7</v>
      </c>
      <c r="DW238" s="27" t="s">
        <v>8</v>
      </c>
    </row>
    <row r="239" spans="1:128" x14ac:dyDescent="0.25">
      <c r="A239" s="30">
        <v>1.05</v>
      </c>
      <c r="E239"/>
      <c r="BO239" s="27" t="s">
        <v>8</v>
      </c>
      <c r="BP239" s="27" t="s">
        <v>7</v>
      </c>
      <c r="BQ239" s="27" t="s">
        <v>8</v>
      </c>
      <c r="BV239" s="34" t="s">
        <v>7</v>
      </c>
      <c r="BW239" s="27" t="s">
        <v>8</v>
      </c>
      <c r="BX239" s="27" t="s">
        <v>7</v>
      </c>
      <c r="BY239" s="27" t="s">
        <v>8</v>
      </c>
      <c r="BZ239" s="27" t="s">
        <v>7</v>
      </c>
      <c r="CG239" s="31"/>
      <c r="DC239" s="27" t="s">
        <v>8</v>
      </c>
      <c r="DD239" s="27" t="s">
        <v>7</v>
      </c>
      <c r="DE239" s="27" t="s">
        <v>8</v>
      </c>
      <c r="DF239" s="27" t="s">
        <v>7</v>
      </c>
      <c r="DH239" s="27" t="s">
        <v>7</v>
      </c>
      <c r="DI239" s="27" t="s">
        <v>8</v>
      </c>
      <c r="DL239" s="27" t="s">
        <v>7</v>
      </c>
      <c r="DM239" s="27" t="s">
        <v>8</v>
      </c>
      <c r="DN239" s="27" t="s">
        <v>7</v>
      </c>
      <c r="DP239" s="27" t="s">
        <v>7</v>
      </c>
      <c r="DQ239" s="27" t="s">
        <v>8</v>
      </c>
      <c r="DR239" s="27" t="s">
        <v>7</v>
      </c>
      <c r="DV239" s="27" t="s">
        <v>7</v>
      </c>
      <c r="DW239" s="27" t="s">
        <v>8</v>
      </c>
      <c r="DX239" s="27" t="s">
        <v>7</v>
      </c>
    </row>
    <row r="240" spans="1:128" x14ac:dyDescent="0.25">
      <c r="A240" s="30">
        <v>1</v>
      </c>
      <c r="E240" s="29" t="s">
        <v>8</v>
      </c>
      <c r="BO240" s="27" t="s">
        <v>8</v>
      </c>
      <c r="BP240" s="27" t="s">
        <v>7</v>
      </c>
      <c r="BQ240" s="27" t="s">
        <v>8</v>
      </c>
      <c r="BV240" s="27" t="s">
        <v>7</v>
      </c>
      <c r="BW240" s="27" t="s">
        <v>8</v>
      </c>
      <c r="BX240" s="27" t="s">
        <v>7</v>
      </c>
      <c r="BZ240" s="27" t="s">
        <v>7</v>
      </c>
      <c r="CH240" s="31"/>
      <c r="CU240" s="27" t="s">
        <v>8</v>
      </c>
      <c r="DC240" s="27" t="s">
        <v>8</v>
      </c>
      <c r="DD240" s="27" t="s">
        <v>7</v>
      </c>
      <c r="DE240" s="27" t="s">
        <v>8</v>
      </c>
      <c r="DH240" s="27" t="s">
        <v>7</v>
      </c>
      <c r="DI240" s="27" t="s">
        <v>8</v>
      </c>
      <c r="DL240" s="27" t="s">
        <v>7</v>
      </c>
      <c r="DM240" s="27" t="s">
        <v>8</v>
      </c>
      <c r="DP240" s="27" t="s">
        <v>7</v>
      </c>
      <c r="DV240" s="27" t="s">
        <v>7</v>
      </c>
      <c r="DW240" s="27" t="s">
        <v>8</v>
      </c>
      <c r="DX240" s="27" t="s">
        <v>7</v>
      </c>
    </row>
    <row r="241" spans="1:129" x14ac:dyDescent="0.25">
      <c r="A241" s="30">
        <v>0.952380952380952</v>
      </c>
      <c r="B241"/>
      <c r="C241"/>
      <c r="D241"/>
      <c r="E241"/>
      <c r="F241" s="27" t="s">
        <v>7</v>
      </c>
      <c r="BO241" s="27" t="s">
        <v>8</v>
      </c>
      <c r="BP241" s="27" t="s">
        <v>7</v>
      </c>
      <c r="BV241" s="27" t="s">
        <v>7</v>
      </c>
      <c r="BW241" s="27" t="s">
        <v>8</v>
      </c>
      <c r="BZ241" s="34" t="s">
        <v>7</v>
      </c>
      <c r="CI241" s="31"/>
      <c r="CU241" s="27" t="s">
        <v>8</v>
      </c>
      <c r="CV241" s="27" t="s">
        <v>7</v>
      </c>
      <c r="DC241" s="27" t="s">
        <v>8</v>
      </c>
      <c r="DD241" s="27" t="s">
        <v>7</v>
      </c>
      <c r="DH241" s="27" t="s">
        <v>7</v>
      </c>
      <c r="DL241" s="27" t="s">
        <v>7</v>
      </c>
      <c r="DM241" s="27" t="s">
        <v>8</v>
      </c>
      <c r="DV241" s="27" t="s">
        <v>7</v>
      </c>
      <c r="DX241" s="27" t="s">
        <v>7</v>
      </c>
    </row>
    <row r="242" spans="1:129" x14ac:dyDescent="0.25">
      <c r="A242" s="30">
        <v>0.90702947845804915</v>
      </c>
      <c r="B242"/>
      <c r="C242"/>
      <c r="D242"/>
      <c r="E242"/>
      <c r="F242" s="27" t="s">
        <v>7</v>
      </c>
      <c r="BO242" s="27" t="s">
        <v>8</v>
      </c>
      <c r="BV242" s="27" t="s">
        <v>7</v>
      </c>
      <c r="BW242" s="27" t="s">
        <v>8</v>
      </c>
      <c r="BZ242" s="31" t="s">
        <v>7</v>
      </c>
      <c r="CA242" s="32" t="s">
        <v>8</v>
      </c>
      <c r="CC242" s="32" t="s">
        <v>8</v>
      </c>
      <c r="CJ242" s="31"/>
      <c r="CS242" s="27" t="s">
        <v>8</v>
      </c>
      <c r="CU242" s="27" t="s">
        <v>8</v>
      </c>
      <c r="CV242" s="27" t="s">
        <v>7</v>
      </c>
      <c r="DC242" s="27" t="s">
        <v>8</v>
      </c>
      <c r="DL242" s="27" t="s">
        <v>7</v>
      </c>
      <c r="DX242" s="27" t="s">
        <v>7</v>
      </c>
    </row>
    <row r="243" spans="1:129" x14ac:dyDescent="0.25">
      <c r="A243" s="30">
        <v>0.86383759853147501</v>
      </c>
      <c r="B243"/>
      <c r="C243"/>
      <c r="D243"/>
      <c r="E243"/>
      <c r="F243" s="27" t="s">
        <v>7</v>
      </c>
      <c r="BM243" s="27" t="s">
        <v>8</v>
      </c>
      <c r="BO243" s="27" t="s">
        <v>8</v>
      </c>
      <c r="BV243" s="27" t="s">
        <v>7</v>
      </c>
      <c r="BY243" s="31"/>
      <c r="BZ243" s="27" t="s">
        <v>7</v>
      </c>
      <c r="CA243" s="27" t="s">
        <v>8</v>
      </c>
      <c r="CB243" s="27" t="s">
        <v>7</v>
      </c>
      <c r="CC243" s="27" t="s">
        <v>8</v>
      </c>
      <c r="CD243" s="27" t="s">
        <v>7</v>
      </c>
      <c r="CK243" s="31"/>
      <c r="CS243" s="27" t="s">
        <v>8</v>
      </c>
      <c r="CT243" s="27" t="s">
        <v>7</v>
      </c>
      <c r="CU243" s="27" t="s">
        <v>8</v>
      </c>
      <c r="CV243" s="27" t="s">
        <v>7</v>
      </c>
      <c r="DC243" s="27" t="s">
        <v>8</v>
      </c>
      <c r="DX243" s="27" t="s">
        <v>7</v>
      </c>
      <c r="DY243" s="27" t="s">
        <v>8</v>
      </c>
    </row>
    <row r="244" spans="1:129" x14ac:dyDescent="0.25">
      <c r="A244" s="30">
        <v>0.82270247479188063</v>
      </c>
      <c r="B244"/>
      <c r="C244"/>
      <c r="D244"/>
      <c r="E244"/>
      <c r="F244" s="27" t="s">
        <v>7</v>
      </c>
      <c r="BK244" s="27" t="s">
        <v>8</v>
      </c>
      <c r="BM244" s="27" t="s">
        <v>8</v>
      </c>
      <c r="BN244" s="27" t="s">
        <v>7</v>
      </c>
      <c r="BO244" s="27" t="s">
        <v>8</v>
      </c>
      <c r="BX244" s="31"/>
      <c r="BZ244" s="27" t="s">
        <v>7</v>
      </c>
      <c r="CA244" s="27" t="s">
        <v>8</v>
      </c>
      <c r="CB244" s="27" t="s">
        <v>7</v>
      </c>
      <c r="CC244" s="27" t="s">
        <v>8</v>
      </c>
      <c r="CD244" s="27" t="s">
        <v>7</v>
      </c>
      <c r="CE244" s="27" t="s">
        <v>8</v>
      </c>
      <c r="CL244" s="31"/>
      <c r="CQ244" s="27" t="s">
        <v>8</v>
      </c>
      <c r="CS244" s="27" t="s">
        <v>8</v>
      </c>
      <c r="CT244" s="27" t="s">
        <v>7</v>
      </c>
      <c r="CU244" s="27" t="s">
        <v>8</v>
      </c>
      <c r="CV244" s="27" t="s">
        <v>7</v>
      </c>
      <c r="CW244" s="27" t="s">
        <v>8</v>
      </c>
      <c r="DC244" s="27" t="s">
        <v>8</v>
      </c>
      <c r="DX244" s="27" t="s">
        <v>7</v>
      </c>
      <c r="DY244" s="27" t="s">
        <v>8</v>
      </c>
    </row>
    <row r="245" spans="1:129" x14ac:dyDescent="0.25">
      <c r="A245" s="30">
        <v>0.78352616646845741</v>
      </c>
      <c r="B245"/>
      <c r="C245"/>
      <c r="D245"/>
      <c r="E245"/>
      <c r="F245" s="27" t="s">
        <v>7</v>
      </c>
      <c r="BK245" s="27" t="s">
        <v>8</v>
      </c>
      <c r="BL245" s="27" t="s">
        <v>7</v>
      </c>
      <c r="BM245" s="27" t="s">
        <v>8</v>
      </c>
      <c r="BN245" s="27" t="s">
        <v>7</v>
      </c>
      <c r="BO245" s="27" t="s">
        <v>8</v>
      </c>
      <c r="BW245" s="31"/>
      <c r="BZ245" s="27" t="s">
        <v>7</v>
      </c>
      <c r="CA245" s="27" t="s">
        <v>8</v>
      </c>
      <c r="CB245" s="27" t="s">
        <v>7</v>
      </c>
      <c r="CC245" s="27" t="s">
        <v>8</v>
      </c>
      <c r="CD245" s="27" t="s">
        <v>7</v>
      </c>
      <c r="CE245" s="27" t="s">
        <v>8</v>
      </c>
      <c r="CF245" s="27" t="s">
        <v>7</v>
      </c>
      <c r="CM245" s="31"/>
      <c r="CQ245" s="27" t="s">
        <v>8</v>
      </c>
      <c r="CR245" s="27" t="s">
        <v>7</v>
      </c>
      <c r="CS245" s="27" t="s">
        <v>8</v>
      </c>
      <c r="CT245" s="27" t="s">
        <v>7</v>
      </c>
      <c r="CV245" s="27" t="s">
        <v>7</v>
      </c>
      <c r="CW245" s="27" t="s">
        <v>8</v>
      </c>
      <c r="CX245" s="27" t="s">
        <v>7</v>
      </c>
      <c r="DA245" s="27" t="s">
        <v>8</v>
      </c>
      <c r="DC245" s="27" t="s">
        <v>8</v>
      </c>
      <c r="DX245" s="27" t="s">
        <v>7</v>
      </c>
      <c r="DY245" s="27" t="s">
        <v>8</v>
      </c>
    </row>
    <row r="246" spans="1:129" x14ac:dyDescent="0.25">
      <c r="A246" s="30">
        <v>0.74621539663662584</v>
      </c>
      <c r="B246"/>
      <c r="C246"/>
      <c r="D246"/>
      <c r="E246"/>
      <c r="F246" s="27" t="s">
        <v>7</v>
      </c>
      <c r="BK246" s="27" t="s">
        <v>8</v>
      </c>
      <c r="BL246" s="27" t="s">
        <v>7</v>
      </c>
      <c r="BM246" s="27" t="s">
        <v>8</v>
      </c>
      <c r="BN246" s="27" t="s">
        <v>7</v>
      </c>
      <c r="BV246" s="31"/>
      <c r="BZ246" s="27" t="s">
        <v>7</v>
      </c>
      <c r="CA246" s="27" t="s">
        <v>8</v>
      </c>
      <c r="CB246" s="27" t="s">
        <v>7</v>
      </c>
      <c r="CC246" s="27" t="s">
        <v>8</v>
      </c>
      <c r="CD246" s="27" t="s">
        <v>7</v>
      </c>
      <c r="CE246" s="27" t="s">
        <v>8</v>
      </c>
      <c r="CF246" s="27" t="s">
        <v>7</v>
      </c>
      <c r="CN246" s="31"/>
      <c r="CQ246" s="27" t="s">
        <v>8</v>
      </c>
      <c r="CR246" s="27" t="s">
        <v>7</v>
      </c>
      <c r="CS246" s="27" t="s">
        <v>8</v>
      </c>
      <c r="CV246" s="27" t="s">
        <v>7</v>
      </c>
      <c r="CW246" s="27" t="s">
        <v>8</v>
      </c>
      <c r="CX246" s="27" t="s">
        <v>7</v>
      </c>
      <c r="DA246" s="27" t="s">
        <v>8</v>
      </c>
      <c r="DB246" s="27" t="s">
        <v>7</v>
      </c>
      <c r="DC246" s="27" t="s">
        <v>8</v>
      </c>
      <c r="DX246" s="27" t="s">
        <v>7</v>
      </c>
      <c r="DY246" s="27" t="s">
        <v>8</v>
      </c>
    </row>
    <row r="247" spans="1:129" x14ac:dyDescent="0.25">
      <c r="A247" s="30">
        <v>0.71068133013011958</v>
      </c>
      <c r="B247"/>
      <c r="C247"/>
      <c r="D247"/>
      <c r="E247"/>
      <c r="F247" s="27" t="s">
        <v>7</v>
      </c>
      <c r="BK247" s="27" t="s">
        <v>8</v>
      </c>
      <c r="BL247" s="27" t="s">
        <v>7</v>
      </c>
      <c r="BM247" s="27" t="s">
        <v>8</v>
      </c>
      <c r="BU247" s="31"/>
      <c r="BZ247" s="27" t="s">
        <v>7</v>
      </c>
      <c r="CA247" s="27" t="s">
        <v>8</v>
      </c>
      <c r="CB247" s="27" t="s">
        <v>7</v>
      </c>
      <c r="CC247" s="27" t="s">
        <v>8</v>
      </c>
      <c r="CD247" s="27" t="s">
        <v>7</v>
      </c>
      <c r="CE247" s="27" t="s">
        <v>8</v>
      </c>
      <c r="CF247" s="27" t="s">
        <v>7</v>
      </c>
      <c r="CG247" s="32" t="s">
        <v>8</v>
      </c>
      <c r="CI247" s="32" t="s">
        <v>8</v>
      </c>
      <c r="CO247" s="31"/>
      <c r="CQ247" s="27" t="s">
        <v>8</v>
      </c>
      <c r="CR247" s="27" t="s">
        <v>7</v>
      </c>
      <c r="CV247" s="27" t="s">
        <v>7</v>
      </c>
      <c r="CX247" s="27" t="s">
        <v>7</v>
      </c>
      <c r="CY247" s="27" t="s">
        <v>8</v>
      </c>
      <c r="DA247" s="27" t="s">
        <v>8</v>
      </c>
      <c r="DB247" s="27" t="s">
        <v>7</v>
      </c>
      <c r="DC247" s="27" t="s">
        <v>8</v>
      </c>
      <c r="DX247" s="27" t="s">
        <v>7</v>
      </c>
      <c r="DY247" s="27" t="s">
        <v>8</v>
      </c>
    </row>
    <row r="248" spans="1:129" x14ac:dyDescent="0.25">
      <c r="A248" s="30">
        <v>0.676839362028685</v>
      </c>
      <c r="B248"/>
      <c r="C248"/>
      <c r="D248"/>
      <c r="E248"/>
      <c r="F248" s="27" t="s">
        <v>7</v>
      </c>
      <c r="BA248" s="32" t="s">
        <v>8</v>
      </c>
      <c r="BC248" s="32" t="s">
        <v>8</v>
      </c>
      <c r="BK248" s="27" t="s">
        <v>8</v>
      </c>
      <c r="BL248" s="27" t="s">
        <v>7</v>
      </c>
      <c r="BM248" s="27" t="s">
        <v>8</v>
      </c>
      <c r="BT248" s="31"/>
      <c r="BZ248" s="27" t="s">
        <v>7</v>
      </c>
      <c r="CA248" s="27" t="s">
        <v>8</v>
      </c>
      <c r="CB248" s="27" t="s">
        <v>7</v>
      </c>
      <c r="CC248" s="27" t="s">
        <v>8</v>
      </c>
      <c r="CD248" s="27" t="s">
        <v>7</v>
      </c>
      <c r="CE248" s="27" t="s">
        <v>8</v>
      </c>
      <c r="CF248" s="27" t="s">
        <v>7</v>
      </c>
      <c r="CG248" s="27" t="s">
        <v>8</v>
      </c>
      <c r="CH248" s="27" t="s">
        <v>7</v>
      </c>
      <c r="CI248" s="27" t="s">
        <v>8</v>
      </c>
      <c r="CJ248" s="27" t="s">
        <v>7</v>
      </c>
      <c r="CP248" s="31"/>
      <c r="CQ248" s="27" t="s">
        <v>8</v>
      </c>
      <c r="CX248" s="27" t="s">
        <v>7</v>
      </c>
      <c r="CY248" s="27" t="s">
        <v>8</v>
      </c>
      <c r="CZ248" s="27" t="s">
        <v>7</v>
      </c>
      <c r="DA248" s="27" t="s">
        <v>8</v>
      </c>
      <c r="DB248" s="27" t="s">
        <v>7</v>
      </c>
      <c r="DC248" s="27" t="s">
        <v>8</v>
      </c>
      <c r="DX248" s="27" t="s">
        <v>7</v>
      </c>
    </row>
    <row r="249" spans="1:129" x14ac:dyDescent="0.25">
      <c r="A249" s="30">
        <v>0.64460891621779492</v>
      </c>
      <c r="B249"/>
      <c r="C249"/>
      <c r="D249"/>
      <c r="E249"/>
      <c r="F249" s="27" t="s">
        <v>7</v>
      </c>
      <c r="BA249" s="27" t="s">
        <v>8</v>
      </c>
      <c r="BB249" s="27" t="s">
        <v>7</v>
      </c>
      <c r="BC249" s="27" t="s">
        <v>8</v>
      </c>
      <c r="BD249" s="27" t="s">
        <v>7</v>
      </c>
      <c r="BE249" s="27" t="s">
        <v>8</v>
      </c>
      <c r="BK249" s="27" t="s">
        <v>8</v>
      </c>
      <c r="BL249" s="27" t="s">
        <v>7</v>
      </c>
      <c r="BS249" s="31"/>
      <c r="BZ249" s="27" t="s">
        <v>7</v>
      </c>
      <c r="CA249" s="27" t="s">
        <v>8</v>
      </c>
      <c r="CB249" s="27" t="s">
        <v>7</v>
      </c>
      <c r="CC249" s="27" t="s">
        <v>8</v>
      </c>
      <c r="CD249" s="27" t="s">
        <v>7</v>
      </c>
      <c r="CF249" s="27" t="s">
        <v>7</v>
      </c>
      <c r="CG249" s="27" t="s">
        <v>8</v>
      </c>
      <c r="CH249" s="27" t="s">
        <v>7</v>
      </c>
      <c r="CI249" s="27" t="s">
        <v>8</v>
      </c>
      <c r="CJ249" s="27" t="s">
        <v>7</v>
      </c>
      <c r="CM249" s="27" t="s">
        <v>8</v>
      </c>
      <c r="CQ249" s="31" t="s">
        <v>8</v>
      </c>
      <c r="CX249" s="27" t="s">
        <v>7</v>
      </c>
      <c r="CY249" s="27" t="s">
        <v>8</v>
      </c>
      <c r="CZ249" s="27" t="s">
        <v>7</v>
      </c>
      <c r="DA249" s="27" t="s">
        <v>8</v>
      </c>
      <c r="DB249" s="27" t="s">
        <v>7</v>
      </c>
    </row>
    <row r="250" spans="1:129" x14ac:dyDescent="0.25">
      <c r="A250" s="30">
        <v>0.61391325354075688</v>
      </c>
      <c r="B250"/>
      <c r="C250"/>
      <c r="D250"/>
      <c r="E250"/>
      <c r="F250" s="27" t="s">
        <v>7</v>
      </c>
      <c r="BA250" s="27" t="s">
        <v>8</v>
      </c>
      <c r="BB250" s="27" t="s">
        <v>7</v>
      </c>
      <c r="BC250" s="27" t="s">
        <v>8</v>
      </c>
      <c r="BD250" s="27" t="s">
        <v>7</v>
      </c>
      <c r="BE250" s="27" t="s">
        <v>8</v>
      </c>
      <c r="BF250" s="27" t="s">
        <v>7</v>
      </c>
      <c r="BK250" s="27" t="s">
        <v>8</v>
      </c>
      <c r="BR250" s="31"/>
      <c r="BZ250" s="27" t="s">
        <v>7</v>
      </c>
      <c r="CA250" s="27" t="s">
        <v>8</v>
      </c>
      <c r="CB250" s="27" t="s">
        <v>7</v>
      </c>
      <c r="CC250" s="27" t="s">
        <v>8</v>
      </c>
      <c r="CF250" s="32" t="s">
        <v>7</v>
      </c>
      <c r="CH250" s="32" t="s">
        <v>7</v>
      </c>
      <c r="CJ250" s="27" t="s">
        <v>7</v>
      </c>
      <c r="CM250" s="33" t="s">
        <v>8</v>
      </c>
      <c r="CN250" s="27" t="s">
        <v>7</v>
      </c>
      <c r="CQ250" s="33" t="s">
        <v>8</v>
      </c>
      <c r="CR250" s="19"/>
      <c r="CV250" s="31"/>
      <c r="CX250" s="27" t="s">
        <v>7</v>
      </c>
      <c r="CZ250" s="27" t="s">
        <v>7</v>
      </c>
      <c r="DA250" s="27" t="s">
        <v>8</v>
      </c>
    </row>
    <row r="251" spans="1:129" x14ac:dyDescent="0.25">
      <c r="A251" s="30">
        <v>0.58467928908643485</v>
      </c>
      <c r="B251"/>
      <c r="C251"/>
      <c r="D251"/>
      <c r="E251"/>
      <c r="F251" s="27" t="s">
        <v>7</v>
      </c>
      <c r="BA251" s="27" t="s">
        <v>8</v>
      </c>
      <c r="BB251" s="27" t="s">
        <v>7</v>
      </c>
      <c r="BC251" s="27" t="s">
        <v>8</v>
      </c>
      <c r="BD251" s="27" t="s">
        <v>7</v>
      </c>
      <c r="BE251" s="27" t="s">
        <v>8</v>
      </c>
      <c r="BF251" s="27" t="s">
        <v>7</v>
      </c>
      <c r="BK251" s="27" t="s">
        <v>8</v>
      </c>
      <c r="BQ251" s="31"/>
      <c r="BZ251" s="27" t="s">
        <v>7</v>
      </c>
      <c r="CB251" s="27" t="s">
        <v>7</v>
      </c>
      <c r="CC251" s="27" t="s">
        <v>8</v>
      </c>
      <c r="CJ251" s="27" t="s">
        <v>7</v>
      </c>
      <c r="CK251" s="27" t="s">
        <v>8</v>
      </c>
      <c r="CM251" s="27" t="s">
        <v>8</v>
      </c>
      <c r="CN251" s="27" t="s">
        <v>7</v>
      </c>
      <c r="CO251" s="27" t="s">
        <v>8</v>
      </c>
      <c r="CQ251" s="27" t="s">
        <v>8</v>
      </c>
      <c r="CS251" s="19"/>
      <c r="CU251" s="31"/>
      <c r="CZ251" s="27" t="s">
        <v>7</v>
      </c>
    </row>
    <row r="252" spans="1:129" x14ac:dyDescent="0.25">
      <c r="A252" s="30">
        <v>0.55683741817755672</v>
      </c>
      <c r="B252"/>
      <c r="C252"/>
      <c r="D252"/>
      <c r="E252"/>
      <c r="F252" s="27" t="s">
        <v>7</v>
      </c>
      <c r="BA252" s="27" t="s">
        <v>8</v>
      </c>
      <c r="BB252" s="27" t="s">
        <v>7</v>
      </c>
      <c r="BD252" s="27" t="s">
        <v>7</v>
      </c>
      <c r="BE252" s="27" t="s">
        <v>8</v>
      </c>
      <c r="BF252" s="27" t="s">
        <v>7</v>
      </c>
      <c r="BI252" s="33" t="s">
        <v>8</v>
      </c>
      <c r="BK252" s="27" t="s">
        <v>8</v>
      </c>
      <c r="BP252" s="31"/>
      <c r="CB252" s="27" t="s">
        <v>7</v>
      </c>
      <c r="CC252" s="27" t="s">
        <v>8</v>
      </c>
      <c r="CJ252" s="27" t="s">
        <v>7</v>
      </c>
      <c r="CK252" s="27" t="s">
        <v>8</v>
      </c>
      <c r="CL252" s="27" t="s">
        <v>7</v>
      </c>
      <c r="CM252" s="27" t="s">
        <v>8</v>
      </c>
      <c r="CN252" s="27" t="s">
        <v>7</v>
      </c>
      <c r="CO252" s="27" t="s">
        <v>8</v>
      </c>
      <c r="CP252" s="27" t="s">
        <v>7</v>
      </c>
      <c r="CQ252" s="27" t="s">
        <v>8</v>
      </c>
      <c r="CT252" s="31"/>
    </row>
    <row r="253" spans="1:129" x14ac:dyDescent="0.25">
      <c r="A253" s="30">
        <v>0.53032135064529184</v>
      </c>
      <c r="B253"/>
      <c r="C253"/>
      <c r="D253"/>
      <c r="E253"/>
      <c r="F253" s="27" t="s">
        <v>7</v>
      </c>
      <c r="BA253" s="27" t="s">
        <v>8</v>
      </c>
      <c r="BD253" s="27" t="s">
        <v>7</v>
      </c>
      <c r="BE253" s="27" t="s">
        <v>8</v>
      </c>
      <c r="BF253" s="27" t="s">
        <v>7</v>
      </c>
      <c r="BG253" s="27" t="s">
        <v>8</v>
      </c>
      <c r="BI253" s="27" t="s">
        <v>8</v>
      </c>
      <c r="BJ253" s="27" t="s">
        <v>7</v>
      </c>
      <c r="BK253" s="27" t="s">
        <v>8</v>
      </c>
      <c r="BO253" s="31"/>
      <c r="CB253" s="27" t="s">
        <v>7</v>
      </c>
      <c r="CC253" s="27" t="s">
        <v>8</v>
      </c>
      <c r="CJ253" s="27" t="s">
        <v>7</v>
      </c>
      <c r="CK253" s="27" t="s">
        <v>8</v>
      </c>
      <c r="CL253" s="27" t="s">
        <v>7</v>
      </c>
      <c r="CM253" s="27" t="s">
        <v>8</v>
      </c>
      <c r="CN253" s="27" t="s">
        <v>7</v>
      </c>
      <c r="CO253" s="27" t="s">
        <v>8</v>
      </c>
      <c r="CP253" s="27" t="s">
        <v>7</v>
      </c>
      <c r="CQ253" s="27" t="s">
        <v>8</v>
      </c>
      <c r="CS253" s="31"/>
    </row>
    <row r="254" spans="1:129" x14ac:dyDescent="0.25">
      <c r="A254" s="30">
        <v>0.50506795299551588</v>
      </c>
      <c r="B254"/>
      <c r="C254"/>
      <c r="D254"/>
      <c r="E254"/>
      <c r="F254" s="27" t="s">
        <v>7</v>
      </c>
      <c r="BA254" s="27" t="s">
        <v>8</v>
      </c>
      <c r="BD254" s="27" t="s">
        <v>7</v>
      </c>
      <c r="BE254" s="27" t="s">
        <v>8</v>
      </c>
      <c r="BF254" s="27" t="s">
        <v>7</v>
      </c>
      <c r="BG254" s="27" t="s">
        <v>8</v>
      </c>
      <c r="BH254" s="27" t="s">
        <v>7</v>
      </c>
      <c r="BI254" s="27" t="s">
        <v>8</v>
      </c>
      <c r="BJ254" s="27" t="s">
        <v>7</v>
      </c>
      <c r="BK254" s="27" t="s">
        <v>8</v>
      </c>
      <c r="BN254" s="31"/>
      <c r="CB254" s="27" t="s">
        <v>7</v>
      </c>
      <c r="CC254" s="27" t="s">
        <v>8</v>
      </c>
      <c r="CJ254" s="27" t="s">
        <v>7</v>
      </c>
      <c r="CK254" s="27" t="s">
        <v>8</v>
      </c>
      <c r="CL254" s="32" t="s">
        <v>7</v>
      </c>
      <c r="CN254" s="32" t="s">
        <v>7</v>
      </c>
      <c r="CP254" s="18" t="s">
        <v>7</v>
      </c>
      <c r="CQ254" s="27" t="s">
        <v>8</v>
      </c>
      <c r="CR254" s="31"/>
    </row>
    <row r="255" spans="1:129" x14ac:dyDescent="0.25">
      <c r="A255" s="30">
        <v>0.48101709809096732</v>
      </c>
      <c r="E255"/>
      <c r="F255" s="27" t="s">
        <v>7</v>
      </c>
      <c r="BA255" s="27" t="s">
        <v>8</v>
      </c>
      <c r="BD255" s="27" t="s">
        <v>7</v>
      </c>
      <c r="BE255" s="27" t="s">
        <v>8</v>
      </c>
      <c r="BF255" s="27" t="s">
        <v>7</v>
      </c>
      <c r="BG255" s="27" t="s">
        <v>8</v>
      </c>
      <c r="BH255" s="27" t="s">
        <v>7</v>
      </c>
      <c r="BI255" s="27" t="s">
        <v>8</v>
      </c>
      <c r="BJ255" s="27" t="s">
        <v>7</v>
      </c>
      <c r="BM255" s="31"/>
      <c r="CB255" s="27" t="s">
        <v>7</v>
      </c>
      <c r="CC255" s="27" t="s">
        <v>8</v>
      </c>
      <c r="CJ255" s="27" t="s">
        <v>7</v>
      </c>
      <c r="CK255" s="27" t="s">
        <v>8</v>
      </c>
      <c r="CP255" s="34" t="s">
        <v>7</v>
      </c>
      <c r="CQ255" s="31" t="s">
        <v>8</v>
      </c>
    </row>
    <row r="256" spans="1:129" x14ac:dyDescent="0.25">
      <c r="A256" s="30">
        <v>0.45811152199139726</v>
      </c>
      <c r="E256"/>
      <c r="F256" s="27" t="s">
        <v>7</v>
      </c>
      <c r="BA256" s="27" t="s">
        <v>8</v>
      </c>
      <c r="BD256" s="27" t="s">
        <v>7</v>
      </c>
      <c r="BF256" s="27" t="s">
        <v>7</v>
      </c>
      <c r="BG256" s="27" t="s">
        <v>8</v>
      </c>
      <c r="BH256" s="27" t="s">
        <v>7</v>
      </c>
      <c r="BL256" s="31"/>
      <c r="CB256" s="27" t="s">
        <v>7</v>
      </c>
      <c r="CJ256" s="27" t="s">
        <v>7</v>
      </c>
      <c r="CK256" s="27" t="s">
        <v>8</v>
      </c>
      <c r="CP256" s="31" t="s">
        <v>7</v>
      </c>
    </row>
    <row r="257" spans="1:88" x14ac:dyDescent="0.25">
      <c r="A257" s="30">
        <v>0.43629668761085438</v>
      </c>
      <c r="B257"/>
      <c r="C257"/>
      <c r="D257"/>
      <c r="E257"/>
      <c r="F257" s="27" t="s">
        <v>7</v>
      </c>
      <c r="AE257" s="27" t="s">
        <v>8</v>
      </c>
      <c r="BA257" s="27" t="s">
        <v>8</v>
      </c>
      <c r="BF257" s="27" t="s">
        <v>7</v>
      </c>
      <c r="BG257" s="27" t="s">
        <v>8</v>
      </c>
      <c r="BK257" s="31"/>
      <c r="CJ257" s="27" t="s">
        <v>7</v>
      </c>
    </row>
    <row r="258" spans="1:88" x14ac:dyDescent="0.25">
      <c r="A258" s="30">
        <v>0.41552065486748019</v>
      </c>
      <c r="B258"/>
      <c r="C258"/>
      <c r="D258"/>
      <c r="E258"/>
      <c r="F258" s="27" t="s">
        <v>7</v>
      </c>
      <c r="AE258" s="27" t="s">
        <v>8</v>
      </c>
      <c r="AF258" s="27" t="s">
        <v>7</v>
      </c>
      <c r="AG258" s="27" t="s">
        <v>8</v>
      </c>
      <c r="BA258" s="27" t="s">
        <v>8</v>
      </c>
      <c r="BF258" s="27" t="s">
        <v>7</v>
      </c>
      <c r="BG258" s="27" t="s">
        <v>8</v>
      </c>
      <c r="BJ258" s="31"/>
    </row>
    <row r="259" spans="1:88" x14ac:dyDescent="0.25">
      <c r="A259" s="30">
        <v>0.39573395701664765</v>
      </c>
      <c r="B259"/>
      <c r="C259"/>
      <c r="D259"/>
      <c r="E259"/>
      <c r="F259" s="27" t="s">
        <v>7</v>
      </c>
      <c r="AE259" s="27" t="s">
        <v>8</v>
      </c>
      <c r="AF259" s="27" t="s">
        <v>7</v>
      </c>
      <c r="AG259" s="27" t="s">
        <v>8</v>
      </c>
      <c r="AH259" s="27" t="s">
        <v>7</v>
      </c>
      <c r="BA259" s="27" t="s">
        <v>8</v>
      </c>
      <c r="BF259" s="27" t="s">
        <v>7</v>
      </c>
      <c r="BI259" s="31"/>
    </row>
    <row r="260" spans="1:88" x14ac:dyDescent="0.25">
      <c r="A260" s="30">
        <v>0.37688948287299762</v>
      </c>
      <c r="B260"/>
      <c r="C260"/>
      <c r="D260"/>
      <c r="E260"/>
      <c r="F260" s="27" t="s">
        <v>7</v>
      </c>
      <c r="AC260" s="27" t="s">
        <v>8</v>
      </c>
      <c r="AE260" s="27" t="s">
        <v>8</v>
      </c>
      <c r="AF260" s="27" t="s">
        <v>7</v>
      </c>
      <c r="AG260" s="27" t="s">
        <v>8</v>
      </c>
      <c r="AH260" s="27" t="s">
        <v>7</v>
      </c>
      <c r="BA260" s="27" t="s">
        <v>8</v>
      </c>
      <c r="BH260" s="31"/>
    </row>
    <row r="261" spans="1:88" x14ac:dyDescent="0.25">
      <c r="A261" s="30">
        <v>0.35894236464094997</v>
      </c>
      <c r="B261"/>
      <c r="C261"/>
      <c r="D261"/>
      <c r="E261"/>
      <c r="F261" s="27" t="s">
        <v>7</v>
      </c>
      <c r="AC261" s="27" t="s">
        <v>8</v>
      </c>
      <c r="AD261" s="27" t="s">
        <v>7</v>
      </c>
      <c r="AE261" s="27" t="s">
        <v>8</v>
      </c>
      <c r="AF261" s="27" t="s">
        <v>7</v>
      </c>
      <c r="AG261" s="27" t="s">
        <v>8</v>
      </c>
      <c r="AH261" s="27" t="s">
        <v>7</v>
      </c>
      <c r="AY261" s="27" t="s">
        <v>8</v>
      </c>
      <c r="BA261" s="27" t="s">
        <v>8</v>
      </c>
      <c r="BG261" s="31"/>
    </row>
    <row r="262" spans="1:88" x14ac:dyDescent="0.25">
      <c r="A262" s="30">
        <v>0.34184987108661891</v>
      </c>
      <c r="B262"/>
      <c r="C262"/>
      <c r="D262"/>
      <c r="E262"/>
      <c r="F262" s="27" t="s">
        <v>7</v>
      </c>
      <c r="AC262" s="27" t="s">
        <v>8</v>
      </c>
      <c r="AD262" s="27" t="s">
        <v>7</v>
      </c>
      <c r="AE262" s="27" t="s">
        <v>8</v>
      </c>
      <c r="AF262" s="27" t="s">
        <v>7</v>
      </c>
      <c r="AH262" s="27" t="s">
        <v>7</v>
      </c>
      <c r="AY262" s="27" t="s">
        <v>8</v>
      </c>
      <c r="AZ262" s="27" t="s">
        <v>7</v>
      </c>
      <c r="BA262" s="27" t="s">
        <v>8</v>
      </c>
      <c r="BF262" s="31"/>
    </row>
    <row r="263" spans="1:88" x14ac:dyDescent="0.25">
      <c r="A263" s="30">
        <v>0.32557130579677979</v>
      </c>
      <c r="B263"/>
      <c r="C263"/>
      <c r="D263"/>
      <c r="E263"/>
      <c r="F263" s="27" t="s">
        <v>7</v>
      </c>
      <c r="AC263" s="27" t="s">
        <v>8</v>
      </c>
      <c r="AD263" s="27" t="s">
        <v>7</v>
      </c>
      <c r="AE263" s="27" t="s">
        <v>8</v>
      </c>
      <c r="AH263" s="27" t="s">
        <v>7</v>
      </c>
      <c r="AY263" s="27" t="s">
        <v>8</v>
      </c>
      <c r="AZ263" s="27" t="s">
        <v>7</v>
      </c>
      <c r="BA263" s="27" t="s">
        <v>8</v>
      </c>
      <c r="BE263" s="31"/>
    </row>
    <row r="264" spans="1:88" x14ac:dyDescent="0.25">
      <c r="A264" s="30">
        <v>0.3100679102826473</v>
      </c>
      <c r="B264"/>
      <c r="C264"/>
      <c r="D264"/>
      <c r="E264"/>
      <c r="F264" s="27" t="s">
        <v>7</v>
      </c>
      <c r="I264" s="27" t="s">
        <v>8</v>
      </c>
      <c r="AC264" s="27" t="s">
        <v>8</v>
      </c>
      <c r="AD264" s="27" t="s">
        <v>7</v>
      </c>
      <c r="AH264" s="27" t="s">
        <v>7</v>
      </c>
      <c r="AY264" s="27" t="s">
        <v>8</v>
      </c>
      <c r="AZ264" s="27" t="s">
        <v>7</v>
      </c>
      <c r="BA264" s="27" t="s">
        <v>8</v>
      </c>
      <c r="BD264" s="31"/>
    </row>
    <row r="265" spans="1:88" x14ac:dyDescent="0.25">
      <c r="A265" s="30">
        <v>0.2953027716977592</v>
      </c>
      <c r="B265"/>
      <c r="C265"/>
      <c r="D265"/>
      <c r="E265"/>
      <c r="F265" s="27" t="s">
        <v>7</v>
      </c>
      <c r="I265" s="27" t="s">
        <v>8</v>
      </c>
      <c r="J265" s="27" t="s">
        <v>7</v>
      </c>
      <c r="AA265" s="27" t="s">
        <v>8</v>
      </c>
      <c r="AC265" s="27" t="s">
        <v>8</v>
      </c>
      <c r="AH265" s="27" t="s">
        <v>7</v>
      </c>
      <c r="AW265" s="27" t="s">
        <v>8</v>
      </c>
      <c r="AY265" s="27" t="s">
        <v>8</v>
      </c>
      <c r="AZ265" s="27" t="s">
        <v>7</v>
      </c>
      <c r="BA265" s="27" t="s">
        <v>8</v>
      </c>
      <c r="BC265" s="31"/>
    </row>
    <row r="266" spans="1:88" x14ac:dyDescent="0.25">
      <c r="A266" s="30">
        <v>0.28124073495024676</v>
      </c>
      <c r="B266"/>
      <c r="C266"/>
      <c r="D266"/>
      <c r="E266"/>
      <c r="F266" s="27" t="s">
        <v>7</v>
      </c>
      <c r="I266" s="27" t="s">
        <v>8</v>
      </c>
      <c r="J266" s="27" t="s">
        <v>7</v>
      </c>
      <c r="K266" s="27" t="s">
        <v>8</v>
      </c>
      <c r="AA266" s="27" t="s">
        <v>8</v>
      </c>
      <c r="AB266" s="27" t="s">
        <v>7</v>
      </c>
      <c r="AC266" s="27" t="s">
        <v>8</v>
      </c>
      <c r="AH266" s="27" t="s">
        <v>7</v>
      </c>
      <c r="AM266" s="27" t="s">
        <v>8</v>
      </c>
      <c r="AS266" s="27" t="s">
        <v>8</v>
      </c>
      <c r="AU266" s="27" t="s">
        <v>8</v>
      </c>
      <c r="AW266" s="27" t="s">
        <v>8</v>
      </c>
      <c r="AX266" s="27" t="s">
        <v>7</v>
      </c>
      <c r="AY266" s="27" t="s">
        <v>8</v>
      </c>
      <c r="AZ266" s="27" t="s">
        <v>7</v>
      </c>
      <c r="BB266" s="31"/>
    </row>
    <row r="267" spans="1:88" x14ac:dyDescent="0.25">
      <c r="A267" s="30">
        <v>0.26784831900023492</v>
      </c>
      <c r="B267"/>
      <c r="C267"/>
      <c r="D267"/>
      <c r="E267"/>
      <c r="F267" s="27" t="s">
        <v>7</v>
      </c>
      <c r="I267" s="27" t="s">
        <v>8</v>
      </c>
      <c r="J267" s="27" t="s">
        <v>7</v>
      </c>
      <c r="K267" s="27" t="s">
        <v>8</v>
      </c>
      <c r="L267" s="27" t="s">
        <v>7</v>
      </c>
      <c r="AA267" s="27" t="s">
        <v>8</v>
      </c>
      <c r="AB267" s="27" t="s">
        <v>7</v>
      </c>
      <c r="AC267" s="27" t="s">
        <v>8</v>
      </c>
      <c r="AH267" s="27" t="s">
        <v>7</v>
      </c>
      <c r="AI267" s="27" t="s">
        <v>8</v>
      </c>
      <c r="AM267" s="27" t="s">
        <v>8</v>
      </c>
      <c r="AN267" s="27" t="s">
        <v>7</v>
      </c>
      <c r="AS267" s="27" t="s">
        <v>8</v>
      </c>
      <c r="AT267" s="27" t="s">
        <v>7</v>
      </c>
      <c r="AU267" s="27" t="s">
        <v>8</v>
      </c>
      <c r="AV267" s="27" t="s">
        <v>7</v>
      </c>
      <c r="AW267" s="27" t="s">
        <v>8</v>
      </c>
      <c r="AX267" s="27" t="s">
        <v>7</v>
      </c>
      <c r="AY267" s="27" t="s">
        <v>8</v>
      </c>
      <c r="BA267" s="31"/>
    </row>
    <row r="268" spans="1:88" x14ac:dyDescent="0.25">
      <c r="A268" s="30">
        <v>0.25509363714308075</v>
      </c>
      <c r="B268"/>
      <c r="C268"/>
      <c r="D268"/>
      <c r="E268"/>
      <c r="F268" s="27" t="s">
        <v>7</v>
      </c>
      <c r="I268" s="27" t="s">
        <v>8</v>
      </c>
      <c r="J268" s="27" t="s">
        <v>7</v>
      </c>
      <c r="K268" s="27" t="s">
        <v>8</v>
      </c>
      <c r="L268" s="27" t="s">
        <v>7</v>
      </c>
      <c r="W268" s="27" t="s">
        <v>8</v>
      </c>
      <c r="Y268" s="27" t="s">
        <v>8</v>
      </c>
      <c r="AA268" s="27" t="s">
        <v>8</v>
      </c>
      <c r="AB268" s="27" t="s">
        <v>7</v>
      </c>
      <c r="AC268" s="27" t="s">
        <v>8</v>
      </c>
      <c r="AH268" s="27" t="s">
        <v>7</v>
      </c>
      <c r="AI268" s="27" t="s">
        <v>8</v>
      </c>
      <c r="AJ268" s="27" t="s">
        <v>7</v>
      </c>
      <c r="AM268" s="27" t="s">
        <v>8</v>
      </c>
      <c r="AN268" s="27" t="s">
        <v>7</v>
      </c>
      <c r="AO268" s="27" t="s">
        <v>8</v>
      </c>
      <c r="AQ268" s="27" t="s">
        <v>8</v>
      </c>
      <c r="AS268" s="27" t="s">
        <v>8</v>
      </c>
      <c r="AT268" s="27" t="s">
        <v>7</v>
      </c>
      <c r="AU268" s="27" t="s">
        <v>8</v>
      </c>
      <c r="AV268" s="27" t="s">
        <v>7</v>
      </c>
      <c r="AW268" s="27" t="s">
        <v>8</v>
      </c>
      <c r="AX268" s="27" t="s">
        <v>7</v>
      </c>
      <c r="AY268" s="27" t="s">
        <v>8</v>
      </c>
      <c r="AZ268" s="31"/>
    </row>
    <row r="269" spans="1:88" x14ac:dyDescent="0.25">
      <c r="A269" s="30">
        <v>0.24294632108864825</v>
      </c>
      <c r="B269"/>
      <c r="C269"/>
      <c r="D269"/>
      <c r="E269"/>
      <c r="F269" s="27" t="s">
        <v>7</v>
      </c>
      <c r="I269" s="27" t="s">
        <v>8</v>
      </c>
      <c r="J269" s="27" t="s">
        <v>7</v>
      </c>
      <c r="L269" s="27" t="s">
        <v>7</v>
      </c>
      <c r="M269" s="27" t="s">
        <v>8</v>
      </c>
      <c r="W269" s="27" t="s">
        <v>8</v>
      </c>
      <c r="X269" s="27" t="s">
        <v>7</v>
      </c>
      <c r="Y269" s="27" t="s">
        <v>8</v>
      </c>
      <c r="Z269" s="27" t="s">
        <v>7</v>
      </c>
      <c r="AA269" s="27" t="s">
        <v>8</v>
      </c>
      <c r="AB269" s="27" t="s">
        <v>7</v>
      </c>
      <c r="AC269" s="27" t="s">
        <v>8</v>
      </c>
      <c r="AH269" s="27" t="s">
        <v>7</v>
      </c>
      <c r="AI269" s="27" t="s">
        <v>8</v>
      </c>
      <c r="AJ269" s="27" t="s">
        <v>7</v>
      </c>
      <c r="AK269" s="27" t="s">
        <v>8</v>
      </c>
      <c r="AM269" s="27" t="s">
        <v>8</v>
      </c>
      <c r="AN269" s="27" t="s">
        <v>7</v>
      </c>
      <c r="AO269" s="27" t="s">
        <v>8</v>
      </c>
      <c r="AP269" s="27" t="s">
        <v>7</v>
      </c>
      <c r="AQ269" s="27" t="s">
        <v>8</v>
      </c>
      <c r="AR269" s="27" t="s">
        <v>7</v>
      </c>
      <c r="AS269" s="27" t="s">
        <v>8</v>
      </c>
      <c r="AT269" s="27" t="s">
        <v>7</v>
      </c>
      <c r="AV269" s="27" t="s">
        <v>7</v>
      </c>
      <c r="AW269" s="27" t="s">
        <v>8</v>
      </c>
      <c r="AX269" s="27" t="s">
        <v>7</v>
      </c>
      <c r="AY269" s="31" t="s">
        <v>8</v>
      </c>
    </row>
    <row r="270" spans="1:88" x14ac:dyDescent="0.25">
      <c r="A270" s="30">
        <v>0.23137744865585538</v>
      </c>
      <c r="B270"/>
      <c r="C270"/>
      <c r="D270"/>
      <c r="E270"/>
      <c r="F270" s="27" t="s">
        <v>7</v>
      </c>
      <c r="G270" s="27" t="s">
        <v>8</v>
      </c>
      <c r="I270" s="27" t="s">
        <v>8</v>
      </c>
      <c r="L270" s="27" t="s">
        <v>7</v>
      </c>
      <c r="M270" s="27" t="s">
        <v>8</v>
      </c>
      <c r="N270" s="27" t="s">
        <v>7</v>
      </c>
      <c r="W270" s="27" t="s">
        <v>8</v>
      </c>
      <c r="X270" s="27" t="s">
        <v>7</v>
      </c>
      <c r="Y270" s="27" t="s">
        <v>8</v>
      </c>
      <c r="Z270" s="27" t="s">
        <v>7</v>
      </c>
      <c r="AA270" s="27" t="s">
        <v>8</v>
      </c>
      <c r="AB270" s="27" t="s">
        <v>7</v>
      </c>
      <c r="AC270" s="27" t="s">
        <v>8</v>
      </c>
      <c r="AH270" s="27" t="s">
        <v>7</v>
      </c>
      <c r="AJ270" s="27" t="s">
        <v>7</v>
      </c>
      <c r="AK270" s="27" t="s">
        <v>8</v>
      </c>
      <c r="AL270" s="27" t="s">
        <v>7</v>
      </c>
      <c r="AM270" s="27" t="s">
        <v>8</v>
      </c>
      <c r="AN270" s="27" t="s">
        <v>7</v>
      </c>
      <c r="AO270" s="27" t="s">
        <v>8</v>
      </c>
      <c r="AP270" s="27" t="s">
        <v>7</v>
      </c>
      <c r="AQ270" s="27" t="s">
        <v>8</v>
      </c>
      <c r="AR270" s="27" t="s">
        <v>7</v>
      </c>
      <c r="AS270" s="27" t="s">
        <v>8</v>
      </c>
      <c r="AV270" s="27" t="s">
        <v>7</v>
      </c>
      <c r="AW270" s="27" t="s">
        <v>8</v>
      </c>
      <c r="AX270" s="31" t="s">
        <v>7</v>
      </c>
    </row>
    <row r="271" spans="1:88" x14ac:dyDescent="0.25">
      <c r="A271" s="30">
        <v>0.22035947491033836</v>
      </c>
      <c r="B271"/>
      <c r="C271"/>
      <c r="D271"/>
      <c r="E271"/>
      <c r="F271" s="27" t="s">
        <v>7</v>
      </c>
      <c r="G271" s="27" t="s">
        <v>8</v>
      </c>
      <c r="H271" s="27" t="s">
        <v>7</v>
      </c>
      <c r="I271" s="27" t="s">
        <v>8</v>
      </c>
      <c r="L271" s="27" t="s">
        <v>7</v>
      </c>
      <c r="M271" s="27" t="s">
        <v>8</v>
      </c>
      <c r="N271" s="27" t="s">
        <v>7</v>
      </c>
      <c r="W271" s="27" t="s">
        <v>8</v>
      </c>
      <c r="X271" s="27" t="s">
        <v>7</v>
      </c>
      <c r="Y271" s="27" t="s">
        <v>8</v>
      </c>
      <c r="Z271" s="27" t="s">
        <v>7</v>
      </c>
      <c r="AA271" s="27" t="s">
        <v>8</v>
      </c>
      <c r="AB271" s="27" t="s">
        <v>7</v>
      </c>
      <c r="AJ271" s="27" t="s">
        <v>7</v>
      </c>
      <c r="AK271" s="27" t="s">
        <v>8</v>
      </c>
      <c r="AL271" s="27" t="s">
        <v>7</v>
      </c>
      <c r="AM271" s="27" t="s">
        <v>8</v>
      </c>
      <c r="AN271" s="27" t="s">
        <v>7</v>
      </c>
      <c r="AO271" s="27" t="s">
        <v>8</v>
      </c>
      <c r="AP271" s="27" t="s">
        <v>7</v>
      </c>
      <c r="AQ271" s="27" t="s">
        <v>8</v>
      </c>
      <c r="AR271" s="27" t="s">
        <v>7</v>
      </c>
      <c r="AS271" s="27" t="s">
        <v>8</v>
      </c>
      <c r="AV271" s="27" t="s">
        <v>7</v>
      </c>
      <c r="AW271" s="31" t="s">
        <v>8</v>
      </c>
    </row>
    <row r="272" spans="1:88" x14ac:dyDescent="0.25">
      <c r="A272" s="30">
        <v>0.20986616658127455</v>
      </c>
      <c r="B272"/>
      <c r="C272"/>
      <c r="D272"/>
      <c r="E272"/>
      <c r="F272" s="27" t="s">
        <v>7</v>
      </c>
      <c r="G272" s="27" t="s">
        <v>8</v>
      </c>
      <c r="H272" s="27" t="s">
        <v>7</v>
      </c>
      <c r="I272" s="27" t="s">
        <v>8</v>
      </c>
      <c r="L272" s="27" t="s">
        <v>7</v>
      </c>
      <c r="N272" s="27" t="s">
        <v>7</v>
      </c>
      <c r="O272" s="27" t="s">
        <v>8</v>
      </c>
      <c r="W272" s="27" t="s">
        <v>8</v>
      </c>
      <c r="X272" s="27" t="s">
        <v>7</v>
      </c>
      <c r="Y272" s="27" t="s">
        <v>8</v>
      </c>
      <c r="Z272" s="27" t="s">
        <v>7</v>
      </c>
      <c r="AJ272" s="27" t="s">
        <v>7</v>
      </c>
      <c r="AL272" s="27" t="s">
        <v>7</v>
      </c>
      <c r="AM272" s="27" t="s">
        <v>8</v>
      </c>
      <c r="AN272" s="27" t="s">
        <v>7</v>
      </c>
      <c r="AP272" s="27" t="s">
        <v>7</v>
      </c>
      <c r="AR272" s="27" t="s">
        <v>7</v>
      </c>
      <c r="AS272" s="27" t="s">
        <v>8</v>
      </c>
      <c r="AV272" s="31" t="s">
        <v>7</v>
      </c>
    </row>
    <row r="273" spans="1:45" x14ac:dyDescent="0.25">
      <c r="A273" s="30">
        <v>0.19987253960121379</v>
      </c>
      <c r="B273"/>
      <c r="C273"/>
      <c r="D273"/>
      <c r="E273"/>
      <c r="F273" s="27" t="s">
        <v>7</v>
      </c>
      <c r="G273" s="27" t="s">
        <v>8</v>
      </c>
      <c r="H273" s="27" t="s">
        <v>7</v>
      </c>
      <c r="N273" s="27" t="s">
        <v>7</v>
      </c>
      <c r="O273" s="27" t="s">
        <v>8</v>
      </c>
      <c r="P273" s="27" t="s">
        <v>7</v>
      </c>
      <c r="W273" s="27" t="s">
        <v>8</v>
      </c>
      <c r="X273" s="27" t="s">
        <v>7</v>
      </c>
      <c r="Y273" s="27" t="s">
        <v>8</v>
      </c>
      <c r="AL273" s="27" t="s">
        <v>7</v>
      </c>
      <c r="AM273" s="27" t="s">
        <v>8</v>
      </c>
      <c r="AR273" s="27" t="s">
        <v>7</v>
      </c>
      <c r="AS273" s="27" t="s">
        <v>8</v>
      </c>
    </row>
    <row r="274" spans="1:45" x14ac:dyDescent="0.25">
      <c r="A274" s="30">
        <v>0.19035479962020352</v>
      </c>
      <c r="B274"/>
      <c r="C274"/>
      <c r="D274"/>
      <c r="E274"/>
      <c r="F274" s="27" t="s">
        <v>7</v>
      </c>
      <c r="G274" s="27" t="s">
        <v>8</v>
      </c>
      <c r="N274" s="27" t="s">
        <v>7</v>
      </c>
      <c r="O274" s="27" t="s">
        <v>8</v>
      </c>
      <c r="P274" s="27" t="s">
        <v>7</v>
      </c>
      <c r="W274" s="27" t="s">
        <v>8</v>
      </c>
      <c r="X274" s="27" t="s">
        <v>7</v>
      </c>
      <c r="Y274" s="27" t="s">
        <v>8</v>
      </c>
      <c r="AL274" s="27" t="s">
        <v>7</v>
      </c>
      <c r="AM274" s="27" t="s">
        <v>8</v>
      </c>
      <c r="AR274" s="27" t="s">
        <v>7</v>
      </c>
      <c r="AS274" s="27" t="s">
        <v>8</v>
      </c>
    </row>
    <row r="275" spans="1:45" x14ac:dyDescent="0.25">
      <c r="A275" s="30">
        <v>0.18129028535257471</v>
      </c>
      <c r="B275"/>
      <c r="C275"/>
      <c r="D275"/>
      <c r="E275"/>
      <c r="F275" s="27" t="s">
        <v>7</v>
      </c>
      <c r="N275" s="27" t="s">
        <v>7</v>
      </c>
      <c r="P275" s="27" t="s">
        <v>7</v>
      </c>
      <c r="W275" s="27" t="s">
        <v>8</v>
      </c>
      <c r="X275" s="27" t="s">
        <v>7</v>
      </c>
      <c r="AL275" s="27" t="s">
        <v>7</v>
      </c>
      <c r="AR275" s="27" t="s">
        <v>7</v>
      </c>
    </row>
    <row r="276" spans="1:45" x14ac:dyDescent="0.25">
      <c r="A276" s="30">
        <v>0.17265741462149967</v>
      </c>
      <c r="B276"/>
      <c r="C276"/>
      <c r="D276"/>
      <c r="E276"/>
      <c r="P276" s="27" t="s">
        <v>7</v>
      </c>
      <c r="W276" s="27" t="s">
        <v>8</v>
      </c>
    </row>
    <row r="277" spans="1:45" x14ac:dyDescent="0.25">
      <c r="A277" s="30">
        <v>0.16443563297285677</v>
      </c>
      <c r="B277"/>
      <c r="C277"/>
      <c r="D277"/>
      <c r="E277"/>
      <c r="P277" s="27" t="s">
        <v>7</v>
      </c>
      <c r="U277" s="27" t="s">
        <v>8</v>
      </c>
      <c r="W277" s="27" t="s">
        <v>8</v>
      </c>
    </row>
    <row r="278" spans="1:45" x14ac:dyDescent="0.25">
      <c r="A278" s="30">
        <v>0.15660536473605399</v>
      </c>
      <c r="B278"/>
      <c r="C278"/>
      <c r="D278"/>
      <c r="E278"/>
      <c r="P278" s="27" t="s">
        <v>7</v>
      </c>
      <c r="S278" s="27" t="s">
        <v>8</v>
      </c>
      <c r="U278" s="27" t="s">
        <v>8</v>
      </c>
      <c r="V278" s="27" t="s">
        <v>7</v>
      </c>
      <c r="W278" s="27" t="s">
        <v>8</v>
      </c>
    </row>
    <row r="279" spans="1:45" x14ac:dyDescent="0.25">
      <c r="A279" s="30">
        <v>0.14914796641528946</v>
      </c>
      <c r="B279"/>
      <c r="C279"/>
      <c r="D279"/>
      <c r="E279"/>
      <c r="P279" s="27" t="s">
        <v>7</v>
      </c>
      <c r="S279" s="27" t="s">
        <v>8</v>
      </c>
      <c r="T279" s="27" t="s">
        <v>7</v>
      </c>
      <c r="U279" s="27" t="s">
        <v>8</v>
      </c>
      <c r="V279" s="27" t="s">
        <v>7</v>
      </c>
      <c r="W279" s="27" t="s">
        <v>8</v>
      </c>
    </row>
    <row r="280" spans="1:45" x14ac:dyDescent="0.25">
      <c r="A280" s="30">
        <v>0.14204568230027562</v>
      </c>
      <c r="B280"/>
      <c r="C280"/>
      <c r="D280"/>
      <c r="E280"/>
      <c r="P280" s="27" t="s">
        <v>7</v>
      </c>
      <c r="S280" s="27" t="s">
        <v>8</v>
      </c>
      <c r="T280" s="27" t="s">
        <v>7</v>
      </c>
      <c r="U280" s="27" t="s">
        <v>8</v>
      </c>
      <c r="V280" s="27" t="s">
        <v>7</v>
      </c>
      <c r="W280" s="27" t="s">
        <v>8</v>
      </c>
    </row>
    <row r="281" spans="1:45" x14ac:dyDescent="0.25">
      <c r="A281" s="30">
        <v>0.13528160219073862</v>
      </c>
      <c r="B281"/>
      <c r="C281"/>
      <c r="D281"/>
      <c r="E281"/>
      <c r="P281" s="27" t="s">
        <v>7</v>
      </c>
      <c r="Q281" s="27" t="s">
        <v>8</v>
      </c>
      <c r="S281" s="27" t="s">
        <v>8</v>
      </c>
      <c r="T281" s="27" t="s">
        <v>7</v>
      </c>
      <c r="U281" s="27" t="s">
        <v>8</v>
      </c>
      <c r="V281" s="27" t="s">
        <v>7</v>
      </c>
    </row>
    <row r="282" spans="1:45" x14ac:dyDescent="0.25">
      <c r="A282" s="30">
        <v>0.12883962113403674</v>
      </c>
      <c r="B282"/>
      <c r="C282"/>
      <c r="D282"/>
      <c r="E282"/>
      <c r="P282" s="27" t="s">
        <v>7</v>
      </c>
      <c r="Q282" s="27" t="s">
        <v>8</v>
      </c>
      <c r="R282" s="27" t="s">
        <v>7</v>
      </c>
      <c r="S282" s="27" t="s">
        <v>8</v>
      </c>
      <c r="T282" s="27" t="s">
        <v>7</v>
      </c>
      <c r="U282" s="27" t="s">
        <v>8</v>
      </c>
    </row>
    <row r="283" spans="1:45" x14ac:dyDescent="0.25">
      <c r="A283" s="30">
        <v>0.12270440108003494</v>
      </c>
      <c r="B283"/>
      <c r="C283"/>
      <c r="D283"/>
      <c r="E283"/>
      <c r="P283" s="27" t="s">
        <v>7</v>
      </c>
      <c r="Q283" s="27" t="s">
        <v>8</v>
      </c>
      <c r="R283" s="27" t="s">
        <v>7</v>
      </c>
      <c r="S283" s="27" t="s">
        <v>8</v>
      </c>
      <c r="T283" s="27" t="s">
        <v>7</v>
      </c>
    </row>
    <row r="284" spans="1:45" x14ac:dyDescent="0.25">
      <c r="A284" s="30">
        <v>0.11686133436193799</v>
      </c>
      <c r="B284"/>
      <c r="C284"/>
      <c r="D284"/>
      <c r="E284"/>
      <c r="P284" s="27" t="s">
        <v>7</v>
      </c>
      <c r="Q284" s="27" t="s">
        <v>8</v>
      </c>
      <c r="R284" s="27" t="s">
        <v>7</v>
      </c>
      <c r="S284" s="27" t="s">
        <v>8</v>
      </c>
    </row>
    <row r="285" spans="1:45" x14ac:dyDescent="0.25">
      <c r="A285" s="30">
        <v>0.11129650891613138</v>
      </c>
      <c r="B285"/>
      <c r="C285"/>
      <c r="D285"/>
      <c r="E285"/>
      <c r="P285" s="27" t="s">
        <v>7</v>
      </c>
      <c r="Q285" s="27" t="s">
        <v>8</v>
      </c>
      <c r="R285" s="27" t="s">
        <v>7</v>
      </c>
      <c r="S285" s="27" t="s">
        <v>8</v>
      </c>
    </row>
    <row r="286" spans="1:45" x14ac:dyDescent="0.25">
      <c r="A286" s="30">
        <v>0.10599667515822032</v>
      </c>
      <c r="B286"/>
      <c r="C286"/>
      <c r="D286"/>
      <c r="E286"/>
      <c r="P286" s="27" t="s">
        <v>7</v>
      </c>
      <c r="Q286" s="27" t="s">
        <v>8</v>
      </c>
      <c r="R286" s="27" t="s">
        <v>7</v>
      </c>
      <c r="S286" s="27" t="s">
        <v>8</v>
      </c>
    </row>
    <row r="287" spans="1:45" x14ac:dyDescent="0.25">
      <c r="A287" s="30">
        <v>0.10094921443640027</v>
      </c>
      <c r="B287"/>
      <c r="C287"/>
      <c r="D287"/>
      <c r="E287"/>
      <c r="P287" s="27" t="s">
        <v>7</v>
      </c>
      <c r="Q287" s="27" t="s">
        <v>8</v>
      </c>
      <c r="R287" s="27" t="s">
        <v>7</v>
      </c>
    </row>
    <row r="288" spans="1:45" x14ac:dyDescent="0.25">
      <c r="A288" s="30">
        <v>9.6142108987047836E-2</v>
      </c>
      <c r="B288"/>
      <c r="C288"/>
      <c r="D288"/>
      <c r="E288"/>
      <c r="P288" s="27" t="s">
        <v>7</v>
      </c>
      <c r="Q288" s="27" t="s">
        <v>8</v>
      </c>
    </row>
    <row r="289" spans="1:17" x14ac:dyDescent="0.25">
      <c r="A289" s="30">
        <v>9.1563913320997906E-2</v>
      </c>
      <c r="B289"/>
      <c r="C289"/>
      <c r="D289"/>
      <c r="E289"/>
      <c r="P289" s="27" t="s">
        <v>7</v>
      </c>
      <c r="Q289" s="27" t="s">
        <v>8</v>
      </c>
    </row>
    <row r="290" spans="1:17" x14ac:dyDescent="0.25">
      <c r="A290" s="30">
        <v>8.7203726972378923E-2</v>
      </c>
      <c r="B290"/>
      <c r="C290"/>
      <c r="D290"/>
      <c r="E290"/>
      <c r="P290" s="27" t="s">
        <v>7</v>
      </c>
      <c r="Q290" s="27" t="s">
        <v>8</v>
      </c>
    </row>
    <row r="291" spans="1:17" x14ac:dyDescent="0.25">
      <c r="A291" s="30">
        <v>8.3051168545122747E-2</v>
      </c>
      <c r="B291"/>
      <c r="C291"/>
      <c r="D291"/>
      <c r="E291"/>
      <c r="P291" s="27" t="s">
        <v>7</v>
      </c>
    </row>
    <row r="292" spans="1:17" x14ac:dyDescent="0.25">
      <c r="A292" s="30">
        <v>7.9096350995354961E-2</v>
      </c>
      <c r="B292"/>
      <c r="C292"/>
      <c r="D292"/>
      <c r="E292"/>
    </row>
    <row r="293" spans="1:17" x14ac:dyDescent="0.25">
      <c r="A293" s="30">
        <v>7.5329858090814217E-2</v>
      </c>
      <c r="B293"/>
      <c r="C293"/>
      <c r="D293"/>
      <c r="E293"/>
    </row>
    <row r="294" spans="1:17" x14ac:dyDescent="0.25">
      <c r="A294" s="30">
        <v>7.1742721991251604E-2</v>
      </c>
      <c r="B294"/>
      <c r="C294"/>
      <c r="D294"/>
      <c r="E294"/>
    </row>
    <row r="295" spans="1:17" x14ac:dyDescent="0.25">
      <c r="A295" s="30">
        <v>6.8326401896430078E-2</v>
      </c>
      <c r="B295"/>
      <c r="C295"/>
      <c r="D295"/>
      <c r="E295"/>
    </row>
    <row r="296" spans="1:17" x14ac:dyDescent="0.25">
      <c r="A296" s="30">
        <v>6.5072763710885759E-2</v>
      </c>
      <c r="B296"/>
      <c r="C296"/>
      <c r="D296"/>
      <c r="E296"/>
    </row>
    <row r="297" spans="1:17" x14ac:dyDescent="0.25">
      <c r="A297" s="30">
        <v>6.197406067703403E-2</v>
      </c>
      <c r="B297"/>
      <c r="C297"/>
      <c r="D297"/>
      <c r="E297"/>
    </row>
    <row r="298" spans="1:17" x14ac:dyDescent="0.25">
      <c r="A298" s="30">
        <v>5.9022914930508576E-2</v>
      </c>
      <c r="B298"/>
      <c r="C298"/>
      <c r="D298"/>
      <c r="E298"/>
    </row>
    <row r="299" spans="1:17" x14ac:dyDescent="0.25">
      <c r="A299" s="30">
        <v>5.6212299933817669E-2</v>
      </c>
      <c r="B299"/>
      <c r="C299"/>
      <c r="D299"/>
      <c r="E299"/>
    </row>
    <row r="300" spans="1:17" x14ac:dyDescent="0.25">
      <c r="A300" s="30">
        <v>5.3535523746492994E-2</v>
      </c>
      <c r="B300"/>
      <c r="C300"/>
      <c r="D300"/>
      <c r="E300"/>
    </row>
    <row r="301" spans="1:17" x14ac:dyDescent="0.25">
      <c r="A301" s="30">
        <v>5.0986213091898068E-2</v>
      </c>
      <c r="B301"/>
      <c r="C301"/>
      <c r="D301"/>
      <c r="E301"/>
    </row>
    <row r="302" spans="1:17" x14ac:dyDescent="0.25">
      <c r="A302" s="30">
        <v>4.8558298182760043E-2</v>
      </c>
      <c r="B302"/>
      <c r="C302"/>
      <c r="D302"/>
      <c r="E302"/>
    </row>
    <row r="303" spans="1:17" x14ac:dyDescent="0.25">
      <c r="A303" s="30">
        <v>4.6245998269295263E-2</v>
      </c>
      <c r="B303"/>
      <c r="C303"/>
      <c r="D303"/>
      <c r="E303"/>
    </row>
    <row r="304" spans="1:17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78" operator="equal">
      <formula>$U$1</formula>
    </cfRule>
    <cfRule type="cellIs" dxfId="67" priority="1179" operator="equal">
      <formula>$S$1</formula>
    </cfRule>
  </conditionalFormatting>
  <conditionalFormatting sqref="D136">
    <cfRule type="cellIs" dxfId="66" priority="1176" operator="equal">
      <formula>$S$1</formula>
    </cfRule>
    <cfRule type="cellIs" dxfId="65" priority="1177" operator="equal">
      <formula>$U$1</formula>
    </cfRule>
  </conditionalFormatting>
  <conditionalFormatting sqref="C162">
    <cfRule type="cellIs" dxfId="64" priority="1174" operator="equal">
      <formula>$U$1</formula>
    </cfRule>
    <cfRule type="cellIs" dxfId="63" priority="1175" operator="equal">
      <formula>$S$1</formula>
    </cfRule>
  </conditionalFormatting>
  <conditionalFormatting sqref="D162">
    <cfRule type="cellIs" dxfId="62" priority="1172" operator="equal">
      <formula>$S$1</formula>
    </cfRule>
    <cfRule type="cellIs" dxfId="61" priority="1173" operator="equal">
      <formula>$U$1</formula>
    </cfRule>
  </conditionalFormatting>
  <conditionalFormatting sqref="C187">
    <cfRule type="cellIs" dxfId="60" priority="1170" operator="equal">
      <formula>$U$1</formula>
    </cfRule>
    <cfRule type="cellIs" dxfId="59" priority="1171" operator="equal">
      <formula>$S$1</formula>
    </cfRule>
  </conditionalFormatting>
  <conditionalFormatting sqref="D187">
    <cfRule type="cellIs" dxfId="58" priority="1168" operator="equal">
      <formula>$S$1</formula>
    </cfRule>
    <cfRule type="cellIs" dxfId="57" priority="1169" operator="equal">
      <formula>$U$1</formula>
    </cfRule>
  </conditionalFormatting>
  <conditionalFormatting sqref="C212">
    <cfRule type="cellIs" dxfId="56" priority="1166" operator="equal">
      <formula>$U$1</formula>
    </cfRule>
    <cfRule type="cellIs" dxfId="55" priority="1167" operator="equal">
      <formula>$S$1</formula>
    </cfRule>
  </conditionalFormatting>
  <conditionalFormatting sqref="D212">
    <cfRule type="cellIs" dxfId="54" priority="1164" operator="equal">
      <formula>$S$1</formula>
    </cfRule>
    <cfRule type="cellIs" dxfId="53" priority="1165" operator="equal">
      <formula>$U$1</formula>
    </cfRule>
  </conditionalFormatting>
  <conditionalFormatting sqref="C237">
    <cfRule type="cellIs" dxfId="52" priority="1162" operator="equal">
      <formula>$U$1</formula>
    </cfRule>
    <cfRule type="cellIs" dxfId="51" priority="1163" operator="equal">
      <formula>$S$1</formula>
    </cfRule>
  </conditionalFormatting>
  <conditionalFormatting sqref="D237">
    <cfRule type="cellIs" dxfId="50" priority="1160" operator="equal">
      <formula>$S$1</formula>
    </cfRule>
    <cfRule type="cellIs" dxfId="49" priority="1161" operator="equal">
      <formula>$U$1</formula>
    </cfRule>
  </conditionalFormatting>
  <conditionalFormatting sqref="C106">
    <cfRule type="cellIs" dxfId="48" priority="1158" operator="equal">
      <formula>$U$1</formula>
    </cfRule>
    <cfRule type="cellIs" dxfId="47" priority="1159" operator="equal">
      <formula>$S$1</formula>
    </cfRule>
  </conditionalFormatting>
  <conditionalFormatting sqref="D106">
    <cfRule type="cellIs" dxfId="46" priority="1156" operator="equal">
      <formula>$S$1</formula>
    </cfRule>
    <cfRule type="cellIs" dxfId="45" priority="1157" operator="equal">
      <formula>$U$1</formula>
    </cfRule>
  </conditionalFormatting>
  <conditionalFormatting sqref="C81">
    <cfRule type="cellIs" dxfId="44" priority="1154" operator="equal">
      <formula>$U$1</formula>
    </cfRule>
    <cfRule type="cellIs" dxfId="43" priority="1155" operator="equal">
      <formula>$S$1</formula>
    </cfRule>
  </conditionalFormatting>
  <conditionalFormatting sqref="D81">
    <cfRule type="cellIs" dxfId="42" priority="1152" operator="equal">
      <formula>$S$1</formula>
    </cfRule>
    <cfRule type="cellIs" dxfId="41" priority="1153" operator="equal">
      <formula>$U$1</formula>
    </cfRule>
  </conditionalFormatting>
  <conditionalFormatting sqref="C56">
    <cfRule type="cellIs" dxfId="40" priority="1150" operator="equal">
      <formula>$U$1</formula>
    </cfRule>
    <cfRule type="cellIs" dxfId="39" priority="1151" operator="equal">
      <formula>$S$1</formula>
    </cfRule>
  </conditionalFormatting>
  <conditionalFormatting sqref="D56">
    <cfRule type="cellIs" dxfId="38" priority="1148" operator="equal">
      <formula>$S$1</formula>
    </cfRule>
    <cfRule type="cellIs" dxfId="37" priority="1149" operator="equal">
      <formula>$U$1</formula>
    </cfRule>
  </conditionalFormatting>
  <conditionalFormatting sqref="C31">
    <cfRule type="cellIs" dxfId="36" priority="1146" operator="equal">
      <formula>$U$1</formula>
    </cfRule>
    <cfRule type="cellIs" dxfId="35" priority="1147" operator="equal">
      <formula>$S$1</formula>
    </cfRule>
  </conditionalFormatting>
  <conditionalFormatting sqref="D31">
    <cfRule type="cellIs" dxfId="34" priority="1144" operator="equal">
      <formula>$S$1</formula>
    </cfRule>
    <cfRule type="cellIs" dxfId="33" priority="114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04" zoomScale="90" zoomScaleNormal="90" workbookViewId="0">
      <pane xSplit="4" topLeftCell="G1" activePane="topRight" state="frozen"/>
      <selection activeCell="A109" sqref="A109"/>
      <selection pane="topRight" activeCell="AT125" sqref="AT125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$A$124</v>
      </c>
      <c r="D111" s="1" t="str">
        <f>ADDRESS(C121-1,D121,1,1)</f>
        <v>$AT$124</v>
      </c>
      <c r="E111"/>
    </row>
    <row r="112" spans="1:5" x14ac:dyDescent="0.25">
      <c r="A112" s="30">
        <v>2.3579476910000019</v>
      </c>
      <c r="C112" s="1" t="str">
        <f>ADDRESS(C121,1,1,1)</f>
        <v>$A$125</v>
      </c>
      <c r="D112" s="1" t="str">
        <f>ADDRESS(C121,D121-1,1,1)</f>
        <v>$AS$125</v>
      </c>
      <c r="E112"/>
    </row>
    <row r="113" spans="1:46" x14ac:dyDescent="0.25">
      <c r="A113" s="30">
        <v>2.1435888100000016</v>
      </c>
      <c r="C113" s="1" t="str">
        <f>ADDRESS(C121+1,1,1,1)</f>
        <v>$A$126</v>
      </c>
      <c r="D113" s="1" t="str">
        <f>ADDRESS(C121-1,D121+1,1,1)</f>
        <v>$AU$124</v>
      </c>
    </row>
    <row r="114" spans="1:46" x14ac:dyDescent="0.25">
      <c r="A114" s="30">
        <v>1.9487171000000014</v>
      </c>
      <c r="C114" s="1" t="str">
        <f>ADDRESS(C121,D121,1,1)</f>
        <v>$AT$125</v>
      </c>
      <c r="D114" s="1" t="str">
        <f>ADDRESS(C121+1,D121+1,1,1)</f>
        <v>$AU$126</v>
      </c>
    </row>
    <row r="115" spans="1:46" x14ac:dyDescent="0.25">
      <c r="A115" s="30">
        <v>1.7715610000000011</v>
      </c>
      <c r="C115" s="1" t="str">
        <f>ADDRESS(C121+1,D121,1,1)</f>
        <v>$AT$126</v>
      </c>
      <c r="AO115" s="27" t="s">
        <v>8</v>
      </c>
    </row>
    <row r="116" spans="1:46" x14ac:dyDescent="0.25">
      <c r="A116" s="30">
        <v>1.6105100000000008</v>
      </c>
      <c r="C116" s="1">
        <f>C117-1</f>
        <v>124</v>
      </c>
      <c r="Y116" s="27" t="s">
        <v>8</v>
      </c>
      <c r="AO116" s="27" t="s">
        <v>8</v>
      </c>
      <c r="AP116" s="27" t="s">
        <v>7</v>
      </c>
    </row>
    <row r="117" spans="1:46" x14ac:dyDescent="0.25">
      <c r="A117" s="30">
        <v>1.4641000000000006</v>
      </c>
      <c r="C117" s="1">
        <f>C121</f>
        <v>125</v>
      </c>
      <c r="D117" s="1">
        <f>D121</f>
        <v>46</v>
      </c>
      <c r="Y117" s="27" t="s">
        <v>8</v>
      </c>
      <c r="Z117" s="27" t="s">
        <v>7</v>
      </c>
      <c r="AA117" s="31" t="s">
        <v>8</v>
      </c>
      <c r="AK117" s="27" t="s">
        <v>8</v>
      </c>
      <c r="AO117" s="27" t="s">
        <v>8</v>
      </c>
      <c r="AP117" s="27" t="s">
        <v>7</v>
      </c>
    </row>
    <row r="118" spans="1:46" x14ac:dyDescent="0.25">
      <c r="A118" s="30">
        <v>1.3310000000000004</v>
      </c>
      <c r="C118" s="1">
        <f>C117+1</f>
        <v>126</v>
      </c>
      <c r="D118" s="1">
        <f>D117+1</f>
        <v>47</v>
      </c>
      <c r="W118" s="27" t="s">
        <v>8</v>
      </c>
      <c r="Y118" s="27" t="s">
        <v>8</v>
      </c>
      <c r="Z118" s="27" t="s">
        <v>7</v>
      </c>
      <c r="AA118" s="27" t="s">
        <v>8</v>
      </c>
      <c r="AB118" s="31" t="s">
        <v>7</v>
      </c>
      <c r="AK118" s="27" t="s">
        <v>8</v>
      </c>
      <c r="AL118" s="27" t="s">
        <v>7</v>
      </c>
      <c r="AM118" s="27" t="s">
        <v>8</v>
      </c>
      <c r="AO118" s="27" t="s">
        <v>8</v>
      </c>
      <c r="AP118" s="27" t="s">
        <v>7</v>
      </c>
      <c r="AQ118" s="27" t="s">
        <v>8</v>
      </c>
      <c r="AS118" s="27" t="s">
        <v>8</v>
      </c>
    </row>
    <row r="119" spans="1:46" x14ac:dyDescent="0.25">
      <c r="A119" s="30">
        <v>1.2100000000000002</v>
      </c>
      <c r="W119" s="27" t="s">
        <v>8</v>
      </c>
      <c r="X119" s="27" t="s">
        <v>7</v>
      </c>
      <c r="Y119" s="27" t="s">
        <v>8</v>
      </c>
      <c r="Z119" s="27" t="s">
        <v>7</v>
      </c>
      <c r="AA119" s="27" t="s">
        <v>8</v>
      </c>
      <c r="AB119" s="27" t="s">
        <v>7</v>
      </c>
      <c r="AC119" s="31"/>
      <c r="AK119" s="27" t="s">
        <v>8</v>
      </c>
      <c r="AL119" s="27" t="s">
        <v>7</v>
      </c>
      <c r="AM119" s="27" t="s">
        <v>8</v>
      </c>
      <c r="AN119" s="27" t="s">
        <v>7</v>
      </c>
      <c r="AO119" s="27" t="s">
        <v>8</v>
      </c>
      <c r="AP119" s="27" t="s">
        <v>7</v>
      </c>
      <c r="AQ119" s="27" t="s">
        <v>8</v>
      </c>
      <c r="AR119" s="27" t="s">
        <v>7</v>
      </c>
      <c r="AS119" s="27" t="s">
        <v>8</v>
      </c>
      <c r="AT119" s="27" t="s">
        <v>7</v>
      </c>
    </row>
    <row r="120" spans="1:46" x14ac:dyDescent="0.25">
      <c r="A120" s="30">
        <v>1.1000000000000001</v>
      </c>
      <c r="C120" s="1" t="s">
        <v>9</v>
      </c>
      <c r="W120" s="27" t="s">
        <v>8</v>
      </c>
      <c r="X120" s="27" t="s">
        <v>7</v>
      </c>
      <c r="Y120" s="27" t="s">
        <v>8</v>
      </c>
      <c r="Z120" s="27" t="s">
        <v>7</v>
      </c>
      <c r="AA120" s="27" t="s">
        <v>8</v>
      </c>
      <c r="AB120" s="27" t="s">
        <v>7</v>
      </c>
      <c r="AD120" s="31"/>
      <c r="AK120" s="27" t="s">
        <v>8</v>
      </c>
      <c r="AL120" s="27" t="s">
        <v>7</v>
      </c>
      <c r="AM120" s="27" t="s">
        <v>8</v>
      </c>
      <c r="AN120" s="27" t="s">
        <v>7</v>
      </c>
      <c r="AO120" s="27" t="s">
        <v>8</v>
      </c>
      <c r="AP120" s="27" t="s">
        <v>7</v>
      </c>
      <c r="AQ120" s="27" t="s">
        <v>8</v>
      </c>
      <c r="AR120" s="27" t="s">
        <v>7</v>
      </c>
      <c r="AS120" s="27" t="s">
        <v>8</v>
      </c>
      <c r="AT120" s="27" t="s">
        <v>7</v>
      </c>
    </row>
    <row r="121" spans="1:46" x14ac:dyDescent="0.25">
      <c r="A121" s="30">
        <v>1</v>
      </c>
      <c r="C121" s="18">
        <v>125</v>
      </c>
      <c r="D121" s="19">
        <v>46</v>
      </c>
      <c r="E121" s="18" t="s">
        <v>8</v>
      </c>
      <c r="W121" s="27" t="s">
        <v>8</v>
      </c>
      <c r="X121" s="27" t="s">
        <v>7</v>
      </c>
      <c r="Z121" s="27" t="s">
        <v>7</v>
      </c>
      <c r="AA121" s="27" t="s">
        <v>8</v>
      </c>
      <c r="AB121" s="27" t="s">
        <v>7</v>
      </c>
      <c r="AE121" s="31"/>
      <c r="AI121" s="27" t="s">
        <v>8</v>
      </c>
      <c r="AK121" s="27" t="s">
        <v>8</v>
      </c>
      <c r="AL121" s="27" t="s">
        <v>7</v>
      </c>
      <c r="AN121" s="27" t="s">
        <v>7</v>
      </c>
      <c r="AP121" s="27" t="s">
        <v>7</v>
      </c>
      <c r="AQ121" s="27" t="s">
        <v>8</v>
      </c>
      <c r="AR121" s="27" t="s">
        <v>7</v>
      </c>
      <c r="AT121" s="27" t="s">
        <v>7</v>
      </c>
    </row>
    <row r="122" spans="1:46" x14ac:dyDescent="0.25">
      <c r="A122" s="30">
        <v>0.90909090909090895</v>
      </c>
      <c r="C122" s="1" t="str">
        <f>INDEX(1:1048576,C117,D117)</f>
        <v>O</v>
      </c>
      <c r="F122" s="27" t="s">
        <v>7</v>
      </c>
      <c r="W122" s="27" t="s">
        <v>8</v>
      </c>
      <c r="Z122" s="34" t="s">
        <v>7</v>
      </c>
      <c r="AB122" s="27" t="s">
        <v>7</v>
      </c>
      <c r="AC122" s="32" t="s">
        <v>8</v>
      </c>
      <c r="AE122" s="32" t="s">
        <v>8</v>
      </c>
      <c r="AF122" s="31"/>
      <c r="AI122" s="27" t="s">
        <v>8</v>
      </c>
      <c r="AJ122" s="27" t="s">
        <v>7</v>
      </c>
      <c r="AK122" s="27" t="s">
        <v>8</v>
      </c>
      <c r="AP122" s="27" t="s">
        <v>7</v>
      </c>
      <c r="AT122" s="27" t="s">
        <v>7</v>
      </c>
    </row>
    <row r="123" spans="1:46" x14ac:dyDescent="0.25">
      <c r="A123" s="30">
        <v>0.82644628099173523</v>
      </c>
      <c r="C123" s="1" t="str">
        <f>"R"&amp;C121</f>
        <v>R125</v>
      </c>
      <c r="D123" s="1" t="str">
        <f>"C"&amp;D121</f>
        <v>C46</v>
      </c>
      <c r="F123" s="27" t="s">
        <v>7</v>
      </c>
      <c r="W123" s="27" t="s">
        <v>8</v>
      </c>
      <c r="AB123" s="27" t="s">
        <v>7</v>
      </c>
      <c r="AC123" s="27" t="s">
        <v>8</v>
      </c>
      <c r="AD123" s="27" t="s">
        <v>7</v>
      </c>
      <c r="AE123" s="27" t="s">
        <v>8</v>
      </c>
      <c r="AF123" s="27" t="s">
        <v>7</v>
      </c>
      <c r="AG123" s="31"/>
      <c r="AI123" s="27" t="s">
        <v>8</v>
      </c>
      <c r="AJ123" s="27" t="s">
        <v>7</v>
      </c>
      <c r="AK123" s="27" t="s">
        <v>8</v>
      </c>
      <c r="AT123" s="27" t="s">
        <v>7</v>
      </c>
    </row>
    <row r="124" spans="1:4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W124" s="27" t="s">
        <v>8</v>
      </c>
      <c r="AB124" s="27" t="s">
        <v>7</v>
      </c>
      <c r="AC124" s="27" t="s">
        <v>8</v>
      </c>
      <c r="AD124" s="27" t="s">
        <v>7</v>
      </c>
      <c r="AE124" s="27" t="s">
        <v>8</v>
      </c>
      <c r="AF124" s="27" t="s">
        <v>7</v>
      </c>
      <c r="AH124" s="31"/>
      <c r="AI124" s="27" t="s">
        <v>8</v>
      </c>
      <c r="AJ124" s="27" t="s">
        <v>7</v>
      </c>
      <c r="AK124" s="27" t="s">
        <v>8</v>
      </c>
      <c r="AT124" s="27" t="s">
        <v>7</v>
      </c>
    </row>
    <row r="125" spans="1:46" x14ac:dyDescent="0.25">
      <c r="A125" s="30">
        <v>0.68301345536507019</v>
      </c>
      <c r="F125" s="27" t="s">
        <v>7</v>
      </c>
      <c r="S125" s="27" t="s">
        <v>8</v>
      </c>
      <c r="W125" s="27" t="s">
        <v>8</v>
      </c>
      <c r="AB125" s="27" t="s">
        <v>7</v>
      </c>
      <c r="AC125" s="27" t="s">
        <v>8</v>
      </c>
      <c r="AD125" s="27" t="s">
        <v>7</v>
      </c>
      <c r="AE125" s="27" t="s">
        <v>8</v>
      </c>
      <c r="AF125" s="27" t="s">
        <v>7</v>
      </c>
      <c r="AI125" s="33" t="s">
        <v>8</v>
      </c>
      <c r="AJ125" s="27" t="s">
        <v>7</v>
      </c>
      <c r="AK125" s="27" t="s">
        <v>8</v>
      </c>
      <c r="AT125" s="27" t="s">
        <v>7</v>
      </c>
    </row>
    <row r="126" spans="1:46" x14ac:dyDescent="0.25">
      <c r="A126" s="30">
        <v>0.6209213230591546</v>
      </c>
      <c r="C126" s="1" t="s">
        <v>10</v>
      </c>
      <c r="F126" s="27" t="s">
        <v>7</v>
      </c>
      <c r="S126" s="27" t="s">
        <v>8</v>
      </c>
      <c r="T126" s="27" t="s">
        <v>7</v>
      </c>
      <c r="U126" s="27" t="s">
        <v>8</v>
      </c>
      <c r="W126" s="27" t="s">
        <v>8</v>
      </c>
      <c r="AB126" s="27" t="s">
        <v>7</v>
      </c>
      <c r="AC126" s="31" t="s">
        <v>8</v>
      </c>
      <c r="AD126" s="27" t="s">
        <v>7</v>
      </c>
      <c r="AE126" s="27" t="s">
        <v>8</v>
      </c>
      <c r="AF126" s="27" t="s">
        <v>7</v>
      </c>
      <c r="AG126" s="18" t="s">
        <v>8</v>
      </c>
      <c r="AI126" s="27" t="s">
        <v>8</v>
      </c>
      <c r="AJ126" s="31" t="s">
        <v>7</v>
      </c>
    </row>
    <row r="127" spans="1:46" x14ac:dyDescent="0.25">
      <c r="A127" s="30">
        <v>0.56447393005377677</v>
      </c>
      <c r="C127" s="30">
        <v>0.68301345536507019</v>
      </c>
      <c r="D127"/>
      <c r="F127" s="27" t="s">
        <v>7</v>
      </c>
      <c r="S127" s="27" t="s">
        <v>8</v>
      </c>
      <c r="T127" s="27" t="s">
        <v>7</v>
      </c>
      <c r="U127" s="27" t="s">
        <v>8</v>
      </c>
      <c r="V127" s="27" t="s">
        <v>7</v>
      </c>
      <c r="W127" s="27" t="s">
        <v>8</v>
      </c>
      <c r="AB127" s="31" t="s">
        <v>7</v>
      </c>
      <c r="AD127" s="27" t="s">
        <v>7</v>
      </c>
      <c r="AE127" s="27" t="s">
        <v>8</v>
      </c>
      <c r="AF127" s="27" t="s">
        <v>7</v>
      </c>
      <c r="AG127" s="27" t="s">
        <v>8</v>
      </c>
      <c r="AH127" s="27" t="s">
        <v>7</v>
      </c>
      <c r="AI127" s="27" t="s">
        <v>8</v>
      </c>
    </row>
    <row r="128" spans="1:46" x14ac:dyDescent="0.25">
      <c r="A128" s="30">
        <v>0.51315811823070612</v>
      </c>
      <c r="F128" s="27" t="s">
        <v>7</v>
      </c>
      <c r="S128" s="27" t="s">
        <v>8</v>
      </c>
      <c r="T128" s="27" t="s">
        <v>7</v>
      </c>
      <c r="U128" s="27" t="s">
        <v>8</v>
      </c>
      <c r="V128" s="27" t="s">
        <v>7</v>
      </c>
      <c r="W128" s="27" t="s">
        <v>8</v>
      </c>
      <c r="AA128" s="31"/>
      <c r="AD128" s="27" t="s">
        <v>7</v>
      </c>
      <c r="AE128" s="27" t="s">
        <v>8</v>
      </c>
      <c r="AF128" s="27" t="s">
        <v>7</v>
      </c>
      <c r="AG128" s="27" t="s">
        <v>8</v>
      </c>
      <c r="AH128" s="27" t="s">
        <v>7</v>
      </c>
      <c r="AI128" s="27" t="s">
        <v>8</v>
      </c>
    </row>
    <row r="129" spans="1:34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S129" s="27" t="s">
        <v>8</v>
      </c>
      <c r="T129" s="27" t="s">
        <v>7</v>
      </c>
      <c r="V129" s="27" t="s">
        <v>7</v>
      </c>
      <c r="W129" s="27" t="s">
        <v>8</v>
      </c>
      <c r="Z129" s="31"/>
      <c r="AD129" s="32" t="s">
        <v>7</v>
      </c>
      <c r="AF129" s="32" t="s">
        <v>7</v>
      </c>
      <c r="AH129" s="32" t="s">
        <v>7</v>
      </c>
    </row>
    <row r="130" spans="1:34" x14ac:dyDescent="0.25">
      <c r="A130" s="30">
        <v>0.42409761837248428</v>
      </c>
      <c r="C130" s="6"/>
      <c r="D130" s="6"/>
      <c r="E130"/>
      <c r="F130" s="27" t="s">
        <v>7</v>
      </c>
      <c r="M130" s="27" t="s">
        <v>8</v>
      </c>
      <c r="S130" s="27" t="s">
        <v>8</v>
      </c>
      <c r="V130" s="27" t="s">
        <v>7</v>
      </c>
      <c r="Y130" s="31"/>
    </row>
    <row r="131" spans="1:34" x14ac:dyDescent="0.25">
      <c r="A131" s="30">
        <v>0.38554328942953109</v>
      </c>
      <c r="E131"/>
      <c r="F131" s="27" t="s">
        <v>7</v>
      </c>
      <c r="M131" s="27" t="s">
        <v>8</v>
      </c>
      <c r="N131" s="27" t="s">
        <v>7</v>
      </c>
      <c r="S131" s="27" t="s">
        <v>8</v>
      </c>
      <c r="X131" s="31"/>
    </row>
    <row r="132" spans="1:34" x14ac:dyDescent="0.25">
      <c r="A132" s="30">
        <v>0.35049389948139187</v>
      </c>
      <c r="C132" s="1" t="s">
        <v>13</v>
      </c>
      <c r="E132"/>
      <c r="F132" s="27" t="s">
        <v>7</v>
      </c>
      <c r="M132" s="27" t="s">
        <v>8</v>
      </c>
      <c r="N132" s="27" t="s">
        <v>7</v>
      </c>
      <c r="S132" s="27" t="s">
        <v>8</v>
      </c>
      <c r="W132" s="31"/>
    </row>
    <row r="133" spans="1:34" x14ac:dyDescent="0.25">
      <c r="A133" s="30">
        <v>0.31863081771035617</v>
      </c>
      <c r="C133" s="1" t="str">
        <f>C122</f>
        <v>O</v>
      </c>
      <c r="E133"/>
      <c r="F133" s="27" t="s">
        <v>7</v>
      </c>
      <c r="G133" s="27" t="s">
        <v>8</v>
      </c>
      <c r="M133" s="27" t="s">
        <v>8</v>
      </c>
      <c r="N133" s="27" t="s">
        <v>7</v>
      </c>
      <c r="S133" s="27" t="s">
        <v>8</v>
      </c>
      <c r="V133" s="31"/>
    </row>
    <row r="134" spans="1:34" x14ac:dyDescent="0.25">
      <c r="A134" s="30">
        <v>0.28966437973668741</v>
      </c>
      <c r="C134"/>
      <c r="D134"/>
      <c r="E134"/>
      <c r="F134" s="27" t="s">
        <v>7</v>
      </c>
      <c r="G134" s="27" t="s">
        <v>8</v>
      </c>
      <c r="H134" s="27" t="s">
        <v>7</v>
      </c>
      <c r="M134" s="27" t="s">
        <v>8</v>
      </c>
      <c r="N134" s="27" t="s">
        <v>7</v>
      </c>
      <c r="Q134" s="27" t="s">
        <v>8</v>
      </c>
      <c r="S134" s="27" t="s">
        <v>8</v>
      </c>
      <c r="U134" s="31"/>
    </row>
    <row r="135" spans="1:34" x14ac:dyDescent="0.25">
      <c r="A135" s="30">
        <v>0.2633312543060794</v>
      </c>
      <c r="C135" s="1" t="s">
        <v>14</v>
      </c>
      <c r="E135"/>
      <c r="F135" s="27" t="s">
        <v>7</v>
      </c>
      <c r="G135" s="27" t="s">
        <v>8</v>
      </c>
      <c r="H135" s="27" t="s">
        <v>7</v>
      </c>
      <c r="M135" s="27" t="s">
        <v>8</v>
      </c>
      <c r="N135" s="27" t="s">
        <v>7</v>
      </c>
      <c r="O135" s="27" t="s">
        <v>8</v>
      </c>
      <c r="Q135" s="27" t="s">
        <v>8</v>
      </c>
      <c r="R135" s="27" t="s">
        <v>7</v>
      </c>
      <c r="S135" s="27" t="s">
        <v>8</v>
      </c>
      <c r="T135" s="31"/>
    </row>
    <row r="136" spans="1:34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G136" s="27" t="s">
        <v>8</v>
      </c>
      <c r="H136" s="27" t="s">
        <v>7</v>
      </c>
      <c r="K136" s="27" t="s">
        <v>8</v>
      </c>
      <c r="M136" s="27" t="s">
        <v>8</v>
      </c>
      <c r="N136" s="27" t="s">
        <v>7</v>
      </c>
      <c r="O136" s="27" t="s">
        <v>8</v>
      </c>
      <c r="P136" s="27" t="s">
        <v>7</v>
      </c>
      <c r="Q136" s="27" t="s">
        <v>8</v>
      </c>
      <c r="R136" s="27" t="s">
        <v>7</v>
      </c>
      <c r="S136" s="31" t="s">
        <v>8</v>
      </c>
    </row>
    <row r="137" spans="1:34" x14ac:dyDescent="0.25">
      <c r="A137" s="30">
        <v>0.2176291357901482</v>
      </c>
      <c r="E137"/>
      <c r="F137" s="27" t="s">
        <v>7</v>
      </c>
      <c r="G137" s="27" t="s">
        <v>8</v>
      </c>
      <c r="H137" s="27" t="s">
        <v>7</v>
      </c>
      <c r="K137" s="27" t="s">
        <v>8</v>
      </c>
      <c r="L137" s="27" t="s">
        <v>7</v>
      </c>
      <c r="M137" s="27" t="s">
        <v>8</v>
      </c>
      <c r="N137" s="27" t="s">
        <v>7</v>
      </c>
      <c r="O137" s="27" t="s">
        <v>8</v>
      </c>
      <c r="P137" s="27" t="s">
        <v>7</v>
      </c>
      <c r="Q137" s="27" t="s">
        <v>8</v>
      </c>
      <c r="R137" s="31" t="s">
        <v>7</v>
      </c>
    </row>
    <row r="138" spans="1:34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G138" s="27" t="s">
        <v>8</v>
      </c>
      <c r="H138" s="27" t="s">
        <v>7</v>
      </c>
      <c r="K138" s="27" t="s">
        <v>8</v>
      </c>
      <c r="L138" s="27" t="s">
        <v>7</v>
      </c>
      <c r="M138" s="27" t="s">
        <v>8</v>
      </c>
      <c r="N138" s="27" t="s">
        <v>7</v>
      </c>
      <c r="O138" s="27" t="s">
        <v>8</v>
      </c>
      <c r="P138" s="27" t="s">
        <v>7</v>
      </c>
      <c r="Q138" s="31"/>
    </row>
    <row r="139" spans="1:34" x14ac:dyDescent="0.25">
      <c r="A139" s="30">
        <v>0.17985878990921333</v>
      </c>
      <c r="E139"/>
      <c r="F139" s="27" t="s">
        <v>7</v>
      </c>
      <c r="H139" s="27" t="s">
        <v>7</v>
      </c>
      <c r="K139" s="27" t="s">
        <v>8</v>
      </c>
      <c r="L139" s="32" t="s">
        <v>7</v>
      </c>
      <c r="N139" s="32" t="s">
        <v>7</v>
      </c>
      <c r="P139" s="31"/>
    </row>
    <row r="140" spans="1:34" x14ac:dyDescent="0.25">
      <c r="A140" s="30">
        <v>0.16350799082655756</v>
      </c>
      <c r="C140" s="1">
        <v>0</v>
      </c>
      <c r="E140"/>
      <c r="H140" s="27" t="s">
        <v>7</v>
      </c>
      <c r="K140" s="27" t="s">
        <v>8</v>
      </c>
      <c r="O140" s="31"/>
    </row>
    <row r="141" spans="1:34" x14ac:dyDescent="0.25">
      <c r="A141" s="30">
        <v>0.14864362802414322</v>
      </c>
      <c r="C141" s="1">
        <v>1</v>
      </c>
      <c r="E141"/>
      <c r="H141" s="27" t="s">
        <v>7</v>
      </c>
      <c r="K141" s="27" t="s">
        <v>8</v>
      </c>
      <c r="N141" s="31"/>
    </row>
    <row r="142" spans="1:34" x14ac:dyDescent="0.25">
      <c r="A142" s="30">
        <v>0.13513057093103928</v>
      </c>
      <c r="C142" s="1">
        <v>2</v>
      </c>
      <c r="E142"/>
      <c r="H142" s="27" t="s">
        <v>7</v>
      </c>
      <c r="I142" s="27" t="s">
        <v>8</v>
      </c>
      <c r="K142" s="27" t="s">
        <v>8</v>
      </c>
      <c r="M142" s="31"/>
    </row>
    <row r="143" spans="1:34" x14ac:dyDescent="0.25">
      <c r="A143" s="30">
        <v>0.12284597357367205</v>
      </c>
      <c r="C143" s="1">
        <v>3</v>
      </c>
      <c r="E143"/>
      <c r="H143" s="27" t="s">
        <v>7</v>
      </c>
      <c r="I143" s="27" t="s">
        <v>8</v>
      </c>
      <c r="J143" s="27" t="s">
        <v>7</v>
      </c>
      <c r="K143" s="27" t="s">
        <v>8</v>
      </c>
      <c r="L143" s="31"/>
    </row>
    <row r="144" spans="1:34" x14ac:dyDescent="0.25">
      <c r="A144" s="30">
        <v>0.11167815779424731</v>
      </c>
      <c r="C144" s="1">
        <v>4</v>
      </c>
      <c r="E144"/>
      <c r="H144" s="27" t="s">
        <v>7</v>
      </c>
      <c r="I144" s="27" t="s">
        <v>8</v>
      </c>
      <c r="J144" s="27" t="s">
        <v>7</v>
      </c>
      <c r="K144" s="31" t="s">
        <v>8</v>
      </c>
    </row>
    <row r="145" spans="1:10" x14ac:dyDescent="0.25">
      <c r="A145" s="30">
        <v>0.10152559799477026</v>
      </c>
      <c r="B145"/>
      <c r="C145"/>
      <c r="D145"/>
      <c r="E145"/>
      <c r="H145" s="27" t="s">
        <v>7</v>
      </c>
      <c r="I145" s="27" t="s">
        <v>8</v>
      </c>
      <c r="J145" s="31" t="s">
        <v>7</v>
      </c>
    </row>
    <row r="146" spans="1:10" x14ac:dyDescent="0.25">
      <c r="A146" s="30">
        <v>9.2295998177063854E-2</v>
      </c>
      <c r="B146"/>
      <c r="C146"/>
      <c r="D146"/>
      <c r="E146"/>
      <c r="H146" s="27" t="s">
        <v>7</v>
      </c>
      <c r="I146" s="31" t="s">
        <v>8</v>
      </c>
    </row>
    <row r="147" spans="1:10" x14ac:dyDescent="0.25">
      <c r="A147" s="30">
        <v>8.3905452888239848E-2</v>
      </c>
      <c r="B147"/>
      <c r="C147"/>
      <c r="D147"/>
      <c r="E147"/>
      <c r="H147" s="31" t="s">
        <v>7</v>
      </c>
    </row>
    <row r="148" spans="1:10" x14ac:dyDescent="0.25">
      <c r="A148" s="30">
        <v>7.6277684443854396E-2</v>
      </c>
      <c r="B148"/>
      <c r="C148"/>
      <c r="D148"/>
      <c r="E148"/>
    </row>
    <row r="149" spans="1:10" x14ac:dyDescent="0.25">
      <c r="A149" s="30">
        <v>6.9343349494413078E-2</v>
      </c>
      <c r="B149"/>
      <c r="C149"/>
      <c r="D149"/>
      <c r="E149"/>
    </row>
    <row r="150" spans="1:10" x14ac:dyDescent="0.25">
      <c r="A150" s="30">
        <v>6.3039408631284613E-2</v>
      </c>
      <c r="B150"/>
      <c r="C150"/>
      <c r="D150"/>
      <c r="E150"/>
    </row>
    <row r="151" spans="1:10" x14ac:dyDescent="0.25">
      <c r="A151" s="30">
        <v>5.7308553301167818E-2</v>
      </c>
      <c r="B151"/>
      <c r="C151"/>
      <c r="D151"/>
      <c r="E151"/>
    </row>
    <row r="152" spans="1:10" x14ac:dyDescent="0.25">
      <c r="A152" s="30">
        <v>5.2098684819243464E-2</v>
      </c>
      <c r="B152"/>
      <c r="C152"/>
      <c r="D152"/>
      <c r="E152"/>
    </row>
    <row r="153" spans="1:10" x14ac:dyDescent="0.25">
      <c r="A153" s="30">
        <v>4.7362440744766775E-2</v>
      </c>
      <c r="B153"/>
      <c r="C153"/>
      <c r="D153"/>
      <c r="E153"/>
    </row>
    <row r="154" spans="1:10" x14ac:dyDescent="0.25">
      <c r="A154" s="30">
        <v>4.3056764313424332E-2</v>
      </c>
      <c r="B154"/>
      <c r="C154"/>
      <c r="D154"/>
      <c r="E154"/>
    </row>
    <row r="155" spans="1:10" x14ac:dyDescent="0.25">
      <c r="A155" s="30">
        <v>3.9142513012203929E-2</v>
      </c>
      <c r="B155"/>
      <c r="C155"/>
      <c r="D155"/>
      <c r="E155"/>
    </row>
    <row r="156" spans="1:10" x14ac:dyDescent="0.25">
      <c r="A156" s="30">
        <v>3.55841027383672E-2</v>
      </c>
      <c r="B156"/>
      <c r="C156"/>
      <c r="D156"/>
      <c r="E156"/>
    </row>
    <row r="157" spans="1:10" x14ac:dyDescent="0.25">
      <c r="A157" s="30">
        <v>3.2349184307606541E-2</v>
      </c>
      <c r="B157"/>
      <c r="C157"/>
      <c r="D157"/>
      <c r="E157"/>
    </row>
    <row r="158" spans="1:10" x14ac:dyDescent="0.25">
      <c r="A158" s="30">
        <v>2.9408349370551395E-2</v>
      </c>
      <c r="B158"/>
      <c r="C158"/>
      <c r="D158"/>
      <c r="E158"/>
    </row>
    <row r="159" spans="1:10" x14ac:dyDescent="0.25">
      <c r="A159" s="30">
        <v>2.6734863064137627E-2</v>
      </c>
      <c r="B159"/>
      <c r="C159"/>
      <c r="D159"/>
      <c r="E159"/>
    </row>
    <row r="160" spans="1:10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62" operator="equal">
      <formula>$U$1</formula>
    </cfRule>
    <cfRule type="cellIs" dxfId="30" priority="1163" operator="equal">
      <formula>$S$1</formula>
    </cfRule>
  </conditionalFormatting>
  <conditionalFormatting sqref="D136">
    <cfRule type="cellIs" dxfId="29" priority="1160" operator="equal">
      <formula>$S$1</formula>
    </cfRule>
    <cfRule type="cellIs" dxfId="28" priority="1161" operator="equal">
      <formula>$U$1</formula>
    </cfRule>
  </conditionalFormatting>
  <conditionalFormatting sqref="C102">
    <cfRule type="cellIs" dxfId="27" priority="1158" operator="equal">
      <formula>$U$1</formula>
    </cfRule>
    <cfRule type="cellIs" dxfId="26" priority="1159" operator="equal">
      <formula>$S$1</formula>
    </cfRule>
  </conditionalFormatting>
  <conditionalFormatting sqref="D102">
    <cfRule type="cellIs" dxfId="25" priority="1156" operator="equal">
      <formula>$S$1</formula>
    </cfRule>
    <cfRule type="cellIs" dxfId="24" priority="1157" operator="equal">
      <formula>$U$1</formula>
    </cfRule>
  </conditionalFormatting>
  <conditionalFormatting sqref="C77">
    <cfRule type="cellIs" dxfId="23" priority="1154" operator="equal">
      <formula>$U$1</formula>
    </cfRule>
    <cfRule type="cellIs" dxfId="22" priority="1155" operator="equal">
      <formula>$S$1</formula>
    </cfRule>
  </conditionalFormatting>
  <conditionalFormatting sqref="D77">
    <cfRule type="cellIs" dxfId="21" priority="1152" operator="equal">
      <formula>$S$1</formula>
    </cfRule>
    <cfRule type="cellIs" dxfId="20" priority="1153" operator="equal">
      <formula>$U$1</formula>
    </cfRule>
  </conditionalFormatting>
  <conditionalFormatting sqref="C52">
    <cfRule type="cellIs" dxfId="19" priority="1150" operator="equal">
      <formula>$U$1</formula>
    </cfRule>
    <cfRule type="cellIs" dxfId="18" priority="1151" operator="equal">
      <formula>$S$1</formula>
    </cfRule>
  </conditionalFormatting>
  <conditionalFormatting sqref="D52">
    <cfRule type="cellIs" dxfId="17" priority="1148" operator="equal">
      <formula>$S$1</formula>
    </cfRule>
    <cfRule type="cellIs" dxfId="16" priority="1149" operator="equal">
      <formula>$U$1</formula>
    </cfRule>
  </conditionalFormatting>
  <conditionalFormatting sqref="C26">
    <cfRule type="cellIs" dxfId="15" priority="1146" operator="equal">
      <formula>$U$1</formula>
    </cfRule>
    <cfRule type="cellIs" dxfId="14" priority="1147" operator="equal">
      <formula>$S$1</formula>
    </cfRule>
  </conditionalFormatting>
  <conditionalFormatting sqref="D26">
    <cfRule type="cellIs" dxfId="13" priority="1144" operator="equal">
      <formula>$S$1</formula>
    </cfRule>
    <cfRule type="cellIs" dxfId="12" priority="114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0.45811152199139726</v>
      </c>
      <c r="F3" s="30">
        <v>0.48101709809096732</v>
      </c>
      <c r="G3" s="30">
        <v>0.82270247479188063</v>
      </c>
      <c r="H3" s="25">
        <f>IF(G3="","",(3*(G3-F3))+E3)</f>
        <v>1.4831676520941373</v>
      </c>
      <c r="I3" s="7"/>
      <c r="J3" s="7">
        <f>(E3+G3)/2</f>
        <v>0.64040699839163895</v>
      </c>
      <c r="K3" s="7">
        <f>H3/2</f>
        <v>0.74158382604706863</v>
      </c>
      <c r="M3" s="26">
        <f>IF(OR(J3="",H3=""),"",H3/J3)</f>
        <v>2.3159766458190867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2022-01-28T01:14:17Z</dcterms:modified>
</cp:coreProperties>
</file>