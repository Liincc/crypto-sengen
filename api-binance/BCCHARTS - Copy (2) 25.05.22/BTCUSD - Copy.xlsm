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D544DA4A-CDE5-4116-B6C2-18E45F78AD71}" xr6:coauthVersionLast="47" xr6:coauthVersionMax="47" xr10:uidLastSave="{00000000-0000-0000-0000-000000000000}"/>
  <bookViews>
    <workbookView xWindow="5715" yWindow="4320" windowWidth="27870" windowHeight="1630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629" i="1"/>
  <c r="Q1629" i="1" s="1"/>
  <c r="R1629" i="1" s="1"/>
  <c r="P1628" i="1"/>
  <c r="Q1628" i="1" s="1"/>
  <c r="P1627" i="1"/>
  <c r="Q1627" i="1" s="1"/>
  <c r="P1626" i="1"/>
  <c r="Q1626" i="1" s="1"/>
  <c r="P1625" i="1"/>
  <c r="Q1625" i="1" s="1"/>
  <c r="P1624" i="1"/>
  <c r="Q1624" i="1" s="1"/>
  <c r="P1623" i="1"/>
  <c r="Q1623" i="1" s="1"/>
  <c r="P1622" i="1"/>
  <c r="Q1622" i="1" s="1"/>
  <c r="P1621" i="1"/>
  <c r="Q1621" i="1" s="1"/>
  <c r="P1620" i="1"/>
  <c r="Q1620" i="1" s="1"/>
  <c r="P1619" i="1"/>
  <c r="Q1619" i="1" s="1"/>
  <c r="P1618" i="1"/>
  <c r="Q1618" i="1" s="1"/>
  <c r="P1617" i="1"/>
  <c r="Q1617" i="1" s="1"/>
  <c r="P1616" i="1"/>
  <c r="Q1616" i="1" s="1"/>
  <c r="P1615" i="1"/>
  <c r="Q1615" i="1" s="1"/>
  <c r="P1614" i="1"/>
  <c r="Q1614" i="1" s="1"/>
  <c r="P1613" i="1"/>
  <c r="Q1613" i="1" s="1"/>
  <c r="P1612" i="1"/>
  <c r="Q1612" i="1" s="1"/>
  <c r="P1611" i="1"/>
  <c r="Q1611" i="1" s="1"/>
  <c r="P1610" i="1"/>
  <c r="Q1610" i="1" s="1"/>
  <c r="P1609" i="1"/>
  <c r="Q1609" i="1" s="1"/>
  <c r="P1608" i="1"/>
  <c r="Q1608" i="1" s="1"/>
  <c r="P1607" i="1"/>
  <c r="Q1607" i="1" s="1"/>
  <c r="P1606" i="1"/>
  <c r="Q1606" i="1" s="1"/>
  <c r="P1605" i="1"/>
  <c r="Q1605" i="1" s="1"/>
  <c r="P1604" i="1"/>
  <c r="Q1604" i="1" s="1"/>
  <c r="P1603" i="1"/>
  <c r="Q1603" i="1" s="1"/>
  <c r="P1602" i="1"/>
  <c r="Q1602" i="1" s="1"/>
  <c r="P1601" i="1"/>
  <c r="Q1601" i="1" s="1"/>
  <c r="P1600" i="1"/>
  <c r="Q1600" i="1" s="1"/>
  <c r="P1599" i="1"/>
  <c r="Q1599" i="1" s="1"/>
  <c r="P1598" i="1"/>
  <c r="Q1598" i="1" s="1"/>
  <c r="P1597" i="1"/>
  <c r="Q1597" i="1" s="1"/>
  <c r="P1596" i="1"/>
  <c r="Q1596" i="1" s="1"/>
  <c r="P1595" i="1"/>
  <c r="Q1595" i="1" s="1"/>
  <c r="P1594" i="1"/>
  <c r="Q1594" i="1" s="1"/>
  <c r="P1593" i="1"/>
  <c r="Q1593" i="1" s="1"/>
  <c r="P1592" i="1"/>
  <c r="Q1592" i="1" s="1"/>
  <c r="P1591" i="1"/>
  <c r="Q1591" i="1" s="1"/>
  <c r="P1590" i="1"/>
  <c r="Q1590" i="1" s="1"/>
  <c r="P1589" i="1"/>
  <c r="Q1589" i="1" s="1"/>
  <c r="P1588" i="1"/>
  <c r="Q1588" i="1" s="1"/>
  <c r="P1587" i="1"/>
  <c r="Q1587" i="1" s="1"/>
  <c r="P1586" i="1"/>
  <c r="Q1586" i="1" s="1"/>
  <c r="P1585" i="1"/>
  <c r="Q1585" i="1" s="1"/>
  <c r="P1584" i="1"/>
  <c r="Q1584" i="1" s="1"/>
  <c r="P1583" i="1"/>
  <c r="Q1583" i="1" s="1"/>
  <c r="P1582" i="1"/>
  <c r="Q1582" i="1" s="1"/>
  <c r="P1581" i="1"/>
  <c r="Q1581" i="1" s="1"/>
  <c r="P1580" i="1"/>
  <c r="Q1580" i="1" s="1"/>
  <c r="P1579" i="1"/>
  <c r="Q1579" i="1" s="1"/>
  <c r="P1578" i="1"/>
  <c r="Q1578" i="1" s="1"/>
  <c r="P1577" i="1"/>
  <c r="Q1577" i="1" s="1"/>
  <c r="P1576" i="1"/>
  <c r="Q1576" i="1" s="1"/>
  <c r="P1575" i="1"/>
  <c r="Q1575" i="1" s="1"/>
  <c r="P1574" i="1"/>
  <c r="Q1574" i="1" s="1"/>
  <c r="P1573" i="1"/>
  <c r="Q1573" i="1" s="1"/>
  <c r="P1572" i="1"/>
  <c r="Q1572" i="1" s="1"/>
  <c r="P1571" i="1"/>
  <c r="Q1571" i="1" s="1"/>
  <c r="P1570" i="1"/>
  <c r="Q1570" i="1" s="1"/>
  <c r="P1569" i="1"/>
  <c r="Q1569" i="1" s="1"/>
  <c r="P1568" i="1"/>
  <c r="Q1568" i="1" s="1"/>
  <c r="P1567" i="1"/>
  <c r="Q1567" i="1" s="1"/>
  <c r="P1566" i="1"/>
  <c r="Q1566" i="1" s="1"/>
  <c r="P1565" i="1"/>
  <c r="Q1565" i="1" s="1"/>
  <c r="P1564" i="1"/>
  <c r="Q1564" i="1" s="1"/>
  <c r="P1563" i="1"/>
  <c r="Q1563" i="1" s="1"/>
  <c r="P1562" i="1"/>
  <c r="Q1562" i="1" s="1"/>
  <c r="P1561" i="1"/>
  <c r="Q1561" i="1" s="1"/>
  <c r="P1560" i="1"/>
  <c r="Q1560" i="1" s="1"/>
  <c r="P1559" i="1"/>
  <c r="Q1559" i="1" s="1"/>
  <c r="P1558" i="1"/>
  <c r="Q1558" i="1" s="1"/>
  <c r="P1557" i="1"/>
  <c r="Q1557" i="1" s="1"/>
  <c r="P1556" i="1"/>
  <c r="Q1556" i="1" s="1"/>
  <c r="P1555" i="1"/>
  <c r="Q1555" i="1" s="1"/>
  <c r="P1554" i="1"/>
  <c r="Q1554" i="1" s="1"/>
  <c r="P1553" i="1"/>
  <c r="Q1553" i="1" s="1"/>
  <c r="P1552" i="1"/>
  <c r="Q1552" i="1" s="1"/>
  <c r="P1551" i="1"/>
  <c r="Q1551" i="1" s="1"/>
  <c r="P1550" i="1"/>
  <c r="Q1550" i="1" s="1"/>
  <c r="P1549" i="1"/>
  <c r="Q1549" i="1" s="1"/>
  <c r="P1548" i="1"/>
  <c r="Q1548" i="1" s="1"/>
  <c r="P1547" i="1"/>
  <c r="Q1547" i="1" s="1"/>
  <c r="P1546" i="1"/>
  <c r="Q1546" i="1" s="1"/>
  <c r="P1545" i="1"/>
  <c r="Q1545" i="1" s="1"/>
  <c r="P1544" i="1"/>
  <c r="Q1544" i="1" s="1"/>
  <c r="P1543" i="1"/>
  <c r="Q1543" i="1" s="1"/>
  <c r="P1542" i="1"/>
  <c r="Q1542" i="1" s="1"/>
  <c r="P1541" i="1"/>
  <c r="Q1541" i="1" s="1"/>
  <c r="P1540" i="1"/>
  <c r="Q1540" i="1" s="1"/>
  <c r="P1539" i="1"/>
  <c r="Q1539" i="1" s="1"/>
  <c r="P1538" i="1"/>
  <c r="Q1538" i="1" s="1"/>
  <c r="P1537" i="1"/>
  <c r="Q1537" i="1" s="1"/>
  <c r="P1536" i="1"/>
  <c r="Q1536" i="1" s="1"/>
  <c r="P1535" i="1"/>
  <c r="Q1535" i="1" s="1"/>
  <c r="P1534" i="1"/>
  <c r="Q1534" i="1" s="1"/>
  <c r="P1533" i="1"/>
  <c r="Q1533" i="1" s="1"/>
  <c r="P1532" i="1"/>
  <c r="Q1532" i="1" s="1"/>
  <c r="P1531" i="1"/>
  <c r="Q1531" i="1" s="1"/>
  <c r="P1530" i="1"/>
  <c r="Q1530" i="1" s="1"/>
  <c r="P1529" i="1"/>
  <c r="Q1529" i="1" s="1"/>
  <c r="P1528" i="1"/>
  <c r="Q1528" i="1" s="1"/>
  <c r="P1527" i="1"/>
  <c r="Q1527" i="1" s="1"/>
  <c r="P1526" i="1"/>
  <c r="Q1526" i="1" s="1"/>
  <c r="P1525" i="1"/>
  <c r="Q1525" i="1" s="1"/>
  <c r="P1524" i="1"/>
  <c r="Q1524" i="1" s="1"/>
  <c r="P1523" i="1"/>
  <c r="Q1523" i="1" s="1"/>
  <c r="P1522" i="1"/>
  <c r="Q1522" i="1" s="1"/>
  <c r="P1521" i="1"/>
  <c r="Q1521" i="1" s="1"/>
  <c r="P1520" i="1"/>
  <c r="Q1520" i="1" s="1"/>
  <c r="P1519" i="1"/>
  <c r="Q1519" i="1" s="1"/>
  <c r="P1518" i="1"/>
  <c r="Q1518" i="1" s="1"/>
  <c r="P1517" i="1"/>
  <c r="Q1517" i="1" s="1"/>
  <c r="P1516" i="1"/>
  <c r="Q1516" i="1" s="1"/>
  <c r="P1515" i="1"/>
  <c r="Q1515" i="1" s="1"/>
  <c r="P1514" i="1"/>
  <c r="Q1514" i="1" s="1"/>
  <c r="P1513" i="1"/>
  <c r="Q1513" i="1" s="1"/>
  <c r="P1512" i="1"/>
  <c r="Q1512" i="1" s="1"/>
  <c r="P1511" i="1"/>
  <c r="Q1511" i="1" s="1"/>
  <c r="P1510" i="1"/>
  <c r="Q1510" i="1" s="1"/>
  <c r="P1509" i="1"/>
  <c r="Q1509" i="1" s="1"/>
  <c r="P1508" i="1"/>
  <c r="Q1508" i="1" s="1"/>
  <c r="P1507" i="1"/>
  <c r="Q1507" i="1" s="1"/>
  <c r="P1506" i="1"/>
  <c r="Q1506" i="1" s="1"/>
  <c r="P1505" i="1"/>
  <c r="Q1505" i="1" s="1"/>
  <c r="P1504" i="1"/>
  <c r="Q1504" i="1" s="1"/>
  <c r="P1503" i="1"/>
  <c r="Q1503" i="1" s="1"/>
  <c r="P1502" i="1"/>
  <c r="Q1502" i="1" s="1"/>
  <c r="P1501" i="1"/>
  <c r="Q1501" i="1" s="1"/>
  <c r="P1500" i="1"/>
  <c r="Q1500" i="1" s="1"/>
  <c r="P1499" i="1"/>
  <c r="Q1499" i="1" s="1"/>
  <c r="P1498" i="1"/>
  <c r="Q1498" i="1" s="1"/>
  <c r="P1497" i="1"/>
  <c r="Q1497" i="1" s="1"/>
  <c r="P1496" i="1"/>
  <c r="Q1496" i="1" s="1"/>
  <c r="P1495" i="1"/>
  <c r="Q1495" i="1" s="1"/>
  <c r="P1494" i="1"/>
  <c r="Q1494" i="1" s="1"/>
  <c r="P1493" i="1"/>
  <c r="Q1493" i="1" s="1"/>
  <c r="P1492" i="1"/>
  <c r="Q1492" i="1" s="1"/>
  <c r="P1491" i="1"/>
  <c r="Q1491" i="1" s="1"/>
  <c r="P1490" i="1"/>
  <c r="Q1490" i="1" s="1"/>
  <c r="P1489" i="1"/>
  <c r="Q1489" i="1" s="1"/>
  <c r="P1488" i="1"/>
  <c r="Q1488" i="1" s="1"/>
  <c r="P1487" i="1"/>
  <c r="Q1487" i="1" s="1"/>
  <c r="P1486" i="1"/>
  <c r="Q1486" i="1" s="1"/>
  <c r="P1485" i="1"/>
  <c r="Q1485" i="1" s="1"/>
  <c r="P1484" i="1"/>
  <c r="Q1484" i="1" s="1"/>
  <c r="P1483" i="1"/>
  <c r="Q1483" i="1" s="1"/>
  <c r="P1482" i="1"/>
  <c r="Q1482" i="1" s="1"/>
  <c r="P1481" i="1"/>
  <c r="Q1481" i="1" s="1"/>
  <c r="P1480" i="1"/>
  <c r="Q1480" i="1" s="1"/>
  <c r="P1479" i="1"/>
  <c r="Q1479" i="1" s="1"/>
  <c r="P1478" i="1"/>
  <c r="Q1478" i="1" s="1"/>
  <c r="P1477" i="1"/>
  <c r="Q1477" i="1" s="1"/>
  <c r="P1476" i="1"/>
  <c r="Q1476" i="1" s="1"/>
  <c r="P1475" i="1"/>
  <c r="Q1475" i="1" s="1"/>
  <c r="P1474" i="1"/>
  <c r="Q1474" i="1" s="1"/>
  <c r="P1473" i="1"/>
  <c r="Q1473" i="1" s="1"/>
  <c r="P1472" i="1"/>
  <c r="Q1472" i="1" s="1"/>
  <c r="P1471" i="1"/>
  <c r="Q1471" i="1" s="1"/>
  <c r="P1470" i="1"/>
  <c r="Q1470" i="1" s="1"/>
  <c r="P1469" i="1"/>
  <c r="Q1469" i="1" s="1"/>
  <c r="P1468" i="1"/>
  <c r="Q1468" i="1" s="1"/>
  <c r="P1467" i="1"/>
  <c r="Q1467" i="1" s="1"/>
  <c r="P1466" i="1"/>
  <c r="Q1466" i="1" s="1"/>
  <c r="P1465" i="1"/>
  <c r="Q1465" i="1" s="1"/>
  <c r="P1464" i="1"/>
  <c r="Q1464" i="1" s="1"/>
  <c r="P1463" i="1"/>
  <c r="Q1463" i="1" s="1"/>
  <c r="P1462" i="1"/>
  <c r="Q1462" i="1" s="1"/>
  <c r="P1461" i="1"/>
  <c r="Q1461" i="1" s="1"/>
  <c r="P1460" i="1"/>
  <c r="Q1460" i="1" s="1"/>
  <c r="P1459" i="1"/>
  <c r="Q1459" i="1" s="1"/>
  <c r="P1458" i="1"/>
  <c r="Q1458" i="1" s="1"/>
  <c r="P1457" i="1"/>
  <c r="Q1457" i="1" s="1"/>
  <c r="P1456" i="1"/>
  <c r="Q1456" i="1" s="1"/>
  <c r="P1455" i="1"/>
  <c r="Q1455" i="1" s="1"/>
  <c r="P1454" i="1"/>
  <c r="Q1454" i="1" s="1"/>
  <c r="P1453" i="1"/>
  <c r="Q1453" i="1" s="1"/>
  <c r="P1452" i="1"/>
  <c r="Q1452" i="1" s="1"/>
  <c r="P1451" i="1"/>
  <c r="Q1451" i="1" s="1"/>
  <c r="P1450" i="1"/>
  <c r="Q1450" i="1" s="1"/>
  <c r="P1449" i="1"/>
  <c r="Q1449" i="1" s="1"/>
  <c r="P1448" i="1"/>
  <c r="Q1448" i="1" s="1"/>
  <c r="P1447" i="1"/>
  <c r="Q1447" i="1" s="1"/>
  <c r="P1446" i="1"/>
  <c r="Q1446" i="1" s="1"/>
  <c r="P1445" i="1"/>
  <c r="Q1445" i="1" s="1"/>
  <c r="P1444" i="1"/>
  <c r="Q1444" i="1" s="1"/>
  <c r="P1443" i="1"/>
  <c r="Q1443" i="1" s="1"/>
  <c r="P1442" i="1"/>
  <c r="Q1442" i="1" s="1"/>
  <c r="P1441" i="1"/>
  <c r="Q1441" i="1" s="1"/>
  <c r="P1440" i="1"/>
  <c r="Q1440" i="1" s="1"/>
  <c r="P1439" i="1"/>
  <c r="Q1439" i="1" s="1"/>
  <c r="P1438" i="1"/>
  <c r="Q1438" i="1" s="1"/>
  <c r="P1437" i="1"/>
  <c r="Q1437" i="1" s="1"/>
  <c r="P1436" i="1"/>
  <c r="Q1436" i="1" s="1"/>
  <c r="P1435" i="1"/>
  <c r="Q1435" i="1" s="1"/>
  <c r="P1434" i="1"/>
  <c r="Q1434" i="1" s="1"/>
  <c r="P1433" i="1"/>
  <c r="Q1433" i="1" s="1"/>
  <c r="P1432" i="1"/>
  <c r="Q1432" i="1" s="1"/>
  <c r="P1431" i="1"/>
  <c r="Q1431" i="1" s="1"/>
  <c r="P1430" i="1"/>
  <c r="Q1430" i="1" s="1"/>
  <c r="P1429" i="1"/>
  <c r="Q1429" i="1" s="1"/>
  <c r="P1428" i="1"/>
  <c r="Q1428" i="1" s="1"/>
  <c r="P1427" i="1"/>
  <c r="Q1427" i="1" s="1"/>
  <c r="P1426" i="1"/>
  <c r="Q1426" i="1" s="1"/>
  <c r="P1425" i="1"/>
  <c r="Q1425" i="1" s="1"/>
  <c r="P1424" i="1"/>
  <c r="Q1424" i="1" s="1"/>
  <c r="P1423" i="1"/>
  <c r="Q1423" i="1" s="1"/>
  <c r="P1422" i="1"/>
  <c r="Q1422" i="1" s="1"/>
  <c r="P1421" i="1"/>
  <c r="Q1421" i="1" s="1"/>
  <c r="P1420" i="1"/>
  <c r="Q1420" i="1" s="1"/>
  <c r="P1419" i="1"/>
  <c r="Q1419" i="1" s="1"/>
  <c r="P1418" i="1"/>
  <c r="Q1418" i="1" s="1"/>
  <c r="P1417" i="1"/>
  <c r="Q1417" i="1" s="1"/>
  <c r="P1416" i="1"/>
  <c r="Q1416" i="1" s="1"/>
  <c r="P1415" i="1"/>
  <c r="Q1415" i="1" s="1"/>
  <c r="P1414" i="1"/>
  <c r="Q1414" i="1" s="1"/>
  <c r="P1413" i="1"/>
  <c r="Q1413" i="1" s="1"/>
  <c r="P1412" i="1"/>
  <c r="Q1412" i="1" s="1"/>
  <c r="P1411" i="1"/>
  <c r="Q1411" i="1" s="1"/>
  <c r="P1410" i="1"/>
  <c r="Q1410" i="1" s="1"/>
  <c r="P1409" i="1"/>
  <c r="Q1409" i="1" s="1"/>
  <c r="P1408" i="1"/>
  <c r="Q1408" i="1" s="1"/>
  <c r="P1407" i="1"/>
  <c r="Q1407" i="1" s="1"/>
  <c r="P1406" i="1"/>
  <c r="Q1406" i="1" s="1"/>
  <c r="P1405" i="1"/>
  <c r="Q1405" i="1" s="1"/>
  <c r="P1404" i="1"/>
  <c r="Q1404" i="1" s="1"/>
  <c r="P1403" i="1"/>
  <c r="Q1403" i="1" s="1"/>
  <c r="P1402" i="1"/>
  <c r="Q1402" i="1" s="1"/>
  <c r="P1401" i="1"/>
  <c r="Q1401" i="1" s="1"/>
  <c r="P1400" i="1"/>
  <c r="Q1400" i="1" s="1"/>
  <c r="P1399" i="1"/>
  <c r="Q1399" i="1" s="1"/>
  <c r="P1398" i="1"/>
  <c r="Q1398" i="1" s="1"/>
  <c r="P1397" i="1"/>
  <c r="Q1397" i="1" s="1"/>
  <c r="P1396" i="1"/>
  <c r="Q1396" i="1" s="1"/>
  <c r="P1395" i="1"/>
  <c r="Q1395" i="1" s="1"/>
  <c r="P1394" i="1"/>
  <c r="Q1394" i="1" s="1"/>
  <c r="P1393" i="1"/>
  <c r="Q1393" i="1" s="1"/>
  <c r="P1392" i="1"/>
  <c r="Q1392" i="1" s="1"/>
  <c r="P1391" i="1"/>
  <c r="Q1391" i="1" s="1"/>
  <c r="P1390" i="1"/>
  <c r="Q1390" i="1" s="1"/>
  <c r="P1389" i="1"/>
  <c r="Q1389" i="1" s="1"/>
  <c r="P1388" i="1"/>
  <c r="Q1388" i="1" s="1"/>
  <c r="P1387" i="1"/>
  <c r="Q1387" i="1" s="1"/>
  <c r="P1386" i="1"/>
  <c r="Q1386" i="1" s="1"/>
  <c r="P1385" i="1"/>
  <c r="Q1385" i="1" s="1"/>
  <c r="P1384" i="1"/>
  <c r="Q1384" i="1" s="1"/>
  <c r="P1383" i="1"/>
  <c r="Q1383" i="1" s="1"/>
  <c r="P1382" i="1"/>
  <c r="Q1382" i="1" s="1"/>
  <c r="P1381" i="1"/>
  <c r="Q1381" i="1" s="1"/>
  <c r="P1380" i="1"/>
  <c r="Q1380" i="1" s="1"/>
  <c r="P1379" i="1"/>
  <c r="Q1379" i="1" s="1"/>
  <c r="P1378" i="1"/>
  <c r="Q1378" i="1" s="1"/>
  <c r="P1377" i="1"/>
  <c r="Q1377" i="1" s="1"/>
  <c r="P1376" i="1"/>
  <c r="Q1376" i="1" s="1"/>
  <c r="P1375" i="1"/>
  <c r="Q1375" i="1" s="1"/>
  <c r="P1374" i="1"/>
  <c r="Q1374" i="1" s="1"/>
  <c r="P1373" i="1"/>
  <c r="Q1373" i="1" s="1"/>
  <c r="P1372" i="1"/>
  <c r="Q1372" i="1" s="1"/>
  <c r="P1371" i="1"/>
  <c r="Q1371" i="1" s="1"/>
  <c r="P1370" i="1"/>
  <c r="Q1370" i="1" s="1"/>
  <c r="P1369" i="1"/>
  <c r="Q1369" i="1" s="1"/>
  <c r="P1368" i="1"/>
  <c r="Q1368" i="1" s="1"/>
  <c r="P1367" i="1"/>
  <c r="Q1367" i="1" s="1"/>
  <c r="P1366" i="1"/>
  <c r="Q1366" i="1" s="1"/>
  <c r="P1365" i="1"/>
  <c r="Q1365" i="1" s="1"/>
  <c r="P1364" i="1"/>
  <c r="Q1364" i="1" s="1"/>
  <c r="P1363" i="1"/>
  <c r="Q1363" i="1" s="1"/>
  <c r="P1362" i="1"/>
  <c r="Q1362" i="1" s="1"/>
  <c r="P1361" i="1"/>
  <c r="Q1361" i="1" s="1"/>
  <c r="P1360" i="1"/>
  <c r="Q1360" i="1" s="1"/>
  <c r="P1359" i="1"/>
  <c r="Q1359" i="1" s="1"/>
  <c r="P1358" i="1"/>
  <c r="Q1358" i="1" s="1"/>
  <c r="P1357" i="1"/>
  <c r="Q1357" i="1" s="1"/>
  <c r="P1356" i="1"/>
  <c r="Q1356" i="1" s="1"/>
  <c r="P1355" i="1"/>
  <c r="Q1355" i="1" s="1"/>
  <c r="P1354" i="1"/>
  <c r="Q1354" i="1" s="1"/>
  <c r="P1353" i="1"/>
  <c r="Q1353" i="1" s="1"/>
  <c r="P1352" i="1"/>
  <c r="Q1352" i="1" s="1"/>
  <c r="P1351" i="1"/>
  <c r="Q1351" i="1" s="1"/>
  <c r="P1350" i="1"/>
  <c r="Q1350" i="1" s="1"/>
  <c r="P1349" i="1"/>
  <c r="Q1349" i="1" s="1"/>
  <c r="P1348" i="1"/>
  <c r="Q1348" i="1" s="1"/>
  <c r="P1347" i="1"/>
  <c r="Q1347" i="1" s="1"/>
  <c r="P1346" i="1"/>
  <c r="Q1346" i="1" s="1"/>
  <c r="P1345" i="1"/>
  <c r="Q1345" i="1" s="1"/>
  <c r="P1344" i="1"/>
  <c r="Q1344" i="1" s="1"/>
  <c r="P1343" i="1"/>
  <c r="Q1343" i="1" s="1"/>
  <c r="P1342" i="1"/>
  <c r="Q1342" i="1" s="1"/>
  <c r="P1341" i="1"/>
  <c r="Q1341" i="1" s="1"/>
  <c r="P1340" i="1"/>
  <c r="Q1340" i="1" s="1"/>
  <c r="P1339" i="1"/>
  <c r="Q1339" i="1" s="1"/>
  <c r="P1338" i="1"/>
  <c r="Q1338" i="1" s="1"/>
  <c r="P1337" i="1"/>
  <c r="Q1337" i="1" s="1"/>
  <c r="P1336" i="1"/>
  <c r="Q1336" i="1" s="1"/>
  <c r="P1335" i="1"/>
  <c r="Q1335" i="1" s="1"/>
  <c r="P1334" i="1"/>
  <c r="Q1334" i="1" s="1"/>
  <c r="P1333" i="1"/>
  <c r="Q1333" i="1" s="1"/>
  <c r="P1332" i="1"/>
  <c r="Q1332" i="1" s="1"/>
  <c r="P1331" i="1"/>
  <c r="Q1331" i="1" s="1"/>
  <c r="P1330" i="1"/>
  <c r="Q1330" i="1" s="1"/>
  <c r="P1329" i="1"/>
  <c r="Q1329" i="1" s="1"/>
  <c r="P1328" i="1"/>
  <c r="Q1328" i="1" s="1"/>
  <c r="P1327" i="1"/>
  <c r="Q1327" i="1" s="1"/>
  <c r="P1326" i="1"/>
  <c r="Q1326" i="1" s="1"/>
  <c r="P1325" i="1"/>
  <c r="Q1325" i="1" s="1"/>
  <c r="P1324" i="1"/>
  <c r="Q1324" i="1" s="1"/>
  <c r="P1323" i="1"/>
  <c r="Q1323" i="1" s="1"/>
  <c r="P1322" i="1"/>
  <c r="Q1322" i="1" s="1"/>
  <c r="P1321" i="1"/>
  <c r="Q1321" i="1" s="1"/>
  <c r="P1320" i="1"/>
  <c r="Q1320" i="1" s="1"/>
  <c r="P1319" i="1"/>
  <c r="Q1319" i="1" s="1"/>
  <c r="P1318" i="1"/>
  <c r="Q1318" i="1" s="1"/>
  <c r="P1317" i="1"/>
  <c r="Q1317" i="1" s="1"/>
  <c r="P1316" i="1"/>
  <c r="Q1316" i="1" s="1"/>
  <c r="P1315" i="1"/>
  <c r="Q1315" i="1" s="1"/>
  <c r="P1314" i="1"/>
  <c r="Q1314" i="1" s="1"/>
  <c r="P1313" i="1"/>
  <c r="Q1313" i="1" s="1"/>
  <c r="P1312" i="1"/>
  <c r="Q1312" i="1" s="1"/>
  <c r="P1311" i="1"/>
  <c r="Q1311" i="1" s="1"/>
  <c r="P1310" i="1"/>
  <c r="Q1310" i="1" s="1"/>
  <c r="P1309" i="1"/>
  <c r="Q1309" i="1" s="1"/>
  <c r="P1308" i="1"/>
  <c r="Q1308" i="1" s="1"/>
  <c r="P1307" i="1"/>
  <c r="Q1307" i="1" s="1"/>
  <c r="P1306" i="1"/>
  <c r="Q1306" i="1" s="1"/>
  <c r="P1305" i="1"/>
  <c r="Q1305" i="1" s="1"/>
  <c r="P1304" i="1"/>
  <c r="Q1304" i="1" s="1"/>
  <c r="P1303" i="1"/>
  <c r="Q1303" i="1" s="1"/>
  <c r="P1302" i="1"/>
  <c r="Q1302" i="1" s="1"/>
  <c r="P1301" i="1"/>
  <c r="Q1301" i="1" s="1"/>
  <c r="P1300" i="1"/>
  <c r="Q1300" i="1" s="1"/>
  <c r="P1299" i="1"/>
  <c r="Q1299" i="1" s="1"/>
  <c r="P1298" i="1"/>
  <c r="Q1298" i="1" s="1"/>
  <c r="P1297" i="1"/>
  <c r="Q1297" i="1" s="1"/>
  <c r="P1296" i="1"/>
  <c r="Q1296" i="1" s="1"/>
  <c r="P1295" i="1"/>
  <c r="Q1295" i="1" s="1"/>
  <c r="P1294" i="1"/>
  <c r="Q1294" i="1" s="1"/>
  <c r="P1293" i="1"/>
  <c r="Q1293" i="1" s="1"/>
  <c r="P1292" i="1"/>
  <c r="Q1292" i="1" s="1"/>
  <c r="P1291" i="1"/>
  <c r="Q1291" i="1" s="1"/>
  <c r="P1290" i="1"/>
  <c r="Q1290" i="1" s="1"/>
  <c r="P1289" i="1"/>
  <c r="Q1289" i="1" s="1"/>
  <c r="P1288" i="1"/>
  <c r="Q1288" i="1" s="1"/>
  <c r="P1287" i="1"/>
  <c r="Q1287" i="1" s="1"/>
  <c r="P1286" i="1"/>
  <c r="Q1286" i="1" s="1"/>
  <c r="P1285" i="1"/>
  <c r="Q1285" i="1" s="1"/>
  <c r="P1284" i="1"/>
  <c r="Q1284" i="1" s="1"/>
  <c r="P1283" i="1"/>
  <c r="Q1283" i="1" s="1"/>
  <c r="P1282" i="1"/>
  <c r="Q1282" i="1" s="1"/>
  <c r="P1281" i="1"/>
  <c r="Q1281" i="1" s="1"/>
  <c r="P1280" i="1"/>
  <c r="Q1280" i="1" s="1"/>
  <c r="P1279" i="1"/>
  <c r="Q1279" i="1" s="1"/>
  <c r="P1278" i="1"/>
  <c r="Q1278" i="1" s="1"/>
  <c r="P1277" i="1"/>
  <c r="Q1277" i="1" s="1"/>
  <c r="P1276" i="1"/>
  <c r="Q1276" i="1" s="1"/>
  <c r="P1275" i="1"/>
  <c r="Q1275" i="1" s="1"/>
  <c r="P1274" i="1"/>
  <c r="Q1274" i="1" s="1"/>
  <c r="P1273" i="1"/>
  <c r="Q1273" i="1" s="1"/>
  <c r="P1272" i="1"/>
  <c r="Q1272" i="1" s="1"/>
  <c r="P1271" i="1"/>
  <c r="Q1271" i="1" s="1"/>
  <c r="P1270" i="1"/>
  <c r="Q1270" i="1" s="1"/>
  <c r="P1269" i="1"/>
  <c r="Q1269" i="1" s="1"/>
  <c r="P1268" i="1"/>
  <c r="Q1268" i="1" s="1"/>
  <c r="P1267" i="1"/>
  <c r="Q1267" i="1" s="1"/>
  <c r="P1266" i="1"/>
  <c r="Q1266" i="1" s="1"/>
  <c r="P1265" i="1"/>
  <c r="Q1265" i="1" s="1"/>
  <c r="P1264" i="1"/>
  <c r="Q1264" i="1" s="1"/>
  <c r="P1263" i="1"/>
  <c r="Q1263" i="1" s="1"/>
  <c r="P1262" i="1"/>
  <c r="Q1262" i="1" s="1"/>
  <c r="P1261" i="1"/>
  <c r="Q1261" i="1" s="1"/>
  <c r="P1260" i="1"/>
  <c r="Q1260" i="1" s="1"/>
  <c r="P1259" i="1"/>
  <c r="Q1259" i="1" s="1"/>
  <c r="P1258" i="1"/>
  <c r="Q1258" i="1" s="1"/>
  <c r="P1257" i="1"/>
  <c r="Q1257" i="1" s="1"/>
  <c r="P1256" i="1"/>
  <c r="Q1256" i="1" s="1"/>
  <c r="P1255" i="1"/>
  <c r="Q1255" i="1" s="1"/>
  <c r="P1254" i="1"/>
  <c r="Q1254" i="1" s="1"/>
  <c r="P1253" i="1"/>
  <c r="Q1253" i="1" s="1"/>
  <c r="P1252" i="1"/>
  <c r="Q1252" i="1" s="1"/>
  <c r="P1251" i="1"/>
  <c r="Q1251" i="1" s="1"/>
  <c r="P1250" i="1"/>
  <c r="Q1250" i="1" s="1"/>
  <c r="P1249" i="1"/>
  <c r="Q1249" i="1" s="1"/>
  <c r="P1248" i="1"/>
  <c r="Q1248" i="1" s="1"/>
  <c r="P1247" i="1"/>
  <c r="Q1247" i="1" s="1"/>
  <c r="P1246" i="1"/>
  <c r="Q1246" i="1" s="1"/>
  <c r="P1245" i="1"/>
  <c r="Q1245" i="1" s="1"/>
  <c r="P1244" i="1"/>
  <c r="Q1244" i="1" s="1"/>
  <c r="P1243" i="1"/>
  <c r="Q1243" i="1" s="1"/>
  <c r="P1242" i="1"/>
  <c r="Q1242" i="1" s="1"/>
  <c r="P1241" i="1"/>
  <c r="Q1241" i="1" s="1"/>
  <c r="P1240" i="1"/>
  <c r="Q1240" i="1" s="1"/>
  <c r="P1239" i="1"/>
  <c r="Q1239" i="1" s="1"/>
  <c r="P1238" i="1"/>
  <c r="Q1238" i="1" s="1"/>
  <c r="P1237" i="1"/>
  <c r="Q1237" i="1" s="1"/>
  <c r="P1236" i="1"/>
  <c r="Q1236" i="1" s="1"/>
  <c r="P1235" i="1"/>
  <c r="Q1235" i="1" s="1"/>
  <c r="P1234" i="1"/>
  <c r="Q1234" i="1" s="1"/>
  <c r="P1233" i="1"/>
  <c r="Q1233" i="1" s="1"/>
  <c r="P1232" i="1"/>
  <c r="Q1232" i="1" s="1"/>
  <c r="P1231" i="1"/>
  <c r="Q1231" i="1" s="1"/>
  <c r="P1230" i="1"/>
  <c r="Q1230" i="1" s="1"/>
  <c r="P1229" i="1"/>
  <c r="Q1229" i="1" s="1"/>
  <c r="P1228" i="1"/>
  <c r="Q1228" i="1" s="1"/>
  <c r="P1227" i="1"/>
  <c r="Q1227" i="1" s="1"/>
  <c r="P1226" i="1"/>
  <c r="Q1226" i="1" s="1"/>
  <c r="P1225" i="1"/>
  <c r="Q1225" i="1" s="1"/>
  <c r="P1224" i="1"/>
  <c r="Q1224" i="1" s="1"/>
  <c r="P1223" i="1"/>
  <c r="Q1223" i="1" s="1"/>
  <c r="P1222" i="1"/>
  <c r="Q1222" i="1" s="1"/>
  <c r="P1221" i="1"/>
  <c r="Q1221" i="1" s="1"/>
  <c r="P1220" i="1"/>
  <c r="Q1220" i="1" s="1"/>
  <c r="P1219" i="1"/>
  <c r="Q1219" i="1" s="1"/>
  <c r="P1218" i="1"/>
  <c r="Q1218" i="1" s="1"/>
  <c r="P1217" i="1"/>
  <c r="Q1217" i="1" s="1"/>
  <c r="P1216" i="1"/>
  <c r="Q1216" i="1" s="1"/>
  <c r="P1215" i="1"/>
  <c r="Q1215" i="1" s="1"/>
  <c r="P1214" i="1"/>
  <c r="Q1214" i="1" s="1"/>
  <c r="P1213" i="1"/>
  <c r="Q1213" i="1" s="1"/>
  <c r="P1212" i="1"/>
  <c r="Q1212" i="1" s="1"/>
  <c r="P1211" i="1"/>
  <c r="Q1211" i="1" s="1"/>
  <c r="P1210" i="1"/>
  <c r="Q1210" i="1" s="1"/>
  <c r="P1209" i="1"/>
  <c r="Q1209" i="1" s="1"/>
  <c r="P1208" i="1"/>
  <c r="Q1208" i="1" s="1"/>
  <c r="P1207" i="1"/>
  <c r="Q1207" i="1" s="1"/>
  <c r="P1206" i="1"/>
  <c r="Q1206" i="1" s="1"/>
  <c r="P1205" i="1"/>
  <c r="Q1205" i="1" s="1"/>
  <c r="P1204" i="1"/>
  <c r="Q1204" i="1" s="1"/>
  <c r="P1203" i="1"/>
  <c r="Q1203" i="1" s="1"/>
  <c r="P1202" i="1"/>
  <c r="Q1202" i="1" s="1"/>
  <c r="P1201" i="1"/>
  <c r="Q1201" i="1" s="1"/>
  <c r="P1200" i="1"/>
  <c r="Q1200" i="1" s="1"/>
  <c r="P1199" i="1"/>
  <c r="Q1199" i="1" s="1"/>
  <c r="P1198" i="1"/>
  <c r="Q1198" i="1" s="1"/>
  <c r="P1197" i="1"/>
  <c r="Q1197" i="1" s="1"/>
  <c r="P1196" i="1"/>
  <c r="Q1196" i="1" s="1"/>
  <c r="P1195" i="1"/>
  <c r="Q1195" i="1" s="1"/>
  <c r="P1194" i="1"/>
  <c r="Q1194" i="1" s="1"/>
  <c r="P1193" i="1"/>
  <c r="Q1193" i="1" s="1"/>
  <c r="P1192" i="1"/>
  <c r="Q1192" i="1" s="1"/>
  <c r="P1191" i="1"/>
  <c r="Q1191" i="1" s="1"/>
  <c r="P1190" i="1"/>
  <c r="Q1190" i="1" s="1"/>
  <c r="P1189" i="1"/>
  <c r="Q1189" i="1" s="1"/>
  <c r="P1188" i="1"/>
  <c r="Q1188" i="1" s="1"/>
  <c r="P1187" i="1"/>
  <c r="Q1187" i="1" s="1"/>
  <c r="P1186" i="1"/>
  <c r="Q1186" i="1" s="1"/>
  <c r="P1185" i="1"/>
  <c r="Q1185" i="1" s="1"/>
  <c r="P1184" i="1"/>
  <c r="Q1184" i="1" s="1"/>
  <c r="P1183" i="1"/>
  <c r="Q1183" i="1" s="1"/>
  <c r="P1182" i="1"/>
  <c r="Q1182" i="1" s="1"/>
  <c r="P1181" i="1"/>
  <c r="Q1181" i="1" s="1"/>
  <c r="P1180" i="1"/>
  <c r="Q1180" i="1" s="1"/>
  <c r="P1179" i="1"/>
  <c r="Q1179" i="1" s="1"/>
  <c r="P1178" i="1"/>
  <c r="Q1178" i="1" s="1"/>
  <c r="P1177" i="1"/>
  <c r="Q1177" i="1" s="1"/>
  <c r="P1176" i="1"/>
  <c r="Q1176" i="1" s="1"/>
  <c r="P1175" i="1"/>
  <c r="Q1175" i="1" s="1"/>
  <c r="P1174" i="1"/>
  <c r="Q1174" i="1" s="1"/>
  <c r="P1173" i="1"/>
  <c r="Q1173" i="1" s="1"/>
  <c r="P1172" i="1"/>
  <c r="Q1172" i="1" s="1"/>
  <c r="P1171" i="1"/>
  <c r="Q1171" i="1" s="1"/>
  <c r="P1170" i="1"/>
  <c r="Q1170" i="1" s="1"/>
  <c r="P1169" i="1"/>
  <c r="Q1169" i="1" s="1"/>
  <c r="P1168" i="1"/>
  <c r="Q1168" i="1" s="1"/>
  <c r="P1167" i="1"/>
  <c r="Q1167" i="1" s="1"/>
  <c r="P1166" i="1"/>
  <c r="Q1166" i="1" s="1"/>
  <c r="P1165" i="1"/>
  <c r="Q1165" i="1" s="1"/>
  <c r="P1164" i="1"/>
  <c r="Q1164" i="1" s="1"/>
  <c r="P1163" i="1"/>
  <c r="Q1163" i="1" s="1"/>
  <c r="P1162" i="1"/>
  <c r="Q1162" i="1" s="1"/>
  <c r="P1161" i="1"/>
  <c r="Q1161" i="1" s="1"/>
  <c r="P1160" i="1"/>
  <c r="Q1160" i="1" s="1"/>
  <c r="P1159" i="1"/>
  <c r="Q1159" i="1" s="1"/>
  <c r="P1158" i="1"/>
  <c r="Q1158" i="1" s="1"/>
  <c r="P1157" i="1"/>
  <c r="Q1157" i="1" s="1"/>
  <c r="P1156" i="1"/>
  <c r="Q1156" i="1" s="1"/>
  <c r="P1155" i="1"/>
  <c r="Q1155" i="1" s="1"/>
  <c r="P1154" i="1"/>
  <c r="Q1154" i="1" s="1"/>
  <c r="P1153" i="1"/>
  <c r="Q1153" i="1" s="1"/>
  <c r="P1152" i="1"/>
  <c r="Q1152" i="1" s="1"/>
  <c r="P1151" i="1"/>
  <c r="Q1151" i="1" s="1"/>
  <c r="P1150" i="1"/>
  <c r="Q1150" i="1" s="1"/>
  <c r="P1149" i="1"/>
  <c r="Q1149" i="1" s="1"/>
  <c r="P1148" i="1"/>
  <c r="Q1148" i="1" s="1"/>
  <c r="P1147" i="1"/>
  <c r="Q1147" i="1" s="1"/>
  <c r="P1146" i="1"/>
  <c r="Q1146" i="1" s="1"/>
  <c r="P1145" i="1"/>
  <c r="Q1145" i="1" s="1"/>
  <c r="P1144" i="1"/>
  <c r="Q1144" i="1" s="1"/>
  <c r="P1143" i="1"/>
  <c r="Q1143" i="1" s="1"/>
  <c r="P1142" i="1"/>
  <c r="Q1142" i="1" s="1"/>
  <c r="P1141" i="1"/>
  <c r="Q1141" i="1" s="1"/>
  <c r="P1140" i="1"/>
  <c r="Q1140" i="1" s="1"/>
  <c r="P1139" i="1"/>
  <c r="Q1139" i="1" s="1"/>
  <c r="P1138" i="1"/>
  <c r="Q1138" i="1" s="1"/>
  <c r="P1137" i="1"/>
  <c r="Q1137" i="1" s="1"/>
  <c r="P1136" i="1"/>
  <c r="Q1136" i="1" s="1"/>
  <c r="P1135" i="1"/>
  <c r="Q1135" i="1" s="1"/>
  <c r="P1134" i="1"/>
  <c r="Q1134" i="1" s="1"/>
  <c r="P1133" i="1"/>
  <c r="Q1133" i="1" s="1"/>
  <c r="P1132" i="1"/>
  <c r="Q1132" i="1" s="1"/>
  <c r="P1131" i="1"/>
  <c r="Q1131" i="1" s="1"/>
  <c r="P1130" i="1"/>
  <c r="Q1130" i="1" s="1"/>
  <c r="P1129" i="1"/>
  <c r="Q1129" i="1" s="1"/>
  <c r="P1128" i="1"/>
  <c r="Q1128" i="1" s="1"/>
  <c r="P1127" i="1"/>
  <c r="Q1127" i="1" s="1"/>
  <c r="P1126" i="1"/>
  <c r="Q1126" i="1" s="1"/>
  <c r="P1125" i="1"/>
  <c r="Q1125" i="1" s="1"/>
  <c r="P1124" i="1"/>
  <c r="Q1124" i="1" s="1"/>
  <c r="P1123" i="1"/>
  <c r="Q1123" i="1" s="1"/>
  <c r="P1122" i="1"/>
  <c r="Q1122" i="1" s="1"/>
  <c r="P1121" i="1"/>
  <c r="Q1121" i="1" s="1"/>
  <c r="P1120" i="1"/>
  <c r="Q1120" i="1" s="1"/>
  <c r="P1119" i="1"/>
  <c r="Q1119" i="1" s="1"/>
  <c r="P1118" i="1"/>
  <c r="Q1118" i="1" s="1"/>
  <c r="P1117" i="1"/>
  <c r="Q1117" i="1" s="1"/>
  <c r="P1116" i="1"/>
  <c r="Q1116" i="1" s="1"/>
  <c r="P1115" i="1"/>
  <c r="Q1115" i="1" s="1"/>
  <c r="P1114" i="1"/>
  <c r="Q1114" i="1" s="1"/>
  <c r="P1113" i="1"/>
  <c r="Q1113" i="1" s="1"/>
  <c r="P1112" i="1"/>
  <c r="Q1112" i="1" s="1"/>
  <c r="P1111" i="1"/>
  <c r="Q1111" i="1" s="1"/>
  <c r="P1110" i="1"/>
  <c r="Q1110" i="1" s="1"/>
  <c r="P1109" i="1"/>
  <c r="Q1109" i="1" s="1"/>
  <c r="P1108" i="1"/>
  <c r="Q1108" i="1" s="1"/>
  <c r="P1107" i="1"/>
  <c r="Q1107" i="1" s="1"/>
  <c r="P1106" i="1"/>
  <c r="Q1106" i="1" s="1"/>
  <c r="P1105" i="1"/>
  <c r="Q1105" i="1" s="1"/>
  <c r="P1104" i="1"/>
  <c r="Q1104" i="1" s="1"/>
  <c r="P1103" i="1"/>
  <c r="Q1103" i="1" s="1"/>
  <c r="P1102" i="1"/>
  <c r="Q1102" i="1" s="1"/>
  <c r="P1101" i="1"/>
  <c r="Q1101" i="1" s="1"/>
  <c r="P1100" i="1"/>
  <c r="Q1100" i="1" s="1"/>
  <c r="P1099" i="1"/>
  <c r="Q1099" i="1" s="1"/>
  <c r="P1098" i="1"/>
  <c r="Q1098" i="1" s="1"/>
  <c r="P1097" i="1"/>
  <c r="Q1097" i="1" s="1"/>
  <c r="P1096" i="1"/>
  <c r="Q1096" i="1" s="1"/>
  <c r="P1095" i="1"/>
  <c r="Q1095" i="1" s="1"/>
  <c r="P1094" i="1"/>
  <c r="Q1094" i="1" s="1"/>
  <c r="P1093" i="1"/>
  <c r="Q1093" i="1" s="1"/>
  <c r="P1092" i="1"/>
  <c r="Q1092" i="1" s="1"/>
  <c r="P1091" i="1"/>
  <c r="Q1091" i="1" s="1"/>
  <c r="P1090" i="1"/>
  <c r="Q1090" i="1" s="1"/>
  <c r="P1089" i="1"/>
  <c r="Q1089" i="1" s="1"/>
  <c r="P1088" i="1"/>
  <c r="Q1088" i="1" s="1"/>
  <c r="P1087" i="1"/>
  <c r="Q1087" i="1" s="1"/>
  <c r="P1086" i="1"/>
  <c r="Q1086" i="1" s="1"/>
  <c r="P1085" i="1"/>
  <c r="Q1085" i="1" s="1"/>
  <c r="P1084" i="1"/>
  <c r="Q1084" i="1" s="1"/>
  <c r="P1083" i="1"/>
  <c r="Q1083" i="1" s="1"/>
  <c r="P1082" i="1"/>
  <c r="Q1082" i="1" s="1"/>
  <c r="P1081" i="1"/>
  <c r="Q1081" i="1" s="1"/>
  <c r="P1080" i="1"/>
  <c r="Q1080" i="1" s="1"/>
  <c r="P1079" i="1"/>
  <c r="Q1079" i="1" s="1"/>
  <c r="P1078" i="1"/>
  <c r="Q1078" i="1" s="1"/>
  <c r="P1077" i="1"/>
  <c r="Q1077" i="1" s="1"/>
  <c r="P1076" i="1"/>
  <c r="Q1076" i="1" s="1"/>
  <c r="P1075" i="1"/>
  <c r="Q1075" i="1" s="1"/>
  <c r="P1074" i="1"/>
  <c r="Q1074" i="1" s="1"/>
  <c r="P1073" i="1"/>
  <c r="Q1073" i="1" s="1"/>
  <c r="P1072" i="1"/>
  <c r="Q1072" i="1" s="1"/>
  <c r="P1071" i="1"/>
  <c r="Q1071" i="1" s="1"/>
  <c r="P1070" i="1"/>
  <c r="Q1070" i="1" s="1"/>
  <c r="P1069" i="1"/>
  <c r="Q1069" i="1" s="1"/>
  <c r="P1068" i="1"/>
  <c r="Q1068" i="1" s="1"/>
  <c r="P1067" i="1"/>
  <c r="Q1067" i="1" s="1"/>
  <c r="P1066" i="1"/>
  <c r="Q1066" i="1" s="1"/>
  <c r="P1065" i="1"/>
  <c r="Q1065" i="1" s="1"/>
  <c r="P1064" i="1"/>
  <c r="Q1064" i="1" s="1"/>
  <c r="P1063" i="1"/>
  <c r="Q1063" i="1" s="1"/>
  <c r="P1062" i="1"/>
  <c r="Q1062" i="1" s="1"/>
  <c r="P1061" i="1"/>
  <c r="Q1061" i="1" s="1"/>
  <c r="P1060" i="1"/>
  <c r="Q1060" i="1" s="1"/>
  <c r="P1059" i="1"/>
  <c r="Q1059" i="1" s="1"/>
  <c r="P1058" i="1"/>
  <c r="Q1058" i="1" s="1"/>
  <c r="P1057" i="1"/>
  <c r="Q1057" i="1" s="1"/>
  <c r="P1056" i="1"/>
  <c r="Q1056" i="1" s="1"/>
  <c r="P1055" i="1"/>
  <c r="Q1055" i="1" s="1"/>
  <c r="P1054" i="1"/>
  <c r="Q1054" i="1" s="1"/>
  <c r="P1053" i="1"/>
  <c r="Q1053" i="1" s="1"/>
  <c r="P1052" i="1"/>
  <c r="Q1052" i="1" s="1"/>
  <c r="P1051" i="1"/>
  <c r="Q1051" i="1" s="1"/>
  <c r="P1050" i="1"/>
  <c r="Q1050" i="1" s="1"/>
  <c r="P1049" i="1"/>
  <c r="Q1049" i="1" s="1"/>
  <c r="P1048" i="1"/>
  <c r="Q1048" i="1" s="1"/>
  <c r="P1047" i="1"/>
  <c r="Q1047" i="1" s="1"/>
  <c r="P1046" i="1"/>
  <c r="Q1046" i="1" s="1"/>
  <c r="P1045" i="1"/>
  <c r="Q1045" i="1" s="1"/>
  <c r="P1044" i="1"/>
  <c r="Q1044" i="1" s="1"/>
  <c r="P1043" i="1"/>
  <c r="Q1043" i="1" s="1"/>
  <c r="P1042" i="1"/>
  <c r="Q1042" i="1" s="1"/>
  <c r="P1041" i="1"/>
  <c r="Q1041" i="1" s="1"/>
  <c r="P1040" i="1"/>
  <c r="Q1040" i="1" s="1"/>
  <c r="P1039" i="1"/>
  <c r="Q1039" i="1" s="1"/>
  <c r="P1038" i="1"/>
  <c r="Q1038" i="1" s="1"/>
  <c r="P1037" i="1"/>
  <c r="Q1037" i="1" s="1"/>
  <c r="P1036" i="1"/>
  <c r="Q1036" i="1" s="1"/>
  <c r="P1035" i="1"/>
  <c r="Q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629" i="1"/>
  <c r="T1629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H5" i="6"/>
  <c r="M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3"/>
  <c r="C133" i="3" s="1"/>
  <c r="C136" i="3" s="1"/>
  <c r="C116" i="5"/>
  <c r="C122" i="5"/>
  <c r="C133" i="5" s="1"/>
  <c r="D136" i="5" s="1"/>
  <c r="C116" i="4"/>
  <c r="C122" i="4"/>
  <c r="C133" i="4" s="1"/>
  <c r="C136" i="4" s="1"/>
  <c r="C118" i="3"/>
  <c r="C116" i="3"/>
  <c r="R1628" i="1"/>
  <c r="D136" i="3" l="1"/>
  <c r="C138" i="3" s="1"/>
  <c r="C136" i="5"/>
  <c r="C138" i="5" s="1"/>
  <c r="D136" i="4"/>
  <c r="C138" i="4" s="1"/>
  <c r="R1627" i="1"/>
  <c r="S1628" i="1"/>
  <c r="T1628" i="1" s="1"/>
  <c r="R1626" i="1" l="1"/>
  <c r="S1627" i="1"/>
  <c r="T1627" i="1" s="1"/>
  <c r="R1625" i="1" l="1"/>
  <c r="S1626" i="1"/>
  <c r="T1626" i="1" s="1"/>
  <c r="R1624" i="1" l="1"/>
  <c r="S1625" i="1"/>
  <c r="T1625" i="1" s="1"/>
  <c r="R1623" i="1" l="1"/>
  <c r="S1624" i="1"/>
  <c r="T1624" i="1" s="1"/>
  <c r="R1622" i="1" l="1"/>
  <c r="S1623" i="1"/>
  <c r="T1623" i="1" s="1"/>
  <c r="R1621" i="1" l="1"/>
  <c r="S1622" i="1"/>
  <c r="T1622" i="1" s="1"/>
  <c r="R1620" i="1" l="1"/>
  <c r="S1621" i="1"/>
  <c r="T1621" i="1" s="1"/>
  <c r="R1619" i="1" l="1"/>
  <c r="S1620" i="1"/>
  <c r="T1620" i="1" s="1"/>
  <c r="R1618" i="1" l="1"/>
  <c r="S1619" i="1"/>
  <c r="T1619" i="1" s="1"/>
  <c r="R1617" i="1" l="1"/>
  <c r="S1618" i="1"/>
  <c r="T1618" i="1" s="1"/>
  <c r="R1616" i="1" l="1"/>
  <c r="S1617" i="1"/>
  <c r="T1617" i="1" s="1"/>
  <c r="R1615" i="1" l="1"/>
  <c r="S1616" i="1"/>
  <c r="T1616" i="1" s="1"/>
  <c r="R1614" i="1" l="1"/>
  <c r="S1615" i="1"/>
  <c r="T1615" i="1" s="1"/>
  <c r="R1613" i="1" l="1"/>
  <c r="S1614" i="1"/>
  <c r="T1614" i="1" s="1"/>
  <c r="R1612" i="1" l="1"/>
  <c r="S1613" i="1"/>
  <c r="T1613" i="1" s="1"/>
  <c r="R1611" i="1" l="1"/>
  <c r="S1612" i="1"/>
  <c r="T1612" i="1" s="1"/>
  <c r="R1610" i="1" l="1"/>
  <c r="S1611" i="1"/>
  <c r="T1611" i="1" s="1"/>
  <c r="R1609" i="1" l="1"/>
  <c r="S1610" i="1"/>
  <c r="T1610" i="1" s="1"/>
  <c r="R1608" i="1" l="1"/>
  <c r="S1609" i="1"/>
  <c r="T1609" i="1" s="1"/>
  <c r="R1607" i="1" l="1"/>
  <c r="S1608" i="1"/>
  <c r="T1608" i="1" s="1"/>
  <c r="R1606" i="1" l="1"/>
  <c r="S1607" i="1"/>
  <c r="T1607" i="1" s="1"/>
  <c r="R1605" i="1" l="1"/>
  <c r="S1606" i="1"/>
  <c r="T1606" i="1" s="1"/>
  <c r="R1604" i="1" l="1"/>
  <c r="S1605" i="1"/>
  <c r="T1605" i="1" s="1"/>
  <c r="R1603" i="1" l="1"/>
  <c r="S1604" i="1"/>
  <c r="T1604" i="1" s="1"/>
  <c r="R1602" i="1" l="1"/>
  <c r="S1603" i="1"/>
  <c r="T1603" i="1" s="1"/>
  <c r="R1601" i="1" l="1"/>
  <c r="S1602" i="1"/>
  <c r="T1602" i="1" s="1"/>
  <c r="R1600" i="1" l="1"/>
  <c r="S1601" i="1"/>
  <c r="T1601" i="1" s="1"/>
  <c r="R1599" i="1" l="1"/>
  <c r="S1600" i="1"/>
  <c r="T1600" i="1" s="1"/>
  <c r="R1598" i="1" l="1"/>
  <c r="S1599" i="1"/>
  <c r="T1599" i="1" s="1"/>
  <c r="R1597" i="1" l="1"/>
  <c r="S1598" i="1"/>
  <c r="T1598" i="1" s="1"/>
  <c r="R1596" i="1" l="1"/>
  <c r="S1597" i="1"/>
  <c r="T1597" i="1" s="1"/>
  <c r="R1595" i="1" l="1"/>
  <c r="S1596" i="1"/>
  <c r="T1596" i="1" s="1"/>
  <c r="R1594" i="1" l="1"/>
  <c r="S1595" i="1"/>
  <c r="T1595" i="1" s="1"/>
  <c r="R1593" i="1" l="1"/>
  <c r="S1594" i="1"/>
  <c r="T1594" i="1" s="1"/>
  <c r="R1592" i="1" l="1"/>
  <c r="S1593" i="1"/>
  <c r="T1593" i="1" s="1"/>
  <c r="R1591" i="1" l="1"/>
  <c r="S1592" i="1"/>
  <c r="T1592" i="1" s="1"/>
  <c r="R1590" i="1" l="1"/>
  <c r="S1591" i="1"/>
  <c r="T1591" i="1" s="1"/>
  <c r="R1589" i="1" l="1"/>
  <c r="S1590" i="1"/>
  <c r="T1590" i="1" s="1"/>
  <c r="R1588" i="1" l="1"/>
  <c r="S1589" i="1"/>
  <c r="T1589" i="1" s="1"/>
  <c r="R1587" i="1" l="1"/>
  <c r="S1588" i="1"/>
  <c r="T1588" i="1" s="1"/>
  <c r="R1586" i="1" l="1"/>
  <c r="S1587" i="1"/>
  <c r="T1587" i="1" s="1"/>
  <c r="R1585" i="1" l="1"/>
  <c r="S1586" i="1"/>
  <c r="T1586" i="1" s="1"/>
  <c r="R1584" i="1" l="1"/>
  <c r="S1585" i="1"/>
  <c r="T1585" i="1" s="1"/>
  <c r="R1583" i="1" l="1"/>
  <c r="S1584" i="1"/>
  <c r="T1584" i="1" s="1"/>
  <c r="R1582" i="1" l="1"/>
  <c r="S1583" i="1"/>
  <c r="T1583" i="1" s="1"/>
  <c r="R1581" i="1" l="1"/>
  <c r="S1582" i="1"/>
  <c r="T1582" i="1" s="1"/>
  <c r="R1580" i="1" l="1"/>
  <c r="S1581" i="1"/>
  <c r="T1581" i="1" s="1"/>
  <c r="R1579" i="1" l="1"/>
  <c r="S1580" i="1"/>
  <c r="T1580" i="1" s="1"/>
  <c r="R1578" i="1" l="1"/>
  <c r="S1579" i="1"/>
  <c r="T1579" i="1" s="1"/>
  <c r="R1577" i="1" l="1"/>
  <c r="S1578" i="1"/>
  <c r="T1578" i="1" s="1"/>
  <c r="R1576" i="1" l="1"/>
  <c r="S1577" i="1"/>
  <c r="T1577" i="1" s="1"/>
  <c r="R1575" i="1" l="1"/>
  <c r="S1576" i="1"/>
  <c r="T1576" i="1" s="1"/>
  <c r="R1574" i="1" l="1"/>
  <c r="S1575" i="1"/>
  <c r="T1575" i="1" s="1"/>
  <c r="R1573" i="1" l="1"/>
  <c r="S1574" i="1"/>
  <c r="T1574" i="1" s="1"/>
  <c r="R1572" i="1" l="1"/>
  <c r="S1573" i="1"/>
  <c r="T1573" i="1" s="1"/>
  <c r="R1571" i="1" l="1"/>
  <c r="S1572" i="1"/>
  <c r="T1572" i="1" s="1"/>
  <c r="R1570" i="1" l="1"/>
  <c r="S1571" i="1"/>
  <c r="T1571" i="1" s="1"/>
  <c r="R1569" i="1" l="1"/>
  <c r="S1570" i="1"/>
  <c r="T1570" i="1" s="1"/>
  <c r="R1568" i="1" l="1"/>
  <c r="S1569" i="1"/>
  <c r="T1569" i="1" s="1"/>
  <c r="R1567" i="1" l="1"/>
  <c r="S1568" i="1"/>
  <c r="T1568" i="1" s="1"/>
  <c r="R1566" i="1" l="1"/>
  <c r="S1567" i="1"/>
  <c r="T1567" i="1" s="1"/>
  <c r="R1565" i="1" l="1"/>
  <c r="S1566" i="1"/>
  <c r="T1566" i="1" s="1"/>
  <c r="R1564" i="1" l="1"/>
  <c r="S1565" i="1"/>
  <c r="T1565" i="1" s="1"/>
  <c r="R1563" i="1" l="1"/>
  <c r="S1564" i="1"/>
  <c r="T1564" i="1" s="1"/>
  <c r="R1562" i="1" l="1"/>
  <c r="S1563" i="1"/>
  <c r="T1563" i="1" s="1"/>
  <c r="R1561" i="1" l="1"/>
  <c r="S1562" i="1"/>
  <c r="T1562" i="1" s="1"/>
  <c r="R1560" i="1" l="1"/>
  <c r="S1561" i="1"/>
  <c r="T1561" i="1" s="1"/>
  <c r="R1559" i="1" l="1"/>
  <c r="S1560" i="1"/>
  <c r="T1560" i="1" s="1"/>
  <c r="R1558" i="1" l="1"/>
  <c r="S1559" i="1"/>
  <c r="T1559" i="1" s="1"/>
  <c r="R1557" i="1" l="1"/>
  <c r="S1558" i="1"/>
  <c r="T1558" i="1" s="1"/>
  <c r="R1556" i="1" l="1"/>
  <c r="S1557" i="1"/>
  <c r="T1557" i="1" s="1"/>
  <c r="R1555" i="1" l="1"/>
  <c r="S1556" i="1"/>
  <c r="T1556" i="1" s="1"/>
  <c r="R1554" i="1" l="1"/>
  <c r="S1555" i="1"/>
  <c r="T1555" i="1" s="1"/>
  <c r="R1553" i="1" l="1"/>
  <c r="S1554" i="1"/>
  <c r="T1554" i="1" s="1"/>
  <c r="R1552" i="1" l="1"/>
  <c r="S1553" i="1"/>
  <c r="T1553" i="1" s="1"/>
  <c r="R1551" i="1" l="1"/>
  <c r="S1552" i="1"/>
  <c r="T1552" i="1" s="1"/>
  <c r="R1550" i="1" l="1"/>
  <c r="S1551" i="1"/>
  <c r="T1551" i="1" s="1"/>
  <c r="R1549" i="1" l="1"/>
  <c r="S1550" i="1"/>
  <c r="T1550" i="1" s="1"/>
  <c r="R1548" i="1" l="1"/>
  <c r="S1549" i="1"/>
  <c r="T1549" i="1" s="1"/>
  <c r="R1547" i="1" l="1"/>
  <c r="S1548" i="1"/>
  <c r="T1548" i="1" s="1"/>
  <c r="R1546" i="1" l="1"/>
  <c r="S1547" i="1"/>
  <c r="T1547" i="1" s="1"/>
  <c r="R1545" i="1" l="1"/>
  <c r="S1546" i="1"/>
  <c r="T1546" i="1" s="1"/>
  <c r="R1544" i="1" l="1"/>
  <c r="S1545" i="1"/>
  <c r="T1545" i="1" s="1"/>
  <c r="R1543" i="1" l="1"/>
  <c r="S1544" i="1"/>
  <c r="T1544" i="1" s="1"/>
  <c r="R1542" i="1" l="1"/>
  <c r="S1543" i="1"/>
  <c r="T1543" i="1" s="1"/>
  <c r="R1541" i="1" l="1"/>
  <c r="S1542" i="1"/>
  <c r="T1542" i="1" s="1"/>
  <c r="R1540" i="1" l="1"/>
  <c r="S1541" i="1"/>
  <c r="T1541" i="1" s="1"/>
  <c r="R1539" i="1" l="1"/>
  <c r="S1540" i="1"/>
  <c r="T1540" i="1" s="1"/>
  <c r="R1538" i="1" l="1"/>
  <c r="S1539" i="1"/>
  <c r="T1539" i="1" s="1"/>
  <c r="R1537" i="1" l="1"/>
  <c r="S1538" i="1"/>
  <c r="T1538" i="1" s="1"/>
  <c r="R1536" i="1" l="1"/>
  <c r="S1537" i="1"/>
  <c r="T1537" i="1" s="1"/>
  <c r="R1535" i="1" l="1"/>
  <c r="S1536" i="1"/>
  <c r="T1536" i="1" s="1"/>
  <c r="R1534" i="1" l="1"/>
  <c r="S1535" i="1"/>
  <c r="T1535" i="1" s="1"/>
  <c r="R1533" i="1" l="1"/>
  <c r="S1534" i="1"/>
  <c r="T1534" i="1" s="1"/>
  <c r="R1532" i="1" l="1"/>
  <c r="S1533" i="1"/>
  <c r="T1533" i="1" s="1"/>
  <c r="R1531" i="1" l="1"/>
  <c r="S1532" i="1"/>
  <c r="T1532" i="1" s="1"/>
  <c r="R1530" i="1" l="1"/>
  <c r="S1531" i="1"/>
  <c r="T1531" i="1" s="1"/>
  <c r="R1529" i="1" l="1"/>
  <c r="S1530" i="1"/>
  <c r="T1530" i="1" s="1"/>
  <c r="R1528" i="1" l="1"/>
  <c r="S1529" i="1"/>
  <c r="T1529" i="1" s="1"/>
  <c r="R1527" i="1" l="1"/>
  <c r="S1528" i="1"/>
  <c r="T1528" i="1" s="1"/>
  <c r="R1526" i="1" l="1"/>
  <c r="S1527" i="1"/>
  <c r="T1527" i="1" s="1"/>
  <c r="R1525" i="1" l="1"/>
  <c r="S1526" i="1"/>
  <c r="T1526" i="1" s="1"/>
  <c r="R1524" i="1" l="1"/>
  <c r="S1525" i="1"/>
  <c r="T1525" i="1" s="1"/>
  <c r="R1523" i="1" l="1"/>
  <c r="S1524" i="1"/>
  <c r="T1524" i="1" s="1"/>
  <c r="R1522" i="1" l="1"/>
  <c r="S1523" i="1"/>
  <c r="T1523" i="1" s="1"/>
  <c r="R1521" i="1" l="1"/>
  <c r="S1522" i="1"/>
  <c r="T1522" i="1" s="1"/>
  <c r="R1520" i="1" l="1"/>
  <c r="S1521" i="1"/>
  <c r="T1521" i="1" s="1"/>
  <c r="R1519" i="1" l="1"/>
  <c r="S1520" i="1"/>
  <c r="T1520" i="1" s="1"/>
  <c r="R1518" i="1" l="1"/>
  <c r="S1519" i="1"/>
  <c r="T1519" i="1" s="1"/>
  <c r="R1517" i="1" l="1"/>
  <c r="S1518" i="1"/>
  <c r="T1518" i="1" s="1"/>
  <c r="R1516" i="1" l="1"/>
  <c r="S1517" i="1"/>
  <c r="T1517" i="1" s="1"/>
  <c r="R1515" i="1" l="1"/>
  <c r="S1516" i="1"/>
  <c r="T1516" i="1" s="1"/>
  <c r="R1514" i="1" l="1"/>
  <c r="S1515" i="1"/>
  <c r="T1515" i="1" s="1"/>
  <c r="R1513" i="1" l="1"/>
  <c r="S1514" i="1"/>
  <c r="T1514" i="1" s="1"/>
  <c r="R1512" i="1" l="1"/>
  <c r="S1513" i="1"/>
  <c r="T1513" i="1" s="1"/>
  <c r="R1511" i="1" l="1"/>
  <c r="S1512" i="1"/>
  <c r="T1512" i="1" s="1"/>
  <c r="R1510" i="1" l="1"/>
  <c r="S1511" i="1"/>
  <c r="T1511" i="1" s="1"/>
  <c r="R1509" i="1" l="1"/>
  <c r="S1510" i="1"/>
  <c r="T1510" i="1" s="1"/>
  <c r="R1508" i="1" l="1"/>
  <c r="S1509" i="1"/>
  <c r="T1509" i="1" s="1"/>
  <c r="R1507" i="1" l="1"/>
  <c r="S1508" i="1"/>
  <c r="T1508" i="1" s="1"/>
  <c r="R1506" i="1" l="1"/>
  <c r="S1507" i="1"/>
  <c r="T1507" i="1" s="1"/>
  <c r="R1505" i="1" l="1"/>
  <c r="S1506" i="1"/>
  <c r="T1506" i="1" s="1"/>
  <c r="R1504" i="1" l="1"/>
  <c r="S1505" i="1"/>
  <c r="T1505" i="1" s="1"/>
  <c r="R1503" i="1" l="1"/>
  <c r="S1504" i="1"/>
  <c r="T1504" i="1" s="1"/>
  <c r="R1502" i="1" l="1"/>
  <c r="S1503" i="1"/>
  <c r="T1503" i="1" s="1"/>
  <c r="R1501" i="1" l="1"/>
  <c r="S1502" i="1"/>
  <c r="T1502" i="1" s="1"/>
  <c r="R1500" i="1" l="1"/>
  <c r="S1501" i="1"/>
  <c r="T1501" i="1" s="1"/>
  <c r="R1499" i="1" l="1"/>
  <c r="S1500" i="1"/>
  <c r="T1500" i="1" s="1"/>
  <c r="R1498" i="1" l="1"/>
  <c r="S1499" i="1"/>
  <c r="T1499" i="1" s="1"/>
  <c r="R1497" i="1" l="1"/>
  <c r="S1498" i="1"/>
  <c r="T1498" i="1" s="1"/>
  <c r="R1496" i="1" l="1"/>
  <c r="S1497" i="1"/>
  <c r="T1497" i="1" s="1"/>
  <c r="R1495" i="1" l="1"/>
  <c r="S1496" i="1"/>
  <c r="T1496" i="1" s="1"/>
  <c r="R1494" i="1" l="1"/>
  <c r="S1495" i="1"/>
  <c r="T1495" i="1" s="1"/>
  <c r="R1493" i="1" l="1"/>
  <c r="S1494" i="1"/>
  <c r="T1494" i="1" s="1"/>
  <c r="R1492" i="1" l="1"/>
  <c r="S1493" i="1"/>
  <c r="T1493" i="1" s="1"/>
  <c r="R1491" i="1" l="1"/>
  <c r="S1492" i="1"/>
  <c r="T1492" i="1" s="1"/>
  <c r="R1490" i="1" l="1"/>
  <c r="S1491" i="1"/>
  <c r="T1491" i="1" s="1"/>
  <c r="R1489" i="1" l="1"/>
  <c r="S1490" i="1"/>
  <c r="T1490" i="1" s="1"/>
  <c r="R1488" i="1" l="1"/>
  <c r="S1489" i="1"/>
  <c r="T1489" i="1" s="1"/>
  <c r="R1487" i="1" l="1"/>
  <c r="S1488" i="1"/>
  <c r="T1488" i="1" s="1"/>
  <c r="R1486" i="1" l="1"/>
  <c r="S1487" i="1"/>
  <c r="T1487" i="1" s="1"/>
  <c r="R1485" i="1" l="1"/>
  <c r="S1486" i="1"/>
  <c r="T1486" i="1" s="1"/>
  <c r="R1484" i="1" l="1"/>
  <c r="S1485" i="1"/>
  <c r="T1485" i="1" s="1"/>
  <c r="R1483" i="1" l="1"/>
  <c r="S1484" i="1"/>
  <c r="T1484" i="1" s="1"/>
  <c r="R1482" i="1" l="1"/>
  <c r="S1483" i="1"/>
  <c r="T1483" i="1" s="1"/>
  <c r="R1481" i="1" l="1"/>
  <c r="S1482" i="1"/>
  <c r="T1482" i="1" s="1"/>
  <c r="R1480" i="1" l="1"/>
  <c r="S1481" i="1"/>
  <c r="T1481" i="1" s="1"/>
  <c r="R1479" i="1" l="1"/>
  <c r="S1480" i="1"/>
  <c r="T1480" i="1" s="1"/>
  <c r="R1478" i="1" l="1"/>
  <c r="S1479" i="1"/>
  <c r="T1479" i="1" s="1"/>
  <c r="R1477" i="1" l="1"/>
  <c r="S1478" i="1"/>
  <c r="T1478" i="1" s="1"/>
  <c r="R1476" i="1" l="1"/>
  <c r="S1477" i="1"/>
  <c r="T1477" i="1" s="1"/>
  <c r="R1475" i="1" l="1"/>
  <c r="S1476" i="1"/>
  <c r="T1476" i="1" s="1"/>
  <c r="R1474" i="1" l="1"/>
  <c r="S1475" i="1"/>
  <c r="T1475" i="1" s="1"/>
  <c r="R1473" i="1" l="1"/>
  <c r="S1474" i="1"/>
  <c r="T1474" i="1" s="1"/>
  <c r="R1472" i="1" l="1"/>
  <c r="S1473" i="1"/>
  <c r="T1473" i="1" s="1"/>
  <c r="R1471" i="1" l="1"/>
  <c r="S1472" i="1"/>
  <c r="T1472" i="1" s="1"/>
  <c r="R1470" i="1" l="1"/>
  <c r="S1471" i="1"/>
  <c r="T1471" i="1" s="1"/>
  <c r="R1469" i="1" l="1"/>
  <c r="S1470" i="1"/>
  <c r="T1470" i="1" s="1"/>
  <c r="R1468" i="1" l="1"/>
  <c r="S1469" i="1"/>
  <c r="T1469" i="1" s="1"/>
  <c r="R1467" i="1" l="1"/>
  <c r="S1468" i="1"/>
  <c r="T1468" i="1" s="1"/>
  <c r="R1466" i="1" l="1"/>
  <c r="S1467" i="1"/>
  <c r="T1467" i="1" s="1"/>
  <c r="R1465" i="1" l="1"/>
  <c r="S1466" i="1"/>
  <c r="T1466" i="1" s="1"/>
  <c r="R1464" i="1" l="1"/>
  <c r="S1465" i="1"/>
  <c r="T1465" i="1" s="1"/>
  <c r="R1463" i="1" l="1"/>
  <c r="S1464" i="1"/>
  <c r="T1464" i="1" s="1"/>
  <c r="R1462" i="1" l="1"/>
  <c r="S1463" i="1"/>
  <c r="T1463" i="1" s="1"/>
  <c r="R1461" i="1" l="1"/>
  <c r="S1462" i="1"/>
  <c r="T1462" i="1" s="1"/>
  <c r="R1460" i="1" l="1"/>
  <c r="S1461" i="1"/>
  <c r="T1461" i="1" s="1"/>
  <c r="R1459" i="1" l="1"/>
  <c r="S1460" i="1"/>
  <c r="T1460" i="1" s="1"/>
  <c r="R1458" i="1" l="1"/>
  <c r="S1459" i="1"/>
  <c r="T1459" i="1" s="1"/>
  <c r="R1457" i="1" l="1"/>
  <c r="S1458" i="1"/>
  <c r="T1458" i="1" s="1"/>
  <c r="R1456" i="1" l="1"/>
  <c r="S1457" i="1"/>
  <c r="T1457" i="1" s="1"/>
  <c r="R1455" i="1" l="1"/>
  <c r="S1456" i="1"/>
  <c r="T1456" i="1" s="1"/>
  <c r="R1454" i="1" l="1"/>
  <c r="S1455" i="1"/>
  <c r="T1455" i="1" s="1"/>
  <c r="R1453" i="1" l="1"/>
  <c r="S1454" i="1"/>
  <c r="T1454" i="1" s="1"/>
  <c r="R1452" i="1" l="1"/>
  <c r="S1453" i="1"/>
  <c r="T1453" i="1" s="1"/>
  <c r="R1451" i="1" l="1"/>
  <c r="S1452" i="1"/>
  <c r="T1452" i="1" s="1"/>
  <c r="R1450" i="1" l="1"/>
  <c r="S1451" i="1"/>
  <c r="T1451" i="1" s="1"/>
  <c r="R1449" i="1" l="1"/>
  <c r="S1450" i="1"/>
  <c r="T1450" i="1" s="1"/>
  <c r="R1448" i="1" l="1"/>
  <c r="S1449" i="1"/>
  <c r="T1449" i="1" s="1"/>
  <c r="R1447" i="1" l="1"/>
  <c r="S1448" i="1"/>
  <c r="T1448" i="1" s="1"/>
  <c r="R1446" i="1" l="1"/>
  <c r="S1447" i="1"/>
  <c r="T1447" i="1" s="1"/>
  <c r="R1445" i="1" l="1"/>
  <c r="S1446" i="1"/>
  <c r="T1446" i="1" s="1"/>
  <c r="R1444" i="1" l="1"/>
  <c r="S1445" i="1"/>
  <c r="T1445" i="1" s="1"/>
  <c r="R1443" i="1" l="1"/>
  <c r="S1444" i="1"/>
  <c r="T1444" i="1" s="1"/>
  <c r="R1442" i="1" l="1"/>
  <c r="S1443" i="1"/>
  <c r="T1443" i="1" s="1"/>
  <c r="R1441" i="1" l="1"/>
  <c r="S1442" i="1"/>
  <c r="T1442" i="1" s="1"/>
  <c r="R1440" i="1" l="1"/>
  <c r="S1441" i="1"/>
  <c r="T1441" i="1" s="1"/>
  <c r="R1439" i="1" l="1"/>
  <c r="S1440" i="1"/>
  <c r="T1440" i="1" s="1"/>
  <c r="R1438" i="1" l="1"/>
  <c r="S1439" i="1"/>
  <c r="T1439" i="1" s="1"/>
  <c r="R1437" i="1" l="1"/>
  <c r="S1438" i="1"/>
  <c r="T1438" i="1" s="1"/>
  <c r="R1436" i="1" l="1"/>
  <c r="S1437" i="1"/>
  <c r="T1437" i="1" s="1"/>
  <c r="R1435" i="1" l="1"/>
  <c r="S1436" i="1"/>
  <c r="T1436" i="1" s="1"/>
  <c r="R1434" i="1" l="1"/>
  <c r="S1435" i="1"/>
  <c r="T1435" i="1" s="1"/>
  <c r="R1433" i="1" l="1"/>
  <c r="S1434" i="1"/>
  <c r="T1434" i="1" s="1"/>
  <c r="R1432" i="1" l="1"/>
  <c r="S1433" i="1"/>
  <c r="T1433" i="1" s="1"/>
  <c r="R1431" i="1" l="1"/>
  <c r="S1432" i="1"/>
  <c r="T1432" i="1" s="1"/>
  <c r="R1430" i="1" l="1"/>
  <c r="S1431" i="1"/>
  <c r="T1431" i="1" s="1"/>
  <c r="R1429" i="1" l="1"/>
  <c r="S1430" i="1"/>
  <c r="T1430" i="1" s="1"/>
  <c r="R1428" i="1" l="1"/>
  <c r="S1429" i="1"/>
  <c r="T1429" i="1" s="1"/>
  <c r="R1427" i="1" l="1"/>
  <c r="S1428" i="1"/>
  <c r="T1428" i="1" s="1"/>
  <c r="R1426" i="1" l="1"/>
  <c r="S1427" i="1"/>
  <c r="T1427" i="1" s="1"/>
  <c r="R1425" i="1" l="1"/>
  <c r="S1426" i="1"/>
  <c r="T1426" i="1" s="1"/>
  <c r="R1424" i="1" l="1"/>
  <c r="S1425" i="1"/>
  <c r="T1425" i="1" s="1"/>
  <c r="R1423" i="1" l="1"/>
  <c r="S1424" i="1"/>
  <c r="T1424" i="1" s="1"/>
  <c r="R1422" i="1" l="1"/>
  <c r="S1423" i="1"/>
  <c r="T1423" i="1" s="1"/>
  <c r="R1421" i="1" l="1"/>
  <c r="S1422" i="1"/>
  <c r="T1422" i="1" s="1"/>
  <c r="R1420" i="1" l="1"/>
  <c r="S1421" i="1"/>
  <c r="T1421" i="1" s="1"/>
  <c r="R1419" i="1" l="1"/>
  <c r="S1420" i="1"/>
  <c r="T1420" i="1" s="1"/>
  <c r="R1418" i="1" l="1"/>
  <c r="S1419" i="1"/>
  <c r="T1419" i="1" s="1"/>
  <c r="R1417" i="1" l="1"/>
  <c r="S1418" i="1"/>
  <c r="T1418" i="1" s="1"/>
  <c r="R1416" i="1" l="1"/>
  <c r="S1417" i="1"/>
  <c r="T1417" i="1" s="1"/>
  <c r="R1415" i="1" l="1"/>
  <c r="S1416" i="1"/>
  <c r="T1416" i="1" s="1"/>
  <c r="R1414" i="1" l="1"/>
  <c r="S1415" i="1"/>
  <c r="T1415" i="1" s="1"/>
  <c r="R1413" i="1" l="1"/>
  <c r="S1414" i="1"/>
  <c r="T1414" i="1" s="1"/>
  <c r="R1412" i="1" l="1"/>
  <c r="S1413" i="1"/>
  <c r="T1413" i="1" s="1"/>
  <c r="R1411" i="1" l="1"/>
  <c r="S1412" i="1"/>
  <c r="T1412" i="1" s="1"/>
  <c r="R1410" i="1" l="1"/>
  <c r="S1411" i="1"/>
  <c r="T1411" i="1" s="1"/>
  <c r="R1409" i="1" l="1"/>
  <c r="S1410" i="1"/>
  <c r="T1410" i="1" s="1"/>
  <c r="R1408" i="1" l="1"/>
  <c r="S1409" i="1"/>
  <c r="T1409" i="1" s="1"/>
  <c r="R1407" i="1" l="1"/>
  <c r="S1408" i="1"/>
  <c r="T1408" i="1" s="1"/>
  <c r="R1406" i="1" l="1"/>
  <c r="S1407" i="1"/>
  <c r="T1407" i="1" s="1"/>
  <c r="R1405" i="1" l="1"/>
  <c r="S1406" i="1"/>
  <c r="T1406" i="1" s="1"/>
  <c r="R1404" i="1" l="1"/>
  <c r="S1405" i="1"/>
  <c r="T1405" i="1" s="1"/>
  <c r="R1403" i="1" l="1"/>
  <c r="S1404" i="1"/>
  <c r="T1404" i="1" s="1"/>
  <c r="R1402" i="1" l="1"/>
  <c r="S1403" i="1"/>
  <c r="T1403" i="1" s="1"/>
  <c r="R1401" i="1" l="1"/>
  <c r="S1402" i="1"/>
  <c r="T1402" i="1" s="1"/>
  <c r="R1400" i="1" l="1"/>
  <c r="S1401" i="1"/>
  <c r="T1401" i="1" s="1"/>
  <c r="R1399" i="1" l="1"/>
  <c r="S1400" i="1"/>
  <c r="T1400" i="1" s="1"/>
  <c r="R1398" i="1" l="1"/>
  <c r="S1399" i="1"/>
  <c r="T1399" i="1" s="1"/>
  <c r="R1397" i="1" l="1"/>
  <c r="S1398" i="1"/>
  <c r="T1398" i="1" s="1"/>
  <c r="R1396" i="1" l="1"/>
  <c r="S1397" i="1"/>
  <c r="T1397" i="1" s="1"/>
  <c r="R1395" i="1" l="1"/>
  <c r="S1396" i="1"/>
  <c r="T1396" i="1" s="1"/>
  <c r="R1394" i="1" l="1"/>
  <c r="S1395" i="1"/>
  <c r="T1395" i="1" s="1"/>
  <c r="R1393" i="1" l="1"/>
  <c r="S1394" i="1"/>
  <c r="T1394" i="1" s="1"/>
  <c r="R1392" i="1" l="1"/>
  <c r="S1393" i="1"/>
  <c r="T1393" i="1" s="1"/>
  <c r="R1391" i="1" l="1"/>
  <c r="S1392" i="1"/>
  <c r="T1392" i="1" s="1"/>
  <c r="R1390" i="1" l="1"/>
  <c r="S1391" i="1"/>
  <c r="T1391" i="1" s="1"/>
  <c r="R1389" i="1" l="1"/>
  <c r="S1390" i="1"/>
  <c r="T1390" i="1" s="1"/>
  <c r="R1388" i="1" l="1"/>
  <c r="S1389" i="1"/>
  <c r="T1389" i="1" s="1"/>
  <c r="R1387" i="1" l="1"/>
  <c r="S1388" i="1"/>
  <c r="T1388" i="1" s="1"/>
  <c r="R1386" i="1" l="1"/>
  <c r="S1387" i="1"/>
  <c r="T1387" i="1" s="1"/>
  <c r="R1385" i="1" l="1"/>
  <c r="S1386" i="1"/>
  <c r="T1386" i="1" s="1"/>
  <c r="R1384" i="1" l="1"/>
  <c r="S1385" i="1"/>
  <c r="T1385" i="1" s="1"/>
  <c r="R1383" i="1" l="1"/>
  <c r="S1384" i="1"/>
  <c r="T1384" i="1" s="1"/>
  <c r="R1382" i="1" l="1"/>
  <c r="S1383" i="1"/>
  <c r="T1383" i="1" s="1"/>
  <c r="R1381" i="1" l="1"/>
  <c r="S1382" i="1"/>
  <c r="T1382" i="1" s="1"/>
  <c r="R1380" i="1" l="1"/>
  <c r="S1381" i="1"/>
  <c r="T1381" i="1" s="1"/>
  <c r="R1379" i="1" l="1"/>
  <c r="S1380" i="1"/>
  <c r="T1380" i="1" s="1"/>
  <c r="R1378" i="1" l="1"/>
  <c r="S1379" i="1"/>
  <c r="T1379" i="1" s="1"/>
  <c r="R1377" i="1" l="1"/>
  <c r="S1378" i="1"/>
  <c r="T1378" i="1" s="1"/>
  <c r="R1376" i="1" l="1"/>
  <c r="S1377" i="1"/>
  <c r="T1377" i="1" s="1"/>
  <c r="R1375" i="1" l="1"/>
  <c r="S1376" i="1"/>
  <c r="T1376" i="1" s="1"/>
  <c r="R1374" i="1" l="1"/>
  <c r="S1375" i="1"/>
  <c r="T1375" i="1" s="1"/>
  <c r="R1373" i="1" l="1"/>
  <c r="S1374" i="1"/>
  <c r="T1374" i="1" s="1"/>
  <c r="R1372" i="1" l="1"/>
  <c r="S1373" i="1"/>
  <c r="T1373" i="1" s="1"/>
  <c r="R1371" i="1" l="1"/>
  <c r="S1372" i="1"/>
  <c r="T1372" i="1" s="1"/>
  <c r="R1370" i="1" l="1"/>
  <c r="S1371" i="1"/>
  <c r="T1371" i="1" s="1"/>
  <c r="R1369" i="1" l="1"/>
  <c r="S1370" i="1"/>
  <c r="T1370" i="1" s="1"/>
  <c r="R1368" i="1" l="1"/>
  <c r="S1369" i="1"/>
  <c r="T1369" i="1" s="1"/>
  <c r="R1367" i="1" l="1"/>
  <c r="S1368" i="1"/>
  <c r="T1368" i="1" s="1"/>
  <c r="R1366" i="1" l="1"/>
  <c r="S1367" i="1"/>
  <c r="T1367" i="1" s="1"/>
  <c r="R1365" i="1" l="1"/>
  <c r="S1366" i="1"/>
  <c r="T1366" i="1" s="1"/>
  <c r="R1364" i="1" l="1"/>
  <c r="S1365" i="1"/>
  <c r="T1365" i="1" s="1"/>
  <c r="R1363" i="1" l="1"/>
  <c r="S1364" i="1"/>
  <c r="T1364" i="1" s="1"/>
  <c r="R1362" i="1" l="1"/>
  <c r="S1363" i="1"/>
  <c r="T1363" i="1" s="1"/>
  <c r="R1361" i="1" l="1"/>
  <c r="S1362" i="1"/>
  <c r="T1362" i="1" s="1"/>
  <c r="R1360" i="1" l="1"/>
  <c r="S1361" i="1"/>
  <c r="T1361" i="1" s="1"/>
  <c r="R1359" i="1" l="1"/>
  <c r="S1360" i="1"/>
  <c r="T1360" i="1" s="1"/>
  <c r="R1358" i="1" l="1"/>
  <c r="S1359" i="1"/>
  <c r="T1359" i="1" s="1"/>
  <c r="R1357" i="1" l="1"/>
  <c r="S1358" i="1"/>
  <c r="T1358" i="1" s="1"/>
  <c r="R1356" i="1" l="1"/>
  <c r="S1357" i="1"/>
  <c r="T1357" i="1" s="1"/>
  <c r="R1355" i="1" l="1"/>
  <c r="S1356" i="1"/>
  <c r="T1356" i="1" s="1"/>
  <c r="R1354" i="1" l="1"/>
  <c r="S1355" i="1"/>
  <c r="T1355" i="1" s="1"/>
  <c r="R1353" i="1" l="1"/>
  <c r="S1354" i="1"/>
  <c r="T1354" i="1" s="1"/>
  <c r="R1352" i="1" l="1"/>
  <c r="S1353" i="1"/>
  <c r="T1353" i="1" s="1"/>
  <c r="R1351" i="1" l="1"/>
  <c r="S1352" i="1"/>
  <c r="T1352" i="1" s="1"/>
  <c r="R1350" i="1" l="1"/>
  <c r="S1351" i="1"/>
  <c r="T1351" i="1" s="1"/>
  <c r="R1349" i="1" l="1"/>
  <c r="S1350" i="1"/>
  <c r="T1350" i="1" s="1"/>
  <c r="R1348" i="1" l="1"/>
  <c r="S1349" i="1"/>
  <c r="T1349" i="1" s="1"/>
  <c r="R1347" i="1" l="1"/>
  <c r="S1348" i="1"/>
  <c r="T1348" i="1" s="1"/>
  <c r="R1346" i="1" l="1"/>
  <c r="S1347" i="1"/>
  <c r="T1347" i="1" s="1"/>
  <c r="R1345" i="1" l="1"/>
  <c r="S1346" i="1"/>
  <c r="T1346" i="1" s="1"/>
  <c r="R1344" i="1" l="1"/>
  <c r="S1345" i="1"/>
  <c r="T1345" i="1" s="1"/>
  <c r="R1343" i="1" l="1"/>
  <c r="S1344" i="1"/>
  <c r="T1344" i="1" s="1"/>
  <c r="R1342" i="1" l="1"/>
  <c r="S1343" i="1"/>
  <c r="T1343" i="1" s="1"/>
  <c r="R1341" i="1" l="1"/>
  <c r="S1342" i="1"/>
  <c r="T1342" i="1" s="1"/>
  <c r="R1340" i="1" l="1"/>
  <c r="S1341" i="1"/>
  <c r="T1341" i="1" s="1"/>
  <c r="R1339" i="1" l="1"/>
  <c r="S1340" i="1"/>
  <c r="T1340" i="1" s="1"/>
  <c r="R1338" i="1" l="1"/>
  <c r="S1339" i="1"/>
  <c r="T1339" i="1" s="1"/>
  <c r="R1337" i="1" l="1"/>
  <c r="S1338" i="1"/>
  <c r="T1338" i="1" s="1"/>
  <c r="R1336" i="1" l="1"/>
  <c r="S1337" i="1"/>
  <c r="T1337" i="1" s="1"/>
  <c r="R1335" i="1" l="1"/>
  <c r="S1336" i="1"/>
  <c r="T1336" i="1" s="1"/>
  <c r="R1334" i="1" l="1"/>
  <c r="S1335" i="1"/>
  <c r="T1335" i="1" s="1"/>
  <c r="R1333" i="1" l="1"/>
  <c r="S1334" i="1"/>
  <c r="T1334" i="1" s="1"/>
  <c r="R1332" i="1" l="1"/>
  <c r="S1333" i="1"/>
  <c r="T1333" i="1" s="1"/>
  <c r="R1331" i="1" l="1"/>
  <c r="S1332" i="1"/>
  <c r="T1332" i="1" s="1"/>
  <c r="R1330" i="1" l="1"/>
  <c r="S1331" i="1"/>
  <c r="T1331" i="1" s="1"/>
  <c r="R1329" i="1" l="1"/>
  <c r="S1330" i="1"/>
  <c r="T1330" i="1" s="1"/>
  <c r="R1328" i="1" l="1"/>
  <c r="S1329" i="1"/>
  <c r="T1329" i="1" s="1"/>
  <c r="R1327" i="1" l="1"/>
  <c r="S1328" i="1"/>
  <c r="T1328" i="1" s="1"/>
  <c r="R1326" i="1" l="1"/>
  <c r="S1327" i="1"/>
  <c r="T1327" i="1" s="1"/>
  <c r="R1325" i="1" l="1"/>
  <c r="S1326" i="1"/>
  <c r="T1326" i="1" s="1"/>
  <c r="R1324" i="1" l="1"/>
  <c r="S1325" i="1"/>
  <c r="T1325" i="1" s="1"/>
  <c r="R1323" i="1" l="1"/>
  <c r="S1324" i="1"/>
  <c r="T1324" i="1" s="1"/>
  <c r="R1322" i="1" l="1"/>
  <c r="S1323" i="1"/>
  <c r="T1323" i="1" s="1"/>
  <c r="R1321" i="1" l="1"/>
  <c r="S1322" i="1"/>
  <c r="T1322" i="1" s="1"/>
  <c r="R1320" i="1" l="1"/>
  <c r="S1321" i="1"/>
  <c r="T1321" i="1" s="1"/>
  <c r="R1319" i="1" l="1"/>
  <c r="S1320" i="1"/>
  <c r="T1320" i="1" s="1"/>
  <c r="R1318" i="1" l="1"/>
  <c r="S1319" i="1"/>
  <c r="T1319" i="1" s="1"/>
  <c r="R1317" i="1" l="1"/>
  <c r="S1318" i="1"/>
  <c r="T1318" i="1" s="1"/>
  <c r="R1316" i="1" l="1"/>
  <c r="S1317" i="1"/>
  <c r="T1317" i="1" s="1"/>
  <c r="R1315" i="1" l="1"/>
  <c r="S1316" i="1"/>
  <c r="T1316" i="1" s="1"/>
  <c r="R1314" i="1" l="1"/>
  <c r="S1315" i="1"/>
  <c r="T1315" i="1" s="1"/>
  <c r="R1313" i="1" l="1"/>
  <c r="S1314" i="1"/>
  <c r="T1314" i="1" s="1"/>
  <c r="R1312" i="1" l="1"/>
  <c r="S1313" i="1"/>
  <c r="T1313" i="1" s="1"/>
  <c r="R1311" i="1" l="1"/>
  <c r="S1312" i="1"/>
  <c r="T1312" i="1" s="1"/>
  <c r="R1310" i="1" l="1"/>
  <c r="S1311" i="1"/>
  <c r="T1311" i="1" s="1"/>
  <c r="R1309" i="1" l="1"/>
  <c r="S1310" i="1"/>
  <c r="T1310" i="1" s="1"/>
  <c r="R1308" i="1" l="1"/>
  <c r="S1309" i="1"/>
  <c r="T1309" i="1" s="1"/>
  <c r="R1307" i="1" l="1"/>
  <c r="S1308" i="1"/>
  <c r="T1308" i="1" s="1"/>
  <c r="R1306" i="1" l="1"/>
  <c r="S1307" i="1"/>
  <c r="T1307" i="1" s="1"/>
  <c r="R1305" i="1" l="1"/>
  <c r="S1306" i="1"/>
  <c r="T1306" i="1" s="1"/>
  <c r="R1304" i="1" l="1"/>
  <c r="S1305" i="1"/>
  <c r="T1305" i="1" s="1"/>
  <c r="R1303" i="1" l="1"/>
  <c r="S1304" i="1"/>
  <c r="T1304" i="1" s="1"/>
  <c r="R1302" i="1" l="1"/>
  <c r="S1303" i="1"/>
  <c r="T1303" i="1" s="1"/>
  <c r="R1301" i="1" l="1"/>
  <c r="S1302" i="1"/>
  <c r="T1302" i="1" s="1"/>
  <c r="R1300" i="1" l="1"/>
  <c r="S1301" i="1"/>
  <c r="T1301" i="1" s="1"/>
  <c r="R1299" i="1" l="1"/>
  <c r="S1300" i="1"/>
  <c r="T1300" i="1" s="1"/>
  <c r="R1298" i="1" l="1"/>
  <c r="S1299" i="1"/>
  <c r="T1299" i="1" s="1"/>
  <c r="R1297" i="1" l="1"/>
  <c r="S1298" i="1"/>
  <c r="T1298" i="1" s="1"/>
  <c r="R1296" i="1" l="1"/>
  <c r="S1297" i="1"/>
  <c r="T1297" i="1" s="1"/>
  <c r="R1295" i="1" l="1"/>
  <c r="S1296" i="1"/>
  <c r="T1296" i="1" s="1"/>
  <c r="R1294" i="1" l="1"/>
  <c r="S1295" i="1"/>
  <c r="T1295" i="1" s="1"/>
  <c r="R1293" i="1" l="1"/>
  <c r="S1294" i="1"/>
  <c r="T1294" i="1" s="1"/>
  <c r="R1292" i="1" l="1"/>
  <c r="S1293" i="1"/>
  <c r="T1293" i="1" s="1"/>
  <c r="R1291" i="1" l="1"/>
  <c r="S1292" i="1"/>
  <c r="T1292" i="1" s="1"/>
  <c r="R1290" i="1" l="1"/>
  <c r="S1291" i="1"/>
  <c r="T1291" i="1" s="1"/>
  <c r="R1289" i="1" l="1"/>
  <c r="S1290" i="1"/>
  <c r="T1290" i="1" s="1"/>
  <c r="R1288" i="1" l="1"/>
  <c r="S1289" i="1"/>
  <c r="T1289" i="1" s="1"/>
  <c r="R1287" i="1" l="1"/>
  <c r="S1288" i="1"/>
  <c r="T1288" i="1" s="1"/>
  <c r="R1286" i="1" l="1"/>
  <c r="S1287" i="1"/>
  <c r="T1287" i="1" s="1"/>
  <c r="R1285" i="1" l="1"/>
  <c r="S1286" i="1"/>
  <c r="T1286" i="1" s="1"/>
  <c r="R1284" i="1" l="1"/>
  <c r="S1285" i="1"/>
  <c r="T1285" i="1" s="1"/>
  <c r="R1283" i="1" l="1"/>
  <c r="S1284" i="1"/>
  <c r="T1284" i="1" s="1"/>
  <c r="R1282" i="1" l="1"/>
  <c r="S1283" i="1"/>
  <c r="T1283" i="1" s="1"/>
  <c r="R1281" i="1" l="1"/>
  <c r="S1282" i="1"/>
  <c r="T1282" i="1" s="1"/>
  <c r="R1280" i="1" l="1"/>
  <c r="S1281" i="1"/>
  <c r="T1281" i="1" s="1"/>
  <c r="R1279" i="1" l="1"/>
  <c r="S1280" i="1"/>
  <c r="T1280" i="1" s="1"/>
  <c r="R1278" i="1" l="1"/>
  <c r="S1279" i="1"/>
  <c r="T1279" i="1" s="1"/>
  <c r="R1277" i="1" l="1"/>
  <c r="S1278" i="1"/>
  <c r="T1278" i="1" s="1"/>
  <c r="R1276" i="1" l="1"/>
  <c r="S1277" i="1"/>
  <c r="T1277" i="1" s="1"/>
  <c r="R1275" i="1" l="1"/>
  <c r="S1276" i="1"/>
  <c r="T1276" i="1" s="1"/>
  <c r="R1274" i="1" l="1"/>
  <c r="S1275" i="1"/>
  <c r="T1275" i="1" s="1"/>
  <c r="R1273" i="1" l="1"/>
  <c r="S1274" i="1"/>
  <c r="T1274" i="1" s="1"/>
  <c r="R1272" i="1" l="1"/>
  <c r="S1273" i="1"/>
  <c r="T1273" i="1" s="1"/>
  <c r="R1271" i="1" l="1"/>
  <c r="S1272" i="1"/>
  <c r="T1272" i="1" s="1"/>
  <c r="R1270" i="1" l="1"/>
  <c r="S1271" i="1"/>
  <c r="T1271" i="1" s="1"/>
  <c r="R1269" i="1" l="1"/>
  <c r="S1270" i="1"/>
  <c r="T1270" i="1" s="1"/>
  <c r="R1268" i="1" l="1"/>
  <c r="S1269" i="1"/>
  <c r="T1269" i="1" s="1"/>
  <c r="R1267" i="1" l="1"/>
  <c r="S1268" i="1"/>
  <c r="T1268" i="1" s="1"/>
  <c r="R1266" i="1" l="1"/>
  <c r="S1267" i="1"/>
  <c r="T1267" i="1" s="1"/>
  <c r="R1265" i="1" l="1"/>
  <c r="S1266" i="1"/>
  <c r="T1266" i="1" s="1"/>
  <c r="R1264" i="1" l="1"/>
  <c r="S1265" i="1"/>
  <c r="T1265" i="1" s="1"/>
  <c r="R1263" i="1" l="1"/>
  <c r="S1264" i="1"/>
  <c r="T1264" i="1" s="1"/>
  <c r="R1262" i="1" l="1"/>
  <c r="S1263" i="1"/>
  <c r="T1263" i="1" s="1"/>
  <c r="R1261" i="1" l="1"/>
  <c r="S1262" i="1"/>
  <c r="T1262" i="1" s="1"/>
  <c r="R1260" i="1" l="1"/>
  <c r="S1261" i="1"/>
  <c r="T1261" i="1" s="1"/>
  <c r="R1259" i="1" l="1"/>
  <c r="S1260" i="1"/>
  <c r="T1260" i="1" s="1"/>
  <c r="R1258" i="1" l="1"/>
  <c r="S1259" i="1"/>
  <c r="T1259" i="1" s="1"/>
  <c r="R1257" i="1" l="1"/>
  <c r="S1258" i="1"/>
  <c r="T1258" i="1" s="1"/>
  <c r="R1256" i="1" l="1"/>
  <c r="S1257" i="1"/>
  <c r="T1257" i="1" s="1"/>
  <c r="R1255" i="1" l="1"/>
  <c r="S1256" i="1"/>
  <c r="T1256" i="1" s="1"/>
  <c r="R1254" i="1" l="1"/>
  <c r="S1255" i="1"/>
  <c r="T1255" i="1" s="1"/>
  <c r="R1253" i="1" l="1"/>
  <c r="S1254" i="1"/>
  <c r="T1254" i="1" s="1"/>
  <c r="R1252" i="1" l="1"/>
  <c r="S1253" i="1"/>
  <c r="T1253" i="1" s="1"/>
  <c r="R1251" i="1" l="1"/>
  <c r="S1252" i="1"/>
  <c r="T1252" i="1" s="1"/>
  <c r="R1250" i="1" l="1"/>
  <c r="S1251" i="1"/>
  <c r="T1251" i="1" s="1"/>
  <c r="R1249" i="1" l="1"/>
  <c r="S1250" i="1"/>
  <c r="T1250" i="1" s="1"/>
  <c r="R1248" i="1" l="1"/>
  <c r="S1249" i="1"/>
  <c r="T1249" i="1" s="1"/>
  <c r="R1247" i="1" l="1"/>
  <c r="S1248" i="1"/>
  <c r="T1248" i="1" s="1"/>
  <c r="R1246" i="1" l="1"/>
  <c r="S1247" i="1"/>
  <c r="T1247" i="1" s="1"/>
  <c r="R1245" i="1" l="1"/>
  <c r="S1246" i="1"/>
  <c r="T1246" i="1" s="1"/>
  <c r="R1244" i="1" l="1"/>
  <c r="S1245" i="1"/>
  <c r="T1245" i="1" s="1"/>
  <c r="R1243" i="1" l="1"/>
  <c r="S1244" i="1"/>
  <c r="T1244" i="1" s="1"/>
  <c r="R1242" i="1" l="1"/>
  <c r="S1243" i="1"/>
  <c r="T1243" i="1" s="1"/>
  <c r="R1241" i="1" l="1"/>
  <c r="S1242" i="1"/>
  <c r="T1242" i="1" s="1"/>
  <c r="R1240" i="1" l="1"/>
  <c r="S1241" i="1"/>
  <c r="T1241" i="1" s="1"/>
  <c r="R1239" i="1" l="1"/>
  <c r="S1240" i="1"/>
  <c r="T1240" i="1" s="1"/>
  <c r="R1238" i="1" l="1"/>
  <c r="S1239" i="1"/>
  <c r="T1239" i="1" s="1"/>
  <c r="R1237" i="1" l="1"/>
  <c r="S1238" i="1"/>
  <c r="T1238" i="1" s="1"/>
  <c r="R1236" i="1" l="1"/>
  <c r="S1237" i="1"/>
  <c r="T1237" i="1" s="1"/>
  <c r="R1235" i="1" l="1"/>
  <c r="S1236" i="1"/>
  <c r="T1236" i="1" s="1"/>
  <c r="R1234" i="1" l="1"/>
  <c r="S1235" i="1"/>
  <c r="T1235" i="1" s="1"/>
  <c r="R1233" i="1" l="1"/>
  <c r="S1234" i="1"/>
  <c r="T1234" i="1" s="1"/>
  <c r="R1232" i="1" l="1"/>
  <c r="S1233" i="1"/>
  <c r="T1233" i="1" s="1"/>
  <c r="R1231" i="1" l="1"/>
  <c r="S1232" i="1"/>
  <c r="T1232" i="1" s="1"/>
  <c r="R1230" i="1" l="1"/>
  <c r="S1231" i="1"/>
  <c r="T1231" i="1" s="1"/>
  <c r="R1229" i="1" l="1"/>
  <c r="S1230" i="1"/>
  <c r="T1230" i="1" s="1"/>
  <c r="R1228" i="1" l="1"/>
  <c r="S1229" i="1"/>
  <c r="T1229" i="1" s="1"/>
  <c r="R1227" i="1" l="1"/>
  <c r="S1228" i="1"/>
  <c r="T1228" i="1" s="1"/>
  <c r="R1226" i="1" l="1"/>
  <c r="S1227" i="1"/>
  <c r="T1227" i="1" s="1"/>
  <c r="R1225" i="1" l="1"/>
  <c r="S1226" i="1"/>
  <c r="T1226" i="1" s="1"/>
  <c r="R1224" i="1" l="1"/>
  <c r="S1225" i="1"/>
  <c r="T1225" i="1" s="1"/>
  <c r="R1223" i="1" l="1"/>
  <c r="S1224" i="1"/>
  <c r="T1224" i="1" s="1"/>
  <c r="R1222" i="1" l="1"/>
  <c r="S1223" i="1"/>
  <c r="T1223" i="1" s="1"/>
  <c r="R1221" i="1" l="1"/>
  <c r="S1222" i="1"/>
  <c r="T1222" i="1" s="1"/>
  <c r="R1220" i="1" l="1"/>
  <c r="S1221" i="1"/>
  <c r="T1221" i="1" s="1"/>
  <c r="R1219" i="1" l="1"/>
  <c r="S1220" i="1"/>
  <c r="T1220" i="1" s="1"/>
  <c r="R1218" i="1" l="1"/>
  <c r="S1219" i="1"/>
  <c r="T1219" i="1" s="1"/>
  <c r="R1217" i="1" l="1"/>
  <c r="S1218" i="1"/>
  <c r="T1218" i="1" s="1"/>
  <c r="R1216" i="1" l="1"/>
  <c r="S1217" i="1"/>
  <c r="T1217" i="1" s="1"/>
  <c r="R1215" i="1" l="1"/>
  <c r="S1216" i="1"/>
  <c r="T1216" i="1" s="1"/>
  <c r="R1214" i="1" l="1"/>
  <c r="S1215" i="1"/>
  <c r="T1215" i="1" s="1"/>
  <c r="R1213" i="1" l="1"/>
  <c r="S1214" i="1"/>
  <c r="T1214" i="1" s="1"/>
  <c r="R1212" i="1" l="1"/>
  <c r="S1213" i="1"/>
  <c r="T1213" i="1" s="1"/>
  <c r="R1211" i="1" l="1"/>
  <c r="S1212" i="1"/>
  <c r="T1212" i="1" s="1"/>
  <c r="R1210" i="1" l="1"/>
  <c r="S1211" i="1"/>
  <c r="T1211" i="1" s="1"/>
  <c r="R1209" i="1" l="1"/>
  <c r="S1210" i="1"/>
  <c r="T1210" i="1" s="1"/>
  <c r="R1208" i="1" l="1"/>
  <c r="S1209" i="1"/>
  <c r="T1209" i="1" s="1"/>
  <c r="R1207" i="1" l="1"/>
  <c r="S1208" i="1"/>
  <c r="T1208" i="1" s="1"/>
  <c r="R1206" i="1" l="1"/>
  <c r="S1207" i="1"/>
  <c r="T1207" i="1" s="1"/>
  <c r="R1205" i="1" l="1"/>
  <c r="S1206" i="1"/>
  <c r="T1206" i="1" s="1"/>
  <c r="R1204" i="1" l="1"/>
  <c r="S1205" i="1"/>
  <c r="T1205" i="1" s="1"/>
  <c r="R1203" i="1" l="1"/>
  <c r="S1204" i="1"/>
  <c r="T1204" i="1" s="1"/>
  <c r="R1202" i="1" l="1"/>
  <c r="S1203" i="1"/>
  <c r="T1203" i="1" s="1"/>
  <c r="R1201" i="1" l="1"/>
  <c r="S1202" i="1"/>
  <c r="T1202" i="1" s="1"/>
  <c r="R1200" i="1" l="1"/>
  <c r="S1201" i="1"/>
  <c r="T1201" i="1" s="1"/>
  <c r="R1199" i="1" l="1"/>
  <c r="S1200" i="1"/>
  <c r="T1200" i="1" s="1"/>
  <c r="R1198" i="1" l="1"/>
  <c r="S1199" i="1"/>
  <c r="T1199" i="1" s="1"/>
  <c r="R1197" i="1" l="1"/>
  <c r="S1198" i="1"/>
  <c r="T1198" i="1" s="1"/>
  <c r="R1196" i="1" l="1"/>
  <c r="S1197" i="1"/>
  <c r="T1197" i="1" s="1"/>
  <c r="R1195" i="1" l="1"/>
  <c r="S1196" i="1"/>
  <c r="T1196" i="1" s="1"/>
  <c r="R1194" i="1" l="1"/>
  <c r="S1195" i="1"/>
  <c r="T1195" i="1" s="1"/>
  <c r="R1193" i="1" l="1"/>
  <c r="S1194" i="1"/>
  <c r="T1194" i="1" s="1"/>
  <c r="R1192" i="1" l="1"/>
  <c r="S1193" i="1"/>
  <c r="T1193" i="1" s="1"/>
  <c r="R1191" i="1" l="1"/>
  <c r="S1192" i="1"/>
  <c r="T1192" i="1" s="1"/>
  <c r="R1190" i="1" l="1"/>
  <c r="S1191" i="1"/>
  <c r="T1191" i="1" s="1"/>
  <c r="R1189" i="1" l="1"/>
  <c r="S1190" i="1"/>
  <c r="T1190" i="1" s="1"/>
  <c r="R1188" i="1" l="1"/>
  <c r="S1189" i="1"/>
  <c r="T1189" i="1" s="1"/>
  <c r="R1187" i="1" l="1"/>
  <c r="S1188" i="1"/>
  <c r="T1188" i="1" s="1"/>
  <c r="R1186" i="1" l="1"/>
  <c r="S1187" i="1"/>
  <c r="T1187" i="1" s="1"/>
  <c r="R1185" i="1" l="1"/>
  <c r="S1186" i="1"/>
  <c r="T1186" i="1" s="1"/>
  <c r="R1184" i="1" l="1"/>
  <c r="S1185" i="1"/>
  <c r="T1185" i="1" s="1"/>
  <c r="R1183" i="1" l="1"/>
  <c r="S1184" i="1"/>
  <c r="T1184" i="1" s="1"/>
  <c r="R1182" i="1" l="1"/>
  <c r="S1183" i="1"/>
  <c r="T1183" i="1" s="1"/>
  <c r="R1181" i="1" l="1"/>
  <c r="S1182" i="1"/>
  <c r="T1182" i="1" s="1"/>
  <c r="R1180" i="1" l="1"/>
  <c r="S1181" i="1"/>
  <c r="T1181" i="1" s="1"/>
  <c r="R1179" i="1" l="1"/>
  <c r="S1180" i="1"/>
  <c r="T1180" i="1" s="1"/>
  <c r="R1178" i="1" l="1"/>
  <c r="S1179" i="1"/>
  <c r="T1179" i="1" s="1"/>
  <c r="R1177" i="1" l="1"/>
  <c r="S1178" i="1"/>
  <c r="T1178" i="1" s="1"/>
  <c r="R1176" i="1" l="1"/>
  <c r="S1177" i="1"/>
  <c r="T1177" i="1" s="1"/>
  <c r="R1175" i="1" l="1"/>
  <c r="S1176" i="1"/>
  <c r="T1176" i="1" s="1"/>
  <c r="R1174" i="1" l="1"/>
  <c r="S1175" i="1"/>
  <c r="T1175" i="1" s="1"/>
  <c r="R1173" i="1" l="1"/>
  <c r="S1174" i="1"/>
  <c r="T1174" i="1" s="1"/>
  <c r="R1172" i="1" l="1"/>
  <c r="S1173" i="1"/>
  <c r="T1173" i="1" s="1"/>
  <c r="R1171" i="1" l="1"/>
  <c r="S1172" i="1"/>
  <c r="T1172" i="1" s="1"/>
  <c r="R1170" i="1" l="1"/>
  <c r="S1171" i="1"/>
  <c r="T1171" i="1" s="1"/>
  <c r="R1169" i="1" l="1"/>
  <c r="S1170" i="1"/>
  <c r="T1170" i="1" s="1"/>
  <c r="R1168" i="1" l="1"/>
  <c r="S1169" i="1"/>
  <c r="T1169" i="1" s="1"/>
  <c r="R1167" i="1" l="1"/>
  <c r="S1168" i="1"/>
  <c r="T1168" i="1" s="1"/>
  <c r="R1166" i="1" l="1"/>
  <c r="S1167" i="1"/>
  <c r="T1167" i="1" s="1"/>
  <c r="R1165" i="1" l="1"/>
  <c r="S1166" i="1"/>
  <c r="T1166" i="1" s="1"/>
  <c r="R1164" i="1" l="1"/>
  <c r="S1165" i="1"/>
  <c r="T1165" i="1" s="1"/>
  <c r="R1163" i="1" l="1"/>
  <c r="S1164" i="1"/>
  <c r="T1164" i="1" s="1"/>
  <c r="R1162" i="1" l="1"/>
  <c r="S1163" i="1"/>
  <c r="T1163" i="1" s="1"/>
  <c r="R1161" i="1" l="1"/>
  <c r="S1162" i="1"/>
  <c r="T1162" i="1" s="1"/>
  <c r="R1160" i="1" l="1"/>
  <c r="S1161" i="1"/>
  <c r="T1161" i="1" s="1"/>
  <c r="R1159" i="1" l="1"/>
  <c r="S1160" i="1"/>
  <c r="T1160" i="1" s="1"/>
  <c r="R1158" i="1" l="1"/>
  <c r="S1159" i="1"/>
  <c r="T1159" i="1" s="1"/>
  <c r="R1157" i="1" l="1"/>
  <c r="S1158" i="1"/>
  <c r="T1158" i="1" s="1"/>
  <c r="R1156" i="1" l="1"/>
  <c r="S1157" i="1"/>
  <c r="T1157" i="1" s="1"/>
  <c r="R1155" i="1" l="1"/>
  <c r="S1156" i="1"/>
  <c r="T1156" i="1" s="1"/>
  <c r="R1154" i="1" l="1"/>
  <c r="S1155" i="1"/>
  <c r="T1155" i="1" s="1"/>
  <c r="R1153" i="1" l="1"/>
  <c r="S1154" i="1"/>
  <c r="T1154" i="1" s="1"/>
  <c r="R1152" i="1" l="1"/>
  <c r="S1153" i="1"/>
  <c r="T1153" i="1" s="1"/>
  <c r="R1151" i="1" l="1"/>
  <c r="S1152" i="1"/>
  <c r="T1152" i="1" s="1"/>
  <c r="R1150" i="1" l="1"/>
  <c r="S1151" i="1"/>
  <c r="T1151" i="1" s="1"/>
  <c r="R1149" i="1" l="1"/>
  <c r="S1150" i="1"/>
  <c r="T1150" i="1" s="1"/>
  <c r="R1148" i="1" l="1"/>
  <c r="S1149" i="1"/>
  <c r="T1149" i="1" s="1"/>
  <c r="R1147" i="1" l="1"/>
  <c r="S1148" i="1"/>
  <c r="T1148" i="1" s="1"/>
  <c r="R1146" i="1" l="1"/>
  <c r="S1147" i="1"/>
  <c r="T1147" i="1" s="1"/>
  <c r="R1145" i="1" l="1"/>
  <c r="S1146" i="1"/>
  <c r="T1146" i="1" s="1"/>
  <c r="R1144" i="1" l="1"/>
  <c r="S1145" i="1"/>
  <c r="T1145" i="1" s="1"/>
  <c r="R1143" i="1" l="1"/>
  <c r="S1144" i="1"/>
  <c r="T1144" i="1" s="1"/>
  <c r="R1142" i="1" l="1"/>
  <c r="S1143" i="1"/>
  <c r="T1143" i="1" s="1"/>
  <c r="R1141" i="1" l="1"/>
  <c r="S1142" i="1"/>
  <c r="T1142" i="1" s="1"/>
  <c r="R1140" i="1" l="1"/>
  <c r="S1141" i="1"/>
  <c r="T1141" i="1" s="1"/>
  <c r="R1139" i="1" l="1"/>
  <c r="S1140" i="1"/>
  <c r="T1140" i="1" s="1"/>
  <c r="R1138" i="1" l="1"/>
  <c r="S1139" i="1"/>
  <c r="T1139" i="1" s="1"/>
  <c r="R1137" i="1" l="1"/>
  <c r="S1138" i="1"/>
  <c r="T1138" i="1" s="1"/>
  <c r="R1136" i="1" l="1"/>
  <c r="S1137" i="1"/>
  <c r="T1137" i="1" s="1"/>
  <c r="R1135" i="1" l="1"/>
  <c r="S1136" i="1"/>
  <c r="T1136" i="1" s="1"/>
  <c r="R1134" i="1" l="1"/>
  <c r="S1135" i="1"/>
  <c r="T1135" i="1" s="1"/>
  <c r="R1133" i="1" l="1"/>
  <c r="S1134" i="1"/>
  <c r="T1134" i="1" s="1"/>
  <c r="R1132" i="1" l="1"/>
  <c r="S1133" i="1"/>
  <c r="T1133" i="1" s="1"/>
  <c r="R1131" i="1" l="1"/>
  <c r="S1132" i="1"/>
  <c r="T1132" i="1" s="1"/>
  <c r="R1130" i="1" l="1"/>
  <c r="S1131" i="1"/>
  <c r="T1131" i="1" s="1"/>
  <c r="R1129" i="1" l="1"/>
  <c r="S1130" i="1"/>
  <c r="T1130" i="1" s="1"/>
  <c r="R1128" i="1" l="1"/>
  <c r="S1129" i="1"/>
  <c r="T1129" i="1" s="1"/>
  <c r="R1127" i="1" l="1"/>
  <c r="S1128" i="1"/>
  <c r="T1128" i="1" s="1"/>
  <c r="R1126" i="1" l="1"/>
  <c r="S1127" i="1"/>
  <c r="T1127" i="1" s="1"/>
  <c r="R1125" i="1" l="1"/>
  <c r="S1126" i="1"/>
  <c r="T1126" i="1" s="1"/>
  <c r="R1124" i="1" l="1"/>
  <c r="S1125" i="1"/>
  <c r="T1125" i="1" s="1"/>
  <c r="R1123" i="1" l="1"/>
  <c r="S1124" i="1"/>
  <c r="T1124" i="1" s="1"/>
  <c r="R1122" i="1" l="1"/>
  <c r="S1123" i="1"/>
  <c r="T1123" i="1" s="1"/>
  <c r="R1121" i="1" l="1"/>
  <c r="S1122" i="1"/>
  <c r="T1122" i="1" s="1"/>
  <c r="R1120" i="1" l="1"/>
  <c r="S1121" i="1"/>
  <c r="T1121" i="1" s="1"/>
  <c r="R1119" i="1" l="1"/>
  <c r="S1120" i="1"/>
  <c r="T1120" i="1" s="1"/>
  <c r="R1118" i="1" l="1"/>
  <c r="S1119" i="1"/>
  <c r="T1119" i="1" s="1"/>
  <c r="R1117" i="1" l="1"/>
  <c r="S1118" i="1"/>
  <c r="T1118" i="1" s="1"/>
  <c r="R1116" i="1" l="1"/>
  <c r="S1117" i="1"/>
  <c r="T1117" i="1" s="1"/>
  <c r="R1115" i="1" l="1"/>
  <c r="S1116" i="1"/>
  <c r="T1116" i="1" s="1"/>
  <c r="R1114" i="1" l="1"/>
  <c r="S1115" i="1"/>
  <c r="T1115" i="1" s="1"/>
  <c r="R1113" i="1" l="1"/>
  <c r="S1114" i="1"/>
  <c r="T1114" i="1" s="1"/>
  <c r="R1112" i="1" l="1"/>
  <c r="S1113" i="1"/>
  <c r="T1113" i="1" s="1"/>
  <c r="R1111" i="1" l="1"/>
  <c r="S1112" i="1"/>
  <c r="T1112" i="1" s="1"/>
  <c r="R1110" i="1" l="1"/>
  <c r="S1111" i="1"/>
  <c r="T1111" i="1" s="1"/>
  <c r="R1109" i="1" l="1"/>
  <c r="S1110" i="1"/>
  <c r="T1110" i="1" s="1"/>
  <c r="R1108" i="1" l="1"/>
  <c r="S1109" i="1"/>
  <c r="T1109" i="1" s="1"/>
  <c r="R1107" i="1" l="1"/>
  <c r="S1108" i="1"/>
  <c r="T1108" i="1" s="1"/>
  <c r="R1106" i="1" l="1"/>
  <c r="S1107" i="1"/>
  <c r="T1107" i="1" s="1"/>
  <c r="R1105" i="1" l="1"/>
  <c r="S1106" i="1"/>
  <c r="T1106" i="1" s="1"/>
  <c r="R1104" i="1" l="1"/>
  <c r="S1105" i="1"/>
  <c r="T1105" i="1" s="1"/>
  <c r="R1103" i="1" l="1"/>
  <c r="S1104" i="1"/>
  <c r="T1104" i="1" s="1"/>
  <c r="R1102" i="1" l="1"/>
  <c r="S1103" i="1"/>
  <c r="T1103" i="1" s="1"/>
  <c r="R1101" i="1" l="1"/>
  <c r="S1102" i="1"/>
  <c r="T1102" i="1" s="1"/>
  <c r="R1100" i="1" l="1"/>
  <c r="S1101" i="1"/>
  <c r="T1101" i="1" s="1"/>
  <c r="R1099" i="1" l="1"/>
  <c r="S1100" i="1"/>
  <c r="T1100" i="1" s="1"/>
  <c r="R1098" i="1" l="1"/>
  <c r="S1099" i="1"/>
  <c r="T1099" i="1" s="1"/>
  <c r="R1097" i="1" l="1"/>
  <c r="S1098" i="1"/>
  <c r="T1098" i="1" s="1"/>
  <c r="R1096" i="1" l="1"/>
  <c r="S1097" i="1"/>
  <c r="T1097" i="1" s="1"/>
  <c r="R1095" i="1" l="1"/>
  <c r="S1096" i="1"/>
  <c r="T1096" i="1" s="1"/>
  <c r="R1094" i="1" l="1"/>
  <c r="S1095" i="1"/>
  <c r="T1095" i="1" s="1"/>
  <c r="R1093" i="1" l="1"/>
  <c r="S1094" i="1"/>
  <c r="T1094" i="1" s="1"/>
  <c r="R1092" i="1" l="1"/>
  <c r="S1093" i="1"/>
  <c r="T1093" i="1" s="1"/>
  <c r="R1091" i="1" l="1"/>
  <c r="S1092" i="1"/>
  <c r="T1092" i="1" s="1"/>
  <c r="R1090" i="1" l="1"/>
  <c r="S1091" i="1"/>
  <c r="T1091" i="1" s="1"/>
  <c r="R1089" i="1" l="1"/>
  <c r="S1090" i="1"/>
  <c r="T1090" i="1" s="1"/>
  <c r="R1088" i="1" l="1"/>
  <c r="S1089" i="1"/>
  <c r="T1089" i="1" s="1"/>
  <c r="R1087" i="1" l="1"/>
  <c r="S1088" i="1"/>
  <c r="T1088" i="1" s="1"/>
  <c r="R1086" i="1" l="1"/>
  <c r="S1087" i="1"/>
  <c r="T1087" i="1" s="1"/>
  <c r="R1085" i="1" l="1"/>
  <c r="S1086" i="1"/>
  <c r="T1086" i="1" s="1"/>
  <c r="R1084" i="1" l="1"/>
  <c r="S1085" i="1"/>
  <c r="T1085" i="1" s="1"/>
  <c r="R1083" i="1" l="1"/>
  <c r="S1084" i="1"/>
  <c r="T1084" i="1" s="1"/>
  <c r="R1082" i="1" l="1"/>
  <c r="S1083" i="1"/>
  <c r="T1083" i="1" s="1"/>
  <c r="R1081" i="1" l="1"/>
  <c r="S1082" i="1"/>
  <c r="T1082" i="1" s="1"/>
  <c r="R1080" i="1" l="1"/>
  <c r="S1081" i="1"/>
  <c r="T1081" i="1" s="1"/>
  <c r="R1079" i="1" l="1"/>
  <c r="S1080" i="1"/>
  <c r="T1080" i="1" s="1"/>
  <c r="R1078" i="1" l="1"/>
  <c r="S1079" i="1"/>
  <c r="T1079" i="1" s="1"/>
  <c r="R1077" i="1" l="1"/>
  <c r="S1078" i="1"/>
  <c r="T1078" i="1" s="1"/>
  <c r="R1076" i="1" l="1"/>
  <c r="S1077" i="1"/>
  <c r="T1077" i="1" s="1"/>
  <c r="R1075" i="1" l="1"/>
  <c r="S1076" i="1"/>
  <c r="T1076" i="1" s="1"/>
  <c r="R1074" i="1" l="1"/>
  <c r="S1075" i="1"/>
  <c r="T1075" i="1" s="1"/>
  <c r="R1073" i="1" l="1"/>
  <c r="S1074" i="1"/>
  <c r="T1074" i="1" s="1"/>
  <c r="R1072" i="1" l="1"/>
  <c r="S1073" i="1"/>
  <c r="T1073" i="1" s="1"/>
  <c r="R1071" i="1" l="1"/>
  <c r="S1072" i="1"/>
  <c r="T1072" i="1" s="1"/>
  <c r="R1070" i="1" l="1"/>
  <c r="S1071" i="1"/>
  <c r="T1071" i="1" s="1"/>
  <c r="R1069" i="1" l="1"/>
  <c r="S1070" i="1"/>
  <c r="T1070" i="1" s="1"/>
  <c r="R1068" i="1" l="1"/>
  <c r="S1069" i="1"/>
  <c r="T1069" i="1" s="1"/>
  <c r="R1067" i="1" l="1"/>
  <c r="S1068" i="1"/>
  <c r="T1068" i="1" s="1"/>
  <c r="R1066" i="1" l="1"/>
  <c r="S1067" i="1"/>
  <c r="T1067" i="1" s="1"/>
  <c r="R1065" i="1" l="1"/>
  <c r="S1066" i="1"/>
  <c r="T1066" i="1" s="1"/>
  <c r="R1064" i="1" l="1"/>
  <c r="S1065" i="1"/>
  <c r="T1065" i="1" s="1"/>
  <c r="R1063" i="1" l="1"/>
  <c r="S1064" i="1"/>
  <c r="T1064" i="1" s="1"/>
  <c r="R1062" i="1" l="1"/>
  <c r="S1063" i="1"/>
  <c r="T1063" i="1" s="1"/>
  <c r="R1061" i="1" l="1"/>
  <c r="S1062" i="1"/>
  <c r="T1062" i="1" s="1"/>
  <c r="R1060" i="1" l="1"/>
  <c r="S1061" i="1"/>
  <c r="T1061" i="1" s="1"/>
  <c r="R1059" i="1" l="1"/>
  <c r="S1060" i="1"/>
  <c r="T1060" i="1" s="1"/>
  <c r="R1058" i="1" l="1"/>
  <c r="S1059" i="1"/>
  <c r="T1059" i="1" s="1"/>
  <c r="R1057" i="1" l="1"/>
  <c r="S1058" i="1"/>
  <c r="T1058" i="1" s="1"/>
  <c r="R1056" i="1" l="1"/>
  <c r="S1057" i="1"/>
  <c r="T1057" i="1" s="1"/>
  <c r="R1055" i="1" l="1"/>
  <c r="S1056" i="1"/>
  <c r="T1056" i="1" s="1"/>
  <c r="R1054" i="1" l="1"/>
  <c r="S1055" i="1"/>
  <c r="T1055" i="1" s="1"/>
  <c r="R1053" i="1" l="1"/>
  <c r="S1054" i="1"/>
  <c r="T1054" i="1" s="1"/>
  <c r="R1052" i="1" l="1"/>
  <c r="S1053" i="1"/>
  <c r="T1053" i="1" s="1"/>
  <c r="R1051" i="1" l="1"/>
  <c r="S1052" i="1"/>
  <c r="T1052" i="1" s="1"/>
  <c r="R1050" i="1" l="1"/>
  <c r="S1051" i="1"/>
  <c r="T1051" i="1" s="1"/>
  <c r="R1049" i="1" l="1"/>
  <c r="S1050" i="1"/>
  <c r="T1050" i="1" s="1"/>
  <c r="R1048" i="1" l="1"/>
  <c r="S1049" i="1"/>
  <c r="T1049" i="1" s="1"/>
  <c r="R1047" i="1" l="1"/>
  <c r="S1048" i="1"/>
  <c r="T1048" i="1" s="1"/>
  <c r="R1046" i="1" l="1"/>
  <c r="S1047" i="1"/>
  <c r="T1047" i="1" s="1"/>
  <c r="R1045" i="1" l="1"/>
  <c r="S1046" i="1"/>
  <c r="T1046" i="1" s="1"/>
  <c r="R1044" i="1" l="1"/>
  <c r="S1045" i="1"/>
  <c r="T1045" i="1" s="1"/>
  <c r="R1043" i="1" l="1"/>
  <c r="S1044" i="1"/>
  <c r="T1044" i="1" s="1"/>
  <c r="R1042" i="1" l="1"/>
  <c r="S1043" i="1"/>
  <c r="T1043" i="1" s="1"/>
  <c r="R1041" i="1" l="1"/>
  <c r="S1042" i="1"/>
  <c r="T1042" i="1" s="1"/>
  <c r="R1040" i="1" l="1"/>
  <c r="S1041" i="1"/>
  <c r="T1041" i="1" s="1"/>
  <c r="R1039" i="1" l="1"/>
  <c r="S1040" i="1"/>
  <c r="T1040" i="1" s="1"/>
  <c r="R1038" i="1" l="1"/>
  <c r="S1039" i="1"/>
  <c r="T1039" i="1" s="1"/>
  <c r="R1037" i="1" l="1"/>
  <c r="S1038" i="1"/>
  <c r="T1038" i="1" s="1"/>
  <c r="R1036" i="1" l="1"/>
  <c r="S1037" i="1"/>
  <c r="T1037" i="1" s="1"/>
  <c r="R1035" i="1" l="1"/>
  <c r="S1036" i="1"/>
  <c r="T1036" i="1" s="1"/>
  <c r="R1034" i="1" l="1"/>
  <c r="S1035" i="1"/>
  <c r="T1035" i="1" s="1"/>
  <c r="R1033" i="1" l="1"/>
  <c r="S1034" i="1"/>
  <c r="T1034" i="1" s="1"/>
  <c r="R1032" i="1" l="1"/>
  <c r="S1033" i="1"/>
  <c r="T1033" i="1" s="1"/>
  <c r="R1031" i="1" l="1"/>
  <c r="S1032" i="1"/>
  <c r="T1032" i="1" s="1"/>
  <c r="R1030" i="1" l="1"/>
  <c r="S1031" i="1"/>
  <c r="T1031" i="1" s="1"/>
  <c r="R1029" i="1" l="1"/>
  <c r="S1030" i="1"/>
  <c r="T1030" i="1" s="1"/>
  <c r="R1028" i="1" l="1"/>
  <c r="S1029" i="1"/>
  <c r="T1029" i="1" s="1"/>
  <c r="R1027" i="1" l="1"/>
  <c r="S1028" i="1"/>
  <c r="T1028" i="1" s="1"/>
  <c r="R1026" i="1" l="1"/>
  <c r="S1027" i="1"/>
  <c r="T1027" i="1" s="1"/>
  <c r="R1025" i="1" l="1"/>
  <c r="S1026" i="1"/>
  <c r="T1026" i="1" s="1"/>
  <c r="R1024" i="1" l="1"/>
  <c r="S1025" i="1"/>
  <c r="T1025" i="1" s="1"/>
  <c r="R1023" i="1" l="1"/>
  <c r="S1024" i="1"/>
  <c r="T1024" i="1" s="1"/>
  <c r="R1022" i="1" l="1"/>
  <c r="S1023" i="1"/>
  <c r="T1023" i="1" s="1"/>
  <c r="R1021" i="1" l="1"/>
  <c r="S1022" i="1"/>
  <c r="T1022" i="1" s="1"/>
  <c r="R1020" i="1" l="1"/>
  <c r="S1021" i="1"/>
  <c r="T1021" i="1" s="1"/>
  <c r="R1019" i="1" l="1"/>
  <c r="S1020" i="1"/>
  <c r="T1020" i="1" s="1"/>
  <c r="R1018" i="1" l="1"/>
  <c r="S1019" i="1"/>
  <c r="T1019" i="1" s="1"/>
  <c r="R1017" i="1" l="1"/>
  <c r="S1018" i="1"/>
  <c r="T1018" i="1" s="1"/>
  <c r="R1016" i="1" l="1"/>
  <c r="S1017" i="1"/>
  <c r="T1017" i="1" s="1"/>
  <c r="R1015" i="1" l="1"/>
  <c r="S1016" i="1"/>
  <c r="T1016" i="1" s="1"/>
  <c r="R1014" i="1" l="1"/>
  <c r="S1015" i="1"/>
  <c r="T1015" i="1" s="1"/>
  <c r="R1013" i="1" l="1"/>
  <c r="S1014" i="1"/>
  <c r="T1014" i="1" s="1"/>
  <c r="R1012" i="1" l="1"/>
  <c r="S1013" i="1"/>
  <c r="T1013" i="1" s="1"/>
  <c r="R1011" i="1" l="1"/>
  <c r="S1012" i="1"/>
  <c r="T1012" i="1" s="1"/>
  <c r="R1010" i="1" l="1"/>
  <c r="S1011" i="1"/>
  <c r="T1011" i="1" s="1"/>
  <c r="R1009" i="1" l="1"/>
  <c r="S1010" i="1"/>
  <c r="T1010" i="1" s="1"/>
  <c r="R1008" i="1" l="1"/>
  <c r="S1009" i="1"/>
  <c r="T1009" i="1" s="1"/>
  <c r="R1007" i="1" l="1"/>
  <c r="S1008" i="1"/>
  <c r="T1008" i="1" s="1"/>
  <c r="R1006" i="1" l="1"/>
  <c r="S1007" i="1"/>
  <c r="T1007" i="1" s="1"/>
  <c r="R1005" i="1" l="1"/>
  <c r="S1006" i="1"/>
  <c r="T1006" i="1" s="1"/>
  <c r="R1004" i="1" l="1"/>
  <c r="S1005" i="1"/>
  <c r="T1005" i="1" s="1"/>
  <c r="R1003" i="1" l="1"/>
  <c r="S1004" i="1"/>
  <c r="T1004" i="1" s="1"/>
  <c r="R1002" i="1" l="1"/>
  <c r="S1003" i="1"/>
  <c r="T1003" i="1" s="1"/>
  <c r="R1001" i="1" l="1"/>
  <c r="S1002" i="1"/>
  <c r="T1002" i="1" s="1"/>
  <c r="R1000" i="1" l="1"/>
  <c r="S1001" i="1"/>
  <c r="T1001" i="1" s="1"/>
  <c r="R999" i="1" l="1"/>
  <c r="S1000" i="1"/>
  <c r="T1000" i="1" s="1"/>
  <c r="R998" i="1" l="1"/>
  <c r="S999" i="1"/>
  <c r="T999" i="1" s="1"/>
  <c r="R997" i="1" l="1"/>
  <c r="S998" i="1"/>
  <c r="T998" i="1" s="1"/>
  <c r="R996" i="1" l="1"/>
  <c r="S997" i="1"/>
  <c r="T997" i="1" s="1"/>
  <c r="R995" i="1" l="1"/>
  <c r="S996" i="1"/>
  <c r="T996" i="1" s="1"/>
  <c r="R994" i="1" l="1"/>
  <c r="S995" i="1"/>
  <c r="T995" i="1" s="1"/>
  <c r="R993" i="1" l="1"/>
  <c r="S994" i="1"/>
  <c r="T994" i="1" s="1"/>
  <c r="R992" i="1" l="1"/>
  <c r="S993" i="1"/>
  <c r="T993" i="1" s="1"/>
  <c r="R991" i="1" l="1"/>
  <c r="S992" i="1"/>
  <c r="T992" i="1" s="1"/>
  <c r="R990" i="1" l="1"/>
  <c r="S991" i="1"/>
  <c r="T991" i="1" s="1"/>
  <c r="R989" i="1" l="1"/>
  <c r="S990" i="1"/>
  <c r="T990" i="1" s="1"/>
  <c r="R988" i="1" l="1"/>
  <c r="S989" i="1"/>
  <c r="T989" i="1" s="1"/>
  <c r="R987" i="1" l="1"/>
  <c r="S988" i="1"/>
  <c r="T988" i="1" s="1"/>
  <c r="R986" i="1" l="1"/>
  <c r="S987" i="1"/>
  <c r="T987" i="1" s="1"/>
  <c r="R985" i="1" l="1"/>
  <c r="S986" i="1"/>
  <c r="T986" i="1" s="1"/>
  <c r="R984" i="1" l="1"/>
  <c r="S985" i="1"/>
  <c r="T985" i="1" s="1"/>
  <c r="R983" i="1" l="1"/>
  <c r="S984" i="1"/>
  <c r="T984" i="1" s="1"/>
  <c r="R982" i="1" l="1"/>
  <c r="S983" i="1"/>
  <c r="T983" i="1" s="1"/>
  <c r="R981" i="1" l="1"/>
  <c r="S982" i="1"/>
  <c r="T982" i="1" s="1"/>
  <c r="R980" i="1" l="1"/>
  <c r="S981" i="1"/>
  <c r="T981" i="1" s="1"/>
  <c r="R979" i="1" l="1"/>
  <c r="S980" i="1"/>
  <c r="T980" i="1" s="1"/>
  <c r="R978" i="1" l="1"/>
  <c r="S979" i="1"/>
  <c r="T979" i="1" s="1"/>
  <c r="R977" i="1" l="1"/>
  <c r="S978" i="1"/>
  <c r="T978" i="1" s="1"/>
  <c r="R976" i="1" l="1"/>
  <c r="S977" i="1"/>
  <c r="T977" i="1" s="1"/>
  <c r="R975" i="1" l="1"/>
  <c r="S976" i="1"/>
  <c r="T976" i="1" s="1"/>
  <c r="R974" i="1" l="1"/>
  <c r="S975" i="1"/>
  <c r="T975" i="1" s="1"/>
  <c r="R973" i="1" l="1"/>
  <c r="S974" i="1"/>
  <c r="T974" i="1" s="1"/>
  <c r="R972" i="1" l="1"/>
  <c r="S973" i="1"/>
  <c r="T973" i="1" s="1"/>
  <c r="R971" i="1" l="1"/>
  <c r="S972" i="1"/>
  <c r="T972" i="1" s="1"/>
  <c r="R970" i="1" l="1"/>
  <c r="S971" i="1"/>
  <c r="T971" i="1" s="1"/>
  <c r="R969" i="1" l="1"/>
  <c r="S970" i="1"/>
  <c r="T970" i="1" s="1"/>
  <c r="R968" i="1" l="1"/>
  <c r="S969" i="1"/>
  <c r="T969" i="1" s="1"/>
  <c r="R967" i="1" l="1"/>
  <c r="S968" i="1"/>
  <c r="T968" i="1" s="1"/>
  <c r="R966" i="1" l="1"/>
  <c r="S967" i="1"/>
  <c r="T967" i="1" s="1"/>
  <c r="R965" i="1" l="1"/>
  <c r="S966" i="1"/>
  <c r="T966" i="1" s="1"/>
  <c r="R964" i="1" l="1"/>
  <c r="S965" i="1"/>
  <c r="T965" i="1" s="1"/>
  <c r="R963" i="1" l="1"/>
  <c r="S964" i="1"/>
  <c r="T964" i="1" s="1"/>
  <c r="R962" i="1" l="1"/>
  <c r="S963" i="1"/>
  <c r="T963" i="1" s="1"/>
  <c r="R961" i="1" l="1"/>
  <c r="S962" i="1"/>
  <c r="T962" i="1" s="1"/>
  <c r="R960" i="1" l="1"/>
  <c r="S961" i="1"/>
  <c r="T961" i="1" s="1"/>
  <c r="R959" i="1" l="1"/>
  <c r="S960" i="1"/>
  <c r="T960" i="1" s="1"/>
  <c r="R958" i="1" l="1"/>
  <c r="S959" i="1"/>
  <c r="T959" i="1" s="1"/>
  <c r="R957" i="1" l="1"/>
  <c r="S958" i="1"/>
  <c r="T958" i="1" s="1"/>
  <c r="R956" i="1" l="1"/>
  <c r="S957" i="1"/>
  <c r="T957" i="1" s="1"/>
  <c r="R955" i="1" l="1"/>
  <c r="S956" i="1"/>
  <c r="T956" i="1" s="1"/>
  <c r="R954" i="1" l="1"/>
  <c r="S955" i="1"/>
  <c r="T955" i="1" s="1"/>
  <c r="R953" i="1" l="1"/>
  <c r="S954" i="1"/>
  <c r="T954" i="1" s="1"/>
  <c r="R952" i="1" l="1"/>
  <c r="S953" i="1"/>
  <c r="T953" i="1" s="1"/>
  <c r="R951" i="1" l="1"/>
  <c r="S952" i="1"/>
  <c r="T952" i="1" s="1"/>
  <c r="R950" i="1" l="1"/>
  <c r="S951" i="1"/>
  <c r="T951" i="1" s="1"/>
  <c r="R949" i="1" l="1"/>
  <c r="S950" i="1"/>
  <c r="T950" i="1" s="1"/>
  <c r="R948" i="1" l="1"/>
  <c r="S949" i="1"/>
  <c r="T949" i="1" s="1"/>
  <c r="R947" i="1" l="1"/>
  <c r="S948" i="1"/>
  <c r="T948" i="1" s="1"/>
  <c r="R946" i="1" l="1"/>
  <c r="S947" i="1"/>
  <c r="T947" i="1" s="1"/>
  <c r="R945" i="1" l="1"/>
  <c r="S946" i="1"/>
  <c r="T946" i="1" s="1"/>
  <c r="R944" i="1" l="1"/>
  <c r="S945" i="1"/>
  <c r="T945" i="1" s="1"/>
  <c r="R943" i="1" l="1"/>
  <c r="S944" i="1"/>
  <c r="T944" i="1" s="1"/>
  <c r="R942" i="1" l="1"/>
  <c r="S943" i="1"/>
  <c r="T943" i="1" s="1"/>
  <c r="R941" i="1" l="1"/>
  <c r="S942" i="1"/>
  <c r="T942" i="1" s="1"/>
  <c r="R940" i="1" l="1"/>
  <c r="S941" i="1"/>
  <c r="T941" i="1" s="1"/>
  <c r="R939" i="1" l="1"/>
  <c r="S940" i="1"/>
  <c r="T940" i="1" s="1"/>
  <c r="R938" i="1" l="1"/>
  <c r="S939" i="1"/>
  <c r="T939" i="1" s="1"/>
  <c r="R937" i="1" l="1"/>
  <c r="S938" i="1"/>
  <c r="T938" i="1" s="1"/>
  <c r="R936" i="1" l="1"/>
  <c r="S937" i="1"/>
  <c r="T937" i="1" s="1"/>
  <c r="R935" i="1" l="1"/>
  <c r="S936" i="1"/>
  <c r="T936" i="1" s="1"/>
  <c r="R934" i="1" l="1"/>
  <c r="S935" i="1"/>
  <c r="T935" i="1" s="1"/>
  <c r="R933" i="1" l="1"/>
  <c r="S934" i="1"/>
  <c r="T934" i="1" s="1"/>
  <c r="R932" i="1" l="1"/>
  <c r="S933" i="1"/>
  <c r="T933" i="1" s="1"/>
  <c r="R931" i="1" l="1"/>
  <c r="S932" i="1"/>
  <c r="T932" i="1" s="1"/>
  <c r="R930" i="1" l="1"/>
  <c r="S931" i="1"/>
  <c r="T931" i="1" s="1"/>
  <c r="R929" i="1" l="1"/>
  <c r="S930" i="1"/>
  <c r="T930" i="1" s="1"/>
  <c r="R928" i="1" l="1"/>
  <c r="S929" i="1"/>
  <c r="T929" i="1" s="1"/>
  <c r="R927" i="1" l="1"/>
  <c r="S928" i="1"/>
  <c r="T928" i="1" s="1"/>
  <c r="R926" i="1" l="1"/>
  <c r="S927" i="1"/>
  <c r="T927" i="1" s="1"/>
  <c r="R925" i="1" l="1"/>
  <c r="S926" i="1"/>
  <c r="T926" i="1" s="1"/>
  <c r="R924" i="1" l="1"/>
  <c r="S925" i="1"/>
  <c r="T925" i="1" s="1"/>
  <c r="R923" i="1" l="1"/>
  <c r="S924" i="1"/>
  <c r="T924" i="1" s="1"/>
  <c r="R922" i="1" l="1"/>
  <c r="S923" i="1"/>
  <c r="T923" i="1" s="1"/>
  <c r="R921" i="1" l="1"/>
  <c r="S922" i="1"/>
  <c r="T922" i="1" s="1"/>
  <c r="R920" i="1" l="1"/>
  <c r="S921" i="1"/>
  <c r="T921" i="1" s="1"/>
  <c r="R919" i="1" l="1"/>
  <c r="S920" i="1"/>
  <c r="T920" i="1" s="1"/>
  <c r="R918" i="1" l="1"/>
  <c r="S919" i="1"/>
  <c r="T919" i="1" s="1"/>
  <c r="R917" i="1" l="1"/>
  <c r="S918" i="1"/>
  <c r="T918" i="1" s="1"/>
  <c r="R916" i="1" l="1"/>
  <c r="S917" i="1"/>
  <c r="T917" i="1" s="1"/>
  <c r="R915" i="1" l="1"/>
  <c r="S916" i="1"/>
  <c r="T916" i="1" s="1"/>
  <c r="R914" i="1" l="1"/>
  <c r="S915" i="1"/>
  <c r="T915" i="1" s="1"/>
  <c r="R913" i="1" l="1"/>
  <c r="S914" i="1"/>
  <c r="T914" i="1" s="1"/>
  <c r="R912" i="1" l="1"/>
  <c r="S913" i="1"/>
  <c r="T913" i="1" s="1"/>
  <c r="R911" i="1" l="1"/>
  <c r="S912" i="1"/>
  <c r="T912" i="1" s="1"/>
  <c r="R910" i="1" l="1"/>
  <c r="S911" i="1"/>
  <c r="T911" i="1" s="1"/>
  <c r="R909" i="1" l="1"/>
  <c r="S910" i="1"/>
  <c r="T910" i="1" s="1"/>
  <c r="R908" i="1" l="1"/>
  <c r="S909" i="1"/>
  <c r="T909" i="1" s="1"/>
  <c r="R907" i="1" l="1"/>
  <c r="S908" i="1"/>
  <c r="T908" i="1" s="1"/>
  <c r="R906" i="1" l="1"/>
  <c r="S907" i="1"/>
  <c r="T907" i="1" s="1"/>
  <c r="R905" i="1" l="1"/>
  <c r="S906" i="1"/>
  <c r="T906" i="1" s="1"/>
  <c r="R904" i="1" l="1"/>
  <c r="S905" i="1"/>
  <c r="T905" i="1" s="1"/>
  <c r="R903" i="1" l="1"/>
  <c r="S904" i="1"/>
  <c r="T904" i="1" s="1"/>
  <c r="R902" i="1" l="1"/>
  <c r="S903" i="1"/>
  <c r="T903" i="1" s="1"/>
  <c r="R901" i="1" l="1"/>
  <c r="S902" i="1"/>
  <c r="T902" i="1" s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R895" i="1" l="1"/>
  <c r="S896" i="1"/>
  <c r="T896" i="1" s="1"/>
  <c r="R894" i="1" l="1"/>
  <c r="S895" i="1"/>
  <c r="T895" i="1" s="1"/>
  <c r="R893" i="1" l="1"/>
  <c r="S894" i="1"/>
  <c r="T894" i="1" s="1"/>
  <c r="R892" i="1" l="1"/>
  <c r="S893" i="1"/>
  <c r="T893" i="1" s="1"/>
  <c r="R891" i="1" l="1"/>
  <c r="S892" i="1"/>
  <c r="T892" i="1" s="1"/>
  <c r="R890" i="1" l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R32" i="1" l="1"/>
  <c r="S33" i="1"/>
  <c r="T33" i="1" s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<sst xmlns="http://schemas.openxmlformats.org/spreadsheetml/2006/main" count="9784" uniqueCount="34">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</sst>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3" fillId="6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7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36186.44</c:v>
                </c:pt>
                <c:pt idx="1">
                  <c:v>36809.339999999997</c:v>
                </c:pt>
                <c:pt idx="2">
                  <c:v>36958.32</c:v>
                </c:pt>
                <c:pt idx="3">
                  <c:v>36660.35</c:v>
                </c:pt>
                <c:pt idx="4">
                  <c:v>36244.550000000003</c:v>
                </c:pt>
                <c:pt idx="5">
                  <c:v>35071.42</c:v>
                </c:pt>
                <c:pt idx="6">
                  <c:v>36445.31</c:v>
                </c:pt>
                <c:pt idx="7">
                  <c:v>40680.910000000003</c:v>
                </c:pt>
                <c:pt idx="8">
                  <c:v>41660.01</c:v>
                </c:pt>
                <c:pt idx="9">
                  <c:v>42354.76</c:v>
                </c:pt>
                <c:pt idx="10">
                  <c:v>42201.62</c:v>
                </c:pt>
                <c:pt idx="11">
                  <c:v>43071.66</c:v>
                </c:pt>
                <c:pt idx="12">
                  <c:v>43084.29</c:v>
                </c:pt>
                <c:pt idx="13">
                  <c:v>43059.96</c:v>
                </c:pt>
                <c:pt idx="14">
                  <c:v>42560.11</c:v>
                </c:pt>
                <c:pt idx="15">
                  <c:v>43902.66</c:v>
                </c:pt>
                <c:pt idx="16">
                  <c:v>42729.29</c:v>
                </c:pt>
                <c:pt idx="17">
                  <c:v>41822.49</c:v>
                </c:pt>
                <c:pt idx="18">
                  <c:v>41864.620000000003</c:v>
                </c:pt>
                <c:pt idx="19">
                  <c:v>41679.74</c:v>
                </c:pt>
                <c:pt idx="20">
                  <c:v>41566.480000000003</c:v>
                </c:pt>
                <c:pt idx="21">
                  <c:v>43082.31</c:v>
                </c:pt>
                <c:pt idx="22">
                  <c:v>43451.13</c:v>
                </c:pt>
                <c:pt idx="23">
                  <c:v>45832.01</c:v>
                </c:pt>
                <c:pt idx="24">
                  <c:v>46446.1</c:v>
                </c:pt>
                <c:pt idx="25">
                  <c:v>47286.18</c:v>
                </c:pt>
                <c:pt idx="26">
                  <c:v>47722.65</c:v>
                </c:pt>
                <c:pt idx="27">
                  <c:v>46216.93</c:v>
                </c:pt>
                <c:pt idx="28">
                  <c:v>47120.87</c:v>
                </c:pt>
                <c:pt idx="29">
                  <c:v>46464.66</c:v>
                </c:pt>
                <c:pt idx="30">
                  <c:v>47543.74</c:v>
                </c:pt>
                <c:pt idx="31">
                  <c:v>50701.440000000002</c:v>
                </c:pt>
                <c:pt idx="32">
                  <c:v>50775.49</c:v>
                </c:pt>
                <c:pt idx="33">
                  <c:v>50399.66</c:v>
                </c:pt>
                <c:pt idx="34">
                  <c:v>50820</c:v>
                </c:pt>
                <c:pt idx="35">
                  <c:v>50838.81</c:v>
                </c:pt>
                <c:pt idx="36">
                  <c:v>48588.160000000003</c:v>
                </c:pt>
                <c:pt idx="37">
                  <c:v>48889.88</c:v>
                </c:pt>
                <c:pt idx="38">
                  <c:v>46914.16</c:v>
                </c:pt>
                <c:pt idx="39">
                  <c:v>46681.23</c:v>
                </c:pt>
                <c:pt idx="40">
                  <c:v>46834.48</c:v>
                </c:pt>
                <c:pt idx="41">
                  <c:v>46131.199999999997</c:v>
                </c:pt>
                <c:pt idx="42">
                  <c:v>47632.38</c:v>
                </c:pt>
                <c:pt idx="43">
                  <c:v>48864.98</c:v>
                </c:pt>
                <c:pt idx="44">
                  <c:v>48343.28</c:v>
                </c:pt>
                <c:pt idx="45">
                  <c:v>46702.75</c:v>
                </c:pt>
                <c:pt idx="46">
                  <c:v>50053.9</c:v>
                </c:pt>
                <c:pt idx="47">
                  <c:v>48046.13</c:v>
                </c:pt>
                <c:pt idx="48">
                  <c:v>47140.54</c:v>
                </c:pt>
                <c:pt idx="49">
                  <c:v>47545.59</c:v>
                </c:pt>
                <c:pt idx="50">
                  <c:v>50471.19</c:v>
                </c:pt>
                <c:pt idx="51">
                  <c:v>50588.95</c:v>
                </c:pt>
                <c:pt idx="52">
                  <c:v>50441.919999999998</c:v>
                </c:pt>
                <c:pt idx="53">
                  <c:v>49396.33</c:v>
                </c:pt>
                <c:pt idx="54">
                  <c:v>49152.47</c:v>
                </c:pt>
                <c:pt idx="55">
                  <c:v>53601.05</c:v>
                </c:pt>
                <c:pt idx="56">
                  <c:v>56480.34</c:v>
                </c:pt>
                <c:pt idx="57">
                  <c:v>57184.07</c:v>
                </c:pt>
                <c:pt idx="58">
                  <c:v>56950.559999999998</c:v>
                </c:pt>
                <c:pt idx="59">
                  <c:v>57776.25</c:v>
                </c:pt>
                <c:pt idx="60">
                  <c:v>57274.879999999997</c:v>
                </c:pt>
                <c:pt idx="61">
                  <c:v>54721.03</c:v>
                </c:pt>
                <c:pt idx="62">
                  <c:v>53726.53</c:v>
                </c:pt>
                <c:pt idx="63">
                  <c:v>58960.36</c:v>
                </c:pt>
                <c:pt idx="64">
                  <c:v>56519.88</c:v>
                </c:pt>
                <c:pt idx="65">
                  <c:v>57541.27</c:v>
                </c:pt>
                <c:pt idx="66">
                  <c:v>56247.18</c:v>
                </c:pt>
                <c:pt idx="67">
                  <c:v>58622.02</c:v>
                </c:pt>
                <c:pt idx="68">
                  <c:v>59707.51</c:v>
                </c:pt>
                <c:pt idx="69">
                  <c:v>58052.24</c:v>
                </c:pt>
                <c:pt idx="70">
                  <c:v>56891.62</c:v>
                </c:pt>
                <c:pt idx="71">
                  <c:v>60344.87</c:v>
                </c:pt>
                <c:pt idx="72">
                  <c:v>60058.87</c:v>
                </c:pt>
                <c:pt idx="73">
                  <c:v>63606.74</c:v>
                </c:pt>
                <c:pt idx="74">
                  <c:v>65519.1</c:v>
                </c:pt>
                <c:pt idx="75">
                  <c:v>64380</c:v>
                </c:pt>
                <c:pt idx="76">
                  <c:v>64122.23</c:v>
                </c:pt>
                <c:pt idx="77">
                  <c:v>64774.26</c:v>
                </c:pt>
                <c:pt idx="78">
                  <c:v>64882.43</c:v>
                </c:pt>
                <c:pt idx="79">
                  <c:v>66947.66</c:v>
                </c:pt>
                <c:pt idx="80">
                  <c:v>67525.83</c:v>
                </c:pt>
                <c:pt idx="81">
                  <c:v>63273.59</c:v>
                </c:pt>
                <c:pt idx="82">
                  <c:v>61470.61</c:v>
                </c:pt>
                <c:pt idx="83">
                  <c:v>60937.120000000003</c:v>
                </c:pt>
                <c:pt idx="84">
                  <c:v>61395.01</c:v>
                </c:pt>
                <c:pt idx="85">
                  <c:v>62896.480000000003</c:v>
                </c:pt>
                <c:pt idx="86">
                  <c:v>63219.99</c:v>
                </c:pt>
                <c:pt idx="87">
                  <c:v>60911.11</c:v>
                </c:pt>
                <c:pt idx="88">
                  <c:v>61299.8</c:v>
                </c:pt>
                <c:pt idx="89">
                  <c:v>61859.19</c:v>
                </c:pt>
                <c:pt idx="90">
                  <c:v>62253.71</c:v>
                </c:pt>
                <c:pt idx="91">
                  <c:v>60575.89</c:v>
                </c:pt>
                <c:pt idx="92">
                  <c:v>58413.440000000002</c:v>
                </c:pt>
                <c:pt idx="93">
                  <c:v>60328.81</c:v>
                </c:pt>
                <c:pt idx="94">
                  <c:v>63078.78</c:v>
                </c:pt>
                <c:pt idx="95">
                  <c:v>60852.22</c:v>
                </c:pt>
                <c:pt idx="96">
                  <c:v>61286.75</c:v>
                </c:pt>
                <c:pt idx="97">
                  <c:v>60688.22</c:v>
                </c:pt>
                <c:pt idx="98">
                  <c:v>62193.15</c:v>
                </c:pt>
                <c:pt idx="99">
                  <c:v>66001.41</c:v>
                </c:pt>
                <c:pt idx="100">
                  <c:v>64280.59</c:v>
                </c:pt>
                <c:pt idx="101">
                  <c:v>62009.84</c:v>
                </c:pt>
                <c:pt idx="102">
                  <c:v>61528.33</c:v>
                </c:pt>
                <c:pt idx="103">
                  <c:v>60875.57</c:v>
                </c:pt>
                <c:pt idx="104">
                  <c:v>61672.42</c:v>
                </c:pt>
                <c:pt idx="105">
                  <c:v>57347.94</c:v>
                </c:pt>
                <c:pt idx="106">
                  <c:v>57367</c:v>
                </c:pt>
                <c:pt idx="107">
                  <c:v>55996.93</c:v>
                </c:pt>
                <c:pt idx="108">
                  <c:v>57471.35</c:v>
                </c:pt>
                <c:pt idx="109">
                  <c:v>54659</c:v>
                </c:pt>
                <c:pt idx="110">
                  <c:v>54949.72</c:v>
                </c:pt>
                <c:pt idx="111">
                  <c:v>53951.43</c:v>
                </c:pt>
                <c:pt idx="112">
                  <c:v>53785.22</c:v>
                </c:pt>
                <c:pt idx="113">
                  <c:v>55315</c:v>
                </c:pt>
                <c:pt idx="114">
                  <c:v>51471.99</c:v>
                </c:pt>
                <c:pt idx="115">
                  <c:v>49321.05</c:v>
                </c:pt>
                <c:pt idx="116">
                  <c:v>48157.79</c:v>
                </c:pt>
                <c:pt idx="117">
                  <c:v>47634.9</c:v>
                </c:pt>
                <c:pt idx="118">
                  <c:v>48141.61</c:v>
                </c:pt>
                <c:pt idx="119">
                  <c:v>43824.1</c:v>
                </c:pt>
                <c:pt idx="120">
                  <c:v>41524.28</c:v>
                </c:pt>
                <c:pt idx="121">
                  <c:v>41026.54</c:v>
                </c:pt>
                <c:pt idx="122">
                  <c:v>42147.35</c:v>
                </c:pt>
                <c:pt idx="123">
                  <c:v>43160.9</c:v>
                </c:pt>
                <c:pt idx="124">
                  <c:v>42670.64</c:v>
                </c:pt>
                <c:pt idx="125">
                  <c:v>42810.57</c:v>
                </c:pt>
                <c:pt idx="126">
                  <c:v>44865.26</c:v>
                </c:pt>
                <c:pt idx="127">
                  <c:v>43543.61</c:v>
                </c:pt>
                <c:pt idx="128">
                  <c:v>40734.379999999997</c:v>
                </c:pt>
                <c:pt idx="129">
                  <c:v>44748.42</c:v>
                </c:pt>
                <c:pt idx="130">
                  <c:v>47241.75</c:v>
                </c:pt>
                <c:pt idx="131">
                  <c:v>48292.74</c:v>
                </c:pt>
                <c:pt idx="132">
                  <c:v>47299.98</c:v>
                </c:pt>
                <c:pt idx="133">
                  <c:v>47737.82</c:v>
                </c:pt>
                <c:pt idx="134">
                  <c:v>48121.41</c:v>
                </c:pt>
                <c:pt idx="135">
                  <c:v>47111.519999999997</c:v>
                </c:pt>
                <c:pt idx="136">
                  <c:v>44940.73</c:v>
                </c:pt>
                <c:pt idx="137">
                  <c:v>46025.24</c:v>
                </c:pt>
                <c:pt idx="138">
                  <c:v>45173.69</c:v>
                </c:pt>
                <c:pt idx="139">
                  <c:v>44850.91</c:v>
                </c:pt>
                <c:pt idx="140">
                  <c:v>46395.14</c:v>
                </c:pt>
                <c:pt idx="141">
                  <c:v>46048.31</c:v>
                </c:pt>
                <c:pt idx="142">
                  <c:v>46863.73</c:v>
                </c:pt>
                <c:pt idx="143">
                  <c:v>52663.9</c:v>
                </c:pt>
                <c:pt idx="144">
                  <c:v>51756.88</c:v>
                </c:pt>
                <c:pt idx="145">
                  <c:v>49915.64</c:v>
                </c:pt>
                <c:pt idx="146">
                  <c:v>49999.14</c:v>
                </c:pt>
                <c:pt idx="147">
                  <c:v>49246.64</c:v>
                </c:pt>
                <c:pt idx="148">
                  <c:v>48810.52</c:v>
                </c:pt>
                <c:pt idx="149">
                  <c:v>47100.89</c:v>
                </c:pt>
                <c:pt idx="150">
                  <c:v>46982.91</c:v>
                </c:pt>
                <c:pt idx="151">
                  <c:v>48767.83</c:v>
                </c:pt>
                <c:pt idx="152">
                  <c:v>48895.35</c:v>
                </c:pt>
                <c:pt idx="153">
                  <c:v>49069.9</c:v>
                </c:pt>
                <c:pt idx="154">
                  <c:v>46843.87</c:v>
                </c:pt>
                <c:pt idx="155">
                  <c:v>48973.32</c:v>
                </c:pt>
                <c:pt idx="156">
                  <c:v>47674.01</c:v>
                </c:pt>
                <c:pt idx="157">
                  <c:v>49488.85</c:v>
                </c:pt>
                <c:pt idx="158">
                  <c:v>49192.480000000003</c:v>
                </c:pt>
                <c:pt idx="159">
                  <c:v>48821.87</c:v>
                </c:pt>
                <c:pt idx="160">
                  <c:v>49322.47</c:v>
                </c:pt>
                <c:pt idx="161">
                  <c:v>46760.62</c:v>
                </c:pt>
                <c:pt idx="162">
                  <c:v>44705.29</c:v>
                </c:pt>
                <c:pt idx="163">
                  <c:v>44695.95</c:v>
                </c:pt>
                <c:pt idx="164">
                  <c:v>45901.29</c:v>
                </c:pt>
                <c:pt idx="165">
                  <c:v>46973.82</c:v>
                </c:pt>
                <c:pt idx="166">
                  <c:v>47068.51</c:v>
                </c:pt>
                <c:pt idx="167">
                  <c:v>47800</c:v>
                </c:pt>
                <c:pt idx="168">
                  <c:v>44399</c:v>
                </c:pt>
                <c:pt idx="169">
                  <c:v>45511</c:v>
                </c:pt>
                <c:pt idx="170">
                  <c:v>45584.99</c:v>
                </c:pt>
                <c:pt idx="171">
                  <c:v>46253.4</c:v>
                </c:pt>
                <c:pt idx="172">
                  <c:v>43794.37</c:v>
                </c:pt>
                <c:pt idx="173">
                  <c:v>44572.54</c:v>
                </c:pt>
                <c:pt idx="174">
                  <c:v>42836.87</c:v>
                </c:pt>
                <c:pt idx="175">
                  <c:v>40862.46</c:v>
                </c:pt>
                <c:pt idx="176">
                  <c:v>39723.18</c:v>
                </c:pt>
                <c:pt idx="177">
                  <c:v>38207.050000000003</c:v>
                </c:pt>
                <c:pt idx="178">
                  <c:v>39147.82</c:v>
                </c:pt>
                <c:pt idx="179">
                  <c:v>39845.440000000002</c:v>
                </c:pt>
                <c:pt idx="180">
                  <c:v>41461.83</c:v>
                </c:pt>
                <c:pt idx="181">
                  <c:v>42206.37</c:v>
                </c:pt>
                <c:pt idx="182">
                  <c:v>40016.480000000003</c:v>
                </c:pt>
                <c:pt idx="183">
                  <c:v>40019.56</c:v>
                </c:pt>
                <c:pt idx="184">
                  <c:v>39457.870000000003</c:v>
                </c:pt>
                <c:pt idx="185">
                  <c:v>37237.599999999999</c:v>
                </c:pt>
                <c:pt idx="186">
                  <c:v>35381.019999999997</c:v>
                </c:pt>
                <c:pt idx="187">
                  <c:v>34258.14</c:v>
                </c:pt>
                <c:pt idx="188">
                  <c:v>33634.089999999997</c:v>
                </c:pt>
                <c:pt idx="189">
                  <c:v>32287.83</c:v>
                </c:pt>
                <c:pt idx="190">
                  <c:v>32144.51</c:v>
                </c:pt>
                <c:pt idx="191">
                  <c:v>29790.35</c:v>
                </c:pt>
                <c:pt idx="192">
                  <c:v>30839.65</c:v>
                </c:pt>
                <c:pt idx="193">
                  <c:v>31778.560000000001</c:v>
                </c:pt>
                <c:pt idx="194">
                  <c:v>31520.07</c:v>
                </c:pt>
                <c:pt idx="195">
                  <c:v>31383.87</c:v>
                </c:pt>
                <c:pt idx="196">
                  <c:v>31880</c:v>
                </c:pt>
                <c:pt idx="197">
                  <c:v>32820.019999999997</c:v>
                </c:pt>
                <c:pt idx="198">
                  <c:v>32729.77</c:v>
                </c:pt>
                <c:pt idx="199">
                  <c:v>33086.629999999997</c:v>
                </c:pt>
                <c:pt idx="200">
                  <c:v>34258.99</c:v>
                </c:pt>
                <c:pt idx="201">
                  <c:v>33502.870000000003</c:v>
                </c:pt>
                <c:pt idx="202">
                  <c:v>33815.81</c:v>
                </c:pt>
                <c:pt idx="203">
                  <c:v>32875.71</c:v>
                </c:pt>
                <c:pt idx="204">
                  <c:v>33862.120000000003</c:v>
                </c:pt>
                <c:pt idx="205">
                  <c:v>34220.01</c:v>
                </c:pt>
                <c:pt idx="206">
                  <c:v>33690.14</c:v>
                </c:pt>
                <c:pt idx="207">
                  <c:v>35286.51</c:v>
                </c:pt>
                <c:pt idx="208">
                  <c:v>34669.129999999997</c:v>
                </c:pt>
                <c:pt idx="209">
                  <c:v>33786.550000000003</c:v>
                </c:pt>
                <c:pt idx="210">
                  <c:v>33504.69</c:v>
                </c:pt>
                <c:pt idx="211">
                  <c:v>35045</c:v>
                </c:pt>
                <c:pt idx="212">
                  <c:v>35911.730000000003</c:v>
                </c:pt>
                <c:pt idx="213">
                  <c:v>34494.89</c:v>
                </c:pt>
                <c:pt idx="214">
                  <c:v>34700.339999999997</c:v>
                </c:pt>
                <c:pt idx="215">
                  <c:v>32283.65</c:v>
                </c:pt>
                <c:pt idx="216">
                  <c:v>31584.45</c:v>
                </c:pt>
                <c:pt idx="217">
                  <c:v>34663.089999999997</c:v>
                </c:pt>
                <c:pt idx="218">
                  <c:v>33678.07</c:v>
                </c:pt>
                <c:pt idx="219">
                  <c:v>32509.56</c:v>
                </c:pt>
                <c:pt idx="220">
                  <c:v>31608.93</c:v>
                </c:pt>
                <c:pt idx="221">
                  <c:v>35600.160000000003</c:v>
                </c:pt>
                <c:pt idx="222">
                  <c:v>35483.72</c:v>
                </c:pt>
                <c:pt idx="223">
                  <c:v>35819.839999999997</c:v>
                </c:pt>
                <c:pt idx="224">
                  <c:v>38092.97</c:v>
                </c:pt>
                <c:pt idx="225">
                  <c:v>38349.01</c:v>
                </c:pt>
                <c:pt idx="226">
                  <c:v>40144.04</c:v>
                </c:pt>
                <c:pt idx="227">
                  <c:v>40516.29</c:v>
                </c:pt>
                <c:pt idx="228">
                  <c:v>39020.57</c:v>
                </c:pt>
                <c:pt idx="229">
                  <c:v>35546.11</c:v>
                </c:pt>
                <c:pt idx="230">
                  <c:v>37331.980000000003</c:v>
                </c:pt>
                <c:pt idx="231">
                  <c:v>36675.72</c:v>
                </c:pt>
                <c:pt idx="232">
                  <c:v>37388.050000000003</c:v>
                </c:pt>
                <c:pt idx="233">
                  <c:v>33380.81</c:v>
                </c:pt>
                <c:pt idx="234">
                  <c:v>33552.79</c:v>
                </c:pt>
                <c:pt idx="235">
                  <c:v>35796.31</c:v>
                </c:pt>
                <c:pt idx="236">
                  <c:v>35513.199999999997</c:v>
                </c:pt>
                <c:pt idx="237">
                  <c:v>36829</c:v>
                </c:pt>
                <c:pt idx="238">
                  <c:v>39246.79</c:v>
                </c:pt>
                <c:pt idx="239">
                  <c:v>37568.68</c:v>
                </c:pt>
                <c:pt idx="240">
                  <c:v>36693.089999999997</c:v>
                </c:pt>
                <c:pt idx="241">
                  <c:v>37253.81</c:v>
                </c:pt>
                <c:pt idx="242">
                  <c:v>35641.269999999997</c:v>
                </c:pt>
                <c:pt idx="243">
                  <c:v>34605.15</c:v>
                </c:pt>
                <c:pt idx="244">
                  <c:v>35663.49</c:v>
                </c:pt>
                <c:pt idx="245">
                  <c:v>38529.980000000003</c:v>
                </c:pt>
                <c:pt idx="246">
                  <c:v>39241.910000000003</c:v>
                </c:pt>
                <c:pt idx="247">
                  <c:v>38324.720000000001</c:v>
                </c:pt>
                <c:pt idx="248">
                  <c:v>38796.29</c:v>
                </c:pt>
                <c:pt idx="249">
                  <c:v>34655.25</c:v>
                </c:pt>
                <c:pt idx="250">
                  <c:v>37449.730000000003</c:v>
                </c:pt>
                <c:pt idx="251">
                  <c:v>37252.01</c:v>
                </c:pt>
                <c:pt idx="252">
                  <c:v>40526.639999999999</c:v>
                </c:pt>
                <c:pt idx="253">
                  <c:v>36690.089999999997</c:v>
                </c:pt>
                <c:pt idx="254">
                  <c:v>42849.78</c:v>
                </c:pt>
                <c:pt idx="255">
                  <c:v>43538.04</c:v>
                </c:pt>
                <c:pt idx="256">
                  <c:v>46431.5</c:v>
                </c:pt>
                <c:pt idx="257">
                  <c:v>46762.99</c:v>
                </c:pt>
                <c:pt idx="258">
                  <c:v>49841.45</c:v>
                </c:pt>
                <c:pt idx="259">
                  <c:v>49670.97</c:v>
                </c:pt>
                <c:pt idx="260">
                  <c:v>49631.32</c:v>
                </c:pt>
                <c:pt idx="261">
                  <c:v>56670.02</c:v>
                </c:pt>
                <c:pt idx="262">
                  <c:v>55816.14</c:v>
                </c:pt>
                <c:pt idx="263">
                  <c:v>58240.84</c:v>
                </c:pt>
                <c:pt idx="264">
                  <c:v>58862.05</c:v>
                </c:pt>
                <c:pt idx="265">
                  <c:v>57314.75</c:v>
                </c:pt>
                <c:pt idx="266">
                  <c:v>56393.68</c:v>
                </c:pt>
                <c:pt idx="267">
                  <c:v>57436.11</c:v>
                </c:pt>
                <c:pt idx="268">
                  <c:v>53200.01</c:v>
                </c:pt>
                <c:pt idx="269">
                  <c:v>57169.39</c:v>
                </c:pt>
                <c:pt idx="270">
                  <c:v>56578.21</c:v>
                </c:pt>
                <c:pt idx="271">
                  <c:v>57800.37</c:v>
                </c:pt>
                <c:pt idx="272">
                  <c:v>57694.27</c:v>
                </c:pt>
                <c:pt idx="273">
                  <c:v>53555</c:v>
                </c:pt>
                <c:pt idx="274">
                  <c:v>54846.22</c:v>
                </c:pt>
                <c:pt idx="275">
                  <c:v>55011.97</c:v>
                </c:pt>
                <c:pt idx="276">
                  <c:v>54001.39</c:v>
                </c:pt>
                <c:pt idx="277">
                  <c:v>49066.77</c:v>
                </c:pt>
                <c:pt idx="278">
                  <c:v>50047.839999999997</c:v>
                </c:pt>
                <c:pt idx="279">
                  <c:v>51125.14</c:v>
                </c:pt>
                <c:pt idx="280">
                  <c:v>51690.96</c:v>
                </c:pt>
                <c:pt idx="281">
                  <c:v>53787.63</c:v>
                </c:pt>
                <c:pt idx="282">
                  <c:v>56425</c:v>
                </c:pt>
                <c:pt idx="283">
                  <c:v>55633.14</c:v>
                </c:pt>
                <c:pt idx="284">
                  <c:v>56150.01</c:v>
                </c:pt>
                <c:pt idx="285">
                  <c:v>60006.66</c:v>
                </c:pt>
                <c:pt idx="286">
                  <c:v>61334.8</c:v>
                </c:pt>
                <c:pt idx="287">
                  <c:v>63159.98</c:v>
                </c:pt>
                <c:pt idx="288">
                  <c:v>62959.53</c:v>
                </c:pt>
                <c:pt idx="289">
                  <c:v>63575</c:v>
                </c:pt>
                <c:pt idx="290">
                  <c:v>59860</c:v>
                </c:pt>
                <c:pt idx="291">
                  <c:v>60002.43</c:v>
                </c:pt>
                <c:pt idx="292">
                  <c:v>59769.13</c:v>
                </c:pt>
                <c:pt idx="293">
                  <c:v>58142.54</c:v>
                </c:pt>
                <c:pt idx="294">
                  <c:v>58077.52</c:v>
                </c:pt>
                <c:pt idx="295">
                  <c:v>55953.45</c:v>
                </c:pt>
                <c:pt idx="296">
                  <c:v>57991.15</c:v>
                </c:pt>
                <c:pt idx="297">
                  <c:v>59129.99</c:v>
                </c:pt>
                <c:pt idx="298">
                  <c:v>58202.01</c:v>
                </c:pt>
                <c:pt idx="299">
                  <c:v>57051.94</c:v>
                </c:pt>
                <c:pt idx="300">
                  <c:v>58950.01</c:v>
                </c:pt>
                <c:pt idx="301">
                  <c:v>58720.44</c:v>
                </c:pt>
                <c:pt idx="302">
                  <c:v>58740.55</c:v>
                </c:pt>
                <c:pt idx="303">
                  <c:v>58746.57</c:v>
                </c:pt>
                <c:pt idx="304">
                  <c:v>57635.47</c:v>
                </c:pt>
                <c:pt idx="305">
                  <c:v>55777.63</c:v>
                </c:pt>
                <c:pt idx="306">
                  <c:v>55817.14</c:v>
                </c:pt>
                <c:pt idx="307">
                  <c:v>55025.59</c:v>
                </c:pt>
                <c:pt idx="308">
                  <c:v>51293.78</c:v>
                </c:pt>
                <c:pt idx="309">
                  <c:v>52303.65</c:v>
                </c:pt>
                <c:pt idx="310">
                  <c:v>54340.89</c:v>
                </c:pt>
                <c:pt idx="311">
                  <c:v>54083.25</c:v>
                </c:pt>
                <c:pt idx="312">
                  <c:v>57351.56</c:v>
                </c:pt>
                <c:pt idx="313">
                  <c:v>58102.28</c:v>
                </c:pt>
                <c:pt idx="314">
                  <c:v>58030.01</c:v>
                </c:pt>
                <c:pt idx="315">
                  <c:v>57648.160000000003</c:v>
                </c:pt>
                <c:pt idx="316">
                  <c:v>58912.97</c:v>
                </c:pt>
                <c:pt idx="317">
                  <c:v>56900.75</c:v>
                </c:pt>
                <c:pt idx="318">
                  <c:v>55605.2</c:v>
                </c:pt>
                <c:pt idx="319">
                  <c:v>58968.31</c:v>
                </c:pt>
                <c:pt idx="320">
                  <c:v>61188.39</c:v>
                </c:pt>
                <c:pt idx="321">
                  <c:v>57221.72</c:v>
                </c:pt>
                <c:pt idx="322">
                  <c:v>57773.16</c:v>
                </c:pt>
                <c:pt idx="323">
                  <c:v>55851.59</c:v>
                </c:pt>
                <c:pt idx="324">
                  <c:v>54884.5</c:v>
                </c:pt>
                <c:pt idx="325">
                  <c:v>52375.17</c:v>
                </c:pt>
                <c:pt idx="326">
                  <c:v>50971.75</c:v>
                </c:pt>
                <c:pt idx="327">
                  <c:v>48882.2</c:v>
                </c:pt>
                <c:pt idx="328">
                  <c:v>48751.71</c:v>
                </c:pt>
                <c:pt idx="329">
                  <c:v>48374.09</c:v>
                </c:pt>
                <c:pt idx="330">
                  <c:v>50349.37</c:v>
                </c:pt>
                <c:pt idx="331">
                  <c:v>48440.65</c:v>
                </c:pt>
                <c:pt idx="332">
                  <c:v>49587.03</c:v>
                </c:pt>
                <c:pt idx="333">
                  <c:v>45135.66</c:v>
                </c:pt>
                <c:pt idx="334">
                  <c:v>46106.43</c:v>
                </c:pt>
                <c:pt idx="335">
                  <c:v>46276.87</c:v>
                </c:pt>
                <c:pt idx="336">
                  <c:v>47073.73</c:v>
                </c:pt>
                <c:pt idx="337">
                  <c:v>49676.2</c:v>
                </c:pt>
                <c:pt idx="338">
                  <c:v>48891</c:v>
                </c:pt>
                <c:pt idx="339">
                  <c:v>54087.67</c:v>
                </c:pt>
                <c:pt idx="340">
                  <c:v>57408.57</c:v>
                </c:pt>
                <c:pt idx="341">
                  <c:v>55841.19</c:v>
                </c:pt>
                <c:pt idx="342">
                  <c:v>55906</c:v>
                </c:pt>
                <c:pt idx="343">
                  <c:v>51552.6</c:v>
                </c:pt>
                <c:pt idx="344">
                  <c:v>52119.71</c:v>
                </c:pt>
                <c:pt idx="345">
                  <c:v>49133.45</c:v>
                </c:pt>
                <c:pt idx="346">
                  <c:v>47911.1</c:v>
                </c:pt>
                <c:pt idx="347">
                  <c:v>48577.79</c:v>
                </c:pt>
                <c:pt idx="348">
                  <c:v>47153.69</c:v>
                </c:pt>
                <c:pt idx="349">
                  <c:v>47287.6</c:v>
                </c:pt>
                <c:pt idx="350">
                  <c:v>47969.51</c:v>
                </c:pt>
                <c:pt idx="351">
                  <c:v>44807.58</c:v>
                </c:pt>
                <c:pt idx="352">
                  <c:v>46420.42</c:v>
                </c:pt>
                <c:pt idx="353">
                  <c:v>46374.87</c:v>
                </c:pt>
                <c:pt idx="354">
                  <c:v>38795.69</c:v>
                </c:pt>
                <c:pt idx="355">
                  <c:v>39186.94</c:v>
                </c:pt>
                <c:pt idx="356">
                  <c:v>38290.239999999998</c:v>
                </c:pt>
                <c:pt idx="357">
                  <c:v>36936.660000000003</c:v>
                </c:pt>
                <c:pt idx="358">
                  <c:v>37618.870000000003</c:v>
                </c:pt>
                <c:pt idx="359">
                  <c:v>35466.239999999998</c:v>
                </c:pt>
                <c:pt idx="360">
                  <c:v>33526.370000000003</c:v>
                </c:pt>
                <c:pt idx="361">
                  <c:v>33092.980000000003</c:v>
                </c:pt>
                <c:pt idx="362">
                  <c:v>34262.879999999997</c:v>
                </c:pt>
                <c:pt idx="363">
                  <c:v>34252.199999999997</c:v>
                </c:pt>
                <c:pt idx="364">
                  <c:v>33364.86</c:v>
                </c:pt>
                <c:pt idx="365">
                  <c:v>30366.15</c:v>
                </c:pt>
                <c:pt idx="366">
                  <c:v>32467.77</c:v>
                </c:pt>
                <c:pt idx="367">
                  <c:v>32254.2</c:v>
                </c:pt>
                <c:pt idx="368">
                  <c:v>32259.9</c:v>
                </c:pt>
                <c:pt idx="369">
                  <c:v>32078</c:v>
                </c:pt>
                <c:pt idx="370">
                  <c:v>32945.17</c:v>
                </c:pt>
                <c:pt idx="371">
                  <c:v>30850.13</c:v>
                </c:pt>
                <c:pt idx="372">
                  <c:v>35468.230000000003</c:v>
                </c:pt>
                <c:pt idx="373">
                  <c:v>35891.49</c:v>
                </c:pt>
                <c:pt idx="374">
                  <c:v>36631.269999999997</c:v>
                </c:pt>
                <c:pt idx="375">
                  <c:v>35828.61</c:v>
                </c:pt>
                <c:pt idx="376">
                  <c:v>35994.980000000003</c:v>
                </c:pt>
                <c:pt idx="377">
                  <c:v>36742.22</c:v>
                </c:pt>
                <c:pt idx="378">
                  <c:v>39144.5</c:v>
                </c:pt>
                <c:pt idx="379">
                  <c:v>37371.379999999997</c:v>
                </c:pt>
                <c:pt idx="380">
                  <c:v>34051.24</c:v>
                </c:pt>
                <c:pt idx="381">
                  <c:v>35404.47</c:v>
                </c:pt>
                <c:pt idx="382">
                  <c:v>38150.019999999997</c:v>
                </c:pt>
                <c:pt idx="383">
                  <c:v>40088.22</c:v>
                </c:pt>
                <c:pt idx="384">
                  <c:v>40582.81</c:v>
                </c:pt>
                <c:pt idx="385">
                  <c:v>39432.28</c:v>
                </c:pt>
                <c:pt idx="386">
                  <c:v>36769.360000000001</c:v>
                </c:pt>
                <c:pt idx="387">
                  <c:v>33949.53</c:v>
                </c:pt>
                <c:pt idx="388">
                  <c:v>31988.71</c:v>
                </c:pt>
                <c:pt idx="389">
                  <c:v>33000.050000000003</c:v>
                </c:pt>
                <c:pt idx="390">
                  <c:v>32178.33</c:v>
                </c:pt>
                <c:pt idx="391">
                  <c:v>29331.69</c:v>
                </c:pt>
                <c:pt idx="392">
                  <c:v>28923.63</c:v>
                </c:pt>
                <c:pt idx="393">
                  <c:v>28875.54</c:v>
                </c:pt>
                <c:pt idx="394">
                  <c:v>27385</c:v>
                </c:pt>
                <c:pt idx="395">
                  <c:v>27079.41</c:v>
                </c:pt>
                <c:pt idx="396">
                  <c:v>26281.66</c:v>
                </c:pt>
                <c:pt idx="397">
                  <c:v>26493.39</c:v>
                </c:pt>
                <c:pt idx="398">
                  <c:v>24712.47</c:v>
                </c:pt>
                <c:pt idx="399">
                  <c:v>23729.200000000001</c:v>
                </c:pt>
                <c:pt idx="400">
                  <c:v>23232.76</c:v>
                </c:pt>
                <c:pt idx="401">
                  <c:v>23810.79</c:v>
                </c:pt>
                <c:pt idx="402">
                  <c:v>22719.71</c:v>
                </c:pt>
                <c:pt idx="403">
                  <c:v>23455.52</c:v>
                </c:pt>
                <c:pt idx="404">
                  <c:v>23821.61</c:v>
                </c:pt>
                <c:pt idx="405">
                  <c:v>23107.39</c:v>
                </c:pt>
                <c:pt idx="406">
                  <c:v>22797.16</c:v>
                </c:pt>
                <c:pt idx="407">
                  <c:v>21335.52</c:v>
                </c:pt>
                <c:pt idx="408">
                  <c:v>19426.43</c:v>
                </c:pt>
                <c:pt idx="409">
                  <c:v>19273.14</c:v>
                </c:pt>
                <c:pt idx="410">
                  <c:v>19174.990000000002</c:v>
                </c:pt>
                <c:pt idx="411">
                  <c:v>18808.689999999999</c:v>
                </c:pt>
                <c:pt idx="412">
                  <c:v>18036.53</c:v>
                </c:pt>
                <c:pt idx="413">
                  <c:v>18254.63</c:v>
                </c:pt>
                <c:pt idx="414">
                  <c:v>18541.28</c:v>
                </c:pt>
                <c:pt idx="415">
                  <c:v>18324.11</c:v>
                </c:pt>
                <c:pt idx="416">
                  <c:v>19166.900000000001</c:v>
                </c:pt>
                <c:pt idx="417">
                  <c:v>19359.400000000001</c:v>
                </c:pt>
                <c:pt idx="418">
                  <c:v>19147.66</c:v>
                </c:pt>
                <c:pt idx="419">
                  <c:v>18650.52</c:v>
                </c:pt>
                <c:pt idx="420">
                  <c:v>19421.900000000001</c:v>
                </c:pt>
                <c:pt idx="421">
                  <c:v>19204.09</c:v>
                </c:pt>
                <c:pt idx="422">
                  <c:v>18764.96</c:v>
                </c:pt>
                <c:pt idx="423">
                  <c:v>19695.87</c:v>
                </c:pt>
                <c:pt idx="424">
                  <c:v>18184.990000000002</c:v>
                </c:pt>
                <c:pt idx="425">
                  <c:v>17719.849999999999</c:v>
                </c:pt>
                <c:pt idx="426">
                  <c:v>17139.52</c:v>
                </c:pt>
                <c:pt idx="427">
                  <c:v>17149.47</c:v>
                </c:pt>
                <c:pt idx="428">
                  <c:v>18719.11</c:v>
                </c:pt>
                <c:pt idx="429">
                  <c:v>19160.009999999998</c:v>
                </c:pt>
                <c:pt idx="430">
                  <c:v>18368</c:v>
                </c:pt>
                <c:pt idx="431">
                  <c:v>18414.43</c:v>
                </c:pt>
                <c:pt idx="432">
                  <c:v>18703.8</c:v>
                </c:pt>
                <c:pt idx="433">
                  <c:v>18655.669999999998</c:v>
                </c:pt>
                <c:pt idx="434">
                  <c:v>17802.82</c:v>
                </c:pt>
                <c:pt idx="435">
                  <c:v>17776.12</c:v>
                </c:pt>
                <c:pt idx="436">
                  <c:v>17659.38</c:v>
                </c:pt>
                <c:pt idx="437">
                  <c:v>16713.57</c:v>
                </c:pt>
                <c:pt idx="438">
                  <c:v>15957</c:v>
                </c:pt>
                <c:pt idx="439">
                  <c:v>16070.45</c:v>
                </c:pt>
                <c:pt idx="440">
                  <c:v>16320.7</c:v>
                </c:pt>
                <c:pt idx="441">
                  <c:v>16291.86</c:v>
                </c:pt>
                <c:pt idx="442">
                  <c:v>15684.24</c:v>
                </c:pt>
                <c:pt idx="443">
                  <c:v>15297.21</c:v>
                </c:pt>
                <c:pt idx="444">
                  <c:v>15328.41</c:v>
                </c:pt>
                <c:pt idx="445">
                  <c:v>15475.1</c:v>
                </c:pt>
                <c:pt idx="446">
                  <c:v>14818.3</c:v>
                </c:pt>
                <c:pt idx="447">
                  <c:v>15579.92</c:v>
                </c:pt>
                <c:pt idx="448">
                  <c:v>15590.02</c:v>
                </c:pt>
                <c:pt idx="449">
                  <c:v>14144.01</c:v>
                </c:pt>
                <c:pt idx="450">
                  <c:v>14023.53</c:v>
                </c:pt>
                <c:pt idx="451">
                  <c:v>13549.37</c:v>
                </c:pt>
                <c:pt idx="452">
                  <c:v>13761.5</c:v>
                </c:pt>
                <c:pt idx="453">
                  <c:v>13791</c:v>
                </c:pt>
                <c:pt idx="454">
                  <c:v>13560.1</c:v>
                </c:pt>
                <c:pt idx="455">
                  <c:v>13455.7</c:v>
                </c:pt>
                <c:pt idx="456">
                  <c:v>13266.4</c:v>
                </c:pt>
                <c:pt idx="457">
                  <c:v>13636.17</c:v>
                </c:pt>
                <c:pt idx="458">
                  <c:v>13052.19</c:v>
                </c:pt>
                <c:pt idx="459">
                  <c:v>13028.83</c:v>
                </c:pt>
                <c:pt idx="460">
                  <c:v>13111.73</c:v>
                </c:pt>
                <c:pt idx="461">
                  <c:v>12923.07</c:v>
                </c:pt>
                <c:pt idx="462">
                  <c:v>12968.52</c:v>
                </c:pt>
                <c:pt idx="463">
                  <c:v>12780.96</c:v>
                </c:pt>
                <c:pt idx="464">
                  <c:v>11909.99</c:v>
                </c:pt>
                <c:pt idx="465">
                  <c:v>11751.47</c:v>
                </c:pt>
                <c:pt idx="466">
                  <c:v>11503.14</c:v>
                </c:pt>
                <c:pt idx="467">
                  <c:v>11360.2</c:v>
                </c:pt>
                <c:pt idx="468">
                  <c:v>11319.32</c:v>
                </c:pt>
                <c:pt idx="469">
                  <c:v>11505.12</c:v>
                </c:pt>
                <c:pt idx="470">
                  <c:v>11417.89</c:v>
                </c:pt>
                <c:pt idx="471">
                  <c:v>11420.56</c:v>
                </c:pt>
                <c:pt idx="472">
                  <c:v>11528.25</c:v>
                </c:pt>
                <c:pt idx="473">
                  <c:v>11369.02</c:v>
                </c:pt>
                <c:pt idx="474">
                  <c:v>11293.22</c:v>
                </c:pt>
                <c:pt idx="475">
                  <c:v>11050.64</c:v>
                </c:pt>
                <c:pt idx="476">
                  <c:v>10925.57</c:v>
                </c:pt>
                <c:pt idx="477">
                  <c:v>10666.39</c:v>
                </c:pt>
                <c:pt idx="478">
                  <c:v>10599.66</c:v>
                </c:pt>
                <c:pt idx="479">
                  <c:v>10792.21</c:v>
                </c:pt>
                <c:pt idx="480">
                  <c:v>10666.63</c:v>
                </c:pt>
                <c:pt idx="481">
                  <c:v>10542.06</c:v>
                </c:pt>
                <c:pt idx="482">
                  <c:v>10570.4</c:v>
                </c:pt>
                <c:pt idx="483">
                  <c:v>10619.13</c:v>
                </c:pt>
                <c:pt idx="484">
                  <c:v>10776.59</c:v>
                </c:pt>
                <c:pt idx="485">
                  <c:v>10840.48</c:v>
                </c:pt>
                <c:pt idx="486">
                  <c:v>10696.12</c:v>
                </c:pt>
                <c:pt idx="487">
                  <c:v>10774.25</c:v>
                </c:pt>
                <c:pt idx="488">
                  <c:v>10728.6</c:v>
                </c:pt>
                <c:pt idx="489">
                  <c:v>10686.67</c:v>
                </c:pt>
                <c:pt idx="490">
                  <c:v>10736.32</c:v>
                </c:pt>
                <c:pt idx="491">
                  <c:v>10241.459999999999</c:v>
                </c:pt>
                <c:pt idx="492">
                  <c:v>10529.61</c:v>
                </c:pt>
                <c:pt idx="493">
                  <c:v>10417.219999999999</c:v>
                </c:pt>
                <c:pt idx="494">
                  <c:v>10920.28</c:v>
                </c:pt>
                <c:pt idx="495">
                  <c:v>11080.65</c:v>
                </c:pt>
                <c:pt idx="496">
                  <c:v>10933.39</c:v>
                </c:pt>
                <c:pt idx="497">
                  <c:v>10939.99</c:v>
                </c:pt>
                <c:pt idx="498">
                  <c:v>10954.01</c:v>
                </c:pt>
                <c:pt idx="499">
                  <c:v>10785.31</c:v>
                </c:pt>
                <c:pt idx="500">
                  <c:v>10671.77</c:v>
                </c:pt>
                <c:pt idx="501">
                  <c:v>10332.83</c:v>
                </c:pt>
                <c:pt idx="502">
                  <c:v>10440.92</c:v>
                </c:pt>
                <c:pt idx="503">
                  <c:v>10387.89</c:v>
                </c:pt>
                <c:pt idx="504">
                  <c:v>10336.870000000001</c:v>
                </c:pt>
                <c:pt idx="505">
                  <c:v>10219.200000000001</c:v>
                </c:pt>
                <c:pt idx="506">
                  <c:v>10126.65</c:v>
                </c:pt>
                <c:pt idx="507">
                  <c:v>10373.44</c:v>
                </c:pt>
                <c:pt idx="508">
                  <c:v>10256.200000000001</c:v>
                </c:pt>
                <c:pt idx="509">
                  <c:v>10166.69</c:v>
                </c:pt>
                <c:pt idx="510">
                  <c:v>10446.25</c:v>
                </c:pt>
                <c:pt idx="511">
                  <c:v>10140.85</c:v>
                </c:pt>
                <c:pt idx="512">
                  <c:v>11388.54</c:v>
                </c:pt>
                <c:pt idx="513">
                  <c:v>11921.97</c:v>
                </c:pt>
                <c:pt idx="514">
                  <c:v>11649.51</c:v>
                </c:pt>
                <c:pt idx="515">
                  <c:v>11711.16</c:v>
                </c:pt>
                <c:pt idx="516">
                  <c:v>11465.84</c:v>
                </c:pt>
                <c:pt idx="517">
                  <c:v>11526.91</c:v>
                </c:pt>
                <c:pt idx="518">
                  <c:v>11330.38</c:v>
                </c:pt>
                <c:pt idx="519">
                  <c:v>11461.43</c:v>
                </c:pt>
                <c:pt idx="520">
                  <c:v>11318.42</c:v>
                </c:pt>
                <c:pt idx="521">
                  <c:v>11748.2</c:v>
                </c:pt>
                <c:pt idx="522">
                  <c:v>11648.13</c:v>
                </c:pt>
                <c:pt idx="523">
                  <c:v>11662.96</c:v>
                </c:pt>
                <c:pt idx="524">
                  <c:v>11531.34</c:v>
                </c:pt>
                <c:pt idx="525">
                  <c:v>11853.55</c:v>
                </c:pt>
                <c:pt idx="526">
                  <c:v>11754.59</c:v>
                </c:pt>
                <c:pt idx="527">
                  <c:v>11945.01</c:v>
                </c:pt>
                <c:pt idx="528">
                  <c:v>12281.13</c:v>
                </c:pt>
                <c:pt idx="529">
                  <c:v>11911</c:v>
                </c:pt>
                <c:pt idx="530">
                  <c:v>11852.4</c:v>
                </c:pt>
                <c:pt idx="531">
                  <c:v>11760.54</c:v>
                </c:pt>
                <c:pt idx="532">
                  <c:v>11780</c:v>
                </c:pt>
                <c:pt idx="533">
                  <c:v>11564.33</c:v>
                </c:pt>
                <c:pt idx="534">
                  <c:v>11392.08</c:v>
                </c:pt>
                <c:pt idx="535">
                  <c:v>11892.92</c:v>
                </c:pt>
                <c:pt idx="536">
                  <c:v>11681.68</c:v>
                </c:pt>
                <c:pt idx="537">
                  <c:v>11761.41</c:v>
                </c:pt>
                <c:pt idx="538">
                  <c:v>11594.23</c:v>
                </c:pt>
                <c:pt idx="539">
                  <c:v>11762.46</c:v>
                </c:pt>
                <c:pt idx="540">
                  <c:v>11744.91</c:v>
                </c:pt>
                <c:pt idx="541">
                  <c:v>11191.97</c:v>
                </c:pt>
                <c:pt idx="542">
                  <c:v>11219.81</c:v>
                </c:pt>
                <c:pt idx="543">
                  <c:v>11071.35</c:v>
                </c:pt>
                <c:pt idx="544">
                  <c:v>11801.17</c:v>
                </c:pt>
                <c:pt idx="545">
                  <c:v>11335.46</c:v>
                </c:pt>
                <c:pt idx="546">
                  <c:v>11099.61</c:v>
                </c:pt>
                <c:pt idx="547">
                  <c:v>11100.53</c:v>
                </c:pt>
                <c:pt idx="548">
                  <c:v>10906.27</c:v>
                </c:pt>
                <c:pt idx="549">
                  <c:v>11029.96</c:v>
                </c:pt>
                <c:pt idx="550">
                  <c:v>9931.5400000000009</c:v>
                </c:pt>
                <c:pt idx="551">
                  <c:v>9700.42</c:v>
                </c:pt>
                <c:pt idx="552">
                  <c:v>9537.7999999999993</c:v>
                </c:pt>
                <c:pt idx="553">
                  <c:v>9603.27</c:v>
                </c:pt>
                <c:pt idx="554">
                  <c:v>9518.16</c:v>
                </c:pt>
                <c:pt idx="555">
                  <c:v>9390</c:v>
                </c:pt>
                <c:pt idx="556">
                  <c:v>9160.7800000000007</c:v>
                </c:pt>
                <c:pt idx="557">
                  <c:v>9208.99</c:v>
                </c:pt>
                <c:pt idx="558">
                  <c:v>9170.2800000000007</c:v>
                </c:pt>
                <c:pt idx="559">
                  <c:v>9154.32</c:v>
                </c:pt>
                <c:pt idx="560">
                  <c:v>9133.7199999999993</c:v>
                </c:pt>
                <c:pt idx="561">
                  <c:v>9197.6</c:v>
                </c:pt>
                <c:pt idx="562">
                  <c:v>9255.85</c:v>
                </c:pt>
                <c:pt idx="563">
                  <c:v>9242.6200000000008</c:v>
                </c:pt>
                <c:pt idx="564">
                  <c:v>9302.75</c:v>
                </c:pt>
                <c:pt idx="565">
                  <c:v>9234.0300000000007</c:v>
                </c:pt>
                <c:pt idx="566">
                  <c:v>9288.34</c:v>
                </c:pt>
                <c:pt idx="567">
                  <c:v>9232.43</c:v>
                </c:pt>
                <c:pt idx="568">
                  <c:v>9436.06</c:v>
                </c:pt>
                <c:pt idx="569">
                  <c:v>9257.39</c:v>
                </c:pt>
                <c:pt idx="570">
                  <c:v>9344.2000000000007</c:v>
                </c:pt>
                <c:pt idx="571">
                  <c:v>9069.41</c:v>
                </c:pt>
                <c:pt idx="572">
                  <c:v>9135.4599999999991</c:v>
                </c:pt>
                <c:pt idx="573">
                  <c:v>9058.26</c:v>
                </c:pt>
                <c:pt idx="574">
                  <c:v>9086.5400000000009</c:v>
                </c:pt>
                <c:pt idx="575">
                  <c:v>9232</c:v>
                </c:pt>
                <c:pt idx="576">
                  <c:v>9138.5499999999993</c:v>
                </c:pt>
                <c:pt idx="577">
                  <c:v>9192.56</c:v>
                </c:pt>
                <c:pt idx="578">
                  <c:v>9116.35</c:v>
                </c:pt>
                <c:pt idx="579">
                  <c:v>9012</c:v>
                </c:pt>
                <c:pt idx="580">
                  <c:v>9162.2099999999991</c:v>
                </c:pt>
                <c:pt idx="581">
                  <c:v>9249.49</c:v>
                </c:pt>
                <c:pt idx="582">
                  <c:v>9296.49</c:v>
                </c:pt>
                <c:pt idx="583">
                  <c:v>9624.89</c:v>
                </c:pt>
                <c:pt idx="584">
                  <c:v>9685.69</c:v>
                </c:pt>
                <c:pt idx="585">
                  <c:v>9294.69</c:v>
                </c:pt>
                <c:pt idx="586">
                  <c:v>9358.9500000000007</c:v>
                </c:pt>
                <c:pt idx="587">
                  <c:v>9310.23</c:v>
                </c:pt>
                <c:pt idx="588">
                  <c:v>9386.32</c:v>
                </c:pt>
                <c:pt idx="589">
                  <c:v>9465.14</c:v>
                </c:pt>
                <c:pt idx="590">
                  <c:v>9525.59</c:v>
                </c:pt>
                <c:pt idx="591">
                  <c:v>9426.02</c:v>
                </c:pt>
                <c:pt idx="592">
                  <c:v>9342.1</c:v>
                </c:pt>
                <c:pt idx="593">
                  <c:v>9473.34</c:v>
                </c:pt>
                <c:pt idx="594">
                  <c:v>9465.1299999999992</c:v>
                </c:pt>
                <c:pt idx="595">
                  <c:v>9280.4</c:v>
                </c:pt>
                <c:pt idx="596">
                  <c:v>9885</c:v>
                </c:pt>
                <c:pt idx="597">
                  <c:v>9772.43</c:v>
                </c:pt>
                <c:pt idx="598">
                  <c:v>9782.01</c:v>
                </c:pt>
                <c:pt idx="599">
                  <c:v>9746.99</c:v>
                </c:pt>
                <c:pt idx="600">
                  <c:v>9666.2999999999993</c:v>
                </c:pt>
                <c:pt idx="601">
                  <c:v>9621.16</c:v>
                </c:pt>
                <c:pt idx="602">
                  <c:v>9789.06</c:v>
                </c:pt>
                <c:pt idx="603">
                  <c:v>9666.24</c:v>
                </c:pt>
                <c:pt idx="604">
                  <c:v>9518.0400000000009</c:v>
                </c:pt>
                <c:pt idx="605">
                  <c:v>10200.77</c:v>
                </c:pt>
                <c:pt idx="606">
                  <c:v>9448.27</c:v>
                </c:pt>
                <c:pt idx="607">
                  <c:v>9697.7199999999993</c:v>
                </c:pt>
                <c:pt idx="608">
                  <c:v>9427.07</c:v>
                </c:pt>
                <c:pt idx="609">
                  <c:v>9575.89</c:v>
                </c:pt>
                <c:pt idx="610">
                  <c:v>9204.07</c:v>
                </c:pt>
                <c:pt idx="611">
                  <c:v>8841.18</c:v>
                </c:pt>
                <c:pt idx="612">
                  <c:v>8900.35</c:v>
                </c:pt>
                <c:pt idx="613">
                  <c:v>8720.34</c:v>
                </c:pt>
                <c:pt idx="614">
                  <c:v>9179.15</c:v>
                </c:pt>
                <c:pt idx="615">
                  <c:v>9170</c:v>
                </c:pt>
                <c:pt idx="616">
                  <c:v>9068.65</c:v>
                </c:pt>
                <c:pt idx="617">
                  <c:v>9511.43</c:v>
                </c:pt>
                <c:pt idx="618">
                  <c:v>9775.5300000000007</c:v>
                </c:pt>
                <c:pt idx="619">
                  <c:v>9733.93</c:v>
                </c:pt>
                <c:pt idx="620">
                  <c:v>9680.0400000000009</c:v>
                </c:pt>
                <c:pt idx="621">
                  <c:v>9381.27</c:v>
                </c:pt>
                <c:pt idx="622">
                  <c:v>9316.42</c:v>
                </c:pt>
                <c:pt idx="623">
                  <c:v>9791.98</c:v>
                </c:pt>
                <c:pt idx="624">
                  <c:v>9309.3700000000008</c:v>
                </c:pt>
                <c:pt idx="625">
                  <c:v>8810.7900000000009</c:v>
                </c:pt>
                <c:pt idx="626">
                  <c:v>8561.52</c:v>
                </c:pt>
                <c:pt idx="627">
                  <c:v>8722.77</c:v>
                </c:pt>
                <c:pt idx="628">
                  <c:v>9539.4</c:v>
                </c:pt>
                <c:pt idx="629">
                  <c:v>9800.01</c:v>
                </c:pt>
                <c:pt idx="630">
                  <c:v>9986.4</c:v>
                </c:pt>
                <c:pt idx="631">
                  <c:v>9142.92</c:v>
                </c:pt>
                <c:pt idx="632">
                  <c:v>9021.83</c:v>
                </c:pt>
                <c:pt idx="633">
                  <c:v>8871.9599999999991</c:v>
                </c:pt>
                <c:pt idx="634">
                  <c:v>8894.16</c:v>
                </c:pt>
                <c:pt idx="635">
                  <c:v>8972.0499999999993</c:v>
                </c:pt>
                <c:pt idx="636">
                  <c:v>8826.9599999999991</c:v>
                </c:pt>
                <c:pt idx="637">
                  <c:v>8620</c:v>
                </c:pt>
                <c:pt idx="638">
                  <c:v>8778.57</c:v>
                </c:pt>
                <c:pt idx="639">
                  <c:v>7738.98</c:v>
                </c:pt>
                <c:pt idx="640">
                  <c:v>7774.62</c:v>
                </c:pt>
                <c:pt idx="641">
                  <c:v>7693.1</c:v>
                </c:pt>
                <c:pt idx="642">
                  <c:v>7538.67</c:v>
                </c:pt>
                <c:pt idx="643">
                  <c:v>7505</c:v>
                </c:pt>
                <c:pt idx="644">
                  <c:v>7482.39</c:v>
                </c:pt>
                <c:pt idx="645">
                  <c:v>7125.14</c:v>
                </c:pt>
                <c:pt idx="646">
                  <c:v>6841.37</c:v>
                </c:pt>
                <c:pt idx="647">
                  <c:v>6826.83</c:v>
                </c:pt>
                <c:pt idx="648">
                  <c:v>7120.74</c:v>
                </c:pt>
                <c:pt idx="649">
                  <c:v>7248.6</c:v>
                </c:pt>
                <c:pt idx="650">
                  <c:v>7027.55</c:v>
                </c:pt>
                <c:pt idx="651">
                  <c:v>7101.94</c:v>
                </c:pt>
                <c:pt idx="652">
                  <c:v>6621.24</c:v>
                </c:pt>
                <c:pt idx="653">
                  <c:v>6868.7</c:v>
                </c:pt>
                <c:pt idx="654">
                  <c:v>6837.91</c:v>
                </c:pt>
                <c:pt idx="655">
                  <c:v>6903.79</c:v>
                </c:pt>
                <c:pt idx="656">
                  <c:v>6876.83</c:v>
                </c:pt>
                <c:pt idx="657">
                  <c:v>6858.92</c:v>
                </c:pt>
                <c:pt idx="658">
                  <c:v>7283.54</c:v>
                </c:pt>
                <c:pt idx="659">
                  <c:v>7361.28</c:v>
                </c:pt>
                <c:pt idx="660">
                  <c:v>7197.32</c:v>
                </c:pt>
                <c:pt idx="661">
                  <c:v>7329.9</c:v>
                </c:pt>
                <c:pt idx="662">
                  <c:v>6772.78</c:v>
                </c:pt>
                <c:pt idx="663">
                  <c:v>6856.99</c:v>
                </c:pt>
                <c:pt idx="664">
                  <c:v>6734.1</c:v>
                </c:pt>
                <c:pt idx="665">
                  <c:v>6794.09</c:v>
                </c:pt>
                <c:pt idx="666">
                  <c:v>6642.92</c:v>
                </c:pt>
                <c:pt idx="667">
                  <c:v>6410.44</c:v>
                </c:pt>
                <c:pt idx="668">
                  <c:v>6394.38</c:v>
                </c:pt>
                <c:pt idx="669">
                  <c:v>5881.42</c:v>
                </c:pt>
                <c:pt idx="670">
                  <c:v>6236.65</c:v>
                </c:pt>
                <c:pt idx="671">
                  <c:v>6359.11</c:v>
                </c:pt>
                <c:pt idx="672">
                  <c:v>6737.36</c:v>
                </c:pt>
                <c:pt idx="673">
                  <c:v>6677.43</c:v>
                </c:pt>
                <c:pt idx="674">
                  <c:v>6744.72</c:v>
                </c:pt>
                <c:pt idx="675">
                  <c:v>6467.31</c:v>
                </c:pt>
                <c:pt idx="676">
                  <c:v>5816.19</c:v>
                </c:pt>
                <c:pt idx="677">
                  <c:v>6186.98</c:v>
                </c:pt>
                <c:pt idx="678">
                  <c:v>6208.36</c:v>
                </c:pt>
                <c:pt idx="679">
                  <c:v>6162.37</c:v>
                </c:pt>
                <c:pt idx="680">
                  <c:v>5393.04</c:v>
                </c:pt>
                <c:pt idx="681">
                  <c:v>5312.64</c:v>
                </c:pt>
                <c:pt idx="682">
                  <c:v>5028.97</c:v>
                </c:pt>
                <c:pt idx="683">
                  <c:v>5361.3</c:v>
                </c:pt>
                <c:pt idx="684">
                  <c:v>5172.0600000000004</c:v>
                </c:pt>
                <c:pt idx="685">
                  <c:v>5578.6</c:v>
                </c:pt>
                <c:pt idx="686">
                  <c:v>4800</c:v>
                </c:pt>
                <c:pt idx="687">
                  <c:v>7934.52</c:v>
                </c:pt>
                <c:pt idx="688">
                  <c:v>7894.56</c:v>
                </c:pt>
                <c:pt idx="689">
                  <c:v>7929.87</c:v>
                </c:pt>
                <c:pt idx="690">
                  <c:v>8033.31</c:v>
                </c:pt>
                <c:pt idx="691">
                  <c:v>8886.66</c:v>
                </c:pt>
                <c:pt idx="692">
                  <c:v>9131.8799999999992</c:v>
                </c:pt>
                <c:pt idx="693">
                  <c:v>9054.68</c:v>
                </c:pt>
                <c:pt idx="694">
                  <c:v>8750.8700000000008</c:v>
                </c:pt>
                <c:pt idx="695">
                  <c:v>8760.07</c:v>
                </c:pt>
                <c:pt idx="696">
                  <c:v>8915.24</c:v>
                </c:pt>
                <c:pt idx="697">
                  <c:v>8531.8799999999992</c:v>
                </c:pt>
                <c:pt idx="698">
                  <c:v>8523.61</c:v>
                </c:pt>
                <c:pt idx="699">
                  <c:v>8692.91</c:v>
                </c:pt>
                <c:pt idx="700">
                  <c:v>8823.2099999999991</c:v>
                </c:pt>
                <c:pt idx="701">
                  <c:v>8785.25</c:v>
                </c:pt>
                <c:pt idx="702">
                  <c:v>9315.84</c:v>
                </c:pt>
                <c:pt idx="703">
                  <c:v>9656.1299999999992</c:v>
                </c:pt>
                <c:pt idx="704">
                  <c:v>9936.4</c:v>
                </c:pt>
                <c:pt idx="705">
                  <c:v>9650.86</c:v>
                </c:pt>
                <c:pt idx="706">
                  <c:v>9677.0499999999993</c:v>
                </c:pt>
                <c:pt idx="707">
                  <c:v>9596.42</c:v>
                </c:pt>
                <c:pt idx="708">
                  <c:v>9593.7900000000009</c:v>
                </c:pt>
                <c:pt idx="709">
                  <c:v>10164.709999999999</c:v>
                </c:pt>
                <c:pt idx="710">
                  <c:v>9706</c:v>
                </c:pt>
                <c:pt idx="711">
                  <c:v>9917.27</c:v>
                </c:pt>
                <c:pt idx="712">
                  <c:v>9904.7199999999993</c:v>
                </c:pt>
                <c:pt idx="713">
                  <c:v>10344.36</c:v>
                </c:pt>
                <c:pt idx="714">
                  <c:v>10229.629999999999</c:v>
                </c:pt>
                <c:pt idx="715">
                  <c:v>10326.459999999999</c:v>
                </c:pt>
                <c:pt idx="716">
                  <c:v>10223.08</c:v>
                </c:pt>
                <c:pt idx="717">
                  <c:v>9851.83</c:v>
                </c:pt>
                <c:pt idx="718">
                  <c:v>10151.75</c:v>
                </c:pt>
                <c:pt idx="719">
                  <c:v>9895.0499999999993</c:v>
                </c:pt>
                <c:pt idx="720">
                  <c:v>9813.73</c:v>
                </c:pt>
                <c:pt idx="721">
                  <c:v>9772</c:v>
                </c:pt>
                <c:pt idx="722">
                  <c:v>9612.0400000000009</c:v>
                </c:pt>
                <c:pt idx="723">
                  <c:v>9197.02</c:v>
                </c:pt>
                <c:pt idx="724">
                  <c:v>9292.24</c:v>
                </c:pt>
                <c:pt idx="725">
                  <c:v>9331.51</c:v>
                </c:pt>
                <c:pt idx="726">
                  <c:v>9384.61</c:v>
                </c:pt>
                <c:pt idx="727">
                  <c:v>9352.89</c:v>
                </c:pt>
                <c:pt idx="728">
                  <c:v>9513.2099999999991</c:v>
                </c:pt>
                <c:pt idx="729">
                  <c:v>9301.5300000000007</c:v>
                </c:pt>
                <c:pt idx="730">
                  <c:v>9374.2099999999991</c:v>
                </c:pt>
                <c:pt idx="731">
                  <c:v>8907.57</c:v>
                </c:pt>
                <c:pt idx="732">
                  <c:v>8615</c:v>
                </c:pt>
                <c:pt idx="733">
                  <c:v>8340.58</c:v>
                </c:pt>
                <c:pt idx="734">
                  <c:v>8439</c:v>
                </c:pt>
                <c:pt idx="735">
                  <c:v>8404.52</c:v>
                </c:pt>
                <c:pt idx="736">
                  <c:v>8682.36</c:v>
                </c:pt>
                <c:pt idx="737">
                  <c:v>8736.0300000000007</c:v>
                </c:pt>
                <c:pt idx="738">
                  <c:v>8642.35</c:v>
                </c:pt>
                <c:pt idx="739">
                  <c:v>8701.7000000000007</c:v>
                </c:pt>
                <c:pt idx="740">
                  <c:v>8915.9599999999991</c:v>
                </c:pt>
                <c:pt idx="741">
                  <c:v>8913.2800000000007</c:v>
                </c:pt>
                <c:pt idx="742">
                  <c:v>8720.01</c:v>
                </c:pt>
                <c:pt idx="743">
                  <c:v>8821.41</c:v>
                </c:pt>
                <c:pt idx="744">
                  <c:v>8810.01</c:v>
                </c:pt>
                <c:pt idx="745">
                  <c:v>8110.34</c:v>
                </c:pt>
                <c:pt idx="746">
                  <c:v>8184.98</c:v>
                </c:pt>
                <c:pt idx="747">
                  <c:v>8020.01</c:v>
                </c:pt>
                <c:pt idx="748">
                  <c:v>8197.02</c:v>
                </c:pt>
                <c:pt idx="749">
                  <c:v>7817.76</c:v>
                </c:pt>
                <c:pt idx="750">
                  <c:v>8055.98</c:v>
                </c:pt>
                <c:pt idx="751">
                  <c:v>8145.28</c:v>
                </c:pt>
                <c:pt idx="752">
                  <c:v>7758</c:v>
                </c:pt>
                <c:pt idx="753">
                  <c:v>7358.75</c:v>
                </c:pt>
                <c:pt idx="754">
                  <c:v>7354.11</c:v>
                </c:pt>
                <c:pt idx="755">
                  <c:v>7344.96</c:v>
                </c:pt>
                <c:pt idx="756">
                  <c:v>6965.71</c:v>
                </c:pt>
                <c:pt idx="757">
                  <c:v>7200.85</c:v>
                </c:pt>
                <c:pt idx="758">
                  <c:v>7195.23</c:v>
                </c:pt>
                <c:pt idx="759">
                  <c:v>7246</c:v>
                </c:pt>
                <c:pt idx="760">
                  <c:v>7388.24</c:v>
                </c:pt>
                <c:pt idx="761">
                  <c:v>7316.14</c:v>
                </c:pt>
                <c:pt idx="762">
                  <c:v>7254.74</c:v>
                </c:pt>
                <c:pt idx="763">
                  <c:v>7202</c:v>
                </c:pt>
                <c:pt idx="764">
                  <c:v>7204.63</c:v>
                </c:pt>
                <c:pt idx="765">
                  <c:v>7255.77</c:v>
                </c:pt>
                <c:pt idx="766">
                  <c:v>7317.09</c:v>
                </c:pt>
                <c:pt idx="767">
                  <c:v>7501.44</c:v>
                </c:pt>
                <c:pt idx="768">
                  <c:v>7132.75</c:v>
                </c:pt>
                <c:pt idx="769">
                  <c:v>7187.83</c:v>
                </c:pt>
                <c:pt idx="770">
                  <c:v>7150.3</c:v>
                </c:pt>
                <c:pt idx="771">
                  <c:v>7277.83</c:v>
                </c:pt>
                <c:pt idx="772">
                  <c:v>6623.82</c:v>
                </c:pt>
                <c:pt idx="773">
                  <c:v>6891.72</c:v>
                </c:pt>
                <c:pt idx="774">
                  <c:v>7118.59</c:v>
                </c:pt>
                <c:pt idx="775">
                  <c:v>7064.05</c:v>
                </c:pt>
                <c:pt idx="776">
                  <c:v>7258.48</c:v>
                </c:pt>
                <c:pt idx="777">
                  <c:v>7198.08</c:v>
                </c:pt>
                <c:pt idx="778">
                  <c:v>7210</c:v>
                </c:pt>
                <c:pt idx="779">
                  <c:v>7224.13</c:v>
                </c:pt>
                <c:pt idx="780">
                  <c:v>7338.64</c:v>
                </c:pt>
                <c:pt idx="781">
                  <c:v>7510.11</c:v>
                </c:pt>
                <c:pt idx="782">
                  <c:v>7488.21</c:v>
                </c:pt>
                <c:pt idx="783">
                  <c:v>7527.47</c:v>
                </c:pt>
                <c:pt idx="784">
                  <c:v>7389</c:v>
                </c:pt>
                <c:pt idx="785">
                  <c:v>7194.32</c:v>
                </c:pt>
                <c:pt idx="786">
                  <c:v>7292.71</c:v>
                </c:pt>
                <c:pt idx="787">
                  <c:v>7294.28</c:v>
                </c:pt>
                <c:pt idx="788">
                  <c:v>7390.89</c:v>
                </c:pt>
                <c:pt idx="789">
                  <c:v>7541.89</c:v>
                </c:pt>
                <c:pt idx="790">
                  <c:v>7739.68</c:v>
                </c:pt>
                <c:pt idx="791">
                  <c:v>7419.49</c:v>
                </c:pt>
                <c:pt idx="792">
                  <c:v>7508.52</c:v>
                </c:pt>
                <c:pt idx="793">
                  <c:v>7156.14</c:v>
                </c:pt>
                <c:pt idx="794">
                  <c:v>7109.57</c:v>
                </c:pt>
                <c:pt idx="795">
                  <c:v>6903.28</c:v>
                </c:pt>
                <c:pt idx="796">
                  <c:v>7311.57</c:v>
                </c:pt>
                <c:pt idx="797">
                  <c:v>7268.23</c:v>
                </c:pt>
                <c:pt idx="798">
                  <c:v>7627.74</c:v>
                </c:pt>
                <c:pt idx="799">
                  <c:v>8098.01</c:v>
                </c:pt>
                <c:pt idx="800">
                  <c:v>8133.64</c:v>
                </c:pt>
                <c:pt idx="801">
                  <c:v>8187.17</c:v>
                </c:pt>
                <c:pt idx="802">
                  <c:v>8502.4</c:v>
                </c:pt>
                <c:pt idx="803">
                  <c:v>8491.02</c:v>
                </c:pt>
                <c:pt idx="804">
                  <c:v>8471.73</c:v>
                </c:pt>
                <c:pt idx="805">
                  <c:v>8646.68</c:v>
                </c:pt>
                <c:pt idx="806">
                  <c:v>8777.1200000000008</c:v>
                </c:pt>
                <c:pt idx="807">
                  <c:v>8821.94</c:v>
                </c:pt>
                <c:pt idx="808">
                  <c:v>8733.27</c:v>
                </c:pt>
                <c:pt idx="809">
                  <c:v>9039.4699999999993</c:v>
                </c:pt>
                <c:pt idx="810">
                  <c:v>8809.41</c:v>
                </c:pt>
                <c:pt idx="811">
                  <c:v>8773.73</c:v>
                </c:pt>
                <c:pt idx="812">
                  <c:v>9216.2000000000007</c:v>
                </c:pt>
                <c:pt idx="813">
                  <c:v>9339.0499999999993</c:v>
                </c:pt>
                <c:pt idx="814">
                  <c:v>9308.66</c:v>
                </c:pt>
                <c:pt idx="815">
                  <c:v>9393.35</c:v>
                </c:pt>
                <c:pt idx="816">
                  <c:v>9194.7099999999991</c:v>
                </c:pt>
                <c:pt idx="817">
                  <c:v>9289.52</c:v>
                </c:pt>
                <c:pt idx="818">
                  <c:v>9231.61</c:v>
                </c:pt>
                <c:pt idx="819">
                  <c:v>9140.85</c:v>
                </c:pt>
                <c:pt idx="820">
                  <c:v>9154.7199999999993</c:v>
                </c:pt>
                <c:pt idx="821">
                  <c:v>9407.6200000000008</c:v>
                </c:pt>
                <c:pt idx="822">
                  <c:v>9205.14</c:v>
                </c:pt>
                <c:pt idx="823">
                  <c:v>9529.93</c:v>
                </c:pt>
                <c:pt idx="824">
                  <c:v>9230</c:v>
                </c:pt>
                <c:pt idx="825">
                  <c:v>8655.02</c:v>
                </c:pt>
                <c:pt idx="826">
                  <c:v>7412.41</c:v>
                </c:pt>
                <c:pt idx="827">
                  <c:v>7466.62</c:v>
                </c:pt>
                <c:pt idx="828">
                  <c:v>8020</c:v>
                </c:pt>
                <c:pt idx="829">
                  <c:v>8197.27</c:v>
                </c:pt>
                <c:pt idx="830">
                  <c:v>8223.35</c:v>
                </c:pt>
                <c:pt idx="831">
                  <c:v>7948.01</c:v>
                </c:pt>
                <c:pt idx="832">
                  <c:v>7947.01</c:v>
                </c:pt>
                <c:pt idx="833">
                  <c:v>8070.58</c:v>
                </c:pt>
                <c:pt idx="834">
                  <c:v>7991.74</c:v>
                </c:pt>
                <c:pt idx="835">
                  <c:v>8159.29</c:v>
                </c:pt>
                <c:pt idx="836">
                  <c:v>8348.2000000000007</c:v>
                </c:pt>
                <c:pt idx="837">
                  <c:v>8275.01</c:v>
                </c:pt>
                <c:pt idx="838">
                  <c:v>8300.09</c:v>
                </c:pt>
                <c:pt idx="839">
                  <c:v>8258.5</c:v>
                </c:pt>
                <c:pt idx="840">
                  <c:v>8558.0300000000007</c:v>
                </c:pt>
                <c:pt idx="841">
                  <c:v>8560.74</c:v>
                </c:pt>
                <c:pt idx="842">
                  <c:v>8168.39</c:v>
                </c:pt>
                <c:pt idx="843">
                  <c:v>8190.09</c:v>
                </c:pt>
                <c:pt idx="844">
                  <c:v>7854.25</c:v>
                </c:pt>
                <c:pt idx="845">
                  <c:v>8126.19</c:v>
                </c:pt>
                <c:pt idx="846">
                  <c:v>8137.13</c:v>
                </c:pt>
                <c:pt idx="847">
                  <c:v>8223.9599999999991</c:v>
                </c:pt>
                <c:pt idx="848">
                  <c:v>8359.94</c:v>
                </c:pt>
                <c:pt idx="849">
                  <c:v>8292.44</c:v>
                </c:pt>
                <c:pt idx="850">
                  <c:v>8289.34</c:v>
                </c:pt>
                <c:pt idx="851">
                  <c:v>8043.82</c:v>
                </c:pt>
                <c:pt idx="852">
                  <c:v>8198.81</c:v>
                </c:pt>
                <c:pt idx="853">
                  <c:v>8177.91</c:v>
                </c:pt>
                <c:pt idx="854">
                  <c:v>8063.73</c:v>
                </c:pt>
                <c:pt idx="855">
                  <c:v>8430.0499999999993</c:v>
                </c:pt>
                <c:pt idx="856">
                  <c:v>8493.14</c:v>
                </c:pt>
                <c:pt idx="857">
                  <c:v>9702.25</c:v>
                </c:pt>
                <c:pt idx="858">
                  <c:v>10028.870000000001</c:v>
                </c:pt>
                <c:pt idx="859">
                  <c:v>9986.39</c:v>
                </c:pt>
                <c:pt idx="860">
                  <c:v>10168.59</c:v>
                </c:pt>
                <c:pt idx="861">
                  <c:v>10244.290000000001</c:v>
                </c:pt>
                <c:pt idx="862">
                  <c:v>10156.99</c:v>
                </c:pt>
                <c:pt idx="863">
                  <c:v>10187.82</c:v>
                </c:pt>
                <c:pt idx="864">
                  <c:v>10251.31</c:v>
                </c:pt>
                <c:pt idx="865">
                  <c:v>10302.01</c:v>
                </c:pt>
                <c:pt idx="866">
                  <c:v>10335.02</c:v>
                </c:pt>
                <c:pt idx="867">
                  <c:v>10342.06</c:v>
                </c:pt>
                <c:pt idx="868">
                  <c:v>10415.01</c:v>
                </c:pt>
                <c:pt idx="869">
                  <c:v>10158.33</c:v>
                </c:pt>
                <c:pt idx="870">
                  <c:v>10098.15</c:v>
                </c:pt>
                <c:pt idx="871">
                  <c:v>10303.120000000001</c:v>
                </c:pt>
                <c:pt idx="872">
                  <c:v>10381.18</c:v>
                </c:pt>
                <c:pt idx="873">
                  <c:v>10455.879999999999</c:v>
                </c:pt>
                <c:pt idx="874">
                  <c:v>10298.73</c:v>
                </c:pt>
                <c:pt idx="875">
                  <c:v>10564.49</c:v>
                </c:pt>
                <c:pt idx="876">
                  <c:v>10567.02</c:v>
                </c:pt>
                <c:pt idx="877">
                  <c:v>10615.28</c:v>
                </c:pt>
                <c:pt idx="878">
                  <c:v>10340</c:v>
                </c:pt>
                <c:pt idx="879">
                  <c:v>9724.98</c:v>
                </c:pt>
                <c:pt idx="880">
                  <c:v>9587.4699999999993</c:v>
                </c:pt>
                <c:pt idx="881">
                  <c:v>9584.5400000000009</c:v>
                </c:pt>
                <c:pt idx="882">
                  <c:v>9498.44</c:v>
                </c:pt>
                <c:pt idx="883">
                  <c:v>9721</c:v>
                </c:pt>
                <c:pt idx="884">
                  <c:v>10185.049999999999</c:v>
                </c:pt>
                <c:pt idx="885">
                  <c:v>10372.25</c:v>
                </c:pt>
                <c:pt idx="886">
                  <c:v>10142.69</c:v>
                </c:pt>
                <c:pt idx="887">
                  <c:v>10134.35</c:v>
                </c:pt>
                <c:pt idx="888">
                  <c:v>10389.549999999999</c:v>
                </c:pt>
                <c:pt idx="889">
                  <c:v>10099.879999999999</c:v>
                </c:pt>
                <c:pt idx="890">
                  <c:v>10142.57</c:v>
                </c:pt>
                <c:pt idx="891">
                  <c:v>10760.51</c:v>
                </c:pt>
                <c:pt idx="892">
                  <c:v>10915.54</c:v>
                </c:pt>
                <c:pt idx="893">
                  <c:v>10306.780000000001</c:v>
                </c:pt>
                <c:pt idx="894">
                  <c:v>10216.02</c:v>
                </c:pt>
                <c:pt idx="895">
                  <c:v>10331.540000000001</c:v>
                </c:pt>
                <c:pt idx="896">
                  <c:v>10293.93</c:v>
                </c:pt>
                <c:pt idx="897">
                  <c:v>10050.370000000001</c:v>
                </c:pt>
                <c:pt idx="898">
                  <c:v>10892.71</c:v>
                </c:pt>
                <c:pt idx="899">
                  <c:v>11396.08</c:v>
                </c:pt>
                <c:pt idx="900">
                  <c:v>11549.97</c:v>
                </c:pt>
                <c:pt idx="901">
                  <c:v>11309.31</c:v>
                </c:pt>
                <c:pt idx="902">
                  <c:v>11879.99</c:v>
                </c:pt>
                <c:pt idx="903">
                  <c:v>11999.77</c:v>
                </c:pt>
                <c:pt idx="904">
                  <c:v>11975.03</c:v>
                </c:pt>
                <c:pt idx="905">
                  <c:v>11481.69</c:v>
                </c:pt>
                <c:pt idx="906">
                  <c:v>11828.8</c:v>
                </c:pt>
                <c:pt idx="907">
                  <c:v>10929.23</c:v>
                </c:pt>
                <c:pt idx="908">
                  <c:v>10816.86</c:v>
                </c:pt>
                <c:pt idx="909">
                  <c:v>10523.75</c:v>
                </c:pt>
                <c:pt idx="910">
                  <c:v>10374.99</c:v>
                </c:pt>
                <c:pt idx="911">
                  <c:v>10080.530000000001</c:v>
                </c:pt>
                <c:pt idx="912">
                  <c:v>9574.2099999999991</c:v>
                </c:pt>
                <c:pt idx="913">
                  <c:v>9507.64</c:v>
                </c:pt>
                <c:pt idx="914">
                  <c:v>9541.5400000000009</c:v>
                </c:pt>
                <c:pt idx="915">
                  <c:v>9476.52</c:v>
                </c:pt>
                <c:pt idx="916">
                  <c:v>9824</c:v>
                </c:pt>
                <c:pt idx="917">
                  <c:v>9879.8700000000008</c:v>
                </c:pt>
                <c:pt idx="918">
                  <c:v>9763.2800000000007</c:v>
                </c:pt>
                <c:pt idx="919">
                  <c:v>9864.91</c:v>
                </c:pt>
                <c:pt idx="920">
                  <c:v>10340.31</c:v>
                </c:pt>
                <c:pt idx="921">
                  <c:v>10589.45</c:v>
                </c:pt>
                <c:pt idx="922">
                  <c:v>10740.23</c:v>
                </c:pt>
                <c:pt idx="923">
                  <c:v>10504.29</c:v>
                </c:pt>
                <c:pt idx="924">
                  <c:v>10627.16</c:v>
                </c:pt>
                <c:pt idx="925">
                  <c:v>9667.92</c:v>
                </c:pt>
                <c:pt idx="926">
                  <c:v>9439.59</c:v>
                </c:pt>
                <c:pt idx="927">
                  <c:v>10838.72</c:v>
                </c:pt>
                <c:pt idx="928">
                  <c:v>10174.18</c:v>
                </c:pt>
                <c:pt idx="929">
                  <c:v>11355.76</c:v>
                </c:pt>
                <c:pt idx="930">
                  <c:v>11757.22</c:v>
                </c:pt>
                <c:pt idx="931">
                  <c:v>11342.89</c:v>
                </c:pt>
                <c:pt idx="932">
                  <c:v>12108.37</c:v>
                </c:pt>
                <c:pt idx="933">
                  <c:v>12543.41</c:v>
                </c:pt>
                <c:pt idx="934">
                  <c:v>12238.6</c:v>
                </c:pt>
                <c:pt idx="935">
                  <c:v>11406.24</c:v>
                </c:pt>
                <c:pt idx="936">
                  <c:v>11256.49</c:v>
                </c:pt>
                <c:pt idx="937">
                  <c:v>10970.73</c:v>
                </c:pt>
                <c:pt idx="938">
                  <c:v>11145.67</c:v>
                </c:pt>
                <c:pt idx="939">
                  <c:v>11940</c:v>
                </c:pt>
                <c:pt idx="940">
                  <c:v>10842.85</c:v>
                </c:pt>
                <c:pt idx="941">
                  <c:v>10624.93</c:v>
                </c:pt>
                <c:pt idx="942">
                  <c:v>10854.1</c:v>
                </c:pt>
                <c:pt idx="943">
                  <c:v>11903.13</c:v>
                </c:pt>
                <c:pt idx="944">
                  <c:v>12400.63</c:v>
                </c:pt>
                <c:pt idx="945">
                  <c:v>11329.99</c:v>
                </c:pt>
                <c:pt idx="946">
                  <c:v>13093.8</c:v>
                </c:pt>
                <c:pt idx="947">
                  <c:v>11820.86</c:v>
                </c:pt>
                <c:pt idx="948">
                  <c:v>11056.59</c:v>
                </c:pt>
                <c:pt idx="949">
                  <c:v>10906.07</c:v>
                </c:pt>
                <c:pt idx="950">
                  <c:v>10729.5</c:v>
                </c:pt>
                <c:pt idx="951">
                  <c:v>10159.86</c:v>
                </c:pt>
                <c:pt idx="952">
                  <c:v>9517.1200000000008</c:v>
                </c:pt>
                <c:pt idx="953">
                  <c:v>9255.49</c:v>
                </c:pt>
                <c:pt idx="954">
                  <c:v>9081.5499999999993</c:v>
                </c:pt>
                <c:pt idx="955">
                  <c:v>9313.9599999999991</c:v>
                </c:pt>
                <c:pt idx="956">
                  <c:v>8953.33</c:v>
                </c:pt>
                <c:pt idx="957">
                  <c:v>8808.7000000000007</c:v>
                </c:pt>
                <c:pt idx="958">
                  <c:v>8650</c:v>
                </c:pt>
                <c:pt idx="959">
                  <c:v>8218.5400000000009</c:v>
                </c:pt>
                <c:pt idx="960">
                  <c:v>8127.64</c:v>
                </c:pt>
                <c:pt idx="961">
                  <c:v>7884.9</c:v>
                </c:pt>
                <c:pt idx="962">
                  <c:v>7982.75</c:v>
                </c:pt>
                <c:pt idx="963">
                  <c:v>7628.13</c:v>
                </c:pt>
                <c:pt idx="964">
                  <c:v>7893.62</c:v>
                </c:pt>
                <c:pt idx="965">
                  <c:v>7980.53</c:v>
                </c:pt>
                <c:pt idx="966">
                  <c:v>7786.7</c:v>
                </c:pt>
                <c:pt idx="967">
                  <c:v>7776.5</c:v>
                </c:pt>
                <c:pt idx="968">
                  <c:v>7687.03</c:v>
                </c:pt>
                <c:pt idx="969">
                  <c:v>8115.82</c:v>
                </c:pt>
                <c:pt idx="970">
                  <c:v>8725.98</c:v>
                </c:pt>
                <c:pt idx="971">
                  <c:v>8544.07</c:v>
                </c:pt>
                <c:pt idx="972">
                  <c:v>8555</c:v>
                </c:pt>
                <c:pt idx="973">
                  <c:v>8269.5400000000009</c:v>
                </c:pt>
                <c:pt idx="974">
                  <c:v>8645.68</c:v>
                </c:pt>
                <c:pt idx="975">
                  <c:v>8715.64</c:v>
                </c:pt>
                <c:pt idx="976">
                  <c:v>8756.32</c:v>
                </c:pt>
                <c:pt idx="977">
                  <c:v>8614.43</c:v>
                </c:pt>
                <c:pt idx="978">
                  <c:v>8025.41</c:v>
                </c:pt>
                <c:pt idx="979">
                  <c:v>7964.87</c:v>
                </c:pt>
                <c:pt idx="980">
                  <c:v>7851.51</c:v>
                </c:pt>
                <c:pt idx="981">
                  <c:v>7628.43</c:v>
                </c:pt>
                <c:pt idx="982">
                  <c:v>7904.87</c:v>
                </c:pt>
                <c:pt idx="983">
                  <c:v>7938.15</c:v>
                </c:pt>
                <c:pt idx="984">
                  <c:v>8148.48</c:v>
                </c:pt>
                <c:pt idx="985">
                  <c:v>7257.45</c:v>
                </c:pt>
                <c:pt idx="986">
                  <c:v>7355.26</c:v>
                </c:pt>
                <c:pt idx="987">
                  <c:v>7866.59</c:v>
                </c:pt>
                <c:pt idx="988">
                  <c:v>8169.87</c:v>
                </c:pt>
                <c:pt idx="989">
                  <c:v>7947.56</c:v>
                </c:pt>
                <c:pt idx="990">
                  <c:v>7790.71</c:v>
                </c:pt>
                <c:pt idx="991">
                  <c:v>6967.31</c:v>
                </c:pt>
                <c:pt idx="992">
                  <c:v>7076.22</c:v>
                </c:pt>
                <c:pt idx="993">
                  <c:v>6373.33</c:v>
                </c:pt>
                <c:pt idx="994">
                  <c:v>6209.18</c:v>
                </c:pt>
                <c:pt idx="995">
                  <c:v>5987.29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62-4157-8797-DB3270E60D5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8.654498011982055E-2</c:v>
                </c:pt>
                <c:pt idx="1">
                  <c:v>8.657917386094377E-2</c:v>
                </c:pt>
                <c:pt idx="2">
                  <c:v>8.6978578922487823E-2</c:v>
                </c:pt>
                <c:pt idx="3">
                  <c:v>8.6799577732626892E-2</c:v>
                </c:pt>
                <c:pt idx="4">
                  <c:v>8.6233502632892631E-2</c:v>
                </c:pt>
                <c:pt idx="5">
                  <c:v>8.5909432203890496E-2</c:v>
                </c:pt>
                <c:pt idx="6">
                  <c:v>8.6133554544498961E-2</c:v>
                </c:pt>
                <c:pt idx="7">
                  <c:v>8.6706616271040302E-2</c:v>
                </c:pt>
                <c:pt idx="8">
                  <c:v>8.7093321301850629E-2</c:v>
                </c:pt>
                <c:pt idx="9">
                  <c:v>8.7177560350069974E-2</c:v>
                </c:pt>
                <c:pt idx="10">
                  <c:v>8.7021170695544353E-2</c:v>
                </c:pt>
                <c:pt idx="11">
                  <c:v>8.7073970955421701E-2</c:v>
                </c:pt>
                <c:pt idx="12">
                  <c:v>8.7054012361362107E-2</c:v>
                </c:pt>
                <c:pt idx="13">
                  <c:v>8.7086858301838807E-2</c:v>
                </c:pt>
                <c:pt idx="14">
                  <c:v>8.6907781804870715E-2</c:v>
                </c:pt>
                <c:pt idx="15">
                  <c:v>8.7177495042635195E-2</c:v>
                </c:pt>
                <c:pt idx="16">
                  <c:v>8.6990132418083399E-2</c:v>
                </c:pt>
                <c:pt idx="17">
                  <c:v>8.6768185344006224E-2</c:v>
                </c:pt>
                <c:pt idx="18">
                  <c:v>8.6427229095580482E-2</c:v>
                </c:pt>
                <c:pt idx="19">
                  <c:v>8.6464105321625212E-2</c:v>
                </c:pt>
                <c:pt idx="20">
                  <c:v>8.6361807148916392E-2</c:v>
                </c:pt>
                <c:pt idx="21">
                  <c:v>8.6496500783150868E-2</c:v>
                </c:pt>
                <c:pt idx="22">
                  <c:v>8.6519502005705601E-2</c:v>
                </c:pt>
                <c:pt idx="23">
                  <c:v>8.6821792081140908E-2</c:v>
                </c:pt>
                <c:pt idx="24">
                  <c:v>8.7062166482998818E-2</c:v>
                </c:pt>
                <c:pt idx="25">
                  <c:v>8.7117343027395738E-2</c:v>
                </c:pt>
                <c:pt idx="26">
                  <c:v>8.7127177687448543E-2</c:v>
                </c:pt>
                <c:pt idx="27">
                  <c:v>8.698321972457089E-2</c:v>
                </c:pt>
                <c:pt idx="28">
                  <c:v>8.7201398104033045E-2</c:v>
                </c:pt>
                <c:pt idx="29">
                  <c:v>8.7134358988542548E-2</c:v>
                </c:pt>
                <c:pt idx="30">
                  <c:v>8.7387115470247551E-2</c:v>
                </c:pt>
                <c:pt idx="31">
                  <c:v>8.7783250654647371E-2</c:v>
                </c:pt>
                <c:pt idx="32">
                  <c:v>8.7982393422639651E-2</c:v>
                </c:pt>
                <c:pt idx="33">
                  <c:v>8.7878608179740941E-2</c:v>
                </c:pt>
                <c:pt idx="34">
                  <c:v>8.7972827821697117E-2</c:v>
                </c:pt>
                <c:pt idx="35">
                  <c:v>8.8096055915249993E-2</c:v>
                </c:pt>
                <c:pt idx="36">
                  <c:v>8.7853376139752512E-2</c:v>
                </c:pt>
                <c:pt idx="37">
                  <c:v>8.8045610236608451E-2</c:v>
                </c:pt>
                <c:pt idx="38">
                  <c:v>8.7791180669811647E-2</c:v>
                </c:pt>
                <c:pt idx="39">
                  <c:v>8.7658582214207664E-2</c:v>
                </c:pt>
                <c:pt idx="40">
                  <c:v>8.7866708305606209E-2</c:v>
                </c:pt>
                <c:pt idx="41">
                  <c:v>8.7764031119146588E-2</c:v>
                </c:pt>
                <c:pt idx="42">
                  <c:v>8.7965905855669893E-2</c:v>
                </c:pt>
                <c:pt idx="43">
                  <c:v>8.824512184046876E-2</c:v>
                </c:pt>
                <c:pt idx="44">
                  <c:v>8.7950879217862057E-2</c:v>
                </c:pt>
                <c:pt idx="45">
                  <c:v>8.7669718158022159E-2</c:v>
                </c:pt>
                <c:pt idx="46">
                  <c:v>8.7946431721274823E-2</c:v>
                </c:pt>
                <c:pt idx="47">
                  <c:v>8.7862162320523587E-2</c:v>
                </c:pt>
                <c:pt idx="48">
                  <c:v>8.7842029544710404E-2</c:v>
                </c:pt>
                <c:pt idx="49">
                  <c:v>8.8206374722148373E-2</c:v>
                </c:pt>
                <c:pt idx="50">
                  <c:v>8.8534401761280329E-2</c:v>
                </c:pt>
                <c:pt idx="51">
                  <c:v>8.8365567115845367E-2</c:v>
                </c:pt>
                <c:pt idx="52">
                  <c:v>8.8526554842070601E-2</c:v>
                </c:pt>
                <c:pt idx="53">
                  <c:v>8.8079638997010712E-2</c:v>
                </c:pt>
                <c:pt idx="54">
                  <c:v>8.7763783589817609E-2</c:v>
                </c:pt>
                <c:pt idx="55">
                  <c:v>8.7528271633603064E-2</c:v>
                </c:pt>
                <c:pt idx="56">
                  <c:v>8.7735105835650418E-2</c:v>
                </c:pt>
                <c:pt idx="57">
                  <c:v>8.7780391314447356E-2</c:v>
                </c:pt>
                <c:pt idx="58">
                  <c:v>8.7978439957024382E-2</c:v>
                </c:pt>
                <c:pt idx="59">
                  <c:v>8.8149895498923533E-2</c:v>
                </c:pt>
                <c:pt idx="60">
                  <c:v>8.814627212756633E-2</c:v>
                </c:pt>
                <c:pt idx="61">
                  <c:v>8.7814020743920626E-2</c:v>
                </c:pt>
                <c:pt idx="62">
                  <c:v>8.7715783817078619E-2</c:v>
                </c:pt>
                <c:pt idx="63">
                  <c:v>8.8322196539464076E-2</c:v>
                </c:pt>
                <c:pt idx="64">
                  <c:v>8.8054782047271393E-2</c:v>
                </c:pt>
                <c:pt idx="65">
                  <c:v>8.8115980703856248E-2</c:v>
                </c:pt>
                <c:pt idx="66">
                  <c:v>8.7790568125770393E-2</c:v>
                </c:pt>
                <c:pt idx="67">
                  <c:v>8.8135887999656229E-2</c:v>
                </c:pt>
                <c:pt idx="68">
                  <c:v>8.8398937540191291E-2</c:v>
                </c:pt>
                <c:pt idx="69">
                  <c:v>8.8098131073564095E-2</c:v>
                </c:pt>
                <c:pt idx="70">
                  <c:v>8.7690822833116563E-2</c:v>
                </c:pt>
                <c:pt idx="71">
                  <c:v>8.8197058842770085E-2</c:v>
                </c:pt>
                <c:pt idx="72">
                  <c:v>8.7920040730500582E-2</c:v>
                </c:pt>
                <c:pt idx="73">
                  <c:v>8.8238514786612279E-2</c:v>
                </c:pt>
                <c:pt idx="74">
                  <c:v>8.8564701149403319E-2</c:v>
                </c:pt>
                <c:pt idx="75">
                  <c:v>8.8315829727833361E-2</c:v>
                </c:pt>
                <c:pt idx="76">
                  <c:v>8.8260962377104873E-2</c:v>
                </c:pt>
                <c:pt idx="77">
                  <c:v>8.8188638431618047E-2</c:v>
                </c:pt>
                <c:pt idx="78">
                  <c:v>8.8226259449016561E-2</c:v>
                </c:pt>
                <c:pt idx="79">
                  <c:v>8.8443392994186354E-2</c:v>
                </c:pt>
                <c:pt idx="80">
                  <c:v>8.8608571311585976E-2</c:v>
                </c:pt>
                <c:pt idx="81">
                  <c:v>8.8127610801725376E-2</c:v>
                </c:pt>
                <c:pt idx="82">
                  <c:v>8.7875770125254396E-2</c:v>
                </c:pt>
                <c:pt idx="83">
                  <c:v>8.7650319148117967E-2</c:v>
                </c:pt>
                <c:pt idx="84">
                  <c:v>8.7893495948464545E-2</c:v>
                </c:pt>
                <c:pt idx="85">
                  <c:v>8.8038648387866708E-2</c:v>
                </c:pt>
                <c:pt idx="86">
                  <c:v>8.7773091035676959E-2</c:v>
                </c:pt>
                <c:pt idx="87">
                  <c:v>8.7576529665427616E-2</c:v>
                </c:pt>
                <c:pt idx="88">
                  <c:v>8.7579553303857208E-2</c:v>
                </c:pt>
                <c:pt idx="89">
                  <c:v>8.7539815400539303E-2</c:v>
                </c:pt>
                <c:pt idx="90">
                  <c:v>8.7411731863939759E-2</c:v>
                </c:pt>
                <c:pt idx="91">
                  <c:v>8.7199697946526669E-2</c:v>
                </c:pt>
                <c:pt idx="92">
                  <c:v>8.7091028338363241E-2</c:v>
                </c:pt>
                <c:pt idx="93">
                  <c:v>8.75653353154109E-2</c:v>
                </c:pt>
                <c:pt idx="94">
                  <c:v>8.7849201845264305E-2</c:v>
                </c:pt>
                <c:pt idx="95">
                  <c:v>8.7632828852693648E-2</c:v>
                </c:pt>
                <c:pt idx="96">
                  <c:v>8.7523923464445832E-2</c:v>
                </c:pt>
                <c:pt idx="97">
                  <c:v>8.7364176971539184E-2</c:v>
                </c:pt>
                <c:pt idx="98">
                  <c:v>8.7693163501634433E-2</c:v>
                </c:pt>
                <c:pt idx="99">
                  <c:v>8.832148538122804E-2</c:v>
                </c:pt>
                <c:pt idx="100">
                  <c:v>8.8099109976042408E-2</c:v>
                </c:pt>
                <c:pt idx="101">
                  <c:v>8.7632465533334897E-2</c:v>
                </c:pt>
                <c:pt idx="102">
                  <c:v>8.7363702484005074E-2</c:v>
                </c:pt>
                <c:pt idx="103">
                  <c:v>8.7026649454342714E-2</c:v>
                </c:pt>
                <c:pt idx="104">
                  <c:v>8.7150362553814947E-2</c:v>
                </c:pt>
                <c:pt idx="105">
                  <c:v>8.6667216447766815E-2</c:v>
                </c:pt>
                <c:pt idx="106">
                  <c:v>8.6831623648298106E-2</c:v>
                </c:pt>
                <c:pt idx="107">
                  <c:v>8.6400312976206595E-2</c:v>
                </c:pt>
                <c:pt idx="108">
                  <c:v>8.6339138224266254E-2</c:v>
                </c:pt>
                <c:pt idx="109">
                  <c:v>8.5923492953446506E-2</c:v>
                </c:pt>
                <c:pt idx="110">
                  <c:v>8.639940817938177E-2</c:v>
                </c:pt>
                <c:pt idx="111">
                  <c:v>8.617331359171046E-2</c:v>
                </c:pt>
                <c:pt idx="112">
                  <c:v>8.6510767931815308E-2</c:v>
                </c:pt>
                <c:pt idx="113">
                  <c:v>8.6821835087565261E-2</c:v>
                </c:pt>
                <c:pt idx="114">
                  <c:v>8.6152528287994842E-2</c:v>
                </c:pt>
                <c:pt idx="115">
                  <c:v>8.5782088225756045E-2</c:v>
                </c:pt>
                <c:pt idx="116">
                  <c:v>8.5399286954058004E-2</c:v>
                </c:pt>
                <c:pt idx="117">
                  <c:v>8.5399358020295635E-2</c:v>
                </c:pt>
                <c:pt idx="118">
                  <c:v>8.5566633849574109E-2</c:v>
                </c:pt>
                <c:pt idx="119">
                  <c:v>8.4994017836740501E-2</c:v>
                </c:pt>
                <c:pt idx="120">
                  <c:v>8.4637963116836759E-2</c:v>
                </c:pt>
                <c:pt idx="121">
                  <c:v>8.4691862788305997E-2</c:v>
                </c:pt>
                <c:pt idx="122">
                  <c:v>8.5062314310863474E-2</c:v>
                </c:pt>
                <c:pt idx="123">
                  <c:v>8.5442649469918253E-2</c:v>
                </c:pt>
                <c:pt idx="124">
                  <c:v>8.518985140682836E-2</c:v>
                </c:pt>
                <c:pt idx="125">
                  <c:v>8.5004610119288046E-2</c:v>
                </c:pt>
                <c:pt idx="126">
                  <c:v>8.5051799145583043E-2</c:v>
                </c:pt>
                <c:pt idx="127">
                  <c:v>8.462232720530527E-2</c:v>
                </c:pt>
                <c:pt idx="128">
                  <c:v>8.4194066785268543E-2</c:v>
                </c:pt>
                <c:pt idx="129">
                  <c:v>8.4564568420915392E-2</c:v>
                </c:pt>
                <c:pt idx="130">
                  <c:v>8.4763980998348032E-2</c:v>
                </c:pt>
                <c:pt idx="131">
                  <c:v>8.4902908494347784E-2</c:v>
                </c:pt>
                <c:pt idx="132">
                  <c:v>8.4782075691649486E-2</c:v>
                </c:pt>
                <c:pt idx="133">
                  <c:v>8.4841379745377282E-2</c:v>
                </c:pt>
                <c:pt idx="134">
                  <c:v>8.4868547481647988E-2</c:v>
                </c:pt>
                <c:pt idx="135">
                  <c:v>8.4616475627414728E-2</c:v>
                </c:pt>
                <c:pt idx="136">
                  <c:v>8.4214699251942846E-2</c:v>
                </c:pt>
                <c:pt idx="137">
                  <c:v>8.4283397995952483E-2</c:v>
                </c:pt>
                <c:pt idx="138">
                  <c:v>8.4124897527491541E-2</c:v>
                </c:pt>
                <c:pt idx="139">
                  <c:v>8.4212143949234569E-2</c:v>
                </c:pt>
                <c:pt idx="140">
                  <c:v>8.4459602902754394E-2</c:v>
                </c:pt>
                <c:pt idx="141">
                  <c:v>8.4492559271703599E-2</c:v>
                </c:pt>
                <c:pt idx="142">
                  <c:v>8.4416223674562391E-2</c:v>
                </c:pt>
                <c:pt idx="143">
                  <c:v>8.4664787885287626E-2</c:v>
                </c:pt>
                <c:pt idx="144">
                  <c:v>8.423544890028567E-2</c:v>
                </c:pt>
                <c:pt idx="145">
                  <c:v>8.3877370148985428E-2</c:v>
                </c:pt>
                <c:pt idx="146">
                  <c:v>8.3899497792870967E-2</c:v>
                </c:pt>
                <c:pt idx="147">
                  <c:v>8.374959083631843E-2</c:v>
                </c:pt>
                <c:pt idx="148">
                  <c:v>8.3907309088536774E-2</c:v>
                </c:pt>
                <c:pt idx="149">
                  <c:v>8.353867902821889E-2</c:v>
                </c:pt>
                <c:pt idx="150">
                  <c:v>8.3772868868445746E-2</c:v>
                </c:pt>
                <c:pt idx="151">
                  <c:v>8.4124329366873252E-2</c:v>
                </c:pt>
                <c:pt idx="152">
                  <c:v>8.4099731836068434E-2</c:v>
                </c:pt>
                <c:pt idx="153">
                  <c:v>8.4059149224029087E-2</c:v>
                </c:pt>
                <c:pt idx="154">
                  <c:v>8.3662499541617752E-2</c:v>
                </c:pt>
                <c:pt idx="155">
                  <c:v>8.396722338836779E-2</c:v>
                </c:pt>
                <c:pt idx="156">
                  <c:v>8.3642216366160441E-2</c:v>
                </c:pt>
                <c:pt idx="157">
                  <c:v>8.411895001136345E-2</c:v>
                </c:pt>
                <c:pt idx="158">
                  <c:v>8.4315568633927987E-2</c:v>
                </c:pt>
                <c:pt idx="159">
                  <c:v>8.4260133847432819E-2</c:v>
                </c:pt>
                <c:pt idx="160">
                  <c:v>8.4362239618595888E-2</c:v>
                </c:pt>
                <c:pt idx="161">
                  <c:v>8.3818667859481374E-2</c:v>
                </c:pt>
                <c:pt idx="162">
                  <c:v>8.3378250082189923E-2</c:v>
                </c:pt>
                <c:pt idx="163">
                  <c:v>8.3616932832152685E-2</c:v>
                </c:pt>
                <c:pt idx="164">
                  <c:v>8.4056221813426882E-2</c:v>
                </c:pt>
                <c:pt idx="165">
                  <c:v>8.4475230252139155E-2</c:v>
                </c:pt>
                <c:pt idx="166">
                  <c:v>8.4233360245958191E-2</c:v>
                </c:pt>
                <c:pt idx="167">
                  <c:v>8.4228693569681518E-2</c:v>
                </c:pt>
                <c:pt idx="168">
                  <c:v>8.3768916528669427E-2</c:v>
                </c:pt>
                <c:pt idx="169">
                  <c:v>8.4037585145332175E-2</c:v>
                </c:pt>
                <c:pt idx="170">
                  <c:v>8.443718177515383E-2</c:v>
                </c:pt>
                <c:pt idx="171">
                  <c:v>8.4467646839051891E-2</c:v>
                </c:pt>
                <c:pt idx="172">
                  <c:v>8.3803253197369698E-2</c:v>
                </c:pt>
                <c:pt idx="173">
                  <c:v>8.4135606514078018E-2</c:v>
                </c:pt>
                <c:pt idx="174">
                  <c:v>8.348466351224218E-2</c:v>
                </c:pt>
                <c:pt idx="175">
                  <c:v>8.2964993405609339E-2</c:v>
                </c:pt>
                <c:pt idx="176">
                  <c:v>8.2326275211236699E-2</c:v>
                </c:pt>
                <c:pt idx="177">
                  <c:v>8.1907797734939197E-2</c:v>
                </c:pt>
                <c:pt idx="178">
                  <c:v>8.2177073623372204E-2</c:v>
                </c:pt>
                <c:pt idx="179">
                  <c:v>8.2425399920029896E-2</c:v>
                </c:pt>
                <c:pt idx="180">
                  <c:v>8.2821113907337998E-2</c:v>
                </c:pt>
                <c:pt idx="181">
                  <c:v>8.2983584238435035E-2</c:v>
                </c:pt>
                <c:pt idx="182">
                  <c:v>8.2288127749679363E-2</c:v>
                </c:pt>
                <c:pt idx="183">
                  <c:v>8.2215769841040148E-2</c:v>
                </c:pt>
                <c:pt idx="184">
                  <c:v>8.2040931479756024E-2</c:v>
                </c:pt>
                <c:pt idx="185">
                  <c:v>8.1204374689457334E-2</c:v>
                </c:pt>
                <c:pt idx="186">
                  <c:v>8.1569680830941224E-2</c:v>
                </c:pt>
                <c:pt idx="187">
                  <c:v>8.1101657116733908E-2</c:v>
                </c:pt>
                <c:pt idx="188">
                  <c:v>8.0833079589188186E-2</c:v>
                </c:pt>
                <c:pt idx="189">
                  <c:v>8.0341191318005017E-2</c:v>
                </c:pt>
                <c:pt idx="190">
                  <c:v>8.0196841067026778E-2</c:v>
                </c:pt>
                <c:pt idx="191">
                  <c:v>7.9718907936520242E-2</c:v>
                </c:pt>
                <c:pt idx="192">
                  <c:v>7.9978889112894594E-2</c:v>
                </c:pt>
                <c:pt idx="193">
                  <c:v>8.0177936428553795E-2</c:v>
                </c:pt>
                <c:pt idx="194">
                  <c:v>8.0174373938505711E-2</c:v>
                </c:pt>
                <c:pt idx="195">
                  <c:v>8.0208785333919508E-2</c:v>
                </c:pt>
                <c:pt idx="196">
                  <c:v>8.0406638958949062E-2</c:v>
                </c:pt>
                <c:pt idx="197">
                  <c:v>8.0547108168348799E-2</c:v>
                </c:pt>
                <c:pt idx="198">
                  <c:v>8.0255198016378454E-2</c:v>
                </c:pt>
                <c:pt idx="199">
                  <c:v>8.0285095281322175E-2</c:v>
                </c:pt>
                <c:pt idx="200">
                  <c:v>8.0562605417460284E-2</c:v>
                </c:pt>
                <c:pt idx="201">
                  <c:v>8.0435920497602995E-2</c:v>
                </c:pt>
                <c:pt idx="202">
                  <c:v>8.0508096069453319E-2</c:v>
                </c:pt>
                <c:pt idx="203">
                  <c:v>8.0182300969375161E-2</c:v>
                </c:pt>
                <c:pt idx="204">
                  <c:v>8.0278921103385387E-2</c:v>
                </c:pt>
                <c:pt idx="205">
                  <c:v>8.074615274548913E-2</c:v>
                </c:pt>
                <c:pt idx="206">
                  <c:v>8.0823501293244157E-2</c:v>
                </c:pt>
                <c:pt idx="207">
                  <c:v>8.1130793008303295E-2</c:v>
                </c:pt>
                <c:pt idx="208">
                  <c:v>8.1063497198623116E-2</c:v>
                </c:pt>
                <c:pt idx="209">
                  <c:v>8.0779175928477831E-2</c:v>
                </c:pt>
                <c:pt idx="210">
                  <c:v>8.038490175061995E-2</c:v>
                </c:pt>
                <c:pt idx="211">
                  <c:v>8.0616900789854118E-2</c:v>
                </c:pt>
                <c:pt idx="212">
                  <c:v>8.062710772420939E-2</c:v>
                </c:pt>
                <c:pt idx="213">
                  <c:v>8.0245523090817061E-2</c:v>
                </c:pt>
                <c:pt idx="214">
                  <c:v>8.0343302378500681E-2</c:v>
                </c:pt>
                <c:pt idx="215">
                  <c:v>7.9411045748127504E-2</c:v>
                </c:pt>
                <c:pt idx="216">
                  <c:v>7.8706053507544074E-2</c:v>
                </c:pt>
                <c:pt idx="217">
                  <c:v>7.9696652423938807E-2</c:v>
                </c:pt>
                <c:pt idx="218">
                  <c:v>7.9195666623314981E-2</c:v>
                </c:pt>
                <c:pt idx="219">
                  <c:v>7.8881173418499539E-2</c:v>
                </c:pt>
                <c:pt idx="220">
                  <c:v>7.7556372750048161E-2</c:v>
                </c:pt>
                <c:pt idx="221">
                  <c:v>7.8975767218633044E-2</c:v>
                </c:pt>
                <c:pt idx="222">
                  <c:v>7.8421880142873837E-2</c:v>
                </c:pt>
                <c:pt idx="223">
                  <c:v>7.8543673237970416E-2</c:v>
                </c:pt>
                <c:pt idx="224">
                  <c:v>7.9068046361119027E-2</c:v>
                </c:pt>
                <c:pt idx="225">
                  <c:v>7.9335834365394958E-2</c:v>
                </c:pt>
                <c:pt idx="226">
                  <c:v>8.0043916905529533E-2</c:v>
                </c:pt>
                <c:pt idx="227">
                  <c:v>8.0286504374242687E-2</c:v>
                </c:pt>
                <c:pt idx="228">
                  <c:v>7.9710645938902411E-2</c:v>
                </c:pt>
                <c:pt idx="229">
                  <c:v>7.8976594775782588E-2</c:v>
                </c:pt>
                <c:pt idx="230">
                  <c:v>7.9274300837571324E-2</c:v>
                </c:pt>
                <c:pt idx="231">
                  <c:v>7.880322939645143E-2</c:v>
                </c:pt>
                <c:pt idx="232">
                  <c:v>7.9175824319714885E-2</c:v>
                </c:pt>
                <c:pt idx="233">
                  <c:v>7.7887778379207004E-2</c:v>
                </c:pt>
                <c:pt idx="234">
                  <c:v>7.7207404305247168E-2</c:v>
                </c:pt>
                <c:pt idx="235">
                  <c:v>7.7874208429527553E-2</c:v>
                </c:pt>
                <c:pt idx="236">
                  <c:v>7.7915639109988249E-2</c:v>
                </c:pt>
                <c:pt idx="237">
                  <c:v>7.8298623791789576E-2</c:v>
                </c:pt>
                <c:pt idx="238">
                  <c:v>7.8588729096189261E-2</c:v>
                </c:pt>
                <c:pt idx="239">
                  <c:v>7.7980701366424279E-2</c:v>
                </c:pt>
                <c:pt idx="240">
                  <c:v>7.7689720867642781E-2</c:v>
                </c:pt>
                <c:pt idx="241">
                  <c:v>7.7753369224093774E-2</c:v>
                </c:pt>
                <c:pt idx="242">
                  <c:v>7.6949795751110925E-2</c:v>
                </c:pt>
                <c:pt idx="243">
                  <c:v>7.6614986225001985E-2</c:v>
                </c:pt>
                <c:pt idx="244">
                  <c:v>7.71503716801753E-2</c:v>
                </c:pt>
                <c:pt idx="245">
                  <c:v>7.7871785509013719E-2</c:v>
                </c:pt>
                <c:pt idx="246">
                  <c:v>7.8000000293965657E-2</c:v>
                </c:pt>
                <c:pt idx="247">
                  <c:v>7.8054317740431686E-2</c:v>
                </c:pt>
                <c:pt idx="248">
                  <c:v>7.7908832077420331E-2</c:v>
                </c:pt>
                <c:pt idx="249">
                  <c:v>7.6909355373621882E-2</c:v>
                </c:pt>
                <c:pt idx="250">
                  <c:v>7.6930933625172712E-2</c:v>
                </c:pt>
                <c:pt idx="251">
                  <c:v>7.6627570952987209E-2</c:v>
                </c:pt>
                <c:pt idx="252">
                  <c:v>7.6902230514143896E-2</c:v>
                </c:pt>
                <c:pt idx="253">
                  <c:v>7.590028903708386E-2</c:v>
                </c:pt>
                <c:pt idx="254">
                  <c:v>7.5953688007720316E-2</c:v>
                </c:pt>
                <c:pt idx="255">
                  <c:v>7.6728138607075128E-2</c:v>
                </c:pt>
                <c:pt idx="256">
                  <c:v>7.7301183159271231E-2</c:v>
                </c:pt>
                <c:pt idx="257">
                  <c:v>7.744631089334883E-2</c:v>
                </c:pt>
                <c:pt idx="258">
                  <c:v>7.8250928595179223E-2</c:v>
                </c:pt>
                <c:pt idx="259">
                  <c:v>7.8429955187009848E-2</c:v>
                </c:pt>
                <c:pt idx="260">
                  <c:v>7.788787661109127E-2</c:v>
                </c:pt>
                <c:pt idx="261">
                  <c:v>7.866721992121431E-2</c:v>
                </c:pt>
                <c:pt idx="262">
                  <c:v>7.8123246437671795E-2</c:v>
                </c:pt>
                <c:pt idx="263">
                  <c:v>7.8309427432214765E-2</c:v>
                </c:pt>
                <c:pt idx="264">
                  <c:v>7.8093922672438587E-2</c:v>
                </c:pt>
                <c:pt idx="265">
                  <c:v>7.7738911570239821E-2</c:v>
                </c:pt>
                <c:pt idx="266">
                  <c:v>7.7577535729763045E-2</c:v>
                </c:pt>
                <c:pt idx="267">
                  <c:v>7.774913435945606E-2</c:v>
                </c:pt>
                <c:pt idx="268">
                  <c:v>7.7165913406253922E-2</c:v>
                </c:pt>
                <c:pt idx="269">
                  <c:v>7.795616426333489E-2</c:v>
                </c:pt>
                <c:pt idx="270">
                  <c:v>7.8200140264927984E-2</c:v>
                </c:pt>
                <c:pt idx="271">
                  <c:v>7.8355152086046459E-2</c:v>
                </c:pt>
                <c:pt idx="272">
                  <c:v>7.8302245202050744E-2</c:v>
                </c:pt>
                <c:pt idx="273">
                  <c:v>7.7690917708579305E-2</c:v>
                </c:pt>
                <c:pt idx="274">
                  <c:v>7.7767273334215306E-2</c:v>
                </c:pt>
                <c:pt idx="275">
                  <c:v>7.7882963722425327E-2</c:v>
                </c:pt>
                <c:pt idx="276">
                  <c:v>7.7558787267144852E-2</c:v>
                </c:pt>
                <c:pt idx="277">
                  <c:v>7.6805117765597272E-2</c:v>
                </c:pt>
                <c:pt idx="278">
                  <c:v>7.6703331202340089E-2</c:v>
                </c:pt>
                <c:pt idx="279">
                  <c:v>7.6643245246117583E-2</c:v>
                </c:pt>
                <c:pt idx="280">
                  <c:v>7.5895731740373534E-2</c:v>
                </c:pt>
                <c:pt idx="281">
                  <c:v>7.6445863290856453E-2</c:v>
                </c:pt>
                <c:pt idx="282">
                  <c:v>7.7011088823279325E-2</c:v>
                </c:pt>
                <c:pt idx="283">
                  <c:v>7.6536556846276499E-2</c:v>
                </c:pt>
                <c:pt idx="284">
                  <c:v>7.665066389349362E-2</c:v>
                </c:pt>
                <c:pt idx="285">
                  <c:v>7.653714393813342E-2</c:v>
                </c:pt>
                <c:pt idx="286">
                  <c:v>7.6954774584178626E-2</c:v>
                </c:pt>
                <c:pt idx="287">
                  <c:v>7.7176588987599284E-2</c:v>
                </c:pt>
                <c:pt idx="288">
                  <c:v>7.7031517166352176E-2</c:v>
                </c:pt>
                <c:pt idx="289">
                  <c:v>7.7086379255295892E-2</c:v>
                </c:pt>
                <c:pt idx="290">
                  <c:v>7.6342467427202396E-2</c:v>
                </c:pt>
                <c:pt idx="291">
                  <c:v>7.6611584984774717E-2</c:v>
                </c:pt>
                <c:pt idx="292">
                  <c:v>7.6591002136684225E-2</c:v>
                </c:pt>
                <c:pt idx="293">
                  <c:v>7.6564156053405719E-2</c:v>
                </c:pt>
                <c:pt idx="294">
                  <c:v>7.665096617410215E-2</c:v>
                </c:pt>
                <c:pt idx="295">
                  <c:v>7.623549545092391E-2</c:v>
                </c:pt>
                <c:pt idx="296">
                  <c:v>7.6732684048690103E-2</c:v>
                </c:pt>
                <c:pt idx="297">
                  <c:v>7.6973715057100225E-2</c:v>
                </c:pt>
                <c:pt idx="298">
                  <c:v>7.6492918943352833E-2</c:v>
                </c:pt>
                <c:pt idx="299">
                  <c:v>7.6193950512163836E-2</c:v>
                </c:pt>
                <c:pt idx="300">
                  <c:v>7.6612057042495893E-2</c:v>
                </c:pt>
                <c:pt idx="301">
                  <c:v>7.6806930456646577E-2</c:v>
                </c:pt>
                <c:pt idx="302">
                  <c:v>7.6802224123793325E-2</c:v>
                </c:pt>
                <c:pt idx="303">
                  <c:v>7.6618734211336512E-2</c:v>
                </c:pt>
                <c:pt idx="304">
                  <c:v>7.6365811566016004E-2</c:v>
                </c:pt>
                <c:pt idx="305">
                  <c:v>7.5977177375362637E-2</c:v>
                </c:pt>
                <c:pt idx="306">
                  <c:v>7.5913692351054912E-2</c:v>
                </c:pt>
                <c:pt idx="307">
                  <c:v>7.5734443892612677E-2</c:v>
                </c:pt>
                <c:pt idx="308">
                  <c:v>7.5112138621576771E-2</c:v>
                </c:pt>
                <c:pt idx="309">
                  <c:v>7.5456613072603304E-2</c:v>
                </c:pt>
                <c:pt idx="310">
                  <c:v>7.610861539277719E-2</c:v>
                </c:pt>
                <c:pt idx="311">
                  <c:v>7.6140109935758149E-2</c:v>
                </c:pt>
                <c:pt idx="312">
                  <c:v>7.6652497957251681E-2</c:v>
                </c:pt>
                <c:pt idx="313">
                  <c:v>7.6549781996195387E-2</c:v>
                </c:pt>
                <c:pt idx="314">
                  <c:v>7.687272203925527E-2</c:v>
                </c:pt>
                <c:pt idx="315">
                  <c:v>7.6820074736429378E-2</c:v>
                </c:pt>
                <c:pt idx="316">
                  <c:v>7.7217943116404522E-2</c:v>
                </c:pt>
                <c:pt idx="317">
                  <c:v>7.6531658070397399E-2</c:v>
                </c:pt>
                <c:pt idx="318">
                  <c:v>7.5767758732111098E-2</c:v>
                </c:pt>
                <c:pt idx="319">
                  <c:v>7.6453028197676576E-2</c:v>
                </c:pt>
                <c:pt idx="320">
                  <c:v>7.697845511880308E-2</c:v>
                </c:pt>
                <c:pt idx="321">
                  <c:v>7.6335315656675173E-2</c:v>
                </c:pt>
                <c:pt idx="322">
                  <c:v>7.6006006144779717E-2</c:v>
                </c:pt>
                <c:pt idx="323">
                  <c:v>7.5346091160267567E-2</c:v>
                </c:pt>
                <c:pt idx="324">
                  <c:v>7.5092678233178459E-2</c:v>
                </c:pt>
                <c:pt idx="325">
                  <c:v>7.4380956291076439E-2</c:v>
                </c:pt>
                <c:pt idx="326">
                  <c:v>7.3722907860433326E-2</c:v>
                </c:pt>
                <c:pt idx="327">
                  <c:v>7.3376317378909553E-2</c:v>
                </c:pt>
                <c:pt idx="328">
                  <c:v>7.3064814019044549E-2</c:v>
                </c:pt>
                <c:pt idx="329">
                  <c:v>7.2629148720166153E-2</c:v>
                </c:pt>
                <c:pt idx="330">
                  <c:v>7.3117577009671267E-2</c:v>
                </c:pt>
                <c:pt idx="331">
                  <c:v>7.3125069541098431E-2</c:v>
                </c:pt>
                <c:pt idx="332">
                  <c:v>7.3199692606261094E-2</c:v>
                </c:pt>
                <c:pt idx="333">
                  <c:v>7.2420202644395942E-2</c:v>
                </c:pt>
                <c:pt idx="334">
                  <c:v>7.2275739270188391E-2</c:v>
                </c:pt>
                <c:pt idx="335">
                  <c:v>7.2505636423446068E-2</c:v>
                </c:pt>
                <c:pt idx="336">
                  <c:v>7.2499845065974788E-2</c:v>
                </c:pt>
                <c:pt idx="337">
                  <c:v>7.3208968074228928E-2</c:v>
                </c:pt>
                <c:pt idx="338">
                  <c:v>7.3001857778053042E-2</c:v>
                </c:pt>
                <c:pt idx="339">
                  <c:v>7.3237780693671387E-2</c:v>
                </c:pt>
                <c:pt idx="340">
                  <c:v>7.2825022897533898E-2</c:v>
                </c:pt>
                <c:pt idx="341">
                  <c:v>7.2625399219182638E-2</c:v>
                </c:pt>
                <c:pt idx="342">
                  <c:v>7.2600504121933307E-2</c:v>
                </c:pt>
                <c:pt idx="343">
                  <c:v>7.1934002200354119E-2</c:v>
                </c:pt>
                <c:pt idx="344">
                  <c:v>7.2055921332716211E-2</c:v>
                </c:pt>
                <c:pt idx="345">
                  <c:v>7.1431555093382185E-2</c:v>
                </c:pt>
                <c:pt idx="346">
                  <c:v>7.1293210591646547E-2</c:v>
                </c:pt>
                <c:pt idx="347">
                  <c:v>7.1006905656923192E-2</c:v>
                </c:pt>
                <c:pt idx="348">
                  <c:v>7.0888091574094911E-2</c:v>
                </c:pt>
                <c:pt idx="349">
                  <c:v>7.0902875522487252E-2</c:v>
                </c:pt>
                <c:pt idx="350">
                  <c:v>7.1063641710683967E-2</c:v>
                </c:pt>
                <c:pt idx="351">
                  <c:v>7.0439259766777368E-2</c:v>
                </c:pt>
                <c:pt idx="352">
                  <c:v>7.0824796195522136E-2</c:v>
                </c:pt>
                <c:pt idx="353">
                  <c:v>7.0920083309123402E-2</c:v>
                </c:pt>
                <c:pt idx="354">
                  <c:v>6.9666189839461393E-2</c:v>
                </c:pt>
                <c:pt idx="355">
                  <c:v>6.9472113869813348E-2</c:v>
                </c:pt>
                <c:pt idx="356">
                  <c:v>6.9759625664292849E-2</c:v>
                </c:pt>
                <c:pt idx="357">
                  <c:v>6.9108048338890934E-2</c:v>
                </c:pt>
                <c:pt idx="358">
                  <c:v>6.9468550104641966E-2</c:v>
                </c:pt>
                <c:pt idx="359">
                  <c:v>6.8691443622189485E-2</c:v>
                </c:pt>
                <c:pt idx="360">
                  <c:v>6.8226038167258196E-2</c:v>
                </c:pt>
                <c:pt idx="361">
                  <c:v>6.8212607734670527E-2</c:v>
                </c:pt>
                <c:pt idx="362">
                  <c:v>6.831659095397806E-2</c:v>
                </c:pt>
                <c:pt idx="363">
                  <c:v>6.8007412103192499E-2</c:v>
                </c:pt>
                <c:pt idx="364">
                  <c:v>6.8688159763180046E-2</c:v>
                </c:pt>
                <c:pt idx="365">
                  <c:v>6.7958906989420462E-2</c:v>
                </c:pt>
                <c:pt idx="366">
                  <c:v>6.826748213238755E-2</c:v>
                </c:pt>
                <c:pt idx="367">
                  <c:v>6.7787983558304607E-2</c:v>
                </c:pt>
                <c:pt idx="368">
                  <c:v>6.8467502411621126E-2</c:v>
                </c:pt>
                <c:pt idx="369">
                  <c:v>6.8320941622879799E-2</c:v>
                </c:pt>
                <c:pt idx="370">
                  <c:v>6.853674286470772E-2</c:v>
                </c:pt>
                <c:pt idx="371">
                  <c:v>6.7613441231012122E-2</c:v>
                </c:pt>
                <c:pt idx="372">
                  <c:v>6.8560006922044114E-2</c:v>
                </c:pt>
                <c:pt idx="373">
                  <c:v>6.8227718011933641E-2</c:v>
                </c:pt>
                <c:pt idx="374">
                  <c:v>6.898618326040161E-2</c:v>
                </c:pt>
                <c:pt idx="375">
                  <c:v>6.8723309858483461E-2</c:v>
                </c:pt>
                <c:pt idx="376">
                  <c:v>6.846842830814856E-2</c:v>
                </c:pt>
                <c:pt idx="377">
                  <c:v>6.890741224834801E-2</c:v>
                </c:pt>
                <c:pt idx="378">
                  <c:v>6.9056141356452744E-2</c:v>
                </c:pt>
                <c:pt idx="379">
                  <c:v>6.8605488617759378E-2</c:v>
                </c:pt>
                <c:pt idx="380">
                  <c:v>6.7578543543873451E-2</c:v>
                </c:pt>
                <c:pt idx="381">
                  <c:v>6.7923964343353099E-2</c:v>
                </c:pt>
                <c:pt idx="382">
                  <c:v>6.7249365545755072E-2</c:v>
                </c:pt>
                <c:pt idx="383">
                  <c:v>6.7279883813160163E-2</c:v>
                </c:pt>
                <c:pt idx="384">
                  <c:v>6.7258105315843031E-2</c:v>
                </c:pt>
                <c:pt idx="385">
                  <c:v>6.6561561454589024E-2</c:v>
                </c:pt>
                <c:pt idx="386">
                  <c:v>6.5842845347201057E-2</c:v>
                </c:pt>
                <c:pt idx="387">
                  <c:v>6.468974065990539E-2</c:v>
                </c:pt>
                <c:pt idx="388">
                  <c:v>6.3742850744611446E-2</c:v>
                </c:pt>
                <c:pt idx="389">
                  <c:v>6.3163945404396779E-2</c:v>
                </c:pt>
                <c:pt idx="390">
                  <c:v>6.3482331679091106E-2</c:v>
                </c:pt>
                <c:pt idx="391">
                  <c:v>6.2852250451938152E-2</c:v>
                </c:pt>
                <c:pt idx="392">
                  <c:v>6.2608501445611961E-2</c:v>
                </c:pt>
                <c:pt idx="393">
                  <c:v>6.2245404478010004E-2</c:v>
                </c:pt>
                <c:pt idx="394">
                  <c:v>6.1428915388123749E-2</c:v>
                </c:pt>
                <c:pt idx="395">
                  <c:v>6.0757482989059176E-2</c:v>
                </c:pt>
                <c:pt idx="396">
                  <c:v>6.0439610348608001E-2</c:v>
                </c:pt>
                <c:pt idx="397">
                  <c:v>6.1289701285860157E-2</c:v>
                </c:pt>
                <c:pt idx="398">
                  <c:v>6.0620414880292954E-2</c:v>
                </c:pt>
                <c:pt idx="399">
                  <c:v>5.9915965720107718E-2</c:v>
                </c:pt>
                <c:pt idx="400">
                  <c:v>5.9308352238189511E-2</c:v>
                </c:pt>
                <c:pt idx="401">
                  <c:v>5.9494446914604142E-2</c:v>
                </c:pt>
                <c:pt idx="402">
                  <c:v>5.8654982291128685E-2</c:v>
                </c:pt>
                <c:pt idx="403">
                  <c:v>5.8839044905317134E-2</c:v>
                </c:pt>
                <c:pt idx="404">
                  <c:v>5.9114732007165813E-2</c:v>
                </c:pt>
                <c:pt idx="405">
                  <c:v>5.8677839034182736E-2</c:v>
                </c:pt>
                <c:pt idx="406">
                  <c:v>5.818421321403075E-2</c:v>
                </c:pt>
                <c:pt idx="407">
                  <c:v>5.777824870321973E-2</c:v>
                </c:pt>
                <c:pt idx="408">
                  <c:v>5.6860130435700269E-2</c:v>
                </c:pt>
                <c:pt idx="409">
                  <c:v>5.658323138821332E-2</c:v>
                </c:pt>
                <c:pt idx="410">
                  <c:v>5.6316099563821331E-2</c:v>
                </c:pt>
                <c:pt idx="411">
                  <c:v>5.6131954441191907E-2</c:v>
                </c:pt>
                <c:pt idx="412">
                  <c:v>5.5786142806816458E-2</c:v>
                </c:pt>
                <c:pt idx="413">
                  <c:v>5.557649496331462E-2</c:v>
                </c:pt>
                <c:pt idx="414">
                  <c:v>5.5543084295451156E-2</c:v>
                </c:pt>
                <c:pt idx="415">
                  <c:v>5.4905327003812815E-2</c:v>
                </c:pt>
                <c:pt idx="416">
                  <c:v>5.5381877060341304E-2</c:v>
                </c:pt>
                <c:pt idx="417">
                  <c:v>5.5373882606624479E-2</c:v>
                </c:pt>
                <c:pt idx="418">
                  <c:v>5.5083196319161067E-2</c:v>
                </c:pt>
                <c:pt idx="419">
                  <c:v>5.4691172775621077E-2</c:v>
                </c:pt>
                <c:pt idx="420">
                  <c:v>5.5277688473367906E-2</c:v>
                </c:pt>
                <c:pt idx="421">
                  <c:v>5.4932195814114619E-2</c:v>
                </c:pt>
                <c:pt idx="422">
                  <c:v>5.4379980696503613E-2</c:v>
                </c:pt>
                <c:pt idx="423">
                  <c:v>5.4623077213211607E-2</c:v>
                </c:pt>
                <c:pt idx="424">
                  <c:v>5.3698644292374934E-2</c:v>
                </c:pt>
                <c:pt idx="425">
                  <c:v>5.3375136410206164E-2</c:v>
                </c:pt>
                <c:pt idx="426">
                  <c:v>5.2931506730975179E-2</c:v>
                </c:pt>
                <c:pt idx="427">
                  <c:v>5.2610795807599454E-2</c:v>
                </c:pt>
                <c:pt idx="428">
                  <c:v>5.3144506506834055E-2</c:v>
                </c:pt>
                <c:pt idx="429">
                  <c:v>5.3662300277697042E-2</c:v>
                </c:pt>
                <c:pt idx="430">
                  <c:v>5.2946380937987668E-2</c:v>
                </c:pt>
                <c:pt idx="431">
                  <c:v>5.297887238946012E-2</c:v>
                </c:pt>
                <c:pt idx="432">
                  <c:v>5.2643442106263115E-2</c:v>
                </c:pt>
                <c:pt idx="433">
                  <c:v>5.2490383150786198E-2</c:v>
                </c:pt>
                <c:pt idx="434">
                  <c:v>5.1868581444847073E-2</c:v>
                </c:pt>
                <c:pt idx="435">
                  <c:v>5.1769208912627547E-2</c:v>
                </c:pt>
                <c:pt idx="436">
                  <c:v>5.1933446075362523E-2</c:v>
                </c:pt>
                <c:pt idx="437">
                  <c:v>5.1129194016975632E-2</c:v>
                </c:pt>
                <c:pt idx="438">
                  <c:v>5.0582542995807112E-2</c:v>
                </c:pt>
                <c:pt idx="439">
                  <c:v>5.0626346375850763E-2</c:v>
                </c:pt>
                <c:pt idx="440">
                  <c:v>5.0496855310194814E-2</c:v>
                </c:pt>
                <c:pt idx="441">
                  <c:v>5.0196971149747992E-2</c:v>
                </c:pt>
                <c:pt idx="442">
                  <c:v>4.928591730220129E-2</c:v>
                </c:pt>
                <c:pt idx="443">
                  <c:v>4.9137664430166587E-2</c:v>
                </c:pt>
                <c:pt idx="444">
                  <c:v>4.903904721029799E-2</c:v>
                </c:pt>
                <c:pt idx="445">
                  <c:v>4.9027164169397112E-2</c:v>
                </c:pt>
                <c:pt idx="446">
                  <c:v>4.8614033768102902E-2</c:v>
                </c:pt>
                <c:pt idx="447">
                  <c:v>4.8945928940102121E-2</c:v>
                </c:pt>
                <c:pt idx="448">
                  <c:v>4.8893669496651256E-2</c:v>
                </c:pt>
                <c:pt idx="449">
                  <c:v>4.7733907173705598E-2</c:v>
                </c:pt>
                <c:pt idx="450">
                  <c:v>4.7095182072563725E-2</c:v>
                </c:pt>
                <c:pt idx="451">
                  <c:v>4.6434828805427805E-2</c:v>
                </c:pt>
                <c:pt idx="452">
                  <c:v>4.635989535192122E-2</c:v>
                </c:pt>
                <c:pt idx="453">
                  <c:v>4.6328828872018821E-2</c:v>
                </c:pt>
                <c:pt idx="454">
                  <c:v>4.6259875839116754E-2</c:v>
                </c:pt>
                <c:pt idx="455">
                  <c:v>4.5833087474914644E-2</c:v>
                </c:pt>
                <c:pt idx="456">
                  <c:v>4.5472565952587411E-2</c:v>
                </c:pt>
                <c:pt idx="457">
                  <c:v>4.5681262988903112E-2</c:v>
                </c:pt>
                <c:pt idx="458">
                  <c:v>4.5194879116897346E-2</c:v>
                </c:pt>
                <c:pt idx="459">
                  <c:v>4.50655042672276E-2</c:v>
                </c:pt>
                <c:pt idx="460">
                  <c:v>4.5215715696832609E-2</c:v>
                </c:pt>
                <c:pt idx="461">
                  <c:v>4.4989471097377179E-2</c:v>
                </c:pt>
                <c:pt idx="462">
                  <c:v>4.4828339496507268E-2</c:v>
                </c:pt>
                <c:pt idx="463">
                  <c:v>4.472615233810575E-2</c:v>
                </c:pt>
                <c:pt idx="464">
                  <c:v>4.4332396082253839E-2</c:v>
                </c:pt>
                <c:pt idx="465">
                  <c:v>4.4153271510717525E-2</c:v>
                </c:pt>
                <c:pt idx="466">
                  <c:v>4.3844426841915161E-2</c:v>
                </c:pt>
                <c:pt idx="467">
                  <c:v>4.3617041564986296E-2</c:v>
                </c:pt>
                <c:pt idx="468">
                  <c:v>4.3521478257302251E-2</c:v>
                </c:pt>
                <c:pt idx="469">
                  <c:v>4.3668107520132379E-2</c:v>
                </c:pt>
                <c:pt idx="470">
                  <c:v>4.3479096711132467E-2</c:v>
                </c:pt>
                <c:pt idx="471">
                  <c:v>4.3467042161281097E-2</c:v>
                </c:pt>
                <c:pt idx="472">
                  <c:v>4.3493120756818028E-2</c:v>
                </c:pt>
                <c:pt idx="473">
                  <c:v>4.3334561042260668E-2</c:v>
                </c:pt>
                <c:pt idx="474">
                  <c:v>4.3241153941793627E-2</c:v>
                </c:pt>
                <c:pt idx="475">
                  <c:v>4.3196632924293821E-2</c:v>
                </c:pt>
                <c:pt idx="476">
                  <c:v>4.2903244233340021E-2</c:v>
                </c:pt>
                <c:pt idx="477">
                  <c:v>4.2444152823714248E-2</c:v>
                </c:pt>
                <c:pt idx="478">
                  <c:v>4.2190893585554903E-2</c:v>
                </c:pt>
                <c:pt idx="479">
                  <c:v>4.2413345999460186E-2</c:v>
                </c:pt>
                <c:pt idx="480">
                  <c:v>4.2094695002799769E-2</c:v>
                </c:pt>
                <c:pt idx="481">
                  <c:v>4.1941003023523826E-2</c:v>
                </c:pt>
                <c:pt idx="482">
                  <c:v>4.1974106825514668E-2</c:v>
                </c:pt>
                <c:pt idx="483">
                  <c:v>4.1797898422648479E-2</c:v>
                </c:pt>
                <c:pt idx="484">
                  <c:v>4.1947531308108417E-2</c:v>
                </c:pt>
                <c:pt idx="485">
                  <c:v>4.1864323978558743E-2</c:v>
                </c:pt>
                <c:pt idx="486">
                  <c:v>4.1543398169833302E-2</c:v>
                </c:pt>
                <c:pt idx="487">
                  <c:v>4.1827518646951806E-2</c:v>
                </c:pt>
                <c:pt idx="488">
                  <c:v>4.1596085888132434E-2</c:v>
                </c:pt>
                <c:pt idx="489">
                  <c:v>4.1609662618228252E-2</c:v>
                </c:pt>
                <c:pt idx="490">
                  <c:v>4.1476465683031101E-2</c:v>
                </c:pt>
                <c:pt idx="491">
                  <c:v>4.1012168467154268E-2</c:v>
                </c:pt>
                <c:pt idx="492">
                  <c:v>4.1259739679191665E-2</c:v>
                </c:pt>
                <c:pt idx="493">
                  <c:v>4.0992420492609309E-2</c:v>
                </c:pt>
                <c:pt idx="494">
                  <c:v>4.1452514502407847E-2</c:v>
                </c:pt>
                <c:pt idx="495">
                  <c:v>4.1412090878062136E-2</c:v>
                </c:pt>
                <c:pt idx="496">
                  <c:v>4.128833925129885E-2</c:v>
                </c:pt>
                <c:pt idx="497">
                  <c:v>4.1254944622458524E-2</c:v>
                </c:pt>
                <c:pt idx="498">
                  <c:v>4.1090364734177078E-2</c:v>
                </c:pt>
                <c:pt idx="499">
                  <c:v>4.0858865021052987E-2</c:v>
                </c:pt>
                <c:pt idx="500">
                  <c:v>4.0793710315897756E-2</c:v>
                </c:pt>
                <c:pt idx="501">
                  <c:v>4.0318261112557111E-2</c:v>
                </c:pt>
                <c:pt idx="502">
                  <c:v>4.0450254863025371E-2</c:v>
                </c:pt>
                <c:pt idx="503">
                  <c:v>4.0222066783790825E-2</c:v>
                </c:pt>
                <c:pt idx="504">
                  <c:v>3.9826840329290313E-2</c:v>
                </c:pt>
                <c:pt idx="505">
                  <c:v>3.9658004423192429E-2</c:v>
                </c:pt>
                <c:pt idx="506">
                  <c:v>3.9502065962327852E-2</c:v>
                </c:pt>
                <c:pt idx="507">
                  <c:v>3.9545436169489495E-2</c:v>
                </c:pt>
                <c:pt idx="508">
                  <c:v>3.9006452184951482E-2</c:v>
                </c:pt>
                <c:pt idx="509">
                  <c:v>3.8733792890808305E-2</c:v>
                </c:pt>
                <c:pt idx="510">
                  <c:v>3.8803419342164441E-2</c:v>
                </c:pt>
                <c:pt idx="511">
                  <c:v>3.8322260843407015E-2</c:v>
                </c:pt>
                <c:pt idx="512">
                  <c:v>3.9249351241844387E-2</c:v>
                </c:pt>
                <c:pt idx="513">
                  <c:v>3.9619978488395914E-2</c:v>
                </c:pt>
                <c:pt idx="514">
                  <c:v>3.9214412916367666E-2</c:v>
                </c:pt>
                <c:pt idx="515">
                  <c:v>3.9386515965859889E-2</c:v>
                </c:pt>
                <c:pt idx="516">
                  <c:v>3.8980676989249646E-2</c:v>
                </c:pt>
                <c:pt idx="517">
                  <c:v>3.9112952544022986E-2</c:v>
                </c:pt>
                <c:pt idx="518">
                  <c:v>3.8707847123653022E-2</c:v>
                </c:pt>
                <c:pt idx="519">
                  <c:v>3.87842513679479E-2</c:v>
                </c:pt>
                <c:pt idx="520">
                  <c:v>3.8529107348376807E-2</c:v>
                </c:pt>
                <c:pt idx="521">
                  <c:v>3.87952334164407E-2</c:v>
                </c:pt>
                <c:pt idx="522">
                  <c:v>3.862871772563433E-2</c:v>
                </c:pt>
                <c:pt idx="523">
                  <c:v>3.8509669265281217E-2</c:v>
                </c:pt>
                <c:pt idx="524">
                  <c:v>3.8137978615839806E-2</c:v>
                </c:pt>
                <c:pt idx="525">
                  <c:v>3.8632823421381524E-2</c:v>
                </c:pt>
                <c:pt idx="526">
                  <c:v>3.8316301515361702E-2</c:v>
                </c:pt>
                <c:pt idx="527">
                  <c:v>3.8432104821858853E-2</c:v>
                </c:pt>
                <c:pt idx="528">
                  <c:v>3.8852707734942586E-2</c:v>
                </c:pt>
                <c:pt idx="529">
                  <c:v>3.8458927021693193E-2</c:v>
                </c:pt>
                <c:pt idx="530">
                  <c:v>3.8115011042726986E-2</c:v>
                </c:pt>
                <c:pt idx="531">
                  <c:v>3.8031029104518985E-2</c:v>
                </c:pt>
                <c:pt idx="532">
                  <c:v>3.7928408902989888E-2</c:v>
                </c:pt>
                <c:pt idx="533">
                  <c:v>3.7261868415442746E-2</c:v>
                </c:pt>
                <c:pt idx="534">
                  <c:v>3.6760468306968372E-2</c:v>
                </c:pt>
                <c:pt idx="535">
                  <c:v>3.7069505428368899E-2</c:v>
                </c:pt>
                <c:pt idx="536">
                  <c:v>3.6700041539176692E-2</c:v>
                </c:pt>
                <c:pt idx="537">
                  <c:v>3.6633264152322591E-2</c:v>
                </c:pt>
                <c:pt idx="538">
                  <c:v>3.6347093749694852E-2</c:v>
                </c:pt>
                <c:pt idx="539">
                  <c:v>3.6395722311511308E-2</c:v>
                </c:pt>
                <c:pt idx="540">
                  <c:v>3.6278226445231355E-2</c:v>
                </c:pt>
                <c:pt idx="541">
                  <c:v>3.5607032697428841E-2</c:v>
                </c:pt>
                <c:pt idx="542">
                  <c:v>3.5650886562422997E-2</c:v>
                </c:pt>
                <c:pt idx="543">
                  <c:v>3.5618423750766307E-2</c:v>
                </c:pt>
                <c:pt idx="544">
                  <c:v>3.5921885204787424E-2</c:v>
                </c:pt>
                <c:pt idx="545">
                  <c:v>3.5229849175215051E-2</c:v>
                </c:pt>
                <c:pt idx="546">
                  <c:v>3.4843456770521253E-2</c:v>
                </c:pt>
                <c:pt idx="547">
                  <c:v>3.4487977404736345E-2</c:v>
                </c:pt>
                <c:pt idx="548">
                  <c:v>3.4421043350304811E-2</c:v>
                </c:pt>
                <c:pt idx="549">
                  <c:v>3.4413416817686164E-2</c:v>
                </c:pt>
                <c:pt idx="550">
                  <c:v>3.3653299106105344E-2</c:v>
                </c:pt>
                <c:pt idx="551">
                  <c:v>3.3508750129704397E-2</c:v>
                </c:pt>
                <c:pt idx="552">
                  <c:v>3.3222124901566376E-2</c:v>
                </c:pt>
                <c:pt idx="553">
                  <c:v>3.3284999378596351E-2</c:v>
                </c:pt>
                <c:pt idx="554">
                  <c:v>3.3048033060984021E-2</c:v>
                </c:pt>
                <c:pt idx="555">
                  <c:v>3.2649026462042992E-2</c:v>
                </c:pt>
                <c:pt idx="556">
                  <c:v>3.2247294055008896E-2</c:v>
                </c:pt>
                <c:pt idx="557">
                  <c:v>3.2368571489385677E-2</c:v>
                </c:pt>
                <c:pt idx="558">
                  <c:v>3.22007019233898E-2</c:v>
                </c:pt>
                <c:pt idx="559">
                  <c:v>3.2200334435952618E-2</c:v>
                </c:pt>
                <c:pt idx="560">
                  <c:v>3.2107803052762347E-2</c:v>
                </c:pt>
                <c:pt idx="561">
                  <c:v>3.2122253494590088E-2</c:v>
                </c:pt>
                <c:pt idx="562">
                  <c:v>3.2263280310047028E-2</c:v>
                </c:pt>
                <c:pt idx="563">
                  <c:v>3.19357759653267E-2</c:v>
                </c:pt>
                <c:pt idx="564">
                  <c:v>3.2113607904756411E-2</c:v>
                </c:pt>
                <c:pt idx="565">
                  <c:v>3.1944013860198656E-2</c:v>
                </c:pt>
                <c:pt idx="566">
                  <c:v>3.196166701528582E-2</c:v>
                </c:pt>
                <c:pt idx="567">
                  <c:v>3.1694664973743569E-2</c:v>
                </c:pt>
                <c:pt idx="568">
                  <c:v>3.1927247408166978E-2</c:v>
                </c:pt>
                <c:pt idx="569">
                  <c:v>3.152529069675758E-2</c:v>
                </c:pt>
                <c:pt idx="570">
                  <c:v>3.165789966699338E-2</c:v>
                </c:pt>
                <c:pt idx="571">
                  <c:v>3.1218412162333672E-2</c:v>
                </c:pt>
                <c:pt idx="572">
                  <c:v>3.1082568782919897E-2</c:v>
                </c:pt>
                <c:pt idx="573">
                  <c:v>3.1010486382838154E-2</c:v>
                </c:pt>
                <c:pt idx="574">
                  <c:v>3.1162428592038782E-2</c:v>
                </c:pt>
                <c:pt idx="575">
                  <c:v>3.1203444334802939E-2</c:v>
                </c:pt>
                <c:pt idx="576">
                  <c:v>3.1036521456679386E-2</c:v>
                </c:pt>
                <c:pt idx="577">
                  <c:v>3.1020330649185617E-2</c:v>
                </c:pt>
                <c:pt idx="578">
                  <c:v>3.0778562969543309E-2</c:v>
                </c:pt>
                <c:pt idx="579">
                  <c:v>3.0660276938421945E-2</c:v>
                </c:pt>
                <c:pt idx="580">
                  <c:v>3.0666954740255228E-2</c:v>
                </c:pt>
                <c:pt idx="581">
                  <c:v>3.0704850698925253E-2</c:v>
                </c:pt>
                <c:pt idx="582">
                  <c:v>3.045250888596775E-2</c:v>
                </c:pt>
                <c:pt idx="583">
                  <c:v>3.0832360107796088E-2</c:v>
                </c:pt>
                <c:pt idx="584">
                  <c:v>3.0967963111097833E-2</c:v>
                </c:pt>
                <c:pt idx="585">
                  <c:v>3.0606149531222281E-2</c:v>
                </c:pt>
                <c:pt idx="586">
                  <c:v>3.0803787314140792E-2</c:v>
                </c:pt>
                <c:pt idx="587">
                  <c:v>3.0598096553815027E-2</c:v>
                </c:pt>
                <c:pt idx="588">
                  <c:v>3.0666609473725279E-2</c:v>
                </c:pt>
                <c:pt idx="589">
                  <c:v>3.066009893249539E-2</c:v>
                </c:pt>
                <c:pt idx="590">
                  <c:v>3.0471843147516321E-2</c:v>
                </c:pt>
                <c:pt idx="591">
                  <c:v>3.0257061409906832E-2</c:v>
                </c:pt>
                <c:pt idx="592">
                  <c:v>2.9599205998138822E-2</c:v>
                </c:pt>
                <c:pt idx="593">
                  <c:v>2.9652429423756364E-2</c:v>
                </c:pt>
                <c:pt idx="594">
                  <c:v>2.9457456190561587E-2</c:v>
                </c:pt>
                <c:pt idx="595">
                  <c:v>2.9240326577097828E-2</c:v>
                </c:pt>
                <c:pt idx="596">
                  <c:v>2.9813053720665703E-2</c:v>
                </c:pt>
                <c:pt idx="597">
                  <c:v>2.969365056082706E-2</c:v>
                </c:pt>
                <c:pt idx="598">
                  <c:v>2.9546943434894106E-2</c:v>
                </c:pt>
                <c:pt idx="599">
                  <c:v>2.9227908447249946E-2</c:v>
                </c:pt>
                <c:pt idx="600">
                  <c:v>2.8796817184131841E-2</c:v>
                </c:pt>
                <c:pt idx="601">
                  <c:v>2.8689942514755561E-2</c:v>
                </c:pt>
                <c:pt idx="602">
                  <c:v>2.9027609821465024E-2</c:v>
                </c:pt>
                <c:pt idx="603">
                  <c:v>2.8699496522392925E-2</c:v>
                </c:pt>
                <c:pt idx="604">
                  <c:v>2.8304642282353625E-2</c:v>
                </c:pt>
                <c:pt idx="605">
                  <c:v>2.882393923773972E-2</c:v>
                </c:pt>
                <c:pt idx="606">
                  <c:v>2.8344151358934973E-2</c:v>
                </c:pt>
                <c:pt idx="607">
                  <c:v>2.8624620522823434E-2</c:v>
                </c:pt>
                <c:pt idx="608">
                  <c:v>2.8183119482869588E-2</c:v>
                </c:pt>
                <c:pt idx="609">
                  <c:v>2.8352203560592336E-2</c:v>
                </c:pt>
                <c:pt idx="610">
                  <c:v>2.7753661220367546E-2</c:v>
                </c:pt>
                <c:pt idx="611">
                  <c:v>2.7134356767069347E-2</c:v>
                </c:pt>
                <c:pt idx="612">
                  <c:v>2.7199158759186094E-2</c:v>
                </c:pt>
                <c:pt idx="613">
                  <c:v>2.6866620532783003E-2</c:v>
                </c:pt>
                <c:pt idx="614">
                  <c:v>2.7522542057363507E-2</c:v>
                </c:pt>
                <c:pt idx="615">
                  <c:v>2.7558318349383073E-2</c:v>
                </c:pt>
                <c:pt idx="616">
                  <c:v>2.7321693500765923E-2</c:v>
                </c:pt>
                <c:pt idx="617">
                  <c:v>2.7687186392704427E-2</c:v>
                </c:pt>
                <c:pt idx="618">
                  <c:v>2.789793118623897E-2</c:v>
                </c:pt>
                <c:pt idx="619">
                  <c:v>2.7564163649610531E-2</c:v>
                </c:pt>
                <c:pt idx="620">
                  <c:v>2.7473626684582711E-2</c:v>
                </c:pt>
                <c:pt idx="621">
                  <c:v>2.7291690093432977E-2</c:v>
                </c:pt>
                <c:pt idx="622">
                  <c:v>2.7365300244590759E-2</c:v>
                </c:pt>
                <c:pt idx="623">
                  <c:v>2.7969694173212347E-2</c:v>
                </c:pt>
                <c:pt idx="624">
                  <c:v>2.7232456844210027E-2</c:v>
                </c:pt>
                <c:pt idx="625">
                  <c:v>2.6578708167143538E-2</c:v>
                </c:pt>
                <c:pt idx="626">
                  <c:v>2.635822406932473E-2</c:v>
                </c:pt>
                <c:pt idx="627">
                  <c:v>2.6785404073547524E-2</c:v>
                </c:pt>
                <c:pt idx="628">
                  <c:v>2.7096031208958895E-2</c:v>
                </c:pt>
                <c:pt idx="629">
                  <c:v>2.7834886479779192E-2</c:v>
                </c:pt>
                <c:pt idx="630">
                  <c:v>2.8263650507595724E-2</c:v>
                </c:pt>
                <c:pt idx="631">
                  <c:v>2.7018885687832301E-2</c:v>
                </c:pt>
                <c:pt idx="632">
                  <c:v>2.7052193895819275E-2</c:v>
                </c:pt>
                <c:pt idx="633">
                  <c:v>2.6700098275799826E-2</c:v>
                </c:pt>
                <c:pt idx="634">
                  <c:v>2.6163764587177271E-2</c:v>
                </c:pt>
                <c:pt idx="635">
                  <c:v>2.6392182451905267E-2</c:v>
                </c:pt>
                <c:pt idx="636">
                  <c:v>2.5976412877768886E-2</c:v>
                </c:pt>
                <c:pt idx="637">
                  <c:v>2.6015043170381662E-2</c:v>
                </c:pt>
                <c:pt idx="638">
                  <c:v>2.7224657428842513E-2</c:v>
                </c:pt>
                <c:pt idx="639">
                  <c:v>2.590407210156773E-2</c:v>
                </c:pt>
                <c:pt idx="640">
                  <c:v>2.5755296546268274E-2</c:v>
                </c:pt>
                <c:pt idx="641">
                  <c:v>2.5223308621814849E-2</c:v>
                </c:pt>
                <c:pt idx="642">
                  <c:v>2.4749773918983219E-2</c:v>
                </c:pt>
                <c:pt idx="643">
                  <c:v>2.4843839743841689E-2</c:v>
                </c:pt>
                <c:pt idx="644">
                  <c:v>2.4827893963685888E-2</c:v>
                </c:pt>
                <c:pt idx="645">
                  <c:v>2.4531911808897255E-2</c:v>
                </c:pt>
                <c:pt idx="646">
                  <c:v>2.4030579238814784E-2</c:v>
                </c:pt>
                <c:pt idx="647">
                  <c:v>2.4095619296689061E-2</c:v>
                </c:pt>
                <c:pt idx="648">
                  <c:v>2.470559881889281E-2</c:v>
                </c:pt>
                <c:pt idx="649">
                  <c:v>2.4879691368294904E-2</c:v>
                </c:pt>
                <c:pt idx="650">
                  <c:v>2.4542782858763514E-2</c:v>
                </c:pt>
                <c:pt idx="651">
                  <c:v>2.474675394728458E-2</c:v>
                </c:pt>
                <c:pt idx="652">
                  <c:v>2.3801710393991055E-2</c:v>
                </c:pt>
                <c:pt idx="653">
                  <c:v>2.435645355537602E-2</c:v>
                </c:pt>
                <c:pt idx="654">
                  <c:v>2.4340646682891702E-2</c:v>
                </c:pt>
                <c:pt idx="655">
                  <c:v>2.37628693371945E-2</c:v>
                </c:pt>
                <c:pt idx="656">
                  <c:v>2.4040890902649905E-2</c:v>
                </c:pt>
                <c:pt idx="657">
                  <c:v>2.3919110453781315E-2</c:v>
                </c:pt>
                <c:pt idx="658">
                  <c:v>2.4517829636620952E-2</c:v>
                </c:pt>
                <c:pt idx="659">
                  <c:v>2.4316186917925062E-2</c:v>
                </c:pt>
                <c:pt idx="660">
                  <c:v>2.3886424573886348E-2</c:v>
                </c:pt>
                <c:pt idx="661">
                  <c:v>2.4270920464680514E-2</c:v>
                </c:pt>
                <c:pt idx="662">
                  <c:v>2.319138098643812E-2</c:v>
                </c:pt>
                <c:pt idx="663">
                  <c:v>2.325405171926229E-2</c:v>
                </c:pt>
                <c:pt idx="664">
                  <c:v>2.3096319411818552E-2</c:v>
                </c:pt>
                <c:pt idx="665">
                  <c:v>2.352090345252732E-2</c:v>
                </c:pt>
                <c:pt idx="666">
                  <c:v>2.3892007177766801E-2</c:v>
                </c:pt>
                <c:pt idx="667">
                  <c:v>2.3053250068195877E-2</c:v>
                </c:pt>
                <c:pt idx="668">
                  <c:v>2.3138372096011429E-2</c:v>
                </c:pt>
                <c:pt idx="669">
                  <c:v>2.2605868040680575E-2</c:v>
                </c:pt>
                <c:pt idx="670">
                  <c:v>2.3191877829345214E-2</c:v>
                </c:pt>
                <c:pt idx="671">
                  <c:v>2.2944283763178263E-2</c:v>
                </c:pt>
                <c:pt idx="672">
                  <c:v>2.3493690413130649E-2</c:v>
                </c:pt>
                <c:pt idx="673">
                  <c:v>2.2925665773183397E-2</c:v>
                </c:pt>
                <c:pt idx="674">
                  <c:v>2.3063815815074804E-2</c:v>
                </c:pt>
                <c:pt idx="675">
                  <c:v>2.213044440267381E-2</c:v>
                </c:pt>
                <c:pt idx="676">
                  <c:v>2.0962882545098184E-2</c:v>
                </c:pt>
                <c:pt idx="677">
                  <c:v>2.1863508745993129E-2</c:v>
                </c:pt>
                <c:pt idx="678">
                  <c:v>2.1740503476796593E-2</c:v>
                </c:pt>
                <c:pt idx="679">
                  <c:v>2.2013788419462492E-2</c:v>
                </c:pt>
                <c:pt idx="680">
                  <c:v>2.0847885857003954E-2</c:v>
                </c:pt>
                <c:pt idx="681">
                  <c:v>1.9753756410265371E-2</c:v>
                </c:pt>
                <c:pt idx="682">
                  <c:v>1.9309044596439704E-2</c:v>
                </c:pt>
                <c:pt idx="683">
                  <c:v>1.8692667021879928E-2</c:v>
                </c:pt>
                <c:pt idx="684">
                  <c:v>1.9205643329576319E-2</c:v>
                </c:pt>
                <c:pt idx="685">
                  <c:v>2.0027796425784658E-2</c:v>
                </c:pt>
                <c:pt idx="686">
                  <c:v>1.7399224394958869E-2</c:v>
                </c:pt>
                <c:pt idx="687">
                  <c:v>1.9440701674094001E-2</c:v>
                </c:pt>
                <c:pt idx="688">
                  <c:v>1.8827727862892083E-2</c:v>
                </c:pt>
                <c:pt idx="689">
                  <c:v>1.9008905489015591E-2</c:v>
                </c:pt>
                <c:pt idx="690">
                  <c:v>1.8905422347056219E-2</c:v>
                </c:pt>
                <c:pt idx="691">
                  <c:v>1.9622543706389561E-2</c:v>
                </c:pt>
                <c:pt idx="692">
                  <c:v>1.9943818947913697E-2</c:v>
                </c:pt>
                <c:pt idx="693">
                  <c:v>1.9686911524865278E-2</c:v>
                </c:pt>
                <c:pt idx="694">
                  <c:v>1.9400187546551796E-2</c:v>
                </c:pt>
                <c:pt idx="695">
                  <c:v>1.9413648801046773E-2</c:v>
                </c:pt>
                <c:pt idx="696">
                  <c:v>1.9517347997499917E-2</c:v>
                </c:pt>
                <c:pt idx="697">
                  <c:v>1.9043783588069178E-2</c:v>
                </c:pt>
                <c:pt idx="698">
                  <c:v>1.9169685585148533E-2</c:v>
                </c:pt>
                <c:pt idx="699">
                  <c:v>1.9537001914205068E-2</c:v>
                </c:pt>
                <c:pt idx="700">
                  <c:v>1.9473165526722843E-2</c:v>
                </c:pt>
                <c:pt idx="701">
                  <c:v>1.9236936516373655E-2</c:v>
                </c:pt>
                <c:pt idx="702">
                  <c:v>1.9782638594982506E-2</c:v>
                </c:pt>
                <c:pt idx="703">
                  <c:v>2.0157945638370568E-2</c:v>
                </c:pt>
                <c:pt idx="704">
                  <c:v>2.0321411384497046E-2</c:v>
                </c:pt>
                <c:pt idx="705">
                  <c:v>2.0061540168129933E-2</c:v>
                </c:pt>
                <c:pt idx="706">
                  <c:v>2.0007806763807021E-2</c:v>
                </c:pt>
                <c:pt idx="707">
                  <c:v>1.9908403762936538E-2</c:v>
                </c:pt>
                <c:pt idx="708">
                  <c:v>1.9719617948252596E-2</c:v>
                </c:pt>
                <c:pt idx="709">
                  <c:v>1.9972397438110776E-2</c:v>
                </c:pt>
                <c:pt idx="710">
                  <c:v>1.9445048040161183E-2</c:v>
                </c:pt>
                <c:pt idx="711">
                  <c:v>1.945168278741884E-2</c:v>
                </c:pt>
                <c:pt idx="712">
                  <c:v>1.9238302336505766E-2</c:v>
                </c:pt>
                <c:pt idx="713">
                  <c:v>1.9606504850656507E-2</c:v>
                </c:pt>
                <c:pt idx="714">
                  <c:v>1.9265646046367976E-2</c:v>
                </c:pt>
                <c:pt idx="715">
                  <c:v>1.9493742186286113E-2</c:v>
                </c:pt>
                <c:pt idx="716">
                  <c:v>1.9547942898820437E-2</c:v>
                </c:pt>
                <c:pt idx="717">
                  <c:v>1.9124943306944274E-2</c:v>
                </c:pt>
                <c:pt idx="718">
                  <c:v>1.9456373750401001E-2</c:v>
                </c:pt>
                <c:pt idx="719">
                  <c:v>1.9065659425618948E-2</c:v>
                </c:pt>
                <c:pt idx="720">
                  <c:v>1.8773288199760867E-2</c:v>
                </c:pt>
                <c:pt idx="721">
                  <c:v>1.8737945116643791E-2</c:v>
                </c:pt>
                <c:pt idx="722">
                  <c:v>1.8438367444355792E-2</c:v>
                </c:pt>
                <c:pt idx="723">
                  <c:v>1.8092520743967375E-2</c:v>
                </c:pt>
                <c:pt idx="724">
                  <c:v>1.8194100624226373E-2</c:v>
                </c:pt>
                <c:pt idx="725">
                  <c:v>1.8548966091786283E-2</c:v>
                </c:pt>
                <c:pt idx="726">
                  <c:v>1.8464515392446885E-2</c:v>
                </c:pt>
                <c:pt idx="727">
                  <c:v>1.8427626904700123E-2</c:v>
                </c:pt>
                <c:pt idx="728">
                  <c:v>1.847663434263231E-2</c:v>
                </c:pt>
                <c:pt idx="729">
                  <c:v>1.8080668150740494E-2</c:v>
                </c:pt>
                <c:pt idx="730">
                  <c:v>1.8224265628415243E-2</c:v>
                </c:pt>
                <c:pt idx="731">
                  <c:v>1.754997748431433E-2</c:v>
                </c:pt>
                <c:pt idx="732">
                  <c:v>1.7224813003993908E-2</c:v>
                </c:pt>
                <c:pt idx="733">
                  <c:v>1.691951415713483E-2</c:v>
                </c:pt>
                <c:pt idx="734">
                  <c:v>1.6952006973813383E-2</c:v>
                </c:pt>
                <c:pt idx="735">
                  <c:v>1.6791046710498529E-2</c:v>
                </c:pt>
                <c:pt idx="736">
                  <c:v>1.702743999782063E-2</c:v>
                </c:pt>
                <c:pt idx="737">
                  <c:v>1.7082642037861532E-2</c:v>
                </c:pt>
                <c:pt idx="738">
                  <c:v>1.6846141912454069E-2</c:v>
                </c:pt>
                <c:pt idx="739">
                  <c:v>1.681782806765203E-2</c:v>
                </c:pt>
                <c:pt idx="740">
                  <c:v>1.7070054058707301E-2</c:v>
                </c:pt>
                <c:pt idx="741">
                  <c:v>1.699312883085307E-2</c:v>
                </c:pt>
                <c:pt idx="742">
                  <c:v>1.6777157743320465E-2</c:v>
                </c:pt>
                <c:pt idx="743">
                  <c:v>1.6788151801978086E-2</c:v>
                </c:pt>
                <c:pt idx="744">
                  <c:v>1.6397517503482905E-2</c:v>
                </c:pt>
                <c:pt idx="745">
                  <c:v>1.5411141991057937E-2</c:v>
                </c:pt>
                <c:pt idx="746">
                  <c:v>1.5480551453256669E-2</c:v>
                </c:pt>
                <c:pt idx="747">
                  <c:v>1.5137915038328629E-2</c:v>
                </c:pt>
                <c:pt idx="748">
                  <c:v>1.5620788368004564E-2</c:v>
                </c:pt>
                <c:pt idx="749">
                  <c:v>1.4802912829552914E-2</c:v>
                </c:pt>
                <c:pt idx="750">
                  <c:v>1.5160769534998892E-2</c:v>
                </c:pt>
                <c:pt idx="751">
                  <c:v>1.5570908471546342E-2</c:v>
                </c:pt>
                <c:pt idx="752">
                  <c:v>1.4894293516493521E-2</c:v>
                </c:pt>
                <c:pt idx="753">
                  <c:v>1.4438894558032326E-2</c:v>
                </c:pt>
                <c:pt idx="754">
                  <c:v>1.4645709172449386E-2</c:v>
                </c:pt>
                <c:pt idx="755">
                  <c:v>1.4572872456536665E-2</c:v>
                </c:pt>
                <c:pt idx="756">
                  <c:v>1.4042473404797586E-2</c:v>
                </c:pt>
                <c:pt idx="757">
                  <c:v>1.4271006016101598E-2</c:v>
                </c:pt>
                <c:pt idx="758">
                  <c:v>1.4330836127973135E-2</c:v>
                </c:pt>
                <c:pt idx="759">
                  <c:v>1.4441408418440316E-2</c:v>
                </c:pt>
                <c:pt idx="760">
                  <c:v>1.4655683249569706E-2</c:v>
                </c:pt>
                <c:pt idx="761">
                  <c:v>1.4707858031446084E-2</c:v>
                </c:pt>
                <c:pt idx="762">
                  <c:v>1.4647079110210416E-2</c:v>
                </c:pt>
                <c:pt idx="763">
                  <c:v>1.4381904986035268E-2</c:v>
                </c:pt>
                <c:pt idx="764">
                  <c:v>1.4627377357332848E-2</c:v>
                </c:pt>
                <c:pt idx="765">
                  <c:v>1.4610775556023805E-2</c:v>
                </c:pt>
                <c:pt idx="766">
                  <c:v>1.4738992972429534E-2</c:v>
                </c:pt>
                <c:pt idx="767">
                  <c:v>1.5257122254109218E-2</c:v>
                </c:pt>
                <c:pt idx="768">
                  <c:v>1.4899542258271854E-2</c:v>
                </c:pt>
                <c:pt idx="769">
                  <c:v>1.4967966258594622E-2</c:v>
                </c:pt>
                <c:pt idx="770">
                  <c:v>1.4793789860683391E-2</c:v>
                </c:pt>
                <c:pt idx="771">
                  <c:v>1.4985014952626916E-2</c:v>
                </c:pt>
                <c:pt idx="772">
                  <c:v>1.4337293131328352E-2</c:v>
                </c:pt>
                <c:pt idx="773">
                  <c:v>1.4696060061859357E-2</c:v>
                </c:pt>
                <c:pt idx="774">
                  <c:v>1.497902472536353E-2</c:v>
                </c:pt>
                <c:pt idx="775">
                  <c:v>1.4939792031940836E-2</c:v>
                </c:pt>
                <c:pt idx="776">
                  <c:v>1.5116945450560495E-2</c:v>
                </c:pt>
                <c:pt idx="777">
                  <c:v>1.5076915918428935E-2</c:v>
                </c:pt>
                <c:pt idx="778">
                  <c:v>1.5035828810117733E-2</c:v>
                </c:pt>
                <c:pt idx="779">
                  <c:v>1.4997991526867271E-2</c:v>
                </c:pt>
                <c:pt idx="780">
                  <c:v>1.5229122659145977E-2</c:v>
                </c:pt>
                <c:pt idx="781">
                  <c:v>1.553299348659372E-2</c:v>
                </c:pt>
                <c:pt idx="782">
                  <c:v>1.5404561785670694E-2</c:v>
                </c:pt>
                <c:pt idx="783">
                  <c:v>1.5643467903551818E-2</c:v>
                </c:pt>
                <c:pt idx="784">
                  <c:v>1.537311330743474E-2</c:v>
                </c:pt>
                <c:pt idx="785">
                  <c:v>1.5119953454411902E-2</c:v>
                </c:pt>
                <c:pt idx="786">
                  <c:v>1.5641430947918013E-2</c:v>
                </c:pt>
                <c:pt idx="787">
                  <c:v>1.5758295131709246E-2</c:v>
                </c:pt>
                <c:pt idx="788">
                  <c:v>1.5729237708452512E-2</c:v>
                </c:pt>
                <c:pt idx="789">
                  <c:v>1.5674429017314102E-2</c:v>
                </c:pt>
                <c:pt idx="790">
                  <c:v>1.5887371377470448E-2</c:v>
                </c:pt>
                <c:pt idx="791">
                  <c:v>1.5554735739759901E-2</c:v>
                </c:pt>
                <c:pt idx="792">
                  <c:v>1.5884711414017788E-2</c:v>
                </c:pt>
                <c:pt idx="793">
                  <c:v>1.5292513891604048E-2</c:v>
                </c:pt>
                <c:pt idx="794">
                  <c:v>1.538462143146477E-2</c:v>
                </c:pt>
                <c:pt idx="795">
                  <c:v>1.4931870730111322E-2</c:v>
                </c:pt>
                <c:pt idx="796">
                  <c:v>1.5488469468065964E-2</c:v>
                </c:pt>
                <c:pt idx="797">
                  <c:v>1.5109527750930532E-2</c:v>
                </c:pt>
                <c:pt idx="798">
                  <c:v>1.5114196241727584E-2</c:v>
                </c:pt>
                <c:pt idx="799">
                  <c:v>1.5463247372349805E-2</c:v>
                </c:pt>
                <c:pt idx="800">
                  <c:v>1.5616559730516904E-2</c:v>
                </c:pt>
                <c:pt idx="801">
                  <c:v>1.5524349268809752E-2</c:v>
                </c:pt>
                <c:pt idx="802">
                  <c:v>1.5707837877486457E-2</c:v>
                </c:pt>
                <c:pt idx="803">
                  <c:v>1.5689674794023886E-2</c:v>
                </c:pt>
                <c:pt idx="804">
                  <c:v>1.5632610054001645E-2</c:v>
                </c:pt>
                <c:pt idx="805">
                  <c:v>1.5923953437907583E-2</c:v>
                </c:pt>
                <c:pt idx="806">
                  <c:v>1.6061337346374906E-2</c:v>
                </c:pt>
                <c:pt idx="807">
                  <c:v>1.6047743853986936E-2</c:v>
                </c:pt>
                <c:pt idx="808">
                  <c:v>1.5810533211140499E-2</c:v>
                </c:pt>
                <c:pt idx="809">
                  <c:v>1.6032638239328285E-2</c:v>
                </c:pt>
                <c:pt idx="810">
                  <c:v>1.5875126622328744E-2</c:v>
                </c:pt>
                <c:pt idx="811">
                  <c:v>1.5848643604614347E-2</c:v>
                </c:pt>
                <c:pt idx="812">
                  <c:v>1.6298828015881221E-2</c:v>
                </c:pt>
                <c:pt idx="813">
                  <c:v>1.6361073334464824E-2</c:v>
                </c:pt>
                <c:pt idx="814">
                  <c:v>1.6386146655793746E-2</c:v>
                </c:pt>
                <c:pt idx="815">
                  <c:v>1.6408177579121028E-2</c:v>
                </c:pt>
                <c:pt idx="816">
                  <c:v>1.6226856177612409E-2</c:v>
                </c:pt>
                <c:pt idx="817">
                  <c:v>1.6263828485495617E-2</c:v>
                </c:pt>
                <c:pt idx="818">
                  <c:v>1.6234385664016034E-2</c:v>
                </c:pt>
                <c:pt idx="819">
                  <c:v>1.5964377943822647E-2</c:v>
                </c:pt>
                <c:pt idx="820">
                  <c:v>1.6004496840244242E-2</c:v>
                </c:pt>
                <c:pt idx="821">
                  <c:v>1.6141523711126322E-2</c:v>
                </c:pt>
                <c:pt idx="822">
                  <c:v>1.5882151717756761E-2</c:v>
                </c:pt>
                <c:pt idx="823">
                  <c:v>1.6586358136507304E-2</c:v>
                </c:pt>
                <c:pt idx="824">
                  <c:v>1.633825862749828E-2</c:v>
                </c:pt>
                <c:pt idx="825">
                  <c:v>1.6663826088987404E-2</c:v>
                </c:pt>
                <c:pt idx="826">
                  <c:v>1.5938067529677063E-2</c:v>
                </c:pt>
                <c:pt idx="827">
                  <c:v>1.5971336728664041E-2</c:v>
                </c:pt>
                <c:pt idx="828">
                  <c:v>1.6325486882472363E-2</c:v>
                </c:pt>
                <c:pt idx="829">
                  <c:v>1.6625491086531805E-2</c:v>
                </c:pt>
                <c:pt idx="830">
                  <c:v>1.6753826124291354E-2</c:v>
                </c:pt>
                <c:pt idx="831">
                  <c:v>1.6529237814986344E-2</c:v>
                </c:pt>
                <c:pt idx="832">
                  <c:v>1.6608713737115074E-2</c:v>
                </c:pt>
                <c:pt idx="833">
                  <c:v>1.6647502799644855E-2</c:v>
                </c:pt>
                <c:pt idx="834">
                  <c:v>1.6515470407176165E-2</c:v>
                </c:pt>
                <c:pt idx="835">
                  <c:v>1.6666259646880167E-2</c:v>
                </c:pt>
                <c:pt idx="836">
                  <c:v>1.68488883228247E-2</c:v>
                </c:pt>
                <c:pt idx="837">
                  <c:v>1.6681188304363513E-2</c:v>
                </c:pt>
                <c:pt idx="838">
                  <c:v>1.6739808937788935E-2</c:v>
                </c:pt>
                <c:pt idx="839">
                  <c:v>1.6810683979439762E-2</c:v>
                </c:pt>
                <c:pt idx="840">
                  <c:v>1.7232755912105359E-2</c:v>
                </c:pt>
                <c:pt idx="841">
                  <c:v>1.7134621110708757E-2</c:v>
                </c:pt>
                <c:pt idx="842">
                  <c:v>1.6800937808923E-2</c:v>
                </c:pt>
                <c:pt idx="843">
                  <c:v>1.6916442191646737E-2</c:v>
                </c:pt>
                <c:pt idx="844">
                  <c:v>1.6607588988024578E-2</c:v>
                </c:pt>
                <c:pt idx="845">
                  <c:v>1.6824151302383784E-2</c:v>
                </c:pt>
                <c:pt idx="846">
                  <c:v>1.6752179971313647E-2</c:v>
                </c:pt>
                <c:pt idx="847">
                  <c:v>1.6709277162493128E-2</c:v>
                </c:pt>
                <c:pt idx="848">
                  <c:v>1.6713928228049124E-2</c:v>
                </c:pt>
                <c:pt idx="849">
                  <c:v>1.6484420861354661E-2</c:v>
                </c:pt>
                <c:pt idx="850">
                  <c:v>1.6601654784067103E-2</c:v>
                </c:pt>
                <c:pt idx="851">
                  <c:v>1.6128357630738197E-2</c:v>
                </c:pt>
                <c:pt idx="852">
                  <c:v>1.6157648086215688E-2</c:v>
                </c:pt>
                <c:pt idx="853">
                  <c:v>1.6068111816931421E-2</c:v>
                </c:pt>
                <c:pt idx="854">
                  <c:v>1.5814423125633161E-2</c:v>
                </c:pt>
                <c:pt idx="855">
                  <c:v>1.5898417573633816E-2</c:v>
                </c:pt>
                <c:pt idx="856">
                  <c:v>1.5999503469577306E-2</c:v>
                </c:pt>
                <c:pt idx="857">
                  <c:v>1.6286338045683042E-2</c:v>
                </c:pt>
                <c:pt idx="858">
                  <c:v>1.647849688970977E-2</c:v>
                </c:pt>
                <c:pt idx="859">
                  <c:v>1.6370825727682319E-2</c:v>
                </c:pt>
                <c:pt idx="860">
                  <c:v>1.6447983323864768E-2</c:v>
                </c:pt>
                <c:pt idx="861">
                  <c:v>1.6453935285909733E-2</c:v>
                </c:pt>
                <c:pt idx="862">
                  <c:v>1.6113348926398034E-2</c:v>
                </c:pt>
                <c:pt idx="863">
                  <c:v>1.6180934104179593E-2</c:v>
                </c:pt>
                <c:pt idx="864">
                  <c:v>1.6223601296729381E-2</c:v>
                </c:pt>
                <c:pt idx="865">
                  <c:v>1.6150785809965471E-2</c:v>
                </c:pt>
                <c:pt idx="866">
                  <c:v>1.6164390578359136E-2</c:v>
                </c:pt>
                <c:pt idx="867">
                  <c:v>1.6131263546630574E-2</c:v>
                </c:pt>
                <c:pt idx="868">
                  <c:v>1.6033731207463962E-2</c:v>
                </c:pt>
                <c:pt idx="869">
                  <c:v>1.5745686545062514E-2</c:v>
                </c:pt>
                <c:pt idx="870">
                  <c:v>1.563453675240932E-2</c:v>
                </c:pt>
                <c:pt idx="871">
                  <c:v>1.5729377483865149E-2</c:v>
                </c:pt>
                <c:pt idx="872">
                  <c:v>1.5673481617228792E-2</c:v>
                </c:pt>
                <c:pt idx="873">
                  <c:v>1.5697272914777988E-2</c:v>
                </c:pt>
                <c:pt idx="874">
                  <c:v>1.5630401622524548E-2</c:v>
                </c:pt>
                <c:pt idx="875">
                  <c:v>1.5987001876695443E-2</c:v>
                </c:pt>
                <c:pt idx="876">
                  <c:v>1.6153852137149479E-2</c:v>
                </c:pt>
                <c:pt idx="877">
                  <c:v>1.6189540993912455E-2</c:v>
                </c:pt>
                <c:pt idx="878">
                  <c:v>1.6011764970050531E-2</c:v>
                </c:pt>
                <c:pt idx="879">
                  <c:v>1.5697824924109819E-2</c:v>
                </c:pt>
                <c:pt idx="880">
                  <c:v>1.5634800450945101E-2</c:v>
                </c:pt>
                <c:pt idx="881">
                  <c:v>1.5589545726485127E-2</c:v>
                </c:pt>
                <c:pt idx="882">
                  <c:v>1.5494295117329257E-2</c:v>
                </c:pt>
                <c:pt idx="883">
                  <c:v>1.5535738201095575E-2</c:v>
                </c:pt>
                <c:pt idx="884">
                  <c:v>1.5812061006111457E-2</c:v>
                </c:pt>
                <c:pt idx="885">
                  <c:v>1.5872258182408488E-2</c:v>
                </c:pt>
                <c:pt idx="886">
                  <c:v>1.5869959452500762E-2</c:v>
                </c:pt>
                <c:pt idx="887">
                  <c:v>1.584195682445947E-2</c:v>
                </c:pt>
                <c:pt idx="888">
                  <c:v>1.5863256300162838E-2</c:v>
                </c:pt>
                <c:pt idx="889">
                  <c:v>1.565960760510544E-2</c:v>
                </c:pt>
                <c:pt idx="890">
                  <c:v>1.5520701028805629E-2</c:v>
                </c:pt>
                <c:pt idx="891">
                  <c:v>1.5709392145376515E-2</c:v>
                </c:pt>
                <c:pt idx="892">
                  <c:v>1.5700231562912424E-2</c:v>
                </c:pt>
                <c:pt idx="893">
                  <c:v>1.5343840622630353E-2</c:v>
                </c:pt>
                <c:pt idx="894">
                  <c:v>1.5324595244964344E-2</c:v>
                </c:pt>
                <c:pt idx="895">
                  <c:v>1.5345232456078267E-2</c:v>
                </c:pt>
                <c:pt idx="896">
                  <c:v>1.5096954301462897E-2</c:v>
                </c:pt>
                <c:pt idx="897">
                  <c:v>1.494616174281293E-2</c:v>
                </c:pt>
                <c:pt idx="898">
                  <c:v>1.5353317627411076E-2</c:v>
                </c:pt>
                <c:pt idx="899">
                  <c:v>1.5581875766749404E-2</c:v>
                </c:pt>
                <c:pt idx="900">
                  <c:v>1.5592670967144322E-2</c:v>
                </c:pt>
                <c:pt idx="901">
                  <c:v>1.5379849706472751E-2</c:v>
                </c:pt>
                <c:pt idx="902">
                  <c:v>1.5759302069208499E-2</c:v>
                </c:pt>
                <c:pt idx="903">
                  <c:v>1.5742991947650747E-2</c:v>
                </c:pt>
                <c:pt idx="904">
                  <c:v>1.5345361420422437E-2</c:v>
                </c:pt>
                <c:pt idx="905">
                  <c:v>1.4956726881898367E-2</c:v>
                </c:pt>
                <c:pt idx="906">
                  <c:v>1.5369449125499342E-2</c:v>
                </c:pt>
                <c:pt idx="907">
                  <c:v>1.4858218758572513E-2</c:v>
                </c:pt>
                <c:pt idx="908">
                  <c:v>1.4640219832542377E-2</c:v>
                </c:pt>
                <c:pt idx="909">
                  <c:v>1.4448276766601945E-2</c:v>
                </c:pt>
                <c:pt idx="910">
                  <c:v>1.4341920630956786E-2</c:v>
                </c:pt>
                <c:pt idx="911">
                  <c:v>1.4052878729597712E-2</c:v>
                </c:pt>
                <c:pt idx="912">
                  <c:v>1.3699420008365815E-2</c:v>
                </c:pt>
                <c:pt idx="913">
                  <c:v>1.3665933429195689E-2</c:v>
                </c:pt>
                <c:pt idx="914">
                  <c:v>1.3760402442229341E-2</c:v>
                </c:pt>
                <c:pt idx="915">
                  <c:v>1.3539486223230866E-2</c:v>
                </c:pt>
                <c:pt idx="916">
                  <c:v>1.383061957219558E-2</c:v>
                </c:pt>
                <c:pt idx="917">
                  <c:v>1.3700656476357121E-2</c:v>
                </c:pt>
                <c:pt idx="918">
                  <c:v>1.3813276784534607E-2</c:v>
                </c:pt>
                <c:pt idx="919">
                  <c:v>1.3745151285574917E-2</c:v>
                </c:pt>
                <c:pt idx="920">
                  <c:v>1.4143093107617686E-2</c:v>
                </c:pt>
                <c:pt idx="921">
                  <c:v>1.4214249978616915E-2</c:v>
                </c:pt>
                <c:pt idx="922">
                  <c:v>1.4160751148285626E-2</c:v>
                </c:pt>
                <c:pt idx="923">
                  <c:v>1.4120284773459044E-2</c:v>
                </c:pt>
                <c:pt idx="924">
                  <c:v>1.4018139474749036E-2</c:v>
                </c:pt>
                <c:pt idx="925">
                  <c:v>1.3383441367293251E-2</c:v>
                </c:pt>
                <c:pt idx="926">
                  <c:v>1.3081511358719248E-2</c:v>
                </c:pt>
                <c:pt idx="927">
                  <c:v>1.3949904009275607E-2</c:v>
                </c:pt>
                <c:pt idx="928">
                  <c:v>1.347591670647214E-2</c:v>
                </c:pt>
                <c:pt idx="929">
                  <c:v>1.4124564681337427E-2</c:v>
                </c:pt>
                <c:pt idx="930">
                  <c:v>1.4078963887718548E-2</c:v>
                </c:pt>
                <c:pt idx="931">
                  <c:v>1.3693006562325943E-2</c:v>
                </c:pt>
                <c:pt idx="932">
                  <c:v>1.4028280208693813E-2</c:v>
                </c:pt>
                <c:pt idx="933">
                  <c:v>1.4373959262409731E-2</c:v>
                </c:pt>
                <c:pt idx="934">
                  <c:v>1.4132079926362466E-2</c:v>
                </c:pt>
                <c:pt idx="935">
                  <c:v>1.3703071165658269E-2</c:v>
                </c:pt>
                <c:pt idx="936">
                  <c:v>1.3545202208749677E-2</c:v>
                </c:pt>
                <c:pt idx="937">
                  <c:v>1.3630824279121153E-2</c:v>
                </c:pt>
                <c:pt idx="938">
                  <c:v>1.3903337399026026E-2</c:v>
                </c:pt>
                <c:pt idx="939">
                  <c:v>1.4440826535216974E-2</c:v>
                </c:pt>
                <c:pt idx="940">
                  <c:v>1.3559973038091805E-2</c:v>
                </c:pt>
                <c:pt idx="941">
                  <c:v>1.2637779669404998E-2</c:v>
                </c:pt>
                <c:pt idx="942">
                  <c:v>1.2683119887131672E-2</c:v>
                </c:pt>
                <c:pt idx="943">
                  <c:v>1.3422966882175829E-2</c:v>
                </c:pt>
                <c:pt idx="944">
                  <c:v>1.3502442948677477E-2</c:v>
                </c:pt>
                <c:pt idx="945">
                  <c:v>1.2646062798246394E-2</c:v>
                </c:pt>
                <c:pt idx="946">
                  <c:v>1.343703236628797E-2</c:v>
                </c:pt>
                <c:pt idx="947">
                  <c:v>1.3103625869005927E-2</c:v>
                </c:pt>
                <c:pt idx="948">
                  <c:v>1.2534198872645412E-2</c:v>
                </c:pt>
                <c:pt idx="949">
                  <c:v>1.2246696442732364E-2</c:v>
                </c:pt>
                <c:pt idx="950">
                  <c:v>1.2339765742195712E-2</c:v>
                </c:pt>
                <c:pt idx="951">
                  <c:v>1.2022381553382316E-2</c:v>
                </c:pt>
                <c:pt idx="952">
                  <c:v>1.1540791902931892E-2</c:v>
                </c:pt>
                <c:pt idx="953">
                  <c:v>1.1316660736988851E-2</c:v>
                </c:pt>
                <c:pt idx="954">
                  <c:v>1.108585141867097E-2</c:v>
                </c:pt>
                <c:pt idx="955">
                  <c:v>1.1250325386586059E-2</c:v>
                </c:pt>
                <c:pt idx="956">
                  <c:v>1.102352959835355E-2</c:v>
                </c:pt>
                <c:pt idx="957">
                  <c:v>1.1229346685127518E-2</c:v>
                </c:pt>
                <c:pt idx="958">
                  <c:v>1.1031792928492918E-2</c:v>
                </c:pt>
                <c:pt idx="959">
                  <c:v>1.0684199814334281E-2</c:v>
                </c:pt>
                <c:pt idx="960">
                  <c:v>1.0565058548324889E-2</c:v>
                </c:pt>
                <c:pt idx="961">
                  <c:v>1.0295554469800952E-2</c:v>
                </c:pt>
                <c:pt idx="962">
                  <c:v>1.023105071201128E-2</c:v>
                </c:pt>
                <c:pt idx="963">
                  <c:v>9.9172881168374857E-3</c:v>
                </c:pt>
                <c:pt idx="964">
                  <c:v>1.0053927082147937E-2</c:v>
                </c:pt>
                <c:pt idx="965">
                  <c:v>1.0060416036420775E-2</c:v>
                </c:pt>
                <c:pt idx="966">
                  <c:v>9.94471603298476E-3</c:v>
                </c:pt>
                <c:pt idx="967">
                  <c:v>9.719298927184844E-3</c:v>
                </c:pt>
                <c:pt idx="968">
                  <c:v>9.593782598859282E-3</c:v>
                </c:pt>
                <c:pt idx="969">
                  <c:v>9.8538658888070556E-3</c:v>
                </c:pt>
                <c:pt idx="970">
                  <c:v>1.0266355697093683E-2</c:v>
                </c:pt>
                <c:pt idx="971">
                  <c:v>1.0158013294489218E-2</c:v>
                </c:pt>
                <c:pt idx="972">
                  <c:v>1.0123687784163284E-2</c:v>
                </c:pt>
                <c:pt idx="973">
                  <c:v>9.7482716598553554E-3</c:v>
                </c:pt>
                <c:pt idx="974">
                  <c:v>1.0103824730213113E-2</c:v>
                </c:pt>
                <c:pt idx="975">
                  <c:v>9.9708665038983572E-3</c:v>
                </c:pt>
                <c:pt idx="976">
                  <c:v>9.8373139931155658E-3</c:v>
                </c:pt>
                <c:pt idx="977">
                  <c:v>9.8124203034654113E-3</c:v>
                </c:pt>
                <c:pt idx="978">
                  <c:v>9.4534447951264387E-3</c:v>
                </c:pt>
                <c:pt idx="979">
                  <c:v>9.3749514895314565E-3</c:v>
                </c:pt>
                <c:pt idx="980">
                  <c:v>9.3316968231340527E-3</c:v>
                </c:pt>
                <c:pt idx="981">
                  <c:v>9.0203069835076283E-3</c:v>
                </c:pt>
                <c:pt idx="982">
                  <c:v>9.2201902134019763E-3</c:v>
                </c:pt>
                <c:pt idx="983">
                  <c:v>9.227091299685488E-3</c:v>
                </c:pt>
                <c:pt idx="984">
                  <c:v>9.0444093466068645E-3</c:v>
                </c:pt>
                <c:pt idx="985">
                  <c:v>8.5495395672408724E-3</c:v>
                </c:pt>
                <c:pt idx="986">
                  <c:v>8.6721298503927395E-3</c:v>
                </c:pt>
                <c:pt idx="987">
                  <c:v>8.7839293167969804E-3</c:v>
                </c:pt>
                <c:pt idx="988">
                  <c:v>9.1143289362166993E-3</c:v>
                </c:pt>
                <c:pt idx="989">
                  <c:v>8.8857506672248149E-3</c:v>
                </c:pt>
                <c:pt idx="990">
                  <c:v>8.9561352690221557E-3</c:v>
                </c:pt>
                <c:pt idx="991">
                  <c:v>8.5296089984749791E-3</c:v>
                </c:pt>
                <c:pt idx="992">
                  <c:v>8.9094545052942429E-3</c:v>
                </c:pt>
                <c:pt idx="993">
                  <c:v>8.5774306151693291E-3</c:v>
                </c:pt>
                <c:pt idx="994">
                  <c:v>8.4470055644844787E-3</c:v>
                </c:pt>
                <c:pt idx="995">
                  <c:v>8.2075155419506964E-3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62-4157-8797-DB3270E60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6253743"/>
        <c:axId val="946254159"/>
      </c:lineChart>
      <c:dateAx>
        <c:axId val="9462537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254159"/>
        <c:crosses val="autoZero"/>
        <c:auto val="1"/>
        <c:lblOffset val="100"/>
        <c:baseTimeUnit val="days"/>
      </c:dateAx>
      <c:valAx>
        <c:axId val="946254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253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B3D7C2-67BD-4C4E-8C32-3A1ACBAD502B}">
  <sheetPr codeName="Chart1"/>
  <sheetViews>
    <sheetView zoomScale="12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271F55-6AE9-4EF5-939E-7ED53C51CFC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topLeftCell="A2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7.28515625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69000</v>
      </c>
      <c r="D2" s="4">
        <f>MIN(D3:D1912)</f>
        <v>2817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36807.24</v>
      </c>
      <c r="C5">
        <v>37080</v>
      </c>
      <c r="D5">
        <v>36122.839999999997</v>
      </c>
      <c r="E5">
        <v>36186.44</v>
      </c>
      <c r="F5">
        <v>3943.42875</v>
      </c>
      <c r="G5">
        <v>36186.44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-0.86710685778760999</v>
      </c>
      <c r="Q5">
        <f t="shared" ref="Q5" si="1">F5*P5</f>
        <v>-3419.3741123218228</v>
      </c>
      <c r="R5">
        <f t="shared" ref="R5" si="2">R6+Q5</f>
        <v>8654498.0119820554</v>
      </c>
      <c r="S5">
        <f t="shared" ref="S5" si="3">R5/100000</f>
        <v>86.544980119820551</v>
      </c>
      <c r="T5">
        <f t="shared" ref="T5" si="4">S5/1000</f>
        <v>8.654498011982055E-2</v>
      </c>
    </row>
    <row r="6" spans="1:20" x14ac:dyDescent="0.25">
      <c r="A6" s="5">
        <v>44587</v>
      </c>
      <c r="B6">
        <v>36958.32</v>
      </c>
      <c r="C6">
        <v>38919.980000000003</v>
      </c>
      <c r="D6">
        <v>36234.629999999997</v>
      </c>
      <c r="E6">
        <v>36809.339999999997</v>
      </c>
      <c r="F6">
        <v>69830.160359999994</v>
      </c>
      <c r="G6">
        <v>36809.339999999997</v>
      </c>
      <c r="L6" t="s">
        <v>8</v>
      </c>
      <c r="M6" t="s">
        <v>7</v>
      </c>
      <c r="N6" t="s">
        <v>7</v>
      </c>
      <c r="P6">
        <f t="shared" ref="P6" si="5">IF(C6=D6,0,((E6-D6)-(C6-E6))/(C6-D6))</f>
        <v>-0.571966410337574</v>
      </c>
      <c r="Q6">
        <f t="shared" ref="Q6" si="6">F6*P6</f>
        <v>-39940.50615440635</v>
      </c>
      <c r="R6">
        <f t="shared" ref="R6" si="7">R7+Q6</f>
        <v>8657917.3860943764</v>
      </c>
      <c r="S6">
        <f t="shared" ref="S6" si="8">R6/100000</f>
        <v>86.579173860943769</v>
      </c>
      <c r="T6">
        <f t="shared" ref="T6" si="9">S6/1000</f>
        <v>8.657917386094377E-2</v>
      </c>
    </row>
    <row r="7" spans="1:20" x14ac:dyDescent="0.25">
      <c r="A7" s="5">
        <v>44586</v>
      </c>
      <c r="B7">
        <v>36660.35</v>
      </c>
      <c r="C7">
        <v>37545.14</v>
      </c>
      <c r="D7">
        <v>35701</v>
      </c>
      <c r="E7">
        <v>36958.32</v>
      </c>
      <c r="F7">
        <v>49232.401830000003</v>
      </c>
      <c r="G7">
        <v>36958.32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0.36358410966629445</v>
      </c>
      <c r="Q7">
        <f t="shared" ref="Q7" si="11">F7*P7</f>
        <v>17900.118986093796</v>
      </c>
      <c r="R7">
        <f t="shared" ref="R7" si="12">R8+Q7</f>
        <v>8697857.8922487833</v>
      </c>
      <c r="S7">
        <f t="shared" ref="S7" si="13">R7/100000</f>
        <v>86.978578922487827</v>
      </c>
      <c r="T7">
        <f t="shared" ref="T7" si="14">S7/1000</f>
        <v>8.6978578922487823E-2</v>
      </c>
    </row>
    <row r="8" spans="1:20" x14ac:dyDescent="0.25">
      <c r="A8" s="5">
        <v>44585</v>
      </c>
      <c r="B8">
        <v>36244.550000000003</v>
      </c>
      <c r="C8">
        <v>37550</v>
      </c>
      <c r="D8">
        <v>32917.17</v>
      </c>
      <c r="E8">
        <v>36660.35</v>
      </c>
      <c r="F8">
        <v>91904.753211000003</v>
      </c>
      <c r="G8">
        <v>36660.35</v>
      </c>
      <c r="L8" t="s">
        <v>8</v>
      </c>
      <c r="M8" t="s">
        <v>7</v>
      </c>
      <c r="N8" t="s">
        <v>7</v>
      </c>
      <c r="P8">
        <f t="shared" ref="P8" si="15">IF(C8=D8,0,((E8-D8)-(C8-E8))/(C8-D8))</f>
        <v>0.61593669528128547</v>
      </c>
      <c r="Q8">
        <f t="shared" ref="Q8" si="16">F8*P8</f>
        <v>56607.509973425455</v>
      </c>
      <c r="R8">
        <f t="shared" ref="R8" si="17">R9+Q8</f>
        <v>8679957.7732626889</v>
      </c>
      <c r="S8">
        <f t="shared" ref="S8" si="18">R8/100000</f>
        <v>86.799577732626886</v>
      </c>
      <c r="T8">
        <f t="shared" ref="T8" si="19">S8/1000</f>
        <v>8.6799577732626892E-2</v>
      </c>
    </row>
    <row r="9" spans="1:20" x14ac:dyDescent="0.25">
      <c r="A9" s="5">
        <v>44584</v>
      </c>
      <c r="B9">
        <v>35071.42</v>
      </c>
      <c r="C9">
        <v>36499</v>
      </c>
      <c r="D9">
        <v>34601.01</v>
      </c>
      <c r="E9">
        <v>36244.550000000003</v>
      </c>
      <c r="F9">
        <v>44279.523540000002</v>
      </c>
      <c r="G9">
        <v>36244.550000000003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0.73187424591278416</v>
      </c>
      <c r="Q9">
        <f t="shared" ref="Q9" si="21">F9*P9</f>
        <v>32407.042900214878</v>
      </c>
      <c r="R9">
        <f t="shared" ref="R9" si="22">R10+Q9</f>
        <v>8623350.2632892635</v>
      </c>
      <c r="S9">
        <f t="shared" ref="S9" si="23">R9/100000</f>
        <v>86.233502632892638</v>
      </c>
      <c r="T9">
        <f t="shared" ref="T9" si="24">S9/1000</f>
        <v>8.6233502632892631E-2</v>
      </c>
    </row>
    <row r="10" spans="1:20" x14ac:dyDescent="0.25">
      <c r="A10" s="5">
        <v>44583</v>
      </c>
      <c r="B10">
        <v>36445.31</v>
      </c>
      <c r="C10">
        <v>36835.22</v>
      </c>
      <c r="D10">
        <v>34008</v>
      </c>
      <c r="E10">
        <v>35071.42</v>
      </c>
      <c r="F10">
        <v>90471.338961000001</v>
      </c>
      <c r="G10">
        <v>35071.42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-0.24772744957944709</v>
      </c>
      <c r="Q10">
        <f t="shared" ref="Q10" si="26">F10*P10</f>
        <v>-22412.234060846196</v>
      </c>
      <c r="R10">
        <f t="shared" ref="R10" si="27">R11+Q10</f>
        <v>8590943.2203890495</v>
      </c>
      <c r="S10">
        <f t="shared" ref="S10" si="28">R10/100000</f>
        <v>85.909432203890489</v>
      </c>
      <c r="T10">
        <f t="shared" ref="T10" si="29">S10/1000</f>
        <v>8.5909432203890496E-2</v>
      </c>
    </row>
    <row r="11" spans="1:20" x14ac:dyDescent="0.25">
      <c r="A11" s="5">
        <v>44582</v>
      </c>
      <c r="B11">
        <v>40680.92</v>
      </c>
      <c r="C11">
        <v>41100</v>
      </c>
      <c r="D11">
        <v>35440.449999999997</v>
      </c>
      <c r="E11">
        <v>36445.31</v>
      </c>
      <c r="F11">
        <v>88860.891998999999</v>
      </c>
      <c r="G11">
        <v>36445.31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-0.64489756252705599</v>
      </c>
      <c r="Q11">
        <f t="shared" ref="Q11" si="31">F11*P11</f>
        <v>-57306.172654135073</v>
      </c>
      <c r="R11">
        <f t="shared" ref="R11" si="32">R12+Q11</f>
        <v>8613355.4544498958</v>
      </c>
      <c r="S11">
        <f t="shared" ref="S11" si="33">R11/100000</f>
        <v>86.133554544498963</v>
      </c>
      <c r="T11">
        <f t="shared" ref="T11" si="34">S11/1000</f>
        <v>8.6133554544498961E-2</v>
      </c>
    </row>
    <row r="12" spans="1:20" x14ac:dyDescent="0.25">
      <c r="A12" s="5">
        <v>44581</v>
      </c>
      <c r="B12">
        <v>41660</v>
      </c>
      <c r="C12">
        <v>43505</v>
      </c>
      <c r="D12">
        <v>40553.31</v>
      </c>
      <c r="E12">
        <v>40680.910000000003</v>
      </c>
      <c r="F12">
        <v>42330.339529999997</v>
      </c>
      <c r="G12">
        <v>40680.910000000003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-0.91354105614071546</v>
      </c>
      <c r="Q12">
        <f t="shared" ref="Q12" si="36">F12*P12</f>
        <v>-38670.503081031275</v>
      </c>
      <c r="R12">
        <f t="shared" ref="R12" si="37">R13+Q12</f>
        <v>8670661.6271040309</v>
      </c>
      <c r="S12">
        <f t="shared" ref="S12" si="38">R12/100000</f>
        <v>86.706616271040303</v>
      </c>
      <c r="T12">
        <f t="shared" ref="T12" si="39">S12/1000</f>
        <v>8.6706616271040302E-2</v>
      </c>
    </row>
    <row r="13" spans="1:20" x14ac:dyDescent="0.25">
      <c r="A13" s="5">
        <v>44580</v>
      </c>
      <c r="B13">
        <v>42352.12</v>
      </c>
      <c r="C13">
        <v>42559.13</v>
      </c>
      <c r="D13">
        <v>41138.559999999998</v>
      </c>
      <c r="E13">
        <v>41660.01</v>
      </c>
      <c r="F13">
        <v>31685.721590000001</v>
      </c>
      <c r="G13">
        <v>41660.01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-0.26585807105597825</v>
      </c>
      <c r="Q13">
        <f t="shared" ref="Q13" si="41">F13*P13</f>
        <v>-8423.9048219341639</v>
      </c>
      <c r="R13">
        <f t="shared" ref="R13" si="42">R14+Q13</f>
        <v>8709332.1301850621</v>
      </c>
      <c r="S13">
        <f t="shared" ref="S13" si="43">R13/100000</f>
        <v>87.093321301850622</v>
      </c>
      <c r="T13">
        <f t="shared" ref="T13" si="44">S13/1000</f>
        <v>8.7093321301850629E-2</v>
      </c>
    </row>
    <row r="14" spans="1:20" x14ac:dyDescent="0.25">
      <c r="A14" s="5">
        <v>44579</v>
      </c>
      <c r="B14">
        <v>42201.63</v>
      </c>
      <c r="C14">
        <v>42691</v>
      </c>
      <c r="D14">
        <v>41250</v>
      </c>
      <c r="E14">
        <v>42354.76</v>
      </c>
      <c r="F14">
        <v>29323.568960000001</v>
      </c>
      <c r="G14">
        <v>42354.76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0.53332408049965585</v>
      </c>
      <c r="Q14">
        <f t="shared" ref="Q14" si="46">F14*P14</f>
        <v>15638.965452560249</v>
      </c>
      <c r="R14">
        <f t="shared" ref="R14" si="47">R15+Q14</f>
        <v>8717756.0350069962</v>
      </c>
      <c r="S14">
        <f t="shared" ref="S14" si="48">R14/100000</f>
        <v>87.177560350069967</v>
      </c>
      <c r="T14">
        <f t="shared" ref="T14" si="49">S14/1000</f>
        <v>8.7177560350069974E-2</v>
      </c>
    </row>
    <row r="15" spans="1:20" x14ac:dyDescent="0.25">
      <c r="A15" s="5">
        <v>44578</v>
      </c>
      <c r="B15">
        <v>43071.66</v>
      </c>
      <c r="C15">
        <v>43176.18</v>
      </c>
      <c r="D15">
        <v>41540.42</v>
      </c>
      <c r="E15">
        <v>42201.62</v>
      </c>
      <c r="F15">
        <v>27562.08613</v>
      </c>
      <c r="G15">
        <v>42201.62</v>
      </c>
      <c r="L15" t="s">
        <v>8</v>
      </c>
      <c r="M15" t="s">
        <v>7</v>
      </c>
      <c r="N15" t="s">
        <v>7</v>
      </c>
      <c r="P15">
        <f t="shared" ref="P15" si="50">IF(C15=D15,0,((E15-D15)-(C15-E15))/(C15-D15))</f>
        <v>-0.19156844524868741</v>
      </c>
      <c r="Q15">
        <f t="shared" ref="Q15" si="51">F15*P15</f>
        <v>-5280.0259877345115</v>
      </c>
      <c r="R15">
        <f t="shared" ref="R15" si="52">R16+Q15</f>
        <v>8702117.0695544351</v>
      </c>
      <c r="S15">
        <f t="shared" ref="S15" si="53">R15/100000</f>
        <v>87.021170695544356</v>
      </c>
      <c r="T15">
        <f t="shared" ref="T15" si="54">S15/1000</f>
        <v>8.7021170695544353E-2</v>
      </c>
    </row>
    <row r="16" spans="1:20" x14ac:dyDescent="0.25">
      <c r="A16" s="5">
        <v>44577</v>
      </c>
      <c r="B16">
        <v>43084.29</v>
      </c>
      <c r="C16">
        <v>43475</v>
      </c>
      <c r="D16">
        <v>42581.79</v>
      </c>
      <c r="E16">
        <v>43071.66</v>
      </c>
      <c r="F16">
        <v>20602.352709999999</v>
      </c>
      <c r="G16">
        <v>43071.66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9.6875314875568122E-2</v>
      </c>
      <c r="Q16">
        <f t="shared" ref="Q16" si="56">F16*P16</f>
        <v>1995.8594059587642</v>
      </c>
      <c r="R16">
        <f t="shared" ref="R16" si="57">R17+Q16</f>
        <v>8707397.0955421701</v>
      </c>
      <c r="S16">
        <f t="shared" ref="S16" si="58">R16/100000</f>
        <v>87.0739709554217</v>
      </c>
      <c r="T16">
        <f t="shared" ref="T16" si="59">S16/1000</f>
        <v>8.7073970955421701E-2</v>
      </c>
    </row>
    <row r="17" spans="1:20" x14ac:dyDescent="0.25">
      <c r="A17" s="5">
        <v>44576</v>
      </c>
      <c r="B17">
        <v>43059.96</v>
      </c>
      <c r="C17">
        <v>43800</v>
      </c>
      <c r="D17">
        <v>42555</v>
      </c>
      <c r="E17">
        <v>43084.29</v>
      </c>
      <c r="F17">
        <v>21936.05616</v>
      </c>
      <c r="G17">
        <v>43084.29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-0.14973493975903474</v>
      </c>
      <c r="Q17">
        <f t="shared" ref="Q17" si="61">F17*P17</f>
        <v>-3284.5940476684027</v>
      </c>
      <c r="R17">
        <f t="shared" ref="R17" si="62">R18+Q17</f>
        <v>8705401.2361362111</v>
      </c>
      <c r="S17">
        <f t="shared" ref="S17" si="63">R17/100000</f>
        <v>87.054012361362112</v>
      </c>
      <c r="T17">
        <f t="shared" ref="T17" si="64">S17/1000</f>
        <v>8.7054012361362107E-2</v>
      </c>
    </row>
    <row r="18" spans="1:20" x14ac:dyDescent="0.25">
      <c r="A18" s="5">
        <v>44575</v>
      </c>
      <c r="B18">
        <v>42558.35</v>
      </c>
      <c r="C18">
        <v>43448.78</v>
      </c>
      <c r="D18">
        <v>41725.949999999997</v>
      </c>
      <c r="E18">
        <v>43059.96</v>
      </c>
      <c r="F18">
        <v>32640.88292</v>
      </c>
      <c r="G18">
        <v>43059.96</v>
      </c>
      <c r="L18" t="s">
        <v>8</v>
      </c>
      <c r="M18" t="s">
        <v>7</v>
      </c>
      <c r="N18" t="s">
        <v>7</v>
      </c>
      <c r="P18">
        <f t="shared" ref="P18" si="65">IF(C18=D18,0,((E18-D18)-(C18-E18))/(C18-D18))</f>
        <v>0.54862638797792085</v>
      </c>
      <c r="Q18">
        <f t="shared" ref="Q18" si="66">F18*P18</f>
        <v>17907.649696809811</v>
      </c>
      <c r="R18">
        <f t="shared" ref="R18" si="67">R19+Q18</f>
        <v>8708685.8301838804</v>
      </c>
      <c r="S18">
        <f t="shared" ref="S18" si="68">R18/100000</f>
        <v>87.086858301838802</v>
      </c>
      <c r="T18">
        <f t="shared" ref="T18" si="69">S18/1000</f>
        <v>8.7086858301838807E-2</v>
      </c>
    </row>
    <row r="19" spans="1:20" x14ac:dyDescent="0.25">
      <c r="A19" s="5">
        <v>44574</v>
      </c>
      <c r="B19">
        <v>43902.65</v>
      </c>
      <c r="C19">
        <v>44500</v>
      </c>
      <c r="D19">
        <v>42311.22</v>
      </c>
      <c r="E19">
        <v>42560.11</v>
      </c>
      <c r="F19">
        <v>34910.877619999999</v>
      </c>
      <c r="G19">
        <v>42560.11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-0.77257650380577347</v>
      </c>
      <c r="Q19">
        <f t="shared" ref="Q19" si="71">F19*P19</f>
        <v>-26971.323776450823</v>
      </c>
      <c r="R19">
        <f t="shared" ref="R19" si="72">R20+Q19</f>
        <v>8690778.1804870702</v>
      </c>
      <c r="S19">
        <f t="shared" ref="S19" si="73">R19/100000</f>
        <v>86.907781804870709</v>
      </c>
      <c r="T19">
        <f t="shared" ref="T19" si="74">S19/1000</f>
        <v>8.6907781804870715E-2</v>
      </c>
    </row>
    <row r="20" spans="1:20" x14ac:dyDescent="0.25">
      <c r="A20" s="5">
        <v>44573</v>
      </c>
      <c r="B20">
        <v>42729.29</v>
      </c>
      <c r="C20">
        <v>44322</v>
      </c>
      <c r="D20">
        <v>42450</v>
      </c>
      <c r="E20">
        <v>43902.66</v>
      </c>
      <c r="F20">
        <v>33943.292800000003</v>
      </c>
      <c r="G20">
        <v>43902.66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0.55198717948718323</v>
      </c>
      <c r="Q20">
        <f t="shared" ref="Q20" si="76">F20*P20</f>
        <v>18736.262455179614</v>
      </c>
      <c r="R20">
        <f t="shared" ref="R20" si="77">R21+Q20</f>
        <v>8717749.5042635202</v>
      </c>
      <c r="S20">
        <f t="shared" ref="S20" si="78">R20/100000</f>
        <v>87.177495042635201</v>
      </c>
      <c r="T20">
        <f t="shared" ref="T20" si="79">S20/1000</f>
        <v>8.7177495042635195E-2</v>
      </c>
    </row>
    <row r="21" spans="1:20" x14ac:dyDescent="0.25">
      <c r="A21" s="5">
        <v>44572</v>
      </c>
      <c r="B21">
        <v>41822.49</v>
      </c>
      <c r="C21">
        <v>43100</v>
      </c>
      <c r="D21">
        <v>41268.93</v>
      </c>
      <c r="E21">
        <v>42729.29</v>
      </c>
      <c r="F21">
        <v>37296.437290000002</v>
      </c>
      <c r="G21">
        <v>42729.29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0.59508921013396632</v>
      </c>
      <c r="Q21">
        <f t="shared" ref="Q21" si="81">F21*P21</f>
        <v>22194.707407717109</v>
      </c>
      <c r="R21">
        <f t="shared" ref="R21" si="82">R22+Q21</f>
        <v>8699013.24180834</v>
      </c>
      <c r="S21">
        <f t="shared" ref="S21" si="83">R21/100000</f>
        <v>86.990132418083405</v>
      </c>
      <c r="T21">
        <f t="shared" ref="T21" si="84">S21/1000</f>
        <v>8.6990132418083399E-2</v>
      </c>
    </row>
    <row r="22" spans="1:20" x14ac:dyDescent="0.25">
      <c r="A22" s="5">
        <v>44571</v>
      </c>
      <c r="B22">
        <v>41864.620000000003</v>
      </c>
      <c r="C22">
        <v>42248.5</v>
      </c>
      <c r="D22">
        <v>39650</v>
      </c>
      <c r="E22">
        <v>41822.49</v>
      </c>
      <c r="F22">
        <v>50729.170189999997</v>
      </c>
      <c r="G22">
        <v>41822.49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0.67211083317298281</v>
      </c>
      <c r="Q22">
        <f t="shared" ref="Q22" si="86">F22*P22</f>
        <v>34095.624842574944</v>
      </c>
      <c r="R22">
        <f t="shared" ref="R22" si="87">R23+Q22</f>
        <v>8676818.5344006233</v>
      </c>
      <c r="S22">
        <f t="shared" ref="S22" si="88">R22/100000</f>
        <v>86.768185344006227</v>
      </c>
      <c r="T22">
        <f t="shared" ref="T22" si="89">S22/1000</f>
        <v>8.6768185344006224E-2</v>
      </c>
    </row>
    <row r="23" spans="1:20" x14ac:dyDescent="0.25">
      <c r="A23" s="5">
        <v>44570</v>
      </c>
      <c r="B23">
        <v>41679.74</v>
      </c>
      <c r="C23">
        <v>42786.7</v>
      </c>
      <c r="D23">
        <v>41200.019999999997</v>
      </c>
      <c r="E23">
        <v>41864.620000000003</v>
      </c>
      <c r="F23">
        <v>22724.394260000001</v>
      </c>
      <c r="G23">
        <v>41864.620000000003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-0.16227594726094019</v>
      </c>
      <c r="Q23">
        <f t="shared" ref="Q23" si="91">F23*P23</f>
        <v>-3687.6226044725722</v>
      </c>
      <c r="R23">
        <f t="shared" ref="R23" si="92">R24+Q23</f>
        <v>8642722.9095580485</v>
      </c>
      <c r="S23">
        <f t="shared" ref="S23" si="93">R23/100000</f>
        <v>86.427229095580486</v>
      </c>
      <c r="T23">
        <f t="shared" ref="T23" si="94">S23/1000</f>
        <v>8.6427229095580482E-2</v>
      </c>
    </row>
    <row r="24" spans="1:20" x14ac:dyDescent="0.25">
      <c r="A24" s="5">
        <v>44569</v>
      </c>
      <c r="B24">
        <v>41566.480000000003</v>
      </c>
      <c r="C24">
        <v>42300</v>
      </c>
      <c r="D24">
        <v>40501</v>
      </c>
      <c r="E24">
        <v>41679.74</v>
      </c>
      <c r="F24">
        <v>32952.731110000001</v>
      </c>
      <c r="G24">
        <v>41679.74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0.31043913285158192</v>
      </c>
      <c r="Q24">
        <f t="shared" ref="Q24" si="96">F24*P24</f>
        <v>10229.817270879747</v>
      </c>
      <c r="R24">
        <f t="shared" ref="R24" si="97">R25+Q24</f>
        <v>8646410.532162521</v>
      </c>
      <c r="S24">
        <f t="shared" ref="S24" si="98">R24/100000</f>
        <v>86.464105321625212</v>
      </c>
      <c r="T24">
        <f t="shared" ref="T24" si="99">S24/1000</f>
        <v>8.6464105321625212E-2</v>
      </c>
    </row>
    <row r="25" spans="1:20" x14ac:dyDescent="0.25">
      <c r="A25" s="5">
        <v>44568</v>
      </c>
      <c r="B25">
        <v>43082.3</v>
      </c>
      <c r="C25">
        <v>43145.83</v>
      </c>
      <c r="D25">
        <v>40610</v>
      </c>
      <c r="E25">
        <v>41566.480000000003</v>
      </c>
      <c r="F25">
        <v>54836.508179999997</v>
      </c>
      <c r="G25">
        <v>41566.480000000003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-0.24562766431503488</v>
      </c>
      <c r="Q25">
        <f t="shared" ref="Q25" si="101">F25*P25</f>
        <v>-13469.363423445704</v>
      </c>
      <c r="R25">
        <f t="shared" ref="R25" si="102">R26+Q25</f>
        <v>8636180.7148916405</v>
      </c>
      <c r="S25">
        <f t="shared" ref="S25" si="103">R25/100000</f>
        <v>86.361807148916398</v>
      </c>
      <c r="T25">
        <f t="shared" ref="T25" si="104">S25/1000</f>
        <v>8.6361807148916392E-2</v>
      </c>
    </row>
    <row r="26" spans="1:20" x14ac:dyDescent="0.25">
      <c r="A26" s="5">
        <v>44567</v>
      </c>
      <c r="B26">
        <v>43451.14</v>
      </c>
      <c r="C26">
        <v>43816</v>
      </c>
      <c r="D26">
        <v>42430.58</v>
      </c>
      <c r="E26">
        <v>43082.31</v>
      </c>
      <c r="F26">
        <v>38880.373050000002</v>
      </c>
      <c r="G26">
        <v>43082.31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-5.9158955407029278E-2</v>
      </c>
      <c r="Q26">
        <f t="shared" ref="Q26" si="106">F26*P26</f>
        <v>-2300.1222554736132</v>
      </c>
      <c r="R26">
        <f t="shared" ref="R26" si="107">R27+Q26</f>
        <v>8649650.0783150867</v>
      </c>
      <c r="S26">
        <f t="shared" ref="S26" si="108">R26/100000</f>
        <v>86.496500783150864</v>
      </c>
      <c r="T26">
        <f t="shared" ref="T26" si="109">S26/1000</f>
        <v>8.6496500783150868E-2</v>
      </c>
    </row>
    <row r="27" spans="1:20" x14ac:dyDescent="0.25">
      <c r="A27" s="5">
        <v>44566</v>
      </c>
      <c r="B27">
        <v>45832.01</v>
      </c>
      <c r="C27">
        <v>47070</v>
      </c>
      <c r="D27">
        <v>42500</v>
      </c>
      <c r="E27">
        <v>43451.13</v>
      </c>
      <c r="F27">
        <v>51784.118569999999</v>
      </c>
      <c r="G27">
        <v>43451.13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-0.58375054704595297</v>
      </c>
      <c r="Q27">
        <f t="shared" ref="Q27" si="111">F27*P27</f>
        <v>-30229.007543529991</v>
      </c>
      <c r="R27">
        <f t="shared" ref="R27" si="112">R28+Q27</f>
        <v>8651950.200570561</v>
      </c>
      <c r="S27">
        <f t="shared" ref="S27" si="113">R27/100000</f>
        <v>86.519502005705604</v>
      </c>
      <c r="T27">
        <f t="shared" ref="T27" si="114">S27/1000</f>
        <v>8.6519502005705601E-2</v>
      </c>
    </row>
    <row r="28" spans="1:20" x14ac:dyDescent="0.25">
      <c r="A28" s="5">
        <v>44565</v>
      </c>
      <c r="B28">
        <v>46446.1</v>
      </c>
      <c r="C28">
        <v>47557.54</v>
      </c>
      <c r="D28">
        <v>45500</v>
      </c>
      <c r="E28">
        <v>45832.01</v>
      </c>
      <c r="F28">
        <v>35491.4136</v>
      </c>
      <c r="G28">
        <v>45832.01</v>
      </c>
      <c r="L28" t="s">
        <v>7</v>
      </c>
      <c r="M28" t="s">
        <v>8</v>
      </c>
      <c r="N28" t="s">
        <v>7</v>
      </c>
      <c r="P28">
        <f t="shared" ref="P28" si="115">IF(C28=D28,0,((E28-D28)-(C28-E28))/(C28-D28))</f>
        <v>-0.67727480389202455</v>
      </c>
      <c r="Q28">
        <f t="shared" ref="Q28" si="116">F28*P28</f>
        <v>-24037.440185790732</v>
      </c>
      <c r="R28">
        <f t="shared" ref="R28" si="117">R29+Q28</f>
        <v>8682179.2081140913</v>
      </c>
      <c r="S28">
        <f t="shared" ref="S28" si="118">R28/100000</f>
        <v>86.821792081140913</v>
      </c>
      <c r="T28">
        <f t="shared" ref="T28" si="119">S28/1000</f>
        <v>8.6821792081140908E-2</v>
      </c>
    </row>
    <row r="29" spans="1:20" x14ac:dyDescent="0.25">
      <c r="A29" s="5">
        <v>44564</v>
      </c>
      <c r="B29">
        <v>47286.18</v>
      </c>
      <c r="C29">
        <v>47570</v>
      </c>
      <c r="D29">
        <v>45696</v>
      </c>
      <c r="E29">
        <v>46446.1</v>
      </c>
      <c r="F29">
        <v>27662.077099999999</v>
      </c>
      <c r="G29">
        <v>46446.1</v>
      </c>
      <c r="L29" t="s">
        <v>7</v>
      </c>
      <c r="M29" t="s">
        <v>8</v>
      </c>
      <c r="N29" t="s">
        <v>7</v>
      </c>
      <c r="P29">
        <f t="shared" ref="P29" si="120">IF(C29=D29,0,((E29-D29)-(C29-E29))/(C29-D29))</f>
        <v>-0.19946638207043912</v>
      </c>
      <c r="Q29">
        <f t="shared" ref="Q29" si="121">F29*P29</f>
        <v>-5517.6544396905447</v>
      </c>
      <c r="R29">
        <f t="shared" ref="R29" si="122">R30+Q29</f>
        <v>8706216.6482998822</v>
      </c>
      <c r="S29">
        <f t="shared" ref="S29" si="123">R29/100000</f>
        <v>87.062166482998819</v>
      </c>
      <c r="T29">
        <f t="shared" ref="T29" si="124">S29/1000</f>
        <v>8.7062166482998818E-2</v>
      </c>
    </row>
    <row r="30" spans="1:20" x14ac:dyDescent="0.25">
      <c r="A30" s="5">
        <v>44563</v>
      </c>
      <c r="B30">
        <v>47722.66</v>
      </c>
      <c r="C30">
        <v>47990</v>
      </c>
      <c r="D30">
        <v>46654</v>
      </c>
      <c r="E30">
        <v>47286.18</v>
      </c>
      <c r="F30">
        <v>18340.4604</v>
      </c>
      <c r="G30">
        <v>47286.18</v>
      </c>
      <c r="L30" t="s">
        <v>7</v>
      </c>
      <c r="M30" t="s">
        <v>8</v>
      </c>
      <c r="N30" t="s">
        <v>7</v>
      </c>
      <c r="P30">
        <f t="shared" ref="P30" si="125">IF(C30=D30,0,((E30-D30)-(C30-E30))/(C30-D30))</f>
        <v>-5.3622754491017527E-2</v>
      </c>
      <c r="Q30">
        <f t="shared" ref="Q30" si="126">F30*P30</f>
        <v>-983.46600528142915</v>
      </c>
      <c r="R30">
        <f t="shared" ref="R30" si="127">R31+Q30</f>
        <v>8711734.3027395736</v>
      </c>
      <c r="S30">
        <f t="shared" ref="S30" si="128">R30/100000</f>
        <v>87.117343027395734</v>
      </c>
      <c r="T30">
        <f t="shared" ref="T30" si="129">S30/1000</f>
        <v>8.7117343027395738E-2</v>
      </c>
    </row>
    <row r="31" spans="1:20" x14ac:dyDescent="0.25">
      <c r="A31" s="5">
        <v>44562</v>
      </c>
      <c r="B31">
        <v>46216.93</v>
      </c>
      <c r="C31">
        <v>47954.63</v>
      </c>
      <c r="D31">
        <v>46208.37</v>
      </c>
      <c r="E31">
        <v>47722.65</v>
      </c>
      <c r="F31">
        <v>19604.463250000001</v>
      </c>
      <c r="G31">
        <v>47722.65</v>
      </c>
      <c r="L31" t="s">
        <v>7</v>
      </c>
      <c r="M31" t="s">
        <v>8</v>
      </c>
      <c r="N31" t="s">
        <v>7</v>
      </c>
      <c r="P31">
        <f t="shared" ref="P31" si="130">IF(C31=D31,0,((E31-D31)-(C31-E31))/(C31-D31))</f>
        <v>0.73431218718862412</v>
      </c>
      <c r="Q31">
        <f t="shared" ref="Q31" si="131">F31*P31</f>
        <v>14395.796287766503</v>
      </c>
      <c r="R31">
        <f t="shared" ref="R31" si="132">R32+Q31</f>
        <v>8712717.7687448543</v>
      </c>
      <c r="S31">
        <f t="shared" ref="S31" si="133">R31/100000</f>
        <v>87.127177687448537</v>
      </c>
      <c r="T31">
        <f t="shared" ref="T31" si="134">S31/1000</f>
        <v>8.7127177687448543E-2</v>
      </c>
    </row>
    <row r="32" spans="1:20" x14ac:dyDescent="0.25">
      <c r="A32" s="5">
        <v>44561</v>
      </c>
      <c r="B32">
        <v>47120.88</v>
      </c>
      <c r="C32">
        <v>48548.26</v>
      </c>
      <c r="D32">
        <v>45678</v>
      </c>
      <c r="E32">
        <v>46216.93</v>
      </c>
      <c r="F32">
        <v>34937.997960000001</v>
      </c>
      <c r="G32">
        <v>46216.93</v>
      </c>
      <c r="L32" t="s">
        <v>7</v>
      </c>
      <c r="M32" t="s">
        <v>8</v>
      </c>
      <c r="N32" t="s">
        <v>7</v>
      </c>
      <c r="P32">
        <f t="shared" ref="P32" si="135">IF(C32=D32,0,((E32-D32)-(C32-E32))/(C32-D32))</f>
        <v>-0.62447304425383077</v>
      </c>
      <c r="Q32">
        <f t="shared" ref="Q32" si="136">F32*P32</f>
        <v>-21817.837946215328</v>
      </c>
      <c r="R32">
        <f t="shared" ref="R32" si="137">R33+Q32</f>
        <v>8698321.9724570885</v>
      </c>
      <c r="S32">
        <f t="shared" ref="S32" si="138">R32/100000</f>
        <v>86.983219724570887</v>
      </c>
      <c r="T32">
        <f t="shared" ref="T32" si="139">S32/1000</f>
        <v>8.698321972457089E-2</v>
      </c>
    </row>
    <row r="33" spans="1:20" x14ac:dyDescent="0.25">
      <c r="A33" s="5">
        <v>44560</v>
      </c>
      <c r="B33">
        <v>46464.66</v>
      </c>
      <c r="C33">
        <v>47900</v>
      </c>
      <c r="D33">
        <v>45900</v>
      </c>
      <c r="E33">
        <v>47120.87</v>
      </c>
      <c r="F33">
        <v>30352.295689999999</v>
      </c>
      <c r="G33">
        <v>47120.87</v>
      </c>
      <c r="L33" t="s">
        <v>7</v>
      </c>
      <c r="M33" t="s">
        <v>8</v>
      </c>
      <c r="N33" t="s">
        <v>7</v>
      </c>
      <c r="P33">
        <f t="shared" ref="P33" si="140">IF(C33=D33,0,((E33-D33)-(C33-E33))/(C33-D33))</f>
        <v>0.22087000000000262</v>
      </c>
      <c r="Q33">
        <f t="shared" ref="Q33" si="141">F33*P33</f>
        <v>6703.9115490503791</v>
      </c>
      <c r="R33">
        <f t="shared" ref="R33" si="142">R34+Q33</f>
        <v>8720139.8104033042</v>
      </c>
      <c r="S33">
        <f t="shared" ref="S33" si="143">R33/100000</f>
        <v>87.201398104033046</v>
      </c>
      <c r="T33">
        <f t="shared" ref="T33" si="144">S33/1000</f>
        <v>8.7201398104033045E-2</v>
      </c>
    </row>
    <row r="34" spans="1:20" x14ac:dyDescent="0.25">
      <c r="A34" s="5">
        <v>44559</v>
      </c>
      <c r="B34">
        <v>47543.74</v>
      </c>
      <c r="C34">
        <v>48139.08</v>
      </c>
      <c r="D34">
        <v>46096.99</v>
      </c>
      <c r="E34">
        <v>46464.66</v>
      </c>
      <c r="F34">
        <v>39498.870000000003</v>
      </c>
      <c r="G34">
        <v>46464.66</v>
      </c>
      <c r="L34" t="s">
        <v>7</v>
      </c>
      <c r="M34" t="s">
        <v>8</v>
      </c>
      <c r="N34" t="s">
        <v>7</v>
      </c>
      <c r="P34">
        <f t="shared" ref="P34" si="145">IF(C34=D34,0,((E34-D34)-(C34-E34))/(C34-D34))</f>
        <v>-0.63990813333398155</v>
      </c>
      <c r="Q34">
        <f t="shared" ref="Q34" si="146">F34*P34</f>
        <v>-25275.648170501605</v>
      </c>
      <c r="R34">
        <f t="shared" ref="R34" si="147">R35+Q34</f>
        <v>8713435.8988542538</v>
      </c>
      <c r="S34">
        <f t="shared" ref="S34" si="148">R34/100000</f>
        <v>87.134358988542544</v>
      </c>
      <c r="T34">
        <f t="shared" ref="T34" si="149">S34/1000</f>
        <v>8.7134358988542548E-2</v>
      </c>
    </row>
    <row r="35" spans="1:20" x14ac:dyDescent="0.25">
      <c r="A35" s="5">
        <v>44558</v>
      </c>
      <c r="B35">
        <v>50701.440000000002</v>
      </c>
      <c r="C35">
        <v>50704.05</v>
      </c>
      <c r="D35">
        <v>47313.01</v>
      </c>
      <c r="E35">
        <v>47543.74</v>
      </c>
      <c r="F35">
        <v>45853.339240000001</v>
      </c>
      <c r="G35">
        <v>47543.74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-0.86391785410965616</v>
      </c>
      <c r="Q35">
        <f t="shared" ref="Q35" si="151">F35*P35</f>
        <v>-39613.518439982894</v>
      </c>
      <c r="R35">
        <f t="shared" ref="R35" si="152">R36+Q35</f>
        <v>8738711.5470247548</v>
      </c>
      <c r="S35">
        <f t="shared" ref="S35" si="153">R35/100000</f>
        <v>87.387115470247551</v>
      </c>
      <c r="T35">
        <f t="shared" ref="T35" si="154">S35/1000</f>
        <v>8.7387115470247551E-2</v>
      </c>
    </row>
    <row r="36" spans="1:20" x14ac:dyDescent="0.25">
      <c r="A36" s="5">
        <v>44557</v>
      </c>
      <c r="B36">
        <v>50775.48</v>
      </c>
      <c r="C36">
        <v>52088</v>
      </c>
      <c r="D36">
        <v>50449</v>
      </c>
      <c r="E36">
        <v>50701.440000000002</v>
      </c>
      <c r="F36">
        <v>28779.582119999999</v>
      </c>
      <c r="G36">
        <v>50701.440000000002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-0.69195851128736752</v>
      </c>
      <c r="Q36">
        <f t="shared" ref="Q36" si="156">F36*P36</f>
        <v>-19914.27679922774</v>
      </c>
      <c r="R36">
        <f t="shared" ref="R36" si="157">R37+Q36</f>
        <v>8778325.0654647369</v>
      </c>
      <c r="S36">
        <f t="shared" ref="S36" si="158">R36/100000</f>
        <v>87.783250654647375</v>
      </c>
      <c r="T36">
        <f t="shared" ref="T36" si="159">S36/1000</f>
        <v>8.7783250654647371E-2</v>
      </c>
    </row>
    <row r="37" spans="1:20" x14ac:dyDescent="0.25">
      <c r="A37" s="5">
        <v>44556</v>
      </c>
      <c r="B37">
        <v>50399.67</v>
      </c>
      <c r="C37">
        <v>51280</v>
      </c>
      <c r="D37">
        <v>49412</v>
      </c>
      <c r="E37">
        <v>50775.49</v>
      </c>
      <c r="F37">
        <v>22569.889139999999</v>
      </c>
      <c r="G37">
        <v>50775.49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0.45983940042826332</v>
      </c>
      <c r="Q37">
        <f t="shared" ref="Q37" si="161">F37*P37</f>
        <v>10378.524289869971</v>
      </c>
      <c r="R37">
        <f t="shared" ref="R37" si="162">R38+Q37</f>
        <v>8798239.3422639649</v>
      </c>
      <c r="S37">
        <f t="shared" ref="S37" si="163">R37/100000</f>
        <v>87.982393422639646</v>
      </c>
      <c r="T37">
        <f t="shared" ref="T37" si="164">S37/1000</f>
        <v>8.7982393422639651E-2</v>
      </c>
    </row>
    <row r="38" spans="1:20" x14ac:dyDescent="0.25">
      <c r="A38" s="5">
        <v>44555</v>
      </c>
      <c r="B38">
        <v>50819.99</v>
      </c>
      <c r="C38">
        <v>51156.23</v>
      </c>
      <c r="D38">
        <v>50142.32</v>
      </c>
      <c r="E38">
        <v>50399.66</v>
      </c>
      <c r="F38">
        <v>19135.51613</v>
      </c>
      <c r="G38">
        <v>50399.66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-0.49238098056039903</v>
      </c>
      <c r="Q38">
        <f t="shared" ref="Q38" si="166">F38*P38</f>
        <v>-9421.9641956187315</v>
      </c>
      <c r="R38">
        <f t="shared" ref="R38" si="167">R39+Q38</f>
        <v>8787860.8179740943</v>
      </c>
      <c r="S38">
        <f t="shared" ref="S38" si="168">R38/100000</f>
        <v>87.878608179740937</v>
      </c>
      <c r="T38">
        <f t="shared" ref="T38" si="169">S38/1000</f>
        <v>8.7878608179740941E-2</v>
      </c>
    </row>
    <row r="39" spans="1:20" x14ac:dyDescent="0.25">
      <c r="A39" s="5">
        <v>44554</v>
      </c>
      <c r="B39">
        <v>50838.82</v>
      </c>
      <c r="C39">
        <v>51810</v>
      </c>
      <c r="D39">
        <v>50384.43</v>
      </c>
      <c r="E39">
        <v>50820</v>
      </c>
      <c r="F39">
        <v>31684.842690000001</v>
      </c>
      <c r="G39">
        <v>50820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-0.38891811696374112</v>
      </c>
      <c r="Q39">
        <f t="shared" ref="Q39" si="171">F39*P39</f>
        <v>-12322.809355287158</v>
      </c>
      <c r="R39">
        <f t="shared" ref="R39" si="172">R40+Q39</f>
        <v>8797282.7821697127</v>
      </c>
      <c r="S39">
        <f t="shared" ref="S39" si="173">R39/100000</f>
        <v>87.972827821697123</v>
      </c>
      <c r="T39">
        <f t="shared" ref="T39" si="174">S39/1000</f>
        <v>8.7972827821697117E-2</v>
      </c>
    </row>
    <row r="40" spans="1:20" x14ac:dyDescent="0.25">
      <c r="A40" s="5">
        <v>44553</v>
      </c>
      <c r="B40">
        <v>48588.17</v>
      </c>
      <c r="C40">
        <v>51375</v>
      </c>
      <c r="D40">
        <v>47920.42</v>
      </c>
      <c r="E40">
        <v>50838.81</v>
      </c>
      <c r="F40">
        <v>35192.540459999997</v>
      </c>
      <c r="G40">
        <v>50838.81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0.68957731475316708</v>
      </c>
      <c r="Q40">
        <f t="shared" ref="Q40" si="176">F40*P40</f>
        <v>24267.977549748986</v>
      </c>
      <c r="R40">
        <f t="shared" ref="R40" si="177">R41+Q40</f>
        <v>8809605.5915249996</v>
      </c>
      <c r="S40">
        <f t="shared" ref="S40" si="178">R40/100000</f>
        <v>88.096055915249991</v>
      </c>
      <c r="T40">
        <f t="shared" ref="T40" si="179">S40/1000</f>
        <v>8.8096055915249993E-2</v>
      </c>
    </row>
    <row r="41" spans="1:20" x14ac:dyDescent="0.25">
      <c r="A41" s="5">
        <v>44552</v>
      </c>
      <c r="B41">
        <v>48887.59</v>
      </c>
      <c r="C41">
        <v>49576.13</v>
      </c>
      <c r="D41">
        <v>48421.87</v>
      </c>
      <c r="E41">
        <v>48588.160000000003</v>
      </c>
      <c r="F41">
        <v>27004.2022</v>
      </c>
      <c r="G41">
        <v>48588.160000000003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-0.71186734357943338</v>
      </c>
      <c r="Q41">
        <f t="shared" ref="Q41" si="181">F41*P41</f>
        <v>-19223.409685595889</v>
      </c>
      <c r="R41">
        <f t="shared" ref="R41" si="182">R42+Q41</f>
        <v>8785337.6139752511</v>
      </c>
      <c r="S41">
        <f t="shared" ref="S41" si="183">R41/100000</f>
        <v>87.853376139752513</v>
      </c>
      <c r="T41">
        <f t="shared" ref="T41" si="184">S41/1000</f>
        <v>8.7853376139752512E-2</v>
      </c>
    </row>
    <row r="42" spans="1:20" x14ac:dyDescent="0.25">
      <c r="A42" s="5">
        <v>44551</v>
      </c>
      <c r="B42">
        <v>46914.17</v>
      </c>
      <c r="C42">
        <v>49328.959999999999</v>
      </c>
      <c r="D42">
        <v>46630</v>
      </c>
      <c r="E42">
        <v>48889.88</v>
      </c>
      <c r="F42">
        <v>37713.929239999998</v>
      </c>
      <c r="G42">
        <v>48889.88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0.67463022793964944</v>
      </c>
      <c r="Q42">
        <f t="shared" ref="Q42" si="186">F42*P42</f>
        <v>25442.956679681007</v>
      </c>
      <c r="R42">
        <f t="shared" ref="R42" si="187">R43+Q42</f>
        <v>8804561.0236608461</v>
      </c>
      <c r="S42">
        <f t="shared" ref="S42" si="188">R42/100000</f>
        <v>88.045610236608454</v>
      </c>
      <c r="T42">
        <f t="shared" ref="T42" si="189">S42/1000</f>
        <v>8.8045610236608451E-2</v>
      </c>
    </row>
    <row r="43" spans="1:20" x14ac:dyDescent="0.25">
      <c r="A43" s="5">
        <v>44550</v>
      </c>
      <c r="B43">
        <v>46681.24</v>
      </c>
      <c r="C43">
        <v>47537.57</v>
      </c>
      <c r="D43">
        <v>45558.85</v>
      </c>
      <c r="E43">
        <v>46914.16</v>
      </c>
      <c r="F43">
        <v>35848.506090000003</v>
      </c>
      <c r="G43">
        <v>46914.16</v>
      </c>
      <c r="L43" t="s">
        <v>7</v>
      </c>
      <c r="M43" t="s">
        <v>8</v>
      </c>
      <c r="N43" t="s">
        <v>7</v>
      </c>
      <c r="P43">
        <f t="shared" ref="P43" si="190">IF(C43=D43,0,((E43-D43)-(C43-E43))/(C43-D43))</f>
        <v>0.36988558259885596</v>
      </c>
      <c r="Q43">
        <f t="shared" ref="Q43" si="191">F43*P43</f>
        <v>13259.845560398287</v>
      </c>
      <c r="R43">
        <f t="shared" ref="R43" si="192">R44+Q43</f>
        <v>8779118.0669811647</v>
      </c>
      <c r="S43">
        <f t="shared" ref="S43" si="193">R43/100000</f>
        <v>87.791180669811652</v>
      </c>
      <c r="T43">
        <f t="shared" ref="T43" si="194">S43/1000</f>
        <v>8.7791180669811647E-2</v>
      </c>
    </row>
    <row r="44" spans="1:20" x14ac:dyDescent="0.25">
      <c r="A44" s="5">
        <v>44549</v>
      </c>
      <c r="B44">
        <v>46834.47</v>
      </c>
      <c r="C44">
        <v>48300.01</v>
      </c>
      <c r="D44">
        <v>46406.91</v>
      </c>
      <c r="E44">
        <v>46681.23</v>
      </c>
      <c r="F44">
        <v>29305.70665</v>
      </c>
      <c r="G44">
        <v>46681.23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-0.71018963604669594</v>
      </c>
      <c r="Q44">
        <f t="shared" ref="Q44" si="196">F44*P44</f>
        <v>-20812.609139854736</v>
      </c>
      <c r="R44">
        <f t="shared" ref="R44" si="197">R45+Q44</f>
        <v>8765858.2214207668</v>
      </c>
      <c r="S44">
        <f t="shared" ref="S44" si="198">R44/100000</f>
        <v>87.658582214207669</v>
      </c>
      <c r="T44">
        <f t="shared" ref="T44" si="199">S44/1000</f>
        <v>8.7658582214207664E-2</v>
      </c>
    </row>
    <row r="45" spans="1:20" x14ac:dyDescent="0.25">
      <c r="A45" s="5">
        <v>44548</v>
      </c>
      <c r="B45">
        <v>46133.83</v>
      </c>
      <c r="C45">
        <v>47392.37</v>
      </c>
      <c r="D45">
        <v>45500</v>
      </c>
      <c r="E45">
        <v>46834.48</v>
      </c>
      <c r="F45">
        <v>25020.05271</v>
      </c>
      <c r="G45">
        <v>46834.48</v>
      </c>
      <c r="L45" t="s">
        <v>7</v>
      </c>
      <c r="M45" t="s">
        <v>8</v>
      </c>
      <c r="N45" t="s">
        <v>7</v>
      </c>
      <c r="P45">
        <f t="shared" ref="P45" si="200">IF(C45=D45,0,((E45-D45)-(C45-E45))/(C45-D45))</f>
        <v>0.41037957693263089</v>
      </c>
      <c r="Q45">
        <f t="shared" ref="Q45" si="201">F45*P45</f>
        <v>10267.718645961924</v>
      </c>
      <c r="R45">
        <f t="shared" ref="R45" si="202">R46+Q45</f>
        <v>8786670.8305606209</v>
      </c>
      <c r="S45">
        <f t="shared" ref="S45" si="203">R45/100000</f>
        <v>87.86670830560621</v>
      </c>
      <c r="T45">
        <f t="shared" ref="T45" si="204">S45/1000</f>
        <v>8.7866708305606209E-2</v>
      </c>
    </row>
    <row r="46" spans="1:20" x14ac:dyDescent="0.25">
      <c r="A46" s="5">
        <v>44547</v>
      </c>
      <c r="B46">
        <v>47632.38</v>
      </c>
      <c r="C46">
        <v>47995.96</v>
      </c>
      <c r="D46">
        <v>45456</v>
      </c>
      <c r="E46">
        <v>46131.199999999997</v>
      </c>
      <c r="F46">
        <v>43104.488700000002</v>
      </c>
      <c r="G46">
        <v>46131.199999999997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-0.46833808406431809</v>
      </c>
      <c r="Q46">
        <f t="shared" ref="Q46" si="206">F46*P46</f>
        <v>-20187.473652330049</v>
      </c>
      <c r="R46">
        <f t="shared" ref="R46" si="207">R47+Q46</f>
        <v>8776403.1119146589</v>
      </c>
      <c r="S46">
        <f t="shared" ref="S46" si="208">R46/100000</f>
        <v>87.764031119146594</v>
      </c>
      <c r="T46">
        <f t="shared" ref="T46" si="209">S46/1000</f>
        <v>8.7764031119146588E-2</v>
      </c>
    </row>
    <row r="47" spans="1:20" x14ac:dyDescent="0.25">
      <c r="A47" s="5">
        <v>44546</v>
      </c>
      <c r="B47">
        <v>48864.98</v>
      </c>
      <c r="C47">
        <v>49436.43</v>
      </c>
      <c r="D47">
        <v>47511</v>
      </c>
      <c r="E47">
        <v>47632.38</v>
      </c>
      <c r="F47">
        <v>31949.867389999999</v>
      </c>
      <c r="G47">
        <v>47632.38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-0.8739190726227416</v>
      </c>
      <c r="Q47">
        <f t="shared" ref="Q47" si="211">F47*P47</f>
        <v>-27921.598479888373</v>
      </c>
      <c r="R47">
        <f t="shared" ref="R47" si="212">R48+Q47</f>
        <v>8796590.5855669882</v>
      </c>
      <c r="S47">
        <f t="shared" ref="S47" si="213">R47/100000</f>
        <v>87.965905855669888</v>
      </c>
      <c r="T47">
        <f t="shared" ref="T47" si="214">S47/1000</f>
        <v>8.7965905855669893E-2</v>
      </c>
    </row>
    <row r="48" spans="1:20" x14ac:dyDescent="0.25">
      <c r="A48" s="5">
        <v>44545</v>
      </c>
      <c r="B48">
        <v>48336.95</v>
      </c>
      <c r="C48">
        <v>49500</v>
      </c>
      <c r="D48">
        <v>46547</v>
      </c>
      <c r="E48">
        <v>48864.98</v>
      </c>
      <c r="F48">
        <v>51629.180999999997</v>
      </c>
      <c r="G48">
        <v>48864.98</v>
      </c>
      <c r="L48" t="s">
        <v>8</v>
      </c>
      <c r="M48" t="s">
        <v>8</v>
      </c>
      <c r="N48" t="s">
        <v>7</v>
      </c>
      <c r="P48">
        <f t="shared" ref="P48" si="215">IF(C48=D48,0,((E48-D48)-(C48-E48))/(C48-D48))</f>
        <v>0.56991534033186808</v>
      </c>
      <c r="Q48">
        <f t="shared" ref="Q48" si="216">F48*P48</f>
        <v>29424.262260670614</v>
      </c>
      <c r="R48">
        <f t="shared" ref="R48" si="217">R49+Q48</f>
        <v>8824512.1840468757</v>
      </c>
      <c r="S48">
        <f t="shared" ref="S48" si="218">R48/100000</f>
        <v>88.245121840468755</v>
      </c>
      <c r="T48">
        <f t="shared" ref="T48" si="219">S48/1000</f>
        <v>8.824512184046876E-2</v>
      </c>
    </row>
    <row r="49" spans="1:20" x14ac:dyDescent="0.25">
      <c r="A49" s="5">
        <v>44544</v>
      </c>
      <c r="B49">
        <v>46702.76</v>
      </c>
      <c r="C49">
        <v>48700.41</v>
      </c>
      <c r="D49">
        <v>46290</v>
      </c>
      <c r="E49">
        <v>48343.28</v>
      </c>
      <c r="F49">
        <v>39955.984450000004</v>
      </c>
      <c r="G49">
        <v>48343.28</v>
      </c>
      <c r="L49" t="s">
        <v>8</v>
      </c>
      <c r="M49" t="s">
        <v>8</v>
      </c>
      <c r="N49" t="s">
        <v>7</v>
      </c>
      <c r="P49">
        <f t="shared" ref="P49" si="220">IF(C49=D49,0,((E49-D49)-(C49-E49))/(C49-D49))</f>
        <v>0.70367696781874944</v>
      </c>
      <c r="Q49">
        <f t="shared" ref="Q49" si="221">F49*P49</f>
        <v>28116.105983989106</v>
      </c>
      <c r="R49">
        <f t="shared" ref="R49" si="222">R50+Q49</f>
        <v>8795087.9217862058</v>
      </c>
      <c r="S49">
        <f t="shared" ref="S49" si="223">R49/100000</f>
        <v>87.950879217862052</v>
      </c>
      <c r="T49">
        <f t="shared" ref="T49" si="224">S49/1000</f>
        <v>8.7950879217862057E-2</v>
      </c>
    </row>
    <row r="50" spans="1:20" x14ac:dyDescent="0.25">
      <c r="A50" s="5">
        <v>44543</v>
      </c>
      <c r="B50">
        <v>50053.9</v>
      </c>
      <c r="C50">
        <v>50189.97</v>
      </c>
      <c r="D50">
        <v>45672.75</v>
      </c>
      <c r="E50">
        <v>46702.75</v>
      </c>
      <c r="F50">
        <v>50869.520929999999</v>
      </c>
      <c r="G50">
        <v>46702.75</v>
      </c>
      <c r="L50" t="s">
        <v>7</v>
      </c>
      <c r="M50" t="s">
        <v>8</v>
      </c>
      <c r="N50" t="s">
        <v>7</v>
      </c>
      <c r="P50">
        <f t="shared" ref="P50" si="225">IF(C50=D50,0,((E50-D50)-(C50-E50))/(C50-D50))</f>
        <v>-0.54396730732618748</v>
      </c>
      <c r="Q50">
        <f t="shared" ref="Q50" si="226">F50*P50</f>
        <v>-27671.356325265235</v>
      </c>
      <c r="R50">
        <f t="shared" ref="R50" si="227">R51+Q50</f>
        <v>8766971.8158022165</v>
      </c>
      <c r="S50">
        <f t="shared" ref="S50" si="228">R50/100000</f>
        <v>87.669718158022164</v>
      </c>
      <c r="T50">
        <f t="shared" ref="T50" si="229">S50/1000</f>
        <v>8.7669718158022159E-2</v>
      </c>
    </row>
    <row r="51" spans="1:20" x14ac:dyDescent="0.25">
      <c r="A51" s="5">
        <v>44542</v>
      </c>
      <c r="B51">
        <v>49389.99</v>
      </c>
      <c r="C51">
        <v>50777</v>
      </c>
      <c r="D51">
        <v>48638</v>
      </c>
      <c r="E51">
        <v>50053.9</v>
      </c>
      <c r="F51">
        <v>26017.934209999999</v>
      </c>
      <c r="G51">
        <v>50053.9</v>
      </c>
      <c r="L51" t="s">
        <v>8</v>
      </c>
      <c r="M51" t="s">
        <v>8</v>
      </c>
      <c r="N51" t="s">
        <v>7</v>
      </c>
      <c r="P51">
        <f t="shared" ref="P51" si="230">IF(C51=D51,0,((E51-D51)-(C51-E51))/(C51-D51))</f>
        <v>0.32388966806919256</v>
      </c>
      <c r="Q51">
        <f t="shared" ref="Q51" si="231">F51*P51</f>
        <v>8426.9400751229896</v>
      </c>
      <c r="R51">
        <f t="shared" ref="R51" si="232">R52+Q51</f>
        <v>8794643.1721274815</v>
      </c>
      <c r="S51">
        <f t="shared" ref="S51" si="233">R51/100000</f>
        <v>87.94643172127482</v>
      </c>
      <c r="T51">
        <f t="shared" ref="T51" si="234">S51/1000</f>
        <v>8.7946431721274823E-2</v>
      </c>
    </row>
    <row r="52" spans="1:20" x14ac:dyDescent="0.25">
      <c r="A52" s="5">
        <v>44541</v>
      </c>
      <c r="B52">
        <v>47140.54</v>
      </c>
      <c r="C52">
        <v>48300</v>
      </c>
      <c r="D52">
        <v>46751</v>
      </c>
      <c r="E52">
        <v>48046.13</v>
      </c>
      <c r="F52">
        <v>2994.9935399999999</v>
      </c>
      <c r="G52">
        <v>48046.13</v>
      </c>
      <c r="L52" t="s">
        <v>7</v>
      </c>
      <c r="M52" t="s">
        <v>8</v>
      </c>
      <c r="N52" t="s">
        <v>7</v>
      </c>
      <c r="P52">
        <f t="shared" ref="P52" si="235">IF(C52=D52,0,((E52-D52)-(C52-E52))/(C52-D52))</f>
        <v>0.67221433182698176</v>
      </c>
      <c r="Q52">
        <f t="shared" ref="Q52" si="236">F52*P52</f>
        <v>2013.2775813172268</v>
      </c>
      <c r="R52">
        <f t="shared" ref="R52" si="237">R53+Q52</f>
        <v>8786216.2320523579</v>
      </c>
      <c r="S52">
        <f t="shared" ref="S52" si="238">R52/100000</f>
        <v>87.862162320523581</v>
      </c>
      <c r="T52">
        <f t="shared" ref="T52" si="239">S52/1000</f>
        <v>8.7862162320523587E-2</v>
      </c>
    </row>
    <row r="53" spans="1:20" x14ac:dyDescent="0.25">
      <c r="A53" s="5">
        <v>44540</v>
      </c>
      <c r="B53">
        <v>47535.9</v>
      </c>
      <c r="C53">
        <v>50125</v>
      </c>
      <c r="D53">
        <v>46852</v>
      </c>
      <c r="E53">
        <v>47140.54</v>
      </c>
      <c r="F53">
        <v>44233.573909999999</v>
      </c>
      <c r="G53">
        <v>47140.54</v>
      </c>
      <c r="L53" t="s">
        <v>7</v>
      </c>
      <c r="M53" t="s">
        <v>8</v>
      </c>
      <c r="N53" t="s">
        <v>7</v>
      </c>
      <c r="P53">
        <f t="shared" ref="P53" si="240">IF(C53=D53,0,((E53-D53)-(C53-E53))/(C53-D53))</f>
        <v>-0.82368469294225433</v>
      </c>
      <c r="Q53">
        <f t="shared" ref="Q53" si="241">F53*P53</f>
        <v>-36434.51774379686</v>
      </c>
      <c r="R53">
        <f t="shared" ref="R53" si="242">R54+Q53</f>
        <v>8784202.9544710405</v>
      </c>
      <c r="S53">
        <f t="shared" ref="S53" si="243">R53/100000</f>
        <v>87.8420295447104</v>
      </c>
      <c r="T53">
        <f t="shared" ref="T53" si="244">S53/1000</f>
        <v>8.7842029544710404E-2</v>
      </c>
    </row>
    <row r="54" spans="1:20" x14ac:dyDescent="0.25">
      <c r="A54" s="5">
        <v>44539</v>
      </c>
      <c r="B54">
        <v>50471.19</v>
      </c>
      <c r="C54">
        <v>50797.760000000002</v>
      </c>
      <c r="D54">
        <v>47320</v>
      </c>
      <c r="E54">
        <v>47545.59</v>
      </c>
      <c r="F54">
        <v>37692.686650000003</v>
      </c>
      <c r="G54">
        <v>47545.59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-0.87026706845786006</v>
      </c>
      <c r="Q54">
        <f t="shared" ref="Q54" si="246">F54*P54</f>
        <v>-32802.703913196223</v>
      </c>
      <c r="R54">
        <f t="shared" ref="R54" si="247">R55+Q54</f>
        <v>8820637.4722148366</v>
      </c>
      <c r="S54">
        <f t="shared" ref="S54" si="248">R54/100000</f>
        <v>88.206374722148368</v>
      </c>
      <c r="T54">
        <f t="shared" ref="T54" si="249">S54/1000</f>
        <v>8.8206374722148373E-2</v>
      </c>
    </row>
    <row r="55" spans="1:20" x14ac:dyDescent="0.25">
      <c r="A55" s="5">
        <v>44538</v>
      </c>
      <c r="B55">
        <v>50588.95</v>
      </c>
      <c r="C55">
        <v>51200</v>
      </c>
      <c r="D55">
        <v>48600</v>
      </c>
      <c r="E55">
        <v>50471.19</v>
      </c>
      <c r="F55">
        <v>38425.924659999997</v>
      </c>
      <c r="G55">
        <v>50471.19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0.43937692307692489</v>
      </c>
      <c r="Q55">
        <f t="shared" ref="Q55" si="251">F55*P55</f>
        <v>16883.464543496531</v>
      </c>
      <c r="R55">
        <f t="shared" ref="R55" si="252">R56+Q55</f>
        <v>8853440.1761280335</v>
      </c>
      <c r="S55">
        <f t="shared" ref="S55" si="253">R55/100000</f>
        <v>88.534401761280336</v>
      </c>
      <c r="T55">
        <f t="shared" ref="T55" si="254">S55/1000</f>
        <v>8.8534401761280329E-2</v>
      </c>
    </row>
    <row r="56" spans="1:20" x14ac:dyDescent="0.25">
      <c r="A56" s="5">
        <v>44537</v>
      </c>
      <c r="B56">
        <v>50441.91</v>
      </c>
      <c r="C56">
        <v>51936.33</v>
      </c>
      <c r="D56">
        <v>50039.74</v>
      </c>
      <c r="E56">
        <v>50588.95</v>
      </c>
      <c r="F56">
        <v>38253.468769999999</v>
      </c>
      <c r="G56">
        <v>50588.95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-0.42084477931445591</v>
      </c>
      <c r="Q56">
        <f t="shared" ref="Q56" si="256">F56*P56</f>
        <v>-16098.772622523082</v>
      </c>
      <c r="R56">
        <f t="shared" ref="R56" si="257">R57+Q56</f>
        <v>8836556.7115845364</v>
      </c>
      <c r="S56">
        <f t="shared" ref="S56" si="258">R56/100000</f>
        <v>88.365567115845366</v>
      </c>
      <c r="T56">
        <f t="shared" ref="T56" si="259">S56/1000</f>
        <v>8.8365567115845367E-2</v>
      </c>
    </row>
    <row r="57" spans="1:20" x14ac:dyDescent="0.25">
      <c r="A57" s="5">
        <v>44536</v>
      </c>
      <c r="B57">
        <v>49396.32</v>
      </c>
      <c r="C57">
        <v>50891.11</v>
      </c>
      <c r="D57">
        <v>47100</v>
      </c>
      <c r="E57">
        <v>50441.919999999998</v>
      </c>
      <c r="F57">
        <v>58571.215750000003</v>
      </c>
      <c r="G57">
        <v>50441.919999999998</v>
      </c>
      <c r="L57" t="s">
        <v>8</v>
      </c>
      <c r="M57" t="s">
        <v>8</v>
      </c>
      <c r="N57" t="s">
        <v>7</v>
      </c>
      <c r="P57">
        <f t="shared" ref="P57" si="260">IF(C57=D57,0,((E57-D57)-(C57-E57))/(C57-D57))</f>
        <v>0.76302982503804839</v>
      </c>
      <c r="Q57">
        <f t="shared" ref="Q57" si="261">F57*P57</f>
        <v>44691.584505988285</v>
      </c>
      <c r="R57">
        <f t="shared" ref="R57" si="262">R58+Q57</f>
        <v>8852655.4842070602</v>
      </c>
      <c r="S57">
        <f t="shared" ref="S57" si="263">R57/100000</f>
        <v>88.526554842070595</v>
      </c>
      <c r="T57">
        <f t="shared" ref="T57" si="264">S57/1000</f>
        <v>8.8526554842070601E-2</v>
      </c>
    </row>
    <row r="58" spans="1:20" x14ac:dyDescent="0.25">
      <c r="A58" s="5">
        <v>44535</v>
      </c>
      <c r="B58">
        <v>49152.46</v>
      </c>
      <c r="C58">
        <v>49699.05</v>
      </c>
      <c r="D58">
        <v>47727.21</v>
      </c>
      <c r="E58">
        <v>49396.33</v>
      </c>
      <c r="F58">
        <v>45580.820119999997</v>
      </c>
      <c r="G58">
        <v>49396.33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0.69295683219733795</v>
      </c>
      <c r="Q58">
        <f t="shared" ref="Q58" si="266">F58*P58</f>
        <v>31585.540719311884</v>
      </c>
      <c r="R58">
        <f t="shared" ref="R58" si="267">R59+Q58</f>
        <v>8807963.8997010719</v>
      </c>
      <c r="S58">
        <f t="shared" ref="S58" si="268">R58/100000</f>
        <v>88.079638997010719</v>
      </c>
      <c r="T58">
        <f t="shared" ref="T58" si="269">S58/1000</f>
        <v>8.8079638997010712E-2</v>
      </c>
    </row>
    <row r="59" spans="1:20" x14ac:dyDescent="0.25">
      <c r="A59" s="5">
        <v>44534</v>
      </c>
      <c r="B59">
        <v>53601.05</v>
      </c>
      <c r="C59">
        <v>53859.1</v>
      </c>
      <c r="D59">
        <v>42000.3</v>
      </c>
      <c r="E59">
        <v>49152.47</v>
      </c>
      <c r="F59">
        <v>114203.373748</v>
      </c>
      <c r="G59">
        <v>49152.47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0.20622154012210356</v>
      </c>
      <c r="Q59">
        <f t="shared" ref="Q59" si="271">F59*P59</f>
        <v>23551.195621452771</v>
      </c>
      <c r="R59">
        <f t="shared" ref="R59" si="272">R60+Q59</f>
        <v>8776378.3589817602</v>
      </c>
      <c r="S59">
        <f t="shared" ref="S59" si="273">R59/100000</f>
        <v>87.763783589817606</v>
      </c>
      <c r="T59">
        <f t="shared" ref="T59" si="274">S59/1000</f>
        <v>8.7763783589817609E-2</v>
      </c>
    </row>
    <row r="60" spans="1:20" x14ac:dyDescent="0.25">
      <c r="A60" s="5">
        <v>44533</v>
      </c>
      <c r="B60">
        <v>56484.26</v>
      </c>
      <c r="C60">
        <v>57600</v>
      </c>
      <c r="D60">
        <v>51680</v>
      </c>
      <c r="E60">
        <v>53601.05</v>
      </c>
      <c r="F60">
        <v>58927.690269999999</v>
      </c>
      <c r="G60">
        <v>53601.05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-0.35099662162162065</v>
      </c>
      <c r="Q60">
        <f t="shared" ref="Q60" si="276">F60*P60</f>
        <v>-20683.420204735248</v>
      </c>
      <c r="R60">
        <f t="shared" ref="R60" si="277">R61+Q60</f>
        <v>8752827.163360307</v>
      </c>
      <c r="S60">
        <f t="shared" ref="S60" si="278">R60/100000</f>
        <v>87.528271633603069</v>
      </c>
      <c r="T60">
        <f t="shared" ref="T60" si="279">S60/1000</f>
        <v>8.7528271633603064E-2</v>
      </c>
    </row>
    <row r="61" spans="1:20" x14ac:dyDescent="0.25">
      <c r="A61" s="5">
        <v>44532</v>
      </c>
      <c r="B61">
        <v>57184.07</v>
      </c>
      <c r="C61">
        <v>57375.47</v>
      </c>
      <c r="D61">
        <v>55777.77</v>
      </c>
      <c r="E61">
        <v>56480.34</v>
      </c>
      <c r="F61">
        <v>37574.059759999996</v>
      </c>
      <c r="G61">
        <v>56480.34</v>
      </c>
      <c r="L61" t="s">
        <v>8</v>
      </c>
      <c r="M61" t="s">
        <v>7</v>
      </c>
      <c r="N61" t="s">
        <v>8</v>
      </c>
      <c r="P61">
        <f t="shared" ref="P61" si="280">IF(C61=D61,0,((E61-D61)-(C61-E61))/(C61-D61))</f>
        <v>-0.12052325217500433</v>
      </c>
      <c r="Q61">
        <f t="shared" ref="Q61" si="281">F61*P61</f>
        <v>-4528.547879693162</v>
      </c>
      <c r="R61">
        <f t="shared" ref="R61" si="282">R62+Q61</f>
        <v>8773510.5835650414</v>
      </c>
      <c r="S61">
        <f t="shared" ref="S61" si="283">R61/100000</f>
        <v>87.735105835650415</v>
      </c>
      <c r="T61">
        <f t="shared" ref="T61" si="284">S61/1000</f>
        <v>8.7735105835650418E-2</v>
      </c>
    </row>
    <row r="62" spans="1:20" x14ac:dyDescent="0.25">
      <c r="A62" s="5">
        <v>44531</v>
      </c>
      <c r="B62">
        <v>56950.559999999998</v>
      </c>
      <c r="C62">
        <v>59053.55</v>
      </c>
      <c r="D62">
        <v>56458.01</v>
      </c>
      <c r="E62">
        <v>57184.07</v>
      </c>
      <c r="F62">
        <v>44956.636559999999</v>
      </c>
      <c r="G62">
        <v>57184.07</v>
      </c>
      <c r="L62" t="s">
        <v>8</v>
      </c>
      <c r="M62" t="s">
        <v>7</v>
      </c>
      <c r="N62" t="s">
        <v>8</v>
      </c>
      <c r="P62">
        <f t="shared" ref="P62" si="285">IF(C62=D62,0,((E62-D62)-(C62-E62))/(C62-D62))</f>
        <v>-0.44053260593171562</v>
      </c>
      <c r="Q62">
        <f t="shared" ref="Q62" si="286">F62*P62</f>
        <v>-19804.86425770184</v>
      </c>
      <c r="R62">
        <f t="shared" ref="R62" si="287">R63+Q62</f>
        <v>8778039.1314447355</v>
      </c>
      <c r="S62">
        <f t="shared" ref="S62" si="288">R62/100000</f>
        <v>87.780391314447357</v>
      </c>
      <c r="T62">
        <f t="shared" ref="T62" si="289">S62/1000</f>
        <v>8.7780391314447356E-2</v>
      </c>
    </row>
    <row r="63" spans="1:20" x14ac:dyDescent="0.25">
      <c r="A63" s="5">
        <v>44530</v>
      </c>
      <c r="B63">
        <v>57776.25</v>
      </c>
      <c r="C63">
        <v>59176.99</v>
      </c>
      <c r="D63">
        <v>55875.55</v>
      </c>
      <c r="E63">
        <v>56950.559999999998</v>
      </c>
      <c r="F63">
        <v>49161.051939999998</v>
      </c>
      <c r="G63">
        <v>56950.559999999998</v>
      </c>
      <c r="L63" t="s">
        <v>8</v>
      </c>
      <c r="M63" t="s">
        <v>7</v>
      </c>
      <c r="N63" t="s">
        <v>8</v>
      </c>
      <c r="P63">
        <f t="shared" ref="P63" si="290">IF(C63=D63,0,((E63-D63)-(C63-E63))/(C63-D63))</f>
        <v>-0.34876296403993629</v>
      </c>
      <c r="Q63">
        <f t="shared" ref="Q63" si="291">F63*P63</f>
        <v>-17145.55418991566</v>
      </c>
      <c r="R63">
        <f t="shared" ref="R63" si="292">R64+Q63</f>
        <v>8797843.9957024381</v>
      </c>
      <c r="S63">
        <f t="shared" ref="S63" si="293">R63/100000</f>
        <v>87.978439957024378</v>
      </c>
      <c r="T63">
        <f t="shared" ref="T63" si="294">S63/1000</f>
        <v>8.7978439957024382E-2</v>
      </c>
    </row>
    <row r="64" spans="1:20" x14ac:dyDescent="0.25">
      <c r="A64" s="5">
        <v>44529</v>
      </c>
      <c r="B64">
        <v>57274.89</v>
      </c>
      <c r="C64">
        <v>58865.97</v>
      </c>
      <c r="D64">
        <v>56666.67</v>
      </c>
      <c r="E64">
        <v>57776.25</v>
      </c>
      <c r="F64">
        <v>40125.28009</v>
      </c>
      <c r="G64">
        <v>57776.25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9.0301459555315582E-3</v>
      </c>
      <c r="Q64">
        <f t="shared" ref="Q64" si="296">F64*P64</f>
        <v>362.33713571928445</v>
      </c>
      <c r="R64">
        <f t="shared" ref="R64" si="297">R65+Q64</f>
        <v>8814989.5498923529</v>
      </c>
      <c r="S64">
        <f t="shared" ref="S64" si="298">R64/100000</f>
        <v>88.149895498923527</v>
      </c>
      <c r="T64">
        <f t="shared" ref="T64" si="299">S64/1000</f>
        <v>8.8149895498923533E-2</v>
      </c>
    </row>
    <row r="65" spans="1:20" x14ac:dyDescent="0.25">
      <c r="A65" s="5">
        <v>44528</v>
      </c>
      <c r="B65">
        <v>54716.47</v>
      </c>
      <c r="C65">
        <v>57445.05</v>
      </c>
      <c r="D65">
        <v>53256.639999999999</v>
      </c>
      <c r="E65">
        <v>57274.879999999997</v>
      </c>
      <c r="F65">
        <v>36163.7137</v>
      </c>
      <c r="G65">
        <v>57274.879999999997</v>
      </c>
      <c r="L65" t="s">
        <v>8</v>
      </c>
      <c r="M65" t="s">
        <v>7</v>
      </c>
      <c r="N65" t="s">
        <v>8</v>
      </c>
      <c r="P65">
        <f t="shared" ref="P65" si="300">IF(C65=D65,0,((E65-D65)-(C65-E65))/(C65-D65))</f>
        <v>0.91874243447990744</v>
      </c>
      <c r="Q65">
        <f t="shared" ref="Q65" si="301">F65*P65</f>
        <v>33225.138364572384</v>
      </c>
      <c r="R65">
        <f t="shared" ref="R65" si="302">R66+Q65</f>
        <v>8814627.2127566338</v>
      </c>
      <c r="S65">
        <f t="shared" ref="S65" si="303">R65/100000</f>
        <v>88.146272127566334</v>
      </c>
      <c r="T65">
        <f t="shared" ref="T65" si="304">S65/1000</f>
        <v>8.814627212756633E-2</v>
      </c>
    </row>
    <row r="66" spans="1:20" x14ac:dyDescent="0.25">
      <c r="A66" s="5">
        <v>44527</v>
      </c>
      <c r="B66">
        <v>53723.72</v>
      </c>
      <c r="C66">
        <v>55280</v>
      </c>
      <c r="D66">
        <v>53610</v>
      </c>
      <c r="E66">
        <v>54721.03</v>
      </c>
      <c r="F66">
        <v>29716.99957</v>
      </c>
      <c r="G66">
        <v>54721.03</v>
      </c>
      <c r="L66" t="s">
        <v>7</v>
      </c>
      <c r="M66" t="s">
        <v>7</v>
      </c>
      <c r="N66" t="s">
        <v>8</v>
      </c>
      <c r="P66">
        <f t="shared" ref="P66" si="305">IF(C66=D66,0,((E66-D66)-(C66-E66))/(C66-D66))</f>
        <v>0.33057485029939981</v>
      </c>
      <c r="Q66">
        <f t="shared" ref="Q66" si="306">F66*P66</f>
        <v>9823.6926842000794</v>
      </c>
      <c r="R66">
        <f t="shared" ref="R66" si="307">R67+Q66</f>
        <v>8781402.0743920617</v>
      </c>
      <c r="S66">
        <f t="shared" ref="S66" si="308">R66/100000</f>
        <v>87.814020743920622</v>
      </c>
      <c r="T66">
        <f t="shared" ref="T66" si="309">S66/1000</f>
        <v>8.7814020743920626E-2</v>
      </c>
    </row>
    <row r="67" spans="1:20" x14ac:dyDescent="0.25">
      <c r="A67" s="5">
        <v>44526</v>
      </c>
      <c r="B67">
        <v>58960.37</v>
      </c>
      <c r="C67">
        <v>59150</v>
      </c>
      <c r="D67">
        <v>53500</v>
      </c>
      <c r="E67">
        <v>53726.53</v>
      </c>
      <c r="F67">
        <v>65927.87066</v>
      </c>
      <c r="G67">
        <v>53726.53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-0.91981238938053134</v>
      </c>
      <c r="Q67">
        <f t="shared" ref="Q67" si="311">F67*P67</f>
        <v>-60641.272238545229</v>
      </c>
      <c r="R67">
        <f t="shared" ref="R67" si="312">R68+Q67</f>
        <v>8771578.381707862</v>
      </c>
      <c r="S67">
        <f t="shared" ref="S67" si="313">R67/100000</f>
        <v>87.715783817078616</v>
      </c>
      <c r="T67">
        <f t="shared" ref="T67" si="314">S67/1000</f>
        <v>8.7715783817078619E-2</v>
      </c>
    </row>
    <row r="68" spans="1:20" x14ac:dyDescent="0.25">
      <c r="A68" s="5">
        <v>44525</v>
      </c>
      <c r="B68">
        <v>57138.29</v>
      </c>
      <c r="C68">
        <v>59398.9</v>
      </c>
      <c r="D68">
        <v>57000</v>
      </c>
      <c r="E68">
        <v>58960.36</v>
      </c>
      <c r="F68">
        <v>42153.515220000001</v>
      </c>
      <c r="G68">
        <v>58960.36</v>
      </c>
      <c r="L68" t="s">
        <v>8</v>
      </c>
      <c r="M68" t="s">
        <v>7</v>
      </c>
      <c r="N68" t="s">
        <v>8</v>
      </c>
      <c r="P68">
        <f t="shared" ref="P68" si="315">IF(C68=D68,0,((E68-D68)-(C68-E68))/(C68-D68))</f>
        <v>0.63438242527825206</v>
      </c>
      <c r="Q68">
        <f t="shared" ref="Q68" si="316">F68*P68</f>
        <v>26741.449219267313</v>
      </c>
      <c r="R68">
        <f t="shared" ref="R68" si="317">R69+Q68</f>
        <v>8832219.6539464071</v>
      </c>
      <c r="S68">
        <f t="shared" ref="S68" si="318">R68/100000</f>
        <v>88.322196539464073</v>
      </c>
      <c r="T68">
        <f t="shared" ref="T68" si="319">S68/1000</f>
        <v>8.8322196539464076E-2</v>
      </c>
    </row>
    <row r="69" spans="1:20" x14ac:dyDescent="0.25">
      <c r="A69" s="5">
        <v>44524</v>
      </c>
      <c r="B69">
        <v>57541.26</v>
      </c>
      <c r="C69">
        <v>57735</v>
      </c>
      <c r="D69">
        <v>56136</v>
      </c>
      <c r="E69">
        <v>56519.88</v>
      </c>
      <c r="F69">
        <v>11772.370419999999</v>
      </c>
      <c r="G69">
        <v>56519.88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-0.51984990619137283</v>
      </c>
      <c r="Q69">
        <f t="shared" ref="Q69" si="321">F69*P69</f>
        <v>-6119.8656584870923</v>
      </c>
      <c r="R69">
        <f t="shared" ref="R69" si="322">R70+Q69</f>
        <v>8805478.2047271393</v>
      </c>
      <c r="S69">
        <f t="shared" ref="S69" si="323">R69/100000</f>
        <v>88.054782047271388</v>
      </c>
      <c r="T69">
        <f t="shared" ref="T69" si="324">S69/1000</f>
        <v>8.8054782047271393E-2</v>
      </c>
    </row>
    <row r="70" spans="1:20" x14ac:dyDescent="0.25">
      <c r="A70" s="5">
        <v>44523</v>
      </c>
      <c r="B70">
        <v>56243.83</v>
      </c>
      <c r="C70">
        <v>58009.99</v>
      </c>
      <c r="D70">
        <v>55317</v>
      </c>
      <c r="E70">
        <v>57541.27</v>
      </c>
      <c r="F70">
        <v>49917.850169999998</v>
      </c>
      <c r="G70">
        <v>57541.27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0.65189621944381415</v>
      </c>
      <c r="Q70">
        <f t="shared" ref="Q70" si="326">F70*P70</f>
        <v>32541.257808585753</v>
      </c>
      <c r="R70">
        <f t="shared" ref="R70" si="327">R71+Q70</f>
        <v>8811598.0703856256</v>
      </c>
      <c r="S70">
        <f t="shared" ref="S70" si="328">R70/100000</f>
        <v>88.115980703856252</v>
      </c>
      <c r="T70">
        <f t="shared" ref="T70" si="329">S70/1000</f>
        <v>8.8115980703856248E-2</v>
      </c>
    </row>
    <row r="71" spans="1:20" x14ac:dyDescent="0.25">
      <c r="A71" s="5">
        <v>44522</v>
      </c>
      <c r="B71">
        <v>58617.7</v>
      </c>
      <c r="C71">
        <v>59444</v>
      </c>
      <c r="D71">
        <v>55610</v>
      </c>
      <c r="E71">
        <v>56247.18</v>
      </c>
      <c r="F71">
        <v>51724.320469999999</v>
      </c>
      <c r="G71">
        <v>56247.18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-0.66761606677099616</v>
      </c>
      <c r="Q71">
        <f t="shared" ref="Q71" si="331">F71*P71</f>
        <v>-34531.987388583926</v>
      </c>
      <c r="R71">
        <f t="shared" ref="R71" si="332">R72+Q71</f>
        <v>8779056.812577039</v>
      </c>
      <c r="S71">
        <f t="shared" ref="S71" si="333">R71/100000</f>
        <v>87.790568125770392</v>
      </c>
      <c r="T71">
        <f t="shared" ref="T71" si="334">S71/1000</f>
        <v>8.7790568125770393E-2</v>
      </c>
    </row>
    <row r="72" spans="1:20" x14ac:dyDescent="0.25">
      <c r="A72" s="5">
        <v>44521</v>
      </c>
      <c r="B72">
        <v>59707.519999999997</v>
      </c>
      <c r="C72">
        <v>60029.760000000002</v>
      </c>
      <c r="D72">
        <v>58486.65</v>
      </c>
      <c r="E72">
        <v>58622.02</v>
      </c>
      <c r="F72">
        <v>31902.227849999999</v>
      </c>
      <c r="G72">
        <v>58622.02</v>
      </c>
      <c r="L72" t="s">
        <v>8</v>
      </c>
      <c r="M72" t="s">
        <v>7</v>
      </c>
      <c r="N72" t="s">
        <v>8</v>
      </c>
      <c r="P72">
        <f t="shared" ref="P72" si="335">IF(C72=D72,0,((E72-D72)-(C72-E72))/(C72-D72))</f>
        <v>-0.82454912481936438</v>
      </c>
      <c r="Q72">
        <f t="shared" ref="Q72" si="336">F72*P72</f>
        <v>-26304.954053505451</v>
      </c>
      <c r="R72">
        <f t="shared" ref="R72" si="337">R73+Q72</f>
        <v>8813588.7999656238</v>
      </c>
      <c r="S72">
        <f t="shared" ref="S72" si="338">R72/100000</f>
        <v>88.135887999656234</v>
      </c>
      <c r="T72">
        <f t="shared" ref="T72" si="339">S72/1000</f>
        <v>8.8135887999656229E-2</v>
      </c>
    </row>
    <row r="73" spans="1:20" x14ac:dyDescent="0.25">
      <c r="A73" s="5">
        <v>44520</v>
      </c>
      <c r="B73">
        <v>58057.1</v>
      </c>
      <c r="C73">
        <v>59845</v>
      </c>
      <c r="D73">
        <v>57353</v>
      </c>
      <c r="E73">
        <v>59707.51</v>
      </c>
      <c r="F73">
        <v>33811.590100000001</v>
      </c>
      <c r="G73">
        <v>59707.51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0.88965489566613321</v>
      </c>
      <c r="Q73">
        <f t="shared" ref="Q73" si="341">F73*P73</f>
        <v>30080.646662721563</v>
      </c>
      <c r="R73">
        <f t="shared" ref="R73" si="342">R74+Q73</f>
        <v>8839893.75401913</v>
      </c>
      <c r="S73">
        <f t="shared" ref="S73" si="343">R73/100000</f>
        <v>88.398937540191298</v>
      </c>
      <c r="T73">
        <f t="shared" ref="T73" si="344">S73/1000</f>
        <v>8.8398937540191291E-2</v>
      </c>
    </row>
    <row r="74" spans="1:20" x14ac:dyDescent="0.25">
      <c r="A74" s="5">
        <v>44519</v>
      </c>
      <c r="B74">
        <v>56891.62</v>
      </c>
      <c r="C74">
        <v>58320</v>
      </c>
      <c r="D74">
        <v>55600</v>
      </c>
      <c r="E74">
        <v>58052.24</v>
      </c>
      <c r="F74">
        <v>50715.887260000003</v>
      </c>
      <c r="G74">
        <v>58052.24</v>
      </c>
      <c r="L74" t="s">
        <v>7</v>
      </c>
      <c r="M74" t="s">
        <v>7</v>
      </c>
      <c r="N74" t="s">
        <v>8</v>
      </c>
      <c r="P74">
        <f t="shared" ref="P74" si="345">IF(C74=D74,0,((E74-D74)-(C74-E74))/(C74-D74))</f>
        <v>0.80311764705882205</v>
      </c>
      <c r="Q74">
        <f t="shared" ref="Q74" si="346">F74*P74</f>
        <v>40730.824044751695</v>
      </c>
      <c r="R74">
        <f t="shared" ref="R74" si="347">R75+Q74</f>
        <v>8809813.1073564086</v>
      </c>
      <c r="S74">
        <f t="shared" ref="S74" si="348">R74/100000</f>
        <v>88.09813107356409</v>
      </c>
      <c r="T74">
        <f t="shared" ref="T74" si="349">S74/1000</f>
        <v>8.8098131073564095E-2</v>
      </c>
    </row>
    <row r="75" spans="1:20" x14ac:dyDescent="0.25">
      <c r="A75" s="5">
        <v>44518</v>
      </c>
      <c r="B75">
        <v>60344.86</v>
      </c>
      <c r="C75">
        <v>60976</v>
      </c>
      <c r="D75">
        <v>56474.26</v>
      </c>
      <c r="E75">
        <v>56891.62</v>
      </c>
      <c r="F75">
        <v>62146.999309999999</v>
      </c>
      <c r="G75">
        <v>56891.62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-0.81457836303296027</v>
      </c>
      <c r="Q75">
        <f t="shared" ref="Q75" si="351">F75*P75</f>
        <v>-50623.600965350313</v>
      </c>
      <c r="R75">
        <f t="shared" ref="R75" si="352">R76+Q75</f>
        <v>8769082.2833116576</v>
      </c>
      <c r="S75">
        <f t="shared" ref="S75" si="353">R75/100000</f>
        <v>87.69082283311657</v>
      </c>
      <c r="T75">
        <f t="shared" ref="T75" si="354">S75/1000</f>
        <v>8.7690822833116563E-2</v>
      </c>
    </row>
    <row r="76" spans="1:20" x14ac:dyDescent="0.25">
      <c r="A76" s="5">
        <v>44517</v>
      </c>
      <c r="B76">
        <v>60058.87</v>
      </c>
      <c r="C76">
        <v>60840.23</v>
      </c>
      <c r="D76">
        <v>58373</v>
      </c>
      <c r="E76">
        <v>60344.87</v>
      </c>
      <c r="F76">
        <v>46289.384910000001</v>
      </c>
      <c r="G76">
        <v>60344.87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0.59844846244573879</v>
      </c>
      <c r="Q76">
        <f t="shared" ref="Q76" si="356">F76*P76</f>
        <v>27701.811226948485</v>
      </c>
      <c r="R76">
        <f t="shared" ref="R76" si="357">R77+Q76</f>
        <v>8819705.8842770085</v>
      </c>
      <c r="S76">
        <f t="shared" ref="S76" si="358">R76/100000</f>
        <v>88.19705884277009</v>
      </c>
      <c r="T76">
        <f t="shared" ref="T76" si="359">S76/1000</f>
        <v>8.8197058842770085E-2</v>
      </c>
    </row>
    <row r="77" spans="1:20" x14ac:dyDescent="0.25">
      <c r="A77" s="5">
        <v>44516</v>
      </c>
      <c r="B77">
        <v>63606.73</v>
      </c>
      <c r="C77">
        <v>63617.31</v>
      </c>
      <c r="D77">
        <v>58574.07</v>
      </c>
      <c r="E77">
        <v>60058.87</v>
      </c>
      <c r="F77">
        <v>77455.156090000004</v>
      </c>
      <c r="G77">
        <v>60058.87</v>
      </c>
      <c r="L77" t="s">
        <v>7</v>
      </c>
      <c r="M77" t="s">
        <v>8</v>
      </c>
      <c r="N77" t="s">
        <v>8</v>
      </c>
      <c r="P77">
        <f t="shared" ref="P77" si="360">IF(C77=D77,0,((E77-D77)-(C77-E77))/(C77-D77))</f>
        <v>-0.4111721829617454</v>
      </c>
      <c r="Q77">
        <f t="shared" ref="Q77" si="361">F77*P77</f>
        <v>-31847.405611168029</v>
      </c>
      <c r="R77">
        <f t="shared" ref="R77" si="362">R78+Q77</f>
        <v>8792004.0730500594</v>
      </c>
      <c r="S77">
        <f t="shared" ref="S77" si="363">R77/100000</f>
        <v>87.920040730500588</v>
      </c>
      <c r="T77">
        <f t="shared" ref="T77" si="364">S77/1000</f>
        <v>8.7920040730500582E-2</v>
      </c>
    </row>
    <row r="78" spans="1:20" x14ac:dyDescent="0.25">
      <c r="A78" s="5">
        <v>44515</v>
      </c>
      <c r="B78">
        <v>65519.11</v>
      </c>
      <c r="C78">
        <v>66401.820000000007</v>
      </c>
      <c r="D78">
        <v>63400</v>
      </c>
      <c r="E78">
        <v>63606.74</v>
      </c>
      <c r="F78">
        <v>37829.37124</v>
      </c>
      <c r="G78">
        <v>63606.74</v>
      </c>
      <c r="L78" t="s">
        <v>7</v>
      </c>
      <c r="M78" t="s">
        <v>8</v>
      </c>
      <c r="N78" t="s">
        <v>8</v>
      </c>
      <c r="P78">
        <f t="shared" ref="P78" si="365">IF(C78=D78,0,((E78-D78)-(C78-E78))/(C78-D78))</f>
        <v>-0.86225689748219581</v>
      </c>
      <c r="Q78">
        <f t="shared" ref="Q78" si="366">F78*P78</f>
        <v>-32618.636279104609</v>
      </c>
      <c r="R78">
        <f t="shared" ref="R78" si="367">R79+Q78</f>
        <v>8823851.478661228</v>
      </c>
      <c r="S78">
        <f t="shared" ref="S78" si="368">R78/100000</f>
        <v>88.238514786612285</v>
      </c>
      <c r="T78">
        <f t="shared" ref="T78" si="369">S78/1000</f>
        <v>8.8238514786612279E-2</v>
      </c>
    </row>
    <row r="79" spans="1:20" x14ac:dyDescent="0.25">
      <c r="A79" s="5">
        <v>44514</v>
      </c>
      <c r="B79">
        <v>64380.01</v>
      </c>
      <c r="C79">
        <v>65550.509999999995</v>
      </c>
      <c r="D79">
        <v>63576.27</v>
      </c>
      <c r="E79">
        <v>65519.1</v>
      </c>
      <c r="F79">
        <v>25705.073469999999</v>
      </c>
      <c r="G79">
        <v>65519.1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0.96818016046681632</v>
      </c>
      <c r="Q79">
        <f t="shared" ref="Q79" si="371">F79*P79</f>
        <v>24887.142156995902</v>
      </c>
      <c r="R79">
        <f t="shared" ref="R79" si="372">R80+Q79</f>
        <v>8856470.1149403322</v>
      </c>
      <c r="S79">
        <f t="shared" ref="S79" si="373">R79/100000</f>
        <v>88.564701149403319</v>
      </c>
      <c r="T79">
        <f t="shared" ref="T79" si="374">S79/1000</f>
        <v>8.8564701149403319E-2</v>
      </c>
    </row>
    <row r="80" spans="1:20" x14ac:dyDescent="0.25">
      <c r="A80" s="5">
        <v>44513</v>
      </c>
      <c r="B80">
        <v>64122.22</v>
      </c>
      <c r="C80">
        <v>65000</v>
      </c>
      <c r="D80">
        <v>63360.22</v>
      </c>
      <c r="E80">
        <v>64380</v>
      </c>
      <c r="F80">
        <v>22504.973829999999</v>
      </c>
      <c r="G80">
        <v>64380</v>
      </c>
      <c r="L80" t="s">
        <v>7</v>
      </c>
      <c r="M80" t="s">
        <v>8</v>
      </c>
      <c r="N80" t="s">
        <v>8</v>
      </c>
      <c r="P80">
        <f t="shared" ref="P80" si="375">IF(C80=D80,0,((E80-D80)-(C80-E80))/(C80-D80))</f>
        <v>0.24380099769481217</v>
      </c>
      <c r="Q80">
        <f t="shared" ref="Q80" si="376">F80*P80</f>
        <v>5486.7350728496376</v>
      </c>
      <c r="R80">
        <f t="shared" ref="R80" si="377">R81+Q80</f>
        <v>8831582.9727833364</v>
      </c>
      <c r="S80">
        <f t="shared" ref="S80" si="378">R80/100000</f>
        <v>88.315829727833361</v>
      </c>
      <c r="T80">
        <f t="shared" ref="T80" si="379">S80/1000</f>
        <v>8.8315829727833361E-2</v>
      </c>
    </row>
    <row r="81" spans="1:20" x14ac:dyDescent="0.25">
      <c r="A81" s="5">
        <v>44512</v>
      </c>
      <c r="B81">
        <v>64774.25</v>
      </c>
      <c r="C81">
        <v>65450.7</v>
      </c>
      <c r="D81">
        <v>62278</v>
      </c>
      <c r="E81">
        <v>64122.23</v>
      </c>
      <c r="F81">
        <v>44490.108160000003</v>
      </c>
      <c r="G81">
        <v>64122.23</v>
      </c>
      <c r="L81" t="s">
        <v>7</v>
      </c>
      <c r="M81" t="s">
        <v>8</v>
      </c>
      <c r="N81" t="s">
        <v>8</v>
      </c>
      <c r="P81">
        <f t="shared" ref="P81" si="380">IF(C81=D81,0,((E81-D81)-(C81-E81))/(C81-D81))</f>
        <v>0.16256185583257471</v>
      </c>
      <c r="Q81">
        <f t="shared" ref="Q81" si="381">F81*P81</f>
        <v>7232.3945486815765</v>
      </c>
      <c r="R81">
        <f t="shared" ref="R81" si="382">R82+Q81</f>
        <v>8826096.2377104871</v>
      </c>
      <c r="S81">
        <f t="shared" ref="S81" si="383">R81/100000</f>
        <v>88.260962377104875</v>
      </c>
      <c r="T81">
        <f t="shared" ref="T81" si="384">S81/1000</f>
        <v>8.8260962377104873E-2</v>
      </c>
    </row>
    <row r="82" spans="1:20" x14ac:dyDescent="0.25">
      <c r="A82" s="5">
        <v>44511</v>
      </c>
      <c r="B82">
        <v>64882.42</v>
      </c>
      <c r="C82">
        <v>65600.070000000007</v>
      </c>
      <c r="D82">
        <v>64100</v>
      </c>
      <c r="E82">
        <v>64774.26</v>
      </c>
      <c r="F82">
        <v>37237.980580000003</v>
      </c>
      <c r="G82">
        <v>64774.26</v>
      </c>
      <c r="L82" t="s">
        <v>7</v>
      </c>
      <c r="M82" t="s">
        <v>8</v>
      </c>
      <c r="N82" t="s">
        <v>8</v>
      </c>
      <c r="P82">
        <f t="shared" ref="P82" si="385">IF(C82=D82,0,((E82-D82)-(C82-E82))/(C82-D82))</f>
        <v>-0.10102861866446379</v>
      </c>
      <c r="Q82">
        <f t="shared" ref="Q82" si="386">F82*P82</f>
        <v>-3762.1017398515287</v>
      </c>
      <c r="R82">
        <f t="shared" ref="R82" si="387">R83+Q82</f>
        <v>8818863.8431618046</v>
      </c>
      <c r="S82">
        <f t="shared" ref="S82" si="388">R82/100000</f>
        <v>88.188638431618045</v>
      </c>
      <c r="T82">
        <f t="shared" ref="T82" si="389">S82/1000</f>
        <v>8.8188638431618047E-2</v>
      </c>
    </row>
    <row r="83" spans="1:20" x14ac:dyDescent="0.25">
      <c r="A83" s="5">
        <v>44510</v>
      </c>
      <c r="B83">
        <v>66947.67</v>
      </c>
      <c r="C83">
        <v>69000</v>
      </c>
      <c r="D83">
        <v>62822.9</v>
      </c>
      <c r="E83">
        <v>64882.43</v>
      </c>
      <c r="F83">
        <v>65171.504046000002</v>
      </c>
      <c r="G83">
        <v>64882.43</v>
      </c>
      <c r="L83" t="s">
        <v>7</v>
      </c>
      <c r="M83" t="s">
        <v>8</v>
      </c>
      <c r="N83" t="s">
        <v>8</v>
      </c>
      <c r="P83">
        <f t="shared" ref="P83" si="390">IF(C83=D83,0,((E83-D83)-(C83-E83))/(C83-D83))</f>
        <v>-0.33317252432371197</v>
      </c>
      <c r="Q83">
        <f t="shared" ref="Q83" si="391">F83*P83</f>
        <v>-21713.35451697883</v>
      </c>
      <c r="R83">
        <f t="shared" ref="R83" si="392">R84+Q83</f>
        <v>8822625.9449016564</v>
      </c>
      <c r="S83">
        <f t="shared" ref="S83" si="393">R83/100000</f>
        <v>88.226259449016567</v>
      </c>
      <c r="T83">
        <f t="shared" ref="T83" si="394">S83/1000</f>
        <v>8.8226259449016561E-2</v>
      </c>
    </row>
    <row r="84" spans="1:20" x14ac:dyDescent="0.25">
      <c r="A84" s="5">
        <v>44509</v>
      </c>
      <c r="B84">
        <v>67525.820000000007</v>
      </c>
      <c r="C84">
        <v>68524.25</v>
      </c>
      <c r="D84">
        <v>66222.399999999994</v>
      </c>
      <c r="E84">
        <v>66947.66</v>
      </c>
      <c r="F84">
        <v>44661.378067999998</v>
      </c>
      <c r="G84">
        <v>66947.66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-0.36984599344005259</v>
      </c>
      <c r="Q84">
        <f t="shared" ref="Q84" si="396">F84*P84</f>
        <v>-16517.831739961235</v>
      </c>
      <c r="R84">
        <f t="shared" ref="R84" si="397">R85+Q84</f>
        <v>8844339.2994186357</v>
      </c>
      <c r="S84">
        <f t="shared" ref="S84" si="398">R84/100000</f>
        <v>88.443392994186354</v>
      </c>
      <c r="T84">
        <f t="shared" ref="T84" si="399">S84/1000</f>
        <v>8.8443392994186354E-2</v>
      </c>
    </row>
    <row r="85" spans="1:20" x14ac:dyDescent="0.25">
      <c r="A85" s="5">
        <v>44508</v>
      </c>
      <c r="B85">
        <v>63273.58</v>
      </c>
      <c r="C85">
        <v>67789</v>
      </c>
      <c r="D85">
        <v>63273.58</v>
      </c>
      <c r="E85">
        <v>67525.83</v>
      </c>
      <c r="F85">
        <v>54442.094554000003</v>
      </c>
      <c r="G85">
        <v>67525.83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0.88343498500693252</v>
      </c>
      <c r="Q85">
        <f t="shared" ref="Q85" si="401">F85*P85</f>
        <v>48096.050986058995</v>
      </c>
      <c r="R85">
        <f t="shared" ref="R85" si="402">R86+Q85</f>
        <v>8860857.1311585978</v>
      </c>
      <c r="S85">
        <f t="shared" ref="S85" si="403">R85/100000</f>
        <v>88.608571311585976</v>
      </c>
      <c r="T85">
        <f t="shared" ref="T85" si="404">S85/1000</f>
        <v>8.8608571311585976E-2</v>
      </c>
    </row>
    <row r="86" spans="1:20" x14ac:dyDescent="0.25">
      <c r="A86" s="5">
        <v>44507</v>
      </c>
      <c r="B86">
        <v>61470.62</v>
      </c>
      <c r="C86">
        <v>63286.35</v>
      </c>
      <c r="D86">
        <v>61322.78</v>
      </c>
      <c r="E86">
        <v>63273.59</v>
      </c>
      <c r="F86">
        <v>25515.688300000002</v>
      </c>
      <c r="G86">
        <v>63273.59</v>
      </c>
      <c r="L86" t="s">
        <v>7</v>
      </c>
      <c r="M86" t="s">
        <v>8</v>
      </c>
      <c r="N86" t="s">
        <v>8</v>
      </c>
      <c r="P86">
        <f t="shared" ref="P86" si="405">IF(C86=D86,0,((E86-D86)-(C86-E86))/(C86-D86))</f>
        <v>0.98700326446217646</v>
      </c>
      <c r="Q86">
        <f t="shared" ref="Q86" si="406">F86*P86</f>
        <v>25184.067647099364</v>
      </c>
      <c r="R86">
        <f t="shared" ref="R86" si="407">R87+Q86</f>
        <v>8812761.0801725388</v>
      </c>
      <c r="S86">
        <f t="shared" ref="S86" si="408">R86/100000</f>
        <v>88.127610801725382</v>
      </c>
      <c r="T86">
        <f t="shared" ref="T86" si="409">S86/1000</f>
        <v>8.8127610801725376E-2</v>
      </c>
    </row>
    <row r="87" spans="1:20" x14ac:dyDescent="0.25">
      <c r="A87" s="5">
        <v>44506</v>
      </c>
      <c r="B87">
        <v>60940.18</v>
      </c>
      <c r="C87">
        <v>61560.49</v>
      </c>
      <c r="D87">
        <v>60050</v>
      </c>
      <c r="E87">
        <v>61470.61</v>
      </c>
      <c r="F87">
        <v>25590.574079999999</v>
      </c>
      <c r="G87">
        <v>61470.61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0.8809922607895484</v>
      </c>
      <c r="Q87">
        <f t="shared" ref="Q87" si="411">F87*P87</f>
        <v>22545.097713641615</v>
      </c>
      <c r="R87">
        <f t="shared" ref="R87" si="412">R88+Q87</f>
        <v>8787577.0125254393</v>
      </c>
      <c r="S87">
        <f t="shared" ref="S87" si="413">R87/100000</f>
        <v>87.875770125254391</v>
      </c>
      <c r="T87">
        <f t="shared" ref="T87" si="414">S87/1000</f>
        <v>8.7875770125254396E-2</v>
      </c>
    </row>
    <row r="88" spans="1:20" x14ac:dyDescent="0.25">
      <c r="A88" s="5">
        <v>44505</v>
      </c>
      <c r="B88">
        <v>61395.01</v>
      </c>
      <c r="C88">
        <v>62595.72</v>
      </c>
      <c r="D88">
        <v>60721</v>
      </c>
      <c r="E88">
        <v>60937.120000000003</v>
      </c>
      <c r="F88">
        <v>31604.48749</v>
      </c>
      <c r="G88">
        <v>60937.120000000003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-0.76943756934368601</v>
      </c>
      <c r="Q88">
        <f t="shared" ref="Q88" si="416">F88*P88</f>
        <v>-24317.680034658533</v>
      </c>
      <c r="R88">
        <f t="shared" ref="R88" si="417">R89+Q88</f>
        <v>8765031.9148117974</v>
      </c>
      <c r="S88">
        <f t="shared" ref="S88" si="418">R88/100000</f>
        <v>87.650319148117973</v>
      </c>
      <c r="T88">
        <f t="shared" ref="T88" si="419">S88/1000</f>
        <v>8.7650319148117967E-2</v>
      </c>
    </row>
    <row r="89" spans="1:20" x14ac:dyDescent="0.25">
      <c r="A89" s="5">
        <v>44504</v>
      </c>
      <c r="B89">
        <v>62896.49</v>
      </c>
      <c r="C89">
        <v>63086.31</v>
      </c>
      <c r="D89">
        <v>60677.01</v>
      </c>
      <c r="E89">
        <v>61395.01</v>
      </c>
      <c r="F89">
        <v>35930.933140000001</v>
      </c>
      <c r="G89">
        <v>61395.01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-0.40397625866434128</v>
      </c>
      <c r="Q89">
        <f t="shared" ref="Q89" si="421">F89*P89</f>
        <v>-14515.243940215792</v>
      </c>
      <c r="R89">
        <f t="shared" ref="R89" si="422">R90+Q89</f>
        <v>8789349.5948464554</v>
      </c>
      <c r="S89">
        <f t="shared" ref="S89" si="423">R89/100000</f>
        <v>87.893495948464547</v>
      </c>
      <c r="T89">
        <f t="shared" ref="T89" si="424">S89/1000</f>
        <v>8.7893495948464545E-2</v>
      </c>
    </row>
    <row r="90" spans="1:20" x14ac:dyDescent="0.25">
      <c r="A90" s="5">
        <v>44503</v>
      </c>
      <c r="B90">
        <v>63220.57</v>
      </c>
      <c r="C90">
        <v>63500</v>
      </c>
      <c r="D90">
        <v>60382.76</v>
      </c>
      <c r="E90">
        <v>62896.480000000003</v>
      </c>
      <c r="F90">
        <v>43336.090490000002</v>
      </c>
      <c r="G90">
        <v>62896.480000000003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0.61278566937419177</v>
      </c>
      <c r="Q90">
        <f t="shared" ref="Q90" si="426">F90*P90</f>
        <v>26555.735218975198</v>
      </c>
      <c r="R90">
        <f t="shared" ref="R90" si="427">R91+Q90</f>
        <v>8803864.8387866709</v>
      </c>
      <c r="S90">
        <f t="shared" ref="S90" si="428">R90/100000</f>
        <v>88.038648387866715</v>
      </c>
      <c r="T90">
        <f t="shared" ref="T90" si="429">S90/1000</f>
        <v>8.8038648387866708E-2</v>
      </c>
    </row>
    <row r="91" spans="1:20" x14ac:dyDescent="0.25">
      <c r="A91" s="5">
        <v>44502</v>
      </c>
      <c r="B91">
        <v>60911.12</v>
      </c>
      <c r="C91">
        <v>64270</v>
      </c>
      <c r="D91">
        <v>60624.68</v>
      </c>
      <c r="E91">
        <v>63219.99</v>
      </c>
      <c r="F91">
        <v>46368.284099999997</v>
      </c>
      <c r="G91">
        <v>63219.99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0.42391340129261512</v>
      </c>
      <c r="Q91">
        <f t="shared" ref="Q91" si="431">F91*P91</f>
        <v>19656.137024933283</v>
      </c>
      <c r="R91">
        <f t="shared" ref="R91" si="432">R92+Q91</f>
        <v>8777309.1035676952</v>
      </c>
      <c r="S91">
        <f t="shared" ref="S91" si="433">R91/100000</f>
        <v>87.773091035676956</v>
      </c>
      <c r="T91">
        <f t="shared" ref="T91" si="434">S91/1000</f>
        <v>8.7773091035676959E-2</v>
      </c>
    </row>
    <row r="92" spans="1:20" x14ac:dyDescent="0.25">
      <c r="A92" s="5">
        <v>44501</v>
      </c>
      <c r="B92">
        <v>61299.81</v>
      </c>
      <c r="C92">
        <v>62437.74</v>
      </c>
      <c r="D92">
        <v>59405</v>
      </c>
      <c r="E92">
        <v>60911.11</v>
      </c>
      <c r="F92">
        <v>44687.666720000001</v>
      </c>
      <c r="G92">
        <v>60911.11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-6.7661586552084296E-3</v>
      </c>
      <c r="Q92">
        <f t="shared" ref="Q92" si="436">F92*P92</f>
        <v>-302.36384295859773</v>
      </c>
      <c r="R92">
        <f t="shared" ref="R92" si="437">R93+Q92</f>
        <v>8757652.9665427618</v>
      </c>
      <c r="S92">
        <f t="shared" ref="S92" si="438">R92/100000</f>
        <v>87.576529665427614</v>
      </c>
      <c r="T92">
        <f t="shared" ref="T92" si="439">S92/1000</f>
        <v>8.7576529665427616E-2</v>
      </c>
    </row>
    <row r="93" spans="1:20" x14ac:dyDescent="0.25">
      <c r="A93" s="5">
        <v>44500</v>
      </c>
      <c r="B93">
        <v>61859.19</v>
      </c>
      <c r="C93">
        <v>62405.3</v>
      </c>
      <c r="D93">
        <v>59945.36</v>
      </c>
      <c r="E93">
        <v>61299.8</v>
      </c>
      <c r="F93">
        <v>39267.637940000001</v>
      </c>
      <c r="G93">
        <v>61299.8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0.10119759018512732</v>
      </c>
      <c r="Q93">
        <f t="shared" ref="Q93" si="441">F93*P93</f>
        <v>3973.7903317900773</v>
      </c>
      <c r="R93">
        <f t="shared" ref="R93" si="442">R94+Q93</f>
        <v>8757955.3303857204</v>
      </c>
      <c r="S93">
        <f t="shared" ref="S93" si="443">R93/100000</f>
        <v>87.57955330385721</v>
      </c>
      <c r="T93">
        <f t="shared" ref="T93" si="444">S93/1000</f>
        <v>8.7579553303857208E-2</v>
      </c>
    </row>
    <row r="94" spans="1:20" x14ac:dyDescent="0.25">
      <c r="A94" s="5">
        <v>44499</v>
      </c>
      <c r="B94">
        <v>62253.7</v>
      </c>
      <c r="C94">
        <v>62359.25</v>
      </c>
      <c r="D94">
        <v>60673</v>
      </c>
      <c r="E94">
        <v>61859.19</v>
      </c>
      <c r="F94">
        <v>31478.125660000002</v>
      </c>
      <c r="G94">
        <v>61859.19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0.406896960711641</v>
      </c>
      <c r="Q94">
        <f t="shared" ref="Q94" si="446">F94*P94</f>
        <v>12808.35365995312</v>
      </c>
      <c r="R94">
        <f t="shared" ref="R94" si="447">R95+Q94</f>
        <v>8753981.5400539301</v>
      </c>
      <c r="S94">
        <f t="shared" ref="S94" si="448">R94/100000</f>
        <v>87.539815400539297</v>
      </c>
      <c r="T94">
        <f t="shared" ref="T94" si="449">S94/1000</f>
        <v>8.7539815400539303E-2</v>
      </c>
    </row>
    <row r="95" spans="1:20" x14ac:dyDescent="0.25">
      <c r="A95" s="5">
        <v>44498</v>
      </c>
      <c r="B95">
        <v>60575.9</v>
      </c>
      <c r="C95">
        <v>62980</v>
      </c>
      <c r="D95">
        <v>60174.81</v>
      </c>
      <c r="E95">
        <v>62253.71</v>
      </c>
      <c r="F95">
        <v>43973.904139999999</v>
      </c>
      <c r="G95">
        <v>62253.71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0.48218124262527651</v>
      </c>
      <c r="Q95">
        <f t="shared" ref="Q95" si="451">F95*P95</f>
        <v>21203.391741309992</v>
      </c>
      <c r="R95">
        <f t="shared" ref="R95" si="452">R96+Q95</f>
        <v>8741173.1863939762</v>
      </c>
      <c r="S95">
        <f t="shared" ref="S95" si="453">R95/100000</f>
        <v>87.411731863939764</v>
      </c>
      <c r="T95">
        <f t="shared" ref="T95" si="454">S95/1000</f>
        <v>8.7411731863939759E-2</v>
      </c>
    </row>
    <row r="96" spans="1:20" x14ac:dyDescent="0.25">
      <c r="A96" s="5">
        <v>44497</v>
      </c>
      <c r="B96">
        <v>58413.440000000002</v>
      </c>
      <c r="C96">
        <v>62499</v>
      </c>
      <c r="D96">
        <v>57820</v>
      </c>
      <c r="E96">
        <v>60575.89</v>
      </c>
      <c r="F96">
        <v>61056.353009999999</v>
      </c>
      <c r="G96">
        <v>60575.89</v>
      </c>
      <c r="L96" t="s">
        <v>8</v>
      </c>
      <c r="M96" t="s">
        <v>8</v>
      </c>
      <c r="N96" t="s">
        <v>8</v>
      </c>
      <c r="P96">
        <f t="shared" ref="P96" si="455">IF(C96=D96,0,((E96-D96)-(C96-E96))/(C96-D96))</f>
        <v>0.17798247488779628</v>
      </c>
      <c r="Q96">
        <f t="shared" ref="Q96" si="456">F96*P96</f>
        <v>10866.960816342749</v>
      </c>
      <c r="R96">
        <f t="shared" ref="R96" si="457">R97+Q96</f>
        <v>8719969.7946526669</v>
      </c>
      <c r="S96">
        <f t="shared" ref="S96" si="458">R96/100000</f>
        <v>87.199697946526669</v>
      </c>
      <c r="T96">
        <f t="shared" ref="T96" si="459">S96/1000</f>
        <v>8.7199697946526669E-2</v>
      </c>
    </row>
    <row r="97" spans="1:20" x14ac:dyDescent="0.25">
      <c r="A97" s="5">
        <v>44496</v>
      </c>
      <c r="B97">
        <v>60328.81</v>
      </c>
      <c r="C97">
        <v>61496</v>
      </c>
      <c r="D97">
        <v>58000</v>
      </c>
      <c r="E97">
        <v>58413.440000000002</v>
      </c>
      <c r="F97">
        <v>62124.490160000001</v>
      </c>
      <c r="G97">
        <v>58413.440000000002</v>
      </c>
      <c r="L97" t="s">
        <v>7</v>
      </c>
      <c r="M97" t="s">
        <v>8</v>
      </c>
      <c r="N97" t="s">
        <v>8</v>
      </c>
      <c r="P97">
        <f t="shared" ref="P97" si="460">IF(C97=D97,0,((E97-D97)-(C97-E97))/(C97-D97))</f>
        <v>-0.76347826086956394</v>
      </c>
      <c r="Q97">
        <f t="shared" ref="Q97" si="461">F97*P97</f>
        <v>-47430.697704765138</v>
      </c>
      <c r="R97">
        <f t="shared" ref="R97" si="462">R98+Q97</f>
        <v>8709102.8338363245</v>
      </c>
      <c r="S97">
        <f t="shared" ref="S97" si="463">R97/100000</f>
        <v>87.091028338363245</v>
      </c>
      <c r="T97">
        <f t="shared" ref="T97" si="464">S97/1000</f>
        <v>8.7091028338363241E-2</v>
      </c>
    </row>
    <row r="98" spans="1:20" x14ac:dyDescent="0.25">
      <c r="A98" s="5">
        <v>44495</v>
      </c>
      <c r="B98">
        <v>63078.78</v>
      </c>
      <c r="C98">
        <v>63293.48</v>
      </c>
      <c r="D98">
        <v>59817.55</v>
      </c>
      <c r="E98">
        <v>60328.81</v>
      </c>
      <c r="F98">
        <v>40217.500829999997</v>
      </c>
      <c r="G98">
        <v>60328.81</v>
      </c>
      <c r="L98" t="s">
        <v>7</v>
      </c>
      <c r="M98" t="s">
        <v>8</v>
      </c>
      <c r="N98" t="s">
        <v>8</v>
      </c>
      <c r="P98">
        <f t="shared" ref="P98" si="465">IF(C98=D98,0,((E98-D98)-(C98-E98))/(C98-D98))</f>
        <v>-0.70582836823526673</v>
      </c>
      <c r="Q98">
        <f t="shared" ref="Q98" si="466">F98*P98</f>
        <v>-28386.652985339384</v>
      </c>
      <c r="R98">
        <f t="shared" ref="R98" si="467">R99+Q98</f>
        <v>8756533.5315410905</v>
      </c>
      <c r="S98">
        <f t="shared" ref="S98" si="468">R98/100000</f>
        <v>87.565335315410906</v>
      </c>
      <c r="T98">
        <f t="shared" ref="T98" si="469">S98/1000</f>
        <v>8.75653353154109E-2</v>
      </c>
    </row>
    <row r="99" spans="1:20" x14ac:dyDescent="0.25">
      <c r="A99" s="5">
        <v>44494</v>
      </c>
      <c r="B99">
        <v>60852.22</v>
      </c>
      <c r="C99">
        <v>63710.63</v>
      </c>
      <c r="D99">
        <v>60650</v>
      </c>
      <c r="E99">
        <v>63078.78</v>
      </c>
      <c r="F99">
        <v>36853.838060000002</v>
      </c>
      <c r="G99">
        <v>63078.78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0.58711115031872585</v>
      </c>
      <c r="Q99">
        <f t="shared" ref="Q99" si="471">F99*P99</f>
        <v>21637.299257066639</v>
      </c>
      <c r="R99">
        <f t="shared" ref="R99" si="472">R100+Q99</f>
        <v>8784920.1845264304</v>
      </c>
      <c r="S99">
        <f t="shared" ref="S99" si="473">R99/100000</f>
        <v>87.849201845264304</v>
      </c>
      <c r="T99">
        <f t="shared" ref="T99" si="474">S99/1000</f>
        <v>8.7849201845264305E-2</v>
      </c>
    </row>
    <row r="100" spans="1:20" x14ac:dyDescent="0.25">
      <c r="A100" s="5">
        <v>44493</v>
      </c>
      <c r="B100">
        <v>61286.75</v>
      </c>
      <c r="C100">
        <v>61500</v>
      </c>
      <c r="D100">
        <v>59510.63</v>
      </c>
      <c r="E100">
        <v>60852.22</v>
      </c>
      <c r="F100">
        <v>31226.57676</v>
      </c>
      <c r="G100">
        <v>60852.22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0.34875865223663977</v>
      </c>
      <c r="Q100">
        <f t="shared" ref="Q100" si="476">F100*P100</f>
        <v>10890.538824781577</v>
      </c>
      <c r="R100">
        <f t="shared" ref="R100" si="477">R101+Q100</f>
        <v>8763282.8852693643</v>
      </c>
      <c r="S100">
        <f t="shared" ref="S100" si="478">R100/100000</f>
        <v>87.632828852693649</v>
      </c>
      <c r="T100">
        <f t="shared" ref="T100" si="479">S100/1000</f>
        <v>8.7632828852693648E-2</v>
      </c>
    </row>
    <row r="101" spans="1:20" x14ac:dyDescent="0.25">
      <c r="A101" s="5">
        <v>44492</v>
      </c>
      <c r="B101">
        <v>60688.23</v>
      </c>
      <c r="C101">
        <v>61747.64</v>
      </c>
      <c r="D101">
        <v>59562.15</v>
      </c>
      <c r="E101">
        <v>61286.75</v>
      </c>
      <c r="F101">
        <v>27626.93678</v>
      </c>
      <c r="G101">
        <v>61286.75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0.57822730829241964</v>
      </c>
      <c r="Q101">
        <f t="shared" ref="Q101" si="481">F101*P101</f>
        <v>15974.649290664247</v>
      </c>
      <c r="R101">
        <f t="shared" ref="R101" si="482">R102+Q101</f>
        <v>8752392.3464445826</v>
      </c>
      <c r="S101">
        <f t="shared" ref="S101" si="483">R101/100000</f>
        <v>87.523923464445829</v>
      </c>
      <c r="T101">
        <f t="shared" ref="T101" si="484">S101/1000</f>
        <v>8.7523923464445832E-2</v>
      </c>
    </row>
    <row r="102" spans="1:20" x14ac:dyDescent="0.25">
      <c r="A102" s="5">
        <v>44491</v>
      </c>
      <c r="B102">
        <v>62193.15</v>
      </c>
      <c r="C102">
        <v>63732.39</v>
      </c>
      <c r="D102">
        <v>60000</v>
      </c>
      <c r="E102">
        <v>60688.22</v>
      </c>
      <c r="F102">
        <v>52119.35886</v>
      </c>
      <c r="G102">
        <v>60688.22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-0.63121753085824295</v>
      </c>
      <c r="Q102">
        <f t="shared" ref="Q102" si="486">F102*P102</f>
        <v>-32898.653009523885</v>
      </c>
      <c r="R102">
        <f t="shared" ref="R102" si="487">R103+Q102</f>
        <v>8736417.6971539184</v>
      </c>
      <c r="S102">
        <f t="shared" ref="S102" si="488">R102/100000</f>
        <v>87.36417697153918</v>
      </c>
      <c r="T102">
        <f t="shared" ref="T102" si="489">S102/1000</f>
        <v>8.7364176971539184E-2</v>
      </c>
    </row>
    <row r="103" spans="1:20" x14ac:dyDescent="0.25">
      <c r="A103" s="5">
        <v>44490</v>
      </c>
      <c r="B103">
        <v>66001.399999999994</v>
      </c>
      <c r="C103">
        <v>66639.740000000005</v>
      </c>
      <c r="D103">
        <v>62000</v>
      </c>
      <c r="E103">
        <v>62193.15</v>
      </c>
      <c r="F103">
        <v>68538.645369999998</v>
      </c>
      <c r="G103">
        <v>62193.15</v>
      </c>
      <c r="L103" t="s">
        <v>7</v>
      </c>
      <c r="M103" t="s">
        <v>8</v>
      </c>
      <c r="N103" t="s">
        <v>8</v>
      </c>
      <c r="P103">
        <f t="shared" ref="P103" si="490">IF(C103=D103,0,((E103-D103)-(C103-E103))/(C103-D103))</f>
        <v>-0.91674102428153248</v>
      </c>
      <c r="Q103">
        <f t="shared" ref="Q103" si="491">F103*P103</f>
        <v>-62832.187959362513</v>
      </c>
      <c r="R103">
        <f t="shared" ref="R103" si="492">R104+Q103</f>
        <v>8769316.350163443</v>
      </c>
      <c r="S103">
        <f t="shared" ref="S103" si="493">R103/100000</f>
        <v>87.69316350163443</v>
      </c>
      <c r="T103">
        <f t="shared" ref="T103" si="494">S103/1000</f>
        <v>8.7693163501634433E-2</v>
      </c>
    </row>
    <row r="104" spans="1:20" x14ac:dyDescent="0.25">
      <c r="A104" s="5">
        <v>44489</v>
      </c>
      <c r="B104">
        <v>64280.59</v>
      </c>
      <c r="C104">
        <v>67000</v>
      </c>
      <c r="D104">
        <v>63481.4</v>
      </c>
      <c r="E104">
        <v>66001.41</v>
      </c>
      <c r="F104">
        <v>51428.934856</v>
      </c>
      <c r="G104">
        <v>66001.41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0.4323935656226926</v>
      </c>
      <c r="Q104">
        <f t="shared" ref="Q104" si="496">F104*P104</f>
        <v>22237.540518563019</v>
      </c>
      <c r="R104">
        <f t="shared" ref="R104" si="497">R105+Q104</f>
        <v>8832148.5381228048</v>
      </c>
      <c r="S104">
        <f t="shared" ref="S104" si="498">R104/100000</f>
        <v>88.321485381228044</v>
      </c>
      <c r="T104">
        <f t="shared" ref="T104" si="499">S104/1000</f>
        <v>8.832148538122804E-2</v>
      </c>
    </row>
    <row r="105" spans="1:20" x14ac:dyDescent="0.25">
      <c r="A105" s="5">
        <v>44488</v>
      </c>
      <c r="B105">
        <v>62005.599999999999</v>
      </c>
      <c r="C105">
        <v>64486</v>
      </c>
      <c r="D105">
        <v>61322.22</v>
      </c>
      <c r="E105">
        <v>64280.59</v>
      </c>
      <c r="F105">
        <v>53628.107744000001</v>
      </c>
      <c r="G105">
        <v>64280.59</v>
      </c>
      <c r="L105" t="s">
        <v>8</v>
      </c>
      <c r="M105" t="s">
        <v>8</v>
      </c>
      <c r="N105" t="s">
        <v>8</v>
      </c>
      <c r="P105">
        <f t="shared" ref="P105" si="500">IF(C105=D105,0,((E105-D105)-(C105-E105))/(C105-D105))</f>
        <v>0.87014899898222786</v>
      </c>
      <c r="Q105">
        <f t="shared" ref="Q105" si="501">F105*P105</f>
        <v>46664.444270752661</v>
      </c>
      <c r="R105">
        <f t="shared" ref="R105" si="502">R106+Q105</f>
        <v>8809910.9976042416</v>
      </c>
      <c r="S105">
        <f t="shared" ref="S105" si="503">R105/100000</f>
        <v>88.099109976042413</v>
      </c>
      <c r="T105">
        <f t="shared" ref="T105" si="504">S105/1000</f>
        <v>8.8099109976042408E-2</v>
      </c>
    </row>
    <row r="106" spans="1:20" x14ac:dyDescent="0.25">
      <c r="A106" s="5">
        <v>44487</v>
      </c>
      <c r="B106">
        <v>61528.32</v>
      </c>
      <c r="C106">
        <v>62695.78</v>
      </c>
      <c r="D106">
        <v>59844.45</v>
      </c>
      <c r="E106">
        <v>62009.84</v>
      </c>
      <c r="F106">
        <v>51798.44844</v>
      </c>
      <c r="G106">
        <v>62009.84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0.51886312703194515</v>
      </c>
      <c r="Q106">
        <f t="shared" ref="Q106" si="506">F106*P106</f>
        <v>26876.30493298138</v>
      </c>
      <c r="R106">
        <f t="shared" ref="R106" si="507">R107+Q106</f>
        <v>8763246.5533334892</v>
      </c>
      <c r="S106">
        <f t="shared" ref="S106" si="508">R106/100000</f>
        <v>87.632465533334894</v>
      </c>
      <c r="T106">
        <f t="shared" ref="T106" si="509">S106/1000</f>
        <v>8.7632465533334897E-2</v>
      </c>
    </row>
    <row r="107" spans="1:20" x14ac:dyDescent="0.25">
      <c r="A107" s="5">
        <v>44486</v>
      </c>
      <c r="B107">
        <v>60875.57</v>
      </c>
      <c r="C107">
        <v>61718.39</v>
      </c>
      <c r="D107">
        <v>58963</v>
      </c>
      <c r="E107">
        <v>61528.33</v>
      </c>
      <c r="F107">
        <v>39099.241240000003</v>
      </c>
      <c r="G107">
        <v>61528.33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0.8620449373772876</v>
      </c>
      <c r="Q107">
        <f t="shared" ref="Q107" si="511">F107*P107</f>
        <v>33705.302966235264</v>
      </c>
      <c r="R107">
        <f t="shared" ref="R107" si="512">R108+Q107</f>
        <v>8736370.2484005075</v>
      </c>
      <c r="S107">
        <f t="shared" ref="S107" si="513">R107/100000</f>
        <v>87.363702484005074</v>
      </c>
      <c r="T107">
        <f t="shared" ref="T107" si="514">S107/1000</f>
        <v>8.7363702484005074E-2</v>
      </c>
    </row>
    <row r="108" spans="1:20" x14ac:dyDescent="0.25">
      <c r="A108" s="5">
        <v>44485</v>
      </c>
      <c r="B108">
        <v>61672.42</v>
      </c>
      <c r="C108">
        <v>62378.42</v>
      </c>
      <c r="D108">
        <v>60150</v>
      </c>
      <c r="E108">
        <v>60875.57</v>
      </c>
      <c r="F108">
        <v>35467.880960000002</v>
      </c>
      <c r="G108">
        <v>60875.57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-0.34880318790892179</v>
      </c>
      <c r="Q108">
        <f t="shared" ref="Q108" si="516">F108*P108</f>
        <v>-12371.309947222149</v>
      </c>
      <c r="R108">
        <f t="shared" ref="R108" si="517">R109+Q108</f>
        <v>8702664.9454342723</v>
      </c>
      <c r="S108">
        <f t="shared" ref="S108" si="518">R108/100000</f>
        <v>87.026649454342717</v>
      </c>
      <c r="T108">
        <f t="shared" ref="T108" si="519">S108/1000</f>
        <v>8.7026649454342714E-2</v>
      </c>
    </row>
    <row r="109" spans="1:20" x14ac:dyDescent="0.25">
      <c r="A109" s="5">
        <v>44484</v>
      </c>
      <c r="B109">
        <v>57347.94</v>
      </c>
      <c r="C109">
        <v>62933</v>
      </c>
      <c r="D109">
        <v>56850</v>
      </c>
      <c r="E109">
        <v>61672.42</v>
      </c>
      <c r="F109">
        <v>82512.908022000003</v>
      </c>
      <c r="G109">
        <v>61672.42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0.58554002959066198</v>
      </c>
      <c r="Q109">
        <f t="shared" ref="Q109" si="521">F109*P109</f>
        <v>48314.610604813453</v>
      </c>
      <c r="R109">
        <f t="shared" ref="R109" si="522">R110+Q109</f>
        <v>8715036.2553814948</v>
      </c>
      <c r="S109">
        <f t="shared" ref="S109" si="523">R109/100000</f>
        <v>87.150362553814944</v>
      </c>
      <c r="T109">
        <f t="shared" ref="T109" si="524">S109/1000</f>
        <v>8.7150362553814947E-2</v>
      </c>
    </row>
    <row r="110" spans="1:20" x14ac:dyDescent="0.25">
      <c r="A110" s="5">
        <v>44483</v>
      </c>
      <c r="B110">
        <v>57370.83</v>
      </c>
      <c r="C110">
        <v>58532.54</v>
      </c>
      <c r="D110">
        <v>56818.05</v>
      </c>
      <c r="E110">
        <v>57347.94</v>
      </c>
      <c r="F110">
        <v>43053.336780999998</v>
      </c>
      <c r="G110">
        <v>57347.94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-0.38186866065127234</v>
      </c>
      <c r="Q110">
        <f t="shared" ref="Q110" si="526">F110*P110</f>
        <v>-16440.720053128629</v>
      </c>
      <c r="R110">
        <f t="shared" ref="R110" si="527">R111+Q110</f>
        <v>8666721.6447766814</v>
      </c>
      <c r="S110">
        <f t="shared" ref="S110" si="528">R110/100000</f>
        <v>86.667216447766819</v>
      </c>
      <c r="T110">
        <f t="shared" ref="T110" si="529">S110/1000</f>
        <v>8.6667216447766815E-2</v>
      </c>
    </row>
    <row r="111" spans="1:20" x14ac:dyDescent="0.25">
      <c r="A111" s="5">
        <v>44482</v>
      </c>
      <c r="B111">
        <v>55996.91</v>
      </c>
      <c r="C111">
        <v>57777</v>
      </c>
      <c r="D111">
        <v>54167.19</v>
      </c>
      <c r="E111">
        <v>57367</v>
      </c>
      <c r="F111">
        <v>55808.444920000002</v>
      </c>
      <c r="G111">
        <v>57367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0.77284122987082404</v>
      </c>
      <c r="Q111">
        <f t="shared" ref="Q111" si="531">F111*P111</f>
        <v>43131.06720915094</v>
      </c>
      <c r="R111">
        <f t="shared" ref="R111" si="532">R112+Q111</f>
        <v>8683162.3648298103</v>
      </c>
      <c r="S111">
        <f t="shared" ref="S111" si="533">R111/100000</f>
        <v>86.831623648298105</v>
      </c>
      <c r="T111">
        <f t="shared" ref="T111" si="534">S111/1000</f>
        <v>8.6831623648298106E-2</v>
      </c>
    </row>
    <row r="112" spans="1:20" x14ac:dyDescent="0.25">
      <c r="A112" s="5">
        <v>44481</v>
      </c>
      <c r="B112">
        <v>57471.35</v>
      </c>
      <c r="C112">
        <v>57680</v>
      </c>
      <c r="D112">
        <v>53879</v>
      </c>
      <c r="E112">
        <v>55996.93</v>
      </c>
      <c r="F112">
        <v>53471.285499999998</v>
      </c>
      <c r="G112">
        <v>55996.93</v>
      </c>
      <c r="L112" t="s">
        <v>8</v>
      </c>
      <c r="M112" t="s">
        <v>8</v>
      </c>
      <c r="N112" t="s">
        <v>8</v>
      </c>
      <c r="P112">
        <f t="shared" ref="P112" si="535">IF(C112=D112,0,((E112-D112)-(C112-E112))/(C112-D112))</f>
        <v>0.11440673506971864</v>
      </c>
      <c r="Q112">
        <f t="shared" ref="Q112" si="536">F112*P112</f>
        <v>6117.4751940357874</v>
      </c>
      <c r="R112">
        <f t="shared" ref="R112" si="537">R113+Q112</f>
        <v>8640031.2976206597</v>
      </c>
      <c r="S112">
        <f t="shared" ref="S112" si="538">R112/100000</f>
        <v>86.400312976206592</v>
      </c>
      <c r="T112">
        <f t="shared" ref="T112" si="539">S112/1000</f>
        <v>8.6400312976206595E-2</v>
      </c>
    </row>
    <row r="113" spans="1:20" x14ac:dyDescent="0.25">
      <c r="A113" s="5">
        <v>44480</v>
      </c>
      <c r="B113">
        <v>54659.01</v>
      </c>
      <c r="C113">
        <v>57839.040000000001</v>
      </c>
      <c r="D113">
        <v>54415.06</v>
      </c>
      <c r="E113">
        <v>57471.35</v>
      </c>
      <c r="F113">
        <v>52933.165751</v>
      </c>
      <c r="G113">
        <v>57471.35</v>
      </c>
      <c r="L113" t="s">
        <v>8</v>
      </c>
      <c r="M113" t="s">
        <v>8</v>
      </c>
      <c r="N113" t="s">
        <v>8</v>
      </c>
      <c r="P113">
        <f t="shared" ref="P113" si="540">IF(C113=D113,0,((E113-D113)-(C113-E113))/(C113-D113))</f>
        <v>0.78522654922049662</v>
      </c>
      <c r="Q113">
        <f t="shared" ref="Q113" si="541">F113*P113</f>
        <v>41564.527081974309</v>
      </c>
      <c r="R113">
        <f t="shared" ref="R113" si="542">R114+Q113</f>
        <v>8633913.8224266246</v>
      </c>
      <c r="S113">
        <f t="shared" ref="S113" si="543">R113/100000</f>
        <v>86.33913822426625</v>
      </c>
      <c r="T113">
        <f t="shared" ref="T113" si="544">S113/1000</f>
        <v>8.6339138224266254E-2</v>
      </c>
    </row>
    <row r="114" spans="1:20" x14ac:dyDescent="0.25">
      <c r="A114" s="5">
        <v>44479</v>
      </c>
      <c r="B114">
        <v>54949.72</v>
      </c>
      <c r="C114">
        <v>56561.31</v>
      </c>
      <c r="D114">
        <v>54080</v>
      </c>
      <c r="E114">
        <v>54659</v>
      </c>
      <c r="F114">
        <v>89237.836127999995</v>
      </c>
      <c r="G114">
        <v>54659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-0.53331103328483698</v>
      </c>
      <c r="Q114">
        <f t="shared" ref="Q114" si="546">F114*P114</f>
        <v>-47591.522593526635</v>
      </c>
      <c r="R114">
        <f t="shared" ref="R114" si="547">R115+Q114</f>
        <v>8592349.2953446507</v>
      </c>
      <c r="S114">
        <f t="shared" ref="S114" si="548">R114/100000</f>
        <v>85.923492953446512</v>
      </c>
      <c r="T114">
        <f t="shared" ref="T114" si="549">S114/1000</f>
        <v>8.5923492953446506E-2</v>
      </c>
    </row>
    <row r="115" spans="1:20" x14ac:dyDescent="0.25">
      <c r="A115" s="5">
        <v>44478</v>
      </c>
      <c r="B115">
        <v>53955.67</v>
      </c>
      <c r="C115">
        <v>55489</v>
      </c>
      <c r="D115">
        <v>53661.67</v>
      </c>
      <c r="E115">
        <v>54949.72</v>
      </c>
      <c r="F115">
        <v>55177.080130000002</v>
      </c>
      <c r="G115">
        <v>54949.72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0.40976178358588944</v>
      </c>
      <c r="Q115">
        <f t="shared" ref="Q115" si="551">F115*P115</f>
        <v>22609.458767130342</v>
      </c>
      <c r="R115">
        <f t="shared" ref="R115" si="552">R116+Q115</f>
        <v>8639940.8179381769</v>
      </c>
      <c r="S115">
        <f t="shared" ref="S115" si="553">R115/100000</f>
        <v>86.399408179381766</v>
      </c>
      <c r="T115">
        <f t="shared" ref="T115" si="554">S115/1000</f>
        <v>8.639940817938177E-2</v>
      </c>
    </row>
    <row r="116" spans="1:20" x14ac:dyDescent="0.25">
      <c r="A116" s="5">
        <v>44477</v>
      </c>
      <c r="B116">
        <v>53785.22</v>
      </c>
      <c r="C116">
        <v>56100</v>
      </c>
      <c r="D116">
        <v>53617.61</v>
      </c>
      <c r="E116">
        <v>53951.43</v>
      </c>
      <c r="F116">
        <v>46160.257850000002</v>
      </c>
      <c r="G116">
        <v>53951.43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-0.7310495127679375</v>
      </c>
      <c r="Q116">
        <f t="shared" ref="Q116" si="556">F116*P116</f>
        <v>-33745.434010484867</v>
      </c>
      <c r="R116">
        <f t="shared" ref="R116" si="557">R117+Q116</f>
        <v>8617331.3591710459</v>
      </c>
      <c r="S116">
        <f t="shared" ref="S116" si="558">R116/100000</f>
        <v>86.173313591710453</v>
      </c>
      <c r="T116">
        <f t="shared" ref="T116" si="559">S116/1000</f>
        <v>8.617331359171046E-2</v>
      </c>
    </row>
    <row r="117" spans="1:20" x14ac:dyDescent="0.25">
      <c r="A117" s="5">
        <v>44476</v>
      </c>
      <c r="B117">
        <v>55315</v>
      </c>
      <c r="C117">
        <v>55332.31</v>
      </c>
      <c r="D117">
        <v>53357</v>
      </c>
      <c r="E117">
        <v>53785.22</v>
      </c>
      <c r="F117">
        <v>54917.377659999998</v>
      </c>
      <c r="G117">
        <v>53785.22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-0.566427548081059</v>
      </c>
      <c r="Q117">
        <f t="shared" ref="Q117" si="561">F117*P117</f>
        <v>-31106.715574995324</v>
      </c>
      <c r="R117">
        <f t="shared" ref="R117" si="562">R118+Q117</f>
        <v>8651076.7931815311</v>
      </c>
      <c r="S117">
        <f t="shared" ref="S117" si="563">R117/100000</f>
        <v>86.510767931815309</v>
      </c>
      <c r="T117">
        <f t="shared" ref="T117" si="564">S117/1000</f>
        <v>8.6510767931815308E-2</v>
      </c>
    </row>
    <row r="118" spans="1:20" x14ac:dyDescent="0.25">
      <c r="A118" s="5">
        <v>44475</v>
      </c>
      <c r="B118">
        <v>51471.99</v>
      </c>
      <c r="C118">
        <v>55750</v>
      </c>
      <c r="D118">
        <v>50382.41</v>
      </c>
      <c r="E118">
        <v>55315</v>
      </c>
      <c r="F118">
        <v>79877.545180999994</v>
      </c>
      <c r="G118">
        <v>55315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0.83791608524496086</v>
      </c>
      <c r="Q118">
        <f t="shared" ref="Q118" si="566">F118*P118</f>
        <v>66930.679957041008</v>
      </c>
      <c r="R118">
        <f t="shared" ref="R118" si="567">R119+Q118</f>
        <v>8682183.5087565258</v>
      </c>
      <c r="S118">
        <f t="shared" ref="S118" si="568">R118/100000</f>
        <v>86.821835087565262</v>
      </c>
      <c r="T118">
        <f t="shared" ref="T118" si="569">S118/1000</f>
        <v>8.6821835087565261E-2</v>
      </c>
    </row>
    <row r="119" spans="1:20" x14ac:dyDescent="0.25">
      <c r="A119" s="5">
        <v>44474</v>
      </c>
      <c r="B119">
        <v>49224.93</v>
      </c>
      <c r="C119">
        <v>51886.3</v>
      </c>
      <c r="D119">
        <v>49022.400000000001</v>
      </c>
      <c r="E119">
        <v>51471.99</v>
      </c>
      <c r="F119">
        <v>52125.667930000003</v>
      </c>
      <c r="G119">
        <v>51471.99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0.71066727190194856</v>
      </c>
      <c r="Q119">
        <f t="shared" ref="Q119" si="571">F119*P119</f>
        <v>37044.006223879995</v>
      </c>
      <c r="R119">
        <f t="shared" ref="R119" si="572">R120+Q119</f>
        <v>8615252.8287994843</v>
      </c>
      <c r="S119">
        <f t="shared" ref="S119" si="573">R119/100000</f>
        <v>86.152528287994841</v>
      </c>
      <c r="T119">
        <f t="shared" ref="T119" si="574">S119/1000</f>
        <v>8.6152528287994842E-2</v>
      </c>
    </row>
    <row r="120" spans="1:20" x14ac:dyDescent="0.25">
      <c r="A120" s="5">
        <v>44473</v>
      </c>
      <c r="B120">
        <v>48200.01</v>
      </c>
      <c r="C120">
        <v>49536.12</v>
      </c>
      <c r="D120">
        <v>46891</v>
      </c>
      <c r="E120">
        <v>49321.05</v>
      </c>
      <c r="F120">
        <v>45713.97032</v>
      </c>
      <c r="G120">
        <v>49321.05</v>
      </c>
      <c r="L120" t="s">
        <v>8</v>
      </c>
      <c r="M120" t="s">
        <v>8</v>
      </c>
      <c r="N120" t="s">
        <v>8</v>
      </c>
      <c r="P120">
        <f t="shared" ref="P120" si="575">IF(C120=D120,0,((E120-D120)-(C120-E120))/(C120-D120))</f>
        <v>0.837383559157997</v>
      </c>
      <c r="Q120">
        <f t="shared" ref="Q120" si="576">F120*P120</f>
        <v>38280.12716980464</v>
      </c>
      <c r="R120">
        <f t="shared" ref="R120" si="577">R121+Q120</f>
        <v>8578208.8225756045</v>
      </c>
      <c r="S120">
        <f t="shared" ref="S120" si="578">R120/100000</f>
        <v>85.782088225756041</v>
      </c>
      <c r="T120">
        <f t="shared" ref="T120" si="579">S120/1000</f>
        <v>8.5782088225756045E-2</v>
      </c>
    </row>
    <row r="121" spans="1:20" x14ac:dyDescent="0.25">
      <c r="A121" s="5">
        <v>44472</v>
      </c>
      <c r="B121">
        <v>47634.89</v>
      </c>
      <c r="C121">
        <v>49228.08</v>
      </c>
      <c r="D121">
        <v>47088</v>
      </c>
      <c r="E121">
        <v>48157.79</v>
      </c>
      <c r="F121">
        <v>30417.48677</v>
      </c>
      <c r="G121">
        <v>48157.79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-2.3363612575230813E-4</v>
      </c>
      <c r="Q121">
        <f t="shared" ref="Q121" si="581">F121*P121</f>
        <v>-7.1066237640648886</v>
      </c>
      <c r="R121">
        <f t="shared" ref="R121" si="582">R122+Q121</f>
        <v>8539928.6954057999</v>
      </c>
      <c r="S121">
        <f t="shared" ref="S121" si="583">R121/100000</f>
        <v>85.399286954057999</v>
      </c>
      <c r="T121">
        <f t="shared" ref="T121" si="584">S121/1000</f>
        <v>8.5399286954058004E-2</v>
      </c>
    </row>
    <row r="122" spans="1:20" x14ac:dyDescent="0.25">
      <c r="A122" s="5">
        <v>44471</v>
      </c>
      <c r="B122">
        <v>48141.599999999999</v>
      </c>
      <c r="C122">
        <v>48336.59</v>
      </c>
      <c r="D122">
        <v>47430.18</v>
      </c>
      <c r="E122">
        <v>47634.9</v>
      </c>
      <c r="F122">
        <v>30508.981309999999</v>
      </c>
      <c r="G122">
        <v>47634.9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-0.54828388918921456</v>
      </c>
      <c r="Q122">
        <f t="shared" ref="Q122" si="586">F122*P122</f>
        <v>-16727.582927847856</v>
      </c>
      <c r="R122">
        <f t="shared" ref="R122" si="587">R123+Q122</f>
        <v>8539935.8020295631</v>
      </c>
      <c r="S122">
        <f t="shared" ref="S122" si="588">R122/100000</f>
        <v>85.399358020295637</v>
      </c>
      <c r="T122">
        <f t="shared" ref="T122" si="589">S122/1000</f>
        <v>8.5399358020295635E-2</v>
      </c>
    </row>
    <row r="123" spans="1:20" x14ac:dyDescent="0.25">
      <c r="A123" s="5">
        <v>44470</v>
      </c>
      <c r="B123">
        <v>43820.01</v>
      </c>
      <c r="C123">
        <v>48495</v>
      </c>
      <c r="D123">
        <v>43283.03</v>
      </c>
      <c r="E123">
        <v>48141.61</v>
      </c>
      <c r="F123">
        <v>66244.874920000002</v>
      </c>
      <c r="G123">
        <v>48141.61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0.86439292628315234</v>
      </c>
      <c r="Q123">
        <f t="shared" ref="Q123" si="591">F123*P123</f>
        <v>57261.601283360207</v>
      </c>
      <c r="R123">
        <f t="shared" ref="R123" si="592">R124+Q123</f>
        <v>8556663.3849574104</v>
      </c>
      <c r="S123">
        <f t="shared" ref="S123" si="593">R123/100000</f>
        <v>85.566633849574103</v>
      </c>
      <c r="T123">
        <f t="shared" ref="T123" si="594">S123/1000</f>
        <v>8.5566633849574109E-2</v>
      </c>
    </row>
    <row r="124" spans="1:20" x14ac:dyDescent="0.25">
      <c r="A124" s="5">
        <v>44469</v>
      </c>
      <c r="B124">
        <v>41524.29</v>
      </c>
      <c r="C124">
        <v>44141.37</v>
      </c>
      <c r="D124">
        <v>41410.17</v>
      </c>
      <c r="E124">
        <v>43824.1</v>
      </c>
      <c r="F124">
        <v>46381.227809999997</v>
      </c>
      <c r="G124">
        <v>43824.1</v>
      </c>
      <c r="L124" t="s">
        <v>8</v>
      </c>
      <c r="M124" t="s">
        <v>7</v>
      </c>
      <c r="N124" t="s">
        <v>8</v>
      </c>
      <c r="P124">
        <f t="shared" ref="P124" si="595">IF(C124=D124,0,((E124-D124)-(C124-E124))/(C124-D124))</f>
        <v>0.76766988869361197</v>
      </c>
      <c r="Q124">
        <f t="shared" ref="Q124" si="596">F124*P124</f>
        <v>35605.471990375758</v>
      </c>
      <c r="R124">
        <f t="shared" ref="R124" si="597">R125+Q124</f>
        <v>8499401.7836740501</v>
      </c>
      <c r="S124">
        <f t="shared" ref="S124" si="598">R124/100000</f>
        <v>84.994017836740497</v>
      </c>
      <c r="T124">
        <f t="shared" ref="T124" si="599">S124/1000</f>
        <v>8.4994017836740501E-2</v>
      </c>
    </row>
    <row r="125" spans="1:20" x14ac:dyDescent="0.25">
      <c r="A125" s="5">
        <v>44468</v>
      </c>
      <c r="B125">
        <v>41025.01</v>
      </c>
      <c r="C125">
        <v>42590</v>
      </c>
      <c r="D125">
        <v>40753.879999999997</v>
      </c>
      <c r="E125">
        <v>41524.28</v>
      </c>
      <c r="F125">
        <v>33511.534870000003</v>
      </c>
      <c r="G125">
        <v>41524.28</v>
      </c>
      <c r="L125" t="s">
        <v>7</v>
      </c>
      <c r="M125" t="s">
        <v>7</v>
      </c>
      <c r="N125" t="s">
        <v>8</v>
      </c>
      <c r="P125">
        <f t="shared" ref="P125" si="600">IF(C125=D125,0,((E125-D125)-(C125-E125))/(C125-D125))</f>
        <v>-0.16083916083916044</v>
      </c>
      <c r="Q125">
        <f t="shared" ref="Q125" si="601">F125*P125</f>
        <v>-5389.9671469230643</v>
      </c>
      <c r="R125">
        <f t="shared" ref="R125" si="602">R126+Q125</f>
        <v>8463796.3116836753</v>
      </c>
      <c r="S125">
        <f t="shared" ref="S125" si="603">R125/100000</f>
        <v>84.637963116836758</v>
      </c>
      <c r="T125">
        <f t="shared" ref="T125" si="604">S125/1000</f>
        <v>8.4637963116836759E-2</v>
      </c>
    </row>
    <row r="126" spans="1:20" x14ac:dyDescent="0.25">
      <c r="A126" s="5">
        <v>44467</v>
      </c>
      <c r="B126">
        <v>42147.35</v>
      </c>
      <c r="C126">
        <v>42787.38</v>
      </c>
      <c r="D126">
        <v>40888</v>
      </c>
      <c r="E126">
        <v>41026.54</v>
      </c>
      <c r="F126">
        <v>43372.2624</v>
      </c>
      <c r="G126">
        <v>41026.54</v>
      </c>
      <c r="L126" t="s">
        <v>7</v>
      </c>
      <c r="M126" t="s">
        <v>7</v>
      </c>
      <c r="N126" t="s">
        <v>8</v>
      </c>
      <c r="P126">
        <f t="shared" ref="P126" si="605">IF(C126=D126,0,((E126-D126)-(C126-E126))/(C126-D126))</f>
        <v>-0.8541208183723098</v>
      </c>
      <c r="Q126">
        <f t="shared" ref="Q126" si="606">F126*P126</f>
        <v>-37045.152255746558</v>
      </c>
      <c r="R126">
        <f t="shared" ref="R126" si="607">R127+Q126</f>
        <v>8469186.278830599</v>
      </c>
      <c r="S126">
        <f t="shared" ref="S126" si="608">R126/100000</f>
        <v>84.691862788305997</v>
      </c>
      <c r="T126">
        <f t="shared" ref="T126" si="609">S126/1000</f>
        <v>8.4691862788305997E-2</v>
      </c>
    </row>
    <row r="127" spans="1:20" x14ac:dyDescent="0.25">
      <c r="A127" s="5">
        <v>44466</v>
      </c>
      <c r="B127">
        <v>43160.9</v>
      </c>
      <c r="C127">
        <v>44350</v>
      </c>
      <c r="D127">
        <v>42098</v>
      </c>
      <c r="E127">
        <v>42147.35</v>
      </c>
      <c r="F127">
        <v>39776.843829999998</v>
      </c>
      <c r="G127">
        <v>42147.35</v>
      </c>
      <c r="L127" t="s">
        <v>8</v>
      </c>
      <c r="M127" t="s">
        <v>7</v>
      </c>
      <c r="N127" t="s">
        <v>8</v>
      </c>
      <c r="P127">
        <f t="shared" ref="P127" si="610">IF(C127=D127,0,((E127-D127)-(C127-E127))/(C127-D127))</f>
        <v>-0.95617229129662651</v>
      </c>
      <c r="Q127">
        <f t="shared" ref="Q127" si="611">F127*P127</f>
        <v>-38033.51590547918</v>
      </c>
      <c r="R127">
        <f t="shared" ref="R127" si="612">R128+Q127</f>
        <v>8506231.4310863465</v>
      </c>
      <c r="S127">
        <f t="shared" ref="S127" si="613">R127/100000</f>
        <v>85.062314310863471</v>
      </c>
      <c r="T127">
        <f t="shared" ref="T127" si="614">S127/1000</f>
        <v>8.5062314310863474E-2</v>
      </c>
    </row>
    <row r="128" spans="1:20" x14ac:dyDescent="0.25">
      <c r="A128" s="5">
        <v>44465</v>
      </c>
      <c r="B128">
        <v>42670.63</v>
      </c>
      <c r="C128">
        <v>43950</v>
      </c>
      <c r="D128">
        <v>40750</v>
      </c>
      <c r="E128">
        <v>43160.9</v>
      </c>
      <c r="F128">
        <v>49879.997649999998</v>
      </c>
      <c r="G128">
        <v>43160.9</v>
      </c>
      <c r="L128" t="s">
        <v>8</v>
      </c>
      <c r="M128" t="s">
        <v>7</v>
      </c>
      <c r="N128" t="s">
        <v>8</v>
      </c>
      <c r="P128">
        <f t="shared" ref="P128" si="615">IF(C128=D128,0,((E128-D128)-(C128-E128))/(C128-D128))</f>
        <v>0.50681250000000089</v>
      </c>
      <c r="Q128">
        <f t="shared" ref="Q128" si="616">F128*P128</f>
        <v>25279.806308990668</v>
      </c>
      <c r="R128">
        <f t="shared" ref="R128" si="617">R129+Q128</f>
        <v>8544264.9469918255</v>
      </c>
      <c r="S128">
        <f t="shared" ref="S128" si="618">R128/100000</f>
        <v>85.442649469918251</v>
      </c>
      <c r="T128">
        <f t="shared" ref="T128" si="619">S128/1000</f>
        <v>8.5442649469918253E-2</v>
      </c>
    </row>
    <row r="129" spans="1:20" x14ac:dyDescent="0.25">
      <c r="A129" s="5">
        <v>44464</v>
      </c>
      <c r="B129">
        <v>42810.58</v>
      </c>
      <c r="C129">
        <v>42966.84</v>
      </c>
      <c r="D129">
        <v>41646.28</v>
      </c>
      <c r="E129">
        <v>42670.64</v>
      </c>
      <c r="F129">
        <v>33594.571889999999</v>
      </c>
      <c r="G129">
        <v>42670.64</v>
      </c>
      <c r="L129" t="s">
        <v>7</v>
      </c>
      <c r="M129" t="s">
        <v>7</v>
      </c>
      <c r="N129" t="s">
        <v>8</v>
      </c>
      <c r="P129">
        <f t="shared" ref="P129" si="620">IF(C129=D129,0,((E129-D129)-(C129-E129))/(C129-D129))</f>
        <v>0.55140243533046951</v>
      </c>
      <c r="Q129">
        <f t="shared" ref="Q129" si="621">F129*P129</f>
        <v>18524.128754030535</v>
      </c>
      <c r="R129">
        <f t="shared" ref="R129" si="622">R130+Q129</f>
        <v>8518985.1406828351</v>
      </c>
      <c r="S129">
        <f t="shared" ref="S129" si="623">R129/100000</f>
        <v>85.189851406828353</v>
      </c>
      <c r="T129">
        <f t="shared" ref="T129" si="624">S129/1000</f>
        <v>8.518985140682836E-2</v>
      </c>
    </row>
    <row r="130" spans="1:20" x14ac:dyDescent="0.25">
      <c r="A130" s="5">
        <v>44463</v>
      </c>
      <c r="B130">
        <v>44865.26</v>
      </c>
      <c r="C130">
        <v>45200</v>
      </c>
      <c r="D130">
        <v>40675</v>
      </c>
      <c r="E130">
        <v>42810.57</v>
      </c>
      <c r="F130">
        <v>84113.426292000004</v>
      </c>
      <c r="G130">
        <v>42810.57</v>
      </c>
      <c r="L130" t="s">
        <v>7</v>
      </c>
      <c r="M130" t="s">
        <v>7</v>
      </c>
      <c r="N130" t="s">
        <v>8</v>
      </c>
      <c r="P130">
        <f t="shared" ref="P130" si="625">IF(C130=D130,0,((E130-D130)-(C130-E130))/(C130-D130))</f>
        <v>-5.6101657458563665E-2</v>
      </c>
      <c r="Q130">
        <f t="shared" ref="Q130" si="626">F130*P130</f>
        <v>-4718.9026294999276</v>
      </c>
      <c r="R130">
        <f t="shared" ref="R130" si="627">R131+Q130</f>
        <v>8500461.0119288042</v>
      </c>
      <c r="S130">
        <f t="shared" ref="S130" si="628">R130/100000</f>
        <v>85.004610119288046</v>
      </c>
      <c r="T130">
        <f t="shared" ref="T130" si="629">S130/1000</f>
        <v>8.5004610119288046E-2</v>
      </c>
    </row>
    <row r="131" spans="1:20" x14ac:dyDescent="0.25">
      <c r="A131" s="5">
        <v>44462</v>
      </c>
      <c r="B131">
        <v>43546.37</v>
      </c>
      <c r="C131">
        <v>44978</v>
      </c>
      <c r="D131">
        <v>43069.09</v>
      </c>
      <c r="E131">
        <v>44865.26</v>
      </c>
      <c r="F131">
        <v>48699.576549999998</v>
      </c>
      <c r="G131">
        <v>44865.26</v>
      </c>
      <c r="L131" t="s">
        <v>8</v>
      </c>
      <c r="M131" t="s">
        <v>7</v>
      </c>
      <c r="N131" t="s">
        <v>8</v>
      </c>
      <c r="P131">
        <f t="shared" ref="P131" si="630">IF(C131=D131,0,((E131-D131)-(C131-E131))/(C131-D131))</f>
        <v>0.88188023531753956</v>
      </c>
      <c r="Q131">
        <f t="shared" ref="Q131" si="631">F131*P131</f>
        <v>42947.194027778532</v>
      </c>
      <c r="R131">
        <f t="shared" ref="R131" si="632">R132+Q131</f>
        <v>8505179.9145583045</v>
      </c>
      <c r="S131">
        <f t="shared" ref="S131" si="633">R131/100000</f>
        <v>85.051799145583047</v>
      </c>
      <c r="T131">
        <f t="shared" ref="T131" si="634">S131/1000</f>
        <v>8.5051799145583043E-2</v>
      </c>
    </row>
    <row r="132" spans="1:20" x14ac:dyDescent="0.25">
      <c r="A132" s="5">
        <v>44461</v>
      </c>
      <c r="B132">
        <v>40734.089999999997</v>
      </c>
      <c r="C132">
        <v>44000.55</v>
      </c>
      <c r="D132">
        <v>40565.39</v>
      </c>
      <c r="E132">
        <v>43543.61</v>
      </c>
      <c r="F132">
        <v>58349.055419999997</v>
      </c>
      <c r="G132">
        <v>43543.61</v>
      </c>
      <c r="L132" t="s">
        <v>8</v>
      </c>
      <c r="M132" t="s">
        <v>7</v>
      </c>
      <c r="N132" t="s">
        <v>8</v>
      </c>
      <c r="P132">
        <f t="shared" ref="P132" si="635">IF(C132=D132,0,((E132-D132)-(C132-E132))/(C132-D132))</f>
        <v>0.73396290129135067</v>
      </c>
      <c r="Q132">
        <f t="shared" ref="Q132" si="636">F132*P132</f>
        <v>42826.042003673007</v>
      </c>
      <c r="R132">
        <f t="shared" ref="R132" si="637">R133+Q132</f>
        <v>8462232.7205305267</v>
      </c>
      <c r="S132">
        <f t="shared" ref="S132" si="638">R132/100000</f>
        <v>84.622327205305268</v>
      </c>
      <c r="T132">
        <f t="shared" ref="T132" si="639">S132/1000</f>
        <v>8.462232720530527E-2</v>
      </c>
    </row>
    <row r="133" spans="1:20" x14ac:dyDescent="0.25">
      <c r="A133" s="5">
        <v>44460</v>
      </c>
      <c r="B133">
        <v>43016.639999999999</v>
      </c>
      <c r="C133">
        <v>43639</v>
      </c>
      <c r="D133">
        <v>39600</v>
      </c>
      <c r="E133">
        <v>40734.379999999997</v>
      </c>
      <c r="F133">
        <v>84534.080484999999</v>
      </c>
      <c r="G133">
        <v>40734.379999999997</v>
      </c>
      <c r="L133" t="s">
        <v>7</v>
      </c>
      <c r="M133" t="s">
        <v>7</v>
      </c>
      <c r="N133" t="s">
        <v>8</v>
      </c>
      <c r="P133">
        <f t="shared" ref="P133" si="640">IF(C133=D133,0,((E133-D133)-(C133-E133))/(C133-D133))</f>
        <v>-0.43828670462986019</v>
      </c>
      <c r="Q133">
        <f t="shared" ref="Q133" si="641">F133*P133</f>
        <v>-37050.163564686023</v>
      </c>
      <c r="R133">
        <f t="shared" ref="R133" si="642">R134+Q133</f>
        <v>8419406.6785268541</v>
      </c>
      <c r="S133">
        <f t="shared" ref="S133" si="643">R133/100000</f>
        <v>84.194066785268546</v>
      </c>
      <c r="T133">
        <f t="shared" ref="T133" si="644">S133/1000</f>
        <v>8.4194066785268543E-2</v>
      </c>
    </row>
    <row r="134" spans="1:20" x14ac:dyDescent="0.25">
      <c r="A134" s="5">
        <v>44459</v>
      </c>
      <c r="B134">
        <v>47241.75</v>
      </c>
      <c r="C134">
        <v>47347.25</v>
      </c>
      <c r="D134">
        <v>44265.9</v>
      </c>
      <c r="E134">
        <v>44748.42</v>
      </c>
      <c r="F134">
        <v>29034.496149999999</v>
      </c>
      <c r="G134">
        <v>44748.42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-0.68681259837409125</v>
      </c>
      <c r="Q134">
        <f t="shared" ref="Q134" si="646">F134*P134</f>
        <v>-19941.257743264046</v>
      </c>
      <c r="R134">
        <f t="shared" ref="R134" si="647">R135+Q134</f>
        <v>8456456.8420915399</v>
      </c>
      <c r="S134">
        <f t="shared" ref="S134" si="648">R134/100000</f>
        <v>84.564568420915393</v>
      </c>
      <c r="T134">
        <f t="shared" ref="T134" si="649">S134/1000</f>
        <v>8.4564568420915392E-2</v>
      </c>
    </row>
    <row r="135" spans="1:20" x14ac:dyDescent="0.25">
      <c r="A135" s="5">
        <v>44458</v>
      </c>
      <c r="B135">
        <v>48292.75</v>
      </c>
      <c r="C135">
        <v>48372.83</v>
      </c>
      <c r="D135">
        <v>46829.18</v>
      </c>
      <c r="E135">
        <v>47241.75</v>
      </c>
      <c r="F135">
        <v>29847.243490000001</v>
      </c>
      <c r="G135">
        <v>47241.75</v>
      </c>
      <c r="L135" t="s">
        <v>8</v>
      </c>
      <c r="M135" t="s">
        <v>7</v>
      </c>
      <c r="N135" t="s">
        <v>8</v>
      </c>
      <c r="P135">
        <f t="shared" ref="P135" si="650">IF(C135=D135,0,((E135-D135)-(C135-E135))/(C135-D135))</f>
        <v>-0.46546173031451515</v>
      </c>
      <c r="Q135">
        <f t="shared" ref="Q135" si="651">F135*P135</f>
        <v>-13892.749599974048</v>
      </c>
      <c r="R135">
        <f t="shared" ref="R135" si="652">R136+Q135</f>
        <v>8476398.0998348035</v>
      </c>
      <c r="S135">
        <f t="shared" ref="S135" si="653">R135/100000</f>
        <v>84.763980998348032</v>
      </c>
      <c r="T135">
        <f t="shared" ref="T135" si="654">S135/1000</f>
        <v>8.4763980998348032E-2</v>
      </c>
    </row>
    <row r="136" spans="1:20" x14ac:dyDescent="0.25">
      <c r="A136" s="5">
        <v>44457</v>
      </c>
      <c r="B136">
        <v>47299.98</v>
      </c>
      <c r="C136">
        <v>48843.199999999997</v>
      </c>
      <c r="D136">
        <v>47035.56</v>
      </c>
      <c r="E136">
        <v>48292.74</v>
      </c>
      <c r="F136">
        <v>30906.470379999999</v>
      </c>
      <c r="G136">
        <v>48292.74</v>
      </c>
      <c r="L136" t="s">
        <v>8</v>
      </c>
      <c r="M136" t="s">
        <v>7</v>
      </c>
      <c r="N136" t="s">
        <v>8</v>
      </c>
      <c r="P136">
        <f t="shared" ref="P136" si="655">IF(C136=D136,0,((E136-D136)-(C136-E136))/(C136-D136))</f>
        <v>0.39096280232789793</v>
      </c>
      <c r="Q136">
        <f t="shared" ref="Q136" si="656">F136*P136</f>
        <v>12083.280269828972</v>
      </c>
      <c r="R136">
        <f t="shared" ref="R136" si="657">R137+Q136</f>
        <v>8490290.8494347781</v>
      </c>
      <c r="S136">
        <f t="shared" ref="S136" si="658">R136/100000</f>
        <v>84.902908494347784</v>
      </c>
      <c r="T136">
        <f t="shared" ref="T136" si="659">S136/1000</f>
        <v>8.4902908494347784E-2</v>
      </c>
    </row>
    <row r="137" spans="1:20" x14ac:dyDescent="0.25">
      <c r="A137" s="5">
        <v>44456</v>
      </c>
      <c r="B137">
        <v>47737.81</v>
      </c>
      <c r="C137">
        <v>48150</v>
      </c>
      <c r="D137">
        <v>46699.56</v>
      </c>
      <c r="E137">
        <v>47299.98</v>
      </c>
      <c r="F137">
        <v>34461.927759999999</v>
      </c>
      <c r="G137">
        <v>47299.98</v>
      </c>
      <c r="L137" t="s">
        <v>8</v>
      </c>
      <c r="M137" t="s">
        <v>7</v>
      </c>
      <c r="N137" t="s">
        <v>8</v>
      </c>
      <c r="P137">
        <f t="shared" ref="P137" si="660">IF(C137=D137,0,((E137-D137)-(C137-E137))/(C137-D137))</f>
        <v>-0.17208571192189326</v>
      </c>
      <c r="Q137">
        <f t="shared" ref="Q137" si="661">F137*P137</f>
        <v>-5930.4053727804558</v>
      </c>
      <c r="R137">
        <f t="shared" ref="R137" si="662">R138+Q137</f>
        <v>8478207.5691649485</v>
      </c>
      <c r="S137">
        <f t="shared" ref="S137" si="663">R137/100000</f>
        <v>84.782075691649482</v>
      </c>
      <c r="T137">
        <f t="shared" ref="T137" si="664">S137/1000</f>
        <v>8.4782075691649486E-2</v>
      </c>
    </row>
    <row r="138" spans="1:20" x14ac:dyDescent="0.25">
      <c r="A138" s="5">
        <v>44455</v>
      </c>
      <c r="B138">
        <v>48121.4</v>
      </c>
      <c r="C138">
        <v>48557</v>
      </c>
      <c r="D138">
        <v>47021.1</v>
      </c>
      <c r="E138">
        <v>47737.82</v>
      </c>
      <c r="F138">
        <v>40725.088949999998</v>
      </c>
      <c r="G138">
        <v>47737.82</v>
      </c>
      <c r="L138" t="s">
        <v>8</v>
      </c>
      <c r="M138" t="s">
        <v>7</v>
      </c>
      <c r="N138" t="s">
        <v>8</v>
      </c>
      <c r="P138">
        <f t="shared" ref="P138" si="665">IF(C138=D138,0,((E138-D138)-(C138-E138))/(C138-D138))</f>
        <v>-6.6710072270329462E-2</v>
      </c>
      <c r="Q138">
        <f t="shared" ref="Q138" si="666">F138*P138</f>
        <v>-2716.7736270700957</v>
      </c>
      <c r="R138">
        <f t="shared" ref="R138" si="667">R139+Q138</f>
        <v>8484137.9745377284</v>
      </c>
      <c r="S138">
        <f t="shared" ref="S138" si="668">R138/100000</f>
        <v>84.841379745377282</v>
      </c>
      <c r="T138">
        <f t="shared" ref="T138" si="669">S138/1000</f>
        <v>8.4841379745377282E-2</v>
      </c>
    </row>
    <row r="139" spans="1:20" x14ac:dyDescent="0.25">
      <c r="A139" s="5">
        <v>44454</v>
      </c>
      <c r="B139">
        <v>47103.28</v>
      </c>
      <c r="C139">
        <v>48500</v>
      </c>
      <c r="D139">
        <v>46682.32</v>
      </c>
      <c r="E139">
        <v>48121.41</v>
      </c>
      <c r="F139">
        <v>43204.711739999999</v>
      </c>
      <c r="G139">
        <v>48121.41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0.5834360283438268</v>
      </c>
      <c r="Q139">
        <f t="shared" ref="Q139" si="671">F139*P139</f>
        <v>25207.185423325507</v>
      </c>
      <c r="R139">
        <f t="shared" ref="R139" si="672">R140+Q139</f>
        <v>8486854.7481647991</v>
      </c>
      <c r="S139">
        <f t="shared" ref="S139" si="673">R139/100000</f>
        <v>84.868547481647994</v>
      </c>
      <c r="T139">
        <f t="shared" ref="T139" si="674">S139/1000</f>
        <v>8.4868547481647988E-2</v>
      </c>
    </row>
    <row r="140" spans="1:20" x14ac:dyDescent="0.25">
      <c r="A140" s="5">
        <v>44453</v>
      </c>
      <c r="B140">
        <v>44940.72</v>
      </c>
      <c r="C140">
        <v>47250</v>
      </c>
      <c r="D140">
        <v>44594.44</v>
      </c>
      <c r="E140">
        <v>47111.519999999997</v>
      </c>
      <c r="F140">
        <v>44855.850989999999</v>
      </c>
      <c r="G140">
        <v>47111.519999999997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0.89570561388181524</v>
      </c>
      <c r="Q140">
        <f t="shared" ref="Q140" si="676">F140*P140</f>
        <v>40177.637547189181</v>
      </c>
      <c r="R140">
        <f t="shared" ref="R140" si="677">R141+Q140</f>
        <v>8461647.5627414733</v>
      </c>
      <c r="S140">
        <f t="shared" ref="S140" si="678">R140/100000</f>
        <v>84.616475627414729</v>
      </c>
      <c r="T140">
        <f t="shared" ref="T140" si="679">S140/1000</f>
        <v>8.4616475627414728E-2</v>
      </c>
    </row>
    <row r="141" spans="1:20" x14ac:dyDescent="0.25">
      <c r="A141" s="5">
        <v>44452</v>
      </c>
      <c r="B141">
        <v>46025.23</v>
      </c>
      <c r="C141">
        <v>46880</v>
      </c>
      <c r="D141">
        <v>43370</v>
      </c>
      <c r="E141">
        <v>44940.73</v>
      </c>
      <c r="F141">
        <v>65429.150560000002</v>
      </c>
      <c r="G141">
        <v>44940.73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-0.10499715099714917</v>
      </c>
      <c r="Q141">
        <f t="shared" ref="Q141" si="681">F141*P141</f>
        <v>-6869.8744009635275</v>
      </c>
      <c r="R141">
        <f t="shared" ref="R141" si="682">R142+Q141</f>
        <v>8421469.9251942839</v>
      </c>
      <c r="S141">
        <f t="shared" ref="S141" si="683">R141/100000</f>
        <v>84.214699251942847</v>
      </c>
      <c r="T141">
        <f t="shared" ref="T141" si="684">S141/1000</f>
        <v>8.4214699251942846E-2</v>
      </c>
    </row>
    <row r="142" spans="1:20" x14ac:dyDescent="0.25">
      <c r="A142" s="5">
        <v>44451</v>
      </c>
      <c r="B142">
        <v>45173.68</v>
      </c>
      <c r="C142">
        <v>46460</v>
      </c>
      <c r="D142">
        <v>44742.06</v>
      </c>
      <c r="E142">
        <v>46025.24</v>
      </c>
      <c r="F142">
        <v>32094.28052</v>
      </c>
      <c r="G142">
        <v>46025.24</v>
      </c>
      <c r="L142" t="s">
        <v>8</v>
      </c>
      <c r="M142" t="s">
        <v>7</v>
      </c>
      <c r="N142" t="s">
        <v>8</v>
      </c>
      <c r="P142">
        <f t="shared" ref="P142" si="685">IF(C142=D142,0,((E142-D142)-(C142-E142))/(C142-D142))</f>
        <v>0.49385892406020998</v>
      </c>
      <c r="Q142">
        <f t="shared" ref="Q142" si="686">F142*P142</f>
        <v>15850.046846093757</v>
      </c>
      <c r="R142">
        <f t="shared" ref="R142" si="687">R143+Q142</f>
        <v>8428339.799595248</v>
      </c>
      <c r="S142">
        <f t="shared" ref="S142" si="688">R142/100000</f>
        <v>84.283397995952484</v>
      </c>
      <c r="T142">
        <f t="shared" ref="T142" si="689">S142/1000</f>
        <v>8.4283397995952483E-2</v>
      </c>
    </row>
    <row r="143" spans="1:20" x14ac:dyDescent="0.25">
      <c r="A143" s="5">
        <v>44450</v>
      </c>
      <c r="B143">
        <v>44842.2</v>
      </c>
      <c r="C143">
        <v>45987.93</v>
      </c>
      <c r="D143">
        <v>44722.22</v>
      </c>
      <c r="E143">
        <v>45173.69</v>
      </c>
      <c r="F143">
        <v>30440.408100000001</v>
      </c>
      <c r="G143">
        <v>45173.69</v>
      </c>
      <c r="L143" t="s">
        <v>8</v>
      </c>
      <c r="M143" t="s">
        <v>7</v>
      </c>
      <c r="N143" t="s">
        <v>8</v>
      </c>
      <c r="P143">
        <f t="shared" ref="P143" si="690">IF(C143=D143,0,((E143-D143)-(C143-E143))/(C143-D143))</f>
        <v>-0.28661383729290046</v>
      </c>
      <c r="Q143">
        <f t="shared" ref="Q143" si="691">F143*P143</f>
        <v>-8724.6421743028895</v>
      </c>
      <c r="R143">
        <f t="shared" ref="R143" si="692">R144+Q143</f>
        <v>8412489.7527491543</v>
      </c>
      <c r="S143">
        <f t="shared" ref="S143" si="693">R143/100000</f>
        <v>84.124897527491541</v>
      </c>
      <c r="T143">
        <f t="shared" ref="T143" si="694">S143/1000</f>
        <v>8.4124897527491541E-2</v>
      </c>
    </row>
    <row r="144" spans="1:20" x14ac:dyDescent="0.25">
      <c r="A144" s="5">
        <v>44449</v>
      </c>
      <c r="B144">
        <v>46395.14</v>
      </c>
      <c r="C144">
        <v>47033</v>
      </c>
      <c r="D144">
        <v>44132.29</v>
      </c>
      <c r="E144">
        <v>44850.91</v>
      </c>
      <c r="F144">
        <v>49048.266179999999</v>
      </c>
      <c r="G144">
        <v>44850.91</v>
      </c>
      <c r="L144" t="s">
        <v>8</v>
      </c>
      <c r="M144" t="s">
        <v>7</v>
      </c>
      <c r="N144" t="s">
        <v>8</v>
      </c>
      <c r="P144">
        <f t="shared" ref="P144" si="695">IF(C144=D144,0,((E144-D144)-(C144-E144))/(C144-D144))</f>
        <v>-0.50452130685245833</v>
      </c>
      <c r="Q144">
        <f t="shared" ref="Q144" si="696">F144*P144</f>
        <v>-24745.895351980835</v>
      </c>
      <c r="R144">
        <f t="shared" ref="R144" si="697">R145+Q144</f>
        <v>8421214.3949234579</v>
      </c>
      <c r="S144">
        <f t="shared" ref="S144" si="698">R144/100000</f>
        <v>84.212143949234573</v>
      </c>
      <c r="T144">
        <f t="shared" ref="T144" si="699">S144/1000</f>
        <v>8.4212143949234569E-2</v>
      </c>
    </row>
    <row r="145" spans="1:20" x14ac:dyDescent="0.25">
      <c r="A145" s="5">
        <v>44448</v>
      </c>
      <c r="B145">
        <v>46048.31</v>
      </c>
      <c r="C145">
        <v>47399.97</v>
      </c>
      <c r="D145">
        <v>45513.08</v>
      </c>
      <c r="E145">
        <v>46395.14</v>
      </c>
      <c r="F145">
        <v>50651.660020000003</v>
      </c>
      <c r="G145">
        <v>46395.14</v>
      </c>
      <c r="L145" t="s">
        <v>8</v>
      </c>
      <c r="M145" t="s">
        <v>7</v>
      </c>
      <c r="N145" t="s">
        <v>8</v>
      </c>
      <c r="P145">
        <f t="shared" ref="P145" si="700">IF(C145=D145,0,((E145-D145)-(C145-E145))/(C145-D145))</f>
        <v>-6.5064736153143066E-2</v>
      </c>
      <c r="Q145">
        <f t="shared" ref="Q145" si="701">F145*P145</f>
        <v>-3295.6368949200055</v>
      </c>
      <c r="R145">
        <f t="shared" ref="R145" si="702">R146+Q145</f>
        <v>8445960.2902754396</v>
      </c>
      <c r="S145">
        <f t="shared" ref="S145" si="703">R145/100000</f>
        <v>84.459602902754398</v>
      </c>
      <c r="T145">
        <f t="shared" ref="T145" si="704">S145/1000</f>
        <v>8.4459602902754394E-2</v>
      </c>
    </row>
    <row r="146" spans="1:20" x14ac:dyDescent="0.25">
      <c r="A146" s="5">
        <v>44447</v>
      </c>
      <c r="B146">
        <v>46868.57</v>
      </c>
      <c r="C146">
        <v>47340.99</v>
      </c>
      <c r="D146">
        <v>44412.02</v>
      </c>
      <c r="E146">
        <v>46048.31</v>
      </c>
      <c r="F146">
        <v>65069.315199999997</v>
      </c>
      <c r="G146">
        <v>46048.31</v>
      </c>
      <c r="L146" t="s">
        <v>8</v>
      </c>
      <c r="M146" t="s">
        <v>7</v>
      </c>
      <c r="N146" t="s">
        <v>8</v>
      </c>
      <c r="P146">
        <f t="shared" ref="P146" si="705">IF(C146=D146,0,((E146-D146)-(C146-E146))/(C146-D146))</f>
        <v>0.1173142777153745</v>
      </c>
      <c r="Q146">
        <f t="shared" ref="Q146" si="706">F146*P146</f>
        <v>7633.5597141220396</v>
      </c>
      <c r="R146">
        <f t="shared" ref="R146" si="707">R147+Q146</f>
        <v>8449255.9271703605</v>
      </c>
      <c r="S146">
        <f t="shared" ref="S146" si="708">R146/100000</f>
        <v>84.492559271703598</v>
      </c>
      <c r="T146">
        <f t="shared" ref="T146" si="709">S146/1000</f>
        <v>8.4492559271703599E-2</v>
      </c>
    </row>
    <row r="147" spans="1:20" x14ac:dyDescent="0.25">
      <c r="A147" s="5">
        <v>44446</v>
      </c>
      <c r="B147">
        <v>52666.2</v>
      </c>
      <c r="C147">
        <v>52920</v>
      </c>
      <c r="D147">
        <v>42843.05</v>
      </c>
      <c r="E147">
        <v>46863.73</v>
      </c>
      <c r="F147">
        <v>123048.802719</v>
      </c>
      <c r="G147">
        <v>46863.73</v>
      </c>
      <c r="L147" t="s">
        <v>7</v>
      </c>
      <c r="M147" t="s">
        <v>7</v>
      </c>
      <c r="N147" t="s">
        <v>8</v>
      </c>
      <c r="P147">
        <f t="shared" ref="P147" si="710">IF(C147=D147,0,((E147-D147)-(C147-E147))/(C147-D147))</f>
        <v>-0.20200457479693729</v>
      </c>
      <c r="Q147">
        <f t="shared" ref="Q147" si="711">F147*P147</f>
        <v>-24856.421072523815</v>
      </c>
      <c r="R147">
        <f t="shared" ref="R147" si="712">R148+Q147</f>
        <v>8441622.3674562387</v>
      </c>
      <c r="S147">
        <f t="shared" ref="S147" si="713">R147/100000</f>
        <v>84.416223674562389</v>
      </c>
      <c r="T147">
        <f t="shared" ref="T147" si="714">S147/1000</f>
        <v>8.4416223674562391E-2</v>
      </c>
    </row>
    <row r="148" spans="1:20" x14ac:dyDescent="0.25">
      <c r="A148" s="5">
        <v>44445</v>
      </c>
      <c r="B148">
        <v>51756.88</v>
      </c>
      <c r="C148">
        <v>52780</v>
      </c>
      <c r="D148">
        <v>50969.33</v>
      </c>
      <c r="E148">
        <v>52663.9</v>
      </c>
      <c r="F148">
        <v>49249.667081</v>
      </c>
      <c r="G148">
        <v>52663.9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0.8717601771719875</v>
      </c>
      <c r="Q148">
        <f t="shared" ref="Q148" si="716">F148*P148</f>
        <v>42933.898500193958</v>
      </c>
      <c r="R148">
        <f t="shared" ref="R148" si="717">R149+Q148</f>
        <v>8466478.7885287628</v>
      </c>
      <c r="S148">
        <f t="shared" ref="S148" si="718">R148/100000</f>
        <v>84.664787885287623</v>
      </c>
      <c r="T148">
        <f t="shared" ref="T148" si="719">S148/1000</f>
        <v>8.4664787885287626E-2</v>
      </c>
    </row>
    <row r="149" spans="1:20" x14ac:dyDescent="0.25">
      <c r="A149" s="5">
        <v>44444</v>
      </c>
      <c r="B149">
        <v>49917.54</v>
      </c>
      <c r="C149">
        <v>51900</v>
      </c>
      <c r="D149">
        <v>49450</v>
      </c>
      <c r="E149">
        <v>51756.88</v>
      </c>
      <c r="F149">
        <v>40544.835873000004</v>
      </c>
      <c r="G149">
        <v>51756.88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0.88316734693877341</v>
      </c>
      <c r="Q149">
        <f t="shared" ref="Q149" si="721">F149*P149</f>
        <v>35807.875130025423</v>
      </c>
      <c r="R149">
        <f t="shared" ref="R149" si="722">R150+Q149</f>
        <v>8423544.890028568</v>
      </c>
      <c r="S149">
        <f t="shared" ref="S149" si="723">R149/100000</f>
        <v>84.235448900285675</v>
      </c>
      <c r="T149">
        <f t="shared" ref="T149" si="724">S149/1000</f>
        <v>8.423544890028567E-2</v>
      </c>
    </row>
    <row r="150" spans="1:20" x14ac:dyDescent="0.25">
      <c r="A150" s="5">
        <v>44443</v>
      </c>
      <c r="B150">
        <v>49998</v>
      </c>
      <c r="C150">
        <v>50535.69</v>
      </c>
      <c r="D150">
        <v>49370</v>
      </c>
      <c r="E150">
        <v>49915.64</v>
      </c>
      <c r="F150">
        <v>34664.659590000003</v>
      </c>
      <c r="G150">
        <v>49915.64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-6.3833437706425675E-2</v>
      </c>
      <c r="Q150">
        <f t="shared" ref="Q150" si="726">F150*P150</f>
        <v>-2212.7643885527164</v>
      </c>
      <c r="R150">
        <f t="shared" ref="R150" si="727">R151+Q150</f>
        <v>8387737.0148985432</v>
      </c>
      <c r="S150">
        <f t="shared" ref="S150" si="728">R150/100000</f>
        <v>83.877370148985435</v>
      </c>
      <c r="T150">
        <f t="shared" ref="T150" si="729">S150/1000</f>
        <v>8.3877370148985428E-2</v>
      </c>
    </row>
    <row r="151" spans="1:20" x14ac:dyDescent="0.25">
      <c r="A151" s="5">
        <v>44442</v>
      </c>
      <c r="B151">
        <v>49246.63</v>
      </c>
      <c r="C151">
        <v>51000</v>
      </c>
      <c r="D151">
        <v>48316.84</v>
      </c>
      <c r="E151">
        <v>49999.14</v>
      </c>
      <c r="F151">
        <v>59025.644157000002</v>
      </c>
      <c r="G151">
        <v>49999.14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0.25396920049493932</v>
      </c>
      <c r="Q151">
        <f t="shared" ref="Q151" si="731">F151*P151</f>
        <v>14990.695655252077</v>
      </c>
      <c r="R151">
        <f t="shared" ref="R151" si="732">R152+Q151</f>
        <v>8389949.7792870961</v>
      </c>
      <c r="S151">
        <f t="shared" ref="S151" si="733">R151/100000</f>
        <v>83.89949779287096</v>
      </c>
      <c r="T151">
        <f t="shared" ref="T151" si="734">S151/1000</f>
        <v>8.3899497792870967E-2</v>
      </c>
    </row>
    <row r="152" spans="1:20" x14ac:dyDescent="0.25">
      <c r="A152" s="5">
        <v>44441</v>
      </c>
      <c r="B152">
        <v>48810.51</v>
      </c>
      <c r="C152">
        <v>50450.13</v>
      </c>
      <c r="D152">
        <v>48584.06</v>
      </c>
      <c r="E152">
        <v>49246.64</v>
      </c>
      <c r="F152">
        <v>54410.770537999997</v>
      </c>
      <c r="G152">
        <v>49246.64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-0.28986586783989682</v>
      </c>
      <c r="Q152">
        <f t="shared" ref="Q152" si="736">F152*P152</f>
        <v>-15771.825221834859</v>
      </c>
      <c r="R152">
        <f t="shared" ref="R152" si="737">R153+Q152</f>
        <v>8374959.0836318433</v>
      </c>
      <c r="S152">
        <f t="shared" ref="S152" si="738">R152/100000</f>
        <v>83.749590836318433</v>
      </c>
      <c r="T152">
        <f t="shared" ref="T152" si="739">S152/1000</f>
        <v>8.374959083631843E-2</v>
      </c>
    </row>
    <row r="153" spans="1:20" x14ac:dyDescent="0.25">
      <c r="A153" s="5">
        <v>44440</v>
      </c>
      <c r="B153">
        <v>47100.89</v>
      </c>
      <c r="C153">
        <v>49156</v>
      </c>
      <c r="D153">
        <v>46512</v>
      </c>
      <c r="E153">
        <v>48810.52</v>
      </c>
      <c r="F153">
        <v>49904.655279999999</v>
      </c>
      <c r="G153">
        <v>48810.52</v>
      </c>
      <c r="L153" t="s">
        <v>7</v>
      </c>
      <c r="M153" t="s">
        <v>8</v>
      </c>
      <c r="N153" t="s">
        <v>8</v>
      </c>
      <c r="P153">
        <f t="shared" ref="P153" si="740">IF(C153=D153,0,((E153-D153)-(C153-E153))/(C153-D153))</f>
        <v>0.73866868381240303</v>
      </c>
      <c r="Q153">
        <f t="shared" ref="Q153" si="741">F153*P153</f>
        <v>36863.006031789286</v>
      </c>
      <c r="R153">
        <f t="shared" ref="R153" si="742">R154+Q153</f>
        <v>8390730.908853678</v>
      </c>
      <c r="S153">
        <f t="shared" ref="S153" si="743">R153/100000</f>
        <v>83.907309088536778</v>
      </c>
      <c r="T153">
        <f t="shared" ref="T153" si="744">S153/1000</f>
        <v>8.3907309088536774E-2</v>
      </c>
    </row>
    <row r="154" spans="1:20" x14ac:dyDescent="0.25">
      <c r="A154" s="5">
        <v>44439</v>
      </c>
      <c r="B154">
        <v>46982.91</v>
      </c>
      <c r="C154">
        <v>48246.11</v>
      </c>
      <c r="D154">
        <v>46700</v>
      </c>
      <c r="E154">
        <v>47100.89</v>
      </c>
      <c r="F154">
        <v>48645.527370000003</v>
      </c>
      <c r="G154">
        <v>47100.89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-0.48142111492714068</v>
      </c>
      <c r="Q154">
        <f t="shared" ref="Q154" si="746">F154*P154</f>
        <v>-23418.984022684141</v>
      </c>
      <c r="R154">
        <f t="shared" ref="R154" si="747">R155+Q154</f>
        <v>8353867.9028218891</v>
      </c>
      <c r="S154">
        <f t="shared" ref="S154" si="748">R154/100000</f>
        <v>83.538679028218894</v>
      </c>
      <c r="T154">
        <f t="shared" ref="T154" si="749">S154/1000</f>
        <v>8.353867902821889E-2</v>
      </c>
    </row>
    <row r="155" spans="1:20" x14ac:dyDescent="0.25">
      <c r="A155" s="5">
        <v>44438</v>
      </c>
      <c r="B155">
        <v>48767.839999999997</v>
      </c>
      <c r="C155">
        <v>48888.61</v>
      </c>
      <c r="D155">
        <v>46853</v>
      </c>
      <c r="E155">
        <v>46982.91</v>
      </c>
      <c r="F155">
        <v>40288.350830000003</v>
      </c>
      <c r="G155">
        <v>46982.91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-0.87236258418851997</v>
      </c>
      <c r="Q155">
        <f t="shared" ref="Q155" si="751">F155*P155</f>
        <v>-35146.049842752509</v>
      </c>
      <c r="R155">
        <f t="shared" ref="R155" si="752">R156+Q155</f>
        <v>8377286.8868445735</v>
      </c>
      <c r="S155">
        <f t="shared" ref="S155" si="753">R155/100000</f>
        <v>83.772868868445741</v>
      </c>
      <c r="T155">
        <f t="shared" ref="T155" si="754">S155/1000</f>
        <v>8.3772868868445746E-2</v>
      </c>
    </row>
    <row r="156" spans="1:20" x14ac:dyDescent="0.25">
      <c r="A156" s="5">
        <v>44437</v>
      </c>
      <c r="B156">
        <v>48895.35</v>
      </c>
      <c r="C156">
        <v>49632.27</v>
      </c>
      <c r="D156">
        <v>47762.54</v>
      </c>
      <c r="E156">
        <v>48767.83</v>
      </c>
      <c r="F156">
        <v>32652.283473</v>
      </c>
      <c r="G156">
        <v>48767.83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7.5331732389171763E-2</v>
      </c>
      <c r="Q156">
        <f t="shared" ref="Q156" si="756">F156*P156</f>
        <v>2459.7530804834118</v>
      </c>
      <c r="R156">
        <f t="shared" ref="R156" si="757">R157+Q156</f>
        <v>8412432.9366873261</v>
      </c>
      <c r="S156">
        <f t="shared" ref="S156" si="758">R156/100000</f>
        <v>84.124329366873255</v>
      </c>
      <c r="T156">
        <f t="shared" ref="T156" si="759">S156/1000</f>
        <v>8.4124329366873252E-2</v>
      </c>
    </row>
    <row r="157" spans="1:20" x14ac:dyDescent="0.25">
      <c r="A157" s="5">
        <v>44436</v>
      </c>
      <c r="B157">
        <v>49069.9</v>
      </c>
      <c r="C157">
        <v>49299</v>
      </c>
      <c r="D157">
        <v>48346.879999999997</v>
      </c>
      <c r="E157">
        <v>48895.35</v>
      </c>
      <c r="F157">
        <v>26681.063785999999</v>
      </c>
      <c r="G157">
        <v>48895.35</v>
      </c>
      <c r="L157" t="s">
        <v>7</v>
      </c>
      <c r="M157" t="s">
        <v>8</v>
      </c>
      <c r="N157" t="s">
        <v>8</v>
      </c>
      <c r="P157">
        <f t="shared" ref="P157" si="760">IF(C157=D157,0,((E157-D157)-(C157-E157))/(C157-D157))</f>
        <v>0.15210267613325978</v>
      </c>
      <c r="Q157">
        <f t="shared" ref="Q157" si="761">F157*P157</f>
        <v>4058.2612039328042</v>
      </c>
      <c r="R157">
        <f t="shared" ref="R157" si="762">R158+Q157</f>
        <v>8409973.1836068425</v>
      </c>
      <c r="S157">
        <f t="shared" ref="S157" si="763">R157/100000</f>
        <v>84.099731836068429</v>
      </c>
      <c r="T157">
        <f t="shared" ref="T157" si="764">S157/1000</f>
        <v>8.4099731836068434E-2</v>
      </c>
    </row>
    <row r="158" spans="1:20" x14ac:dyDescent="0.25">
      <c r="A158" s="5">
        <v>44435</v>
      </c>
      <c r="B158">
        <v>46843.86</v>
      </c>
      <c r="C158">
        <v>49149.93</v>
      </c>
      <c r="D158">
        <v>46348</v>
      </c>
      <c r="E158">
        <v>49069.9</v>
      </c>
      <c r="F158">
        <v>42068.104964999999</v>
      </c>
      <c r="G158">
        <v>49069.9</v>
      </c>
      <c r="L158" t="s">
        <v>7</v>
      </c>
      <c r="M158" t="s">
        <v>8</v>
      </c>
      <c r="N158" t="s">
        <v>8</v>
      </c>
      <c r="P158">
        <f t="shared" ref="P158" si="765">IF(C158=D158,0,((E158-D158)-(C158-E158))/(C158-D158))</f>
        <v>0.94287508967033518</v>
      </c>
      <c r="Q158">
        <f t="shared" ref="Q158" si="766">F158*P158</f>
        <v>39664.968241135444</v>
      </c>
      <c r="R158">
        <f t="shared" ref="R158" si="767">R159+Q158</f>
        <v>8405914.922402909</v>
      </c>
      <c r="S158">
        <f t="shared" ref="S158" si="768">R158/100000</f>
        <v>84.059149224029085</v>
      </c>
      <c r="T158">
        <f t="shared" ref="T158" si="769">S158/1000</f>
        <v>8.4059149224029087E-2</v>
      </c>
    </row>
    <row r="159" spans="1:20" x14ac:dyDescent="0.25">
      <c r="A159" s="5">
        <v>44434</v>
      </c>
      <c r="B159">
        <v>48973.32</v>
      </c>
      <c r="C159">
        <v>49352.84</v>
      </c>
      <c r="D159">
        <v>46250</v>
      </c>
      <c r="E159">
        <v>46843.87</v>
      </c>
      <c r="F159">
        <v>49371.277774000002</v>
      </c>
      <c r="G159">
        <v>46843.87</v>
      </c>
      <c r="L159" t="s">
        <v>7</v>
      </c>
      <c r="M159" t="s">
        <v>8</v>
      </c>
      <c r="N159" t="s">
        <v>8</v>
      </c>
      <c r="P159">
        <f t="shared" ref="P159" si="770">IF(C159=D159,0,((E159-D159)-(C159-E159))/(C159-D159))</f>
        <v>-0.61720875069291148</v>
      </c>
      <c r="Q159">
        <f t="shared" ref="Q159" si="771">F159*P159</f>
        <v>-30472.38467500325</v>
      </c>
      <c r="R159">
        <f t="shared" ref="R159" si="772">R160+Q159</f>
        <v>8366249.9541617744</v>
      </c>
      <c r="S159">
        <f t="shared" ref="S159" si="773">R159/100000</f>
        <v>83.662499541617748</v>
      </c>
      <c r="T159">
        <f t="shared" ref="T159" si="774">S159/1000</f>
        <v>8.3662499541617752E-2</v>
      </c>
    </row>
    <row r="160" spans="1:20" x14ac:dyDescent="0.25">
      <c r="A160" s="5">
        <v>44433</v>
      </c>
      <c r="B160">
        <v>47674.01</v>
      </c>
      <c r="C160">
        <v>49264.3</v>
      </c>
      <c r="D160">
        <v>47126.28</v>
      </c>
      <c r="E160">
        <v>48973.32</v>
      </c>
      <c r="F160">
        <v>44655.830342000001</v>
      </c>
      <c r="G160">
        <v>48973.32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0.7278042300820361</v>
      </c>
      <c r="Q160">
        <f t="shared" ref="Q160" si="776">F160*P160</f>
        <v>32500.702220733336</v>
      </c>
      <c r="R160">
        <f t="shared" ref="R160" si="777">R161+Q160</f>
        <v>8396722.338836778</v>
      </c>
      <c r="S160">
        <f t="shared" ref="S160" si="778">R160/100000</f>
        <v>83.967223388367785</v>
      </c>
      <c r="T160">
        <f t="shared" ref="T160" si="779">S160/1000</f>
        <v>8.396722338836779E-2</v>
      </c>
    </row>
    <row r="161" spans="1:20" x14ac:dyDescent="0.25">
      <c r="A161" s="5">
        <v>44432</v>
      </c>
      <c r="B161">
        <v>49488.85</v>
      </c>
      <c r="C161">
        <v>49860</v>
      </c>
      <c r="D161">
        <v>47600</v>
      </c>
      <c r="E161">
        <v>47674.01</v>
      </c>
      <c r="F161">
        <v>51014.594748000003</v>
      </c>
      <c r="G161">
        <v>47674.01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-0.93450442477875928</v>
      </c>
      <c r="Q161">
        <f t="shared" ref="Q161" si="781">F161*P161</f>
        <v>-47673.364520301257</v>
      </c>
      <c r="R161">
        <f t="shared" ref="R161" si="782">R162+Q161</f>
        <v>8364221.6366160447</v>
      </c>
      <c r="S161">
        <f t="shared" ref="S161" si="783">R161/100000</f>
        <v>83.64221636616044</v>
      </c>
      <c r="T161">
        <f t="shared" ref="T161" si="784">S161/1000</f>
        <v>8.3642216366160441E-2</v>
      </c>
    </row>
    <row r="162" spans="1:20" x14ac:dyDescent="0.25">
      <c r="A162" s="5">
        <v>44431</v>
      </c>
      <c r="B162">
        <v>49239.22</v>
      </c>
      <c r="C162">
        <v>50500</v>
      </c>
      <c r="D162">
        <v>49029</v>
      </c>
      <c r="E162">
        <v>49488.85</v>
      </c>
      <c r="F162">
        <v>52462.541954</v>
      </c>
      <c r="G162">
        <v>49488.85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-0.37477906186268045</v>
      </c>
      <c r="Q162">
        <f t="shared" ref="Q162" si="786">F162*P162</f>
        <v>-19661.862256451634</v>
      </c>
      <c r="R162">
        <f t="shared" ref="R162" si="787">R163+Q162</f>
        <v>8411895.0011363458</v>
      </c>
      <c r="S162">
        <f t="shared" ref="S162" si="788">R162/100000</f>
        <v>84.118950011363452</v>
      </c>
      <c r="T162">
        <f t="shared" ref="T162" si="789">S162/1000</f>
        <v>8.411895001136345E-2</v>
      </c>
    </row>
    <row r="163" spans="1:20" x14ac:dyDescent="0.25">
      <c r="A163" s="5">
        <v>44430</v>
      </c>
      <c r="B163">
        <v>48821.88</v>
      </c>
      <c r="C163">
        <v>49272.46</v>
      </c>
      <c r="D163">
        <v>48601</v>
      </c>
      <c r="E163">
        <v>49192.480000000003</v>
      </c>
      <c r="F163">
        <v>7277.0756090000004</v>
      </c>
      <c r="G163">
        <v>49192.480000000003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0.76177285318560739</v>
      </c>
      <c r="Q163">
        <f t="shared" ref="Q163" si="791">F163*P163</f>
        <v>5543.4786495153221</v>
      </c>
      <c r="R163">
        <f t="shared" ref="R163" si="792">R164+Q163</f>
        <v>8431556.8633927982</v>
      </c>
      <c r="S163">
        <f t="shared" ref="S163" si="793">R163/100000</f>
        <v>84.315568633927981</v>
      </c>
      <c r="T163">
        <f t="shared" ref="T163" si="794">S163/1000</f>
        <v>8.4315568633927987E-2</v>
      </c>
    </row>
    <row r="164" spans="1:20" x14ac:dyDescent="0.25">
      <c r="A164" s="5">
        <v>44429</v>
      </c>
      <c r="B164">
        <v>49322.47</v>
      </c>
      <c r="C164">
        <v>49757.04</v>
      </c>
      <c r="D164">
        <v>48222</v>
      </c>
      <c r="E164">
        <v>48821.87</v>
      </c>
      <c r="F164">
        <v>46745.136584</v>
      </c>
      <c r="G164">
        <v>48821.87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-0.21843079007712857</v>
      </c>
      <c r="Q164">
        <f t="shared" ref="Q164" si="796">F164*P164</f>
        <v>-10210.577116306407</v>
      </c>
      <c r="R164">
        <f t="shared" ref="R164" si="797">R165+Q164</f>
        <v>8426013.3847432826</v>
      </c>
      <c r="S164">
        <f t="shared" ref="S164" si="798">R164/100000</f>
        <v>84.260133847432826</v>
      </c>
      <c r="T164">
        <f t="shared" ref="T164" si="799">S164/1000</f>
        <v>8.4260133847432819E-2</v>
      </c>
    </row>
    <row r="165" spans="1:20" x14ac:dyDescent="0.25">
      <c r="A165" s="5">
        <v>44428</v>
      </c>
      <c r="B165">
        <v>46760.62</v>
      </c>
      <c r="C165">
        <v>49382.99</v>
      </c>
      <c r="D165">
        <v>46622.99</v>
      </c>
      <c r="E165">
        <v>49322.47</v>
      </c>
      <c r="F165">
        <v>56850.352228000003</v>
      </c>
      <c r="G165">
        <v>49322.47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0.95614492753623426</v>
      </c>
      <c r="Q165">
        <f t="shared" ref="Q165" si="801">F165*P165</f>
        <v>54357.17591145046</v>
      </c>
      <c r="R165">
        <f t="shared" ref="R165" si="802">R166+Q165</f>
        <v>8436223.9618595894</v>
      </c>
      <c r="S165">
        <f t="shared" ref="S165" si="803">R165/100000</f>
        <v>84.362239618595893</v>
      </c>
      <c r="T165">
        <f t="shared" ref="T165" si="804">S165/1000</f>
        <v>8.4362239618595888E-2</v>
      </c>
    </row>
    <row r="166" spans="1:20" x14ac:dyDescent="0.25">
      <c r="A166" s="5">
        <v>44427</v>
      </c>
      <c r="B166">
        <v>44699.37</v>
      </c>
      <c r="C166">
        <v>47033</v>
      </c>
      <c r="D166">
        <v>43927.7</v>
      </c>
      <c r="E166">
        <v>46760.62</v>
      </c>
      <c r="F166">
        <v>53411.753920000003</v>
      </c>
      <c r="G166">
        <v>46760.62</v>
      </c>
      <c r="L166" t="s">
        <v>7</v>
      </c>
      <c r="M166" t="s">
        <v>8</v>
      </c>
      <c r="N166" t="s">
        <v>8</v>
      </c>
      <c r="P166">
        <f t="shared" ref="P166" si="805">IF(C166=D166,0,((E166-D166)-(C166-E166))/(C166-D166))</f>
        <v>0.82457089492158753</v>
      </c>
      <c r="Q166">
        <f t="shared" ref="Q166" si="806">F166*P166</f>
        <v>44041.777729146015</v>
      </c>
      <c r="R166">
        <f t="shared" ref="R166" si="807">R167+Q166</f>
        <v>8381866.7859481387</v>
      </c>
      <c r="S166">
        <f t="shared" ref="S166" si="808">R166/100000</f>
        <v>83.81866785948138</v>
      </c>
      <c r="T166">
        <f t="shared" ref="T166" si="809">S166/1000</f>
        <v>8.3818667859481374E-2</v>
      </c>
    </row>
    <row r="167" spans="1:20" x14ac:dyDescent="0.25">
      <c r="A167" s="5">
        <v>44426</v>
      </c>
      <c r="B167">
        <v>44695.95</v>
      </c>
      <c r="C167">
        <v>46000</v>
      </c>
      <c r="D167">
        <v>44203.28</v>
      </c>
      <c r="E167">
        <v>44705.29</v>
      </c>
      <c r="F167">
        <v>54099.415985</v>
      </c>
      <c r="G167">
        <v>44705.29</v>
      </c>
      <c r="L167" t="s">
        <v>7</v>
      </c>
      <c r="M167" t="s">
        <v>8</v>
      </c>
      <c r="N167" t="s">
        <v>8</v>
      </c>
      <c r="P167">
        <f t="shared" ref="P167" si="810">IF(C167=D167,0,((E167-D167)-(C167-E167))/(C167-D167))</f>
        <v>-0.44119284028674283</v>
      </c>
      <c r="Q167">
        <f t="shared" ref="Q167" si="811">F167*P167</f>
        <v>-23868.274996276166</v>
      </c>
      <c r="R167">
        <f t="shared" ref="R167" si="812">R168+Q167</f>
        <v>8337825.0082189925</v>
      </c>
      <c r="S167">
        <f t="shared" ref="S167" si="813">R167/100000</f>
        <v>83.378250082189922</v>
      </c>
      <c r="T167">
        <f t="shared" ref="T167" si="814">S167/1000</f>
        <v>8.3378250082189923E-2</v>
      </c>
    </row>
    <row r="168" spans="1:20" x14ac:dyDescent="0.25">
      <c r="A168" s="5">
        <v>44425</v>
      </c>
      <c r="B168">
        <v>45901.3</v>
      </c>
      <c r="C168">
        <v>47160</v>
      </c>
      <c r="D168">
        <v>44376</v>
      </c>
      <c r="E168">
        <v>44695.95</v>
      </c>
      <c r="F168">
        <v>57039.341629000002</v>
      </c>
      <c r="G168">
        <v>44695.95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-0.77015086206896766</v>
      </c>
      <c r="Q168">
        <f t="shared" ref="Q168" si="816">F168*P168</f>
        <v>-43928.898127420704</v>
      </c>
      <c r="R168">
        <f t="shared" ref="R168" si="817">R169+Q168</f>
        <v>8361693.2832152685</v>
      </c>
      <c r="S168">
        <f t="shared" ref="S168" si="818">R168/100000</f>
        <v>83.616932832152685</v>
      </c>
      <c r="T168">
        <f t="shared" ref="T168" si="819">S168/1000</f>
        <v>8.3616932832152685E-2</v>
      </c>
    </row>
    <row r="169" spans="1:20" x14ac:dyDescent="0.25">
      <c r="A169" s="5">
        <v>44424</v>
      </c>
      <c r="B169">
        <v>46973.82</v>
      </c>
      <c r="C169">
        <v>48053.83</v>
      </c>
      <c r="D169">
        <v>45660</v>
      </c>
      <c r="E169">
        <v>45901.29</v>
      </c>
      <c r="F169">
        <v>52480.574013999998</v>
      </c>
      <c r="G169">
        <v>45901.29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-0.79840673732052758</v>
      </c>
      <c r="Q169">
        <f t="shared" ref="Q169" si="821">F169*P169</f>
        <v>-41900.8438712262</v>
      </c>
      <c r="R169">
        <f t="shared" ref="R169" si="822">R170+Q169</f>
        <v>8405622.1813426893</v>
      </c>
      <c r="S169">
        <f t="shared" ref="S169" si="823">R169/100000</f>
        <v>84.056221813426887</v>
      </c>
      <c r="T169">
        <f t="shared" ref="T169" si="824">S169/1000</f>
        <v>8.4056221813426882E-2</v>
      </c>
    </row>
    <row r="170" spans="1:20" x14ac:dyDescent="0.25">
      <c r="A170" s="5">
        <v>44423</v>
      </c>
      <c r="B170">
        <v>47068.5</v>
      </c>
      <c r="C170">
        <v>47372.27</v>
      </c>
      <c r="D170">
        <v>45500</v>
      </c>
      <c r="E170">
        <v>46973.82</v>
      </c>
      <c r="F170">
        <v>42110.711334</v>
      </c>
      <c r="G170">
        <v>46973.82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0.57436694493849949</v>
      </c>
      <c r="Q170">
        <f t="shared" ref="Q170" si="826">F170*P170</f>
        <v>24187.000618096623</v>
      </c>
      <c r="R170">
        <f t="shared" ref="R170" si="827">R171+Q170</f>
        <v>8447523.0252139159</v>
      </c>
      <c r="S170">
        <f t="shared" ref="S170" si="828">R170/100000</f>
        <v>84.475230252139156</v>
      </c>
      <c r="T170">
        <f t="shared" ref="T170" si="829">S170/1000</f>
        <v>8.4475230252139155E-2</v>
      </c>
    </row>
    <row r="171" spans="1:20" x14ac:dyDescent="0.25">
      <c r="A171" s="5">
        <v>44422</v>
      </c>
      <c r="B171">
        <v>47799.99</v>
      </c>
      <c r="C171">
        <v>48144</v>
      </c>
      <c r="D171">
        <v>45971.03</v>
      </c>
      <c r="E171">
        <v>47068.51</v>
      </c>
      <c r="F171">
        <v>46114.359021999997</v>
      </c>
      <c r="G171">
        <v>47068.51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1.0119789964889173E-2</v>
      </c>
      <c r="Q171">
        <f t="shared" ref="Q171" si="831">F171*P171</f>
        <v>466.66762766813207</v>
      </c>
      <c r="R171">
        <f t="shared" ref="R171" si="832">R172+Q171</f>
        <v>8423336.0245958194</v>
      </c>
      <c r="S171">
        <f t="shared" ref="S171" si="833">R171/100000</f>
        <v>84.233360245958195</v>
      </c>
      <c r="T171">
        <f t="shared" ref="T171" si="834">S171/1000</f>
        <v>8.4233360245958191E-2</v>
      </c>
    </row>
    <row r="172" spans="1:20" x14ac:dyDescent="0.25">
      <c r="A172" s="5">
        <v>44421</v>
      </c>
      <c r="B172">
        <v>44400.06</v>
      </c>
      <c r="C172">
        <v>47886</v>
      </c>
      <c r="D172">
        <v>44217.39</v>
      </c>
      <c r="E172">
        <v>47800</v>
      </c>
      <c r="F172">
        <v>48239.370431000003</v>
      </c>
      <c r="G172">
        <v>47800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0.95311575773930723</v>
      </c>
      <c r="Q172">
        <f t="shared" ref="Q172" si="836">F172*P172</f>
        <v>45977.704101209696</v>
      </c>
      <c r="R172">
        <f t="shared" ref="R172" si="837">R173+Q172</f>
        <v>8422869.3569681514</v>
      </c>
      <c r="S172">
        <f t="shared" ref="S172" si="838">R172/100000</f>
        <v>84.228693569681511</v>
      </c>
      <c r="T172">
        <f t="shared" ref="T172" si="839">S172/1000</f>
        <v>8.4228693569681518E-2</v>
      </c>
    </row>
    <row r="173" spans="1:20" x14ac:dyDescent="0.25">
      <c r="A173" s="5">
        <v>44420</v>
      </c>
      <c r="B173">
        <v>45510.67</v>
      </c>
      <c r="C173">
        <v>46218.12</v>
      </c>
      <c r="D173">
        <v>43770</v>
      </c>
      <c r="E173">
        <v>44399</v>
      </c>
      <c r="F173">
        <v>55266.108781000003</v>
      </c>
      <c r="G173">
        <v>44399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-0.4861363005081456</v>
      </c>
      <c r="Q173">
        <f t="shared" ref="Q173" si="841">F173*P173</f>
        <v>-26866.861666276083</v>
      </c>
      <c r="R173">
        <f t="shared" ref="R173" si="842">R174+Q173</f>
        <v>8376891.6528669419</v>
      </c>
      <c r="S173">
        <f t="shared" ref="S173" si="843">R173/100000</f>
        <v>83.768916528669422</v>
      </c>
      <c r="T173">
        <f t="shared" ref="T173" si="844">S173/1000</f>
        <v>8.3768916528669427E-2</v>
      </c>
    </row>
    <row r="174" spans="1:20" x14ac:dyDescent="0.25">
      <c r="A174" s="5">
        <v>44419</v>
      </c>
      <c r="B174">
        <v>45585</v>
      </c>
      <c r="C174">
        <v>46743.47</v>
      </c>
      <c r="D174">
        <v>45341.14</v>
      </c>
      <c r="E174">
        <v>45511</v>
      </c>
      <c r="F174">
        <v>52734.901977000001</v>
      </c>
      <c r="G174">
        <v>45511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-0.7577460369527852</v>
      </c>
      <c r="Q174">
        <f t="shared" ref="Q174" si="846">F174*P174</f>
        <v>-39959.662982165348</v>
      </c>
      <c r="R174">
        <f t="shared" ref="R174" si="847">R175+Q174</f>
        <v>8403758.514533218</v>
      </c>
      <c r="S174">
        <f t="shared" ref="S174" si="848">R174/100000</f>
        <v>84.037585145332173</v>
      </c>
      <c r="T174">
        <f t="shared" ref="T174" si="849">S174/1000</f>
        <v>8.4037585145332175E-2</v>
      </c>
    </row>
    <row r="175" spans="1:20" x14ac:dyDescent="0.25">
      <c r="A175" s="5">
        <v>44418</v>
      </c>
      <c r="B175">
        <v>46248.87</v>
      </c>
      <c r="C175">
        <v>46700</v>
      </c>
      <c r="D175">
        <v>44589.46</v>
      </c>
      <c r="E175">
        <v>45584.99</v>
      </c>
      <c r="F175">
        <v>53814.643421000001</v>
      </c>
      <c r="G175">
        <v>45584.99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-5.6611104267155869E-2</v>
      </c>
      <c r="Q175">
        <f t="shared" ref="Q175" si="851">F175*P175</f>
        <v>-3046.5063898060448</v>
      </c>
      <c r="R175">
        <f t="shared" ref="R175" si="852">R176+Q175</f>
        <v>8443718.1775153838</v>
      </c>
      <c r="S175">
        <f t="shared" ref="S175" si="853">R175/100000</f>
        <v>84.437181775153832</v>
      </c>
      <c r="T175">
        <f t="shared" ref="T175" si="854">S175/1000</f>
        <v>8.443718177515383E-2</v>
      </c>
    </row>
    <row r="176" spans="1:20" x14ac:dyDescent="0.25">
      <c r="A176" s="5">
        <v>44417</v>
      </c>
      <c r="B176">
        <v>43794.36</v>
      </c>
      <c r="C176">
        <v>46454.15</v>
      </c>
      <c r="D176">
        <v>42779</v>
      </c>
      <c r="E176">
        <v>46253.4</v>
      </c>
      <c r="F176">
        <v>74587.884844999993</v>
      </c>
      <c r="G176">
        <v>46253.4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0.89075275839081403</v>
      </c>
      <c r="Q176">
        <f t="shared" ref="Q176" si="856">F176*P176</f>
        <v>66439.364168220141</v>
      </c>
      <c r="R176">
        <f t="shared" ref="R176" si="857">R177+Q176</f>
        <v>8446764.6839051899</v>
      </c>
      <c r="S176">
        <f t="shared" ref="S176" si="858">R176/100000</f>
        <v>84.467646839051895</v>
      </c>
      <c r="T176">
        <f t="shared" ref="T176" si="859">S176/1000</f>
        <v>8.4467646839051891E-2</v>
      </c>
    </row>
    <row r="177" spans="1:20" x14ac:dyDescent="0.25">
      <c r="A177" s="5">
        <v>44416</v>
      </c>
      <c r="B177">
        <v>44572.54</v>
      </c>
      <c r="C177">
        <v>45310</v>
      </c>
      <c r="D177">
        <v>43261</v>
      </c>
      <c r="E177">
        <v>43794.37</v>
      </c>
      <c r="F177">
        <v>69329.092697999993</v>
      </c>
      <c r="G177">
        <v>43794.37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-0.47938506588579538</v>
      </c>
      <c r="Q177">
        <f t="shared" ref="Q177" si="861">F177*P177</f>
        <v>-33235.33167083314</v>
      </c>
      <c r="R177">
        <f t="shared" ref="R177" si="862">R178+Q177</f>
        <v>8380325.3197369697</v>
      </c>
      <c r="S177">
        <f t="shared" ref="S177" si="863">R177/100000</f>
        <v>83.803253197369699</v>
      </c>
      <c r="T177">
        <f t="shared" ref="T177" si="864">S177/1000</f>
        <v>8.3803253197369698E-2</v>
      </c>
    </row>
    <row r="178" spans="1:20" x14ac:dyDescent="0.25">
      <c r="A178" s="5">
        <v>44415</v>
      </c>
      <c r="B178">
        <v>42836.87</v>
      </c>
      <c r="C178">
        <v>44700</v>
      </c>
      <c r="D178">
        <v>42446.41</v>
      </c>
      <c r="E178">
        <v>44572.54</v>
      </c>
      <c r="F178">
        <v>73396.740808000002</v>
      </c>
      <c r="G178">
        <v>44572.54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0.88688270714726336</v>
      </c>
      <c r="Q178">
        <f t="shared" ref="Q178" si="866">F178*P178</f>
        <v>65094.300183585059</v>
      </c>
      <c r="R178">
        <f t="shared" ref="R178" si="867">R179+Q178</f>
        <v>8413560.6514078025</v>
      </c>
      <c r="S178">
        <f t="shared" ref="S178" si="868">R178/100000</f>
        <v>84.13560651407802</v>
      </c>
      <c r="T178">
        <f t="shared" ref="T178" si="869">S178/1000</f>
        <v>8.4135606514078018E-2</v>
      </c>
    </row>
    <row r="179" spans="1:20" x14ac:dyDescent="0.25">
      <c r="A179" s="5">
        <v>44414</v>
      </c>
      <c r="B179">
        <v>40862.46</v>
      </c>
      <c r="C179">
        <v>43392.43</v>
      </c>
      <c r="D179">
        <v>39853.86</v>
      </c>
      <c r="E179">
        <v>42836.87</v>
      </c>
      <c r="F179">
        <v>75753.941347</v>
      </c>
      <c r="G179">
        <v>42836.87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0.68599745094770048</v>
      </c>
      <c r="Q179">
        <f t="shared" ref="Q179" si="871">F179*P179</f>
        <v>51967.01066328361</v>
      </c>
      <c r="R179">
        <f t="shared" ref="R179" si="872">R180+Q179</f>
        <v>8348466.3512242176</v>
      </c>
      <c r="S179">
        <f t="shared" ref="S179" si="873">R179/100000</f>
        <v>83.484663512242179</v>
      </c>
      <c r="T179">
        <f t="shared" ref="T179" si="874">S179/1000</f>
        <v>8.348466351224218E-2</v>
      </c>
    </row>
    <row r="180" spans="1:20" x14ac:dyDescent="0.25">
      <c r="A180" s="5">
        <v>44413</v>
      </c>
      <c r="B180">
        <v>39723.17</v>
      </c>
      <c r="C180">
        <v>41350</v>
      </c>
      <c r="D180">
        <v>37332.699999999997</v>
      </c>
      <c r="E180">
        <v>40862.46</v>
      </c>
      <c r="F180">
        <v>84343.755621000004</v>
      </c>
      <c r="G180">
        <v>40862.46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0.75727976501630423</v>
      </c>
      <c r="Q180">
        <f t="shared" ref="Q180" si="876">F180*P180</f>
        <v>63871.819437263475</v>
      </c>
      <c r="R180">
        <f t="shared" ref="R180" si="877">R181+Q180</f>
        <v>8296499.3405609336</v>
      </c>
      <c r="S180">
        <f t="shared" ref="S180" si="878">R180/100000</f>
        <v>82.964993405609334</v>
      </c>
      <c r="T180">
        <f t="shared" ref="T180" si="879">S180/1000</f>
        <v>8.2964993405609339E-2</v>
      </c>
    </row>
    <row r="181" spans="1:20" x14ac:dyDescent="0.25">
      <c r="A181" s="5">
        <v>44412</v>
      </c>
      <c r="B181">
        <v>38207.040000000001</v>
      </c>
      <c r="C181">
        <v>39969.660000000003</v>
      </c>
      <c r="D181">
        <v>37508.559999999998</v>
      </c>
      <c r="E181">
        <v>39723.18</v>
      </c>
      <c r="F181">
        <v>52329.352429999999</v>
      </c>
      <c r="G181">
        <v>39723.18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0.7996993214416297</v>
      </c>
      <c r="Q181">
        <f t="shared" ref="Q181" si="881">F181*P181</f>
        <v>41847.747629750898</v>
      </c>
      <c r="R181">
        <f t="shared" ref="R181" si="882">R182+Q181</f>
        <v>8232627.52112367</v>
      </c>
      <c r="S181">
        <f t="shared" ref="S181" si="883">R181/100000</f>
        <v>82.326275211236705</v>
      </c>
      <c r="T181">
        <f t="shared" ref="T181" si="884">S181/1000</f>
        <v>8.2326275211236699E-2</v>
      </c>
    </row>
    <row r="182" spans="1:20" x14ac:dyDescent="0.25">
      <c r="A182" s="5">
        <v>44411</v>
      </c>
      <c r="B182">
        <v>39146.86</v>
      </c>
      <c r="C182">
        <v>39780</v>
      </c>
      <c r="D182">
        <v>37642.03</v>
      </c>
      <c r="E182">
        <v>38207.050000000003</v>
      </c>
      <c r="F182">
        <v>57117.435853000003</v>
      </c>
      <c r="G182">
        <v>38207.050000000003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-0.47144253661182922</v>
      </c>
      <c r="Q182">
        <f t="shared" ref="Q182" si="886">F182*P182</f>
        <v>-26927.588843301761</v>
      </c>
      <c r="R182">
        <f t="shared" ref="R182" si="887">R183+Q182</f>
        <v>8190779.7734939195</v>
      </c>
      <c r="S182">
        <f t="shared" ref="S182" si="888">R182/100000</f>
        <v>81.907797734939194</v>
      </c>
      <c r="T182">
        <f t="shared" ref="T182" si="889">S182/1000</f>
        <v>8.1907797734939197E-2</v>
      </c>
    </row>
    <row r="183" spans="1:20" x14ac:dyDescent="0.25">
      <c r="A183" s="5">
        <v>44410</v>
      </c>
      <c r="B183">
        <v>39850.269999999997</v>
      </c>
      <c r="C183">
        <v>40480.01</v>
      </c>
      <c r="D183">
        <v>38690</v>
      </c>
      <c r="E183">
        <v>39147.82</v>
      </c>
      <c r="F183">
        <v>50837.351953999998</v>
      </c>
      <c r="G183">
        <v>39147.82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-0.48847213144060736</v>
      </c>
      <c r="Q183">
        <f t="shared" ref="Q183" si="891">F183*P183</f>
        <v>-24832.629665766704</v>
      </c>
      <c r="R183">
        <f t="shared" ref="R183" si="892">R184+Q183</f>
        <v>8217707.3623372214</v>
      </c>
      <c r="S183">
        <f t="shared" ref="S183" si="893">R183/100000</f>
        <v>82.177073623372209</v>
      </c>
      <c r="T183">
        <f t="shared" ref="T183" si="894">S183/1000</f>
        <v>8.2177073623372204E-2</v>
      </c>
    </row>
    <row r="184" spans="1:20" x14ac:dyDescent="0.25">
      <c r="A184" s="5">
        <v>44409</v>
      </c>
      <c r="B184">
        <v>41461.839999999997</v>
      </c>
      <c r="C184">
        <v>42599</v>
      </c>
      <c r="D184">
        <v>39422.01</v>
      </c>
      <c r="E184">
        <v>39845.440000000002</v>
      </c>
      <c r="F184">
        <v>53953.186326000003</v>
      </c>
      <c r="G184">
        <v>39845.440000000002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-0.73343951350177339</v>
      </c>
      <c r="Q184">
        <f t="shared" ref="Q184" si="896">F184*P184</f>
        <v>-39571.398730811976</v>
      </c>
      <c r="R184">
        <f t="shared" ref="R184" si="897">R185+Q184</f>
        <v>8242539.9920029882</v>
      </c>
      <c r="S184">
        <f t="shared" ref="S184" si="898">R184/100000</f>
        <v>82.425399920029889</v>
      </c>
      <c r="T184">
        <f t="shared" ref="T184" si="899">S184/1000</f>
        <v>8.2425399920029896E-2</v>
      </c>
    </row>
    <row r="185" spans="1:20" x14ac:dyDescent="0.25">
      <c r="A185" s="5">
        <v>44408</v>
      </c>
      <c r="B185">
        <v>42206.36</v>
      </c>
      <c r="C185">
        <v>42448</v>
      </c>
      <c r="D185">
        <v>41000.15</v>
      </c>
      <c r="E185">
        <v>41461.83</v>
      </c>
      <c r="F185">
        <v>44849.791012000002</v>
      </c>
      <c r="G185">
        <v>41461.83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-0.36225437717995546</v>
      </c>
      <c r="Q185">
        <f t="shared" ref="Q185" si="901">F185*P185</f>
        <v>-16247.033109703225</v>
      </c>
      <c r="R185">
        <f t="shared" ref="R185" si="902">R186+Q185</f>
        <v>8282111.3907337999</v>
      </c>
      <c r="S185">
        <f t="shared" ref="S185" si="903">R185/100000</f>
        <v>82.821113907338002</v>
      </c>
      <c r="T185">
        <f t="shared" ref="T185" si="904">S185/1000</f>
        <v>8.2821113907337998E-2</v>
      </c>
    </row>
    <row r="186" spans="1:20" x14ac:dyDescent="0.25">
      <c r="A186" s="5">
        <v>44407</v>
      </c>
      <c r="B186">
        <v>40018.49</v>
      </c>
      <c r="C186">
        <v>42316.71</v>
      </c>
      <c r="D186">
        <v>38313.230000000003</v>
      </c>
      <c r="E186">
        <v>42206.37</v>
      </c>
      <c r="F186">
        <v>73602.784805000003</v>
      </c>
      <c r="G186">
        <v>42206.37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0.94487795617812675</v>
      </c>
      <c r="Q186">
        <f t="shared" ref="Q186" si="906">F186*P186</f>
        <v>69545.648875566883</v>
      </c>
      <c r="R186">
        <f t="shared" ref="R186" si="907">R187+Q186</f>
        <v>8298358.423843503</v>
      </c>
      <c r="S186">
        <f t="shared" ref="S186" si="908">R186/100000</f>
        <v>82.983584238435029</v>
      </c>
      <c r="T186">
        <f t="shared" ref="T186" si="909">S186/1000</f>
        <v>8.2983584238435035E-2</v>
      </c>
    </row>
    <row r="187" spans="1:20" x14ac:dyDescent="0.25">
      <c r="A187" s="5">
        <v>44406</v>
      </c>
      <c r="B187">
        <v>40019.57</v>
      </c>
      <c r="C187">
        <v>40640</v>
      </c>
      <c r="D187">
        <v>39200</v>
      </c>
      <c r="E187">
        <v>40016.480000000003</v>
      </c>
      <c r="F187">
        <v>53998.439283</v>
      </c>
      <c r="G187">
        <v>40016.480000000003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0.13400000000000445</v>
      </c>
      <c r="Q187">
        <f t="shared" ref="Q187" si="911">F187*P187</f>
        <v>7235.7908639222405</v>
      </c>
      <c r="R187">
        <f t="shared" ref="R187" si="912">R188+Q187</f>
        <v>8228812.7749679359</v>
      </c>
      <c r="S187">
        <f t="shared" ref="S187" si="913">R187/100000</f>
        <v>82.288127749679362</v>
      </c>
      <c r="T187">
        <f t="shared" ref="T187" si="914">S187/1000</f>
        <v>8.2288127749679363E-2</v>
      </c>
    </row>
    <row r="188" spans="1:20" x14ac:dyDescent="0.25">
      <c r="A188" s="5">
        <v>44405</v>
      </c>
      <c r="B188">
        <v>39456.61</v>
      </c>
      <c r="C188">
        <v>40900</v>
      </c>
      <c r="D188">
        <v>38772</v>
      </c>
      <c r="E188">
        <v>40019.56</v>
      </c>
      <c r="F188">
        <v>101344.528441</v>
      </c>
      <c r="G188">
        <v>40019.56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0.17251879699247902</v>
      </c>
      <c r="Q188">
        <f t="shared" ref="Q188" si="916">F188*P188</f>
        <v>17483.836128411396</v>
      </c>
      <c r="R188">
        <f t="shared" ref="R188" si="917">R189+Q188</f>
        <v>8221576.984104014</v>
      </c>
      <c r="S188">
        <f t="shared" ref="S188" si="918">R188/100000</f>
        <v>82.215769841040142</v>
      </c>
      <c r="T188">
        <f t="shared" ref="T188" si="919">S188/1000</f>
        <v>8.2215769841040148E-2</v>
      </c>
    </row>
    <row r="189" spans="1:20" x14ac:dyDescent="0.25">
      <c r="A189" s="5">
        <v>44404</v>
      </c>
      <c r="B189">
        <v>37241.33</v>
      </c>
      <c r="C189">
        <v>39542.61</v>
      </c>
      <c r="D189">
        <v>36383</v>
      </c>
      <c r="E189">
        <v>39457.870000000003</v>
      </c>
      <c r="F189">
        <v>88397.267015000005</v>
      </c>
      <c r="G189">
        <v>39457.870000000003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0.94636046853883993</v>
      </c>
      <c r="Q189">
        <f t="shared" ref="Q189" si="921">F189*P189</f>
        <v>83655.679029868348</v>
      </c>
      <c r="R189">
        <f t="shared" ref="R189" si="922">R190+Q189</f>
        <v>8204093.1479756022</v>
      </c>
      <c r="S189">
        <f t="shared" ref="S189" si="923">R189/100000</f>
        <v>82.040931479756026</v>
      </c>
      <c r="T189">
        <f t="shared" ref="T189" si="924">S189/1000</f>
        <v>8.2040931479756024E-2</v>
      </c>
    </row>
    <row r="190" spans="1:20" x14ac:dyDescent="0.25">
      <c r="A190" s="5">
        <v>44403</v>
      </c>
      <c r="B190">
        <v>35381.019999999997</v>
      </c>
      <c r="C190">
        <v>40550</v>
      </c>
      <c r="D190">
        <v>35205.78</v>
      </c>
      <c r="E190">
        <v>37237.599999999999</v>
      </c>
      <c r="F190">
        <v>152452.512724</v>
      </c>
      <c r="G190">
        <v>37237.599999999999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-0.23961962643753465</v>
      </c>
      <c r="Q190">
        <f t="shared" ref="Q190" si="926">F190*P190</f>
        <v>-36530.614148388377</v>
      </c>
      <c r="R190">
        <f t="shared" ref="R190" si="927">R191+Q190</f>
        <v>8120437.4689457342</v>
      </c>
      <c r="S190">
        <f t="shared" ref="S190" si="928">R190/100000</f>
        <v>81.204374689457339</v>
      </c>
      <c r="T190">
        <f t="shared" ref="T190" si="929">S190/1000</f>
        <v>8.1204374689457334E-2</v>
      </c>
    </row>
    <row r="191" spans="1:20" x14ac:dyDescent="0.25">
      <c r="A191" s="5">
        <v>44402</v>
      </c>
      <c r="B191">
        <v>34261.51</v>
      </c>
      <c r="C191">
        <v>35398</v>
      </c>
      <c r="D191">
        <v>33851.120000000003</v>
      </c>
      <c r="E191">
        <v>35381.019999999997</v>
      </c>
      <c r="F191">
        <v>47852.928312999997</v>
      </c>
      <c r="G191">
        <v>35381.019999999997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0.97804613156805542</v>
      </c>
      <c r="Q191">
        <f t="shared" ref="Q191" si="931">F191*P191</f>
        <v>46802.371420733121</v>
      </c>
      <c r="R191">
        <f t="shared" ref="R191" si="932">R192+Q191</f>
        <v>8156968.0830941228</v>
      </c>
      <c r="S191">
        <f t="shared" ref="S191" si="933">R191/100000</f>
        <v>81.569680830941223</v>
      </c>
      <c r="T191">
        <f t="shared" ref="T191" si="934">S191/1000</f>
        <v>8.1569680830941224E-2</v>
      </c>
    </row>
    <row r="192" spans="1:20" x14ac:dyDescent="0.25">
      <c r="A192" s="5">
        <v>44401</v>
      </c>
      <c r="B192">
        <v>33634.1</v>
      </c>
      <c r="C192">
        <v>34500</v>
      </c>
      <c r="D192">
        <v>33401.14</v>
      </c>
      <c r="E192">
        <v>34258.14</v>
      </c>
      <c r="F192">
        <v>47977.550137999999</v>
      </c>
      <c r="G192">
        <v>34258.14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0.55979833645778265</v>
      </c>
      <c r="Q192">
        <f t="shared" ref="Q192" si="936">F192*P192</f>
        <v>26857.752754572259</v>
      </c>
      <c r="R192">
        <f t="shared" ref="R192" si="937">R193+Q192</f>
        <v>8110165.7116733901</v>
      </c>
      <c r="S192">
        <f t="shared" ref="S192" si="938">R192/100000</f>
        <v>81.101657116733904</v>
      </c>
      <c r="T192">
        <f t="shared" ref="T192:T197" si="939">S192/1000</f>
        <v>8.1101657116733908E-2</v>
      </c>
    </row>
    <row r="193" spans="1:20" x14ac:dyDescent="0.25">
      <c r="A193" s="5">
        <v>44400</v>
      </c>
      <c r="B193">
        <v>32287.58</v>
      </c>
      <c r="C193">
        <v>33650</v>
      </c>
      <c r="D193">
        <v>31924.32</v>
      </c>
      <c r="E193">
        <v>33634.089999999997</v>
      </c>
      <c r="F193">
        <v>50112.863625999998</v>
      </c>
      <c r="G193">
        <v>33634.089999999997</v>
      </c>
      <c r="L193" t="s">
        <v>8</v>
      </c>
      <c r="M193" t="s">
        <v>7</v>
      </c>
      <c r="N193" t="s">
        <v>7</v>
      </c>
      <c r="P193">
        <f t="shared" ref="P193" si="940">IF(C193=D193,0,((E193-D193)-(C193-E193))/(C193-D193))</f>
        <v>0.98156089193824636</v>
      </c>
      <c r="Q193">
        <f t="shared" ref="Q193" si="941">F193*P193</f>
        <v>49188.827118316258</v>
      </c>
      <c r="R193">
        <f t="shared" ref="R193" si="942">R194+Q193</f>
        <v>8083307.9589188183</v>
      </c>
      <c r="S193">
        <f t="shared" ref="S193" si="943">R193/100000</f>
        <v>80.833079589188188</v>
      </c>
      <c r="T193">
        <f t="shared" si="939"/>
        <v>8.0833079589188186E-2</v>
      </c>
    </row>
    <row r="194" spans="1:20" x14ac:dyDescent="0.25">
      <c r="A194" s="5">
        <v>44399</v>
      </c>
      <c r="B194">
        <v>32144.51</v>
      </c>
      <c r="C194">
        <v>32591.35</v>
      </c>
      <c r="D194">
        <v>31708</v>
      </c>
      <c r="E194">
        <v>32287.83</v>
      </c>
      <c r="F194">
        <v>46148.092432999998</v>
      </c>
      <c r="G194">
        <v>32287.83</v>
      </c>
      <c r="L194" t="s">
        <v>8</v>
      </c>
      <c r="M194" t="s">
        <v>7</v>
      </c>
      <c r="N194" t="s">
        <v>7</v>
      </c>
      <c r="P194">
        <f t="shared" ref="P194" si="944">IF(C194=D194,0,((E194-D194)-(C194-E194))/(C194-D194))</f>
        <v>0.31279787173827522</v>
      </c>
      <c r="Q194">
        <f t="shared" ref="Q194" si="945">F194*P194</f>
        <v>14435.025097823604</v>
      </c>
      <c r="R194">
        <f t="shared" ref="R194" si="946">R195+Q194</f>
        <v>8034119.1318005016</v>
      </c>
      <c r="S194">
        <f t="shared" ref="S194" si="947">R194/100000</f>
        <v>80.341191318005016</v>
      </c>
      <c r="T194">
        <f t="shared" si="939"/>
        <v>8.0341191318005017E-2</v>
      </c>
    </row>
    <row r="195" spans="1:20" x14ac:dyDescent="0.25">
      <c r="A195" s="5">
        <v>44398</v>
      </c>
      <c r="B195">
        <v>29790.34</v>
      </c>
      <c r="C195">
        <v>32858</v>
      </c>
      <c r="D195">
        <v>29482.61</v>
      </c>
      <c r="E195">
        <v>32144.51</v>
      </c>
      <c r="F195">
        <v>82796.265127999999</v>
      </c>
      <c r="G195">
        <v>32144.51</v>
      </c>
      <c r="L195" t="s">
        <v>8</v>
      </c>
      <c r="M195" t="s">
        <v>7</v>
      </c>
      <c r="N195" t="s">
        <v>7</v>
      </c>
      <c r="P195">
        <f t="shared" ref="P195" si="948">IF(C195=D195,0,((E195-D195)-(C195-E195))/(C195-D195))</f>
        <v>0.57723996338200811</v>
      </c>
      <c r="Q195">
        <f t="shared" ref="Q195" si="949">F195*P195</f>
        <v>47793.313050653756</v>
      </c>
      <c r="R195">
        <f t="shared" ref="R195" si="950">R196+Q195</f>
        <v>8019684.1067026779</v>
      </c>
      <c r="S195">
        <f t="shared" ref="S195" si="951">R195/100000</f>
        <v>80.196841067026782</v>
      </c>
      <c r="T195">
        <f t="shared" si="939"/>
        <v>8.0196841067026778E-2</v>
      </c>
    </row>
    <row r="196" spans="1:20" x14ac:dyDescent="0.25">
      <c r="A196" s="5">
        <v>44397</v>
      </c>
      <c r="B196">
        <v>30839.65</v>
      </c>
      <c r="C196">
        <v>31063.07</v>
      </c>
      <c r="D196">
        <v>29278</v>
      </c>
      <c r="E196">
        <v>29790.35</v>
      </c>
      <c r="F196">
        <v>61034.049016999998</v>
      </c>
      <c r="G196">
        <v>29790.35</v>
      </c>
      <c r="L196" t="s">
        <v>7</v>
      </c>
      <c r="M196" t="s">
        <v>7</v>
      </c>
      <c r="N196" t="s">
        <v>7</v>
      </c>
      <c r="P196">
        <f t="shared" ref="P196" si="952">IF(C196=D196,0,((E196-D196)-(C196-E196))/(C196-D196))</f>
        <v>-0.42596088668791854</v>
      </c>
      <c r="Q196">
        <f t="shared" ref="Q196" si="953">F196*P196</f>
        <v>-25998.117637435204</v>
      </c>
      <c r="R196">
        <f t="shared" ref="R196" si="954">R197+Q196</f>
        <v>7971890.7936520241</v>
      </c>
      <c r="S196">
        <f t="shared" ref="S196" si="955">R196/100000</f>
        <v>79.718907936520239</v>
      </c>
      <c r="T196">
        <f t="shared" si="939"/>
        <v>7.9718907936520242E-2</v>
      </c>
    </row>
    <row r="197" spans="1:20" x14ac:dyDescent="0.25">
      <c r="A197" s="5">
        <v>44396</v>
      </c>
      <c r="B197">
        <v>31778.57</v>
      </c>
      <c r="C197">
        <v>31899</v>
      </c>
      <c r="D197">
        <v>30407.439999999999</v>
      </c>
      <c r="E197">
        <v>30839.65</v>
      </c>
      <c r="F197">
        <v>47340.468499000002</v>
      </c>
      <c r="G197">
        <v>-2.95</v>
      </c>
      <c r="L197" t="s">
        <v>7</v>
      </c>
      <c r="M197" t="s">
        <v>7</v>
      </c>
      <c r="N197" t="s">
        <v>7</v>
      </c>
      <c r="P197">
        <f t="shared" ref="P197" si="956">IF(C197=D197,0,((E197-D197)-(C197-E197))/(C197-D197))</f>
        <v>-0.42045911662956587</v>
      </c>
      <c r="Q197">
        <f t="shared" ref="Q197" si="957">F197*P197</f>
        <v>-19904.73156591933</v>
      </c>
      <c r="R197">
        <f t="shared" ref="R197" si="958">R198+Q197</f>
        <v>7997888.9112894591</v>
      </c>
      <c r="S197">
        <f t="shared" ref="S197" si="959">R197/100000</f>
        <v>79.978889112894592</v>
      </c>
      <c r="T197">
        <f t="shared" si="939"/>
        <v>7.9978889112894594E-2</v>
      </c>
    </row>
    <row r="198" spans="1:20" x14ac:dyDescent="0.25">
      <c r="A198" s="5">
        <v>44395</v>
      </c>
      <c r="B198">
        <v>31520.07</v>
      </c>
      <c r="C198">
        <v>32435</v>
      </c>
      <c r="D198">
        <v>31108.97</v>
      </c>
      <c r="E198">
        <v>31778.560000000001</v>
      </c>
      <c r="F198">
        <v>35923.716185999998</v>
      </c>
      <c r="G198">
        <v>0.82</v>
      </c>
      <c r="L198" t="s">
        <v>7</v>
      </c>
      <c r="M198" t="s">
        <v>7</v>
      </c>
      <c r="N198" t="s">
        <v>7</v>
      </c>
      <c r="P198">
        <f t="shared" ref="P198:P261" si="960">IF(C198=D198,0,((E198-D198)-(C198-E198))/(C198-D198))</f>
        <v>9.916819378144889E-3</v>
      </c>
      <c r="Q198">
        <f t="shared" ref="Q198:Q261" si="961">F198*P198</f>
        <v>356.249004808302</v>
      </c>
      <c r="R198">
        <f t="shared" ref="R198:R261" si="962">R199+Q198</f>
        <v>8017793.6428553788</v>
      </c>
      <c r="S198">
        <f t="shared" ref="S198:S261" si="963">R198/100000</f>
        <v>80.177936428553792</v>
      </c>
      <c r="T198">
        <f t="shared" ref="T198:T261" si="964">S198/1000</f>
        <v>8.0177936428553795E-2</v>
      </c>
    </row>
    <row r="199" spans="1:20" x14ac:dyDescent="0.25">
      <c r="A199" s="5">
        <v>44394</v>
      </c>
      <c r="B199">
        <v>31383.86</v>
      </c>
      <c r="C199">
        <v>31955.919999999998</v>
      </c>
      <c r="D199">
        <v>31164.31</v>
      </c>
      <c r="E199">
        <v>31520.07</v>
      </c>
      <c r="F199">
        <v>34012.242131999999</v>
      </c>
      <c r="G199">
        <v>0.43</v>
      </c>
      <c r="L199" t="s">
        <v>7</v>
      </c>
      <c r="M199" t="s">
        <v>7</v>
      </c>
      <c r="N199" t="s">
        <v>7</v>
      </c>
      <c r="P199">
        <f t="shared" si="960"/>
        <v>-0.10117355768623496</v>
      </c>
      <c r="Q199">
        <f t="shared" si="961"/>
        <v>-3441.1395413800929</v>
      </c>
      <c r="R199">
        <f t="shared" si="962"/>
        <v>8017437.3938505705</v>
      </c>
      <c r="S199">
        <f t="shared" si="963"/>
        <v>80.17437393850571</v>
      </c>
      <c r="T199">
        <f t="shared" si="964"/>
        <v>8.0174373938505711E-2</v>
      </c>
    </row>
    <row r="200" spans="1:20" x14ac:dyDescent="0.25">
      <c r="A200" s="5">
        <v>44393</v>
      </c>
      <c r="B200">
        <v>31874.49</v>
      </c>
      <c r="C200">
        <v>32249.18</v>
      </c>
      <c r="D200">
        <v>31020</v>
      </c>
      <c r="E200">
        <v>31383.87</v>
      </c>
      <c r="F200">
        <v>48499.864154000003</v>
      </c>
      <c r="G200">
        <v>-1.54</v>
      </c>
      <c r="L200" t="s">
        <v>7</v>
      </c>
      <c r="M200" t="s">
        <v>7</v>
      </c>
      <c r="N200" t="s">
        <v>7</v>
      </c>
      <c r="P200">
        <f t="shared" si="960"/>
        <v>-0.40794676125547291</v>
      </c>
      <c r="Q200">
        <f t="shared" si="961"/>
        <v>-19785.362502954707</v>
      </c>
      <c r="R200">
        <f t="shared" si="962"/>
        <v>8020878.5333919507</v>
      </c>
      <c r="S200">
        <f t="shared" si="963"/>
        <v>80.208785333919508</v>
      </c>
      <c r="T200">
        <f t="shared" si="964"/>
        <v>8.0208785333919508E-2</v>
      </c>
    </row>
    <row r="201" spans="1:20" x14ac:dyDescent="0.25">
      <c r="A201" s="5">
        <v>44392</v>
      </c>
      <c r="B201">
        <v>32820.03</v>
      </c>
      <c r="C201">
        <v>33185.25</v>
      </c>
      <c r="D201">
        <v>31133</v>
      </c>
      <c r="E201">
        <v>31880</v>
      </c>
      <c r="F201">
        <v>51639.576352999997</v>
      </c>
      <c r="G201">
        <v>-2.86</v>
      </c>
      <c r="L201" t="s">
        <v>7</v>
      </c>
      <c r="M201" t="s">
        <v>8</v>
      </c>
      <c r="N201" t="s">
        <v>7</v>
      </c>
      <c r="P201">
        <f t="shared" si="960"/>
        <v>-0.27201851626263857</v>
      </c>
      <c r="Q201">
        <f t="shared" si="961"/>
        <v>-14046.920939974296</v>
      </c>
      <c r="R201">
        <f t="shared" si="962"/>
        <v>8040663.8958949056</v>
      </c>
      <c r="S201">
        <f t="shared" si="963"/>
        <v>80.40663895894906</v>
      </c>
      <c r="T201">
        <f t="shared" si="964"/>
        <v>8.0406638958949062E-2</v>
      </c>
    </row>
    <row r="202" spans="1:20" x14ac:dyDescent="0.25">
      <c r="A202" s="5">
        <v>44391</v>
      </c>
      <c r="B202">
        <v>32729.119999999999</v>
      </c>
      <c r="C202">
        <v>33114.03</v>
      </c>
      <c r="D202">
        <v>31550</v>
      </c>
      <c r="E202">
        <v>32820.019999999997</v>
      </c>
      <c r="F202">
        <v>46777.823484</v>
      </c>
      <c r="G202">
        <v>0.28000000000000003</v>
      </c>
      <c r="L202" t="s">
        <v>7</v>
      </c>
      <c r="M202" t="s">
        <v>8</v>
      </c>
      <c r="N202" t="s">
        <v>7</v>
      </c>
      <c r="P202">
        <f t="shared" si="960"/>
        <v>0.62403534459057397</v>
      </c>
      <c r="Q202">
        <f t="shared" si="961"/>
        <v>29191.015197034983</v>
      </c>
      <c r="R202">
        <f t="shared" si="962"/>
        <v>8054710.81683488</v>
      </c>
      <c r="S202">
        <f t="shared" si="963"/>
        <v>80.547108168348799</v>
      </c>
      <c r="T202">
        <f t="shared" si="964"/>
        <v>8.0547108168348799E-2</v>
      </c>
    </row>
    <row r="203" spans="1:20" x14ac:dyDescent="0.25">
      <c r="A203" s="5">
        <v>44390</v>
      </c>
      <c r="B203">
        <v>33086.94</v>
      </c>
      <c r="C203">
        <v>33340</v>
      </c>
      <c r="D203">
        <v>32202.25</v>
      </c>
      <c r="E203">
        <v>32729.77</v>
      </c>
      <c r="F203">
        <v>41126.361008</v>
      </c>
      <c r="G203">
        <v>-1.08</v>
      </c>
      <c r="L203" t="s">
        <v>8</v>
      </c>
      <c r="M203" t="s">
        <v>8</v>
      </c>
      <c r="N203" t="s">
        <v>7</v>
      </c>
      <c r="P203">
        <f t="shared" si="960"/>
        <v>-7.2696110744890463E-2</v>
      </c>
      <c r="Q203">
        <f t="shared" si="961"/>
        <v>-2989.7264943719128</v>
      </c>
      <c r="R203">
        <f t="shared" si="962"/>
        <v>8025519.8016378451</v>
      </c>
      <c r="S203">
        <f t="shared" si="963"/>
        <v>80.255198016378458</v>
      </c>
      <c r="T203">
        <f t="shared" si="964"/>
        <v>8.0255198016378454E-2</v>
      </c>
    </row>
    <row r="204" spans="1:20" x14ac:dyDescent="0.25">
      <c r="A204" s="5">
        <v>44389</v>
      </c>
      <c r="B204">
        <v>34259</v>
      </c>
      <c r="C204">
        <v>34678.43</v>
      </c>
      <c r="D204">
        <v>32658.34</v>
      </c>
      <c r="E204">
        <v>33086.629999999997</v>
      </c>
      <c r="F204">
        <v>48181.403762000002</v>
      </c>
      <c r="G204">
        <v>-3.42</v>
      </c>
      <c r="L204" t="s">
        <v>8</v>
      </c>
      <c r="M204" t="s">
        <v>8</v>
      </c>
      <c r="N204" t="s">
        <v>7</v>
      </c>
      <c r="P204">
        <f t="shared" si="960"/>
        <v>-0.57596938750253979</v>
      </c>
      <c r="Q204">
        <f t="shared" si="961"/>
        <v>-27751.013613811709</v>
      </c>
      <c r="R204">
        <f t="shared" si="962"/>
        <v>8028509.528132217</v>
      </c>
      <c r="S204">
        <f t="shared" si="963"/>
        <v>80.285095281322171</v>
      </c>
      <c r="T204">
        <f t="shared" si="964"/>
        <v>8.0285095281322175E-2</v>
      </c>
    </row>
    <row r="205" spans="1:20" x14ac:dyDescent="0.25">
      <c r="A205" s="5">
        <v>44388</v>
      </c>
      <c r="B205">
        <v>33502.870000000003</v>
      </c>
      <c r="C205">
        <v>34666</v>
      </c>
      <c r="D205">
        <v>33306.47</v>
      </c>
      <c r="E205">
        <v>34258.99</v>
      </c>
      <c r="F205">
        <v>31572.647448</v>
      </c>
      <c r="G205">
        <v>2.2599999999999998</v>
      </c>
      <c r="L205" t="s">
        <v>8</v>
      </c>
      <c r="M205" t="s">
        <v>8</v>
      </c>
      <c r="N205" t="s">
        <v>7</v>
      </c>
      <c r="P205">
        <f t="shared" si="960"/>
        <v>0.40124896103800228</v>
      </c>
      <c r="Q205">
        <f t="shared" si="961"/>
        <v>12668.491985729133</v>
      </c>
      <c r="R205">
        <f t="shared" si="962"/>
        <v>8056260.5417460287</v>
      </c>
      <c r="S205">
        <f t="shared" si="963"/>
        <v>80.56260541746029</v>
      </c>
      <c r="T205">
        <f t="shared" si="964"/>
        <v>8.0562605417460284E-2</v>
      </c>
    </row>
    <row r="206" spans="1:20" x14ac:dyDescent="0.25">
      <c r="A206" s="5">
        <v>44387</v>
      </c>
      <c r="B206">
        <v>33815.81</v>
      </c>
      <c r="C206">
        <v>34262</v>
      </c>
      <c r="D206">
        <v>33004.78</v>
      </c>
      <c r="E206">
        <v>33502.870000000003</v>
      </c>
      <c r="F206">
        <v>34761.175468000001</v>
      </c>
      <c r="G206">
        <v>-0.93</v>
      </c>
      <c r="L206" t="s">
        <v>8</v>
      </c>
      <c r="M206" t="s">
        <v>8</v>
      </c>
      <c r="N206" t="s">
        <v>7</v>
      </c>
      <c r="P206">
        <f t="shared" si="960"/>
        <v>-0.20763271344712408</v>
      </c>
      <c r="Q206">
        <f t="shared" si="961"/>
        <v>-7217.5571850324441</v>
      </c>
      <c r="R206">
        <f t="shared" si="962"/>
        <v>8043592.0497602997</v>
      </c>
      <c r="S206">
        <f t="shared" si="963"/>
        <v>80.435920497602993</v>
      </c>
      <c r="T206">
        <f t="shared" si="964"/>
        <v>8.0435920497602995E-2</v>
      </c>
    </row>
    <row r="207" spans="1:20" x14ac:dyDescent="0.25">
      <c r="A207" s="5">
        <v>44386</v>
      </c>
      <c r="B207">
        <v>32875.71</v>
      </c>
      <c r="C207">
        <v>34100</v>
      </c>
      <c r="D207">
        <v>32261.07</v>
      </c>
      <c r="E207">
        <v>33815.81</v>
      </c>
      <c r="F207">
        <v>47153.939898999997</v>
      </c>
      <c r="G207">
        <v>2.86</v>
      </c>
      <c r="L207" t="s">
        <v>8</v>
      </c>
      <c r="M207" t="s">
        <v>8</v>
      </c>
      <c r="N207" t="s">
        <v>7</v>
      </c>
      <c r="P207">
        <f t="shared" si="960"/>
        <v>0.69091808823609135</v>
      </c>
      <c r="Q207">
        <f t="shared" si="961"/>
        <v>32579.510007816629</v>
      </c>
      <c r="R207">
        <f t="shared" si="962"/>
        <v>8050809.6069453321</v>
      </c>
      <c r="S207">
        <f t="shared" si="963"/>
        <v>80.508096069453316</v>
      </c>
      <c r="T207">
        <f t="shared" si="964"/>
        <v>8.0508096069453319E-2</v>
      </c>
    </row>
    <row r="208" spans="1:20" x14ac:dyDescent="0.25">
      <c r="A208" s="5">
        <v>44385</v>
      </c>
      <c r="B208">
        <v>33862.11</v>
      </c>
      <c r="C208">
        <v>33929.64</v>
      </c>
      <c r="D208">
        <v>32077</v>
      </c>
      <c r="E208">
        <v>32875.71</v>
      </c>
      <c r="F208">
        <v>70136.480320000002</v>
      </c>
      <c r="G208">
        <v>-2.91</v>
      </c>
      <c r="L208" t="s">
        <v>7</v>
      </c>
      <c r="M208" t="s">
        <v>8</v>
      </c>
      <c r="N208" t="s">
        <v>7</v>
      </c>
      <c r="P208">
        <f t="shared" si="960"/>
        <v>-0.13776016927195853</v>
      </c>
      <c r="Q208">
        <f t="shared" si="961"/>
        <v>-9662.0134010225884</v>
      </c>
      <c r="R208">
        <f t="shared" si="962"/>
        <v>8018230.0969375158</v>
      </c>
      <c r="S208">
        <f t="shared" si="963"/>
        <v>80.182300969375163</v>
      </c>
      <c r="T208">
        <f t="shared" si="964"/>
        <v>8.0182300969375161E-2</v>
      </c>
    </row>
    <row r="209" spans="1:20" x14ac:dyDescent="0.25">
      <c r="A209" s="5">
        <v>44384</v>
      </c>
      <c r="B209">
        <v>34220.019999999997</v>
      </c>
      <c r="C209">
        <v>35059.089999999997</v>
      </c>
      <c r="D209">
        <v>33777.769999999997</v>
      </c>
      <c r="E209">
        <v>33862.120000000003</v>
      </c>
      <c r="F209">
        <v>53807.521675000004</v>
      </c>
      <c r="G209">
        <v>-1.05</v>
      </c>
      <c r="L209" t="s">
        <v>7</v>
      </c>
      <c r="M209" t="s">
        <v>8</v>
      </c>
      <c r="N209" t="s">
        <v>7</v>
      </c>
      <c r="P209">
        <f t="shared" si="960"/>
        <v>-0.86833890050884111</v>
      </c>
      <c r="Q209">
        <f t="shared" si="961"/>
        <v>-46723.164210375136</v>
      </c>
      <c r="R209">
        <f t="shared" si="962"/>
        <v>8027892.110338538</v>
      </c>
      <c r="S209">
        <f t="shared" si="963"/>
        <v>80.278921103385386</v>
      </c>
      <c r="T209">
        <f t="shared" si="964"/>
        <v>8.0278921103385387E-2</v>
      </c>
    </row>
    <row r="210" spans="1:20" x14ac:dyDescent="0.25">
      <c r="A210" s="5">
        <v>44383</v>
      </c>
      <c r="B210">
        <v>33690.15</v>
      </c>
      <c r="C210">
        <v>35118.879999999997</v>
      </c>
      <c r="D210">
        <v>33532</v>
      </c>
      <c r="E210">
        <v>34220.01</v>
      </c>
      <c r="F210">
        <v>58210.596348999999</v>
      </c>
      <c r="G210">
        <v>1.57</v>
      </c>
      <c r="L210" t="s">
        <v>7</v>
      </c>
      <c r="M210" t="s">
        <v>8</v>
      </c>
      <c r="N210" t="s">
        <v>7</v>
      </c>
      <c r="P210">
        <f t="shared" si="960"/>
        <v>-0.13287709215567256</v>
      </c>
      <c r="Q210">
        <f t="shared" si="961"/>
        <v>-7734.8547755027294</v>
      </c>
      <c r="R210">
        <f t="shared" si="962"/>
        <v>8074615.2745489134</v>
      </c>
      <c r="S210">
        <f t="shared" si="963"/>
        <v>80.746152745489127</v>
      </c>
      <c r="T210">
        <f t="shared" si="964"/>
        <v>8.074615274548913E-2</v>
      </c>
    </row>
    <row r="211" spans="1:20" x14ac:dyDescent="0.25">
      <c r="A211" s="5">
        <v>44382</v>
      </c>
      <c r="B211">
        <v>35288.129999999997</v>
      </c>
      <c r="C211">
        <v>35293.78</v>
      </c>
      <c r="D211">
        <v>33125.550000000003</v>
      </c>
      <c r="E211">
        <v>33690.14</v>
      </c>
      <c r="F211">
        <v>64123.874244999999</v>
      </c>
      <c r="G211">
        <v>-4.53</v>
      </c>
      <c r="L211" t="s">
        <v>7</v>
      </c>
      <c r="M211" t="s">
        <v>8</v>
      </c>
      <c r="N211" t="s">
        <v>7</v>
      </c>
      <c r="P211">
        <f t="shared" si="960"/>
        <v>-0.47921576585510062</v>
      </c>
      <c r="Q211">
        <f t="shared" si="961"/>
        <v>-30729.171505913837</v>
      </c>
      <c r="R211">
        <f t="shared" si="962"/>
        <v>8082350.1293244157</v>
      </c>
      <c r="S211">
        <f t="shared" si="963"/>
        <v>80.823501293244163</v>
      </c>
      <c r="T211">
        <f t="shared" si="964"/>
        <v>8.0823501293244157E-2</v>
      </c>
    </row>
    <row r="212" spans="1:20" x14ac:dyDescent="0.25">
      <c r="A212" s="5">
        <v>44381</v>
      </c>
      <c r="B212">
        <v>34669.120000000003</v>
      </c>
      <c r="C212">
        <v>35967.85</v>
      </c>
      <c r="D212">
        <v>34357.15</v>
      </c>
      <c r="E212">
        <v>35286.51</v>
      </c>
      <c r="F212">
        <v>43703.475788999996</v>
      </c>
      <c r="G212">
        <v>1.78</v>
      </c>
      <c r="L212" t="s">
        <v>8</v>
      </c>
      <c r="M212" t="s">
        <v>8</v>
      </c>
      <c r="N212" t="s">
        <v>7</v>
      </c>
      <c r="P212">
        <f t="shared" si="960"/>
        <v>0.15398274042342119</v>
      </c>
      <c r="Q212">
        <f t="shared" si="961"/>
        <v>6729.5809680188595</v>
      </c>
      <c r="R212">
        <f t="shared" si="962"/>
        <v>8113079.3008303298</v>
      </c>
      <c r="S212">
        <f t="shared" si="963"/>
        <v>81.1307930083033</v>
      </c>
      <c r="T212">
        <f t="shared" si="964"/>
        <v>8.1130793008303295E-2</v>
      </c>
    </row>
    <row r="213" spans="1:20" x14ac:dyDescent="0.25">
      <c r="A213" s="5">
        <v>44380</v>
      </c>
      <c r="B213">
        <v>33786.54</v>
      </c>
      <c r="C213">
        <v>34945.61</v>
      </c>
      <c r="D213">
        <v>33316.730000000003</v>
      </c>
      <c r="E213">
        <v>34669.129999999997</v>
      </c>
      <c r="F213">
        <v>43044.578641</v>
      </c>
      <c r="G213">
        <v>2.61</v>
      </c>
      <c r="L213" t="s">
        <v>8</v>
      </c>
      <c r="M213" t="s">
        <v>8</v>
      </c>
      <c r="N213" t="s">
        <v>7</v>
      </c>
      <c r="P213">
        <f t="shared" si="960"/>
        <v>0.66052747900397368</v>
      </c>
      <c r="Q213">
        <f t="shared" si="961"/>
        <v>28432.127014528021</v>
      </c>
      <c r="R213">
        <f t="shared" si="962"/>
        <v>8106349.7198623111</v>
      </c>
      <c r="S213">
        <f t="shared" si="963"/>
        <v>81.063497198623111</v>
      </c>
      <c r="T213">
        <f t="shared" si="964"/>
        <v>8.1063497198623116E-2</v>
      </c>
    </row>
    <row r="214" spans="1:20" x14ac:dyDescent="0.25">
      <c r="A214" s="5">
        <v>44379</v>
      </c>
      <c r="B214">
        <v>33502.33</v>
      </c>
      <c r="C214">
        <v>33977.040000000001</v>
      </c>
      <c r="D214">
        <v>32699</v>
      </c>
      <c r="E214">
        <v>33786.550000000003</v>
      </c>
      <c r="F214">
        <v>56172.181378000001</v>
      </c>
      <c r="G214">
        <v>0.85</v>
      </c>
      <c r="L214" t="s">
        <v>7</v>
      </c>
      <c r="M214" t="s">
        <v>8</v>
      </c>
      <c r="N214" t="s">
        <v>7</v>
      </c>
      <c r="P214">
        <f t="shared" si="960"/>
        <v>0.70190291383681602</v>
      </c>
      <c r="Q214">
        <f t="shared" si="961"/>
        <v>39427.417785788333</v>
      </c>
      <c r="R214">
        <f t="shared" si="962"/>
        <v>8077917.5928477831</v>
      </c>
      <c r="S214">
        <f t="shared" si="963"/>
        <v>80.779175928477827</v>
      </c>
      <c r="T214">
        <f t="shared" si="964"/>
        <v>8.0779175928477831E-2</v>
      </c>
    </row>
    <row r="215" spans="1:20" x14ac:dyDescent="0.25">
      <c r="A215" s="5">
        <v>44378</v>
      </c>
      <c r="B215">
        <v>35045</v>
      </c>
      <c r="C215">
        <v>35057.57</v>
      </c>
      <c r="D215">
        <v>32711</v>
      </c>
      <c r="E215">
        <v>33504.69</v>
      </c>
      <c r="F215">
        <v>71708.266111999998</v>
      </c>
      <c r="G215">
        <v>-4.4000000000000004</v>
      </c>
      <c r="L215" t="s">
        <v>7</v>
      </c>
      <c r="M215" t="s">
        <v>8</v>
      </c>
      <c r="N215" t="s">
        <v>7</v>
      </c>
      <c r="P215">
        <f t="shared" si="960"/>
        <v>-0.32353179321307063</v>
      </c>
      <c r="Q215">
        <f t="shared" si="961"/>
        <v>-23199.903923415422</v>
      </c>
      <c r="R215">
        <f t="shared" si="962"/>
        <v>8038490.1750619952</v>
      </c>
      <c r="S215">
        <f t="shared" si="963"/>
        <v>80.384901750619946</v>
      </c>
      <c r="T215">
        <f t="shared" si="964"/>
        <v>8.038490175061995E-2</v>
      </c>
    </row>
    <row r="216" spans="1:20" x14ac:dyDescent="0.25">
      <c r="A216" s="5">
        <v>44377</v>
      </c>
      <c r="B216">
        <v>35911.72</v>
      </c>
      <c r="C216">
        <v>36100</v>
      </c>
      <c r="D216">
        <v>34017.550000000003</v>
      </c>
      <c r="E216">
        <v>35045</v>
      </c>
      <c r="F216">
        <v>77152.197633999996</v>
      </c>
      <c r="G216">
        <v>-2.41</v>
      </c>
      <c r="L216" t="s">
        <v>7</v>
      </c>
      <c r="M216" t="s">
        <v>8</v>
      </c>
      <c r="N216" t="s">
        <v>7</v>
      </c>
      <c r="P216">
        <f t="shared" si="960"/>
        <v>-1.3229609354367667E-2</v>
      </c>
      <c r="Q216">
        <f t="shared" si="961"/>
        <v>-1020.6934355287893</v>
      </c>
      <c r="R216">
        <f t="shared" si="962"/>
        <v>8061690.0789854107</v>
      </c>
      <c r="S216">
        <f t="shared" si="963"/>
        <v>80.616900789854114</v>
      </c>
      <c r="T216">
        <f t="shared" si="964"/>
        <v>8.0616900789854118E-2</v>
      </c>
    </row>
    <row r="217" spans="1:20" x14ac:dyDescent="0.25">
      <c r="A217" s="5">
        <v>44376</v>
      </c>
      <c r="B217">
        <v>34494.89</v>
      </c>
      <c r="C217">
        <v>36600</v>
      </c>
      <c r="D217">
        <v>34225.43</v>
      </c>
      <c r="E217">
        <v>35911.730000000003</v>
      </c>
      <c r="F217">
        <v>90788.796220000004</v>
      </c>
      <c r="G217">
        <v>4.1100000000000003</v>
      </c>
      <c r="L217" t="s">
        <v>8</v>
      </c>
      <c r="M217" t="s">
        <v>8</v>
      </c>
      <c r="N217" t="s">
        <v>7</v>
      </c>
      <c r="P217">
        <f t="shared" si="960"/>
        <v>0.42029925418075958</v>
      </c>
      <c r="Q217">
        <f t="shared" si="961"/>
        <v>38158.463339234964</v>
      </c>
      <c r="R217">
        <f t="shared" si="962"/>
        <v>8062710.77242094</v>
      </c>
      <c r="S217">
        <f t="shared" si="963"/>
        <v>80.627107724209395</v>
      </c>
      <c r="T217">
        <f t="shared" si="964"/>
        <v>8.062710772420939E-2</v>
      </c>
    </row>
    <row r="218" spans="1:20" x14ac:dyDescent="0.25">
      <c r="A218" s="5">
        <v>44375</v>
      </c>
      <c r="B218">
        <v>34702.49</v>
      </c>
      <c r="C218">
        <v>35297.71</v>
      </c>
      <c r="D218">
        <v>33862.720000000001</v>
      </c>
      <c r="E218">
        <v>34494.89</v>
      </c>
      <c r="F218">
        <v>82222.267819000001</v>
      </c>
      <c r="G218">
        <v>-0.6</v>
      </c>
      <c r="L218" t="s">
        <v>8</v>
      </c>
      <c r="M218" t="s">
        <v>8</v>
      </c>
      <c r="N218" t="s">
        <v>7</v>
      </c>
      <c r="P218">
        <f t="shared" si="960"/>
        <v>-0.11892068934278406</v>
      </c>
      <c r="Q218">
        <f t="shared" si="961"/>
        <v>-9777.9287683624898</v>
      </c>
      <c r="R218">
        <f t="shared" si="962"/>
        <v>8024552.3090817053</v>
      </c>
      <c r="S218">
        <f t="shared" si="963"/>
        <v>80.245523090817059</v>
      </c>
      <c r="T218">
        <f t="shared" si="964"/>
        <v>8.0245523090817061E-2</v>
      </c>
    </row>
    <row r="219" spans="1:20" x14ac:dyDescent="0.25">
      <c r="A219" s="5">
        <v>44374</v>
      </c>
      <c r="B219">
        <v>32283.65</v>
      </c>
      <c r="C219">
        <v>34749</v>
      </c>
      <c r="D219">
        <v>31973.45</v>
      </c>
      <c r="E219">
        <v>34700.339999999997</v>
      </c>
      <c r="F219">
        <v>96613.244210999997</v>
      </c>
      <c r="G219">
        <v>7.49</v>
      </c>
      <c r="L219" t="s">
        <v>8</v>
      </c>
      <c r="M219" t="s">
        <v>8</v>
      </c>
      <c r="N219" t="s">
        <v>7</v>
      </c>
      <c r="P219">
        <f t="shared" si="960"/>
        <v>0.96493667921672932</v>
      </c>
      <c r="Q219">
        <f t="shared" si="961"/>
        <v>93225.663037317237</v>
      </c>
      <c r="R219">
        <f t="shared" si="962"/>
        <v>8034330.2378500681</v>
      </c>
      <c r="S219">
        <f t="shared" si="963"/>
        <v>80.343302378500681</v>
      </c>
      <c r="T219">
        <f t="shared" si="964"/>
        <v>8.0343302378500681E-2</v>
      </c>
    </row>
    <row r="220" spans="1:20" x14ac:dyDescent="0.25">
      <c r="A220" s="5">
        <v>44373</v>
      </c>
      <c r="B220">
        <v>31576.09</v>
      </c>
      <c r="C220">
        <v>32730</v>
      </c>
      <c r="D220">
        <v>30151</v>
      </c>
      <c r="E220">
        <v>32283.65</v>
      </c>
      <c r="F220">
        <v>107820.375287</v>
      </c>
      <c r="G220">
        <v>2.2400000000000002</v>
      </c>
      <c r="L220" t="s">
        <v>7</v>
      </c>
      <c r="M220" t="s">
        <v>8</v>
      </c>
      <c r="N220" t="s">
        <v>7</v>
      </c>
      <c r="P220">
        <f t="shared" si="960"/>
        <v>0.65385808452888827</v>
      </c>
      <c r="Q220">
        <f t="shared" si="961"/>
        <v>70499.224058343709</v>
      </c>
      <c r="R220">
        <f t="shared" si="962"/>
        <v>7941104.5748127513</v>
      </c>
      <c r="S220">
        <f t="shared" si="963"/>
        <v>79.411045748127506</v>
      </c>
      <c r="T220">
        <f t="shared" si="964"/>
        <v>7.9411045748127504E-2</v>
      </c>
    </row>
    <row r="221" spans="1:20" x14ac:dyDescent="0.25">
      <c r="A221" s="5">
        <v>44372</v>
      </c>
      <c r="B221">
        <v>34663.08</v>
      </c>
      <c r="C221">
        <v>35500</v>
      </c>
      <c r="D221">
        <v>31275</v>
      </c>
      <c r="E221">
        <v>31584.45</v>
      </c>
      <c r="F221">
        <v>116061.13035599999</v>
      </c>
      <c r="G221">
        <v>-8.8800000000000008</v>
      </c>
      <c r="L221" t="s">
        <v>7</v>
      </c>
      <c r="M221" t="s">
        <v>8</v>
      </c>
      <c r="N221" t="s">
        <v>7</v>
      </c>
      <c r="P221">
        <f t="shared" si="960"/>
        <v>-0.8535147928994079</v>
      </c>
      <c r="Q221">
        <f t="shared" si="961"/>
        <v>-99059.891639472524</v>
      </c>
      <c r="R221">
        <f t="shared" si="962"/>
        <v>7870605.3507544072</v>
      </c>
      <c r="S221">
        <f t="shared" si="963"/>
        <v>78.70605350754407</v>
      </c>
      <c r="T221">
        <f t="shared" si="964"/>
        <v>7.8706053507544074E-2</v>
      </c>
    </row>
    <row r="222" spans="1:20" x14ac:dyDescent="0.25">
      <c r="A222" s="5">
        <v>44371</v>
      </c>
      <c r="B222">
        <v>33675.07</v>
      </c>
      <c r="C222">
        <v>35298</v>
      </c>
      <c r="D222">
        <v>32286.57</v>
      </c>
      <c r="E222">
        <v>34663.089999999997</v>
      </c>
      <c r="F222">
        <v>86625.804260000004</v>
      </c>
      <c r="G222">
        <v>2.93</v>
      </c>
      <c r="L222" t="s">
        <v>7</v>
      </c>
      <c r="M222" t="s">
        <v>8</v>
      </c>
      <c r="N222" t="s">
        <v>7</v>
      </c>
      <c r="P222">
        <f t="shared" si="960"/>
        <v>0.57833321710947727</v>
      </c>
      <c r="Q222">
        <f t="shared" si="961"/>
        <v>50098.580062381661</v>
      </c>
      <c r="R222">
        <f t="shared" si="962"/>
        <v>7969665.2423938802</v>
      </c>
      <c r="S222">
        <f t="shared" si="963"/>
        <v>79.696652423938801</v>
      </c>
      <c r="T222">
        <f t="shared" si="964"/>
        <v>7.9696652423938807E-2</v>
      </c>
    </row>
    <row r="223" spans="1:20" x14ac:dyDescent="0.25">
      <c r="A223" s="5">
        <v>44370</v>
      </c>
      <c r="B223">
        <v>32509.56</v>
      </c>
      <c r="C223">
        <v>34881</v>
      </c>
      <c r="D223">
        <v>31683</v>
      </c>
      <c r="E223">
        <v>33678.07</v>
      </c>
      <c r="F223">
        <v>126966.100563</v>
      </c>
      <c r="G223">
        <v>3.59</v>
      </c>
      <c r="L223" t="s">
        <v>8</v>
      </c>
      <c r="M223" t="s">
        <v>8</v>
      </c>
      <c r="N223" t="s">
        <v>7</v>
      </c>
      <c r="P223">
        <f t="shared" si="960"/>
        <v>0.24769856160100046</v>
      </c>
      <c r="Q223">
        <f t="shared" si="961"/>
        <v>31449.320481543073</v>
      </c>
      <c r="R223">
        <f t="shared" si="962"/>
        <v>7919566.6623314982</v>
      </c>
      <c r="S223">
        <f t="shared" si="963"/>
        <v>79.195666623314978</v>
      </c>
      <c r="T223">
        <f t="shared" si="964"/>
        <v>7.9195666623314981E-2</v>
      </c>
    </row>
    <row r="224" spans="1:20" x14ac:dyDescent="0.25">
      <c r="A224" s="5">
        <v>44369</v>
      </c>
      <c r="B224">
        <v>31614.12</v>
      </c>
      <c r="C224">
        <v>33298.78</v>
      </c>
      <c r="D224">
        <v>28805</v>
      </c>
      <c r="E224">
        <v>32509.56</v>
      </c>
      <c r="F224">
        <v>204208.17976200001</v>
      </c>
      <c r="G224">
        <v>2.83</v>
      </c>
      <c r="L224" t="s">
        <v>7</v>
      </c>
      <c r="M224" t="s">
        <v>7</v>
      </c>
      <c r="N224" t="s">
        <v>7</v>
      </c>
      <c r="P224">
        <f t="shared" si="960"/>
        <v>0.64875005006920783</v>
      </c>
      <c r="Q224">
        <f t="shared" si="961"/>
        <v>132480.06684513931</v>
      </c>
      <c r="R224">
        <f t="shared" si="962"/>
        <v>7888117.3418499548</v>
      </c>
      <c r="S224">
        <f t="shared" si="963"/>
        <v>78.881173418499543</v>
      </c>
      <c r="T224">
        <f t="shared" si="964"/>
        <v>7.8881173418499539E-2</v>
      </c>
    </row>
    <row r="225" spans="1:20" x14ac:dyDescent="0.25">
      <c r="A225" s="5">
        <v>44368</v>
      </c>
      <c r="B225">
        <v>35600.17</v>
      </c>
      <c r="C225">
        <v>35750</v>
      </c>
      <c r="D225">
        <v>31251.23</v>
      </c>
      <c r="E225">
        <v>31608.93</v>
      </c>
      <c r="F225">
        <v>168778.87315900001</v>
      </c>
      <c r="G225">
        <v>-11.21</v>
      </c>
      <c r="L225" t="s">
        <v>7</v>
      </c>
      <c r="M225" t="s">
        <v>7</v>
      </c>
      <c r="N225" t="s">
        <v>7</v>
      </c>
      <c r="P225">
        <f t="shared" si="960"/>
        <v>-0.84097875641564224</v>
      </c>
      <c r="Q225">
        <f t="shared" si="961"/>
        <v>-141939.44685848925</v>
      </c>
      <c r="R225">
        <f t="shared" si="962"/>
        <v>7755637.2750048153</v>
      </c>
      <c r="S225">
        <f t="shared" si="963"/>
        <v>77.556372750048155</v>
      </c>
      <c r="T225">
        <f t="shared" si="964"/>
        <v>7.7556372750048161E-2</v>
      </c>
    </row>
    <row r="226" spans="1:20" x14ac:dyDescent="0.25">
      <c r="A226" s="5">
        <v>44367</v>
      </c>
      <c r="B226">
        <v>35483.72</v>
      </c>
      <c r="C226">
        <v>36137.72</v>
      </c>
      <c r="D226">
        <v>33336</v>
      </c>
      <c r="E226">
        <v>35600.160000000003</v>
      </c>
      <c r="F226">
        <v>89878.170849999995</v>
      </c>
      <c r="G226">
        <v>0.33</v>
      </c>
      <c r="L226" t="s">
        <v>7</v>
      </c>
      <c r="M226" t="s">
        <v>7</v>
      </c>
      <c r="N226" t="s">
        <v>7</v>
      </c>
      <c r="P226">
        <f t="shared" si="960"/>
        <v>0.61626429479034495</v>
      </c>
      <c r="Q226">
        <f t="shared" si="961"/>
        <v>55388.707575921384</v>
      </c>
      <c r="R226">
        <f t="shared" si="962"/>
        <v>7897576.7218633043</v>
      </c>
      <c r="S226">
        <f t="shared" si="963"/>
        <v>78.975767218633038</v>
      </c>
      <c r="T226">
        <f t="shared" si="964"/>
        <v>7.8975767218633044E-2</v>
      </c>
    </row>
    <row r="227" spans="1:20" x14ac:dyDescent="0.25">
      <c r="A227" s="5">
        <v>44366</v>
      </c>
      <c r="B227">
        <v>35820.480000000003</v>
      </c>
      <c r="C227">
        <v>36457</v>
      </c>
      <c r="D227">
        <v>34803.519999999997</v>
      </c>
      <c r="E227">
        <v>35483.72</v>
      </c>
      <c r="F227">
        <v>68712.449460999997</v>
      </c>
      <c r="G227">
        <v>-0.94</v>
      </c>
      <c r="L227" t="s">
        <v>7</v>
      </c>
      <c r="M227" t="s">
        <v>8</v>
      </c>
      <c r="N227" t="s">
        <v>7</v>
      </c>
      <c r="P227">
        <f t="shared" si="960"/>
        <v>-0.17725040520598612</v>
      </c>
      <c r="Q227">
        <f t="shared" si="961"/>
        <v>-12179.309509658091</v>
      </c>
      <c r="R227">
        <f t="shared" si="962"/>
        <v>7842188.0142873833</v>
      </c>
      <c r="S227">
        <f t="shared" si="963"/>
        <v>78.421880142873832</v>
      </c>
      <c r="T227">
        <f t="shared" si="964"/>
        <v>7.8421880142873837E-2</v>
      </c>
    </row>
    <row r="228" spans="1:20" x14ac:dyDescent="0.25">
      <c r="A228" s="5">
        <v>44365</v>
      </c>
      <c r="B228">
        <v>38092.97</v>
      </c>
      <c r="C228">
        <v>38202.839999999997</v>
      </c>
      <c r="D228">
        <v>35129.29</v>
      </c>
      <c r="E228">
        <v>35819.839999999997</v>
      </c>
      <c r="F228">
        <v>95228.042935000005</v>
      </c>
      <c r="G228">
        <v>-5.97</v>
      </c>
      <c r="L228" t="s">
        <v>7</v>
      </c>
      <c r="M228" t="s">
        <v>8</v>
      </c>
      <c r="N228" t="s">
        <v>7</v>
      </c>
      <c r="P228">
        <f t="shared" si="960"/>
        <v>-0.55064989995282554</v>
      </c>
      <c r="Q228">
        <f t="shared" si="961"/>
        <v>-52437.312314861127</v>
      </c>
      <c r="R228">
        <f t="shared" si="962"/>
        <v>7854367.3237970416</v>
      </c>
      <c r="S228">
        <f t="shared" si="963"/>
        <v>78.54367323797041</v>
      </c>
      <c r="T228">
        <f t="shared" si="964"/>
        <v>7.8543673237970416E-2</v>
      </c>
    </row>
    <row r="229" spans="1:20" x14ac:dyDescent="0.25">
      <c r="A229" s="5">
        <v>44364</v>
      </c>
      <c r="B229">
        <v>38349</v>
      </c>
      <c r="C229">
        <v>39559.879999999997</v>
      </c>
      <c r="D229">
        <v>37365</v>
      </c>
      <c r="E229">
        <v>38092.97</v>
      </c>
      <c r="F229">
        <v>79541.307119000005</v>
      </c>
      <c r="G229">
        <v>-0.67</v>
      </c>
      <c r="L229" t="s">
        <v>7</v>
      </c>
      <c r="M229" t="s">
        <v>8</v>
      </c>
      <c r="N229" t="s">
        <v>7</v>
      </c>
      <c r="P229">
        <f t="shared" si="960"/>
        <v>-0.33666533022306272</v>
      </c>
      <c r="Q229">
        <f t="shared" si="961"/>
        <v>-26778.800427592185</v>
      </c>
      <c r="R229">
        <f t="shared" si="962"/>
        <v>7906804.636111903</v>
      </c>
      <c r="S229">
        <f t="shared" si="963"/>
        <v>79.068046361119031</v>
      </c>
      <c r="T229">
        <f t="shared" si="964"/>
        <v>7.9068046361119027E-2</v>
      </c>
    </row>
    <row r="230" spans="1:20" x14ac:dyDescent="0.25">
      <c r="A230" s="5">
        <v>44363</v>
      </c>
      <c r="B230">
        <v>40143.800000000003</v>
      </c>
      <c r="C230">
        <v>40527.14</v>
      </c>
      <c r="D230">
        <v>38116.01</v>
      </c>
      <c r="E230">
        <v>38349.01</v>
      </c>
      <c r="F230">
        <v>87771.976936999999</v>
      </c>
      <c r="G230">
        <v>-4.47</v>
      </c>
      <c r="L230" t="s">
        <v>7</v>
      </c>
      <c r="M230" t="s">
        <v>8</v>
      </c>
      <c r="N230" t="s">
        <v>7</v>
      </c>
      <c r="P230">
        <f t="shared" si="960"/>
        <v>-0.8067296246987925</v>
      </c>
      <c r="Q230">
        <f t="shared" si="961"/>
        <v>-70808.254013457074</v>
      </c>
      <c r="R230">
        <f t="shared" si="962"/>
        <v>7933583.4365394954</v>
      </c>
      <c r="S230">
        <f t="shared" si="963"/>
        <v>79.335834365394959</v>
      </c>
      <c r="T230">
        <f t="shared" si="964"/>
        <v>7.9335834365394958E-2</v>
      </c>
    </row>
    <row r="231" spans="1:20" x14ac:dyDescent="0.25">
      <c r="A231" s="5">
        <v>44362</v>
      </c>
      <c r="B231">
        <v>40516.28</v>
      </c>
      <c r="C231">
        <v>41330</v>
      </c>
      <c r="D231">
        <v>39506.400000000001</v>
      </c>
      <c r="E231">
        <v>40144.04</v>
      </c>
      <c r="F231">
        <v>80679.622837999996</v>
      </c>
      <c r="G231">
        <v>-0.92</v>
      </c>
      <c r="L231" t="s">
        <v>8</v>
      </c>
      <c r="M231" t="s">
        <v>8</v>
      </c>
      <c r="N231" t="s">
        <v>7</v>
      </c>
      <c r="P231">
        <f t="shared" si="960"/>
        <v>-0.30067997367843835</v>
      </c>
      <c r="Q231">
        <f t="shared" si="961"/>
        <v>-24258.746871316172</v>
      </c>
      <c r="R231">
        <f t="shared" si="962"/>
        <v>8004391.6905529527</v>
      </c>
      <c r="S231">
        <f t="shared" si="963"/>
        <v>80.043916905529528</v>
      </c>
      <c r="T231">
        <f t="shared" si="964"/>
        <v>8.0043916905529533E-2</v>
      </c>
    </row>
    <row r="232" spans="1:20" x14ac:dyDescent="0.25">
      <c r="A232" s="5">
        <v>44361</v>
      </c>
      <c r="B232">
        <v>39020.559999999998</v>
      </c>
      <c r="C232">
        <v>41064.050000000003</v>
      </c>
      <c r="D232">
        <v>38730</v>
      </c>
      <c r="E232">
        <v>40516.29</v>
      </c>
      <c r="F232">
        <v>108522.391949</v>
      </c>
      <c r="G232">
        <v>3.83</v>
      </c>
      <c r="L232" t="s">
        <v>8</v>
      </c>
      <c r="M232" t="s">
        <v>8</v>
      </c>
      <c r="N232" t="s">
        <v>7</v>
      </c>
      <c r="P232">
        <f t="shared" si="960"/>
        <v>0.53063559049720332</v>
      </c>
      <c r="Q232">
        <f t="shared" si="961"/>
        <v>57585.843534026557</v>
      </c>
      <c r="R232">
        <f t="shared" si="962"/>
        <v>8028650.4374242686</v>
      </c>
      <c r="S232">
        <f t="shared" si="963"/>
        <v>80.286504374242682</v>
      </c>
      <c r="T232">
        <f t="shared" si="964"/>
        <v>8.0286504374242687E-2</v>
      </c>
    </row>
    <row r="233" spans="1:20" x14ac:dyDescent="0.25">
      <c r="A233" s="5">
        <v>44360</v>
      </c>
      <c r="B233">
        <v>35546.120000000003</v>
      </c>
      <c r="C233">
        <v>39380</v>
      </c>
      <c r="D233">
        <v>34757</v>
      </c>
      <c r="E233">
        <v>39020.57</v>
      </c>
      <c r="F233">
        <v>86921.025555</v>
      </c>
      <c r="G233">
        <v>9.77</v>
      </c>
      <c r="L233" t="s">
        <v>8</v>
      </c>
      <c r="M233" t="s">
        <v>8</v>
      </c>
      <c r="N233" t="s">
        <v>7</v>
      </c>
      <c r="P233">
        <f t="shared" si="960"/>
        <v>0.8445035691109668</v>
      </c>
      <c r="Q233">
        <f t="shared" si="961"/>
        <v>73405.11631198306</v>
      </c>
      <c r="R233">
        <f t="shared" si="962"/>
        <v>7971064.5938902423</v>
      </c>
      <c r="S233">
        <f t="shared" si="963"/>
        <v>79.710645938902417</v>
      </c>
      <c r="T233">
        <f t="shared" si="964"/>
        <v>7.9710645938902411E-2</v>
      </c>
    </row>
    <row r="234" spans="1:20" x14ac:dyDescent="0.25">
      <c r="A234" s="5">
        <v>44359</v>
      </c>
      <c r="B234">
        <v>37331.980000000003</v>
      </c>
      <c r="C234">
        <v>37463.629999999997</v>
      </c>
      <c r="D234">
        <v>34600.36</v>
      </c>
      <c r="E234">
        <v>35546.11</v>
      </c>
      <c r="F234">
        <v>87717.54999</v>
      </c>
      <c r="G234">
        <v>-4.78</v>
      </c>
      <c r="L234" t="s">
        <v>7</v>
      </c>
      <c r="M234" t="s">
        <v>8</v>
      </c>
      <c r="N234" t="s">
        <v>7</v>
      </c>
      <c r="P234">
        <f t="shared" si="960"/>
        <v>-0.33939167455391839</v>
      </c>
      <c r="Q234">
        <f t="shared" si="961"/>
        <v>-29770.606178873146</v>
      </c>
      <c r="R234">
        <f t="shared" si="962"/>
        <v>7897659.4775782591</v>
      </c>
      <c r="S234">
        <f t="shared" si="963"/>
        <v>78.976594775782587</v>
      </c>
      <c r="T234">
        <f t="shared" si="964"/>
        <v>7.8976594775782588E-2</v>
      </c>
    </row>
    <row r="235" spans="1:20" x14ac:dyDescent="0.25">
      <c r="A235" s="5">
        <v>44358</v>
      </c>
      <c r="B235">
        <v>36677.83</v>
      </c>
      <c r="C235">
        <v>37680.400000000001</v>
      </c>
      <c r="D235">
        <v>35936.769999999997</v>
      </c>
      <c r="E235">
        <v>37331.980000000003</v>
      </c>
      <c r="F235">
        <v>78466.005300000004</v>
      </c>
      <c r="G235">
        <v>1.78</v>
      </c>
      <c r="L235" t="s">
        <v>7</v>
      </c>
      <c r="M235" t="s">
        <v>8</v>
      </c>
      <c r="N235" t="s">
        <v>7</v>
      </c>
      <c r="P235">
        <f t="shared" si="960"/>
        <v>0.60035099189621954</v>
      </c>
      <c r="Q235">
        <f t="shared" si="961"/>
        <v>47107.144111989022</v>
      </c>
      <c r="R235">
        <f t="shared" si="962"/>
        <v>7927430.0837571323</v>
      </c>
      <c r="S235">
        <f t="shared" si="963"/>
        <v>79.274300837571317</v>
      </c>
      <c r="T235">
        <f t="shared" si="964"/>
        <v>7.9274300837571324E-2</v>
      </c>
    </row>
    <row r="236" spans="1:20" x14ac:dyDescent="0.25">
      <c r="A236" s="5">
        <v>44357</v>
      </c>
      <c r="B236">
        <v>37388.050000000003</v>
      </c>
      <c r="C236">
        <v>38491</v>
      </c>
      <c r="D236">
        <v>35782</v>
      </c>
      <c r="E236">
        <v>36675.72</v>
      </c>
      <c r="F236">
        <v>109527.28494300001</v>
      </c>
      <c r="G236">
        <v>-1.91</v>
      </c>
      <c r="L236" t="s">
        <v>8</v>
      </c>
      <c r="M236" t="s">
        <v>8</v>
      </c>
      <c r="N236" t="s">
        <v>7</v>
      </c>
      <c r="P236">
        <f t="shared" si="960"/>
        <v>-0.34018456995201096</v>
      </c>
      <c r="Q236">
        <f t="shared" si="961"/>
        <v>-37259.492326345826</v>
      </c>
      <c r="R236">
        <f t="shared" si="962"/>
        <v>7880322.9396451432</v>
      </c>
      <c r="S236">
        <f t="shared" si="963"/>
        <v>78.803229396451428</v>
      </c>
      <c r="T236">
        <f t="shared" si="964"/>
        <v>7.880322939645143E-2</v>
      </c>
    </row>
    <row r="237" spans="1:20" x14ac:dyDescent="0.25">
      <c r="A237" s="5">
        <v>44356</v>
      </c>
      <c r="B237">
        <v>33380.800000000003</v>
      </c>
      <c r="C237">
        <v>37534.79</v>
      </c>
      <c r="D237">
        <v>32396.82</v>
      </c>
      <c r="E237">
        <v>37388.050000000003</v>
      </c>
      <c r="F237">
        <v>136607.59751699999</v>
      </c>
      <c r="G237">
        <v>12</v>
      </c>
      <c r="L237" t="s">
        <v>8</v>
      </c>
      <c r="M237" t="s">
        <v>8</v>
      </c>
      <c r="N237" t="s">
        <v>7</v>
      </c>
      <c r="P237">
        <f t="shared" si="960"/>
        <v>0.9428801647343219</v>
      </c>
      <c r="Q237">
        <f t="shared" si="961"/>
        <v>128804.59405078889</v>
      </c>
      <c r="R237">
        <f t="shared" si="962"/>
        <v>7917582.4319714895</v>
      </c>
      <c r="S237">
        <f t="shared" si="963"/>
        <v>79.175824319714891</v>
      </c>
      <c r="T237">
        <f t="shared" si="964"/>
        <v>7.9175824319714885E-2</v>
      </c>
    </row>
    <row r="238" spans="1:20" x14ac:dyDescent="0.25">
      <c r="A238" s="5">
        <v>44355</v>
      </c>
      <c r="B238">
        <v>33556.959999999999</v>
      </c>
      <c r="C238">
        <v>34068.01</v>
      </c>
      <c r="D238">
        <v>31000</v>
      </c>
      <c r="E238">
        <v>33380.81</v>
      </c>
      <c r="F238">
        <v>123251.189037</v>
      </c>
      <c r="G238">
        <v>-0.52</v>
      </c>
      <c r="L238" t="s">
        <v>7</v>
      </c>
      <c r="M238" t="s">
        <v>7</v>
      </c>
      <c r="N238" t="s">
        <v>7</v>
      </c>
      <c r="P238">
        <f t="shared" si="960"/>
        <v>0.55202232065736168</v>
      </c>
      <c r="Q238">
        <f t="shared" si="961"/>
        <v>68037.407395983915</v>
      </c>
      <c r="R238">
        <f t="shared" si="962"/>
        <v>7788777.8379207002</v>
      </c>
      <c r="S238">
        <f t="shared" si="963"/>
        <v>77.887778379207006</v>
      </c>
      <c r="T238">
        <f t="shared" si="964"/>
        <v>7.7887778379207004E-2</v>
      </c>
    </row>
    <row r="239" spans="1:20" x14ac:dyDescent="0.25">
      <c r="A239" s="5">
        <v>44354</v>
      </c>
      <c r="B239">
        <v>35796.31</v>
      </c>
      <c r="C239">
        <v>36900</v>
      </c>
      <c r="D239">
        <v>33300</v>
      </c>
      <c r="E239">
        <v>33552.79</v>
      </c>
      <c r="F239">
        <v>77574.952573000002</v>
      </c>
      <c r="G239">
        <v>-6.27</v>
      </c>
      <c r="L239" t="s">
        <v>7</v>
      </c>
      <c r="M239" t="s">
        <v>7</v>
      </c>
      <c r="N239" t="s">
        <v>7</v>
      </c>
      <c r="P239">
        <f t="shared" si="960"/>
        <v>-0.85956111111111067</v>
      </c>
      <c r="Q239">
        <f t="shared" si="961"/>
        <v>-66680.412428039592</v>
      </c>
      <c r="R239">
        <f t="shared" si="962"/>
        <v>7720740.4305247162</v>
      </c>
      <c r="S239">
        <f t="shared" si="963"/>
        <v>77.207404305247167</v>
      </c>
      <c r="T239">
        <f t="shared" si="964"/>
        <v>7.7207404305247168E-2</v>
      </c>
    </row>
    <row r="240" spans="1:20" x14ac:dyDescent="0.25">
      <c r="A240" s="5">
        <v>44353</v>
      </c>
      <c r="B240">
        <v>35516.07</v>
      </c>
      <c r="C240">
        <v>36480</v>
      </c>
      <c r="D240">
        <v>35222</v>
      </c>
      <c r="E240">
        <v>35796.31</v>
      </c>
      <c r="F240">
        <v>47650.206637000003</v>
      </c>
      <c r="G240">
        <v>0.79</v>
      </c>
      <c r="L240" t="s">
        <v>7</v>
      </c>
      <c r="M240" t="s">
        <v>7</v>
      </c>
      <c r="N240" t="s">
        <v>7</v>
      </c>
      <c r="P240">
        <f t="shared" si="960"/>
        <v>-8.6947535771068882E-2</v>
      </c>
      <c r="Q240">
        <f t="shared" si="961"/>
        <v>-4143.068046069382</v>
      </c>
      <c r="R240">
        <f t="shared" si="962"/>
        <v>7787420.8429527553</v>
      </c>
      <c r="S240">
        <f t="shared" si="963"/>
        <v>77.874208429527556</v>
      </c>
      <c r="T240">
        <f t="shared" si="964"/>
        <v>7.7874208429527553E-2</v>
      </c>
    </row>
    <row r="241" spans="1:20" x14ac:dyDescent="0.25">
      <c r="A241" s="5">
        <v>44352</v>
      </c>
      <c r="B241">
        <v>36829.15</v>
      </c>
      <c r="C241">
        <v>37925</v>
      </c>
      <c r="D241">
        <v>34800</v>
      </c>
      <c r="E241">
        <v>35513.199999999997</v>
      </c>
      <c r="F241">
        <v>70459.621490000005</v>
      </c>
      <c r="G241">
        <v>-3.57</v>
      </c>
      <c r="L241" t="s">
        <v>7</v>
      </c>
      <c r="M241" t="s">
        <v>7</v>
      </c>
      <c r="N241" t="s">
        <v>7</v>
      </c>
      <c r="P241">
        <f t="shared" si="960"/>
        <v>-0.54355200000000181</v>
      </c>
      <c r="Q241">
        <f t="shared" si="961"/>
        <v>-38298.468180132608</v>
      </c>
      <c r="R241">
        <f t="shared" si="962"/>
        <v>7791563.910998825</v>
      </c>
      <c r="S241">
        <f t="shared" si="963"/>
        <v>77.915639109988248</v>
      </c>
      <c r="T241">
        <f t="shared" si="964"/>
        <v>7.7915639109988249E-2</v>
      </c>
    </row>
    <row r="242" spans="1:20" x14ac:dyDescent="0.25">
      <c r="A242" s="5">
        <v>44351</v>
      </c>
      <c r="B242">
        <v>39246.78</v>
      </c>
      <c r="C242">
        <v>39289.07</v>
      </c>
      <c r="D242">
        <v>35555.15</v>
      </c>
      <c r="E242">
        <v>36829</v>
      </c>
      <c r="F242">
        <v>91317.799245000002</v>
      </c>
      <c r="G242">
        <v>-6.16</v>
      </c>
      <c r="L242" t="s">
        <v>7</v>
      </c>
      <c r="M242" t="s">
        <v>7</v>
      </c>
      <c r="N242" t="s">
        <v>7</v>
      </c>
      <c r="P242">
        <f t="shared" si="960"/>
        <v>-0.31768757766636718</v>
      </c>
      <c r="Q242">
        <f t="shared" si="961"/>
        <v>-29010.530439967664</v>
      </c>
      <c r="R242">
        <f t="shared" si="962"/>
        <v>7829862.379178958</v>
      </c>
      <c r="S242">
        <f t="shared" si="963"/>
        <v>78.298623791789581</v>
      </c>
      <c r="T242">
        <f t="shared" si="964"/>
        <v>7.8298623791789576E-2</v>
      </c>
    </row>
    <row r="243" spans="1:20" x14ac:dyDescent="0.25">
      <c r="A243" s="5">
        <v>44350</v>
      </c>
      <c r="B243">
        <v>37568.68</v>
      </c>
      <c r="C243">
        <v>39476</v>
      </c>
      <c r="D243">
        <v>37170</v>
      </c>
      <c r="E243">
        <v>39246.79</v>
      </c>
      <c r="F243">
        <v>75889.106010999996</v>
      </c>
      <c r="G243">
        <v>4.47</v>
      </c>
      <c r="L243" t="s">
        <v>8</v>
      </c>
      <c r="M243" t="s">
        <v>7</v>
      </c>
      <c r="N243" t="s">
        <v>7</v>
      </c>
      <c r="P243">
        <f t="shared" si="960"/>
        <v>0.80120555073720801</v>
      </c>
      <c r="Q243">
        <f t="shared" si="961"/>
        <v>60802.772976497617</v>
      </c>
      <c r="R243">
        <f t="shared" si="962"/>
        <v>7858872.9096189253</v>
      </c>
      <c r="S243">
        <f t="shared" si="963"/>
        <v>78.588729096189255</v>
      </c>
      <c r="T243">
        <f t="shared" si="964"/>
        <v>7.8588729096189261E-2</v>
      </c>
    </row>
    <row r="244" spans="1:20" x14ac:dyDescent="0.25">
      <c r="A244" s="5">
        <v>44349</v>
      </c>
      <c r="B244">
        <v>36694.85</v>
      </c>
      <c r="C244">
        <v>38225</v>
      </c>
      <c r="D244">
        <v>35920</v>
      </c>
      <c r="E244">
        <v>37568.68</v>
      </c>
      <c r="F244">
        <v>67587.372495000003</v>
      </c>
      <c r="G244">
        <v>2.38</v>
      </c>
      <c r="L244" t="s">
        <v>8</v>
      </c>
      <c r="M244" t="s">
        <v>7</v>
      </c>
      <c r="N244" t="s">
        <v>7</v>
      </c>
      <c r="P244">
        <f t="shared" si="960"/>
        <v>0.43052494577006534</v>
      </c>
      <c r="Q244">
        <f t="shared" si="961"/>
        <v>29098.049878151083</v>
      </c>
      <c r="R244">
        <f t="shared" si="962"/>
        <v>7798070.1366424281</v>
      </c>
      <c r="S244">
        <f t="shared" si="963"/>
        <v>77.980701366424285</v>
      </c>
      <c r="T244">
        <f t="shared" si="964"/>
        <v>7.7980701366424279E-2</v>
      </c>
    </row>
    <row r="245" spans="1:20" x14ac:dyDescent="0.25">
      <c r="A245" s="5">
        <v>44348</v>
      </c>
      <c r="B245">
        <v>37253.82</v>
      </c>
      <c r="C245">
        <v>37894.81</v>
      </c>
      <c r="D245">
        <v>35666</v>
      </c>
      <c r="E245">
        <v>36693.089999999997</v>
      </c>
      <c r="F245">
        <v>81234.663769999999</v>
      </c>
      <c r="G245">
        <v>-1.51</v>
      </c>
      <c r="L245" t="s">
        <v>8</v>
      </c>
      <c r="M245" t="s">
        <v>7</v>
      </c>
      <c r="N245" t="s">
        <v>7</v>
      </c>
      <c r="P245">
        <f t="shared" si="960"/>
        <v>-7.835122778523286E-2</v>
      </c>
      <c r="Q245">
        <f t="shared" si="961"/>
        <v>-6364.8356451000727</v>
      </c>
      <c r="R245">
        <f t="shared" si="962"/>
        <v>7768972.086764277</v>
      </c>
      <c r="S245">
        <f t="shared" si="963"/>
        <v>77.689720867642777</v>
      </c>
      <c r="T245">
        <f t="shared" si="964"/>
        <v>7.7689720867642781E-2</v>
      </c>
    </row>
    <row r="246" spans="1:20" x14ac:dyDescent="0.25">
      <c r="A246" s="5">
        <v>44347</v>
      </c>
      <c r="B246">
        <v>35641.26</v>
      </c>
      <c r="C246">
        <v>37499</v>
      </c>
      <c r="D246">
        <v>34153.839999999997</v>
      </c>
      <c r="E246">
        <v>37253.81</v>
      </c>
      <c r="F246">
        <v>94160.735289000004</v>
      </c>
      <c r="G246">
        <v>4.5199999999999996</v>
      </c>
      <c r="L246" t="s">
        <v>8</v>
      </c>
      <c r="M246" t="s">
        <v>7</v>
      </c>
      <c r="N246" t="s">
        <v>7</v>
      </c>
      <c r="P246">
        <f t="shared" si="960"/>
        <v>0.8534061151036112</v>
      </c>
      <c r="Q246">
        <f t="shared" si="961"/>
        <v>80357.347298285007</v>
      </c>
      <c r="R246">
        <f t="shared" si="962"/>
        <v>7775336.9224093771</v>
      </c>
      <c r="S246">
        <f t="shared" si="963"/>
        <v>77.753369224093774</v>
      </c>
      <c r="T246">
        <f t="shared" si="964"/>
        <v>7.7753369224093774E-2</v>
      </c>
    </row>
    <row r="247" spans="1:20" x14ac:dyDescent="0.25">
      <c r="A247" s="5">
        <v>44346</v>
      </c>
      <c r="B247">
        <v>34605.15</v>
      </c>
      <c r="C247">
        <v>36488</v>
      </c>
      <c r="D247">
        <v>33379</v>
      </c>
      <c r="E247">
        <v>35641.269999999997</v>
      </c>
      <c r="F247">
        <v>73535.386966999999</v>
      </c>
      <c r="G247">
        <v>2.99</v>
      </c>
      <c r="L247" t="s">
        <v>7</v>
      </c>
      <c r="M247" t="s">
        <v>7</v>
      </c>
      <c r="N247" t="s">
        <v>7</v>
      </c>
      <c r="P247">
        <f t="shared" si="960"/>
        <v>0.45530395625602882</v>
      </c>
      <c r="Q247">
        <f t="shared" si="961"/>
        <v>33480.952610893117</v>
      </c>
      <c r="R247">
        <f t="shared" si="962"/>
        <v>7694979.5751110921</v>
      </c>
      <c r="S247">
        <f t="shared" si="963"/>
        <v>76.949795751110926</v>
      </c>
      <c r="T247">
        <f t="shared" si="964"/>
        <v>7.6949795751110925E-2</v>
      </c>
    </row>
    <row r="248" spans="1:20" x14ac:dyDescent="0.25">
      <c r="A248" s="5">
        <v>44345</v>
      </c>
      <c r="B248">
        <v>35661.79</v>
      </c>
      <c r="C248">
        <v>37338.58</v>
      </c>
      <c r="D248">
        <v>33632.76</v>
      </c>
      <c r="E248">
        <v>34605.15</v>
      </c>
      <c r="F248">
        <v>112663.092689</v>
      </c>
      <c r="G248">
        <v>-2.96</v>
      </c>
      <c r="L248" t="s">
        <v>7</v>
      </c>
      <c r="M248" t="s">
        <v>7</v>
      </c>
      <c r="N248" t="s">
        <v>7</v>
      </c>
      <c r="P248">
        <f t="shared" si="960"/>
        <v>-0.47520926542573599</v>
      </c>
      <c r="Q248">
        <f t="shared" si="961"/>
        <v>-53538.545517331295</v>
      </c>
      <c r="R248">
        <f t="shared" si="962"/>
        <v>7661498.6225001989</v>
      </c>
      <c r="S248">
        <f t="shared" si="963"/>
        <v>76.614986225001985</v>
      </c>
      <c r="T248">
        <f t="shared" si="964"/>
        <v>7.6614986225001985E-2</v>
      </c>
    </row>
    <row r="249" spans="1:20" x14ac:dyDescent="0.25">
      <c r="A249" s="5">
        <v>44344</v>
      </c>
      <c r="B249">
        <v>38529.99</v>
      </c>
      <c r="C249">
        <v>38877.83</v>
      </c>
      <c r="D249">
        <v>34684</v>
      </c>
      <c r="E249">
        <v>35663.49</v>
      </c>
      <c r="F249">
        <v>135377.62972</v>
      </c>
      <c r="G249">
        <v>-7.44</v>
      </c>
      <c r="L249" t="s">
        <v>7</v>
      </c>
      <c r="M249" t="s">
        <v>8</v>
      </c>
      <c r="N249" t="s">
        <v>7</v>
      </c>
      <c r="P249">
        <f t="shared" si="960"/>
        <v>-0.53288998361879358</v>
      </c>
      <c r="Q249">
        <f t="shared" si="961"/>
        <v>-72141.382883841899</v>
      </c>
      <c r="R249">
        <f t="shared" si="962"/>
        <v>7715037.1680175299</v>
      </c>
      <c r="S249">
        <f t="shared" si="963"/>
        <v>77.150371680175297</v>
      </c>
      <c r="T249">
        <f t="shared" si="964"/>
        <v>7.71503716801753E-2</v>
      </c>
    </row>
    <row r="250" spans="1:20" x14ac:dyDescent="0.25">
      <c r="A250" s="5">
        <v>44343</v>
      </c>
      <c r="B250">
        <v>39241.919999999998</v>
      </c>
      <c r="C250">
        <v>40411.14</v>
      </c>
      <c r="D250">
        <v>37134.269999999997</v>
      </c>
      <c r="E250">
        <v>38529.980000000003</v>
      </c>
      <c r="F250">
        <v>86547.158794000003</v>
      </c>
      <c r="G250">
        <v>-1.81</v>
      </c>
      <c r="L250" t="s">
        <v>7</v>
      </c>
      <c r="M250" t="s">
        <v>8</v>
      </c>
      <c r="N250" t="s">
        <v>7</v>
      </c>
      <c r="P250">
        <f t="shared" si="960"/>
        <v>-0.14814441830160777</v>
      </c>
      <c r="Q250">
        <f t="shared" si="961"/>
        <v>-12821.478495194007</v>
      </c>
      <c r="R250">
        <f t="shared" si="962"/>
        <v>7787178.550901372</v>
      </c>
      <c r="S250">
        <f t="shared" si="963"/>
        <v>77.871785509013719</v>
      </c>
      <c r="T250">
        <f t="shared" si="964"/>
        <v>7.7871785509013719E-2</v>
      </c>
    </row>
    <row r="251" spans="1:20" x14ac:dyDescent="0.25">
      <c r="A251" s="5">
        <v>44342</v>
      </c>
      <c r="B251">
        <v>38324.720000000001</v>
      </c>
      <c r="C251">
        <v>40841</v>
      </c>
      <c r="D251">
        <v>37800.44</v>
      </c>
      <c r="E251">
        <v>39241.910000000003</v>
      </c>
      <c r="F251">
        <v>104780.773396</v>
      </c>
      <c r="G251">
        <v>2.39</v>
      </c>
      <c r="L251" t="s">
        <v>8</v>
      </c>
      <c r="M251" t="s">
        <v>8</v>
      </c>
      <c r="N251" t="s">
        <v>7</v>
      </c>
      <c r="P251">
        <f t="shared" si="960"/>
        <v>-5.1839134896201837E-2</v>
      </c>
      <c r="Q251">
        <f t="shared" si="961"/>
        <v>-5431.7446466036008</v>
      </c>
      <c r="R251">
        <f t="shared" si="962"/>
        <v>7800000.0293965656</v>
      </c>
      <c r="S251">
        <f t="shared" si="963"/>
        <v>78.000000293965655</v>
      </c>
      <c r="T251">
        <f t="shared" si="964"/>
        <v>7.8000000293965657E-2</v>
      </c>
    </row>
    <row r="252" spans="1:20" x14ac:dyDescent="0.25">
      <c r="A252" s="5">
        <v>44341</v>
      </c>
      <c r="B252">
        <v>38810.99</v>
      </c>
      <c r="C252">
        <v>39791.769999999997</v>
      </c>
      <c r="D252">
        <v>36419.620000000003</v>
      </c>
      <c r="E252">
        <v>38324.720000000001</v>
      </c>
      <c r="F252">
        <v>111996.22840399999</v>
      </c>
      <c r="G252">
        <v>-1.25</v>
      </c>
      <c r="L252" t="s">
        <v>7</v>
      </c>
      <c r="M252" t="s">
        <v>8</v>
      </c>
      <c r="N252" t="s">
        <v>7</v>
      </c>
      <c r="P252">
        <f t="shared" si="960"/>
        <v>0.1299022878578959</v>
      </c>
      <c r="Q252">
        <f t="shared" si="961"/>
        <v>14548.566301135064</v>
      </c>
      <c r="R252">
        <f t="shared" si="962"/>
        <v>7805431.7740431689</v>
      </c>
      <c r="S252">
        <f t="shared" si="963"/>
        <v>78.054317740431685</v>
      </c>
      <c r="T252">
        <f t="shared" si="964"/>
        <v>7.8054317740431686E-2</v>
      </c>
    </row>
    <row r="253" spans="1:20" x14ac:dyDescent="0.25">
      <c r="A253" s="5">
        <v>44340</v>
      </c>
      <c r="B253">
        <v>34681.440000000002</v>
      </c>
      <c r="C253">
        <v>39920</v>
      </c>
      <c r="D253">
        <v>34031</v>
      </c>
      <c r="E253">
        <v>38796.29</v>
      </c>
      <c r="F253">
        <v>161630.89397100001</v>
      </c>
      <c r="G253">
        <v>11.86</v>
      </c>
      <c r="L253" t="s">
        <v>8</v>
      </c>
      <c r="M253" t="s">
        <v>8</v>
      </c>
      <c r="N253" t="s">
        <v>7</v>
      </c>
      <c r="P253">
        <f t="shared" si="960"/>
        <v>0.61836984207845169</v>
      </c>
      <c r="Q253">
        <f t="shared" si="961"/>
        <v>99947.67037984624</v>
      </c>
      <c r="R253">
        <f t="shared" si="962"/>
        <v>7790883.2077420335</v>
      </c>
      <c r="S253">
        <f t="shared" si="963"/>
        <v>77.908832077420328</v>
      </c>
      <c r="T253">
        <f t="shared" si="964"/>
        <v>7.7908832077420331E-2</v>
      </c>
    </row>
    <row r="254" spans="1:20" x14ac:dyDescent="0.25">
      <c r="A254" s="5">
        <v>44339</v>
      </c>
      <c r="B254">
        <v>37458.51</v>
      </c>
      <c r="C254">
        <v>38270.639999999999</v>
      </c>
      <c r="D254">
        <v>31111.01</v>
      </c>
      <c r="E254">
        <v>34655.25</v>
      </c>
      <c r="F254">
        <v>217136.04659300001</v>
      </c>
      <c r="G254">
        <v>-7.48</v>
      </c>
      <c r="L254" t="s">
        <v>7</v>
      </c>
      <c r="M254" t="s">
        <v>7</v>
      </c>
      <c r="N254" t="s">
        <v>7</v>
      </c>
      <c r="P254">
        <f t="shared" si="960"/>
        <v>-9.937664376510771E-3</v>
      </c>
      <c r="Q254">
        <f t="shared" si="961"/>
        <v>-2157.8251550836389</v>
      </c>
      <c r="R254">
        <f t="shared" si="962"/>
        <v>7690935.5373621872</v>
      </c>
      <c r="S254">
        <f t="shared" si="963"/>
        <v>76.909355373621878</v>
      </c>
      <c r="T254">
        <f t="shared" si="964"/>
        <v>7.6909355373621882E-2</v>
      </c>
    </row>
    <row r="255" spans="1:20" x14ac:dyDescent="0.25">
      <c r="A255" s="5">
        <v>44338</v>
      </c>
      <c r="B255">
        <v>37263.35</v>
      </c>
      <c r="C255">
        <v>38829</v>
      </c>
      <c r="D255">
        <v>35200.620000000003</v>
      </c>
      <c r="E255">
        <v>37449.730000000003</v>
      </c>
      <c r="F255">
        <v>126542.243689</v>
      </c>
      <c r="G255">
        <v>0.5</v>
      </c>
      <c r="L255" t="s">
        <v>8</v>
      </c>
      <c r="M255" t="s">
        <v>7</v>
      </c>
      <c r="N255" t="s">
        <v>7</v>
      </c>
      <c r="P255">
        <f t="shared" si="960"/>
        <v>0.23973233233564412</v>
      </c>
      <c r="Q255">
        <f t="shared" si="961"/>
        <v>30336.267218549412</v>
      </c>
      <c r="R255">
        <f t="shared" si="962"/>
        <v>7693093.3625172712</v>
      </c>
      <c r="S255">
        <f t="shared" si="963"/>
        <v>76.930933625172713</v>
      </c>
      <c r="T255">
        <f t="shared" si="964"/>
        <v>7.6930933625172712E-2</v>
      </c>
    </row>
    <row r="256" spans="1:20" x14ac:dyDescent="0.25">
      <c r="A256" s="5">
        <v>44337</v>
      </c>
      <c r="B256">
        <v>40525.39</v>
      </c>
      <c r="C256">
        <v>42200</v>
      </c>
      <c r="D256">
        <v>33488</v>
      </c>
      <c r="E256">
        <v>37252.01</v>
      </c>
      <c r="F256">
        <v>202100.88825799999</v>
      </c>
      <c r="G256">
        <v>-8.08</v>
      </c>
      <c r="L256" t="s">
        <v>7</v>
      </c>
      <c r="M256" t="s">
        <v>7</v>
      </c>
      <c r="N256" t="s">
        <v>7</v>
      </c>
      <c r="P256">
        <f t="shared" si="960"/>
        <v>-0.13590220385674884</v>
      </c>
      <c r="Q256">
        <f t="shared" si="961"/>
        <v>-27465.956115668734</v>
      </c>
      <c r="R256">
        <f t="shared" si="962"/>
        <v>7662757.0952987215</v>
      </c>
      <c r="S256">
        <f t="shared" si="963"/>
        <v>76.627570952987213</v>
      </c>
      <c r="T256">
        <f t="shared" si="964"/>
        <v>7.6627570952987209E-2</v>
      </c>
    </row>
    <row r="257" spans="1:20" x14ac:dyDescent="0.25">
      <c r="A257" s="5">
        <v>44336</v>
      </c>
      <c r="B257">
        <v>36671.230000000003</v>
      </c>
      <c r="C257">
        <v>42451.67</v>
      </c>
      <c r="D257">
        <v>34850</v>
      </c>
      <c r="E257">
        <v>40526.639999999999</v>
      </c>
      <c r="F257">
        <v>203017.596923</v>
      </c>
      <c r="G257">
        <v>10.51</v>
      </c>
      <c r="L257" t="s">
        <v>8</v>
      </c>
      <c r="M257" t="s">
        <v>8</v>
      </c>
      <c r="N257" t="s">
        <v>7</v>
      </c>
      <c r="P257">
        <f t="shared" si="960"/>
        <v>0.49352444923286615</v>
      </c>
      <c r="Q257">
        <f t="shared" si="961"/>
        <v>100194.1477060036</v>
      </c>
      <c r="R257">
        <f t="shared" si="962"/>
        <v>7690223.0514143901</v>
      </c>
      <c r="S257">
        <f t="shared" si="963"/>
        <v>76.902230514143895</v>
      </c>
      <c r="T257">
        <f t="shared" si="964"/>
        <v>7.6902230514143896E-2</v>
      </c>
    </row>
    <row r="258" spans="1:20" x14ac:dyDescent="0.25">
      <c r="A258" s="5">
        <v>44335</v>
      </c>
      <c r="B258">
        <v>42849.78</v>
      </c>
      <c r="C258">
        <v>43584.9</v>
      </c>
      <c r="D258">
        <v>30000</v>
      </c>
      <c r="E258">
        <v>36690.089999999997</v>
      </c>
      <c r="F258">
        <v>354347.24316100002</v>
      </c>
      <c r="G258">
        <v>-14.38</v>
      </c>
      <c r="L258" t="s">
        <v>7</v>
      </c>
      <c r="M258" t="s">
        <v>7</v>
      </c>
      <c r="N258" t="s">
        <v>7</v>
      </c>
      <c r="P258">
        <f t="shared" si="960"/>
        <v>-1.5069672945697681E-2</v>
      </c>
      <c r="Q258">
        <f t="shared" si="961"/>
        <v>-5339.8970636458798</v>
      </c>
      <c r="R258">
        <f t="shared" si="962"/>
        <v>7590028.9037083862</v>
      </c>
      <c r="S258">
        <f t="shared" si="963"/>
        <v>75.900289037083866</v>
      </c>
      <c r="T258">
        <f t="shared" si="964"/>
        <v>7.590028903708386E-2</v>
      </c>
    </row>
    <row r="259" spans="1:20" x14ac:dyDescent="0.25">
      <c r="A259" s="5">
        <v>44334</v>
      </c>
      <c r="B259">
        <v>43538.02</v>
      </c>
      <c r="C259">
        <v>45799.29</v>
      </c>
      <c r="D259">
        <v>42250.02</v>
      </c>
      <c r="E259">
        <v>42849.78</v>
      </c>
      <c r="F259">
        <v>116979.860784</v>
      </c>
      <c r="G259">
        <v>-1.58</v>
      </c>
      <c r="L259" t="s">
        <v>8</v>
      </c>
      <c r="M259" t="s">
        <v>7</v>
      </c>
      <c r="N259" t="s">
        <v>7</v>
      </c>
      <c r="P259">
        <f t="shared" si="960"/>
        <v>-0.66203754574884333</v>
      </c>
      <c r="Q259">
        <f t="shared" si="961"/>
        <v>-77445.05993548072</v>
      </c>
      <c r="R259">
        <f t="shared" si="962"/>
        <v>7595368.8007720318</v>
      </c>
      <c r="S259">
        <f t="shared" si="963"/>
        <v>75.953688007720316</v>
      </c>
      <c r="T259">
        <f t="shared" si="964"/>
        <v>7.5953688007720316E-2</v>
      </c>
    </row>
    <row r="260" spans="1:20" x14ac:dyDescent="0.25">
      <c r="A260" s="5">
        <v>44333</v>
      </c>
      <c r="B260">
        <v>46426.83</v>
      </c>
      <c r="C260">
        <v>46686</v>
      </c>
      <c r="D260">
        <v>42001</v>
      </c>
      <c r="E260">
        <v>43538.04</v>
      </c>
      <c r="F260">
        <v>166657.17273600001</v>
      </c>
      <c r="G260">
        <v>-6.22</v>
      </c>
      <c r="L260" t="s">
        <v>7</v>
      </c>
      <c r="M260" t="s">
        <v>7</v>
      </c>
      <c r="N260" t="s">
        <v>7</v>
      </c>
      <c r="P260">
        <f t="shared" si="960"/>
        <v>-0.34384631803628563</v>
      </c>
      <c r="Q260">
        <f t="shared" si="961"/>
        <v>-57304.455219610849</v>
      </c>
      <c r="R260">
        <f t="shared" si="962"/>
        <v>7672813.8607075121</v>
      </c>
      <c r="S260">
        <f t="shared" si="963"/>
        <v>76.728138607075124</v>
      </c>
      <c r="T260">
        <f t="shared" si="964"/>
        <v>7.6728138607075128E-2</v>
      </c>
    </row>
    <row r="261" spans="1:20" x14ac:dyDescent="0.25">
      <c r="A261" s="5">
        <v>44332</v>
      </c>
      <c r="B261">
        <v>46762.99</v>
      </c>
      <c r="C261">
        <v>49795.89</v>
      </c>
      <c r="D261">
        <v>43825.39</v>
      </c>
      <c r="E261">
        <v>46431.5</v>
      </c>
      <c r="F261">
        <v>114269.812775</v>
      </c>
      <c r="G261">
        <v>-0.71</v>
      </c>
      <c r="L261" t="s">
        <v>7</v>
      </c>
      <c r="M261" t="s">
        <v>7</v>
      </c>
      <c r="N261" t="s">
        <v>7</v>
      </c>
      <c r="P261">
        <f t="shared" si="960"/>
        <v>-0.12700443848923856</v>
      </c>
      <c r="Q261">
        <f t="shared" si="961"/>
        <v>-14512.773407759294</v>
      </c>
      <c r="R261">
        <f t="shared" si="962"/>
        <v>7730118.3159271227</v>
      </c>
      <c r="S261">
        <f t="shared" si="963"/>
        <v>77.301183159271233</v>
      </c>
      <c r="T261">
        <f t="shared" si="964"/>
        <v>7.7301183159271231E-2</v>
      </c>
    </row>
    <row r="262" spans="1:20" x14ac:dyDescent="0.25">
      <c r="A262" s="5">
        <v>44331</v>
      </c>
      <c r="B262">
        <v>49844.160000000003</v>
      </c>
      <c r="C262">
        <v>50700</v>
      </c>
      <c r="D262">
        <v>46555</v>
      </c>
      <c r="E262">
        <v>46762.99</v>
      </c>
      <c r="F262">
        <v>89437.449359000006</v>
      </c>
      <c r="G262">
        <v>-6.18</v>
      </c>
      <c r="L262" t="s">
        <v>7</v>
      </c>
      <c r="M262" t="s">
        <v>7</v>
      </c>
      <c r="N262" t="s">
        <v>7</v>
      </c>
      <c r="P262">
        <f t="shared" ref="P262:P325" si="965">IF(C262=D262,0,((E262-D262)-(C262-E262))/(C262-D262))</f>
        <v>-0.8996429433051879</v>
      </c>
      <c r="Q262">
        <f t="shared" ref="Q262:Q325" si="966">F262*P262</f>
        <v>-80461.770183039451</v>
      </c>
      <c r="R262">
        <f t="shared" ref="R262:R325" si="967">R263+Q262</f>
        <v>7744631.0893348819</v>
      </c>
      <c r="S262">
        <f t="shared" ref="S262:S325" si="968">R262/100000</f>
        <v>77.446310893348823</v>
      </c>
      <c r="T262">
        <f t="shared" ref="T262:T325" si="969">S262/1000</f>
        <v>7.744631089334883E-2</v>
      </c>
    </row>
    <row r="263" spans="1:20" x14ac:dyDescent="0.25">
      <c r="A263" s="5">
        <v>44330</v>
      </c>
      <c r="B263">
        <v>49671.92</v>
      </c>
      <c r="C263">
        <v>51483</v>
      </c>
      <c r="D263">
        <v>48799.75</v>
      </c>
      <c r="E263">
        <v>49841.45</v>
      </c>
      <c r="F263">
        <v>80082.204306</v>
      </c>
      <c r="G263">
        <v>0.34</v>
      </c>
      <c r="L263" t="s">
        <v>8</v>
      </c>
      <c r="M263" t="s">
        <v>7</v>
      </c>
      <c r="N263" t="s">
        <v>7</v>
      </c>
      <c r="P263">
        <f t="shared" si="965"/>
        <v>-0.22355352650703655</v>
      </c>
      <c r="Q263">
        <f t="shared" si="966"/>
        <v>-17902.659183063286</v>
      </c>
      <c r="R263">
        <f t="shared" si="967"/>
        <v>7825092.8595179217</v>
      </c>
      <c r="S263">
        <f t="shared" si="968"/>
        <v>78.250928595179218</v>
      </c>
      <c r="T263">
        <f t="shared" si="969"/>
        <v>7.8250928595179223E-2</v>
      </c>
    </row>
    <row r="264" spans="1:20" x14ac:dyDescent="0.25">
      <c r="A264" s="5">
        <v>44329</v>
      </c>
      <c r="B264">
        <v>49537.15</v>
      </c>
      <c r="C264">
        <v>51367.19</v>
      </c>
      <c r="D264">
        <v>46000</v>
      </c>
      <c r="E264">
        <v>49670.97</v>
      </c>
      <c r="F264">
        <v>147332.002121</v>
      </c>
      <c r="G264">
        <v>0.27</v>
      </c>
      <c r="L264" t="s">
        <v>7</v>
      </c>
      <c r="M264" t="s">
        <v>7</v>
      </c>
      <c r="N264" t="s">
        <v>7</v>
      </c>
      <c r="P264">
        <f t="shared" si="965"/>
        <v>0.36792995962505504</v>
      </c>
      <c r="Q264">
        <f t="shared" si="966"/>
        <v>54207.857591858054</v>
      </c>
      <c r="R264">
        <f t="shared" si="967"/>
        <v>7842995.5187009852</v>
      </c>
      <c r="S264">
        <f t="shared" si="968"/>
        <v>78.429955187009853</v>
      </c>
      <c r="T264">
        <f t="shared" si="969"/>
        <v>7.8429955187009848E-2</v>
      </c>
    </row>
    <row r="265" spans="1:20" x14ac:dyDescent="0.25">
      <c r="A265" s="5">
        <v>44328</v>
      </c>
      <c r="B265">
        <v>56670.02</v>
      </c>
      <c r="C265">
        <v>58000.01</v>
      </c>
      <c r="D265">
        <v>48600</v>
      </c>
      <c r="E265">
        <v>49631.32</v>
      </c>
      <c r="F265">
        <v>99842.789835999996</v>
      </c>
      <c r="G265">
        <v>-12.42</v>
      </c>
      <c r="L265" t="s">
        <v>7</v>
      </c>
      <c r="M265" t="s">
        <v>7</v>
      </c>
      <c r="N265" t="s">
        <v>7</v>
      </c>
      <c r="P265">
        <f t="shared" si="965"/>
        <v>-0.78057044620165306</v>
      </c>
      <c r="Q265">
        <f t="shared" si="966"/>
        <v>-77934.331012304392</v>
      </c>
      <c r="R265">
        <f t="shared" si="967"/>
        <v>7788787.6611091271</v>
      </c>
      <c r="S265">
        <f t="shared" si="968"/>
        <v>77.887876611091272</v>
      </c>
      <c r="T265">
        <f t="shared" si="969"/>
        <v>7.788787661109127E-2</v>
      </c>
    </row>
    <row r="266" spans="1:20" x14ac:dyDescent="0.25">
      <c r="A266" s="5">
        <v>44327</v>
      </c>
      <c r="B266">
        <v>55816.14</v>
      </c>
      <c r="C266">
        <v>56862.43</v>
      </c>
      <c r="D266">
        <v>54370</v>
      </c>
      <c r="E266">
        <v>56670.02</v>
      </c>
      <c r="F266">
        <v>64329.540549999998</v>
      </c>
      <c r="G266">
        <v>1.53</v>
      </c>
      <c r="L266" t="s">
        <v>7</v>
      </c>
      <c r="M266" t="s">
        <v>8</v>
      </c>
      <c r="N266" t="s">
        <v>7</v>
      </c>
      <c r="P266">
        <f t="shared" si="965"/>
        <v>0.8456044903969191</v>
      </c>
      <c r="Q266">
        <f t="shared" si="966"/>
        <v>54397.348354250687</v>
      </c>
      <c r="R266">
        <f t="shared" si="967"/>
        <v>7866721.992121431</v>
      </c>
      <c r="S266">
        <f t="shared" si="968"/>
        <v>78.667219921214311</v>
      </c>
      <c r="T266">
        <f t="shared" si="969"/>
        <v>7.866721992121431E-2</v>
      </c>
    </row>
    <row r="267" spans="1:20" x14ac:dyDescent="0.25">
      <c r="A267" s="5">
        <v>44326</v>
      </c>
      <c r="B267">
        <v>58240.83</v>
      </c>
      <c r="C267">
        <v>59500</v>
      </c>
      <c r="D267">
        <v>53400</v>
      </c>
      <c r="E267">
        <v>55816.14</v>
      </c>
      <c r="F267">
        <v>89586.349249999999</v>
      </c>
      <c r="G267">
        <v>-4.16</v>
      </c>
      <c r="L267" t="s">
        <v>7</v>
      </c>
      <c r="M267" t="s">
        <v>8</v>
      </c>
      <c r="N267" t="s">
        <v>7</v>
      </c>
      <c r="P267">
        <f t="shared" si="965"/>
        <v>-0.20782295081967231</v>
      </c>
      <c r="Q267">
        <f t="shared" si="966"/>
        <v>-18618.099454296738</v>
      </c>
      <c r="R267">
        <f t="shared" si="967"/>
        <v>7812324.6437671799</v>
      </c>
      <c r="S267">
        <f t="shared" si="968"/>
        <v>78.123246437671796</v>
      </c>
      <c r="T267">
        <f t="shared" si="969"/>
        <v>7.8123246437671795E-2</v>
      </c>
    </row>
    <row r="268" spans="1:20" x14ac:dyDescent="0.25">
      <c r="A268" s="5">
        <v>44325</v>
      </c>
      <c r="B268">
        <v>58866.53</v>
      </c>
      <c r="C268">
        <v>59300</v>
      </c>
      <c r="D268">
        <v>56235.66</v>
      </c>
      <c r="E268">
        <v>58240.84</v>
      </c>
      <c r="F268">
        <v>69806.119909999994</v>
      </c>
      <c r="G268">
        <v>-1.06</v>
      </c>
      <c r="L268" t="s">
        <v>8</v>
      </c>
      <c r="M268" t="s">
        <v>8</v>
      </c>
      <c r="N268" t="s">
        <v>7</v>
      </c>
      <c r="P268">
        <f t="shared" si="965"/>
        <v>0.30871900637657396</v>
      </c>
      <c r="Q268">
        <f t="shared" si="966"/>
        <v>21550.475977619175</v>
      </c>
      <c r="R268">
        <f t="shared" si="967"/>
        <v>7830942.7432214767</v>
      </c>
      <c r="S268">
        <f t="shared" si="968"/>
        <v>78.309427432214761</v>
      </c>
      <c r="T268">
        <f t="shared" si="969"/>
        <v>7.8309427432214765E-2</v>
      </c>
    </row>
    <row r="269" spans="1:20" x14ac:dyDescent="0.25">
      <c r="A269" s="5">
        <v>44324</v>
      </c>
      <c r="B269">
        <v>57315.49</v>
      </c>
      <c r="C269">
        <v>59500</v>
      </c>
      <c r="D269">
        <v>56900</v>
      </c>
      <c r="E269">
        <v>58862.05</v>
      </c>
      <c r="F269">
        <v>69709.906027999998</v>
      </c>
      <c r="G269">
        <v>2.7</v>
      </c>
      <c r="L269" t="s">
        <v>8</v>
      </c>
      <c r="M269" t="s">
        <v>8</v>
      </c>
      <c r="N269" t="s">
        <v>7</v>
      </c>
      <c r="P269">
        <f t="shared" si="965"/>
        <v>0.50926923076923303</v>
      </c>
      <c r="Q269">
        <f t="shared" si="966"/>
        <v>35501.110219875081</v>
      </c>
      <c r="R269">
        <f t="shared" si="967"/>
        <v>7809392.2672438575</v>
      </c>
      <c r="S269">
        <f t="shared" si="968"/>
        <v>78.09392267243858</v>
      </c>
      <c r="T269">
        <f t="shared" si="969"/>
        <v>7.8093922672438587E-2</v>
      </c>
    </row>
    <row r="270" spans="1:20" x14ac:dyDescent="0.25">
      <c r="A270" s="5">
        <v>44323</v>
      </c>
      <c r="B270">
        <v>56393.68</v>
      </c>
      <c r="C270">
        <v>58650</v>
      </c>
      <c r="D270">
        <v>55241.63</v>
      </c>
      <c r="E270">
        <v>57314.75</v>
      </c>
      <c r="F270">
        <v>74542.747829</v>
      </c>
      <c r="G270">
        <v>1.63</v>
      </c>
      <c r="L270" t="s">
        <v>8</v>
      </c>
      <c r="M270" t="s">
        <v>8</v>
      </c>
      <c r="N270" t="s">
        <v>7</v>
      </c>
      <c r="P270">
        <f t="shared" si="965"/>
        <v>0.21648764658766567</v>
      </c>
      <c r="Q270">
        <f t="shared" si="966"/>
        <v>16137.584047678034</v>
      </c>
      <c r="R270">
        <f t="shared" si="967"/>
        <v>7773891.1570239821</v>
      </c>
      <c r="S270">
        <f t="shared" si="968"/>
        <v>77.738911570239821</v>
      </c>
      <c r="T270">
        <f t="shared" si="969"/>
        <v>7.7738911570239821E-2</v>
      </c>
    </row>
    <row r="271" spans="1:20" x14ac:dyDescent="0.25">
      <c r="A271" s="5">
        <v>44322</v>
      </c>
      <c r="B271">
        <v>57436.11</v>
      </c>
      <c r="C271">
        <v>58360</v>
      </c>
      <c r="D271">
        <v>55200</v>
      </c>
      <c r="E271">
        <v>56393.68</v>
      </c>
      <c r="F271">
        <v>70181.671908000004</v>
      </c>
      <c r="G271">
        <v>-1.81</v>
      </c>
      <c r="L271" t="s">
        <v>8</v>
      </c>
      <c r="M271" t="s">
        <v>8</v>
      </c>
      <c r="N271" t="s">
        <v>7</v>
      </c>
      <c r="P271">
        <f t="shared" si="965"/>
        <v>-0.24450632911392386</v>
      </c>
      <c r="Q271">
        <f t="shared" si="966"/>
        <v>-17159.862969302874</v>
      </c>
      <c r="R271">
        <f t="shared" si="967"/>
        <v>7757753.5729763042</v>
      </c>
      <c r="S271">
        <f t="shared" si="968"/>
        <v>77.577535729763042</v>
      </c>
      <c r="T271">
        <f t="shared" si="969"/>
        <v>7.7577535729763045E-2</v>
      </c>
    </row>
    <row r="272" spans="1:20" x14ac:dyDescent="0.25">
      <c r="A272" s="5">
        <v>44321</v>
      </c>
      <c r="B272">
        <v>53205.05</v>
      </c>
      <c r="C272">
        <v>58069.82</v>
      </c>
      <c r="D272">
        <v>52900</v>
      </c>
      <c r="E272">
        <v>57436.11</v>
      </c>
      <c r="F272">
        <v>77263.923439000006</v>
      </c>
      <c r="G272">
        <v>7.95</v>
      </c>
      <c r="L272" t="s">
        <v>8</v>
      </c>
      <c r="M272" t="s">
        <v>8</v>
      </c>
      <c r="N272" t="s">
        <v>7</v>
      </c>
      <c r="P272">
        <f t="shared" si="965"/>
        <v>0.75484252836655852</v>
      </c>
      <c r="Q272">
        <f t="shared" si="966"/>
        <v>58322.095320214969</v>
      </c>
      <c r="R272">
        <f t="shared" si="967"/>
        <v>7774913.4359456068</v>
      </c>
      <c r="S272">
        <f t="shared" si="968"/>
        <v>77.749134359456065</v>
      </c>
      <c r="T272">
        <f t="shared" si="969"/>
        <v>7.774913435945606E-2</v>
      </c>
    </row>
    <row r="273" spans="1:20" x14ac:dyDescent="0.25">
      <c r="A273" s="5">
        <v>44320</v>
      </c>
      <c r="B273">
        <v>57169.39</v>
      </c>
      <c r="C273">
        <v>57200</v>
      </c>
      <c r="D273">
        <v>53046.69</v>
      </c>
      <c r="E273">
        <v>53200.01</v>
      </c>
      <c r="F273">
        <v>85324.625902999993</v>
      </c>
      <c r="G273">
        <v>-6.94</v>
      </c>
      <c r="L273" t="s">
        <v>7</v>
      </c>
      <c r="M273" t="s">
        <v>8</v>
      </c>
      <c r="N273" t="s">
        <v>7</v>
      </c>
      <c r="P273">
        <f t="shared" si="965"/>
        <v>-0.92616972968547984</v>
      </c>
      <c r="Q273">
        <f t="shared" si="966"/>
        <v>-79025.085708096201</v>
      </c>
      <c r="R273">
        <f t="shared" si="967"/>
        <v>7716591.3406253923</v>
      </c>
      <c r="S273">
        <f t="shared" si="968"/>
        <v>77.165913406253921</v>
      </c>
      <c r="T273">
        <f t="shared" si="969"/>
        <v>7.7165913406253922E-2</v>
      </c>
    </row>
    <row r="274" spans="1:20" x14ac:dyDescent="0.25">
      <c r="A274" s="5">
        <v>44319</v>
      </c>
      <c r="B274">
        <v>56578.21</v>
      </c>
      <c r="C274">
        <v>58981.440000000002</v>
      </c>
      <c r="D274">
        <v>56435</v>
      </c>
      <c r="E274">
        <v>57169.39</v>
      </c>
      <c r="F274">
        <v>57649.931285999999</v>
      </c>
      <c r="G274">
        <v>1.04</v>
      </c>
      <c r="L274" t="s">
        <v>8</v>
      </c>
      <c r="M274" t="s">
        <v>8</v>
      </c>
      <c r="N274" t="s">
        <v>7</v>
      </c>
      <c r="P274">
        <f t="shared" si="965"/>
        <v>-0.42320258871208533</v>
      </c>
      <c r="Q274">
        <f t="shared" si="966"/>
        <v>-24397.600159309037</v>
      </c>
      <c r="R274">
        <f t="shared" si="967"/>
        <v>7795616.4263334889</v>
      </c>
      <c r="S274">
        <f t="shared" si="968"/>
        <v>77.956164263334884</v>
      </c>
      <c r="T274">
        <f t="shared" si="969"/>
        <v>7.795616426333489E-2</v>
      </c>
    </row>
    <row r="275" spans="1:20" x14ac:dyDescent="0.25">
      <c r="A275" s="5">
        <v>44318</v>
      </c>
      <c r="B275">
        <v>57797.35</v>
      </c>
      <c r="C275">
        <v>57911.02</v>
      </c>
      <c r="D275">
        <v>56035.25</v>
      </c>
      <c r="E275">
        <v>56578.21</v>
      </c>
      <c r="F275">
        <v>36812.878862999998</v>
      </c>
      <c r="G275">
        <v>-2.11</v>
      </c>
      <c r="L275" t="s">
        <v>8</v>
      </c>
      <c r="M275" t="s">
        <v>8</v>
      </c>
      <c r="N275" t="s">
        <v>7</v>
      </c>
      <c r="P275">
        <f t="shared" si="965"/>
        <v>-0.42108040964510568</v>
      </c>
      <c r="Q275">
        <f t="shared" si="966"/>
        <v>-15501.182111847691</v>
      </c>
      <c r="R275">
        <f t="shared" si="967"/>
        <v>7820014.0264927978</v>
      </c>
      <c r="S275">
        <f t="shared" si="968"/>
        <v>78.200140264927981</v>
      </c>
      <c r="T275">
        <f t="shared" si="969"/>
        <v>7.8200140264927984E-2</v>
      </c>
    </row>
    <row r="276" spans="1:20" x14ac:dyDescent="0.25">
      <c r="A276" s="5">
        <v>44317</v>
      </c>
      <c r="B276">
        <v>57697.25</v>
      </c>
      <c r="C276">
        <v>58458.07</v>
      </c>
      <c r="D276">
        <v>56956.14</v>
      </c>
      <c r="E276">
        <v>57800.37</v>
      </c>
      <c r="F276">
        <v>42600.351836000002</v>
      </c>
      <c r="G276">
        <v>0.18</v>
      </c>
      <c r="L276" t="s">
        <v>8</v>
      </c>
      <c r="M276" t="s">
        <v>8</v>
      </c>
      <c r="N276" t="s">
        <v>7</v>
      </c>
      <c r="P276">
        <f t="shared" si="965"/>
        <v>0.12419353764822999</v>
      </c>
      <c r="Q276">
        <f t="shared" si="966"/>
        <v>5290.68839957211</v>
      </c>
      <c r="R276">
        <f t="shared" si="967"/>
        <v>7835515.2086046459</v>
      </c>
      <c r="S276">
        <f t="shared" si="968"/>
        <v>78.355152086046459</v>
      </c>
      <c r="T276">
        <f t="shared" si="969"/>
        <v>7.8355152086046459E-2</v>
      </c>
    </row>
    <row r="277" spans="1:20" x14ac:dyDescent="0.25">
      <c r="A277" s="5">
        <v>44316</v>
      </c>
      <c r="B277">
        <v>53555</v>
      </c>
      <c r="C277">
        <v>57963</v>
      </c>
      <c r="D277">
        <v>53013.01</v>
      </c>
      <c r="E277">
        <v>57694.27</v>
      </c>
      <c r="F277">
        <v>68578.910044999997</v>
      </c>
      <c r="G277">
        <v>7.73</v>
      </c>
      <c r="L277" t="s">
        <v>8</v>
      </c>
      <c r="M277" t="s">
        <v>8</v>
      </c>
      <c r="N277" t="s">
        <v>7</v>
      </c>
      <c r="P277">
        <f t="shared" si="965"/>
        <v>0.89142200287273177</v>
      </c>
      <c r="Q277">
        <f t="shared" si="966"/>
        <v>61132.749347142802</v>
      </c>
      <c r="R277">
        <f t="shared" si="967"/>
        <v>7830224.520205074</v>
      </c>
      <c r="S277">
        <f t="shared" si="968"/>
        <v>78.302245202050742</v>
      </c>
      <c r="T277">
        <f t="shared" si="969"/>
        <v>7.8302245202050744E-2</v>
      </c>
    </row>
    <row r="278" spans="1:20" x14ac:dyDescent="0.25">
      <c r="A278" s="5">
        <v>44315</v>
      </c>
      <c r="B278">
        <v>54846.23</v>
      </c>
      <c r="C278">
        <v>55195.839999999997</v>
      </c>
      <c r="D278">
        <v>52330.94</v>
      </c>
      <c r="E278">
        <v>53555</v>
      </c>
      <c r="F278">
        <v>52486.019455000001</v>
      </c>
      <c r="G278">
        <v>-2.35</v>
      </c>
      <c r="L278" t="s">
        <v>7</v>
      </c>
      <c r="M278" t="s">
        <v>8</v>
      </c>
      <c r="N278" t="s">
        <v>7</v>
      </c>
      <c r="P278">
        <f t="shared" si="965"/>
        <v>-0.14547802715627062</v>
      </c>
      <c r="Q278">
        <f t="shared" si="966"/>
        <v>-7635.5625635990382</v>
      </c>
      <c r="R278">
        <f t="shared" si="967"/>
        <v>7769091.7708579311</v>
      </c>
      <c r="S278">
        <f t="shared" si="968"/>
        <v>77.690917708579306</v>
      </c>
      <c r="T278">
        <f t="shared" si="969"/>
        <v>7.7690917708579305E-2</v>
      </c>
    </row>
    <row r="279" spans="1:20" x14ac:dyDescent="0.25">
      <c r="A279" s="5">
        <v>44314</v>
      </c>
      <c r="B279">
        <v>55011.97</v>
      </c>
      <c r="C279">
        <v>56428</v>
      </c>
      <c r="D279">
        <v>53813.16</v>
      </c>
      <c r="E279">
        <v>54846.22</v>
      </c>
      <c r="F279">
        <v>55130.459015</v>
      </c>
      <c r="G279">
        <v>-0.3</v>
      </c>
      <c r="L279" t="s">
        <v>8</v>
      </c>
      <c r="M279" t="s">
        <v>8</v>
      </c>
      <c r="N279" t="s">
        <v>7</v>
      </c>
      <c r="P279">
        <f t="shared" si="965"/>
        <v>-0.20984840372642374</v>
      </c>
      <c r="Q279">
        <f t="shared" si="966"/>
        <v>-11569.038821002778</v>
      </c>
      <c r="R279">
        <f t="shared" si="967"/>
        <v>7776727.3334215302</v>
      </c>
      <c r="S279">
        <f t="shared" si="968"/>
        <v>77.767273334215304</v>
      </c>
      <c r="T279">
        <f t="shared" si="969"/>
        <v>7.7767273334215306E-2</v>
      </c>
    </row>
    <row r="280" spans="1:20" x14ac:dyDescent="0.25">
      <c r="A280" s="5">
        <v>44313</v>
      </c>
      <c r="B280">
        <v>54001.38</v>
      </c>
      <c r="C280">
        <v>55460</v>
      </c>
      <c r="D280">
        <v>53222</v>
      </c>
      <c r="E280">
        <v>55011.97</v>
      </c>
      <c r="F280">
        <v>54064.034675000003</v>
      </c>
      <c r="G280">
        <v>1.87</v>
      </c>
      <c r="L280" t="s">
        <v>8</v>
      </c>
      <c r="M280" t="s">
        <v>7</v>
      </c>
      <c r="N280" t="s">
        <v>7</v>
      </c>
      <c r="P280">
        <f t="shared" si="965"/>
        <v>0.59961572832886612</v>
      </c>
      <c r="Q280">
        <f t="shared" si="966"/>
        <v>32417.6455280472</v>
      </c>
      <c r="R280">
        <f t="shared" si="967"/>
        <v>7788296.3722425327</v>
      </c>
      <c r="S280">
        <f t="shared" si="968"/>
        <v>77.88296372242533</v>
      </c>
      <c r="T280">
        <f t="shared" si="969"/>
        <v>7.7882963722425327E-2</v>
      </c>
    </row>
    <row r="281" spans="1:20" x14ac:dyDescent="0.25">
      <c r="A281" s="5">
        <v>44312</v>
      </c>
      <c r="B281">
        <v>49066.76</v>
      </c>
      <c r="C281">
        <v>54356.62</v>
      </c>
      <c r="D281">
        <v>48753.440000000002</v>
      </c>
      <c r="E281">
        <v>54001.39</v>
      </c>
      <c r="F281">
        <v>86310.802123999994</v>
      </c>
      <c r="G281">
        <v>10.06</v>
      </c>
      <c r="L281" t="s">
        <v>8</v>
      </c>
      <c r="M281" t="s">
        <v>7</v>
      </c>
      <c r="N281" t="s">
        <v>7</v>
      </c>
      <c r="P281">
        <f t="shared" si="965"/>
        <v>0.87320414478920783</v>
      </c>
      <c r="Q281">
        <f t="shared" si="966"/>
        <v>75366.950154757957</v>
      </c>
      <c r="R281">
        <f t="shared" si="967"/>
        <v>7755878.7267144853</v>
      </c>
      <c r="S281">
        <f t="shared" si="968"/>
        <v>77.558787267144851</v>
      </c>
      <c r="T281">
        <f t="shared" si="969"/>
        <v>7.7558787267144852E-2</v>
      </c>
    </row>
    <row r="282" spans="1:20" x14ac:dyDescent="0.25">
      <c r="A282" s="5">
        <v>44311</v>
      </c>
      <c r="B282">
        <v>50047.839999999997</v>
      </c>
      <c r="C282">
        <v>50567.91</v>
      </c>
      <c r="D282">
        <v>46930</v>
      </c>
      <c r="E282">
        <v>49066.77</v>
      </c>
      <c r="F282">
        <v>58255.645003999998</v>
      </c>
      <c r="G282">
        <v>-1.96</v>
      </c>
      <c r="L282" t="s">
        <v>7</v>
      </c>
      <c r="M282" t="s">
        <v>7</v>
      </c>
      <c r="N282" t="s">
        <v>7</v>
      </c>
      <c r="P282">
        <f t="shared" si="965"/>
        <v>0.1747239486408376</v>
      </c>
      <c r="Q282">
        <f t="shared" si="966"/>
        <v>10178.656325717762</v>
      </c>
      <c r="R282">
        <f t="shared" si="967"/>
        <v>7680511.7765597273</v>
      </c>
      <c r="S282">
        <f t="shared" si="968"/>
        <v>76.805117765597274</v>
      </c>
      <c r="T282">
        <f t="shared" si="969"/>
        <v>7.6805117765597272E-2</v>
      </c>
    </row>
    <row r="283" spans="1:20" x14ac:dyDescent="0.25">
      <c r="A283" s="5">
        <v>44310</v>
      </c>
      <c r="B283">
        <v>51110.559999999998</v>
      </c>
      <c r="C283">
        <v>51166.22</v>
      </c>
      <c r="D283">
        <v>48657.14</v>
      </c>
      <c r="E283">
        <v>50047.839999999997</v>
      </c>
      <c r="F283">
        <v>55361.512573</v>
      </c>
      <c r="G283">
        <v>-2.08</v>
      </c>
      <c r="L283" t="s">
        <v>8</v>
      </c>
      <c r="M283" t="s">
        <v>7</v>
      </c>
      <c r="N283" t="s">
        <v>7</v>
      </c>
      <c r="P283">
        <f t="shared" si="965"/>
        <v>0.10853380521943989</v>
      </c>
      <c r="Q283">
        <f t="shared" si="966"/>
        <v>6008.5956222515551</v>
      </c>
      <c r="R283">
        <f t="shared" si="967"/>
        <v>7670333.1202340098</v>
      </c>
      <c r="S283">
        <f t="shared" si="968"/>
        <v>76.703331202340095</v>
      </c>
      <c r="T283">
        <f t="shared" si="969"/>
        <v>7.6703331202340089E-2</v>
      </c>
    </row>
    <row r="284" spans="1:20" x14ac:dyDescent="0.25">
      <c r="A284" s="5">
        <v>44309</v>
      </c>
      <c r="B284">
        <v>51690.95</v>
      </c>
      <c r="C284">
        <v>52131.85</v>
      </c>
      <c r="D284">
        <v>47500</v>
      </c>
      <c r="E284">
        <v>51125.14</v>
      </c>
      <c r="F284">
        <v>132230.780719</v>
      </c>
      <c r="G284">
        <v>-1.0900000000000001</v>
      </c>
      <c r="L284" t="s">
        <v>7</v>
      </c>
      <c r="M284" t="s">
        <v>7</v>
      </c>
      <c r="N284" t="s">
        <v>7</v>
      </c>
      <c r="P284">
        <f t="shared" si="965"/>
        <v>0.56530975744033185</v>
      </c>
      <c r="Q284">
        <f t="shared" si="966"/>
        <v>74751.350574403594</v>
      </c>
      <c r="R284">
        <f t="shared" si="967"/>
        <v>7664324.5246117581</v>
      </c>
      <c r="S284">
        <f t="shared" si="968"/>
        <v>76.643245246117587</v>
      </c>
      <c r="T284">
        <f t="shared" si="969"/>
        <v>7.6643245246117583E-2</v>
      </c>
    </row>
    <row r="285" spans="1:20" x14ac:dyDescent="0.25">
      <c r="A285" s="5">
        <v>44308</v>
      </c>
      <c r="B285">
        <v>53787.62</v>
      </c>
      <c r="C285">
        <v>55521.48</v>
      </c>
      <c r="D285">
        <v>50500</v>
      </c>
      <c r="E285">
        <v>51690.96</v>
      </c>
      <c r="F285">
        <v>104656.631337</v>
      </c>
      <c r="G285">
        <v>-3.9</v>
      </c>
      <c r="L285" t="s">
        <v>7</v>
      </c>
      <c r="M285" t="s">
        <v>7</v>
      </c>
      <c r="N285" t="s">
        <v>8</v>
      </c>
      <c r="P285">
        <f t="shared" si="965"/>
        <v>-0.5256537913125221</v>
      </c>
      <c r="Q285">
        <f t="shared" si="966"/>
        <v>-55013.155048290959</v>
      </c>
      <c r="R285">
        <f t="shared" si="967"/>
        <v>7589573.1740373541</v>
      </c>
      <c r="S285">
        <f t="shared" si="968"/>
        <v>75.895731740373535</v>
      </c>
      <c r="T285">
        <f t="shared" si="969"/>
        <v>7.5895731740373534E-2</v>
      </c>
    </row>
    <row r="286" spans="1:20" x14ac:dyDescent="0.25">
      <c r="A286" s="5">
        <v>44307</v>
      </c>
      <c r="B286">
        <v>56425</v>
      </c>
      <c r="C286">
        <v>56757.91</v>
      </c>
      <c r="D286">
        <v>53536.02</v>
      </c>
      <c r="E286">
        <v>53787.63</v>
      </c>
      <c r="F286">
        <v>66984.756909000003</v>
      </c>
      <c r="G286">
        <v>-4.67</v>
      </c>
      <c r="L286" t="s">
        <v>7</v>
      </c>
      <c r="M286" t="s">
        <v>7</v>
      </c>
      <c r="N286" t="s">
        <v>8</v>
      </c>
      <c r="P286">
        <f t="shared" si="965"/>
        <v>-0.8438121723584604</v>
      </c>
      <c r="Q286">
        <f t="shared" si="966"/>
        <v>-56522.553242286682</v>
      </c>
      <c r="R286">
        <f t="shared" si="967"/>
        <v>7644586.3290856453</v>
      </c>
      <c r="S286">
        <f t="shared" si="968"/>
        <v>76.445863290856451</v>
      </c>
      <c r="T286">
        <f t="shared" si="969"/>
        <v>7.6445863290856453E-2</v>
      </c>
    </row>
    <row r="287" spans="1:20" x14ac:dyDescent="0.25">
      <c r="A287" s="5">
        <v>44306</v>
      </c>
      <c r="B287">
        <v>55633.14</v>
      </c>
      <c r="C287">
        <v>57076.24</v>
      </c>
      <c r="D287">
        <v>53329.96</v>
      </c>
      <c r="E287">
        <v>56425</v>
      </c>
      <c r="F287">
        <v>72744.482151000004</v>
      </c>
      <c r="G287">
        <v>1.42</v>
      </c>
      <c r="L287" t="s">
        <v>7</v>
      </c>
      <c r="M287" t="s">
        <v>7</v>
      </c>
      <c r="N287" t="s">
        <v>8</v>
      </c>
      <c r="P287">
        <f t="shared" si="965"/>
        <v>0.65232710849162467</v>
      </c>
      <c r="Q287">
        <f t="shared" si="966"/>
        <v>47453.197700282435</v>
      </c>
      <c r="R287">
        <f t="shared" si="967"/>
        <v>7701108.8823279319</v>
      </c>
      <c r="S287">
        <f t="shared" si="968"/>
        <v>77.011088823279323</v>
      </c>
      <c r="T287">
        <f t="shared" si="969"/>
        <v>7.7011088823279325E-2</v>
      </c>
    </row>
    <row r="288" spans="1:20" x14ac:dyDescent="0.25">
      <c r="A288" s="5">
        <v>44305</v>
      </c>
      <c r="B288">
        <v>56150.01</v>
      </c>
      <c r="C288">
        <v>57526.81</v>
      </c>
      <c r="D288">
        <v>54221.58</v>
      </c>
      <c r="E288">
        <v>55633.14</v>
      </c>
      <c r="F288">
        <v>78229.042266999997</v>
      </c>
      <c r="G288">
        <v>-0.92</v>
      </c>
      <c r="L288" t="s">
        <v>8</v>
      </c>
      <c r="M288" t="s">
        <v>7</v>
      </c>
      <c r="N288" t="s">
        <v>8</v>
      </c>
      <c r="P288">
        <f t="shared" si="965"/>
        <v>-0.14586276900548562</v>
      </c>
      <c r="Q288">
        <f t="shared" si="966"/>
        <v>-11410.704721711791</v>
      </c>
      <c r="R288">
        <f t="shared" si="967"/>
        <v>7653655.6846276494</v>
      </c>
      <c r="S288">
        <f t="shared" si="968"/>
        <v>76.536556846276497</v>
      </c>
      <c r="T288">
        <f t="shared" si="969"/>
        <v>7.6536556846276499E-2</v>
      </c>
    </row>
    <row r="289" spans="1:20" x14ac:dyDescent="0.25">
      <c r="A289" s="5">
        <v>44304</v>
      </c>
      <c r="B289">
        <v>60006.67</v>
      </c>
      <c r="C289">
        <v>60499</v>
      </c>
      <c r="D289">
        <v>50931.3</v>
      </c>
      <c r="E289">
        <v>56150.01</v>
      </c>
      <c r="F289">
        <v>124882.131824</v>
      </c>
      <c r="G289">
        <v>-6.43</v>
      </c>
      <c r="L289" t="s">
        <v>7</v>
      </c>
      <c r="M289" t="s">
        <v>7</v>
      </c>
      <c r="N289" t="s">
        <v>8</v>
      </c>
      <c r="P289">
        <f t="shared" si="965"/>
        <v>9.0901679609519684E-2</v>
      </c>
      <c r="Q289">
        <f t="shared" si="966"/>
        <v>11351.995536019049</v>
      </c>
      <c r="R289">
        <f t="shared" si="967"/>
        <v>7665066.389349361</v>
      </c>
      <c r="S289">
        <f t="shared" si="968"/>
        <v>76.650663893493615</v>
      </c>
      <c r="T289">
        <f t="shared" si="969"/>
        <v>7.665066389349362E-2</v>
      </c>
    </row>
    <row r="290" spans="1:20" x14ac:dyDescent="0.25">
      <c r="A290" s="5">
        <v>44303</v>
      </c>
      <c r="B290">
        <v>61334.81</v>
      </c>
      <c r="C290">
        <v>62506.05</v>
      </c>
      <c r="D290">
        <v>59580.91</v>
      </c>
      <c r="E290">
        <v>60006.66</v>
      </c>
      <c r="F290">
        <v>58912.256128000001</v>
      </c>
      <c r="G290">
        <v>-2.17</v>
      </c>
      <c r="L290" t="s">
        <v>7</v>
      </c>
      <c r="M290" t="s">
        <v>8</v>
      </c>
      <c r="N290" t="s">
        <v>8</v>
      </c>
      <c r="P290">
        <f t="shared" si="965"/>
        <v>-0.70890282174528396</v>
      </c>
      <c r="Q290">
        <f t="shared" si="966"/>
        <v>-41763.064604520099</v>
      </c>
      <c r="R290">
        <f t="shared" si="967"/>
        <v>7653714.3938133419</v>
      </c>
      <c r="S290">
        <f t="shared" si="968"/>
        <v>76.537143938133426</v>
      </c>
      <c r="T290">
        <f t="shared" si="969"/>
        <v>7.653714393813342E-2</v>
      </c>
    </row>
    <row r="291" spans="1:20" x14ac:dyDescent="0.25">
      <c r="A291" s="5">
        <v>44302</v>
      </c>
      <c r="B291">
        <v>63158.74</v>
      </c>
      <c r="C291">
        <v>63520.61</v>
      </c>
      <c r="D291">
        <v>60000</v>
      </c>
      <c r="E291">
        <v>61334.8</v>
      </c>
      <c r="F291">
        <v>91764.139884000004</v>
      </c>
      <c r="G291">
        <v>-2.89</v>
      </c>
      <c r="L291" t="s">
        <v>7</v>
      </c>
      <c r="M291" t="s">
        <v>8</v>
      </c>
      <c r="N291" t="s">
        <v>8</v>
      </c>
      <c r="P291">
        <f t="shared" si="965"/>
        <v>-0.24172231516697237</v>
      </c>
      <c r="Q291">
        <f t="shared" si="966"/>
        <v>-22181.440342066388</v>
      </c>
      <c r="R291">
        <f t="shared" si="967"/>
        <v>7695477.4584178617</v>
      </c>
      <c r="S291">
        <f t="shared" si="968"/>
        <v>76.954774584178622</v>
      </c>
      <c r="T291">
        <f t="shared" si="969"/>
        <v>7.6954774584178626E-2</v>
      </c>
    </row>
    <row r="292" spans="1:20" x14ac:dyDescent="0.25">
      <c r="A292" s="5">
        <v>44301</v>
      </c>
      <c r="B292">
        <v>62959.53</v>
      </c>
      <c r="C292">
        <v>63800</v>
      </c>
      <c r="D292">
        <v>62020</v>
      </c>
      <c r="E292">
        <v>63159.98</v>
      </c>
      <c r="F292">
        <v>51649.700340000003</v>
      </c>
      <c r="G292">
        <v>0.32</v>
      </c>
      <c r="L292" t="s">
        <v>8</v>
      </c>
      <c r="M292" t="s">
        <v>8</v>
      </c>
      <c r="N292" t="s">
        <v>8</v>
      </c>
      <c r="P292">
        <f t="shared" si="965"/>
        <v>0.28087640449438561</v>
      </c>
      <c r="Q292">
        <f t="shared" si="966"/>
        <v>14507.182124711648</v>
      </c>
      <c r="R292">
        <f t="shared" si="967"/>
        <v>7717658.8987599285</v>
      </c>
      <c r="S292">
        <f t="shared" si="968"/>
        <v>77.176588987599288</v>
      </c>
      <c r="T292">
        <f t="shared" si="969"/>
        <v>7.7176588987599284E-2</v>
      </c>
    </row>
    <row r="293" spans="1:20" x14ac:dyDescent="0.25">
      <c r="A293" s="5">
        <v>44300</v>
      </c>
      <c r="B293">
        <v>63575.01</v>
      </c>
      <c r="C293">
        <v>64854</v>
      </c>
      <c r="D293">
        <v>61301</v>
      </c>
      <c r="E293">
        <v>62959.53</v>
      </c>
      <c r="F293">
        <v>82616.343993000002</v>
      </c>
      <c r="G293">
        <v>-0.97</v>
      </c>
      <c r="L293" t="s">
        <v>8</v>
      </c>
      <c r="M293" t="s">
        <v>8</v>
      </c>
      <c r="N293" t="s">
        <v>8</v>
      </c>
      <c r="P293">
        <f t="shared" si="965"/>
        <v>-6.6405854207712445E-2</v>
      </c>
      <c r="Q293">
        <f t="shared" si="966"/>
        <v>-5486.2088943733779</v>
      </c>
      <c r="R293">
        <f t="shared" si="967"/>
        <v>7703151.716635217</v>
      </c>
      <c r="S293">
        <f t="shared" si="968"/>
        <v>77.031517166352174</v>
      </c>
      <c r="T293">
        <f t="shared" si="969"/>
        <v>7.7031517166352176E-2</v>
      </c>
    </row>
    <row r="294" spans="1:20" x14ac:dyDescent="0.25">
      <c r="A294" s="5">
        <v>44299</v>
      </c>
      <c r="B294">
        <v>59860.01</v>
      </c>
      <c r="C294">
        <v>63777.77</v>
      </c>
      <c r="D294">
        <v>59805.15</v>
      </c>
      <c r="E294">
        <v>63575</v>
      </c>
      <c r="F294">
        <v>82848.688746</v>
      </c>
      <c r="G294">
        <v>6.21</v>
      </c>
      <c r="L294" t="s">
        <v>8</v>
      </c>
      <c r="M294" t="s">
        <v>8</v>
      </c>
      <c r="N294" t="s">
        <v>8</v>
      </c>
      <c r="P294">
        <f t="shared" si="965"/>
        <v>0.89791623663980091</v>
      </c>
      <c r="Q294">
        <f t="shared" si="966"/>
        <v>74391.182809350546</v>
      </c>
      <c r="R294">
        <f t="shared" si="967"/>
        <v>7708637.9255295899</v>
      </c>
      <c r="S294">
        <f t="shared" si="968"/>
        <v>77.086379255295896</v>
      </c>
      <c r="T294">
        <f t="shared" si="969"/>
        <v>7.7086379255295892E-2</v>
      </c>
    </row>
    <row r="295" spans="1:20" x14ac:dyDescent="0.25">
      <c r="A295" s="5">
        <v>44298</v>
      </c>
      <c r="B295">
        <v>59998.8</v>
      </c>
      <c r="C295">
        <v>61300</v>
      </c>
      <c r="D295">
        <v>59350.59</v>
      </c>
      <c r="E295">
        <v>59860</v>
      </c>
      <c r="F295">
        <v>56375.037117</v>
      </c>
      <c r="G295">
        <v>-0.23</v>
      </c>
      <c r="L295" t="s">
        <v>8</v>
      </c>
      <c r="M295" t="s">
        <v>8</v>
      </c>
      <c r="N295" t="s">
        <v>8</v>
      </c>
      <c r="P295">
        <f t="shared" si="965"/>
        <v>-0.47737007607429677</v>
      </c>
      <c r="Q295">
        <f t="shared" si="966"/>
        <v>-26911.755757233594</v>
      </c>
      <c r="R295">
        <f t="shared" si="967"/>
        <v>7634246.7427202389</v>
      </c>
      <c r="S295">
        <f t="shared" si="968"/>
        <v>76.342467427202394</v>
      </c>
      <c r="T295">
        <f t="shared" si="969"/>
        <v>7.6342467427202396E-2</v>
      </c>
    </row>
    <row r="296" spans="1:20" x14ac:dyDescent="0.25">
      <c r="A296" s="5">
        <v>44297</v>
      </c>
      <c r="B296">
        <v>59769.13</v>
      </c>
      <c r="C296">
        <v>60699</v>
      </c>
      <c r="D296">
        <v>59232.52</v>
      </c>
      <c r="E296">
        <v>60002.43</v>
      </c>
      <c r="F296">
        <v>41156.715390999998</v>
      </c>
      <c r="G296">
        <v>0.39</v>
      </c>
      <c r="L296" t="s">
        <v>8</v>
      </c>
      <c r="M296" t="s">
        <v>8</v>
      </c>
      <c r="N296" t="s">
        <v>8</v>
      </c>
      <c r="P296">
        <f t="shared" si="965"/>
        <v>5.0010910479518049E-2</v>
      </c>
      <c r="Q296">
        <f t="shared" si="966"/>
        <v>2058.2848090503035</v>
      </c>
      <c r="R296">
        <f t="shared" si="967"/>
        <v>7661158.4984774729</v>
      </c>
      <c r="S296">
        <f t="shared" si="968"/>
        <v>76.611584984774723</v>
      </c>
      <c r="T296">
        <f t="shared" si="969"/>
        <v>7.6611584984774717E-2</v>
      </c>
    </row>
    <row r="297" spans="1:20" x14ac:dyDescent="0.25">
      <c r="A297" s="5">
        <v>44296</v>
      </c>
      <c r="B297">
        <v>58142.55</v>
      </c>
      <c r="C297">
        <v>61500</v>
      </c>
      <c r="D297">
        <v>57900.01</v>
      </c>
      <c r="E297">
        <v>59769.13</v>
      </c>
      <c r="F297">
        <v>69906.424117000002</v>
      </c>
      <c r="G297">
        <v>2.8</v>
      </c>
      <c r="L297" t="s">
        <v>8</v>
      </c>
      <c r="M297" t="s">
        <v>8</v>
      </c>
      <c r="N297" t="s">
        <v>8</v>
      </c>
      <c r="P297">
        <f t="shared" si="965"/>
        <v>3.8402884452454815E-2</v>
      </c>
      <c r="Q297">
        <f t="shared" si="966"/>
        <v>2684.6083278494516</v>
      </c>
      <c r="R297">
        <f t="shared" si="967"/>
        <v>7659100.2136684228</v>
      </c>
      <c r="S297">
        <f t="shared" si="968"/>
        <v>76.591002136684224</v>
      </c>
      <c r="T297">
        <f t="shared" si="969"/>
        <v>7.6591002136684225E-2</v>
      </c>
    </row>
    <row r="298" spans="1:20" x14ac:dyDescent="0.25">
      <c r="A298" s="5">
        <v>44295</v>
      </c>
      <c r="B298">
        <v>58077.52</v>
      </c>
      <c r="C298">
        <v>58894.9</v>
      </c>
      <c r="D298">
        <v>57654</v>
      </c>
      <c r="E298">
        <v>58142.54</v>
      </c>
      <c r="F298">
        <v>40831.884911000001</v>
      </c>
      <c r="G298">
        <v>0.11</v>
      </c>
      <c r="L298" t="s">
        <v>7</v>
      </c>
      <c r="M298" t="s">
        <v>8</v>
      </c>
      <c r="N298" t="s">
        <v>8</v>
      </c>
      <c r="P298">
        <f t="shared" si="965"/>
        <v>-0.21260375533886647</v>
      </c>
      <c r="Q298">
        <f t="shared" si="966"/>
        <v>-8681.0120696429985</v>
      </c>
      <c r="R298">
        <f t="shared" si="967"/>
        <v>7656415.605340573</v>
      </c>
      <c r="S298">
        <f t="shared" si="968"/>
        <v>76.564156053405725</v>
      </c>
      <c r="T298">
        <f t="shared" si="969"/>
        <v>7.6564156053405719E-2</v>
      </c>
    </row>
    <row r="299" spans="1:20" x14ac:dyDescent="0.25">
      <c r="A299" s="5">
        <v>44294</v>
      </c>
      <c r="B299">
        <v>55953.440000000002</v>
      </c>
      <c r="C299">
        <v>58153.31</v>
      </c>
      <c r="D299">
        <v>55700</v>
      </c>
      <c r="E299">
        <v>58077.52</v>
      </c>
      <c r="F299">
        <v>44283.147018999996</v>
      </c>
      <c r="G299">
        <v>3.8</v>
      </c>
      <c r="L299" t="s">
        <v>7</v>
      </c>
      <c r="M299" t="s">
        <v>8</v>
      </c>
      <c r="N299" t="s">
        <v>8</v>
      </c>
      <c r="P299">
        <f t="shared" si="965"/>
        <v>0.93821408627527625</v>
      </c>
      <c r="Q299">
        <f t="shared" si="966"/>
        <v>41547.072317824808</v>
      </c>
      <c r="R299">
        <f t="shared" si="967"/>
        <v>7665096.6174102155</v>
      </c>
      <c r="S299">
        <f t="shared" si="968"/>
        <v>76.650966174102152</v>
      </c>
      <c r="T299">
        <f t="shared" si="969"/>
        <v>7.665096617410215E-2</v>
      </c>
    </row>
    <row r="300" spans="1:20" x14ac:dyDescent="0.25">
      <c r="A300" s="5">
        <v>44293</v>
      </c>
      <c r="B300">
        <v>57990.03</v>
      </c>
      <c r="C300">
        <v>58655</v>
      </c>
      <c r="D300">
        <v>55473</v>
      </c>
      <c r="E300">
        <v>55953.45</v>
      </c>
      <c r="F300">
        <v>71228.405658999996</v>
      </c>
      <c r="G300">
        <v>-3.51</v>
      </c>
      <c r="L300" t="s">
        <v>7</v>
      </c>
      <c r="M300" t="s">
        <v>8</v>
      </c>
      <c r="N300" t="s">
        <v>8</v>
      </c>
      <c r="P300">
        <f t="shared" si="965"/>
        <v>-0.698020113136394</v>
      </c>
      <c r="Q300">
        <f t="shared" si="966"/>
        <v>-49718.859776620142</v>
      </c>
      <c r="R300">
        <f t="shared" si="967"/>
        <v>7623549.5450923909</v>
      </c>
      <c r="S300">
        <f t="shared" si="968"/>
        <v>76.235495450923906</v>
      </c>
      <c r="T300">
        <f t="shared" si="969"/>
        <v>7.623549545092391E-2</v>
      </c>
    </row>
    <row r="301" spans="1:20" x14ac:dyDescent="0.25">
      <c r="A301" s="5">
        <v>44292</v>
      </c>
      <c r="B301">
        <v>59129.99</v>
      </c>
      <c r="C301">
        <v>59495.24</v>
      </c>
      <c r="D301">
        <v>57413.02</v>
      </c>
      <c r="E301">
        <v>57991.15</v>
      </c>
      <c r="F301">
        <v>54201.000726999999</v>
      </c>
      <c r="G301">
        <v>-1.93</v>
      </c>
      <c r="L301" t="s">
        <v>8</v>
      </c>
      <c r="M301" t="s">
        <v>8</v>
      </c>
      <c r="N301" t="s">
        <v>8</v>
      </c>
      <c r="P301">
        <f t="shared" si="965"/>
        <v>-0.44469844684999249</v>
      </c>
      <c r="Q301">
        <f t="shared" si="966"/>
        <v>-24103.100841012212</v>
      </c>
      <c r="R301">
        <f t="shared" si="967"/>
        <v>7673268.4048690107</v>
      </c>
      <c r="S301">
        <f t="shared" si="968"/>
        <v>76.732684048690103</v>
      </c>
      <c r="T301">
        <f t="shared" si="969"/>
        <v>7.6732684048690103E-2</v>
      </c>
    </row>
    <row r="302" spans="1:20" x14ac:dyDescent="0.25">
      <c r="A302" s="5">
        <v>44291</v>
      </c>
      <c r="B302">
        <v>58202.01</v>
      </c>
      <c r="C302">
        <v>59272</v>
      </c>
      <c r="D302">
        <v>56777.77</v>
      </c>
      <c r="E302">
        <v>59129.99</v>
      </c>
      <c r="F302">
        <v>54258.015789999998</v>
      </c>
      <c r="G302">
        <v>1.59</v>
      </c>
      <c r="L302" t="s">
        <v>8</v>
      </c>
      <c r="M302" t="s">
        <v>8</v>
      </c>
      <c r="N302" t="s">
        <v>8</v>
      </c>
      <c r="P302">
        <f t="shared" si="965"/>
        <v>0.88612918616165959</v>
      </c>
      <c r="Q302">
        <f t="shared" si="966"/>
        <v>48079.611374739172</v>
      </c>
      <c r="R302">
        <f t="shared" si="967"/>
        <v>7697371.5057100225</v>
      </c>
      <c r="S302">
        <f t="shared" si="968"/>
        <v>76.973715057100222</v>
      </c>
      <c r="T302">
        <f t="shared" si="969"/>
        <v>7.6973715057100225E-2</v>
      </c>
    </row>
    <row r="303" spans="1:20" x14ac:dyDescent="0.25">
      <c r="A303" s="5">
        <v>44290</v>
      </c>
      <c r="B303">
        <v>57051.95</v>
      </c>
      <c r="C303">
        <v>58492.85</v>
      </c>
      <c r="D303">
        <v>56388</v>
      </c>
      <c r="E303">
        <v>58202.01</v>
      </c>
      <c r="F303">
        <v>41314.081973</v>
      </c>
      <c r="G303">
        <v>2.02</v>
      </c>
      <c r="L303" t="s">
        <v>8</v>
      </c>
      <c r="M303" t="s">
        <v>8</v>
      </c>
      <c r="N303" t="s">
        <v>8</v>
      </c>
      <c r="P303">
        <f t="shared" si="965"/>
        <v>0.72364776587405588</v>
      </c>
      <c r="Q303">
        <f t="shared" si="966"/>
        <v>29896.843118899058</v>
      </c>
      <c r="R303">
        <f t="shared" si="967"/>
        <v>7649291.894335283</v>
      </c>
      <c r="S303">
        <f t="shared" si="968"/>
        <v>76.492918943352834</v>
      </c>
      <c r="T303">
        <f t="shared" si="969"/>
        <v>7.6492918943352833E-2</v>
      </c>
    </row>
    <row r="304" spans="1:20" x14ac:dyDescent="0.25">
      <c r="A304" s="5">
        <v>44289</v>
      </c>
      <c r="B304">
        <v>58950.01</v>
      </c>
      <c r="C304">
        <v>59791.72</v>
      </c>
      <c r="D304">
        <v>56880</v>
      </c>
      <c r="E304">
        <v>57051.94</v>
      </c>
      <c r="F304">
        <v>47409.852113000001</v>
      </c>
      <c r="G304">
        <v>-3.22</v>
      </c>
      <c r="L304" t="s">
        <v>8</v>
      </c>
      <c r="M304" t="s">
        <v>8</v>
      </c>
      <c r="N304" t="s">
        <v>8</v>
      </c>
      <c r="P304">
        <f t="shared" si="965"/>
        <v>-0.88189798469632918</v>
      </c>
      <c r="Q304">
        <f t="shared" si="966"/>
        <v>-41810.653033205708</v>
      </c>
      <c r="R304">
        <f t="shared" si="967"/>
        <v>7619395.0512163835</v>
      </c>
      <c r="S304">
        <f t="shared" si="968"/>
        <v>76.193950512163838</v>
      </c>
      <c r="T304">
        <f t="shared" si="969"/>
        <v>7.6193950512163836E-2</v>
      </c>
    </row>
    <row r="305" spans="1:20" x14ac:dyDescent="0.25">
      <c r="A305" s="5">
        <v>44288</v>
      </c>
      <c r="B305">
        <v>58720.45</v>
      </c>
      <c r="C305">
        <v>60200</v>
      </c>
      <c r="D305">
        <v>58428.57</v>
      </c>
      <c r="E305">
        <v>58950.01</v>
      </c>
      <c r="F305">
        <v>47382.418781</v>
      </c>
      <c r="G305">
        <v>0.39</v>
      </c>
      <c r="L305" t="s">
        <v>8</v>
      </c>
      <c r="M305" t="s">
        <v>8</v>
      </c>
      <c r="N305" t="s">
        <v>8</v>
      </c>
      <c r="P305">
        <f t="shared" si="965"/>
        <v>-0.41127789413072802</v>
      </c>
      <c r="Q305">
        <f t="shared" si="966"/>
        <v>-19487.341415069935</v>
      </c>
      <c r="R305">
        <f t="shared" si="967"/>
        <v>7661205.7042495888</v>
      </c>
      <c r="S305">
        <f t="shared" si="968"/>
        <v>76.612057042495891</v>
      </c>
      <c r="T305">
        <f t="shared" si="969"/>
        <v>7.6612057042495893E-2</v>
      </c>
    </row>
    <row r="306" spans="1:20" x14ac:dyDescent="0.25">
      <c r="A306" s="5">
        <v>44287</v>
      </c>
      <c r="B306">
        <v>58739.46</v>
      </c>
      <c r="C306">
        <v>59490</v>
      </c>
      <c r="D306">
        <v>57935.45</v>
      </c>
      <c r="E306">
        <v>58720.44</v>
      </c>
      <c r="F306">
        <v>47415.61722</v>
      </c>
      <c r="G306">
        <v>-0.03</v>
      </c>
      <c r="L306" t="s">
        <v>8</v>
      </c>
      <c r="M306" t="s">
        <v>8</v>
      </c>
      <c r="N306" t="s">
        <v>8</v>
      </c>
      <c r="P306">
        <f t="shared" si="965"/>
        <v>9.9257019716365111E-3</v>
      </c>
      <c r="Q306">
        <f t="shared" si="966"/>
        <v>470.63328532691611</v>
      </c>
      <c r="R306">
        <f t="shared" si="967"/>
        <v>7680693.0456646588</v>
      </c>
      <c r="S306">
        <f t="shared" si="968"/>
        <v>76.806930456646583</v>
      </c>
      <c r="T306">
        <f t="shared" si="969"/>
        <v>7.6806930456646577E-2</v>
      </c>
    </row>
    <row r="307" spans="1:20" x14ac:dyDescent="0.25">
      <c r="A307" s="5">
        <v>44286</v>
      </c>
      <c r="B307">
        <v>58746.57</v>
      </c>
      <c r="C307">
        <v>59800</v>
      </c>
      <c r="D307">
        <v>56769</v>
      </c>
      <c r="E307">
        <v>58740.55</v>
      </c>
      <c r="F307">
        <v>60975.542666000001</v>
      </c>
      <c r="G307">
        <v>-0.01</v>
      </c>
      <c r="L307" t="s">
        <v>8</v>
      </c>
      <c r="M307" t="s">
        <v>8</v>
      </c>
      <c r="N307" t="s">
        <v>8</v>
      </c>
      <c r="P307">
        <f t="shared" si="965"/>
        <v>0.30092378752887028</v>
      </c>
      <c r="Q307">
        <f t="shared" si="966"/>
        <v>18348.991245680947</v>
      </c>
      <c r="R307">
        <f t="shared" si="967"/>
        <v>7680222.4123793319</v>
      </c>
      <c r="S307">
        <f t="shared" si="968"/>
        <v>76.802224123793323</v>
      </c>
      <c r="T307">
        <f t="shared" si="969"/>
        <v>7.6802224123793325E-2</v>
      </c>
    </row>
    <row r="308" spans="1:20" x14ac:dyDescent="0.25">
      <c r="A308" s="5">
        <v>44285</v>
      </c>
      <c r="B308">
        <v>57635.46</v>
      </c>
      <c r="C308">
        <v>59368</v>
      </c>
      <c r="D308">
        <v>57071.35</v>
      </c>
      <c r="E308">
        <v>58746.57</v>
      </c>
      <c r="F308">
        <v>55122.443121999997</v>
      </c>
      <c r="G308">
        <v>1.93</v>
      </c>
      <c r="L308" t="s">
        <v>8</v>
      </c>
      <c r="M308" t="s">
        <v>8</v>
      </c>
      <c r="N308" t="s">
        <v>8</v>
      </c>
      <c r="P308">
        <f t="shared" si="965"/>
        <v>0.45883787255350195</v>
      </c>
      <c r="Q308">
        <f t="shared" si="966"/>
        <v>25292.264532049896</v>
      </c>
      <c r="R308">
        <f t="shared" si="967"/>
        <v>7661873.4211336514</v>
      </c>
      <c r="S308">
        <f t="shared" si="968"/>
        <v>76.618734211336516</v>
      </c>
      <c r="T308">
        <f t="shared" si="969"/>
        <v>7.6618734211336512E-2</v>
      </c>
    </row>
    <row r="309" spans="1:20" x14ac:dyDescent="0.25">
      <c r="A309" s="5">
        <v>44284</v>
      </c>
      <c r="B309">
        <v>55777.65</v>
      </c>
      <c r="C309">
        <v>58405.82</v>
      </c>
      <c r="D309">
        <v>54800.01</v>
      </c>
      <c r="E309">
        <v>57635.47</v>
      </c>
      <c r="F309">
        <v>67857.937397999995</v>
      </c>
      <c r="G309">
        <v>3.33</v>
      </c>
      <c r="L309" t="s">
        <v>8</v>
      </c>
      <c r="M309" t="s">
        <v>7</v>
      </c>
      <c r="N309" t="s">
        <v>8</v>
      </c>
      <c r="P309">
        <f t="shared" si="965"/>
        <v>0.57271736447566624</v>
      </c>
      <c r="Q309">
        <f t="shared" si="966"/>
        <v>38863.419065337308</v>
      </c>
      <c r="R309">
        <f t="shared" si="967"/>
        <v>7636581.1566016013</v>
      </c>
      <c r="S309">
        <f t="shared" si="968"/>
        <v>76.365811566016006</v>
      </c>
      <c r="T309">
        <f t="shared" si="969"/>
        <v>7.6365811566016004E-2</v>
      </c>
    </row>
    <row r="310" spans="1:20" x14ac:dyDescent="0.25">
      <c r="A310" s="5">
        <v>44283</v>
      </c>
      <c r="B310">
        <v>55817.14</v>
      </c>
      <c r="C310">
        <v>56559.75</v>
      </c>
      <c r="D310">
        <v>54691.839999999997</v>
      </c>
      <c r="E310">
        <v>55777.63</v>
      </c>
      <c r="F310">
        <v>39050.387511000001</v>
      </c>
      <c r="G310">
        <v>-7.0000000000000007E-2</v>
      </c>
      <c r="L310" t="s">
        <v>8</v>
      </c>
      <c r="M310" t="s">
        <v>7</v>
      </c>
      <c r="N310" t="s">
        <v>8</v>
      </c>
      <c r="P310">
        <f t="shared" si="965"/>
        <v>0.16257207253025985</v>
      </c>
      <c r="Q310">
        <f t="shared" si="966"/>
        <v>6348.5024307730455</v>
      </c>
      <c r="R310">
        <f t="shared" si="967"/>
        <v>7597717.7375362637</v>
      </c>
      <c r="S310">
        <f t="shared" si="968"/>
        <v>75.977177375362643</v>
      </c>
      <c r="T310">
        <f t="shared" si="969"/>
        <v>7.5977177375362637E-2</v>
      </c>
    </row>
    <row r="311" spans="1:20" x14ac:dyDescent="0.25">
      <c r="A311" s="5">
        <v>44282</v>
      </c>
      <c r="B311">
        <v>55025.59</v>
      </c>
      <c r="C311">
        <v>56700.36</v>
      </c>
      <c r="D311">
        <v>53950</v>
      </c>
      <c r="E311">
        <v>55817.14</v>
      </c>
      <c r="F311">
        <v>50105.475055000003</v>
      </c>
      <c r="G311">
        <v>1.44</v>
      </c>
      <c r="L311" t="s">
        <v>8</v>
      </c>
      <c r="M311" t="s">
        <v>7</v>
      </c>
      <c r="N311" t="s">
        <v>8</v>
      </c>
      <c r="P311">
        <f t="shared" si="965"/>
        <v>0.35774225919515917</v>
      </c>
      <c r="Q311">
        <f t="shared" si="966"/>
        <v>17924.845844222393</v>
      </c>
      <c r="R311">
        <f t="shared" si="967"/>
        <v>7591369.2351054903</v>
      </c>
      <c r="S311">
        <f t="shared" si="968"/>
        <v>75.913692351054905</v>
      </c>
      <c r="T311">
        <f t="shared" si="969"/>
        <v>7.5913692351054912E-2</v>
      </c>
    </row>
    <row r="312" spans="1:20" x14ac:dyDescent="0.25">
      <c r="A312" s="5">
        <v>44281</v>
      </c>
      <c r="B312">
        <v>51293.78</v>
      </c>
      <c r="C312">
        <v>55073.46</v>
      </c>
      <c r="D312">
        <v>51214.6</v>
      </c>
      <c r="E312">
        <v>55025.59</v>
      </c>
      <c r="F312">
        <v>63813.774691999999</v>
      </c>
      <c r="G312">
        <v>7.28</v>
      </c>
      <c r="L312" t="s">
        <v>8</v>
      </c>
      <c r="M312" t="s">
        <v>7</v>
      </c>
      <c r="N312" t="s">
        <v>8</v>
      </c>
      <c r="P312">
        <f t="shared" si="965"/>
        <v>0.97518956375717047</v>
      </c>
      <c r="Q312">
        <f t="shared" si="966"/>
        <v>62230.527103589848</v>
      </c>
      <c r="R312">
        <f t="shared" si="967"/>
        <v>7573444.3892612681</v>
      </c>
      <c r="S312">
        <f t="shared" si="968"/>
        <v>75.734443892612674</v>
      </c>
      <c r="T312">
        <f t="shared" si="969"/>
        <v>7.5734443892612677E-2</v>
      </c>
    </row>
    <row r="313" spans="1:20" x14ac:dyDescent="0.25">
      <c r="A313" s="5">
        <v>44280</v>
      </c>
      <c r="B313">
        <v>52303.66</v>
      </c>
      <c r="C313">
        <v>53287</v>
      </c>
      <c r="D313">
        <v>50427.56</v>
      </c>
      <c r="E313">
        <v>51293.78</v>
      </c>
      <c r="F313">
        <v>87400.534538000007</v>
      </c>
      <c r="G313">
        <v>-1.93</v>
      </c>
      <c r="L313" t="s">
        <v>7</v>
      </c>
      <c r="M313" t="s">
        <v>7</v>
      </c>
      <c r="N313" t="s">
        <v>8</v>
      </c>
      <c r="P313">
        <f t="shared" si="965"/>
        <v>-0.39413311697395265</v>
      </c>
      <c r="Q313">
        <f t="shared" si="966"/>
        <v>-34447.445102651545</v>
      </c>
      <c r="R313">
        <f t="shared" si="967"/>
        <v>7511213.8621576782</v>
      </c>
      <c r="S313">
        <f t="shared" si="968"/>
        <v>75.112138621576776</v>
      </c>
      <c r="T313">
        <f t="shared" si="969"/>
        <v>7.5112138621576771E-2</v>
      </c>
    </row>
    <row r="314" spans="1:20" x14ac:dyDescent="0.25">
      <c r="A314" s="5">
        <v>44279</v>
      </c>
      <c r="B314">
        <v>54342.8</v>
      </c>
      <c r="C314">
        <v>57200</v>
      </c>
      <c r="D314">
        <v>51700</v>
      </c>
      <c r="E314">
        <v>52303.65</v>
      </c>
      <c r="F314">
        <v>83537.465020999996</v>
      </c>
      <c r="G314">
        <v>-3.75</v>
      </c>
      <c r="L314" t="s">
        <v>7</v>
      </c>
      <c r="M314" t="s">
        <v>7</v>
      </c>
      <c r="N314" t="s">
        <v>8</v>
      </c>
      <c r="P314">
        <f t="shared" si="965"/>
        <v>-0.78049090909090857</v>
      </c>
      <c r="Q314">
        <f t="shared" si="966"/>
        <v>-65200.232017390263</v>
      </c>
      <c r="R314">
        <f t="shared" si="967"/>
        <v>7545661.3072603298</v>
      </c>
      <c r="S314">
        <f t="shared" si="968"/>
        <v>75.456613072603304</v>
      </c>
      <c r="T314">
        <f t="shared" si="969"/>
        <v>7.5456613072603304E-2</v>
      </c>
    </row>
    <row r="315" spans="1:20" x14ac:dyDescent="0.25">
      <c r="A315" s="5">
        <v>44278</v>
      </c>
      <c r="B315">
        <v>54083.25</v>
      </c>
      <c r="C315">
        <v>55830.9</v>
      </c>
      <c r="D315">
        <v>53000</v>
      </c>
      <c r="E315">
        <v>54340.89</v>
      </c>
      <c r="F315">
        <v>59789.365426999997</v>
      </c>
      <c r="G315">
        <v>0.48</v>
      </c>
      <c r="L315" t="s">
        <v>7</v>
      </c>
      <c r="M315" t="s">
        <v>7</v>
      </c>
      <c r="N315" t="s">
        <v>8</v>
      </c>
      <c r="P315">
        <f t="shared" si="965"/>
        <v>-5.2675827475362091E-2</v>
      </c>
      <c r="Q315">
        <f t="shared" si="966"/>
        <v>-3149.4542980940309</v>
      </c>
      <c r="R315">
        <f t="shared" si="967"/>
        <v>7610861.5392777203</v>
      </c>
      <c r="S315">
        <f t="shared" si="968"/>
        <v>76.108615392777196</v>
      </c>
      <c r="T315">
        <f t="shared" si="969"/>
        <v>7.610861539277719E-2</v>
      </c>
    </row>
    <row r="316" spans="1:20" x14ac:dyDescent="0.25">
      <c r="A316" s="5">
        <v>44277</v>
      </c>
      <c r="B316">
        <v>57351.56</v>
      </c>
      <c r="C316">
        <v>58430.73</v>
      </c>
      <c r="D316">
        <v>53650</v>
      </c>
      <c r="E316">
        <v>54083.25</v>
      </c>
      <c r="F316">
        <v>62581.626169000003</v>
      </c>
      <c r="G316">
        <v>-5.7</v>
      </c>
      <c r="L316" t="s">
        <v>7</v>
      </c>
      <c r="M316" t="s">
        <v>8</v>
      </c>
      <c r="N316" t="s">
        <v>8</v>
      </c>
      <c r="P316">
        <f t="shared" si="965"/>
        <v>-0.81875152957811892</v>
      </c>
      <c r="Q316">
        <f t="shared" si="966"/>
        <v>-51238.802149354786</v>
      </c>
      <c r="R316">
        <f t="shared" si="967"/>
        <v>7614010.9935758142</v>
      </c>
      <c r="S316">
        <f t="shared" si="968"/>
        <v>76.140109935758147</v>
      </c>
      <c r="T316">
        <f t="shared" si="969"/>
        <v>7.6140109935758149E-2</v>
      </c>
    </row>
    <row r="317" spans="1:20" x14ac:dyDescent="0.25">
      <c r="A317" s="5">
        <v>44276</v>
      </c>
      <c r="B317">
        <v>58100.02</v>
      </c>
      <c r="C317">
        <v>58589.1</v>
      </c>
      <c r="D317">
        <v>55450.11</v>
      </c>
      <c r="E317">
        <v>57351.56</v>
      </c>
      <c r="F317">
        <v>48564.470273999999</v>
      </c>
      <c r="G317">
        <v>-1.29</v>
      </c>
      <c r="L317" t="s">
        <v>7</v>
      </c>
      <c r="M317" t="s">
        <v>8</v>
      </c>
      <c r="N317" t="s">
        <v>8</v>
      </c>
      <c r="P317">
        <f t="shared" si="965"/>
        <v>0.21150433738240537</v>
      </c>
      <c r="Q317">
        <f t="shared" si="966"/>
        <v>10271.596105629893</v>
      </c>
      <c r="R317">
        <f t="shared" si="967"/>
        <v>7665249.7957251687</v>
      </c>
      <c r="S317">
        <f t="shared" si="968"/>
        <v>76.652497957251683</v>
      </c>
      <c r="T317">
        <f t="shared" si="969"/>
        <v>7.6652497957251681E-2</v>
      </c>
    </row>
    <row r="318" spans="1:20" x14ac:dyDescent="0.25">
      <c r="A318" s="5">
        <v>44275</v>
      </c>
      <c r="B318">
        <v>58030.01</v>
      </c>
      <c r="C318">
        <v>59880</v>
      </c>
      <c r="D318">
        <v>57820.17</v>
      </c>
      <c r="E318">
        <v>58102.28</v>
      </c>
      <c r="F318">
        <v>44476.941776</v>
      </c>
      <c r="G318">
        <v>0.12</v>
      </c>
      <c r="L318" t="s">
        <v>8</v>
      </c>
      <c r="M318" t="s">
        <v>8</v>
      </c>
      <c r="N318" t="s">
        <v>8</v>
      </c>
      <c r="P318">
        <f t="shared" si="965"/>
        <v>-0.72608419141385416</v>
      </c>
      <c r="Q318">
        <f t="shared" si="966"/>
        <v>-32294.00430598803</v>
      </c>
      <c r="R318">
        <f t="shared" si="967"/>
        <v>7654978.1996195391</v>
      </c>
      <c r="S318">
        <f t="shared" si="968"/>
        <v>76.549781996195392</v>
      </c>
      <c r="T318">
        <f t="shared" si="969"/>
        <v>7.6549781996195387E-2</v>
      </c>
    </row>
    <row r="319" spans="1:20" x14ac:dyDescent="0.25">
      <c r="A319" s="5">
        <v>44274</v>
      </c>
      <c r="B319">
        <v>57641</v>
      </c>
      <c r="C319">
        <v>59468</v>
      </c>
      <c r="D319">
        <v>56270.74</v>
      </c>
      <c r="E319">
        <v>58030.01</v>
      </c>
      <c r="F319">
        <v>52392.652961</v>
      </c>
      <c r="G319">
        <v>0.67</v>
      </c>
      <c r="L319" t="s">
        <v>8</v>
      </c>
      <c r="M319" t="s">
        <v>8</v>
      </c>
      <c r="N319" t="s">
        <v>8</v>
      </c>
      <c r="P319">
        <f t="shared" si="965"/>
        <v>0.10048604117275602</v>
      </c>
      <c r="Q319">
        <f t="shared" si="966"/>
        <v>5264.7302825889637</v>
      </c>
      <c r="R319">
        <f t="shared" si="967"/>
        <v>7687272.2039255267</v>
      </c>
      <c r="S319">
        <f t="shared" si="968"/>
        <v>76.872722039255265</v>
      </c>
      <c r="T319">
        <f t="shared" si="969"/>
        <v>7.687272203925527E-2</v>
      </c>
    </row>
    <row r="320" spans="1:20" x14ac:dyDescent="0.25">
      <c r="A320" s="5">
        <v>44273</v>
      </c>
      <c r="B320">
        <v>58912.97</v>
      </c>
      <c r="C320">
        <v>60129.97</v>
      </c>
      <c r="D320">
        <v>57023</v>
      </c>
      <c r="E320">
        <v>57648.160000000003</v>
      </c>
      <c r="F320">
        <v>66580.406675000006</v>
      </c>
      <c r="G320">
        <v>-2.15</v>
      </c>
      <c r="L320" t="s">
        <v>8</v>
      </c>
      <c r="M320" t="s">
        <v>8</v>
      </c>
      <c r="N320" t="s">
        <v>8</v>
      </c>
      <c r="P320">
        <f t="shared" si="965"/>
        <v>-0.59757577318094268</v>
      </c>
      <c r="Q320">
        <f t="shared" si="966"/>
        <v>-39786.837997514725</v>
      </c>
      <c r="R320">
        <f t="shared" si="967"/>
        <v>7682007.4736429378</v>
      </c>
      <c r="S320">
        <f t="shared" si="968"/>
        <v>76.820074736429376</v>
      </c>
      <c r="T320">
        <f t="shared" si="969"/>
        <v>7.6820074736429378E-2</v>
      </c>
    </row>
    <row r="321" spans="1:20" x14ac:dyDescent="0.25">
      <c r="A321" s="5">
        <v>44272</v>
      </c>
      <c r="B321">
        <v>56900.74</v>
      </c>
      <c r="C321">
        <v>58974.73</v>
      </c>
      <c r="D321">
        <v>54123.69</v>
      </c>
      <c r="E321">
        <v>58912.97</v>
      </c>
      <c r="F321">
        <v>70421.620840999996</v>
      </c>
      <c r="G321">
        <v>3.54</v>
      </c>
      <c r="L321" t="s">
        <v>8</v>
      </c>
      <c r="M321" t="s">
        <v>8</v>
      </c>
      <c r="N321" t="s">
        <v>8</v>
      </c>
      <c r="P321">
        <f t="shared" si="965"/>
        <v>0.97453741878030198</v>
      </c>
      <c r="Q321">
        <f t="shared" si="966"/>
        <v>68628.504600713248</v>
      </c>
      <c r="R321">
        <f t="shared" si="967"/>
        <v>7721794.3116404526</v>
      </c>
      <c r="S321">
        <f t="shared" si="968"/>
        <v>77.217943116404527</v>
      </c>
      <c r="T321">
        <f t="shared" si="969"/>
        <v>7.7217943116404522E-2</v>
      </c>
    </row>
    <row r="322" spans="1:20" x14ac:dyDescent="0.25">
      <c r="A322" s="5">
        <v>44271</v>
      </c>
      <c r="B322">
        <v>55605.2</v>
      </c>
      <c r="C322">
        <v>56938.29</v>
      </c>
      <c r="D322">
        <v>53271.34</v>
      </c>
      <c r="E322">
        <v>56900.75</v>
      </c>
      <c r="F322">
        <v>77986.694355</v>
      </c>
      <c r="G322">
        <v>2.33</v>
      </c>
      <c r="L322" t="s">
        <v>7</v>
      </c>
      <c r="M322" t="s">
        <v>8</v>
      </c>
      <c r="N322" t="s">
        <v>8</v>
      </c>
      <c r="P322">
        <f t="shared" si="965"/>
        <v>0.97952521850584229</v>
      </c>
      <c r="Q322">
        <f t="shared" si="966"/>
        <v>76389.933828629713</v>
      </c>
      <c r="R322">
        <f t="shared" si="967"/>
        <v>7653165.8070397396</v>
      </c>
      <c r="S322">
        <f t="shared" si="968"/>
        <v>76.531658070397398</v>
      </c>
      <c r="T322">
        <f t="shared" si="969"/>
        <v>7.6531658070397399E-2</v>
      </c>
    </row>
    <row r="323" spans="1:20" x14ac:dyDescent="0.25">
      <c r="A323" s="5">
        <v>44270</v>
      </c>
      <c r="B323">
        <v>58976.08</v>
      </c>
      <c r="C323">
        <v>60633.43</v>
      </c>
      <c r="D323">
        <v>54600</v>
      </c>
      <c r="E323">
        <v>55605.2</v>
      </c>
      <c r="F323">
        <v>102771.427298</v>
      </c>
      <c r="G323">
        <v>-5.72</v>
      </c>
      <c r="L323" t="s">
        <v>7</v>
      </c>
      <c r="M323" t="s">
        <v>8</v>
      </c>
      <c r="N323" t="s">
        <v>8</v>
      </c>
      <c r="P323">
        <f t="shared" si="965"/>
        <v>-0.6667898691125953</v>
      </c>
      <c r="Q323">
        <f t="shared" si="966"/>
        <v>-68526.94655654802</v>
      </c>
      <c r="R323">
        <f t="shared" si="967"/>
        <v>7576775.87321111</v>
      </c>
      <c r="S323">
        <f t="shared" si="968"/>
        <v>75.767758732111105</v>
      </c>
      <c r="T323">
        <f t="shared" si="969"/>
        <v>7.5767758732111098E-2</v>
      </c>
    </row>
    <row r="324" spans="1:20" x14ac:dyDescent="0.25">
      <c r="A324" s="5">
        <v>44269</v>
      </c>
      <c r="B324">
        <v>61188.38</v>
      </c>
      <c r="C324">
        <v>61724.79</v>
      </c>
      <c r="D324">
        <v>58966.78</v>
      </c>
      <c r="E324">
        <v>58968.31</v>
      </c>
      <c r="F324">
        <v>52601.052750000003</v>
      </c>
      <c r="G324">
        <v>-3.63</v>
      </c>
      <c r="L324" t="s">
        <v>8</v>
      </c>
      <c r="M324" t="s">
        <v>8</v>
      </c>
      <c r="N324" t="s">
        <v>8</v>
      </c>
      <c r="P324">
        <f t="shared" si="965"/>
        <v>-0.99889050438540916</v>
      </c>
      <c r="Q324">
        <f t="shared" si="966"/>
        <v>-52542.692112651013</v>
      </c>
      <c r="R324">
        <f t="shared" si="967"/>
        <v>7645302.8197676577</v>
      </c>
      <c r="S324">
        <f t="shared" si="968"/>
        <v>76.453028197676574</v>
      </c>
      <c r="T324">
        <f t="shared" si="969"/>
        <v>7.6453028197676576E-2</v>
      </c>
    </row>
    <row r="325" spans="1:20" x14ac:dyDescent="0.25">
      <c r="A325" s="5">
        <v>44268</v>
      </c>
      <c r="B325">
        <v>57221.72</v>
      </c>
      <c r="C325">
        <v>61844</v>
      </c>
      <c r="D325">
        <v>56078.23</v>
      </c>
      <c r="E325">
        <v>61188.39</v>
      </c>
      <c r="F325">
        <v>83245.091346000001</v>
      </c>
      <c r="G325">
        <v>6.93</v>
      </c>
      <c r="L325" t="s">
        <v>8</v>
      </c>
      <c r="M325" t="s">
        <v>8</v>
      </c>
      <c r="N325" t="s">
        <v>8</v>
      </c>
      <c r="P325">
        <f t="shared" si="965"/>
        <v>0.77258544825756115</v>
      </c>
      <c r="Q325">
        <f t="shared" si="966"/>
        <v>64313.946212791037</v>
      </c>
      <c r="R325">
        <f t="shared" si="967"/>
        <v>7697845.5118803084</v>
      </c>
      <c r="S325">
        <f t="shared" si="968"/>
        <v>76.978455118803083</v>
      </c>
      <c r="T325">
        <f t="shared" si="969"/>
        <v>7.697845511880308E-2</v>
      </c>
    </row>
    <row r="326" spans="1:20" x14ac:dyDescent="0.25">
      <c r="A326" s="5">
        <v>44267</v>
      </c>
      <c r="B326">
        <v>57773.15</v>
      </c>
      <c r="C326">
        <v>58081.51</v>
      </c>
      <c r="D326">
        <v>54962.84</v>
      </c>
      <c r="E326">
        <v>57221.72</v>
      </c>
      <c r="F326">
        <v>73405.406046999997</v>
      </c>
      <c r="G326">
        <v>-0.95</v>
      </c>
      <c r="L326" t="s">
        <v>8</v>
      </c>
      <c r="M326" t="s">
        <v>8</v>
      </c>
      <c r="N326" t="s">
        <v>8</v>
      </c>
      <c r="P326">
        <f t="shared" ref="P326:P389" si="970">IF(C326=D326,0,((E326-D326)-(C326-E326))/(C326-D326))</f>
        <v>0.448617519647799</v>
      </c>
      <c r="Q326">
        <f t="shared" ref="Q326:Q389" si="971">F326*P326</f>
        <v>32930.951189544685</v>
      </c>
      <c r="R326">
        <f t="shared" ref="R326:R389" si="972">R327+Q326</f>
        <v>7633531.5656675175</v>
      </c>
      <c r="S326">
        <f t="shared" ref="S326:S389" si="973">R326/100000</f>
        <v>76.335315656675178</v>
      </c>
      <c r="T326">
        <f t="shared" ref="T326:T389" si="974">S326/1000</f>
        <v>7.6335315656675173E-2</v>
      </c>
    </row>
    <row r="327" spans="1:20" x14ac:dyDescent="0.25">
      <c r="A327" s="5">
        <v>44266</v>
      </c>
      <c r="B327">
        <v>55851.59</v>
      </c>
      <c r="C327">
        <v>58150</v>
      </c>
      <c r="D327">
        <v>54272.82</v>
      </c>
      <c r="E327">
        <v>57773.16</v>
      </c>
      <c r="F327">
        <v>81914.812858999998</v>
      </c>
      <c r="G327">
        <v>3.44</v>
      </c>
      <c r="L327" t="s">
        <v>8</v>
      </c>
      <c r="M327" t="s">
        <v>8</v>
      </c>
      <c r="N327" t="s">
        <v>8</v>
      </c>
      <c r="P327">
        <f t="shared" si="970"/>
        <v>0.80561129480705229</v>
      </c>
      <c r="Q327">
        <f t="shared" si="971"/>
        <v>65991.498451216365</v>
      </c>
      <c r="R327">
        <f t="shared" si="972"/>
        <v>7600600.6144779725</v>
      </c>
      <c r="S327">
        <f t="shared" si="973"/>
        <v>76.006006144779718</v>
      </c>
      <c r="T327">
        <f t="shared" si="974"/>
        <v>7.6006006144779717E-2</v>
      </c>
    </row>
    <row r="328" spans="1:20" x14ac:dyDescent="0.25">
      <c r="A328" s="5">
        <v>44265</v>
      </c>
      <c r="B328">
        <v>54874.67</v>
      </c>
      <c r="C328">
        <v>57387.69</v>
      </c>
      <c r="D328">
        <v>53005</v>
      </c>
      <c r="E328">
        <v>55851.59</v>
      </c>
      <c r="F328">
        <v>84749.238943000004</v>
      </c>
      <c r="G328">
        <v>1.78</v>
      </c>
      <c r="L328" t="s">
        <v>8</v>
      </c>
      <c r="M328" t="s">
        <v>8</v>
      </c>
      <c r="N328" t="s">
        <v>7</v>
      </c>
      <c r="P328">
        <f t="shared" si="970"/>
        <v>0.29901498851161956</v>
      </c>
      <c r="Q328">
        <f t="shared" si="971"/>
        <v>25341.292708909648</v>
      </c>
      <c r="R328">
        <f t="shared" si="972"/>
        <v>7534609.1160267564</v>
      </c>
      <c r="S328">
        <f t="shared" si="973"/>
        <v>75.346091160267562</v>
      </c>
      <c r="T328">
        <f t="shared" si="974"/>
        <v>7.5346091160267567E-2</v>
      </c>
    </row>
    <row r="329" spans="1:20" x14ac:dyDescent="0.25">
      <c r="A329" s="5">
        <v>44264</v>
      </c>
      <c r="B329">
        <v>52375.18</v>
      </c>
      <c r="C329">
        <v>54895</v>
      </c>
      <c r="D329">
        <v>51789.41</v>
      </c>
      <c r="E329">
        <v>54884.5</v>
      </c>
      <c r="F329">
        <v>71656.737076000005</v>
      </c>
      <c r="G329">
        <v>4.79</v>
      </c>
      <c r="L329" t="s">
        <v>8</v>
      </c>
      <c r="M329" t="s">
        <v>8</v>
      </c>
      <c r="N329" t="s">
        <v>7</v>
      </c>
      <c r="P329">
        <f t="shared" si="970"/>
        <v>0.99323799986476002</v>
      </c>
      <c r="Q329">
        <f t="shared" si="971"/>
        <v>71172.19421020124</v>
      </c>
      <c r="R329">
        <f t="shared" si="972"/>
        <v>7509267.8233178463</v>
      </c>
      <c r="S329">
        <f t="shared" si="973"/>
        <v>75.092678233178461</v>
      </c>
      <c r="T329">
        <f t="shared" si="974"/>
        <v>7.5092678233178459E-2</v>
      </c>
    </row>
    <row r="330" spans="1:20" x14ac:dyDescent="0.25">
      <c r="A330" s="5">
        <v>44263</v>
      </c>
      <c r="B330">
        <v>50959.11</v>
      </c>
      <c r="C330">
        <v>52402.78</v>
      </c>
      <c r="D330">
        <v>49274.67</v>
      </c>
      <c r="E330">
        <v>52375.17</v>
      </c>
      <c r="F330">
        <v>66987.359664000003</v>
      </c>
      <c r="G330">
        <v>2.78</v>
      </c>
      <c r="L330" t="s">
        <v>8</v>
      </c>
      <c r="M330" t="s">
        <v>8</v>
      </c>
      <c r="N330" t="s">
        <v>7</v>
      </c>
      <c r="P330">
        <f t="shared" si="970"/>
        <v>0.98234716809830824</v>
      </c>
      <c r="Q330">
        <f t="shared" si="971"/>
        <v>65804.843064313245</v>
      </c>
      <c r="R330">
        <f t="shared" si="972"/>
        <v>7438095.6291076448</v>
      </c>
      <c r="S330">
        <f t="shared" si="973"/>
        <v>74.380956291076444</v>
      </c>
      <c r="T330">
        <f t="shared" si="974"/>
        <v>7.4380956291076439E-2</v>
      </c>
    </row>
    <row r="331" spans="1:20" x14ac:dyDescent="0.25">
      <c r="A331" s="5">
        <v>44262</v>
      </c>
      <c r="B331">
        <v>48882.2</v>
      </c>
      <c r="C331">
        <v>51450.03</v>
      </c>
      <c r="D331">
        <v>48882.2</v>
      </c>
      <c r="E331">
        <v>50971.75</v>
      </c>
      <c r="F331">
        <v>55235.028032000002</v>
      </c>
      <c r="G331">
        <v>4.2699999999999996</v>
      </c>
      <c r="L331" t="s">
        <v>8</v>
      </c>
      <c r="M331" t="s">
        <v>8</v>
      </c>
      <c r="N331" t="s">
        <v>7</v>
      </c>
      <c r="P331">
        <f t="shared" si="970"/>
        <v>0.62748312777715154</v>
      </c>
      <c r="Q331">
        <f t="shared" si="971"/>
        <v>34659.048152378004</v>
      </c>
      <c r="R331">
        <f t="shared" si="972"/>
        <v>7372290.786043332</v>
      </c>
      <c r="S331">
        <f t="shared" si="973"/>
        <v>73.722907860433324</v>
      </c>
      <c r="T331">
        <f t="shared" si="974"/>
        <v>7.3722907860433326E-2</v>
      </c>
    </row>
    <row r="332" spans="1:20" x14ac:dyDescent="0.25">
      <c r="A332" s="5">
        <v>44261</v>
      </c>
      <c r="B332">
        <v>48746.81</v>
      </c>
      <c r="C332">
        <v>49200</v>
      </c>
      <c r="D332">
        <v>47070</v>
      </c>
      <c r="E332">
        <v>48882.2</v>
      </c>
      <c r="F332">
        <v>44399.234241999999</v>
      </c>
      <c r="G332">
        <v>0.28000000000000003</v>
      </c>
      <c r="L332" t="s">
        <v>7</v>
      </c>
      <c r="M332" t="s">
        <v>8</v>
      </c>
      <c r="N332" t="s">
        <v>7</v>
      </c>
      <c r="P332">
        <f t="shared" si="970"/>
        <v>0.70159624413145272</v>
      </c>
      <c r="Q332">
        <f t="shared" si="971"/>
        <v>31150.335986499787</v>
      </c>
      <c r="R332">
        <f t="shared" si="972"/>
        <v>7337631.7378909541</v>
      </c>
      <c r="S332">
        <f t="shared" si="973"/>
        <v>73.376317378909548</v>
      </c>
      <c r="T332">
        <f t="shared" si="974"/>
        <v>7.3376317378909553E-2</v>
      </c>
    </row>
    <row r="333" spans="1:20" x14ac:dyDescent="0.25">
      <c r="A333" s="5">
        <v>44260</v>
      </c>
      <c r="B333">
        <v>48374.09</v>
      </c>
      <c r="C333">
        <v>49448.93</v>
      </c>
      <c r="D333">
        <v>46300</v>
      </c>
      <c r="E333">
        <v>48751.71</v>
      </c>
      <c r="F333">
        <v>78192.496371999994</v>
      </c>
      <c r="G333">
        <v>0.78</v>
      </c>
      <c r="L333" t="s">
        <v>7</v>
      </c>
      <c r="M333" t="s">
        <v>8</v>
      </c>
      <c r="N333" t="s">
        <v>7</v>
      </c>
      <c r="P333">
        <f t="shared" si="970"/>
        <v>0.55717021337406603</v>
      </c>
      <c r="Q333">
        <f t="shared" si="971"/>
        <v>43566.529887838122</v>
      </c>
      <c r="R333">
        <f t="shared" si="972"/>
        <v>7306481.4019044545</v>
      </c>
      <c r="S333">
        <f t="shared" si="973"/>
        <v>73.064814019044547</v>
      </c>
      <c r="T333">
        <f t="shared" si="974"/>
        <v>7.3064814019044549E-2</v>
      </c>
    </row>
    <row r="334" spans="1:20" x14ac:dyDescent="0.25">
      <c r="A334" s="5">
        <v>44259</v>
      </c>
      <c r="B334">
        <v>50349.37</v>
      </c>
      <c r="C334">
        <v>51773.88</v>
      </c>
      <c r="D334">
        <v>47500</v>
      </c>
      <c r="E334">
        <v>48374.09</v>
      </c>
      <c r="F334">
        <v>82649.716828999997</v>
      </c>
      <c r="G334">
        <v>-3.92</v>
      </c>
      <c r="L334" t="s">
        <v>7</v>
      </c>
      <c r="M334" t="s">
        <v>8</v>
      </c>
      <c r="N334" t="s">
        <v>7</v>
      </c>
      <c r="P334">
        <f t="shared" si="970"/>
        <v>-0.5909618426347969</v>
      </c>
      <c r="Q334">
        <f t="shared" si="971"/>
        <v>-48842.828950510018</v>
      </c>
      <c r="R334">
        <f t="shared" si="972"/>
        <v>7262914.8720166162</v>
      </c>
      <c r="S334">
        <f t="shared" si="973"/>
        <v>72.629148720166157</v>
      </c>
      <c r="T334">
        <f t="shared" si="974"/>
        <v>7.2629148720166153E-2</v>
      </c>
    </row>
    <row r="335" spans="1:20" x14ac:dyDescent="0.25">
      <c r="A335" s="5">
        <v>44258</v>
      </c>
      <c r="B335">
        <v>48436.61</v>
      </c>
      <c r="C335">
        <v>52640</v>
      </c>
      <c r="D335">
        <v>48100.71</v>
      </c>
      <c r="E335">
        <v>50349.37</v>
      </c>
      <c r="F335">
        <v>81035.913704999999</v>
      </c>
      <c r="G335">
        <v>3.95</v>
      </c>
      <c r="L335" t="s">
        <v>8</v>
      </c>
      <c r="M335" t="s">
        <v>8</v>
      </c>
      <c r="N335" t="s">
        <v>7</v>
      </c>
      <c r="P335">
        <f t="shared" si="970"/>
        <v>-9.2459393429355427E-3</v>
      </c>
      <c r="Q335">
        <f t="shared" si="971"/>
        <v>-749.25314271578907</v>
      </c>
      <c r="R335">
        <f t="shared" si="972"/>
        <v>7311757.7009671265</v>
      </c>
      <c r="S335">
        <f t="shared" si="973"/>
        <v>73.117577009671265</v>
      </c>
      <c r="T335">
        <f t="shared" si="974"/>
        <v>7.3117577009671267E-2</v>
      </c>
    </row>
    <row r="336" spans="1:20" x14ac:dyDescent="0.25">
      <c r="A336" s="5">
        <v>44257</v>
      </c>
      <c r="B336">
        <v>49595.76</v>
      </c>
      <c r="C336">
        <v>50200</v>
      </c>
      <c r="D336">
        <v>47047.6</v>
      </c>
      <c r="E336">
        <v>48440.65</v>
      </c>
      <c r="F336">
        <v>64221.062140000002</v>
      </c>
      <c r="G336">
        <v>-2.33</v>
      </c>
      <c r="L336" t="s">
        <v>8</v>
      </c>
      <c r="M336" t="s">
        <v>7</v>
      </c>
      <c r="N336" t="s">
        <v>7</v>
      </c>
      <c r="P336">
        <f t="shared" si="970"/>
        <v>-0.11619718309859012</v>
      </c>
      <c r="Q336">
        <f t="shared" si="971"/>
        <v>-7462.3065162675139</v>
      </c>
      <c r="R336">
        <f t="shared" si="972"/>
        <v>7312506.954109842</v>
      </c>
      <c r="S336">
        <f t="shared" si="973"/>
        <v>73.125069541098426</v>
      </c>
      <c r="T336">
        <f t="shared" si="974"/>
        <v>7.3125069541098431E-2</v>
      </c>
    </row>
    <row r="337" spans="1:20" x14ac:dyDescent="0.25">
      <c r="A337" s="5">
        <v>44256</v>
      </c>
      <c r="B337">
        <v>45134.11</v>
      </c>
      <c r="C337">
        <v>49790</v>
      </c>
      <c r="D337">
        <v>44950.53</v>
      </c>
      <c r="E337">
        <v>49587.03</v>
      </c>
      <c r="F337">
        <v>85086.111648000006</v>
      </c>
      <c r="G337">
        <v>9.8699999999999992</v>
      </c>
      <c r="L337" t="s">
        <v>8</v>
      </c>
      <c r="M337" t="s">
        <v>7</v>
      </c>
      <c r="N337" t="s">
        <v>7</v>
      </c>
      <c r="P337">
        <f t="shared" si="970"/>
        <v>0.91611891384800359</v>
      </c>
      <c r="Q337">
        <f t="shared" si="971"/>
        <v>77948.996186515738</v>
      </c>
      <c r="R337">
        <f t="shared" si="972"/>
        <v>7319969.2606261093</v>
      </c>
      <c r="S337">
        <f t="shared" si="973"/>
        <v>73.199692606261095</v>
      </c>
      <c r="T337">
        <f t="shared" si="974"/>
        <v>7.3199692606261094E-2</v>
      </c>
    </row>
    <row r="338" spans="1:20" x14ac:dyDescent="0.25">
      <c r="A338" s="5">
        <v>44255</v>
      </c>
      <c r="B338">
        <v>46103.67</v>
      </c>
      <c r="C338">
        <v>46638.46</v>
      </c>
      <c r="D338">
        <v>43000</v>
      </c>
      <c r="E338">
        <v>45135.66</v>
      </c>
      <c r="F338">
        <v>83055.369042000006</v>
      </c>
      <c r="G338">
        <v>-2.1</v>
      </c>
      <c r="L338" t="s">
        <v>7</v>
      </c>
      <c r="M338" t="s">
        <v>7</v>
      </c>
      <c r="N338" t="s">
        <v>7</v>
      </c>
      <c r="P338">
        <f t="shared" si="970"/>
        <v>0.17393622576584819</v>
      </c>
      <c r="Q338">
        <f t="shared" si="971"/>
        <v>14446.337420755151</v>
      </c>
      <c r="R338">
        <f t="shared" si="972"/>
        <v>7242020.264439594</v>
      </c>
      <c r="S338">
        <f t="shared" si="973"/>
        <v>72.420202644395943</v>
      </c>
      <c r="T338">
        <f t="shared" si="974"/>
        <v>7.2420202644395942E-2</v>
      </c>
    </row>
    <row r="339" spans="1:20" x14ac:dyDescent="0.25">
      <c r="A339" s="5">
        <v>44254</v>
      </c>
      <c r="B339">
        <v>46276.88</v>
      </c>
      <c r="C339">
        <v>48394</v>
      </c>
      <c r="D339">
        <v>45000</v>
      </c>
      <c r="E339">
        <v>46106.43</v>
      </c>
      <c r="F339">
        <v>66060.834292</v>
      </c>
      <c r="G339">
        <v>-0.37</v>
      </c>
      <c r="L339" t="s">
        <v>8</v>
      </c>
      <c r="M339" t="s">
        <v>7</v>
      </c>
      <c r="N339" t="s">
        <v>8</v>
      </c>
      <c r="P339">
        <f t="shared" si="970"/>
        <v>-0.34800824985268103</v>
      </c>
      <c r="Q339">
        <f t="shared" si="971"/>
        <v>-22989.715325766894</v>
      </c>
      <c r="R339">
        <f t="shared" si="972"/>
        <v>7227573.9270188389</v>
      </c>
      <c r="S339">
        <f t="shared" si="973"/>
        <v>72.275739270188396</v>
      </c>
      <c r="T339">
        <f t="shared" si="974"/>
        <v>7.2275739270188391E-2</v>
      </c>
    </row>
    <row r="340" spans="1:20" x14ac:dyDescent="0.25">
      <c r="A340" s="5">
        <v>44253</v>
      </c>
      <c r="B340">
        <v>47073.73</v>
      </c>
      <c r="C340">
        <v>48424.11</v>
      </c>
      <c r="D340">
        <v>44106.78</v>
      </c>
      <c r="E340">
        <v>46276.87</v>
      </c>
      <c r="F340">
        <v>109423.200663</v>
      </c>
      <c r="G340">
        <v>-1.69</v>
      </c>
      <c r="L340" t="s">
        <v>7</v>
      </c>
      <c r="M340" t="s">
        <v>7</v>
      </c>
      <c r="N340" t="s">
        <v>8</v>
      </c>
      <c r="P340">
        <f t="shared" si="970"/>
        <v>5.2926229868937077E-3</v>
      </c>
      <c r="Q340">
        <f t="shared" si="971"/>
        <v>579.13574712847662</v>
      </c>
      <c r="R340">
        <f t="shared" si="972"/>
        <v>7250563.6423446061</v>
      </c>
      <c r="S340">
        <f t="shared" si="973"/>
        <v>72.505636423446063</v>
      </c>
      <c r="T340">
        <f t="shared" si="974"/>
        <v>7.2505636423446068E-2</v>
      </c>
    </row>
    <row r="341" spans="1:20" x14ac:dyDescent="0.25">
      <c r="A341" s="5">
        <v>44252</v>
      </c>
      <c r="B341">
        <v>49676.21</v>
      </c>
      <c r="C341">
        <v>52041.73</v>
      </c>
      <c r="D341">
        <v>46674.34</v>
      </c>
      <c r="E341">
        <v>47073.73</v>
      </c>
      <c r="F341">
        <v>83310.673121</v>
      </c>
      <c r="G341">
        <v>-5.24</v>
      </c>
      <c r="L341" t="s">
        <v>8</v>
      </c>
      <c r="M341" t="s">
        <v>7</v>
      </c>
      <c r="N341" t="s">
        <v>8</v>
      </c>
      <c r="P341">
        <f t="shared" si="970"/>
        <v>-0.8511790646850681</v>
      </c>
      <c r="Q341">
        <f t="shared" si="971"/>
        <v>-70912.300825416227</v>
      </c>
      <c r="R341">
        <f t="shared" si="972"/>
        <v>7249984.5065974779</v>
      </c>
      <c r="S341">
        <f t="shared" si="973"/>
        <v>72.499845065974782</v>
      </c>
      <c r="T341">
        <f t="shared" si="974"/>
        <v>7.2499845065974788E-2</v>
      </c>
    </row>
    <row r="342" spans="1:20" x14ac:dyDescent="0.25">
      <c r="A342" s="5">
        <v>44251</v>
      </c>
      <c r="B342">
        <v>48891</v>
      </c>
      <c r="C342">
        <v>51374.99</v>
      </c>
      <c r="D342">
        <v>46988.69</v>
      </c>
      <c r="E342">
        <v>49676.2</v>
      </c>
      <c r="F342">
        <v>91881.209252000001</v>
      </c>
      <c r="G342">
        <v>1.61</v>
      </c>
      <c r="L342" t="s">
        <v>8</v>
      </c>
      <c r="M342" t="s">
        <v>7</v>
      </c>
      <c r="N342" t="s">
        <v>8</v>
      </c>
      <c r="P342">
        <f t="shared" si="970"/>
        <v>0.22541093860428946</v>
      </c>
      <c r="Q342">
        <f t="shared" si="971"/>
        <v>20711.029617590444</v>
      </c>
      <c r="R342">
        <f t="shared" si="972"/>
        <v>7320896.8074228941</v>
      </c>
      <c r="S342">
        <f t="shared" si="973"/>
        <v>73.208968074228935</v>
      </c>
      <c r="T342">
        <f t="shared" si="974"/>
        <v>7.3208968074228928E-2</v>
      </c>
    </row>
    <row r="343" spans="1:20" x14ac:dyDescent="0.25">
      <c r="A343" s="5">
        <v>44250</v>
      </c>
      <c r="B343">
        <v>54087.67</v>
      </c>
      <c r="C343">
        <v>54183.59</v>
      </c>
      <c r="D343">
        <v>44892.56</v>
      </c>
      <c r="E343">
        <v>48891</v>
      </c>
      <c r="F343">
        <v>169375.025051</v>
      </c>
      <c r="G343">
        <v>-9.61</v>
      </c>
      <c r="L343" t="s">
        <v>7</v>
      </c>
      <c r="M343" t="s">
        <v>7</v>
      </c>
      <c r="N343" t="s">
        <v>8</v>
      </c>
      <c r="P343">
        <f t="shared" si="970"/>
        <v>-0.13929026168250391</v>
      </c>
      <c r="Q343">
        <f t="shared" si="971"/>
        <v>-23592.291561834445</v>
      </c>
      <c r="R343">
        <f t="shared" si="972"/>
        <v>7300185.7778053032</v>
      </c>
      <c r="S343">
        <f t="shared" si="973"/>
        <v>73.001857778053036</v>
      </c>
      <c r="T343">
        <f t="shared" si="974"/>
        <v>7.3001857778053042E-2</v>
      </c>
    </row>
    <row r="344" spans="1:20" x14ac:dyDescent="0.25">
      <c r="A344" s="5">
        <v>44249</v>
      </c>
      <c r="B344">
        <v>57412.35</v>
      </c>
      <c r="C344">
        <v>57508.47</v>
      </c>
      <c r="D344">
        <v>47622</v>
      </c>
      <c r="E344">
        <v>54087.67</v>
      </c>
      <c r="F344">
        <v>134019.43494400001</v>
      </c>
      <c r="G344">
        <v>-5.79</v>
      </c>
      <c r="L344" t="s">
        <v>7</v>
      </c>
      <c r="M344" t="s">
        <v>7</v>
      </c>
      <c r="N344" t="s">
        <v>8</v>
      </c>
      <c r="P344">
        <f t="shared" si="970"/>
        <v>0.30798353709665788</v>
      </c>
      <c r="Q344">
        <f t="shared" si="971"/>
        <v>41275.779613748557</v>
      </c>
      <c r="R344">
        <f t="shared" si="972"/>
        <v>7323778.0693671377</v>
      </c>
      <c r="S344">
        <f t="shared" si="973"/>
        <v>73.237780693671382</v>
      </c>
      <c r="T344">
        <f t="shared" si="974"/>
        <v>7.3237780693671387E-2</v>
      </c>
    </row>
    <row r="345" spans="1:20" x14ac:dyDescent="0.25">
      <c r="A345" s="5">
        <v>44248</v>
      </c>
      <c r="B345">
        <v>55841.19</v>
      </c>
      <c r="C345">
        <v>58352.800000000003</v>
      </c>
      <c r="D345">
        <v>55477.59</v>
      </c>
      <c r="E345">
        <v>57408.57</v>
      </c>
      <c r="F345">
        <v>58166.708510999997</v>
      </c>
      <c r="G345">
        <v>2.81</v>
      </c>
      <c r="L345" t="s">
        <v>8</v>
      </c>
      <c r="M345" t="s">
        <v>8</v>
      </c>
      <c r="N345" t="s">
        <v>8</v>
      </c>
      <c r="P345">
        <f t="shared" si="970"/>
        <v>0.34319232334333766</v>
      </c>
      <c r="Q345">
        <f t="shared" si="971"/>
        <v>19962.36783512478</v>
      </c>
      <c r="R345">
        <f t="shared" si="972"/>
        <v>7282502.2897533895</v>
      </c>
      <c r="S345">
        <f t="shared" si="973"/>
        <v>72.825022897533898</v>
      </c>
      <c r="T345">
        <f t="shared" si="974"/>
        <v>7.2825022897533898E-2</v>
      </c>
    </row>
    <row r="346" spans="1:20" x14ac:dyDescent="0.25">
      <c r="A346" s="5">
        <v>44247</v>
      </c>
      <c r="B346">
        <v>55906</v>
      </c>
      <c r="C346">
        <v>57700.46</v>
      </c>
      <c r="D346">
        <v>53863.93</v>
      </c>
      <c r="E346">
        <v>55841.19</v>
      </c>
      <c r="F346">
        <v>80948.205314000006</v>
      </c>
      <c r="G346">
        <v>-0.12</v>
      </c>
      <c r="L346" t="s">
        <v>8</v>
      </c>
      <c r="M346" t="s">
        <v>8</v>
      </c>
      <c r="N346" t="s">
        <v>8</v>
      </c>
      <c r="P346">
        <f t="shared" si="970"/>
        <v>3.0754353543437762E-2</v>
      </c>
      <c r="Q346">
        <f t="shared" si="971"/>
        <v>2489.5097249335436</v>
      </c>
      <c r="R346">
        <f t="shared" si="972"/>
        <v>7262539.9219182646</v>
      </c>
      <c r="S346">
        <f t="shared" si="973"/>
        <v>72.62539921918264</v>
      </c>
      <c r="T346">
        <f t="shared" si="974"/>
        <v>7.2625399219182638E-2</v>
      </c>
    </row>
    <row r="347" spans="1:20" x14ac:dyDescent="0.25">
      <c r="A347" s="5">
        <v>44246</v>
      </c>
      <c r="B347">
        <v>51552.61</v>
      </c>
      <c r="C347">
        <v>56368</v>
      </c>
      <c r="D347">
        <v>50710.2</v>
      </c>
      <c r="E347">
        <v>55906</v>
      </c>
      <c r="F347">
        <v>79659.778019999998</v>
      </c>
      <c r="G347">
        <v>8.44</v>
      </c>
      <c r="L347" t="s">
        <v>8</v>
      </c>
      <c r="M347" t="s">
        <v>8</v>
      </c>
      <c r="N347" t="s">
        <v>8</v>
      </c>
      <c r="P347">
        <f t="shared" si="970"/>
        <v>0.83668563752695402</v>
      </c>
      <c r="Q347">
        <f t="shared" si="971"/>
        <v>66650.192157919344</v>
      </c>
      <c r="R347">
        <f t="shared" si="972"/>
        <v>7260050.4121933309</v>
      </c>
      <c r="S347">
        <f t="shared" si="973"/>
        <v>72.600504121933312</v>
      </c>
      <c r="T347">
        <f t="shared" si="974"/>
        <v>7.2600504121933307E-2</v>
      </c>
    </row>
    <row r="348" spans="1:20" x14ac:dyDescent="0.25">
      <c r="A348" s="5">
        <v>44245</v>
      </c>
      <c r="B348">
        <v>52117.67</v>
      </c>
      <c r="C348">
        <v>52530</v>
      </c>
      <c r="D348">
        <v>50901.9</v>
      </c>
      <c r="E348">
        <v>51552.6</v>
      </c>
      <c r="F348">
        <v>60758.046953999998</v>
      </c>
      <c r="G348">
        <v>-1.08</v>
      </c>
      <c r="L348" t="s">
        <v>8</v>
      </c>
      <c r="M348" t="s">
        <v>8</v>
      </c>
      <c r="N348" t="s">
        <v>8</v>
      </c>
      <c r="P348">
        <f t="shared" si="970"/>
        <v>-0.20066334991708412</v>
      </c>
      <c r="Q348">
        <f t="shared" si="971"/>
        <v>-12191.913236209128</v>
      </c>
      <c r="R348">
        <f t="shared" si="972"/>
        <v>7193400.2200354114</v>
      </c>
      <c r="S348">
        <f t="shared" si="973"/>
        <v>71.934002200354115</v>
      </c>
      <c r="T348">
        <f t="shared" si="974"/>
        <v>7.1934002200354119E-2</v>
      </c>
    </row>
    <row r="349" spans="1:20" x14ac:dyDescent="0.25">
      <c r="A349" s="5">
        <v>44244</v>
      </c>
      <c r="B349">
        <v>49133.45</v>
      </c>
      <c r="C349">
        <v>52618.74</v>
      </c>
      <c r="D349">
        <v>48947</v>
      </c>
      <c r="E349">
        <v>52119.71</v>
      </c>
      <c r="F349">
        <v>85743.637818000003</v>
      </c>
      <c r="G349">
        <v>6.08</v>
      </c>
      <c r="L349" t="s">
        <v>8</v>
      </c>
      <c r="M349" t="s">
        <v>8</v>
      </c>
      <c r="N349" t="s">
        <v>8</v>
      </c>
      <c r="P349">
        <f t="shared" si="970"/>
        <v>0.72817792109463142</v>
      </c>
      <c r="Q349">
        <f t="shared" si="971"/>
        <v>62436.623933402261</v>
      </c>
      <c r="R349">
        <f t="shared" si="972"/>
        <v>7205592.1332716206</v>
      </c>
      <c r="S349">
        <f t="shared" si="973"/>
        <v>72.05592133271621</v>
      </c>
      <c r="T349">
        <f t="shared" si="974"/>
        <v>7.2055921332716211E-2</v>
      </c>
    </row>
    <row r="350" spans="1:20" x14ac:dyDescent="0.25">
      <c r="A350" s="5">
        <v>44243</v>
      </c>
      <c r="B350">
        <v>47911.1</v>
      </c>
      <c r="C350">
        <v>50689.18</v>
      </c>
      <c r="D350">
        <v>47003.62</v>
      </c>
      <c r="E350">
        <v>49133.45</v>
      </c>
      <c r="F350">
        <v>88813.266298000002</v>
      </c>
      <c r="G350">
        <v>2.5499999999999998</v>
      </c>
      <c r="L350" t="s">
        <v>8</v>
      </c>
      <c r="M350" t="s">
        <v>8</v>
      </c>
      <c r="N350" t="s">
        <v>8</v>
      </c>
      <c r="P350">
        <f t="shared" si="970"/>
        <v>0.15577008649974269</v>
      </c>
      <c r="Q350">
        <f t="shared" si="971"/>
        <v>13834.450173564142</v>
      </c>
      <c r="R350">
        <f t="shared" si="972"/>
        <v>7143155.5093382187</v>
      </c>
      <c r="S350">
        <f t="shared" si="973"/>
        <v>71.431555093382187</v>
      </c>
      <c r="T350">
        <f t="shared" si="974"/>
        <v>7.1431555093382185E-2</v>
      </c>
    </row>
    <row r="351" spans="1:20" x14ac:dyDescent="0.25">
      <c r="A351" s="5">
        <v>44242</v>
      </c>
      <c r="B351">
        <v>48580.47</v>
      </c>
      <c r="C351">
        <v>49010.92</v>
      </c>
      <c r="D351">
        <v>45570.79</v>
      </c>
      <c r="E351">
        <v>47911.1</v>
      </c>
      <c r="F351">
        <v>79398.156784000006</v>
      </c>
      <c r="G351">
        <v>-1.38</v>
      </c>
      <c r="L351" t="s">
        <v>7</v>
      </c>
      <c r="M351" t="s">
        <v>8</v>
      </c>
      <c r="N351" t="s">
        <v>8</v>
      </c>
      <c r="P351">
        <f t="shared" si="970"/>
        <v>0.36059393104330328</v>
      </c>
      <c r="Q351">
        <f t="shared" si="971"/>
        <v>28630.493472335082</v>
      </c>
      <c r="R351">
        <f t="shared" si="972"/>
        <v>7129321.0591646545</v>
      </c>
      <c r="S351">
        <f t="shared" si="973"/>
        <v>71.293210591646542</v>
      </c>
      <c r="T351">
        <f t="shared" si="974"/>
        <v>7.1293210591646547E-2</v>
      </c>
    </row>
    <row r="352" spans="1:20" x14ac:dyDescent="0.25">
      <c r="A352" s="5">
        <v>44241</v>
      </c>
      <c r="B352">
        <v>47156.78</v>
      </c>
      <c r="C352">
        <v>49707.43</v>
      </c>
      <c r="D352">
        <v>47014.17</v>
      </c>
      <c r="E352">
        <v>48577.79</v>
      </c>
      <c r="F352">
        <v>73735.475533000004</v>
      </c>
      <c r="G352">
        <v>3.01</v>
      </c>
      <c r="L352" t="s">
        <v>8</v>
      </c>
      <c r="M352" t="s">
        <v>8</v>
      </c>
      <c r="N352" t="s">
        <v>8</v>
      </c>
      <c r="P352">
        <f t="shared" si="970"/>
        <v>0.1611355754735907</v>
      </c>
      <c r="Q352">
        <f t="shared" si="971"/>
        <v>11881.408282828823</v>
      </c>
      <c r="R352">
        <f t="shared" si="972"/>
        <v>7100690.5656923195</v>
      </c>
      <c r="S352">
        <f t="shared" si="973"/>
        <v>71.006905656923195</v>
      </c>
      <c r="T352">
        <f t="shared" si="974"/>
        <v>7.1006905656923192E-2</v>
      </c>
    </row>
    <row r="353" spans="1:20" x14ac:dyDescent="0.25">
      <c r="A353" s="5">
        <v>44240</v>
      </c>
      <c r="B353">
        <v>47298.15</v>
      </c>
      <c r="C353">
        <v>48150</v>
      </c>
      <c r="D353">
        <v>46202.53</v>
      </c>
      <c r="E353">
        <v>47153.69</v>
      </c>
      <c r="F353">
        <v>63768.097398999998</v>
      </c>
      <c r="G353">
        <v>-0.31</v>
      </c>
      <c r="L353" t="s">
        <v>8</v>
      </c>
      <c r="M353" t="s">
        <v>8</v>
      </c>
      <c r="N353" t="s">
        <v>8</v>
      </c>
      <c r="P353">
        <f t="shared" si="970"/>
        <v>-2.31839258114344E-2</v>
      </c>
      <c r="Q353">
        <f t="shared" si="971"/>
        <v>-1478.3948392347388</v>
      </c>
      <c r="R353">
        <f t="shared" si="972"/>
        <v>7088809.157409491</v>
      </c>
      <c r="S353">
        <f t="shared" si="973"/>
        <v>70.888091574094915</v>
      </c>
      <c r="T353">
        <f t="shared" si="974"/>
        <v>7.0888091574094911E-2</v>
      </c>
    </row>
    <row r="354" spans="1:20" x14ac:dyDescent="0.25">
      <c r="A354" s="5">
        <v>44239</v>
      </c>
      <c r="B354">
        <v>47968.66</v>
      </c>
      <c r="C354">
        <v>48985.8</v>
      </c>
      <c r="D354">
        <v>46125</v>
      </c>
      <c r="E354">
        <v>47287.6</v>
      </c>
      <c r="F354">
        <v>85870.035696999999</v>
      </c>
      <c r="G354">
        <v>-1.42</v>
      </c>
      <c r="L354" t="s">
        <v>8</v>
      </c>
      <c r="M354" t="s">
        <v>8</v>
      </c>
      <c r="N354" t="s">
        <v>8</v>
      </c>
      <c r="P354">
        <f t="shared" si="970"/>
        <v>-0.18722035794183631</v>
      </c>
      <c r="Q354">
        <f t="shared" si="971"/>
        <v>-16076.618819670601</v>
      </c>
      <c r="R354">
        <f t="shared" si="972"/>
        <v>7090287.5522487257</v>
      </c>
      <c r="S354">
        <f t="shared" si="973"/>
        <v>70.90287552248725</v>
      </c>
      <c r="T354">
        <f t="shared" si="974"/>
        <v>7.0902875522487252E-2</v>
      </c>
    </row>
    <row r="355" spans="1:20" x14ac:dyDescent="0.25">
      <c r="A355" s="5">
        <v>44238</v>
      </c>
      <c r="B355">
        <v>44807.58</v>
      </c>
      <c r="C355">
        <v>48678.9</v>
      </c>
      <c r="D355">
        <v>43994.02</v>
      </c>
      <c r="E355">
        <v>47969.51</v>
      </c>
      <c r="F355">
        <v>89561.081453999999</v>
      </c>
      <c r="G355">
        <v>7.06</v>
      </c>
      <c r="L355" t="s">
        <v>8</v>
      </c>
      <c r="M355" t="s">
        <v>8</v>
      </c>
      <c r="N355" t="s">
        <v>8</v>
      </c>
      <c r="P355">
        <f t="shared" si="970"/>
        <v>0.69715766465736639</v>
      </c>
      <c r="Q355">
        <f t="shared" si="971"/>
        <v>62438.194390658806</v>
      </c>
      <c r="R355">
        <f t="shared" si="972"/>
        <v>7106364.1710683964</v>
      </c>
      <c r="S355">
        <f t="shared" si="973"/>
        <v>71.063641710683967</v>
      </c>
      <c r="T355">
        <f t="shared" si="974"/>
        <v>7.1063641710683967E-2</v>
      </c>
    </row>
    <row r="356" spans="1:20" x14ac:dyDescent="0.25">
      <c r="A356" s="5">
        <v>44237</v>
      </c>
      <c r="B356">
        <v>46420.42</v>
      </c>
      <c r="C356">
        <v>47310</v>
      </c>
      <c r="D356">
        <v>43727</v>
      </c>
      <c r="E356">
        <v>44807.58</v>
      </c>
      <c r="F356">
        <v>97154.182199999996</v>
      </c>
      <c r="G356">
        <v>-3.47</v>
      </c>
      <c r="L356" t="s">
        <v>7</v>
      </c>
      <c r="M356" t="s">
        <v>8</v>
      </c>
      <c r="N356" t="s">
        <v>8</v>
      </c>
      <c r="P356">
        <f t="shared" si="970"/>
        <v>-0.39682947250906964</v>
      </c>
      <c r="Q356">
        <f t="shared" si="971"/>
        <v>-38553.642874476041</v>
      </c>
      <c r="R356">
        <f t="shared" si="972"/>
        <v>7043925.9766777372</v>
      </c>
      <c r="S356">
        <f t="shared" si="973"/>
        <v>70.439259766777369</v>
      </c>
      <c r="T356">
        <f t="shared" si="974"/>
        <v>7.0439259766777368E-2</v>
      </c>
    </row>
    <row r="357" spans="1:20" x14ac:dyDescent="0.25">
      <c r="A357" s="5">
        <v>44236</v>
      </c>
      <c r="B357">
        <v>46374.86</v>
      </c>
      <c r="C357">
        <v>48142.19</v>
      </c>
      <c r="D357">
        <v>44961.09</v>
      </c>
      <c r="E357">
        <v>46420.42</v>
      </c>
      <c r="F357">
        <v>115499.861712</v>
      </c>
      <c r="G357">
        <v>0.1</v>
      </c>
      <c r="L357" t="s">
        <v>8</v>
      </c>
      <c r="M357" t="s">
        <v>8</v>
      </c>
      <c r="N357" t="s">
        <v>8</v>
      </c>
      <c r="P357">
        <f t="shared" si="970"/>
        <v>-8.2499764232498773E-2</v>
      </c>
      <c r="Q357">
        <f t="shared" si="971"/>
        <v>-9528.7113601262117</v>
      </c>
      <c r="R357">
        <f t="shared" si="972"/>
        <v>7082479.6195522137</v>
      </c>
      <c r="S357">
        <f t="shared" si="973"/>
        <v>70.82479619552214</v>
      </c>
      <c r="T357">
        <f t="shared" si="974"/>
        <v>7.0824796195522136E-2</v>
      </c>
    </row>
    <row r="358" spans="1:20" x14ac:dyDescent="0.25">
      <c r="A358" s="5">
        <v>44235</v>
      </c>
      <c r="B358">
        <v>38795.69</v>
      </c>
      <c r="C358">
        <v>46794.45</v>
      </c>
      <c r="D358">
        <v>37988.89</v>
      </c>
      <c r="E358">
        <v>46374.87</v>
      </c>
      <c r="F358">
        <v>138597.536914</v>
      </c>
      <c r="G358">
        <v>19.54</v>
      </c>
      <c r="L358" t="s">
        <v>8</v>
      </c>
      <c r="M358" t="s">
        <v>8</v>
      </c>
      <c r="N358" t="s">
        <v>8</v>
      </c>
      <c r="P358">
        <f t="shared" si="970"/>
        <v>0.90470112065558705</v>
      </c>
      <c r="Q358">
        <f t="shared" si="971"/>
        <v>125389.3469661999</v>
      </c>
      <c r="R358">
        <f t="shared" si="972"/>
        <v>7092008.3309123395</v>
      </c>
      <c r="S358">
        <f t="shared" si="973"/>
        <v>70.920083309123399</v>
      </c>
      <c r="T358">
        <f t="shared" si="974"/>
        <v>7.0920083309123402E-2</v>
      </c>
    </row>
    <row r="359" spans="1:20" x14ac:dyDescent="0.25">
      <c r="A359" s="5">
        <v>44234</v>
      </c>
      <c r="B359">
        <v>39181.01</v>
      </c>
      <c r="C359">
        <v>39700</v>
      </c>
      <c r="D359">
        <v>37351</v>
      </c>
      <c r="E359">
        <v>38795.69</v>
      </c>
      <c r="F359">
        <v>84363.679762999993</v>
      </c>
      <c r="G359">
        <v>-0.98</v>
      </c>
      <c r="L359" t="s">
        <v>7</v>
      </c>
      <c r="M359" t="s">
        <v>8</v>
      </c>
      <c r="N359" t="s">
        <v>8</v>
      </c>
      <c r="P359">
        <f t="shared" si="970"/>
        <v>0.23004682843763502</v>
      </c>
      <c r="Q359">
        <f t="shared" si="971"/>
        <v>19407.596964806442</v>
      </c>
      <c r="R359">
        <f t="shared" si="972"/>
        <v>6966618.9839461399</v>
      </c>
      <c r="S359">
        <f t="shared" si="973"/>
        <v>69.666189839461396</v>
      </c>
      <c r="T359">
        <f t="shared" si="974"/>
        <v>6.9666189839461393E-2</v>
      </c>
    </row>
    <row r="360" spans="1:20" x14ac:dyDescent="0.25">
      <c r="A360" s="5">
        <v>44233</v>
      </c>
      <c r="B360">
        <v>38289.32</v>
      </c>
      <c r="C360">
        <v>40955.51</v>
      </c>
      <c r="D360">
        <v>38215.94</v>
      </c>
      <c r="E360">
        <v>39186.94</v>
      </c>
      <c r="F360">
        <v>98757.311182999998</v>
      </c>
      <c r="G360">
        <v>2.34</v>
      </c>
      <c r="L360" t="s">
        <v>8</v>
      </c>
      <c r="M360" t="s">
        <v>8</v>
      </c>
      <c r="N360" t="s">
        <v>8</v>
      </c>
      <c r="P360">
        <f t="shared" si="970"/>
        <v>-0.29112962983241886</v>
      </c>
      <c r="Q360">
        <f t="shared" si="971"/>
        <v>-28751.179447951788</v>
      </c>
      <c r="R360">
        <f t="shared" si="972"/>
        <v>6947211.3869813336</v>
      </c>
      <c r="S360">
        <f t="shared" si="973"/>
        <v>69.472113869813342</v>
      </c>
      <c r="T360">
        <f t="shared" si="974"/>
        <v>6.9472113869813348E-2</v>
      </c>
    </row>
    <row r="361" spans="1:20" x14ac:dyDescent="0.25">
      <c r="A361" s="5">
        <v>44232</v>
      </c>
      <c r="B361">
        <v>36936.65</v>
      </c>
      <c r="C361">
        <v>38310.120000000003</v>
      </c>
      <c r="D361">
        <v>36570</v>
      </c>
      <c r="E361">
        <v>38290.239999999998</v>
      </c>
      <c r="F361">
        <v>66681.334275000001</v>
      </c>
      <c r="G361">
        <v>3.66</v>
      </c>
      <c r="L361" t="s">
        <v>8</v>
      </c>
      <c r="M361" t="s">
        <v>8</v>
      </c>
      <c r="N361" t="s">
        <v>7</v>
      </c>
      <c r="P361">
        <f t="shared" si="970"/>
        <v>0.97715100108037989</v>
      </c>
      <c r="Q361">
        <f t="shared" si="971"/>
        <v>65157.732540191697</v>
      </c>
      <c r="R361">
        <f t="shared" si="972"/>
        <v>6975962.5664292853</v>
      </c>
      <c r="S361">
        <f t="shared" si="973"/>
        <v>69.759625664292855</v>
      </c>
      <c r="T361">
        <f t="shared" si="974"/>
        <v>6.9759625664292849E-2</v>
      </c>
    </row>
    <row r="362" spans="1:20" x14ac:dyDescent="0.25">
      <c r="A362" s="5">
        <v>44231</v>
      </c>
      <c r="B362">
        <v>37620.26</v>
      </c>
      <c r="C362">
        <v>38708.269999999997</v>
      </c>
      <c r="D362">
        <v>36161.949999999997</v>
      </c>
      <c r="E362">
        <v>36936.660000000003</v>
      </c>
      <c r="F362">
        <v>92080.735897999999</v>
      </c>
      <c r="G362">
        <v>-1.82</v>
      </c>
      <c r="L362" t="s">
        <v>8</v>
      </c>
      <c r="M362" t="s">
        <v>8</v>
      </c>
      <c r="N362" t="s">
        <v>7</v>
      </c>
      <c r="P362">
        <f t="shared" si="970"/>
        <v>-0.39150617361525142</v>
      </c>
      <c r="Q362">
        <f t="shared" si="971"/>
        <v>-36050.176575102501</v>
      </c>
      <c r="R362">
        <f t="shared" si="972"/>
        <v>6910804.8338890933</v>
      </c>
      <c r="S362">
        <f t="shared" si="973"/>
        <v>69.108048338890939</v>
      </c>
      <c r="T362">
        <f t="shared" si="974"/>
        <v>6.9108048338890934E-2</v>
      </c>
    </row>
    <row r="363" spans="1:20" x14ac:dyDescent="0.25">
      <c r="A363" s="5">
        <v>44230</v>
      </c>
      <c r="B363">
        <v>35472.71</v>
      </c>
      <c r="C363">
        <v>37662.629999999997</v>
      </c>
      <c r="D363">
        <v>35362.379999999997</v>
      </c>
      <c r="E363">
        <v>37618.870000000003</v>
      </c>
      <c r="F363">
        <v>80784.333662999998</v>
      </c>
      <c r="G363">
        <v>6.05</v>
      </c>
      <c r="L363" t="s">
        <v>8</v>
      </c>
      <c r="M363" t="s">
        <v>7</v>
      </c>
      <c r="N363" t="s">
        <v>7</v>
      </c>
      <c r="P363">
        <f t="shared" si="970"/>
        <v>0.96195196174329334</v>
      </c>
      <c r="Q363">
        <f t="shared" si="971"/>
        <v>77710.648245247619</v>
      </c>
      <c r="R363">
        <f t="shared" si="972"/>
        <v>6946855.0104641961</v>
      </c>
      <c r="S363">
        <f t="shared" si="973"/>
        <v>69.468550104641963</v>
      </c>
      <c r="T363">
        <f t="shared" si="974"/>
        <v>6.9468550104641966E-2</v>
      </c>
    </row>
    <row r="364" spans="1:20" x14ac:dyDescent="0.25">
      <c r="A364" s="5">
        <v>44229</v>
      </c>
      <c r="B364">
        <v>33517.089999999997</v>
      </c>
      <c r="C364">
        <v>35984.33</v>
      </c>
      <c r="D364">
        <v>33418</v>
      </c>
      <c r="E364">
        <v>35466.239999999998</v>
      </c>
      <c r="F364">
        <v>78056.659880000007</v>
      </c>
      <c r="G364">
        <v>5.82</v>
      </c>
      <c r="L364" t="s">
        <v>8</v>
      </c>
      <c r="M364" t="s">
        <v>7</v>
      </c>
      <c r="N364" t="s">
        <v>7</v>
      </c>
      <c r="P364">
        <f t="shared" si="970"/>
        <v>0.59624054583782804</v>
      </c>
      <c r="Q364">
        <f t="shared" si="971"/>
        <v>46540.545493128899</v>
      </c>
      <c r="R364">
        <f t="shared" si="972"/>
        <v>6869144.3622189481</v>
      </c>
      <c r="S364">
        <f t="shared" si="973"/>
        <v>68.691443622189482</v>
      </c>
      <c r="T364">
        <f t="shared" si="974"/>
        <v>6.8691443622189485E-2</v>
      </c>
    </row>
    <row r="365" spans="1:20" x14ac:dyDescent="0.25">
      <c r="A365" s="5">
        <v>44228</v>
      </c>
      <c r="B365">
        <v>33092.97</v>
      </c>
      <c r="C365">
        <v>34717.269999999997</v>
      </c>
      <c r="D365">
        <v>32296.16</v>
      </c>
      <c r="E365">
        <v>33526.370000000003</v>
      </c>
      <c r="F365">
        <v>82718.276882000006</v>
      </c>
      <c r="G365">
        <v>1.31</v>
      </c>
      <c r="L365" t="s">
        <v>7</v>
      </c>
      <c r="M365" t="s">
        <v>7</v>
      </c>
      <c r="N365" t="s">
        <v>7</v>
      </c>
      <c r="P365">
        <f t="shared" si="970"/>
        <v>1.6236354399431926E-2</v>
      </c>
      <c r="Q365">
        <f t="shared" si="971"/>
        <v>1343.0432587664891</v>
      </c>
      <c r="R365">
        <f t="shared" si="972"/>
        <v>6822603.8167258194</v>
      </c>
      <c r="S365">
        <f t="shared" si="973"/>
        <v>68.226038167258196</v>
      </c>
      <c r="T365">
        <f t="shared" si="974"/>
        <v>6.8226038167258196E-2</v>
      </c>
    </row>
    <row r="366" spans="1:20" x14ac:dyDescent="0.25">
      <c r="A366" s="5">
        <v>44227</v>
      </c>
      <c r="B366">
        <v>34262.89</v>
      </c>
      <c r="C366">
        <v>34342.69</v>
      </c>
      <c r="D366">
        <v>32171.67</v>
      </c>
      <c r="E366">
        <v>33092.980000000003</v>
      </c>
      <c r="F366">
        <v>68742.280383999998</v>
      </c>
      <c r="G366">
        <v>-3.41</v>
      </c>
      <c r="L366" t="s">
        <v>7</v>
      </c>
      <c r="M366" t="s">
        <v>7</v>
      </c>
      <c r="N366" t="s">
        <v>7</v>
      </c>
      <c r="P366">
        <f t="shared" si="970"/>
        <v>-0.15126530386638243</v>
      </c>
      <c r="Q366">
        <f t="shared" si="971"/>
        <v>-10398.32193075382</v>
      </c>
      <c r="R366">
        <f t="shared" si="972"/>
        <v>6821260.7734670527</v>
      </c>
      <c r="S366">
        <f t="shared" si="973"/>
        <v>68.212607734670527</v>
      </c>
      <c r="T366">
        <f t="shared" si="974"/>
        <v>6.8212607734670527E-2</v>
      </c>
    </row>
    <row r="367" spans="1:20" x14ac:dyDescent="0.25">
      <c r="A367" s="5">
        <v>44226</v>
      </c>
      <c r="B367">
        <v>34246.28</v>
      </c>
      <c r="C367">
        <v>34933</v>
      </c>
      <c r="D367">
        <v>32825</v>
      </c>
      <c r="E367">
        <v>34262.879999999997</v>
      </c>
      <c r="F367">
        <v>84889.681339999996</v>
      </c>
      <c r="G367">
        <v>0.05</v>
      </c>
      <c r="L367" t="s">
        <v>7</v>
      </c>
      <c r="M367" t="s">
        <v>8</v>
      </c>
      <c r="N367" t="s">
        <v>7</v>
      </c>
      <c r="P367">
        <f t="shared" si="970"/>
        <v>0.36421252371916257</v>
      </c>
      <c r="Q367">
        <f t="shared" si="971"/>
        <v>30917.885078556901</v>
      </c>
      <c r="R367">
        <f t="shared" si="972"/>
        <v>6831659.0953978067</v>
      </c>
      <c r="S367">
        <f t="shared" si="973"/>
        <v>68.316590953978064</v>
      </c>
      <c r="T367">
        <f t="shared" si="974"/>
        <v>6.831659095397806E-2</v>
      </c>
    </row>
    <row r="368" spans="1:20" x14ac:dyDescent="0.25">
      <c r="A368" s="5">
        <v>44225</v>
      </c>
      <c r="B368">
        <v>33368.18</v>
      </c>
      <c r="C368">
        <v>38531.9</v>
      </c>
      <c r="D368">
        <v>31915.4</v>
      </c>
      <c r="E368">
        <v>34252.199999999997</v>
      </c>
      <c r="F368">
        <v>231827.005626</v>
      </c>
      <c r="G368">
        <v>2.65</v>
      </c>
      <c r="L368" t="s">
        <v>8</v>
      </c>
      <c r="M368" t="s">
        <v>8</v>
      </c>
      <c r="N368" t="s">
        <v>7</v>
      </c>
      <c r="P368">
        <f t="shared" si="970"/>
        <v>-0.29364467618831841</v>
      </c>
      <c r="Q368">
        <f t="shared" si="971"/>
        <v>-68074.765998754243</v>
      </c>
      <c r="R368">
        <f t="shared" si="972"/>
        <v>6800741.2103192499</v>
      </c>
      <c r="S368">
        <f t="shared" si="973"/>
        <v>68.007412103192493</v>
      </c>
      <c r="T368">
        <f t="shared" si="974"/>
        <v>6.8007412103192499E-2</v>
      </c>
    </row>
    <row r="369" spans="1:20" x14ac:dyDescent="0.25">
      <c r="A369" s="5">
        <v>44224</v>
      </c>
      <c r="B369">
        <v>30362.19</v>
      </c>
      <c r="C369">
        <v>33783.980000000003</v>
      </c>
      <c r="D369">
        <v>29842.1</v>
      </c>
      <c r="E369">
        <v>33364.86</v>
      </c>
      <c r="F369">
        <v>92621.145617000002</v>
      </c>
      <c r="G369">
        <v>9.89</v>
      </c>
      <c r="L369" t="s">
        <v>8</v>
      </c>
      <c r="M369" t="s">
        <v>7</v>
      </c>
      <c r="N369" t="s">
        <v>7</v>
      </c>
      <c r="P369">
        <f t="shared" si="970"/>
        <v>0.78735019838249665</v>
      </c>
      <c r="Q369">
        <f t="shared" si="971"/>
        <v>72925.277375959064</v>
      </c>
      <c r="R369">
        <f t="shared" si="972"/>
        <v>6868815.9763180045</v>
      </c>
      <c r="S369">
        <f t="shared" si="973"/>
        <v>68.688159763180039</v>
      </c>
      <c r="T369">
        <f t="shared" si="974"/>
        <v>6.8688159763180046E-2</v>
      </c>
    </row>
    <row r="370" spans="1:20" x14ac:dyDescent="0.25">
      <c r="A370" s="5">
        <v>44223</v>
      </c>
      <c r="B370">
        <v>32464.01</v>
      </c>
      <c r="C370">
        <v>32557.29</v>
      </c>
      <c r="D370">
        <v>29241.72</v>
      </c>
      <c r="E370">
        <v>30366.15</v>
      </c>
      <c r="F370">
        <v>95911.961710999996</v>
      </c>
      <c r="G370">
        <v>-6.46</v>
      </c>
      <c r="L370" t="s">
        <v>7</v>
      </c>
      <c r="M370" t="s">
        <v>7</v>
      </c>
      <c r="N370" t="s">
        <v>7</v>
      </c>
      <c r="P370">
        <f t="shared" si="970"/>
        <v>-0.32172748577167704</v>
      </c>
      <c r="Q370">
        <f t="shared" si="971"/>
        <v>-30857.514296709385</v>
      </c>
      <c r="R370">
        <f t="shared" si="972"/>
        <v>6795890.6989420457</v>
      </c>
      <c r="S370">
        <f t="shared" si="973"/>
        <v>67.958906989420456</v>
      </c>
      <c r="T370">
        <f t="shared" si="974"/>
        <v>6.7958906989420462E-2</v>
      </c>
    </row>
    <row r="371" spans="1:20" x14ac:dyDescent="0.25">
      <c r="A371" s="5">
        <v>44222</v>
      </c>
      <c r="B371">
        <v>32254.19</v>
      </c>
      <c r="C371">
        <v>32921.879999999997</v>
      </c>
      <c r="D371">
        <v>30837.37</v>
      </c>
      <c r="E371">
        <v>32467.77</v>
      </c>
      <c r="F371">
        <v>84972.206909999994</v>
      </c>
      <c r="G371">
        <v>0.66</v>
      </c>
      <c r="L371" t="s">
        <v>7</v>
      </c>
      <c r="M371" t="s">
        <v>8</v>
      </c>
      <c r="N371" t="s">
        <v>7</v>
      </c>
      <c r="P371">
        <f t="shared" si="970"/>
        <v>0.56430048308715497</v>
      </c>
      <c r="Q371">
        <f t="shared" si="971"/>
        <v>47949.857408294687</v>
      </c>
      <c r="R371">
        <f t="shared" si="972"/>
        <v>6826748.2132387552</v>
      </c>
      <c r="S371">
        <f t="shared" si="973"/>
        <v>68.267482132387556</v>
      </c>
      <c r="T371">
        <f t="shared" si="974"/>
        <v>6.826748213238755E-2</v>
      </c>
    </row>
    <row r="372" spans="1:20" x14ac:dyDescent="0.25">
      <c r="A372" s="5">
        <v>44221</v>
      </c>
      <c r="B372">
        <v>32259.45</v>
      </c>
      <c r="C372">
        <v>34875</v>
      </c>
      <c r="D372">
        <v>31910</v>
      </c>
      <c r="E372">
        <v>32254.2</v>
      </c>
      <c r="F372">
        <v>88499.226920999994</v>
      </c>
      <c r="G372">
        <v>-0.02</v>
      </c>
      <c r="L372" t="s">
        <v>8</v>
      </c>
      <c r="M372" t="s">
        <v>8</v>
      </c>
      <c r="N372" t="s">
        <v>7</v>
      </c>
      <c r="P372">
        <f t="shared" si="970"/>
        <v>-0.76782462057335532</v>
      </c>
      <c r="Q372">
        <f t="shared" si="971"/>
        <v>-67951.885331652098</v>
      </c>
      <c r="R372">
        <f t="shared" si="972"/>
        <v>6778798.3558304608</v>
      </c>
      <c r="S372">
        <f t="shared" si="973"/>
        <v>67.787983558304603</v>
      </c>
      <c r="T372">
        <f t="shared" si="974"/>
        <v>6.7787983558304607E-2</v>
      </c>
    </row>
    <row r="373" spans="1:20" x14ac:dyDescent="0.25">
      <c r="A373" s="5">
        <v>44220</v>
      </c>
      <c r="B373">
        <v>32078</v>
      </c>
      <c r="C373">
        <v>33071</v>
      </c>
      <c r="D373">
        <v>30900</v>
      </c>
      <c r="E373">
        <v>32259.9</v>
      </c>
      <c r="F373">
        <v>57978.037966000004</v>
      </c>
      <c r="G373">
        <v>0.56999999999999995</v>
      </c>
      <c r="L373" t="s">
        <v>7</v>
      </c>
      <c r="M373" t="s">
        <v>7</v>
      </c>
      <c r="N373" t="s">
        <v>7</v>
      </c>
      <c r="P373">
        <f t="shared" si="970"/>
        <v>0.25278673422386133</v>
      </c>
      <c r="Q373">
        <f t="shared" si="971"/>
        <v>14656.078874132185</v>
      </c>
      <c r="R373">
        <f t="shared" si="972"/>
        <v>6846750.2411621129</v>
      </c>
      <c r="S373">
        <f t="shared" si="973"/>
        <v>68.467502411621126</v>
      </c>
      <c r="T373">
        <f t="shared" si="974"/>
        <v>6.8467502411621126E-2</v>
      </c>
    </row>
    <row r="374" spans="1:20" x14ac:dyDescent="0.25">
      <c r="A374" s="5">
        <v>44219</v>
      </c>
      <c r="B374">
        <v>32950</v>
      </c>
      <c r="C374">
        <v>33456</v>
      </c>
      <c r="D374">
        <v>31390.16</v>
      </c>
      <c r="E374">
        <v>32078</v>
      </c>
      <c r="F374">
        <v>64595.287675</v>
      </c>
      <c r="G374">
        <v>-2.65</v>
      </c>
      <c r="L374" t="s">
        <v>8</v>
      </c>
      <c r="M374" t="s">
        <v>7</v>
      </c>
      <c r="N374" t="s">
        <v>7</v>
      </c>
      <c r="P374">
        <f t="shared" si="970"/>
        <v>-0.33408201990473602</v>
      </c>
      <c r="Q374">
        <f t="shared" si="971"/>
        <v>-21580.1241827915</v>
      </c>
      <c r="R374">
        <f t="shared" si="972"/>
        <v>6832094.1622879803</v>
      </c>
      <c r="S374">
        <f t="shared" si="973"/>
        <v>68.320941622879801</v>
      </c>
      <c r="T374">
        <f t="shared" si="974"/>
        <v>6.8320941622879799E-2</v>
      </c>
    </row>
    <row r="375" spans="1:20" x14ac:dyDescent="0.25">
      <c r="A375" s="5">
        <v>44218</v>
      </c>
      <c r="B375">
        <v>30851.99</v>
      </c>
      <c r="C375">
        <v>33826.53</v>
      </c>
      <c r="D375">
        <v>28850</v>
      </c>
      <c r="E375">
        <v>32945.17</v>
      </c>
      <c r="F375">
        <v>142971.684049</v>
      </c>
      <c r="G375">
        <v>6.78</v>
      </c>
      <c r="L375" t="s">
        <v>7</v>
      </c>
      <c r="M375" t="s">
        <v>7</v>
      </c>
      <c r="N375" t="s">
        <v>7</v>
      </c>
      <c r="P375">
        <f t="shared" si="970"/>
        <v>0.64579335400369298</v>
      </c>
      <c r="Q375">
        <f t="shared" si="971"/>
        <v>92330.163369560003</v>
      </c>
      <c r="R375">
        <f t="shared" si="972"/>
        <v>6853674.2864707718</v>
      </c>
      <c r="S375">
        <f t="shared" si="973"/>
        <v>68.536742864707719</v>
      </c>
      <c r="T375">
        <f t="shared" si="974"/>
        <v>6.853674286470772E-2</v>
      </c>
    </row>
    <row r="376" spans="1:20" x14ac:dyDescent="0.25">
      <c r="A376" s="5">
        <v>44217</v>
      </c>
      <c r="B376">
        <v>35468.230000000003</v>
      </c>
      <c r="C376">
        <v>35600</v>
      </c>
      <c r="D376">
        <v>30071</v>
      </c>
      <c r="E376">
        <v>30850.13</v>
      </c>
      <c r="F376">
        <v>131803.18292600001</v>
      </c>
      <c r="G376">
        <v>-13.02</v>
      </c>
      <c r="L376" t="s">
        <v>7</v>
      </c>
      <c r="M376" t="s">
        <v>7</v>
      </c>
      <c r="N376" t="s">
        <v>8</v>
      </c>
      <c r="P376">
        <f t="shared" si="970"/>
        <v>-0.71816603364080267</v>
      </c>
      <c r="Q376">
        <f t="shared" si="971"/>
        <v>-94656.569103198592</v>
      </c>
      <c r="R376">
        <f t="shared" si="972"/>
        <v>6761344.1231012121</v>
      </c>
      <c r="S376">
        <f t="shared" si="973"/>
        <v>67.613441231012118</v>
      </c>
      <c r="T376">
        <f t="shared" si="974"/>
        <v>6.7613441231012122E-2</v>
      </c>
    </row>
    <row r="377" spans="1:20" x14ac:dyDescent="0.25">
      <c r="A377" s="5">
        <v>44216</v>
      </c>
      <c r="B377">
        <v>35901.94</v>
      </c>
      <c r="C377">
        <v>36415.31</v>
      </c>
      <c r="D377">
        <v>33400</v>
      </c>
      <c r="E377">
        <v>35468.230000000003</v>
      </c>
      <c r="F377">
        <v>89368.422917999997</v>
      </c>
      <c r="G377">
        <v>-1.21</v>
      </c>
      <c r="L377" t="s">
        <v>7</v>
      </c>
      <c r="M377" t="s">
        <v>7</v>
      </c>
      <c r="N377" t="s">
        <v>8</v>
      </c>
      <c r="P377">
        <f t="shared" si="970"/>
        <v>0.3718191496065113</v>
      </c>
      <c r="Q377">
        <f t="shared" si="971"/>
        <v>33228.891011045816</v>
      </c>
      <c r="R377">
        <f t="shared" si="972"/>
        <v>6856000.6922044111</v>
      </c>
      <c r="S377">
        <f t="shared" si="973"/>
        <v>68.56000692204411</v>
      </c>
      <c r="T377">
        <f t="shared" si="974"/>
        <v>6.8560006922044114E-2</v>
      </c>
    </row>
    <row r="378" spans="1:20" x14ac:dyDescent="0.25">
      <c r="A378" s="5">
        <v>44215</v>
      </c>
      <c r="B378">
        <v>36622.46</v>
      </c>
      <c r="C378">
        <v>37850</v>
      </c>
      <c r="D378">
        <v>35844.06</v>
      </c>
      <c r="E378">
        <v>35891.49</v>
      </c>
      <c r="F378">
        <v>79611.307769000006</v>
      </c>
      <c r="G378">
        <v>-2</v>
      </c>
      <c r="L378" t="s">
        <v>8</v>
      </c>
      <c r="M378" t="s">
        <v>7</v>
      </c>
      <c r="N378" t="s">
        <v>8</v>
      </c>
      <c r="P378">
        <f t="shared" si="970"/>
        <v>-0.95271044996360787</v>
      </c>
      <c r="Q378">
        <f t="shared" si="971"/>
        <v>-75846.524846795262</v>
      </c>
      <c r="R378">
        <f t="shared" si="972"/>
        <v>6822771.8011933649</v>
      </c>
      <c r="S378">
        <f t="shared" si="973"/>
        <v>68.227718011933646</v>
      </c>
      <c r="T378">
        <f t="shared" si="974"/>
        <v>6.8227718011933641E-2</v>
      </c>
    </row>
    <row r="379" spans="1:20" x14ac:dyDescent="0.25">
      <c r="A379" s="5">
        <v>44214</v>
      </c>
      <c r="B379">
        <v>35824.99</v>
      </c>
      <c r="C379">
        <v>37469.83</v>
      </c>
      <c r="D379">
        <v>34800</v>
      </c>
      <c r="E379">
        <v>36631.269999999997</v>
      </c>
      <c r="F379">
        <v>70698.118749999994</v>
      </c>
      <c r="G379">
        <v>2.25</v>
      </c>
      <c r="L379" t="s">
        <v>8</v>
      </c>
      <c r="M379" t="s">
        <v>7</v>
      </c>
      <c r="N379" t="s">
        <v>8</v>
      </c>
      <c r="P379">
        <f t="shared" si="970"/>
        <v>0.37182517238924995</v>
      </c>
      <c r="Q379">
        <f t="shared" si="971"/>
        <v>26287.340191814412</v>
      </c>
      <c r="R379">
        <f t="shared" si="972"/>
        <v>6898618.3260401599</v>
      </c>
      <c r="S379">
        <f t="shared" si="973"/>
        <v>68.986183260401603</v>
      </c>
      <c r="T379">
        <f t="shared" si="974"/>
        <v>6.898618326040161E-2</v>
      </c>
    </row>
    <row r="380" spans="1:20" x14ac:dyDescent="0.25">
      <c r="A380" s="5">
        <v>44213</v>
      </c>
      <c r="B380">
        <v>35994.980000000003</v>
      </c>
      <c r="C380">
        <v>36852.5</v>
      </c>
      <c r="D380">
        <v>33850</v>
      </c>
      <c r="E380">
        <v>35828.61</v>
      </c>
      <c r="F380">
        <v>80157.727383999998</v>
      </c>
      <c r="G380">
        <v>-0.46</v>
      </c>
      <c r="L380" t="s">
        <v>7</v>
      </c>
      <c r="M380" t="s">
        <v>7</v>
      </c>
      <c r="N380" t="s">
        <v>8</v>
      </c>
      <c r="P380">
        <f t="shared" si="970"/>
        <v>0.31797502081598705</v>
      </c>
      <c r="Q380">
        <f t="shared" si="971"/>
        <v>25488.155033489616</v>
      </c>
      <c r="R380">
        <f t="shared" si="972"/>
        <v>6872330.9858483458</v>
      </c>
      <c r="S380">
        <f t="shared" si="973"/>
        <v>68.723309858483461</v>
      </c>
      <c r="T380">
        <f t="shared" si="974"/>
        <v>6.8723309858483461E-2</v>
      </c>
    </row>
    <row r="381" spans="1:20" x14ac:dyDescent="0.25">
      <c r="A381" s="5">
        <v>44212</v>
      </c>
      <c r="B381">
        <v>36737.43</v>
      </c>
      <c r="C381">
        <v>37950</v>
      </c>
      <c r="D381">
        <v>35357.800000000003</v>
      </c>
      <c r="E381">
        <v>35994.980000000003</v>
      </c>
      <c r="F381">
        <v>86348.431507999994</v>
      </c>
      <c r="G381">
        <v>-2.02</v>
      </c>
      <c r="L381" t="s">
        <v>8</v>
      </c>
      <c r="M381" t="s">
        <v>8</v>
      </c>
      <c r="N381" t="s">
        <v>8</v>
      </c>
      <c r="P381">
        <f t="shared" si="970"/>
        <v>-0.5083866985572093</v>
      </c>
      <c r="Q381">
        <f t="shared" si="971"/>
        <v>-43898.39401994543</v>
      </c>
      <c r="R381">
        <f t="shared" si="972"/>
        <v>6846842.8308148561</v>
      </c>
      <c r="S381">
        <f t="shared" si="973"/>
        <v>68.46842830814856</v>
      </c>
      <c r="T381">
        <f t="shared" si="974"/>
        <v>6.846842830814856E-2</v>
      </c>
    </row>
    <row r="382" spans="1:20" x14ac:dyDescent="0.25">
      <c r="A382" s="5">
        <v>44211</v>
      </c>
      <c r="B382">
        <v>39145.21</v>
      </c>
      <c r="C382">
        <v>39747.760000000002</v>
      </c>
      <c r="D382">
        <v>34408</v>
      </c>
      <c r="E382">
        <v>36742.22</v>
      </c>
      <c r="F382">
        <v>118300.920916</v>
      </c>
      <c r="G382">
        <v>-6.14</v>
      </c>
      <c r="L382" t="s">
        <v>7</v>
      </c>
      <c r="M382" t="s">
        <v>8</v>
      </c>
      <c r="N382" t="s">
        <v>8</v>
      </c>
      <c r="P382">
        <f t="shared" si="970"/>
        <v>-0.12572100618754389</v>
      </c>
      <c r="Q382">
        <f t="shared" si="971"/>
        <v>-14872.910810472576</v>
      </c>
      <c r="R382">
        <f t="shared" si="972"/>
        <v>6890741.2248348016</v>
      </c>
      <c r="S382">
        <f t="shared" si="973"/>
        <v>68.90741224834801</v>
      </c>
      <c r="T382">
        <f t="shared" si="974"/>
        <v>6.890741224834801E-2</v>
      </c>
    </row>
    <row r="383" spans="1:20" x14ac:dyDescent="0.25">
      <c r="A383" s="5">
        <v>44210</v>
      </c>
      <c r="B383">
        <v>37371.379999999997</v>
      </c>
      <c r="C383">
        <v>40100</v>
      </c>
      <c r="D383">
        <v>36701.230000000003</v>
      </c>
      <c r="E383">
        <v>39144.5</v>
      </c>
      <c r="F383">
        <v>102950.389421</v>
      </c>
      <c r="G383">
        <v>4.74</v>
      </c>
      <c r="L383" t="s">
        <v>8</v>
      </c>
      <c r="M383" t="s">
        <v>8</v>
      </c>
      <c r="N383" t="s">
        <v>8</v>
      </c>
      <c r="P383">
        <f t="shared" si="970"/>
        <v>0.43773776984026519</v>
      </c>
      <c r="Q383">
        <f t="shared" si="971"/>
        <v>45065.273869335368</v>
      </c>
      <c r="R383">
        <f t="shared" si="972"/>
        <v>6905614.1356452741</v>
      </c>
      <c r="S383">
        <f t="shared" si="973"/>
        <v>69.056141356452741</v>
      </c>
      <c r="T383">
        <f t="shared" si="974"/>
        <v>6.9056141356452744E-2</v>
      </c>
    </row>
    <row r="384" spans="1:20" x14ac:dyDescent="0.25">
      <c r="A384" s="5">
        <v>44209</v>
      </c>
      <c r="B384">
        <v>34049.15</v>
      </c>
      <c r="C384">
        <v>37850</v>
      </c>
      <c r="D384">
        <v>32380</v>
      </c>
      <c r="E384">
        <v>37371.379999999997</v>
      </c>
      <c r="F384">
        <v>124477.914938</v>
      </c>
      <c r="G384">
        <v>9.76</v>
      </c>
      <c r="L384" t="s">
        <v>8</v>
      </c>
      <c r="M384" t="s">
        <v>8</v>
      </c>
      <c r="N384" t="s">
        <v>8</v>
      </c>
      <c r="P384">
        <f t="shared" si="970"/>
        <v>0.82500182815356393</v>
      </c>
      <c r="Q384">
        <f t="shared" si="971"/>
        <v>102694.50738859383</v>
      </c>
      <c r="R384">
        <f t="shared" si="972"/>
        <v>6860548.8617759384</v>
      </c>
      <c r="S384">
        <f t="shared" si="973"/>
        <v>68.605488617759377</v>
      </c>
      <c r="T384">
        <f t="shared" si="974"/>
        <v>6.8605488617759378E-2</v>
      </c>
    </row>
    <row r="385" spans="1:20" x14ac:dyDescent="0.25">
      <c r="A385" s="5">
        <v>44208</v>
      </c>
      <c r="B385">
        <v>35410.370000000003</v>
      </c>
      <c r="C385">
        <v>36628</v>
      </c>
      <c r="D385">
        <v>32531</v>
      </c>
      <c r="E385">
        <v>34051.24</v>
      </c>
      <c r="F385">
        <v>133948.151996</v>
      </c>
      <c r="G385">
        <v>-3.84</v>
      </c>
      <c r="L385" t="s">
        <v>8</v>
      </c>
      <c r="M385" t="s">
        <v>8</v>
      </c>
      <c r="N385" t="s">
        <v>8</v>
      </c>
      <c r="P385">
        <f t="shared" si="970"/>
        <v>-0.2578764949963398</v>
      </c>
      <c r="Q385">
        <f t="shared" si="971"/>
        <v>-34542.07994796546</v>
      </c>
      <c r="R385">
        <f t="shared" si="972"/>
        <v>6757854.3543873448</v>
      </c>
      <c r="S385">
        <f t="shared" si="973"/>
        <v>67.578543543873451</v>
      </c>
      <c r="T385">
        <f t="shared" si="974"/>
        <v>6.7578543543873451E-2</v>
      </c>
    </row>
    <row r="386" spans="1:20" x14ac:dyDescent="0.25">
      <c r="A386" s="5">
        <v>44207</v>
      </c>
      <c r="B386">
        <v>38150.019999999997</v>
      </c>
      <c r="C386">
        <v>38264.74</v>
      </c>
      <c r="D386">
        <v>30420</v>
      </c>
      <c r="E386">
        <v>35404.47</v>
      </c>
      <c r="F386">
        <v>249131.53994300001</v>
      </c>
      <c r="G386">
        <v>-7.2</v>
      </c>
      <c r="L386" t="s">
        <v>7</v>
      </c>
      <c r="M386" t="s">
        <v>7</v>
      </c>
      <c r="N386" t="s">
        <v>8</v>
      </c>
      <c r="P386">
        <f t="shared" si="970"/>
        <v>0.2707801660730636</v>
      </c>
      <c r="Q386">
        <f t="shared" si="971"/>
        <v>67459.879759803618</v>
      </c>
      <c r="R386">
        <f t="shared" si="972"/>
        <v>6792396.43433531</v>
      </c>
      <c r="S386">
        <f t="shared" si="973"/>
        <v>67.923964343353106</v>
      </c>
      <c r="T386">
        <f t="shared" si="974"/>
        <v>6.7923964343353099E-2</v>
      </c>
    </row>
    <row r="387" spans="1:20" x14ac:dyDescent="0.25">
      <c r="A387" s="5">
        <v>44206</v>
      </c>
      <c r="B387">
        <v>40088.22</v>
      </c>
      <c r="C387">
        <v>41350</v>
      </c>
      <c r="D387">
        <v>35111.11</v>
      </c>
      <c r="E387">
        <v>38150.019999999997</v>
      </c>
      <c r="F387">
        <v>118209.544503</v>
      </c>
      <c r="G387">
        <v>-4.83</v>
      </c>
      <c r="L387" t="s">
        <v>7</v>
      </c>
      <c r="M387" t="s">
        <v>7</v>
      </c>
      <c r="N387" t="s">
        <v>8</v>
      </c>
      <c r="P387">
        <f t="shared" si="970"/>
        <v>-2.5817092463564353E-2</v>
      </c>
      <c r="Q387">
        <f t="shared" si="971"/>
        <v>-3051.8267405097763</v>
      </c>
      <c r="R387">
        <f t="shared" si="972"/>
        <v>6724936.5545755066</v>
      </c>
      <c r="S387">
        <f t="shared" si="973"/>
        <v>67.249365545755069</v>
      </c>
      <c r="T387">
        <f t="shared" si="974"/>
        <v>6.7249365545755072E-2</v>
      </c>
    </row>
    <row r="388" spans="1:20" x14ac:dyDescent="0.25">
      <c r="A388" s="5">
        <v>44205</v>
      </c>
      <c r="B388">
        <v>40586.959999999999</v>
      </c>
      <c r="C388">
        <v>41380</v>
      </c>
      <c r="D388">
        <v>38720</v>
      </c>
      <c r="E388">
        <v>40088.22</v>
      </c>
      <c r="F388">
        <v>75785.979674999995</v>
      </c>
      <c r="G388">
        <v>-1.23</v>
      </c>
      <c r="L388" t="s">
        <v>7</v>
      </c>
      <c r="M388" t="s">
        <v>8</v>
      </c>
      <c r="N388" t="s">
        <v>8</v>
      </c>
      <c r="P388">
        <f t="shared" si="970"/>
        <v>2.8736842105264032E-2</v>
      </c>
      <c r="Q388">
        <f t="shared" si="971"/>
        <v>2177.8497317132242</v>
      </c>
      <c r="R388">
        <f t="shared" si="972"/>
        <v>6727988.3813160164</v>
      </c>
      <c r="S388">
        <f t="shared" si="973"/>
        <v>67.279883813160168</v>
      </c>
      <c r="T388">
        <f t="shared" si="974"/>
        <v>6.7279883813160163E-2</v>
      </c>
    </row>
    <row r="389" spans="1:20" x14ac:dyDescent="0.25">
      <c r="A389" s="5">
        <v>44204</v>
      </c>
      <c r="B389">
        <v>39432.480000000003</v>
      </c>
      <c r="C389">
        <v>41950</v>
      </c>
      <c r="D389">
        <v>36500</v>
      </c>
      <c r="E389">
        <v>40582.81</v>
      </c>
      <c r="F389">
        <v>139789.95749900001</v>
      </c>
      <c r="G389">
        <v>2.92</v>
      </c>
      <c r="L389" t="s">
        <v>8</v>
      </c>
      <c r="M389" t="s">
        <v>8</v>
      </c>
      <c r="N389" t="s">
        <v>8</v>
      </c>
      <c r="P389">
        <f t="shared" si="970"/>
        <v>0.49827889908256795</v>
      </c>
      <c r="Q389">
        <f t="shared" si="971"/>
        <v>69654.386125400692</v>
      </c>
      <c r="R389">
        <f t="shared" si="972"/>
        <v>6725810.5315843029</v>
      </c>
      <c r="S389">
        <f t="shared" si="973"/>
        <v>67.258105315843025</v>
      </c>
      <c r="T389">
        <f t="shared" si="974"/>
        <v>6.7258105315843031E-2</v>
      </c>
    </row>
    <row r="390" spans="1:20" x14ac:dyDescent="0.25">
      <c r="A390" s="5">
        <v>44203</v>
      </c>
      <c r="B390">
        <v>36769.360000000001</v>
      </c>
      <c r="C390">
        <v>40365</v>
      </c>
      <c r="D390">
        <v>36300</v>
      </c>
      <c r="E390">
        <v>39432.28</v>
      </c>
      <c r="F390">
        <v>132825.70043699999</v>
      </c>
      <c r="G390">
        <v>7.24</v>
      </c>
      <c r="L390" t="s">
        <v>8</v>
      </c>
      <c r="M390" t="s">
        <v>8</v>
      </c>
      <c r="N390" t="s">
        <v>8</v>
      </c>
      <c r="P390">
        <f t="shared" ref="P390:P453" si="975">IF(C390=D390,0,((E390-D390)-(C390-E390))/(C390-D390))</f>
        <v>0.54109717097170917</v>
      </c>
      <c r="Q390">
        <f t="shared" ref="Q390:Q453" si="976">F390*P390</f>
        <v>71871.610738796415</v>
      </c>
      <c r="R390">
        <f t="shared" ref="R390:R453" si="977">R391+Q390</f>
        <v>6656156.1454589022</v>
      </c>
      <c r="S390">
        <f t="shared" ref="S390:S453" si="978">R390/100000</f>
        <v>66.561561454589025</v>
      </c>
      <c r="T390">
        <f t="shared" ref="T390:T453" si="979">S390/1000</f>
        <v>6.6561561454589024E-2</v>
      </c>
    </row>
    <row r="391" spans="1:20" x14ac:dyDescent="0.25">
      <c r="A391" s="5">
        <v>44202</v>
      </c>
      <c r="B391">
        <v>33949.53</v>
      </c>
      <c r="C391">
        <v>36939.21</v>
      </c>
      <c r="D391">
        <v>33288</v>
      </c>
      <c r="E391">
        <v>36769.360000000001</v>
      </c>
      <c r="F391">
        <v>127139.20131</v>
      </c>
      <c r="G391">
        <v>8.31</v>
      </c>
      <c r="L391" t="s">
        <v>8</v>
      </c>
      <c r="M391" t="s">
        <v>8</v>
      </c>
      <c r="N391" t="s">
        <v>8</v>
      </c>
      <c r="P391">
        <f t="shared" si="975"/>
        <v>0.90696234946771148</v>
      </c>
      <c r="Q391">
        <f t="shared" si="976"/>
        <v>115310.46872956594</v>
      </c>
      <c r="R391">
        <f t="shared" si="977"/>
        <v>6584284.5347201061</v>
      </c>
      <c r="S391">
        <f t="shared" si="978"/>
        <v>65.842845347201063</v>
      </c>
      <c r="T391">
        <f t="shared" si="979"/>
        <v>6.5842845347201057E-2</v>
      </c>
    </row>
    <row r="392" spans="1:20" x14ac:dyDescent="0.25">
      <c r="A392" s="5">
        <v>44201</v>
      </c>
      <c r="B392">
        <v>31989.75</v>
      </c>
      <c r="C392">
        <v>34360</v>
      </c>
      <c r="D392">
        <v>29900</v>
      </c>
      <c r="E392">
        <v>33949.53</v>
      </c>
      <c r="F392">
        <v>116049.997038</v>
      </c>
      <c r="G392">
        <v>6.13</v>
      </c>
      <c r="L392" t="s">
        <v>8</v>
      </c>
      <c r="M392" t="s">
        <v>8</v>
      </c>
      <c r="N392" t="s">
        <v>8</v>
      </c>
      <c r="P392">
        <f t="shared" si="975"/>
        <v>0.81593273542600842</v>
      </c>
      <c r="Q392">
        <f t="shared" si="976"/>
        <v>94688.991529395513</v>
      </c>
      <c r="R392">
        <f t="shared" si="977"/>
        <v>6468974.0659905402</v>
      </c>
      <c r="S392">
        <f t="shared" si="978"/>
        <v>64.689740659905397</v>
      </c>
      <c r="T392">
        <f t="shared" si="979"/>
        <v>6.468974065990539E-2</v>
      </c>
    </row>
    <row r="393" spans="1:20" x14ac:dyDescent="0.25">
      <c r="A393" s="5">
        <v>44200</v>
      </c>
      <c r="B393">
        <v>33000.050000000003</v>
      </c>
      <c r="C393">
        <v>33600</v>
      </c>
      <c r="D393">
        <v>28130</v>
      </c>
      <c r="E393">
        <v>31988.71</v>
      </c>
      <c r="F393">
        <v>140899.88569</v>
      </c>
      <c r="G393">
        <v>-3.06</v>
      </c>
      <c r="L393" t="s">
        <v>7</v>
      </c>
      <c r="M393" t="s">
        <v>7</v>
      </c>
      <c r="N393" t="s">
        <v>8</v>
      </c>
      <c r="P393">
        <f t="shared" si="975"/>
        <v>0.41086288848263225</v>
      </c>
      <c r="Q393">
        <f t="shared" si="976"/>
        <v>57890.534021466097</v>
      </c>
      <c r="R393">
        <f t="shared" si="977"/>
        <v>6374285.0744611444</v>
      </c>
      <c r="S393">
        <f t="shared" si="978"/>
        <v>63.742850744611445</v>
      </c>
      <c r="T393">
        <f t="shared" si="979"/>
        <v>6.3742850744611446E-2</v>
      </c>
    </row>
    <row r="394" spans="1:20" x14ac:dyDescent="0.25">
      <c r="A394" s="5">
        <v>44199</v>
      </c>
      <c r="B394">
        <v>32176.45</v>
      </c>
      <c r="C394">
        <v>34778.11</v>
      </c>
      <c r="D394">
        <v>31962.99</v>
      </c>
      <c r="E394">
        <v>33000.050000000003</v>
      </c>
      <c r="F394">
        <v>120957.56675</v>
      </c>
      <c r="G394">
        <v>2.56</v>
      </c>
      <c r="L394" t="s">
        <v>8</v>
      </c>
      <c r="M394" t="s">
        <v>8</v>
      </c>
      <c r="N394" t="s">
        <v>8</v>
      </c>
      <c r="P394">
        <f t="shared" si="975"/>
        <v>-0.26322146125209461</v>
      </c>
      <c r="Q394">
        <f t="shared" si="976"/>
        <v>-31838.627469432773</v>
      </c>
      <c r="R394">
        <f t="shared" si="977"/>
        <v>6316394.5404396784</v>
      </c>
      <c r="S394">
        <f t="shared" si="978"/>
        <v>63.163945404396785</v>
      </c>
      <c r="T394">
        <f t="shared" si="979"/>
        <v>6.3163945404396779E-2</v>
      </c>
    </row>
    <row r="395" spans="1:20" x14ac:dyDescent="0.25">
      <c r="A395" s="5">
        <v>44198</v>
      </c>
      <c r="B395">
        <v>29331.7</v>
      </c>
      <c r="C395">
        <v>33300</v>
      </c>
      <c r="D395">
        <v>28946.53</v>
      </c>
      <c r="E395">
        <v>32178.33</v>
      </c>
      <c r="F395">
        <v>129993.873362</v>
      </c>
      <c r="G395">
        <v>9.6999999999999993</v>
      </c>
      <c r="L395" t="s">
        <v>8</v>
      </c>
      <c r="M395" t="s">
        <v>8</v>
      </c>
      <c r="N395" t="s">
        <v>8</v>
      </c>
      <c r="P395">
        <f t="shared" si="975"/>
        <v>0.48470071000833914</v>
      </c>
      <c r="Q395">
        <f t="shared" si="976"/>
        <v>63008.122715295525</v>
      </c>
      <c r="R395">
        <f t="shared" si="977"/>
        <v>6348233.1679091109</v>
      </c>
      <c r="S395">
        <f t="shared" si="978"/>
        <v>63.482331679091111</v>
      </c>
      <c r="T395">
        <f t="shared" si="979"/>
        <v>6.3482331679091106E-2</v>
      </c>
    </row>
    <row r="396" spans="1:20" x14ac:dyDescent="0.25">
      <c r="A396" s="5">
        <v>44197</v>
      </c>
      <c r="B396">
        <v>28923.63</v>
      </c>
      <c r="C396">
        <v>29600</v>
      </c>
      <c r="D396">
        <v>28624.57</v>
      </c>
      <c r="E396">
        <v>29331.69</v>
      </c>
      <c r="F396">
        <v>54182.925010999999</v>
      </c>
      <c r="G396">
        <v>1.41</v>
      </c>
      <c r="L396" t="s">
        <v>8</v>
      </c>
      <c r="M396" t="s">
        <v>8</v>
      </c>
      <c r="N396" t="s">
        <v>8</v>
      </c>
      <c r="P396">
        <f t="shared" si="975"/>
        <v>0.44986313728304189</v>
      </c>
      <c r="Q396">
        <f t="shared" si="976"/>
        <v>24374.900632620258</v>
      </c>
      <c r="R396">
        <f t="shared" si="977"/>
        <v>6285225.0451938156</v>
      </c>
      <c r="S396">
        <f t="shared" si="978"/>
        <v>62.852250451938154</v>
      </c>
      <c r="T396">
        <f t="shared" si="979"/>
        <v>6.2852250451938152E-2</v>
      </c>
    </row>
    <row r="397" spans="1:20" x14ac:dyDescent="0.25">
      <c r="A397" s="5">
        <v>44196</v>
      </c>
      <c r="B397">
        <v>28875.55</v>
      </c>
      <c r="C397">
        <v>29300</v>
      </c>
      <c r="D397">
        <v>27850</v>
      </c>
      <c r="E397">
        <v>28923.63</v>
      </c>
      <c r="F397">
        <v>75508.505151999998</v>
      </c>
      <c r="G397">
        <v>0.17</v>
      </c>
      <c r="L397" t="s">
        <v>8</v>
      </c>
      <c r="M397" t="s">
        <v>8</v>
      </c>
      <c r="N397" t="s">
        <v>8</v>
      </c>
      <c r="P397">
        <f t="shared" si="975"/>
        <v>0.48086896551724279</v>
      </c>
      <c r="Q397">
        <f t="shared" si="976"/>
        <v>36309.696760195635</v>
      </c>
      <c r="R397">
        <f t="shared" si="977"/>
        <v>6260850.1445611957</v>
      </c>
      <c r="S397">
        <f t="shared" si="978"/>
        <v>62.608501445611957</v>
      </c>
      <c r="T397">
        <f t="shared" si="979"/>
        <v>6.2608501445611961E-2</v>
      </c>
    </row>
    <row r="398" spans="1:20" x14ac:dyDescent="0.25">
      <c r="A398" s="5">
        <v>44195</v>
      </c>
      <c r="B398">
        <v>27385</v>
      </c>
      <c r="C398">
        <v>28996</v>
      </c>
      <c r="D398">
        <v>27320</v>
      </c>
      <c r="E398">
        <v>28875.54</v>
      </c>
      <c r="F398">
        <v>95356.057826000004</v>
      </c>
      <c r="G398">
        <v>5.44</v>
      </c>
      <c r="L398" t="s">
        <v>8</v>
      </c>
      <c r="M398" t="s">
        <v>8</v>
      </c>
      <c r="N398" t="s">
        <v>8</v>
      </c>
      <c r="P398">
        <f t="shared" si="975"/>
        <v>0.85625298329355715</v>
      </c>
      <c r="Q398">
        <f t="shared" si="976"/>
        <v>81648.908988625451</v>
      </c>
      <c r="R398">
        <f t="shared" si="977"/>
        <v>6224540.4478010004</v>
      </c>
      <c r="S398">
        <f t="shared" si="978"/>
        <v>62.245404478010002</v>
      </c>
      <c r="T398">
        <f t="shared" si="979"/>
        <v>6.2245404478010004E-2</v>
      </c>
    </row>
    <row r="399" spans="1:20" x14ac:dyDescent="0.25">
      <c r="A399" s="5">
        <v>44194</v>
      </c>
      <c r="B399">
        <v>27079.42</v>
      </c>
      <c r="C399">
        <v>27410</v>
      </c>
      <c r="D399">
        <v>25880</v>
      </c>
      <c r="E399">
        <v>27385</v>
      </c>
      <c r="F399">
        <v>69411.592606000006</v>
      </c>
      <c r="G399">
        <v>1.1299999999999999</v>
      </c>
      <c r="L399" t="s">
        <v>7</v>
      </c>
      <c r="M399" t="s">
        <v>8</v>
      </c>
      <c r="N399" t="s">
        <v>8</v>
      </c>
      <c r="P399">
        <f t="shared" si="975"/>
        <v>0.9673202614379085</v>
      </c>
      <c r="Q399">
        <f t="shared" si="976"/>
        <v>67143.239906457529</v>
      </c>
      <c r="R399">
        <f t="shared" si="977"/>
        <v>6142891.5388123747</v>
      </c>
      <c r="S399">
        <f t="shared" si="978"/>
        <v>61.428915388123748</v>
      </c>
      <c r="T399">
        <f t="shared" si="979"/>
        <v>6.1428915388123749E-2</v>
      </c>
    </row>
    <row r="400" spans="1:20" x14ac:dyDescent="0.25">
      <c r="A400" s="5">
        <v>44193</v>
      </c>
      <c r="B400">
        <v>26281.54</v>
      </c>
      <c r="C400">
        <v>27500</v>
      </c>
      <c r="D400">
        <v>26101</v>
      </c>
      <c r="E400">
        <v>27079.41</v>
      </c>
      <c r="F400">
        <v>79721.742496000006</v>
      </c>
      <c r="G400">
        <v>3.04</v>
      </c>
      <c r="L400" t="s">
        <v>7</v>
      </c>
      <c r="M400" t="s">
        <v>8</v>
      </c>
      <c r="N400" t="s">
        <v>8</v>
      </c>
      <c r="P400">
        <f t="shared" si="975"/>
        <v>0.39872766261615417</v>
      </c>
      <c r="Q400">
        <f t="shared" si="976"/>
        <v>31787.264045117012</v>
      </c>
      <c r="R400">
        <f t="shared" si="977"/>
        <v>6075748.2989059174</v>
      </c>
      <c r="S400">
        <f t="shared" si="978"/>
        <v>60.757482989059177</v>
      </c>
      <c r="T400">
        <f t="shared" si="979"/>
        <v>6.0757482989059176E-2</v>
      </c>
    </row>
    <row r="401" spans="1:20" x14ac:dyDescent="0.25">
      <c r="A401" s="5">
        <v>44192</v>
      </c>
      <c r="B401">
        <v>26493.4</v>
      </c>
      <c r="C401">
        <v>28422</v>
      </c>
      <c r="D401">
        <v>25700</v>
      </c>
      <c r="E401">
        <v>26281.66</v>
      </c>
      <c r="F401">
        <v>148455.58621400001</v>
      </c>
      <c r="G401">
        <v>-0.8</v>
      </c>
      <c r="L401" t="s">
        <v>8</v>
      </c>
      <c r="M401" t="s">
        <v>8</v>
      </c>
      <c r="N401" t="s">
        <v>8</v>
      </c>
      <c r="P401">
        <f t="shared" si="975"/>
        <v>-0.57262307127112433</v>
      </c>
      <c r="Q401">
        <f t="shared" si="976"/>
        <v>-85009.093725215876</v>
      </c>
      <c r="R401">
        <f t="shared" si="977"/>
        <v>6043961.0348608</v>
      </c>
      <c r="S401">
        <f t="shared" si="978"/>
        <v>60.439610348607999</v>
      </c>
      <c r="T401">
        <f t="shared" si="979"/>
        <v>6.0439610348608001E-2</v>
      </c>
    </row>
    <row r="402" spans="1:20" x14ac:dyDescent="0.25">
      <c r="A402" s="5">
        <v>44191</v>
      </c>
      <c r="B402">
        <v>24712.47</v>
      </c>
      <c r="C402">
        <v>26867.03</v>
      </c>
      <c r="D402">
        <v>24500</v>
      </c>
      <c r="E402">
        <v>26493.39</v>
      </c>
      <c r="F402">
        <v>97806.513386000006</v>
      </c>
      <c r="G402">
        <v>7.21</v>
      </c>
      <c r="L402" t="s">
        <v>8</v>
      </c>
      <c r="M402" t="s">
        <v>8</v>
      </c>
      <c r="N402" t="s">
        <v>8</v>
      </c>
      <c r="P402">
        <f t="shared" si="975"/>
        <v>0.68429635450332305</v>
      </c>
      <c r="Q402">
        <f t="shared" si="976"/>
        <v>66928.640556720275</v>
      </c>
      <c r="R402">
        <f t="shared" si="977"/>
        <v>6128970.1285860157</v>
      </c>
      <c r="S402">
        <f t="shared" si="978"/>
        <v>61.289701285860154</v>
      </c>
      <c r="T402">
        <f t="shared" si="979"/>
        <v>6.1289701285860157E-2</v>
      </c>
    </row>
    <row r="403" spans="1:20" x14ac:dyDescent="0.25">
      <c r="A403" s="5">
        <v>44190</v>
      </c>
      <c r="B403">
        <v>23728.99</v>
      </c>
      <c r="C403">
        <v>24789.86</v>
      </c>
      <c r="D403">
        <v>23433.599999999999</v>
      </c>
      <c r="E403">
        <v>24712.47</v>
      </c>
      <c r="F403">
        <v>79519.943568999995</v>
      </c>
      <c r="G403">
        <v>4.1399999999999997</v>
      </c>
      <c r="L403" t="s">
        <v>8</v>
      </c>
      <c r="M403" t="s">
        <v>8</v>
      </c>
      <c r="N403" t="s">
        <v>8</v>
      </c>
      <c r="P403">
        <f t="shared" si="975"/>
        <v>0.88587733915326072</v>
      </c>
      <c r="Q403">
        <f t="shared" si="976"/>
        <v>70444.916018523159</v>
      </c>
      <c r="R403">
        <f t="shared" si="977"/>
        <v>6062041.4880292956</v>
      </c>
      <c r="S403">
        <f t="shared" si="978"/>
        <v>60.620414880292955</v>
      </c>
      <c r="T403">
        <f t="shared" si="979"/>
        <v>6.0620414880292954E-2</v>
      </c>
    </row>
    <row r="404" spans="1:20" x14ac:dyDescent="0.25">
      <c r="A404" s="5">
        <v>44189</v>
      </c>
      <c r="B404">
        <v>23232.39</v>
      </c>
      <c r="C404">
        <v>23794.43</v>
      </c>
      <c r="D404">
        <v>22703.42</v>
      </c>
      <c r="E404">
        <v>23729.200000000001</v>
      </c>
      <c r="F404">
        <v>69013.834252000001</v>
      </c>
      <c r="G404">
        <v>2.14</v>
      </c>
      <c r="L404" t="s">
        <v>8</v>
      </c>
      <c r="M404" t="s">
        <v>8</v>
      </c>
      <c r="N404" t="s">
        <v>8</v>
      </c>
      <c r="P404">
        <f t="shared" si="975"/>
        <v>0.88042272756436801</v>
      </c>
      <c r="Q404">
        <f t="shared" si="976"/>
        <v>60761.348191821045</v>
      </c>
      <c r="R404">
        <f t="shared" si="977"/>
        <v>5991596.5720107723</v>
      </c>
      <c r="S404">
        <f t="shared" si="978"/>
        <v>59.915965720107721</v>
      </c>
      <c r="T404">
        <f t="shared" si="979"/>
        <v>5.9915965720107718E-2</v>
      </c>
    </row>
    <row r="405" spans="1:20" x14ac:dyDescent="0.25">
      <c r="A405" s="5">
        <v>44188</v>
      </c>
      <c r="B405">
        <v>23810.79</v>
      </c>
      <c r="C405">
        <v>24100</v>
      </c>
      <c r="D405">
        <v>22600</v>
      </c>
      <c r="E405">
        <v>23232.76</v>
      </c>
      <c r="F405">
        <v>119047.259733</v>
      </c>
      <c r="G405">
        <v>-2.4300000000000002</v>
      </c>
      <c r="L405" t="s">
        <v>8</v>
      </c>
      <c r="M405" t="s">
        <v>8</v>
      </c>
      <c r="N405" t="s">
        <v>8</v>
      </c>
      <c r="P405">
        <f t="shared" si="975"/>
        <v>-0.15632000000000212</v>
      </c>
      <c r="Q405">
        <f t="shared" si="976"/>
        <v>-18609.467641462812</v>
      </c>
      <c r="R405">
        <f t="shared" si="977"/>
        <v>5930835.2238189513</v>
      </c>
      <c r="S405">
        <f t="shared" si="978"/>
        <v>59.308352238189514</v>
      </c>
      <c r="T405">
        <f t="shared" si="979"/>
        <v>5.9308352238189511E-2</v>
      </c>
    </row>
    <row r="406" spans="1:20" x14ac:dyDescent="0.25">
      <c r="A406" s="5">
        <v>44187</v>
      </c>
      <c r="B406">
        <v>22719.88</v>
      </c>
      <c r="C406">
        <v>23837.1</v>
      </c>
      <c r="D406">
        <v>22353.4</v>
      </c>
      <c r="E406">
        <v>23810.79</v>
      </c>
      <c r="F406">
        <v>87033.12616</v>
      </c>
      <c r="G406">
        <v>4.8</v>
      </c>
      <c r="L406" t="s">
        <v>8</v>
      </c>
      <c r="M406" t="s">
        <v>8</v>
      </c>
      <c r="N406" t="s">
        <v>8</v>
      </c>
      <c r="P406">
        <f t="shared" si="975"/>
        <v>0.964534609422393</v>
      </c>
      <c r="Q406">
        <f t="shared" si="976"/>
        <v>83946.462347545457</v>
      </c>
      <c r="R406">
        <f t="shared" si="977"/>
        <v>5949444.6914604139</v>
      </c>
      <c r="S406">
        <f t="shared" si="978"/>
        <v>59.49444691460414</v>
      </c>
      <c r="T406">
        <f t="shared" si="979"/>
        <v>5.9494446914604142E-2</v>
      </c>
    </row>
    <row r="407" spans="1:20" x14ac:dyDescent="0.25">
      <c r="A407" s="5">
        <v>44186</v>
      </c>
      <c r="B407">
        <v>23455.54</v>
      </c>
      <c r="C407">
        <v>24102.77</v>
      </c>
      <c r="D407">
        <v>21815</v>
      </c>
      <c r="E407">
        <v>22719.71</v>
      </c>
      <c r="F407">
        <v>88030.297242999994</v>
      </c>
      <c r="G407">
        <v>-3.14</v>
      </c>
      <c r="L407" t="s">
        <v>7</v>
      </c>
      <c r="M407" t="s">
        <v>8</v>
      </c>
      <c r="N407" t="s">
        <v>8</v>
      </c>
      <c r="P407">
        <f t="shared" si="975"/>
        <v>-0.20909007461414481</v>
      </c>
      <c r="Q407">
        <f t="shared" si="976"/>
        <v>-18406.261418844213</v>
      </c>
      <c r="R407">
        <f t="shared" si="977"/>
        <v>5865498.2291128682</v>
      </c>
      <c r="S407">
        <f t="shared" si="978"/>
        <v>58.654982291128682</v>
      </c>
      <c r="T407">
        <f t="shared" si="979"/>
        <v>5.8654982291128685E-2</v>
      </c>
    </row>
    <row r="408" spans="1:20" x14ac:dyDescent="0.25">
      <c r="A408" s="5">
        <v>44185</v>
      </c>
      <c r="B408">
        <v>23821.599999999999</v>
      </c>
      <c r="C408">
        <v>24295</v>
      </c>
      <c r="D408">
        <v>23060</v>
      </c>
      <c r="E408">
        <v>23455.52</v>
      </c>
      <c r="F408">
        <v>76690.145684999996</v>
      </c>
      <c r="G408">
        <v>-1.54</v>
      </c>
      <c r="L408" t="s">
        <v>8</v>
      </c>
      <c r="M408" t="s">
        <v>8</v>
      </c>
      <c r="N408" t="s">
        <v>8</v>
      </c>
      <c r="P408">
        <f t="shared" si="975"/>
        <v>-0.35948178137651748</v>
      </c>
      <c r="Q408">
        <f t="shared" si="976"/>
        <v>-27568.710184868443</v>
      </c>
      <c r="R408">
        <f t="shared" si="977"/>
        <v>5883904.4905317128</v>
      </c>
      <c r="S408">
        <f t="shared" si="978"/>
        <v>58.839044905317131</v>
      </c>
      <c r="T408">
        <f t="shared" si="979"/>
        <v>5.8839044905317134E-2</v>
      </c>
    </row>
    <row r="409" spans="1:20" x14ac:dyDescent="0.25">
      <c r="A409" s="5">
        <v>44184</v>
      </c>
      <c r="B409">
        <v>23107.39</v>
      </c>
      <c r="C409">
        <v>24171.47</v>
      </c>
      <c r="D409">
        <v>22750</v>
      </c>
      <c r="E409">
        <v>23821.61</v>
      </c>
      <c r="F409">
        <v>86045.064677000002</v>
      </c>
      <c r="G409">
        <v>3.09</v>
      </c>
      <c r="L409" t="s">
        <v>8</v>
      </c>
      <c r="M409" t="s">
        <v>8</v>
      </c>
      <c r="N409" t="s">
        <v>8</v>
      </c>
      <c r="P409">
        <f t="shared" si="975"/>
        <v>0.50774902038031011</v>
      </c>
      <c r="Q409">
        <f t="shared" si="976"/>
        <v>43689.297298307174</v>
      </c>
      <c r="R409">
        <f t="shared" si="977"/>
        <v>5911473.2007165812</v>
      </c>
      <c r="S409">
        <f t="shared" si="978"/>
        <v>59.114732007165813</v>
      </c>
      <c r="T409">
        <f t="shared" si="979"/>
        <v>5.9114732007165813E-2</v>
      </c>
    </row>
    <row r="410" spans="1:20" x14ac:dyDescent="0.25">
      <c r="A410" s="5">
        <v>44183</v>
      </c>
      <c r="B410">
        <v>22797.15</v>
      </c>
      <c r="C410">
        <v>23285.18</v>
      </c>
      <c r="D410">
        <v>22350</v>
      </c>
      <c r="E410">
        <v>23107.39</v>
      </c>
      <c r="F410">
        <v>79646.134315000003</v>
      </c>
      <c r="G410">
        <v>1.36</v>
      </c>
      <c r="L410" t="s">
        <v>8</v>
      </c>
      <c r="M410" t="s">
        <v>8</v>
      </c>
      <c r="N410" t="s">
        <v>8</v>
      </c>
      <c r="P410">
        <f t="shared" si="975"/>
        <v>0.61977373339891606</v>
      </c>
      <c r="Q410">
        <f t="shared" si="976"/>
        <v>49362.58201519907</v>
      </c>
      <c r="R410">
        <f t="shared" si="977"/>
        <v>5867783.9034182737</v>
      </c>
      <c r="S410">
        <f t="shared" si="978"/>
        <v>58.677839034182739</v>
      </c>
      <c r="T410">
        <f t="shared" si="979"/>
        <v>5.8677839034182736E-2</v>
      </c>
    </row>
    <row r="411" spans="1:20" x14ac:dyDescent="0.25">
      <c r="A411" s="5">
        <v>44182</v>
      </c>
      <c r="B411">
        <v>21335.52</v>
      </c>
      <c r="C411">
        <v>23800</v>
      </c>
      <c r="D411">
        <v>21230</v>
      </c>
      <c r="E411">
        <v>22797.16</v>
      </c>
      <c r="F411">
        <v>184882.47674799999</v>
      </c>
      <c r="G411">
        <v>6.85</v>
      </c>
      <c r="L411" t="s">
        <v>8</v>
      </c>
      <c r="M411" t="s">
        <v>8</v>
      </c>
      <c r="N411" t="s">
        <v>8</v>
      </c>
      <c r="P411">
        <f t="shared" si="975"/>
        <v>0.21957976653696487</v>
      </c>
      <c r="Q411">
        <f t="shared" si="976"/>
        <v>40596.451081101673</v>
      </c>
      <c r="R411">
        <f t="shared" si="977"/>
        <v>5818421.321403075</v>
      </c>
      <c r="S411">
        <f t="shared" si="978"/>
        <v>58.184213214030748</v>
      </c>
      <c r="T411">
        <f t="shared" si="979"/>
        <v>5.818421321403075E-2</v>
      </c>
    </row>
    <row r="412" spans="1:20" x14ac:dyDescent="0.25">
      <c r="A412" s="5">
        <v>44181</v>
      </c>
      <c r="B412">
        <v>19426.43</v>
      </c>
      <c r="C412">
        <v>21560</v>
      </c>
      <c r="D412">
        <v>19278.599999999999</v>
      </c>
      <c r="E412">
        <v>21335.52</v>
      </c>
      <c r="F412">
        <v>114306.33557</v>
      </c>
      <c r="G412">
        <v>9.83</v>
      </c>
      <c r="L412" t="s">
        <v>8</v>
      </c>
      <c r="M412" t="s">
        <v>8</v>
      </c>
      <c r="N412" t="s">
        <v>8</v>
      </c>
      <c r="P412">
        <f t="shared" si="975"/>
        <v>0.80320855614973308</v>
      </c>
      <c r="Q412">
        <f t="shared" si="976"/>
        <v>91811.826751946573</v>
      </c>
      <c r="R412">
        <f t="shared" si="977"/>
        <v>5777824.8703219732</v>
      </c>
      <c r="S412">
        <f t="shared" si="978"/>
        <v>57.778248703219731</v>
      </c>
      <c r="T412">
        <f t="shared" si="979"/>
        <v>5.777824870321973E-2</v>
      </c>
    </row>
    <row r="413" spans="1:20" x14ac:dyDescent="0.25">
      <c r="A413" s="5">
        <v>44180</v>
      </c>
      <c r="B413">
        <v>19273.689999999999</v>
      </c>
      <c r="C413">
        <v>19570</v>
      </c>
      <c r="D413">
        <v>19050</v>
      </c>
      <c r="E413">
        <v>19426.43</v>
      </c>
      <c r="F413">
        <v>61834.366010999998</v>
      </c>
      <c r="G413">
        <v>0.79</v>
      </c>
      <c r="L413" t="s">
        <v>8</v>
      </c>
      <c r="M413" t="s">
        <v>8</v>
      </c>
      <c r="N413" t="s">
        <v>8</v>
      </c>
      <c r="P413">
        <f t="shared" si="975"/>
        <v>0.44780769230769341</v>
      </c>
      <c r="Q413">
        <f t="shared" si="976"/>
        <v>27689.904748695182</v>
      </c>
      <c r="R413">
        <f t="shared" si="977"/>
        <v>5686013.0435700268</v>
      </c>
      <c r="S413">
        <f t="shared" si="978"/>
        <v>56.86013043570027</v>
      </c>
      <c r="T413">
        <f t="shared" si="979"/>
        <v>5.6860130435700269E-2</v>
      </c>
    </row>
    <row r="414" spans="1:20" x14ac:dyDescent="0.25">
      <c r="A414" s="5">
        <v>44179</v>
      </c>
      <c r="B414">
        <v>19174.990000000002</v>
      </c>
      <c r="C414">
        <v>19349</v>
      </c>
      <c r="D414">
        <v>19000</v>
      </c>
      <c r="E414">
        <v>19273.14</v>
      </c>
      <c r="F414">
        <v>47257.201293999999</v>
      </c>
      <c r="G414">
        <v>0.51</v>
      </c>
      <c r="L414" t="s">
        <v>8</v>
      </c>
      <c r="M414" t="s">
        <v>8</v>
      </c>
      <c r="N414" t="s">
        <v>8</v>
      </c>
      <c r="P414">
        <f t="shared" si="975"/>
        <v>0.56527220630372155</v>
      </c>
      <c r="Q414">
        <f t="shared" si="976"/>
        <v>26713.182439198463</v>
      </c>
      <c r="R414">
        <f t="shared" si="977"/>
        <v>5658323.1388213318</v>
      </c>
      <c r="S414">
        <f t="shared" si="978"/>
        <v>56.583231388213321</v>
      </c>
      <c r="T414">
        <f t="shared" si="979"/>
        <v>5.658323138821332E-2</v>
      </c>
    </row>
    <row r="415" spans="1:20" x14ac:dyDescent="0.25">
      <c r="A415" s="5">
        <v>44178</v>
      </c>
      <c r="B415">
        <v>18808.689999999999</v>
      </c>
      <c r="C415">
        <v>19411</v>
      </c>
      <c r="D415">
        <v>18711.12</v>
      </c>
      <c r="E415">
        <v>19174.990000000002</v>
      </c>
      <c r="F415">
        <v>56560.821744000001</v>
      </c>
      <c r="G415">
        <v>1.95</v>
      </c>
      <c r="L415" t="s">
        <v>8</v>
      </c>
      <c r="M415" t="s">
        <v>8</v>
      </c>
      <c r="N415" t="s">
        <v>8</v>
      </c>
      <c r="P415">
        <f t="shared" si="975"/>
        <v>0.32557009773104517</v>
      </c>
      <c r="Q415">
        <f t="shared" si="976"/>
        <v>18414.512262942306</v>
      </c>
      <c r="R415">
        <f t="shared" si="977"/>
        <v>5631609.9563821331</v>
      </c>
      <c r="S415">
        <f t="shared" si="978"/>
        <v>56.316099563821332</v>
      </c>
      <c r="T415">
        <f t="shared" si="979"/>
        <v>5.6316099563821331E-2</v>
      </c>
    </row>
    <row r="416" spans="1:20" x14ac:dyDescent="0.25">
      <c r="A416" s="5">
        <v>44177</v>
      </c>
      <c r="B416">
        <v>18036.53</v>
      </c>
      <c r="C416">
        <v>18948.66</v>
      </c>
      <c r="D416">
        <v>18020.7</v>
      </c>
      <c r="E416">
        <v>18808.689999999999</v>
      </c>
      <c r="F416">
        <v>49519.978432000004</v>
      </c>
      <c r="G416">
        <v>4.28</v>
      </c>
      <c r="L416" t="s">
        <v>8</v>
      </c>
      <c r="M416" t="s">
        <v>8</v>
      </c>
      <c r="N416" t="s">
        <v>8</v>
      </c>
      <c r="P416">
        <f t="shared" si="975"/>
        <v>0.69832751411698502</v>
      </c>
      <c r="Q416">
        <f t="shared" si="976"/>
        <v>34581.163437545278</v>
      </c>
      <c r="R416">
        <f t="shared" si="977"/>
        <v>5613195.4441191908</v>
      </c>
      <c r="S416">
        <f t="shared" si="978"/>
        <v>56.131954441191908</v>
      </c>
      <c r="T416">
        <f t="shared" si="979"/>
        <v>5.6131954441191907E-2</v>
      </c>
    </row>
    <row r="417" spans="1:20" x14ac:dyDescent="0.25">
      <c r="A417" s="5">
        <v>44176</v>
      </c>
      <c r="B417">
        <v>18254.810000000001</v>
      </c>
      <c r="C417">
        <v>18292.73</v>
      </c>
      <c r="D417">
        <v>17572.330000000002</v>
      </c>
      <c r="E417">
        <v>18036.53</v>
      </c>
      <c r="F417">
        <v>72610.724258999995</v>
      </c>
      <c r="G417">
        <v>-1.2</v>
      </c>
      <c r="L417" t="s">
        <v>7</v>
      </c>
      <c r="M417" t="s">
        <v>8</v>
      </c>
      <c r="N417" t="s">
        <v>8</v>
      </c>
      <c r="P417">
        <f t="shared" si="975"/>
        <v>0.28872848417545388</v>
      </c>
      <c r="Q417">
        <f t="shared" si="976"/>
        <v>20964.784350182927</v>
      </c>
      <c r="R417">
        <f t="shared" si="977"/>
        <v>5578614.2806816455</v>
      </c>
      <c r="S417">
        <f t="shared" si="978"/>
        <v>55.786142806816457</v>
      </c>
      <c r="T417">
        <f t="shared" si="979"/>
        <v>5.5786142806816458E-2</v>
      </c>
    </row>
    <row r="418" spans="1:20" x14ac:dyDescent="0.25">
      <c r="A418" s="5">
        <v>44175</v>
      </c>
      <c r="B418">
        <v>18541.29</v>
      </c>
      <c r="C418">
        <v>18557.32</v>
      </c>
      <c r="D418">
        <v>17911.12</v>
      </c>
      <c r="E418">
        <v>18254.63</v>
      </c>
      <c r="F418">
        <v>52890.675093999998</v>
      </c>
      <c r="G418">
        <v>-1.55</v>
      </c>
      <c r="L418" t="s">
        <v>7</v>
      </c>
      <c r="M418" t="s">
        <v>8</v>
      </c>
      <c r="N418" t="s">
        <v>8</v>
      </c>
      <c r="P418">
        <f t="shared" si="975"/>
        <v>6.3169297431140983E-2</v>
      </c>
      <c r="Q418">
        <f t="shared" si="976"/>
        <v>3341.0667863467265</v>
      </c>
      <c r="R418">
        <f t="shared" si="977"/>
        <v>5557649.4963314626</v>
      </c>
      <c r="S418">
        <f t="shared" si="978"/>
        <v>55.576494963314623</v>
      </c>
      <c r="T418">
        <f t="shared" si="979"/>
        <v>5.557649496331462E-2</v>
      </c>
    </row>
    <row r="419" spans="1:20" x14ac:dyDescent="0.25">
      <c r="A419" s="5">
        <v>44174</v>
      </c>
      <c r="B419">
        <v>18324.11</v>
      </c>
      <c r="C419">
        <v>18639.57</v>
      </c>
      <c r="D419">
        <v>17650</v>
      </c>
      <c r="E419">
        <v>18541.28</v>
      </c>
      <c r="F419">
        <v>79585.553801000002</v>
      </c>
      <c r="G419">
        <v>1.19</v>
      </c>
      <c r="L419" t="s">
        <v>7</v>
      </c>
      <c r="M419" t="s">
        <v>8</v>
      </c>
      <c r="N419" t="s">
        <v>8</v>
      </c>
      <c r="P419">
        <f t="shared" si="975"/>
        <v>0.80134806026859973</v>
      </c>
      <c r="Q419">
        <f t="shared" si="976"/>
        <v>63775.729163833632</v>
      </c>
      <c r="R419">
        <f t="shared" si="977"/>
        <v>5554308.4295451157</v>
      </c>
      <c r="S419">
        <f t="shared" si="978"/>
        <v>55.543084295451159</v>
      </c>
      <c r="T419">
        <f t="shared" si="979"/>
        <v>5.5543084295451156E-2</v>
      </c>
    </row>
    <row r="420" spans="1:20" x14ac:dyDescent="0.25">
      <c r="A420" s="5">
        <v>44173</v>
      </c>
      <c r="B420">
        <v>19166.900000000001</v>
      </c>
      <c r="C420">
        <v>19294.84</v>
      </c>
      <c r="D420">
        <v>18200</v>
      </c>
      <c r="E420">
        <v>18324.11</v>
      </c>
      <c r="F420">
        <v>61626.947613999997</v>
      </c>
      <c r="G420">
        <v>-4.4000000000000004</v>
      </c>
      <c r="L420" t="s">
        <v>7</v>
      </c>
      <c r="M420" t="s">
        <v>8</v>
      </c>
      <c r="N420" t="s">
        <v>8</v>
      </c>
      <c r="P420">
        <f t="shared" si="975"/>
        <v>-0.7732819407401984</v>
      </c>
      <c r="Q420">
        <f t="shared" si="976"/>
        <v>-47655.005652848457</v>
      </c>
      <c r="R420">
        <f t="shared" si="977"/>
        <v>5490532.7003812818</v>
      </c>
      <c r="S420">
        <f t="shared" si="978"/>
        <v>54.905327003812815</v>
      </c>
      <c r="T420">
        <f t="shared" si="979"/>
        <v>5.4905327003812815E-2</v>
      </c>
    </row>
    <row r="421" spans="1:20" x14ac:dyDescent="0.25">
      <c r="A421" s="5">
        <v>44172</v>
      </c>
      <c r="B421">
        <v>19358.669999999998</v>
      </c>
      <c r="C421">
        <v>19420.91</v>
      </c>
      <c r="D421">
        <v>18902.88</v>
      </c>
      <c r="E421">
        <v>19166.900000000001</v>
      </c>
      <c r="F421">
        <v>41372.296292999999</v>
      </c>
      <c r="G421">
        <v>-0.99</v>
      </c>
      <c r="L421" t="s">
        <v>8</v>
      </c>
      <c r="M421" t="s">
        <v>8</v>
      </c>
      <c r="N421" t="s">
        <v>8</v>
      </c>
      <c r="P421">
        <f t="shared" si="975"/>
        <v>1.9323205219778893E-2</v>
      </c>
      <c r="Q421">
        <f t="shared" si="976"/>
        <v>799.4453716831365</v>
      </c>
      <c r="R421">
        <f t="shared" si="977"/>
        <v>5538187.7060341304</v>
      </c>
      <c r="S421">
        <f t="shared" si="978"/>
        <v>55.381877060341303</v>
      </c>
      <c r="T421">
        <f t="shared" si="979"/>
        <v>5.5381877060341304E-2</v>
      </c>
    </row>
    <row r="422" spans="1:20" x14ac:dyDescent="0.25">
      <c r="A422" s="5">
        <v>44171</v>
      </c>
      <c r="B422">
        <v>19147.66</v>
      </c>
      <c r="C422">
        <v>19420</v>
      </c>
      <c r="D422">
        <v>18857</v>
      </c>
      <c r="E422">
        <v>19359.400000000001</v>
      </c>
      <c r="F422">
        <v>37043.091861000001</v>
      </c>
      <c r="G422">
        <v>1.1100000000000001</v>
      </c>
      <c r="L422" t="s">
        <v>8</v>
      </c>
      <c r="M422" t="s">
        <v>8</v>
      </c>
      <c r="N422" t="s">
        <v>8</v>
      </c>
      <c r="P422">
        <f t="shared" si="975"/>
        <v>0.78472468916519167</v>
      </c>
      <c r="Q422">
        <f t="shared" si="976"/>
        <v>29068.628746340866</v>
      </c>
      <c r="R422">
        <f t="shared" si="977"/>
        <v>5537388.2606624477</v>
      </c>
      <c r="S422">
        <f t="shared" si="978"/>
        <v>55.373882606624477</v>
      </c>
      <c r="T422">
        <f t="shared" si="979"/>
        <v>5.5373882606624479E-2</v>
      </c>
    </row>
    <row r="423" spans="1:20" x14ac:dyDescent="0.25">
      <c r="A423" s="5">
        <v>44170</v>
      </c>
      <c r="B423">
        <v>18650.509999999998</v>
      </c>
      <c r="C423">
        <v>19177</v>
      </c>
      <c r="D423">
        <v>18500</v>
      </c>
      <c r="E423">
        <v>19147.66</v>
      </c>
      <c r="F423">
        <v>42922.748572999997</v>
      </c>
      <c r="G423">
        <v>2.67</v>
      </c>
      <c r="L423" t="s">
        <v>8</v>
      </c>
      <c r="M423" t="s">
        <v>8</v>
      </c>
      <c r="N423" t="s">
        <v>8</v>
      </c>
      <c r="P423">
        <f t="shared" si="975"/>
        <v>0.91332348596750323</v>
      </c>
      <c r="Q423">
        <f t="shared" si="976"/>
        <v>39202.354353999035</v>
      </c>
      <c r="R423">
        <f t="shared" si="977"/>
        <v>5508319.6319161067</v>
      </c>
      <c r="S423">
        <f t="shared" si="978"/>
        <v>55.083196319161068</v>
      </c>
      <c r="T423">
        <f t="shared" si="979"/>
        <v>5.5083196319161067E-2</v>
      </c>
    </row>
    <row r="424" spans="1:20" x14ac:dyDescent="0.25">
      <c r="A424" s="5">
        <v>44169</v>
      </c>
      <c r="B424">
        <v>19422.34</v>
      </c>
      <c r="C424">
        <v>19527</v>
      </c>
      <c r="D424">
        <v>18565.310000000001</v>
      </c>
      <c r="E424">
        <v>18650.52</v>
      </c>
      <c r="F424">
        <v>71283.6682</v>
      </c>
      <c r="G424">
        <v>-3.97</v>
      </c>
      <c r="L424" t="s">
        <v>8</v>
      </c>
      <c r="M424" t="s">
        <v>8</v>
      </c>
      <c r="N424" t="s">
        <v>8</v>
      </c>
      <c r="P424">
        <f t="shared" si="975"/>
        <v>-0.82279112811821009</v>
      </c>
      <c r="Q424">
        <f t="shared" si="976"/>
        <v>-58651.569774682175</v>
      </c>
      <c r="R424">
        <f t="shared" si="977"/>
        <v>5469117.2775621079</v>
      </c>
      <c r="S424">
        <f t="shared" si="978"/>
        <v>54.691172775621077</v>
      </c>
      <c r="T424">
        <f t="shared" si="979"/>
        <v>5.4691172775621077E-2</v>
      </c>
    </row>
    <row r="425" spans="1:20" x14ac:dyDescent="0.25">
      <c r="A425" s="5">
        <v>44168</v>
      </c>
      <c r="B425">
        <v>19204.080000000002</v>
      </c>
      <c r="C425">
        <v>19598</v>
      </c>
      <c r="D425">
        <v>18867.2</v>
      </c>
      <c r="E425">
        <v>19421.900000000001</v>
      </c>
      <c r="F425">
        <v>66689.391279000003</v>
      </c>
      <c r="G425">
        <v>1.1299999999999999</v>
      </c>
      <c r="L425" t="s">
        <v>8</v>
      </c>
      <c r="M425" t="s">
        <v>8</v>
      </c>
      <c r="N425" t="s">
        <v>8</v>
      </c>
      <c r="P425">
        <f t="shared" si="975"/>
        <v>0.51806239737274573</v>
      </c>
      <c r="Q425">
        <f t="shared" si="976"/>
        <v>34549.265925327825</v>
      </c>
      <c r="R425">
        <f t="shared" si="977"/>
        <v>5527768.8473367905</v>
      </c>
      <c r="S425">
        <f t="shared" si="978"/>
        <v>55.277688473367903</v>
      </c>
      <c r="T425">
        <f t="shared" si="979"/>
        <v>5.5277688473367906E-2</v>
      </c>
    </row>
    <row r="426" spans="1:20" x14ac:dyDescent="0.25">
      <c r="A426" s="5">
        <v>44167</v>
      </c>
      <c r="B426">
        <v>18764.96</v>
      </c>
      <c r="C426">
        <v>19342</v>
      </c>
      <c r="D426">
        <v>18330</v>
      </c>
      <c r="E426">
        <v>19204.09</v>
      </c>
      <c r="F426">
        <v>75911.013477999993</v>
      </c>
      <c r="G426">
        <v>2.34</v>
      </c>
      <c r="L426" t="s">
        <v>8</v>
      </c>
      <c r="M426" t="s">
        <v>8</v>
      </c>
      <c r="N426" t="s">
        <v>8</v>
      </c>
      <c r="P426">
        <f t="shared" si="975"/>
        <v>0.72745059288537584</v>
      </c>
      <c r="Q426">
        <f t="shared" si="976"/>
        <v>55221.511761100854</v>
      </c>
      <c r="R426">
        <f t="shared" si="977"/>
        <v>5493219.5814114623</v>
      </c>
      <c r="S426">
        <f t="shared" si="978"/>
        <v>54.932195814114621</v>
      </c>
      <c r="T426">
        <f t="shared" si="979"/>
        <v>5.4932195814114619E-2</v>
      </c>
    </row>
    <row r="427" spans="1:20" x14ac:dyDescent="0.25">
      <c r="A427" s="5">
        <v>44166</v>
      </c>
      <c r="B427">
        <v>19695.87</v>
      </c>
      <c r="C427">
        <v>19888</v>
      </c>
      <c r="D427">
        <v>18001.12</v>
      </c>
      <c r="E427">
        <v>18764.96</v>
      </c>
      <c r="F427">
        <v>127698.762652</v>
      </c>
      <c r="G427">
        <v>-4.7300000000000004</v>
      </c>
      <c r="L427" t="s">
        <v>7</v>
      </c>
      <c r="M427" t="s">
        <v>8</v>
      </c>
      <c r="N427" t="s">
        <v>8</v>
      </c>
      <c r="P427">
        <f t="shared" si="975"/>
        <v>-0.19036716696345318</v>
      </c>
      <c r="Q427">
        <f t="shared" si="976"/>
        <v>-24309.651670799663</v>
      </c>
      <c r="R427">
        <f t="shared" si="977"/>
        <v>5437998.0696503613</v>
      </c>
      <c r="S427">
        <f t="shared" si="978"/>
        <v>54.379980696503615</v>
      </c>
      <c r="T427">
        <f t="shared" si="979"/>
        <v>5.4379980696503613E-2</v>
      </c>
    </row>
    <row r="428" spans="1:20" x14ac:dyDescent="0.25">
      <c r="A428" s="5">
        <v>44165</v>
      </c>
      <c r="B428">
        <v>18185</v>
      </c>
      <c r="C428">
        <v>19863.16</v>
      </c>
      <c r="D428">
        <v>18184.990000000002</v>
      </c>
      <c r="E428">
        <v>19695.87</v>
      </c>
      <c r="F428">
        <v>115463.466888</v>
      </c>
      <c r="G428">
        <v>8.31</v>
      </c>
      <c r="L428" t="s">
        <v>8</v>
      </c>
      <c r="M428" t="s">
        <v>8</v>
      </c>
      <c r="N428" t="s">
        <v>8</v>
      </c>
      <c r="P428">
        <f t="shared" si="975"/>
        <v>0.80062806509471507</v>
      </c>
      <c r="Q428">
        <f t="shared" si="976"/>
        <v>92443.29208366714</v>
      </c>
      <c r="R428">
        <f t="shared" si="977"/>
        <v>5462307.7213211609</v>
      </c>
      <c r="S428">
        <f t="shared" si="978"/>
        <v>54.623077213211609</v>
      </c>
      <c r="T428">
        <f t="shared" si="979"/>
        <v>5.4623077213211607E-2</v>
      </c>
    </row>
    <row r="429" spans="1:20" x14ac:dyDescent="0.25">
      <c r="A429" s="5">
        <v>44164</v>
      </c>
      <c r="B429">
        <v>17719.84</v>
      </c>
      <c r="C429">
        <v>18360.05</v>
      </c>
      <c r="D429">
        <v>17517</v>
      </c>
      <c r="E429">
        <v>18184.990000000002</v>
      </c>
      <c r="F429">
        <v>55329.016302999997</v>
      </c>
      <c r="G429">
        <v>2.63</v>
      </c>
      <c r="L429" t="s">
        <v>8</v>
      </c>
      <c r="M429" t="s">
        <v>7</v>
      </c>
      <c r="N429" t="s">
        <v>8</v>
      </c>
      <c r="P429">
        <f t="shared" si="975"/>
        <v>0.58469841646403453</v>
      </c>
      <c r="Q429">
        <f t="shared" si="976"/>
        <v>32350.788216876848</v>
      </c>
      <c r="R429">
        <f t="shared" si="977"/>
        <v>5369864.4292374933</v>
      </c>
      <c r="S429">
        <f t="shared" si="978"/>
        <v>53.698644292374937</v>
      </c>
      <c r="T429">
        <f t="shared" si="979"/>
        <v>5.3698644292374934E-2</v>
      </c>
    </row>
    <row r="430" spans="1:20" x14ac:dyDescent="0.25">
      <c r="A430" s="5">
        <v>44163</v>
      </c>
      <c r="B430">
        <v>17139.53</v>
      </c>
      <c r="C430">
        <v>17880.490000000002</v>
      </c>
      <c r="D430">
        <v>16865.560000000001</v>
      </c>
      <c r="E430">
        <v>17719.849999999999</v>
      </c>
      <c r="F430">
        <v>64910.699970000001</v>
      </c>
      <c r="G430">
        <v>3.39</v>
      </c>
      <c r="L430" t="s">
        <v>8</v>
      </c>
      <c r="M430" t="s">
        <v>7</v>
      </c>
      <c r="N430" t="s">
        <v>8</v>
      </c>
      <c r="P430">
        <f t="shared" si="975"/>
        <v>0.68344614899549128</v>
      </c>
      <c r="Q430">
        <f t="shared" si="976"/>
        <v>44362.967923098251</v>
      </c>
      <c r="R430">
        <f t="shared" si="977"/>
        <v>5337513.6410206165</v>
      </c>
      <c r="S430">
        <f t="shared" si="978"/>
        <v>53.375136410206167</v>
      </c>
      <c r="T430">
        <f t="shared" si="979"/>
        <v>5.3375136410206164E-2</v>
      </c>
    </row>
    <row r="431" spans="1:20" x14ac:dyDescent="0.25">
      <c r="A431" s="5">
        <v>44162</v>
      </c>
      <c r="B431">
        <v>17149.47</v>
      </c>
      <c r="C431">
        <v>17457.62</v>
      </c>
      <c r="D431">
        <v>16438.080000000002</v>
      </c>
      <c r="E431">
        <v>17139.52</v>
      </c>
      <c r="F431">
        <v>85297.024787000002</v>
      </c>
      <c r="G431">
        <v>-0.06</v>
      </c>
      <c r="L431" t="s">
        <v>8</v>
      </c>
      <c r="M431" t="s">
        <v>7</v>
      </c>
      <c r="N431" t="s">
        <v>8</v>
      </c>
      <c r="P431">
        <f t="shared" si="975"/>
        <v>0.37599309492516347</v>
      </c>
      <c r="Q431">
        <f t="shared" si="976"/>
        <v>32071.092337572514</v>
      </c>
      <c r="R431">
        <f t="shared" si="977"/>
        <v>5293150.6730975183</v>
      </c>
      <c r="S431">
        <f t="shared" si="978"/>
        <v>52.93150673097518</v>
      </c>
      <c r="T431">
        <f t="shared" si="979"/>
        <v>5.2931506730975179E-2</v>
      </c>
    </row>
    <row r="432" spans="1:20" x14ac:dyDescent="0.25">
      <c r="A432" s="5">
        <v>44161</v>
      </c>
      <c r="B432">
        <v>18718.830000000002</v>
      </c>
      <c r="C432">
        <v>18915.03</v>
      </c>
      <c r="D432">
        <v>16188</v>
      </c>
      <c r="E432">
        <v>17149.47</v>
      </c>
      <c r="F432">
        <v>181005.24669299999</v>
      </c>
      <c r="G432">
        <v>-8.3800000000000008</v>
      </c>
      <c r="L432" t="s">
        <v>7</v>
      </c>
      <c r="M432" t="s">
        <v>7</v>
      </c>
      <c r="N432" t="s">
        <v>8</v>
      </c>
      <c r="P432">
        <f t="shared" si="975"/>
        <v>-0.29485924247257889</v>
      </c>
      <c r="Q432">
        <f t="shared" si="976"/>
        <v>-53371.069923460243</v>
      </c>
      <c r="R432">
        <f t="shared" si="977"/>
        <v>5261079.5807599453</v>
      </c>
      <c r="S432">
        <f t="shared" si="978"/>
        <v>52.610795807599452</v>
      </c>
      <c r="T432">
        <f t="shared" si="979"/>
        <v>5.2610795807599454E-2</v>
      </c>
    </row>
    <row r="433" spans="1:20" x14ac:dyDescent="0.25">
      <c r="A433" s="5">
        <v>44160</v>
      </c>
      <c r="B433">
        <v>19160</v>
      </c>
      <c r="C433">
        <v>19484.21</v>
      </c>
      <c r="D433">
        <v>18500.27</v>
      </c>
      <c r="E433">
        <v>18719.11</v>
      </c>
      <c r="F433">
        <v>93266.576887000003</v>
      </c>
      <c r="G433">
        <v>-2.2999999999999998</v>
      </c>
      <c r="L433" t="s">
        <v>8</v>
      </c>
      <c r="M433" t="s">
        <v>8</v>
      </c>
      <c r="N433" t="s">
        <v>8</v>
      </c>
      <c r="P433">
        <f t="shared" si="975"/>
        <v>-0.55517612862572829</v>
      </c>
      <c r="Q433">
        <f t="shared" si="976"/>
        <v>-51779.377086298489</v>
      </c>
      <c r="R433">
        <f t="shared" si="977"/>
        <v>5314450.6506834058</v>
      </c>
      <c r="S433">
        <f t="shared" si="978"/>
        <v>53.144506506834055</v>
      </c>
      <c r="T433">
        <f t="shared" si="979"/>
        <v>5.3144506506834055E-2</v>
      </c>
    </row>
    <row r="434" spans="1:20" x14ac:dyDescent="0.25">
      <c r="A434" s="5">
        <v>44159</v>
      </c>
      <c r="B434">
        <v>18368.009999999998</v>
      </c>
      <c r="C434">
        <v>19418.97</v>
      </c>
      <c r="D434">
        <v>18018</v>
      </c>
      <c r="E434">
        <v>19160.009999999998</v>
      </c>
      <c r="F434">
        <v>113581.50924100001</v>
      </c>
      <c r="G434">
        <v>4.3099999999999996</v>
      </c>
      <c r="L434" t="s">
        <v>8</v>
      </c>
      <c r="M434" t="s">
        <v>8</v>
      </c>
      <c r="N434" t="s">
        <v>8</v>
      </c>
      <c r="P434">
        <f t="shared" si="975"/>
        <v>0.63031328293967392</v>
      </c>
      <c r="Q434">
        <f t="shared" si="976"/>
        <v>71591.933970937622</v>
      </c>
      <c r="R434">
        <f t="shared" si="977"/>
        <v>5366230.0277697043</v>
      </c>
      <c r="S434">
        <f t="shared" si="978"/>
        <v>53.662300277697042</v>
      </c>
      <c r="T434">
        <f t="shared" si="979"/>
        <v>5.3662300277697042E-2</v>
      </c>
    </row>
    <row r="435" spans="1:20" x14ac:dyDescent="0.25">
      <c r="A435" s="5">
        <v>44158</v>
      </c>
      <c r="B435">
        <v>18413.88</v>
      </c>
      <c r="C435">
        <v>18766</v>
      </c>
      <c r="D435">
        <v>18000</v>
      </c>
      <c r="E435">
        <v>18368</v>
      </c>
      <c r="F435">
        <v>82961.506093000004</v>
      </c>
      <c r="G435">
        <v>-0.25</v>
      </c>
      <c r="L435" t="s">
        <v>7</v>
      </c>
      <c r="M435" t="s">
        <v>8</v>
      </c>
      <c r="N435" t="s">
        <v>8</v>
      </c>
      <c r="P435">
        <f t="shared" si="975"/>
        <v>-3.91644908616188E-2</v>
      </c>
      <c r="Q435">
        <f t="shared" si="976"/>
        <v>-3249.145147245431</v>
      </c>
      <c r="R435">
        <f t="shared" si="977"/>
        <v>5294638.0937987668</v>
      </c>
      <c r="S435">
        <f t="shared" si="978"/>
        <v>52.946380937987669</v>
      </c>
      <c r="T435">
        <f t="shared" si="979"/>
        <v>5.2946380937987668E-2</v>
      </c>
    </row>
    <row r="436" spans="1:20" x14ac:dyDescent="0.25">
      <c r="A436" s="5">
        <v>44157</v>
      </c>
      <c r="B436">
        <v>18703.8</v>
      </c>
      <c r="C436">
        <v>18750</v>
      </c>
      <c r="D436">
        <v>17610.86</v>
      </c>
      <c r="E436">
        <v>18414.43</v>
      </c>
      <c r="F436">
        <v>81645.737777999995</v>
      </c>
      <c r="G436">
        <v>-1.55</v>
      </c>
      <c r="L436" t="s">
        <v>7</v>
      </c>
      <c r="M436" t="s">
        <v>8</v>
      </c>
      <c r="N436" t="s">
        <v>8</v>
      </c>
      <c r="P436">
        <f t="shared" si="975"/>
        <v>0.41083624488649351</v>
      </c>
      <c r="Q436">
        <f t="shared" si="976"/>
        <v>33543.028319700839</v>
      </c>
      <c r="R436">
        <f t="shared" si="977"/>
        <v>5297887.2389460122</v>
      </c>
      <c r="S436">
        <f t="shared" si="978"/>
        <v>52.978872389460122</v>
      </c>
      <c r="T436">
        <f t="shared" si="979"/>
        <v>5.297887238946012E-2</v>
      </c>
    </row>
    <row r="437" spans="1:20" x14ac:dyDescent="0.25">
      <c r="A437" s="5">
        <v>44156</v>
      </c>
      <c r="B437">
        <v>18655.66</v>
      </c>
      <c r="C437">
        <v>18965.900000000001</v>
      </c>
      <c r="D437">
        <v>18308.580000000002</v>
      </c>
      <c r="E437">
        <v>18703.8</v>
      </c>
      <c r="F437">
        <v>75577.458394000001</v>
      </c>
      <c r="G437">
        <v>0.26</v>
      </c>
      <c r="L437" t="s">
        <v>8</v>
      </c>
      <c r="M437" t="s">
        <v>8</v>
      </c>
      <c r="N437" t="s">
        <v>8</v>
      </c>
      <c r="P437">
        <f t="shared" si="975"/>
        <v>0.20251932087871266</v>
      </c>
      <c r="Q437">
        <f t="shared" si="976"/>
        <v>15305.895547692042</v>
      </c>
      <c r="R437">
        <f t="shared" si="977"/>
        <v>5264344.2106263116</v>
      </c>
      <c r="S437">
        <f t="shared" si="978"/>
        <v>52.643442106263116</v>
      </c>
      <c r="T437">
        <f t="shared" si="979"/>
        <v>5.2643442106263115E-2</v>
      </c>
    </row>
    <row r="438" spans="1:20" x14ac:dyDescent="0.25">
      <c r="A438" s="5">
        <v>44155</v>
      </c>
      <c r="B438">
        <v>17802.810000000001</v>
      </c>
      <c r="C438">
        <v>18815.22</v>
      </c>
      <c r="D438">
        <v>17740.04</v>
      </c>
      <c r="E438">
        <v>18655.669999999998</v>
      </c>
      <c r="F438">
        <v>88423.018488999995</v>
      </c>
      <c r="G438">
        <v>4.79</v>
      </c>
      <c r="L438" t="s">
        <v>8</v>
      </c>
      <c r="M438" t="s">
        <v>8</v>
      </c>
      <c r="N438" t="s">
        <v>8</v>
      </c>
      <c r="P438">
        <f t="shared" si="975"/>
        <v>0.70321248535128467</v>
      </c>
      <c r="Q438">
        <f t="shared" si="976"/>
        <v>62180.170593912284</v>
      </c>
      <c r="R438">
        <f t="shared" si="977"/>
        <v>5249038.3150786199</v>
      </c>
      <c r="S438">
        <f t="shared" si="978"/>
        <v>52.490383150786201</v>
      </c>
      <c r="T438">
        <f t="shared" si="979"/>
        <v>5.2490383150786198E-2</v>
      </c>
    </row>
    <row r="439" spans="1:20" x14ac:dyDescent="0.25">
      <c r="A439" s="5">
        <v>44154</v>
      </c>
      <c r="B439">
        <v>17777.75</v>
      </c>
      <c r="C439">
        <v>18179.8</v>
      </c>
      <c r="D439">
        <v>17335.650000000001</v>
      </c>
      <c r="E439">
        <v>17802.82</v>
      </c>
      <c r="F439">
        <v>93009.561008000004</v>
      </c>
      <c r="G439">
        <v>0.14000000000000001</v>
      </c>
      <c r="L439" t="s">
        <v>7</v>
      </c>
      <c r="M439" t="s">
        <v>8</v>
      </c>
      <c r="N439" t="s">
        <v>8</v>
      </c>
      <c r="P439">
        <f t="shared" si="975"/>
        <v>0.10684120120831478</v>
      </c>
      <c r="Q439">
        <f t="shared" si="976"/>
        <v>9937.2532219527566</v>
      </c>
      <c r="R439">
        <f t="shared" si="977"/>
        <v>5186858.1444847072</v>
      </c>
      <c r="S439">
        <f t="shared" si="978"/>
        <v>51.868581444847074</v>
      </c>
      <c r="T439">
        <f t="shared" si="979"/>
        <v>5.1868581444847073E-2</v>
      </c>
    </row>
    <row r="440" spans="1:20" x14ac:dyDescent="0.25">
      <c r="A440" s="5">
        <v>44153</v>
      </c>
      <c r="B440">
        <v>17659.38</v>
      </c>
      <c r="C440">
        <v>18476.93</v>
      </c>
      <c r="D440">
        <v>17214.45</v>
      </c>
      <c r="E440">
        <v>17776.12</v>
      </c>
      <c r="F440">
        <v>149019.788134</v>
      </c>
      <c r="G440">
        <v>0.66</v>
      </c>
      <c r="L440" t="s">
        <v>8</v>
      </c>
      <c r="M440" t="s">
        <v>8</v>
      </c>
      <c r="N440" t="s">
        <v>8</v>
      </c>
      <c r="P440">
        <f t="shared" si="975"/>
        <v>-0.11021164691718134</v>
      </c>
      <c r="Q440">
        <f t="shared" si="976"/>
        <v>-16423.716273497579</v>
      </c>
      <c r="R440">
        <f t="shared" si="977"/>
        <v>5176920.8912627548</v>
      </c>
      <c r="S440">
        <f t="shared" si="978"/>
        <v>51.769208912627548</v>
      </c>
      <c r="T440">
        <f t="shared" si="979"/>
        <v>5.1769208912627547E-2</v>
      </c>
    </row>
    <row r="441" spans="1:20" x14ac:dyDescent="0.25">
      <c r="A441" s="5">
        <v>44152</v>
      </c>
      <c r="B441">
        <v>16713.080000000002</v>
      </c>
      <c r="C441">
        <v>17858.82</v>
      </c>
      <c r="D441">
        <v>16538</v>
      </c>
      <c r="E441">
        <v>17659.38</v>
      </c>
      <c r="F441">
        <v>115221.403102</v>
      </c>
      <c r="G441">
        <v>5.66</v>
      </c>
      <c r="L441" t="s">
        <v>8</v>
      </c>
      <c r="M441" t="s">
        <v>8</v>
      </c>
      <c r="N441" t="s">
        <v>8</v>
      </c>
      <c r="P441">
        <f t="shared" si="975"/>
        <v>0.69800578428552151</v>
      </c>
      <c r="Q441">
        <f t="shared" si="976"/>
        <v>80425.205838689726</v>
      </c>
      <c r="R441">
        <f t="shared" si="977"/>
        <v>5193344.6075362526</v>
      </c>
      <c r="S441">
        <f t="shared" si="978"/>
        <v>51.933446075362525</v>
      </c>
      <c r="T441">
        <f t="shared" si="979"/>
        <v>5.1933446075362523E-2</v>
      </c>
    </row>
    <row r="442" spans="1:20" x14ac:dyDescent="0.25">
      <c r="A442" s="5">
        <v>44151</v>
      </c>
      <c r="B442">
        <v>15957</v>
      </c>
      <c r="C442">
        <v>16880</v>
      </c>
      <c r="D442">
        <v>15864</v>
      </c>
      <c r="E442">
        <v>16713.57</v>
      </c>
      <c r="F442">
        <v>81300.675923999996</v>
      </c>
      <c r="G442">
        <v>4.74</v>
      </c>
      <c r="L442" t="s">
        <v>8</v>
      </c>
      <c r="M442" t="s">
        <v>8</v>
      </c>
      <c r="N442" t="s">
        <v>8</v>
      </c>
      <c r="P442">
        <f t="shared" si="975"/>
        <v>0.67238188976377899</v>
      </c>
      <c r="Q442">
        <f t="shared" si="976"/>
        <v>54665.102116851689</v>
      </c>
      <c r="R442">
        <f t="shared" si="977"/>
        <v>5112919.401697563</v>
      </c>
      <c r="S442">
        <f t="shared" si="978"/>
        <v>51.129194016975632</v>
      </c>
      <c r="T442">
        <f t="shared" si="979"/>
        <v>5.1129194016975632E-2</v>
      </c>
    </row>
    <row r="443" spans="1:20" x14ac:dyDescent="0.25">
      <c r="A443" s="5">
        <v>44150</v>
      </c>
      <c r="B443">
        <v>16069.56</v>
      </c>
      <c r="C443">
        <v>16180</v>
      </c>
      <c r="D443">
        <v>15774.72</v>
      </c>
      <c r="E443">
        <v>15957</v>
      </c>
      <c r="F443">
        <v>43596.841512999999</v>
      </c>
      <c r="G443">
        <v>-0.7</v>
      </c>
      <c r="L443" t="s">
        <v>8</v>
      </c>
      <c r="M443" t="s">
        <v>8</v>
      </c>
      <c r="N443" t="s">
        <v>8</v>
      </c>
      <c r="P443">
        <f t="shared" si="975"/>
        <v>-0.10047374654559632</v>
      </c>
      <c r="Q443">
        <f t="shared" si="976"/>
        <v>-4380.3380043656944</v>
      </c>
      <c r="R443">
        <f t="shared" si="977"/>
        <v>5058254.2995807109</v>
      </c>
      <c r="S443">
        <f t="shared" si="978"/>
        <v>50.58254299580711</v>
      </c>
      <c r="T443">
        <f t="shared" si="979"/>
        <v>5.0582542995807112E-2</v>
      </c>
    </row>
    <row r="444" spans="1:20" x14ac:dyDescent="0.25">
      <c r="A444" s="5">
        <v>44149</v>
      </c>
      <c r="B444">
        <v>16320.04</v>
      </c>
      <c r="C444">
        <v>16326.99</v>
      </c>
      <c r="D444">
        <v>15670</v>
      </c>
      <c r="E444">
        <v>16070.45</v>
      </c>
      <c r="F444">
        <v>59116.347178999997</v>
      </c>
      <c r="G444">
        <v>-1.53</v>
      </c>
      <c r="L444" t="s">
        <v>8</v>
      </c>
      <c r="M444" t="s">
        <v>8</v>
      </c>
      <c r="N444" t="s">
        <v>8</v>
      </c>
      <c r="P444">
        <f t="shared" si="975"/>
        <v>0.21904442990000109</v>
      </c>
      <c r="Q444">
        <f t="shared" si="976"/>
        <v>12949.106565594591</v>
      </c>
      <c r="R444">
        <f t="shared" si="977"/>
        <v>5062634.6375850765</v>
      </c>
      <c r="S444">
        <f t="shared" si="978"/>
        <v>50.626346375850765</v>
      </c>
      <c r="T444">
        <f t="shared" si="979"/>
        <v>5.0626346375850763E-2</v>
      </c>
    </row>
    <row r="445" spans="1:20" x14ac:dyDescent="0.25">
      <c r="A445" s="5">
        <v>44148</v>
      </c>
      <c r="B445">
        <v>16291.85</v>
      </c>
      <c r="C445">
        <v>16480</v>
      </c>
      <c r="D445">
        <v>15952.35</v>
      </c>
      <c r="E445">
        <v>16320.7</v>
      </c>
      <c r="F445">
        <v>75691.881013999999</v>
      </c>
      <c r="G445">
        <v>0.18</v>
      </c>
      <c r="L445" t="s">
        <v>8</v>
      </c>
      <c r="M445" t="s">
        <v>8</v>
      </c>
      <c r="N445" t="s">
        <v>8</v>
      </c>
      <c r="P445">
        <f t="shared" si="975"/>
        <v>0.39619065668530512</v>
      </c>
      <c r="Q445">
        <f t="shared" si="976"/>
        <v>29988.416044682639</v>
      </c>
      <c r="R445">
        <f t="shared" si="977"/>
        <v>5049685.5310194818</v>
      </c>
      <c r="S445">
        <f t="shared" si="978"/>
        <v>50.496855310194817</v>
      </c>
      <c r="T445">
        <f t="shared" si="979"/>
        <v>5.0496855310194814E-2</v>
      </c>
    </row>
    <row r="446" spans="1:20" x14ac:dyDescent="0.25">
      <c r="A446" s="5">
        <v>44147</v>
      </c>
      <c r="B446">
        <v>15684.25</v>
      </c>
      <c r="C446">
        <v>16340.7</v>
      </c>
      <c r="D446">
        <v>15440.64</v>
      </c>
      <c r="E446">
        <v>16291.86</v>
      </c>
      <c r="F446">
        <v>102196.356592</v>
      </c>
      <c r="G446">
        <v>3.87</v>
      </c>
      <c r="L446" t="s">
        <v>8</v>
      </c>
      <c r="M446" t="s">
        <v>8</v>
      </c>
      <c r="N446" t="s">
        <v>8</v>
      </c>
      <c r="P446">
        <f t="shared" si="975"/>
        <v>0.89147390173988383</v>
      </c>
      <c r="Q446">
        <f t="shared" si="976"/>
        <v>91105.38475467074</v>
      </c>
      <c r="R446">
        <f t="shared" si="977"/>
        <v>5019697.1149747996</v>
      </c>
      <c r="S446">
        <f t="shared" si="978"/>
        <v>50.196971149747995</v>
      </c>
      <c r="T446">
        <f t="shared" si="979"/>
        <v>5.0196971149747992E-2</v>
      </c>
    </row>
    <row r="447" spans="1:20" x14ac:dyDescent="0.25">
      <c r="A447" s="5">
        <v>44146</v>
      </c>
      <c r="B447">
        <v>15297.21</v>
      </c>
      <c r="C447">
        <v>15965</v>
      </c>
      <c r="D447">
        <v>15272.68</v>
      </c>
      <c r="E447">
        <v>15684.24</v>
      </c>
      <c r="F447">
        <v>78469.746457999994</v>
      </c>
      <c r="G447">
        <v>2.5299999999999998</v>
      </c>
      <c r="L447" t="s">
        <v>8</v>
      </c>
      <c r="M447" t="s">
        <v>8</v>
      </c>
      <c r="N447" t="s">
        <v>8</v>
      </c>
      <c r="P447">
        <f t="shared" si="975"/>
        <v>0.18892997457822874</v>
      </c>
      <c r="Q447">
        <f t="shared" si="976"/>
        <v>14825.287203469994</v>
      </c>
      <c r="R447">
        <f t="shared" si="977"/>
        <v>4928591.7302201288</v>
      </c>
      <c r="S447">
        <f t="shared" si="978"/>
        <v>49.285917302201291</v>
      </c>
      <c r="T447">
        <f t="shared" si="979"/>
        <v>4.928591730220129E-2</v>
      </c>
    </row>
    <row r="448" spans="1:20" x14ac:dyDescent="0.25">
      <c r="A448" s="5">
        <v>44145</v>
      </c>
      <c r="B448">
        <v>15328.41</v>
      </c>
      <c r="C448">
        <v>15460</v>
      </c>
      <c r="D448">
        <v>15072.46</v>
      </c>
      <c r="E448">
        <v>15297.21</v>
      </c>
      <c r="F448">
        <v>61681.919606000003</v>
      </c>
      <c r="G448">
        <v>-0.2</v>
      </c>
      <c r="L448" t="s">
        <v>8</v>
      </c>
      <c r="M448" t="s">
        <v>8</v>
      </c>
      <c r="N448" t="s">
        <v>8</v>
      </c>
      <c r="P448">
        <f t="shared" si="975"/>
        <v>0.1598802704236956</v>
      </c>
      <c r="Q448">
        <f t="shared" si="976"/>
        <v>9861.7219868599313</v>
      </c>
      <c r="R448">
        <f t="shared" si="977"/>
        <v>4913766.4430166585</v>
      </c>
      <c r="S448">
        <f t="shared" si="978"/>
        <v>49.137664430166588</v>
      </c>
      <c r="T448">
        <f t="shared" si="979"/>
        <v>4.9137664430166587E-2</v>
      </c>
    </row>
    <row r="449" spans="1:20" x14ac:dyDescent="0.25">
      <c r="A449" s="5">
        <v>44144</v>
      </c>
      <c r="B449">
        <v>15475.1</v>
      </c>
      <c r="C449">
        <v>15840</v>
      </c>
      <c r="D449">
        <v>14805.54</v>
      </c>
      <c r="E449">
        <v>15328.41</v>
      </c>
      <c r="F449">
        <v>108976.334134</v>
      </c>
      <c r="G449">
        <v>-0.95</v>
      </c>
      <c r="L449" t="s">
        <v>8</v>
      </c>
      <c r="M449" t="s">
        <v>8</v>
      </c>
      <c r="N449" t="s">
        <v>8</v>
      </c>
      <c r="P449">
        <f t="shared" si="975"/>
        <v>1.0904239893276536E-2</v>
      </c>
      <c r="Q449">
        <f t="shared" si="976"/>
        <v>1188.3040900869962</v>
      </c>
      <c r="R449">
        <f t="shared" si="977"/>
        <v>4903904.7210297985</v>
      </c>
      <c r="S449">
        <f t="shared" si="978"/>
        <v>49.039047210297987</v>
      </c>
      <c r="T449">
        <f t="shared" si="979"/>
        <v>4.903904721029799E-2</v>
      </c>
    </row>
    <row r="450" spans="1:20" x14ac:dyDescent="0.25">
      <c r="A450" s="5">
        <v>44143</v>
      </c>
      <c r="B450">
        <v>14818.3</v>
      </c>
      <c r="C450">
        <v>15650</v>
      </c>
      <c r="D450">
        <v>14703.88</v>
      </c>
      <c r="E450">
        <v>15475.1</v>
      </c>
      <c r="F450">
        <v>65547.178574000005</v>
      </c>
      <c r="G450">
        <v>4.43</v>
      </c>
      <c r="L450" t="s">
        <v>8</v>
      </c>
      <c r="M450" t="s">
        <v>8</v>
      </c>
      <c r="N450" t="s">
        <v>8</v>
      </c>
      <c r="P450">
        <f t="shared" si="975"/>
        <v>0.63027945715131384</v>
      </c>
      <c r="Q450">
        <f t="shared" si="976"/>
        <v>41313.040129420951</v>
      </c>
      <c r="R450">
        <f t="shared" si="977"/>
        <v>4902716.4169397112</v>
      </c>
      <c r="S450">
        <f t="shared" si="978"/>
        <v>49.027164169397111</v>
      </c>
      <c r="T450">
        <f t="shared" si="979"/>
        <v>4.9027164169397112E-2</v>
      </c>
    </row>
    <row r="451" spans="1:20" x14ac:dyDescent="0.25">
      <c r="A451" s="5">
        <v>44142</v>
      </c>
      <c r="B451">
        <v>15579.93</v>
      </c>
      <c r="C451">
        <v>15753.52</v>
      </c>
      <c r="D451">
        <v>14344.22</v>
      </c>
      <c r="E451">
        <v>14818.3</v>
      </c>
      <c r="F451">
        <v>101431.206553</v>
      </c>
      <c r="G451">
        <v>-4.8899999999999997</v>
      </c>
      <c r="L451" t="s">
        <v>7</v>
      </c>
      <c r="M451" t="s">
        <v>8</v>
      </c>
      <c r="N451" t="s">
        <v>8</v>
      </c>
      <c r="P451">
        <f t="shared" si="975"/>
        <v>-0.32721209110906185</v>
      </c>
      <c r="Q451">
        <f t="shared" si="976"/>
        <v>-33189.517199922309</v>
      </c>
      <c r="R451">
        <f t="shared" si="977"/>
        <v>4861403.3768102899</v>
      </c>
      <c r="S451">
        <f t="shared" si="978"/>
        <v>48.6140337681029</v>
      </c>
      <c r="T451">
        <f t="shared" si="979"/>
        <v>4.8614033768102902E-2</v>
      </c>
    </row>
    <row r="452" spans="1:20" x14ac:dyDescent="0.25">
      <c r="A452" s="5">
        <v>44141</v>
      </c>
      <c r="B452">
        <v>15590.02</v>
      </c>
      <c r="C452">
        <v>15960</v>
      </c>
      <c r="D452">
        <v>15166</v>
      </c>
      <c r="E452">
        <v>15579.92</v>
      </c>
      <c r="F452">
        <v>122618.197695</v>
      </c>
      <c r="G452">
        <v>-0.06</v>
      </c>
      <c r="L452" t="s">
        <v>8</v>
      </c>
      <c r="M452" t="s">
        <v>8</v>
      </c>
      <c r="N452" t="s">
        <v>8</v>
      </c>
      <c r="P452">
        <f t="shared" si="975"/>
        <v>4.2619647355163909E-2</v>
      </c>
      <c r="Q452">
        <f t="shared" si="976"/>
        <v>5225.944345086672</v>
      </c>
      <c r="R452">
        <f t="shared" si="977"/>
        <v>4894592.8940102123</v>
      </c>
      <c r="S452">
        <f t="shared" si="978"/>
        <v>48.945928940102121</v>
      </c>
      <c r="T452">
        <f t="shared" si="979"/>
        <v>4.8945928940102121E-2</v>
      </c>
    </row>
    <row r="453" spans="1:20" x14ac:dyDescent="0.25">
      <c r="A453" s="5">
        <v>44140</v>
      </c>
      <c r="B453">
        <v>14144.01</v>
      </c>
      <c r="C453">
        <v>15750</v>
      </c>
      <c r="D453">
        <v>14093.56</v>
      </c>
      <c r="E453">
        <v>15590.02</v>
      </c>
      <c r="F453">
        <v>143741.522673</v>
      </c>
      <c r="G453">
        <v>10.220000000000001</v>
      </c>
      <c r="L453" t="s">
        <v>8</v>
      </c>
      <c r="M453" t="s">
        <v>8</v>
      </c>
      <c r="N453" t="s">
        <v>8</v>
      </c>
      <c r="P453">
        <f t="shared" si="975"/>
        <v>0.80683876264760634</v>
      </c>
      <c r="Q453">
        <f t="shared" si="976"/>
        <v>115976.23229456617</v>
      </c>
      <c r="R453">
        <f t="shared" si="977"/>
        <v>4889366.9496651255</v>
      </c>
      <c r="S453">
        <f t="shared" si="978"/>
        <v>48.893669496651256</v>
      </c>
      <c r="T453">
        <f t="shared" si="979"/>
        <v>4.8893669496651256E-2</v>
      </c>
    </row>
    <row r="454" spans="1:20" x14ac:dyDescent="0.25">
      <c r="A454" s="5">
        <v>44139</v>
      </c>
      <c r="B454">
        <v>14023.53</v>
      </c>
      <c r="C454">
        <v>14259</v>
      </c>
      <c r="D454">
        <v>13525</v>
      </c>
      <c r="E454">
        <v>14144.01</v>
      </c>
      <c r="F454">
        <v>93016.988261999999</v>
      </c>
      <c r="G454">
        <v>0.86</v>
      </c>
      <c r="L454" t="s">
        <v>8</v>
      </c>
      <c r="M454" t="s">
        <v>8</v>
      </c>
      <c r="N454" t="s">
        <v>8</v>
      </c>
      <c r="P454">
        <f t="shared" ref="P454:P517" si="980">IF(C454=D454,0,((E454-D454)-(C454-E454))/(C454-D454))</f>
        <v>0.68667574931880171</v>
      </c>
      <c r="Q454">
        <f t="shared" ref="Q454:Q517" si="981">F454*P454</f>
        <v>63872.510114187033</v>
      </c>
      <c r="R454">
        <f t="shared" ref="R454:R517" si="982">R455+Q454</f>
        <v>4773390.7173705595</v>
      </c>
      <c r="S454">
        <f t="shared" ref="S454:S517" si="983">R454/100000</f>
        <v>47.733907173705596</v>
      </c>
      <c r="T454">
        <f t="shared" ref="T454:T517" si="984">S454/1000</f>
        <v>4.7733907173705598E-2</v>
      </c>
    </row>
    <row r="455" spans="1:20" x14ac:dyDescent="0.25">
      <c r="A455" s="5">
        <v>44138</v>
      </c>
      <c r="B455">
        <v>13549.63</v>
      </c>
      <c r="C455">
        <v>14066.11</v>
      </c>
      <c r="D455">
        <v>13284.99</v>
      </c>
      <c r="E455">
        <v>14023.53</v>
      </c>
      <c r="F455">
        <v>74115.630787000002</v>
      </c>
      <c r="G455">
        <v>3.5</v>
      </c>
      <c r="L455" t="s">
        <v>8</v>
      </c>
      <c r="M455" t="s">
        <v>8</v>
      </c>
      <c r="N455" t="s">
        <v>8</v>
      </c>
      <c r="P455">
        <f t="shared" si="980"/>
        <v>0.89097705858254839</v>
      </c>
      <c r="Q455">
        <f t="shared" si="981"/>
        <v>66035.326713591421</v>
      </c>
      <c r="R455">
        <f t="shared" si="982"/>
        <v>4709518.2072563721</v>
      </c>
      <c r="S455">
        <f t="shared" si="983"/>
        <v>47.095182072563723</v>
      </c>
      <c r="T455">
        <f t="shared" si="984"/>
        <v>4.7095182072563725E-2</v>
      </c>
    </row>
    <row r="456" spans="1:20" x14ac:dyDescent="0.25">
      <c r="A456" s="5">
        <v>44137</v>
      </c>
      <c r="B456">
        <v>13761.49</v>
      </c>
      <c r="C456">
        <v>13830</v>
      </c>
      <c r="D456">
        <v>13195.05</v>
      </c>
      <c r="E456">
        <v>13549.37</v>
      </c>
      <c r="F456">
        <v>64566.421907999997</v>
      </c>
      <c r="G456">
        <v>-1.54</v>
      </c>
      <c r="L456" t="s">
        <v>8</v>
      </c>
      <c r="M456" t="s">
        <v>8</v>
      </c>
      <c r="N456" t="s">
        <v>8</v>
      </c>
      <c r="P456">
        <f t="shared" si="980"/>
        <v>0.11605638239231789</v>
      </c>
      <c r="Q456">
        <f t="shared" si="981"/>
        <v>7493.3453506585784</v>
      </c>
      <c r="R456">
        <f t="shared" si="982"/>
        <v>4643482.8805427803</v>
      </c>
      <c r="S456">
        <f t="shared" si="983"/>
        <v>46.434828805427806</v>
      </c>
      <c r="T456">
        <f t="shared" si="984"/>
        <v>4.6434828805427805E-2</v>
      </c>
    </row>
    <row r="457" spans="1:20" x14ac:dyDescent="0.25">
      <c r="A457" s="5">
        <v>44136</v>
      </c>
      <c r="B457">
        <v>13791</v>
      </c>
      <c r="C457">
        <v>13895</v>
      </c>
      <c r="D457">
        <v>13603</v>
      </c>
      <c r="E457">
        <v>13761.5</v>
      </c>
      <c r="F457">
        <v>36285.648525999997</v>
      </c>
      <c r="G457">
        <v>-0.21</v>
      </c>
      <c r="L457" t="s">
        <v>8</v>
      </c>
      <c r="M457" t="s">
        <v>8</v>
      </c>
      <c r="N457" t="s">
        <v>8</v>
      </c>
      <c r="P457">
        <f t="shared" si="980"/>
        <v>8.5616438356164379E-2</v>
      </c>
      <c r="Q457">
        <f t="shared" si="981"/>
        <v>3106.6479902397255</v>
      </c>
      <c r="R457">
        <f t="shared" si="982"/>
        <v>4635989.5351921218</v>
      </c>
      <c r="S457">
        <f t="shared" si="983"/>
        <v>46.359895351921217</v>
      </c>
      <c r="T457">
        <f t="shared" si="984"/>
        <v>4.635989535192122E-2</v>
      </c>
    </row>
    <row r="458" spans="1:20" x14ac:dyDescent="0.25">
      <c r="A458" s="5">
        <v>44135</v>
      </c>
      <c r="B458">
        <v>13560.1</v>
      </c>
      <c r="C458">
        <v>14100</v>
      </c>
      <c r="D458">
        <v>13411.5</v>
      </c>
      <c r="E458">
        <v>13791</v>
      </c>
      <c r="F458">
        <v>67339.238515000005</v>
      </c>
      <c r="G458">
        <v>1.7</v>
      </c>
      <c r="L458" t="s">
        <v>8</v>
      </c>
      <c r="M458" t="s">
        <v>8</v>
      </c>
      <c r="N458" t="s">
        <v>8</v>
      </c>
      <c r="P458">
        <f t="shared" si="980"/>
        <v>0.10239651416122005</v>
      </c>
      <c r="Q458">
        <f t="shared" si="981"/>
        <v>6895.3032902069726</v>
      </c>
      <c r="R458">
        <f t="shared" si="982"/>
        <v>4632882.887201882</v>
      </c>
      <c r="S458">
        <f t="shared" si="983"/>
        <v>46.328828872018818</v>
      </c>
      <c r="T458">
        <f t="shared" si="984"/>
        <v>4.6328828872018821E-2</v>
      </c>
    </row>
    <row r="459" spans="1:20" x14ac:dyDescent="0.25">
      <c r="A459" s="5">
        <v>44134</v>
      </c>
      <c r="B459">
        <v>13455.69</v>
      </c>
      <c r="C459">
        <v>13669.98</v>
      </c>
      <c r="D459">
        <v>13115</v>
      </c>
      <c r="E459">
        <v>13560.1</v>
      </c>
      <c r="F459">
        <v>70657.778881000006</v>
      </c>
      <c r="G459">
        <v>0.78</v>
      </c>
      <c r="L459" t="s">
        <v>7</v>
      </c>
      <c r="M459" t="s">
        <v>8</v>
      </c>
      <c r="N459" t="s">
        <v>8</v>
      </c>
      <c r="P459">
        <f t="shared" si="980"/>
        <v>0.6040217665501485</v>
      </c>
      <c r="Q459">
        <f t="shared" si="981"/>
        <v>42678.836420211395</v>
      </c>
      <c r="R459">
        <f t="shared" si="982"/>
        <v>4625987.583911675</v>
      </c>
      <c r="S459">
        <f t="shared" si="983"/>
        <v>46.259875839116752</v>
      </c>
      <c r="T459">
        <f t="shared" si="984"/>
        <v>4.6259875839116754E-2</v>
      </c>
    </row>
    <row r="460" spans="1:20" x14ac:dyDescent="0.25">
      <c r="A460" s="5">
        <v>44133</v>
      </c>
      <c r="B460">
        <v>13266.4</v>
      </c>
      <c r="C460">
        <v>13642.91</v>
      </c>
      <c r="D460">
        <v>12920.77</v>
      </c>
      <c r="E460">
        <v>13455.7</v>
      </c>
      <c r="F460">
        <v>74872.602132</v>
      </c>
      <c r="G460">
        <v>1.43</v>
      </c>
      <c r="L460" t="s">
        <v>7</v>
      </c>
      <c r="M460" t="s">
        <v>8</v>
      </c>
      <c r="N460" t="s">
        <v>8</v>
      </c>
      <c r="P460">
        <f t="shared" si="980"/>
        <v>0.48151327997341437</v>
      </c>
      <c r="Q460">
        <f t="shared" si="981"/>
        <v>36052.152232723776</v>
      </c>
      <c r="R460">
        <f t="shared" si="982"/>
        <v>4583308.747491464</v>
      </c>
      <c r="S460">
        <f t="shared" si="983"/>
        <v>45.833087474914642</v>
      </c>
      <c r="T460">
        <f t="shared" si="984"/>
        <v>4.5833087474914644E-2</v>
      </c>
    </row>
    <row r="461" spans="1:20" x14ac:dyDescent="0.25">
      <c r="A461" s="5">
        <v>44132</v>
      </c>
      <c r="B461">
        <v>13636.16</v>
      </c>
      <c r="C461">
        <v>13859.48</v>
      </c>
      <c r="D461">
        <v>12888</v>
      </c>
      <c r="E461">
        <v>13266.4</v>
      </c>
      <c r="F461">
        <v>94440.561226000005</v>
      </c>
      <c r="G461">
        <v>-2.71</v>
      </c>
      <c r="L461" t="s">
        <v>7</v>
      </c>
      <c r="M461" t="s">
        <v>8</v>
      </c>
      <c r="N461" t="s">
        <v>8</v>
      </c>
      <c r="P461">
        <f t="shared" si="980"/>
        <v>-0.2209824185778404</v>
      </c>
      <c r="Q461">
        <f t="shared" si="981"/>
        <v>-20869.703631570097</v>
      </c>
      <c r="R461">
        <f t="shared" si="982"/>
        <v>4547256.5952587407</v>
      </c>
      <c r="S461">
        <f t="shared" si="983"/>
        <v>45.472565952587409</v>
      </c>
      <c r="T461">
        <f t="shared" si="984"/>
        <v>4.5472565952587411E-2</v>
      </c>
    </row>
    <row r="462" spans="1:20" x14ac:dyDescent="0.25">
      <c r="A462" s="5">
        <v>44131</v>
      </c>
      <c r="B462">
        <v>13052.15</v>
      </c>
      <c r="C462">
        <v>13789.29</v>
      </c>
      <c r="D462">
        <v>13019.87</v>
      </c>
      <c r="E462">
        <v>13636.17</v>
      </c>
      <c r="F462">
        <v>80796.553996000002</v>
      </c>
      <c r="G462">
        <v>4.47</v>
      </c>
      <c r="L462" t="s">
        <v>8</v>
      </c>
      <c r="M462" t="s">
        <v>8</v>
      </c>
      <c r="N462" t="s">
        <v>8</v>
      </c>
      <c r="P462">
        <f t="shared" si="980"/>
        <v>0.6019859114657774</v>
      </c>
      <c r="Q462">
        <f t="shared" si="981"/>
        <v>48638.387200575962</v>
      </c>
      <c r="R462">
        <f t="shared" si="982"/>
        <v>4568126.2988903113</v>
      </c>
      <c r="S462">
        <f t="shared" si="983"/>
        <v>45.681262988903114</v>
      </c>
      <c r="T462">
        <f t="shared" si="984"/>
        <v>4.5681262988903112E-2</v>
      </c>
    </row>
    <row r="463" spans="1:20" x14ac:dyDescent="0.25">
      <c r="A463" s="5">
        <v>44130</v>
      </c>
      <c r="B463">
        <v>13029.64</v>
      </c>
      <c r="C463">
        <v>13238.81</v>
      </c>
      <c r="D463">
        <v>12765</v>
      </c>
      <c r="E463">
        <v>13052.19</v>
      </c>
      <c r="F463">
        <v>60951.672985999998</v>
      </c>
      <c r="G463">
        <v>0.17</v>
      </c>
      <c r="L463" t="s">
        <v>8</v>
      </c>
      <c r="M463" t="s">
        <v>8</v>
      </c>
      <c r="N463" t="s">
        <v>8</v>
      </c>
      <c r="P463">
        <f t="shared" si="980"/>
        <v>0.21225807813258823</v>
      </c>
      <c r="Q463">
        <f t="shared" si="981"/>
        <v>12937.484966974354</v>
      </c>
      <c r="R463">
        <f t="shared" si="982"/>
        <v>4519487.911689735</v>
      </c>
      <c r="S463">
        <f t="shared" si="983"/>
        <v>45.194879116897347</v>
      </c>
      <c r="T463">
        <f t="shared" si="984"/>
        <v>4.5194879116897346E-2</v>
      </c>
    </row>
    <row r="464" spans="1:20" x14ac:dyDescent="0.25">
      <c r="A464" s="5">
        <v>44129</v>
      </c>
      <c r="B464">
        <v>13111.73</v>
      </c>
      <c r="C464">
        <v>13350</v>
      </c>
      <c r="D464">
        <v>12888</v>
      </c>
      <c r="E464">
        <v>13028.83</v>
      </c>
      <c r="F464">
        <v>38481.579504000001</v>
      </c>
      <c r="G464">
        <v>-0.63</v>
      </c>
      <c r="L464" t="s">
        <v>8</v>
      </c>
      <c r="M464" t="s">
        <v>8</v>
      </c>
      <c r="N464" t="s">
        <v>8</v>
      </c>
      <c r="P464">
        <f t="shared" si="980"/>
        <v>-0.39034632034632066</v>
      </c>
      <c r="Q464">
        <f t="shared" si="981"/>
        <v>-15021.142960500792</v>
      </c>
      <c r="R464">
        <f t="shared" si="982"/>
        <v>4506550.4267227603</v>
      </c>
      <c r="S464">
        <f t="shared" si="983"/>
        <v>45.065504267227602</v>
      </c>
      <c r="T464">
        <f t="shared" si="984"/>
        <v>4.50655042672276E-2</v>
      </c>
    </row>
    <row r="465" spans="1:20" x14ac:dyDescent="0.25">
      <c r="A465" s="5">
        <v>44128</v>
      </c>
      <c r="B465">
        <v>12923.06</v>
      </c>
      <c r="C465">
        <v>13166.73</v>
      </c>
      <c r="D465">
        <v>12870</v>
      </c>
      <c r="E465">
        <v>13111.73</v>
      </c>
      <c r="F465">
        <v>35952.209069999997</v>
      </c>
      <c r="G465">
        <v>1.46</v>
      </c>
      <c r="L465" t="s">
        <v>8</v>
      </c>
      <c r="M465" t="s">
        <v>8</v>
      </c>
      <c r="N465" t="s">
        <v>8</v>
      </c>
      <c r="P465">
        <f t="shared" si="980"/>
        <v>0.62929262292319565</v>
      </c>
      <c r="Q465">
        <f t="shared" si="981"/>
        <v>22624.459945543404</v>
      </c>
      <c r="R465">
        <f t="shared" si="982"/>
        <v>4521571.5696832612</v>
      </c>
      <c r="S465">
        <f t="shared" si="983"/>
        <v>45.215715696832611</v>
      </c>
      <c r="T465">
        <f t="shared" si="984"/>
        <v>4.5215715696832609E-2</v>
      </c>
    </row>
    <row r="466" spans="1:20" x14ac:dyDescent="0.25">
      <c r="A466" s="5">
        <v>44127</v>
      </c>
      <c r="B466">
        <v>12968.84</v>
      </c>
      <c r="C466">
        <v>13027.69</v>
      </c>
      <c r="D466">
        <v>12720.08</v>
      </c>
      <c r="E466">
        <v>12923.07</v>
      </c>
      <c r="F466">
        <v>50386.999840999997</v>
      </c>
      <c r="G466">
        <v>-0.35</v>
      </c>
      <c r="L466" t="s">
        <v>8</v>
      </c>
      <c r="M466" t="s">
        <v>8</v>
      </c>
      <c r="N466" t="s">
        <v>8</v>
      </c>
      <c r="P466">
        <f t="shared" si="980"/>
        <v>0.31978804330157928</v>
      </c>
      <c r="Q466">
        <f t="shared" si="981"/>
        <v>16113.160086990376</v>
      </c>
      <c r="R466">
        <f t="shared" si="982"/>
        <v>4498947.1097377175</v>
      </c>
      <c r="S466">
        <f t="shared" si="983"/>
        <v>44.989471097377177</v>
      </c>
      <c r="T466">
        <f t="shared" si="984"/>
        <v>4.4989471097377179E-2</v>
      </c>
    </row>
    <row r="467" spans="1:20" x14ac:dyDescent="0.25">
      <c r="A467" s="5">
        <v>44126</v>
      </c>
      <c r="B467">
        <v>12780.75</v>
      </c>
      <c r="C467">
        <v>13185</v>
      </c>
      <c r="D467">
        <v>12678.08</v>
      </c>
      <c r="E467">
        <v>12968.52</v>
      </c>
      <c r="F467">
        <v>70038.824143999998</v>
      </c>
      <c r="G467">
        <v>1.47</v>
      </c>
      <c r="L467" t="s">
        <v>8</v>
      </c>
      <c r="M467" t="s">
        <v>8</v>
      </c>
      <c r="N467" t="s">
        <v>8</v>
      </c>
      <c r="P467">
        <f t="shared" si="980"/>
        <v>0.14590073384360636</v>
      </c>
      <c r="Q467">
        <f t="shared" si="981"/>
        <v>10218.715840152894</v>
      </c>
      <c r="R467">
        <f t="shared" si="982"/>
        <v>4482833.9496507272</v>
      </c>
      <c r="S467">
        <f t="shared" si="983"/>
        <v>44.828339496507269</v>
      </c>
      <c r="T467">
        <f t="shared" si="984"/>
        <v>4.4828339496507268E-2</v>
      </c>
    </row>
    <row r="468" spans="1:20" x14ac:dyDescent="0.25">
      <c r="A468" s="5">
        <v>44125</v>
      </c>
      <c r="B468">
        <v>11910</v>
      </c>
      <c r="C468">
        <v>13217.68</v>
      </c>
      <c r="D468">
        <v>11886.95</v>
      </c>
      <c r="E468">
        <v>12780.96</v>
      </c>
      <c r="F468">
        <v>114584.456767</v>
      </c>
      <c r="G468">
        <v>7.31</v>
      </c>
      <c r="L468" t="s">
        <v>8</v>
      </c>
      <c r="M468" t="s">
        <v>8</v>
      </c>
      <c r="N468" t="s">
        <v>8</v>
      </c>
      <c r="P468">
        <f t="shared" si="980"/>
        <v>0.34363845408159233</v>
      </c>
      <c r="Q468">
        <f t="shared" si="981"/>
        <v>39375.62558519093</v>
      </c>
      <c r="R468">
        <f t="shared" si="982"/>
        <v>4472615.2338105747</v>
      </c>
      <c r="S468">
        <f t="shared" si="983"/>
        <v>44.726152338105749</v>
      </c>
      <c r="T468">
        <f t="shared" si="984"/>
        <v>4.472615233810575E-2</v>
      </c>
    </row>
    <row r="469" spans="1:20" x14ac:dyDescent="0.25">
      <c r="A469" s="5">
        <v>44124</v>
      </c>
      <c r="B469">
        <v>11751.46</v>
      </c>
      <c r="C469">
        <v>12038.38</v>
      </c>
      <c r="D469">
        <v>11677.59</v>
      </c>
      <c r="E469">
        <v>11909.99</v>
      </c>
      <c r="F469">
        <v>62134.750662999999</v>
      </c>
      <c r="G469">
        <v>1.35</v>
      </c>
      <c r="L469" t="s">
        <v>8</v>
      </c>
      <c r="M469" t="s">
        <v>8</v>
      </c>
      <c r="N469" t="s">
        <v>8</v>
      </c>
      <c r="P469">
        <f t="shared" si="980"/>
        <v>0.28828404334931812</v>
      </c>
      <c r="Q469">
        <f t="shared" si="981"/>
        <v>17912.457153631363</v>
      </c>
      <c r="R469">
        <f t="shared" si="982"/>
        <v>4433239.6082253838</v>
      </c>
      <c r="S469">
        <f t="shared" si="983"/>
        <v>44.332396082253837</v>
      </c>
      <c r="T469">
        <f t="shared" si="984"/>
        <v>4.4332396082253839E-2</v>
      </c>
    </row>
    <row r="470" spans="1:20" x14ac:dyDescent="0.25">
      <c r="A470" s="5">
        <v>44123</v>
      </c>
      <c r="B470">
        <v>11503.14</v>
      </c>
      <c r="C470">
        <v>11823.99</v>
      </c>
      <c r="D470">
        <v>11407.96</v>
      </c>
      <c r="E470">
        <v>11751.47</v>
      </c>
      <c r="F470">
        <v>47414.534692000001</v>
      </c>
      <c r="G470">
        <v>2.16</v>
      </c>
      <c r="L470" t="s">
        <v>8</v>
      </c>
      <c r="M470" t="s">
        <v>8</v>
      </c>
      <c r="N470" t="s">
        <v>8</v>
      </c>
      <c r="P470">
        <f t="shared" si="980"/>
        <v>0.65137129533927685</v>
      </c>
      <c r="Q470">
        <f t="shared" si="981"/>
        <v>30884.46688023712</v>
      </c>
      <c r="R470">
        <f t="shared" si="982"/>
        <v>4415327.1510717524</v>
      </c>
      <c r="S470">
        <f t="shared" si="983"/>
        <v>44.153271510717524</v>
      </c>
      <c r="T470">
        <f t="shared" si="984"/>
        <v>4.4153271510717525E-2</v>
      </c>
    </row>
    <row r="471" spans="1:20" x14ac:dyDescent="0.25">
      <c r="A471" s="5">
        <v>44122</v>
      </c>
      <c r="B471">
        <v>11360.31</v>
      </c>
      <c r="C471">
        <v>11505</v>
      </c>
      <c r="D471">
        <v>11346.22</v>
      </c>
      <c r="E471">
        <v>11503.14</v>
      </c>
      <c r="F471">
        <v>23284.041191</v>
      </c>
      <c r="G471">
        <v>1.26</v>
      </c>
      <c r="L471" t="s">
        <v>8</v>
      </c>
      <c r="M471" t="s">
        <v>8</v>
      </c>
      <c r="N471" t="s">
        <v>8</v>
      </c>
      <c r="P471">
        <f t="shared" si="980"/>
        <v>0.97657135659402228</v>
      </c>
      <c r="Q471">
        <f t="shared" si="981"/>
        <v>22738.527692885964</v>
      </c>
      <c r="R471">
        <f t="shared" si="982"/>
        <v>4384442.6841915157</v>
      </c>
      <c r="S471">
        <f t="shared" si="983"/>
        <v>43.844426841915158</v>
      </c>
      <c r="T471">
        <f t="shared" si="984"/>
        <v>4.3844426841915161E-2</v>
      </c>
    </row>
    <row r="472" spans="1:20" x14ac:dyDescent="0.25">
      <c r="A472" s="5">
        <v>44121</v>
      </c>
      <c r="B472">
        <v>11319.24</v>
      </c>
      <c r="C472">
        <v>11402.42</v>
      </c>
      <c r="D472">
        <v>11255</v>
      </c>
      <c r="E472">
        <v>11360.2</v>
      </c>
      <c r="F472">
        <v>22368.915240999999</v>
      </c>
      <c r="G472">
        <v>0.36</v>
      </c>
      <c r="L472" t="s">
        <v>8</v>
      </c>
      <c r="M472" t="s">
        <v>8</v>
      </c>
      <c r="N472" t="s">
        <v>8</v>
      </c>
      <c r="P472">
        <f t="shared" si="980"/>
        <v>0.42721476054810303</v>
      </c>
      <c r="Q472">
        <f t="shared" si="981"/>
        <v>9556.3307684046267</v>
      </c>
      <c r="R472">
        <f t="shared" si="982"/>
        <v>4361704.1564986296</v>
      </c>
      <c r="S472">
        <f t="shared" si="983"/>
        <v>43.617041564986295</v>
      </c>
      <c r="T472">
        <f t="shared" si="984"/>
        <v>4.3617041564986296E-2</v>
      </c>
    </row>
    <row r="473" spans="1:20" x14ac:dyDescent="0.25">
      <c r="A473" s="5">
        <v>44120</v>
      </c>
      <c r="B473">
        <v>11505.13</v>
      </c>
      <c r="C473">
        <v>11541.15</v>
      </c>
      <c r="D473">
        <v>11200</v>
      </c>
      <c r="E473">
        <v>11319.32</v>
      </c>
      <c r="F473">
        <v>48797.749501999999</v>
      </c>
      <c r="G473">
        <v>-1.62</v>
      </c>
      <c r="L473" t="s">
        <v>8</v>
      </c>
      <c r="M473" t="s">
        <v>8</v>
      </c>
      <c r="N473" t="s">
        <v>8</v>
      </c>
      <c r="P473">
        <f t="shared" si="980"/>
        <v>-0.30048365821486245</v>
      </c>
      <c r="Q473">
        <f t="shared" si="981"/>
        <v>-14662.926283013441</v>
      </c>
      <c r="R473">
        <f t="shared" si="982"/>
        <v>4352147.8257302251</v>
      </c>
      <c r="S473">
        <f t="shared" si="983"/>
        <v>43.521478257302249</v>
      </c>
      <c r="T473">
        <f t="shared" si="984"/>
        <v>4.3521478257302251E-2</v>
      </c>
    </row>
    <row r="474" spans="1:20" x14ac:dyDescent="0.25">
      <c r="A474" s="5">
        <v>44119</v>
      </c>
      <c r="B474">
        <v>11417.89</v>
      </c>
      <c r="C474">
        <v>11617.34</v>
      </c>
      <c r="D474">
        <v>11250.83</v>
      </c>
      <c r="E474">
        <v>11505.12</v>
      </c>
      <c r="F474">
        <v>48760.717679000001</v>
      </c>
      <c r="G474">
        <v>0.76</v>
      </c>
      <c r="L474" t="s">
        <v>8</v>
      </c>
      <c r="M474" t="s">
        <v>8</v>
      </c>
      <c r="N474" t="s">
        <v>8</v>
      </c>
      <c r="P474">
        <f t="shared" si="980"/>
        <v>0.38762925977463492</v>
      </c>
      <c r="Q474">
        <f t="shared" si="981"/>
        <v>18901.080899990724</v>
      </c>
      <c r="R474">
        <f t="shared" si="982"/>
        <v>4366810.7520132381</v>
      </c>
      <c r="S474">
        <f t="shared" si="983"/>
        <v>43.668107520132381</v>
      </c>
      <c r="T474">
        <f t="shared" si="984"/>
        <v>4.3668107520132379E-2</v>
      </c>
    </row>
    <row r="475" spans="1:20" x14ac:dyDescent="0.25">
      <c r="A475" s="5">
        <v>44118</v>
      </c>
      <c r="B475">
        <v>11420.57</v>
      </c>
      <c r="C475">
        <v>11547.98</v>
      </c>
      <c r="D475">
        <v>11280</v>
      </c>
      <c r="E475">
        <v>11417.89</v>
      </c>
      <c r="F475">
        <v>41415.106014999998</v>
      </c>
      <c r="G475">
        <v>-0.02</v>
      </c>
      <c r="L475" t="s">
        <v>8</v>
      </c>
      <c r="M475" t="s">
        <v>8</v>
      </c>
      <c r="N475" t="s">
        <v>8</v>
      </c>
      <c r="P475">
        <f t="shared" si="980"/>
        <v>2.9106649749978675E-2</v>
      </c>
      <c r="Q475">
        <f t="shared" si="981"/>
        <v>1205.4549851368399</v>
      </c>
      <c r="R475">
        <f t="shared" si="982"/>
        <v>4347909.6711132471</v>
      </c>
      <c r="S475">
        <f t="shared" si="983"/>
        <v>43.47909671113247</v>
      </c>
      <c r="T475">
        <f t="shared" si="984"/>
        <v>4.3479096711132467E-2</v>
      </c>
    </row>
    <row r="476" spans="1:20" x14ac:dyDescent="0.25">
      <c r="A476" s="5">
        <v>44117</v>
      </c>
      <c r="B476">
        <v>11528.24</v>
      </c>
      <c r="C476">
        <v>11557</v>
      </c>
      <c r="D476">
        <v>11300</v>
      </c>
      <c r="E476">
        <v>11420.56</v>
      </c>
      <c r="F476">
        <v>42205.283709000003</v>
      </c>
      <c r="G476">
        <v>-0.93</v>
      </c>
      <c r="L476" t="s">
        <v>8</v>
      </c>
      <c r="M476" t="s">
        <v>8</v>
      </c>
      <c r="N476" t="s">
        <v>8</v>
      </c>
      <c r="P476">
        <f t="shared" si="980"/>
        <v>-6.1789883268486452E-2</v>
      </c>
      <c r="Q476">
        <f t="shared" si="981"/>
        <v>-2607.8595536924631</v>
      </c>
      <c r="R476">
        <f t="shared" si="982"/>
        <v>4346704.21612811</v>
      </c>
      <c r="S476">
        <f t="shared" si="983"/>
        <v>43.4670421612811</v>
      </c>
      <c r="T476">
        <f t="shared" si="984"/>
        <v>4.3467042161281097E-2</v>
      </c>
    </row>
    <row r="477" spans="1:20" x14ac:dyDescent="0.25">
      <c r="A477" s="5">
        <v>44116</v>
      </c>
      <c r="B477">
        <v>11369.02</v>
      </c>
      <c r="C477">
        <v>11720.01</v>
      </c>
      <c r="D477">
        <v>11172</v>
      </c>
      <c r="E477">
        <v>11528.25</v>
      </c>
      <c r="F477">
        <v>52825.283710000003</v>
      </c>
      <c r="G477">
        <v>1.4</v>
      </c>
      <c r="L477" t="s">
        <v>8</v>
      </c>
      <c r="M477" t="s">
        <v>8</v>
      </c>
      <c r="N477" t="s">
        <v>8</v>
      </c>
      <c r="P477">
        <f t="shared" si="980"/>
        <v>0.30015875622707561</v>
      </c>
      <c r="Q477">
        <f t="shared" si="981"/>
        <v>15855.971455735998</v>
      </c>
      <c r="R477">
        <f t="shared" si="982"/>
        <v>4349312.0756818028</v>
      </c>
      <c r="S477">
        <f t="shared" si="983"/>
        <v>43.49312075681803</v>
      </c>
      <c r="T477">
        <f t="shared" si="984"/>
        <v>4.3493120756818028E-2</v>
      </c>
    </row>
    <row r="478" spans="1:20" x14ac:dyDescent="0.25">
      <c r="A478" s="5">
        <v>44115</v>
      </c>
      <c r="B478">
        <v>11293.22</v>
      </c>
      <c r="C478">
        <v>11445</v>
      </c>
      <c r="D478">
        <v>11221</v>
      </c>
      <c r="E478">
        <v>11369.02</v>
      </c>
      <c r="F478">
        <v>29043.851339000001</v>
      </c>
      <c r="G478">
        <v>0.67</v>
      </c>
      <c r="L478" t="s">
        <v>8</v>
      </c>
      <c r="M478" t="s">
        <v>7</v>
      </c>
      <c r="N478" t="s">
        <v>8</v>
      </c>
      <c r="P478">
        <f t="shared" si="980"/>
        <v>0.32160714285714675</v>
      </c>
      <c r="Q478">
        <f t="shared" si="981"/>
        <v>9340.710046703507</v>
      </c>
      <c r="R478">
        <f t="shared" si="982"/>
        <v>4333456.1042260667</v>
      </c>
      <c r="S478">
        <f t="shared" si="983"/>
        <v>43.334561042260667</v>
      </c>
      <c r="T478">
        <f t="shared" si="984"/>
        <v>4.3334561042260668E-2</v>
      </c>
    </row>
    <row r="479" spans="1:20" x14ac:dyDescent="0.25">
      <c r="A479" s="5">
        <v>44114</v>
      </c>
      <c r="B479">
        <v>11050.64</v>
      </c>
      <c r="C479">
        <v>11491</v>
      </c>
      <c r="D479">
        <v>11050.51</v>
      </c>
      <c r="E479">
        <v>11293.22</v>
      </c>
      <c r="F479">
        <v>43648.036942999999</v>
      </c>
      <c r="G479">
        <v>2.2000000000000002</v>
      </c>
      <c r="L479" t="s">
        <v>8</v>
      </c>
      <c r="M479" t="s">
        <v>7</v>
      </c>
      <c r="N479" t="s">
        <v>8</v>
      </c>
      <c r="P479">
        <f t="shared" si="980"/>
        <v>0.10200004540397851</v>
      </c>
      <c r="Q479">
        <f t="shared" si="981"/>
        <v>4452.1017499805312</v>
      </c>
      <c r="R479">
        <f t="shared" si="982"/>
        <v>4324115.3941793628</v>
      </c>
      <c r="S479">
        <f t="shared" si="983"/>
        <v>43.241153941793627</v>
      </c>
      <c r="T479">
        <f t="shared" si="984"/>
        <v>4.3241153941793627E-2</v>
      </c>
    </row>
    <row r="480" spans="1:20" x14ac:dyDescent="0.25">
      <c r="A480" s="5">
        <v>44113</v>
      </c>
      <c r="B480">
        <v>10925.44</v>
      </c>
      <c r="C480">
        <v>11104.64</v>
      </c>
      <c r="D480">
        <v>10829</v>
      </c>
      <c r="E480">
        <v>11050.64</v>
      </c>
      <c r="F480">
        <v>48240.073236999997</v>
      </c>
      <c r="G480">
        <v>1.1499999999999999</v>
      </c>
      <c r="L480" t="s">
        <v>8</v>
      </c>
      <c r="M480" t="s">
        <v>7</v>
      </c>
      <c r="N480" t="s">
        <v>8</v>
      </c>
      <c r="P480">
        <f t="shared" si="980"/>
        <v>0.60818458859381719</v>
      </c>
      <c r="Q480">
        <f t="shared" si="981"/>
        <v>29338.869095380454</v>
      </c>
      <c r="R480">
        <f t="shared" si="982"/>
        <v>4319663.292429382</v>
      </c>
      <c r="S480">
        <f t="shared" si="983"/>
        <v>43.196632924293823</v>
      </c>
      <c r="T480">
        <f t="shared" si="984"/>
        <v>4.3196632924293821E-2</v>
      </c>
    </row>
    <row r="481" spans="1:20" x14ac:dyDescent="0.25">
      <c r="A481" s="5">
        <v>44112</v>
      </c>
      <c r="B481">
        <v>10666.4</v>
      </c>
      <c r="C481">
        <v>10950</v>
      </c>
      <c r="D481">
        <v>10530.41</v>
      </c>
      <c r="E481">
        <v>10925.57</v>
      </c>
      <c r="F481">
        <v>51959.691572000003</v>
      </c>
      <c r="G481">
        <v>2.4300000000000002</v>
      </c>
      <c r="L481" t="s">
        <v>8</v>
      </c>
      <c r="M481" t="s">
        <v>7</v>
      </c>
      <c r="N481" t="s">
        <v>8</v>
      </c>
      <c r="P481">
        <f t="shared" si="980"/>
        <v>0.8835529922066766</v>
      </c>
      <c r="Q481">
        <f t="shared" si="981"/>
        <v>45909.140962576639</v>
      </c>
      <c r="R481">
        <f t="shared" si="982"/>
        <v>4290324.4233340016</v>
      </c>
      <c r="S481">
        <f t="shared" si="983"/>
        <v>42.903244233340018</v>
      </c>
      <c r="T481">
        <f t="shared" si="984"/>
        <v>4.2903244233340021E-2</v>
      </c>
    </row>
    <row r="482" spans="1:20" x14ac:dyDescent="0.25">
      <c r="A482" s="5">
        <v>44111</v>
      </c>
      <c r="B482">
        <v>10599.65</v>
      </c>
      <c r="C482">
        <v>10681.87</v>
      </c>
      <c r="D482">
        <v>10546.17</v>
      </c>
      <c r="E482">
        <v>10666.39</v>
      </c>
      <c r="F482">
        <v>32811.990278999998</v>
      </c>
      <c r="G482">
        <v>0.63</v>
      </c>
      <c r="L482" t="s">
        <v>8</v>
      </c>
      <c r="M482" t="s">
        <v>7</v>
      </c>
      <c r="N482" t="s">
        <v>8</v>
      </c>
      <c r="P482">
        <f t="shared" si="980"/>
        <v>0.77184966838612679</v>
      </c>
      <c r="Q482">
        <f t="shared" si="981"/>
        <v>25325.923815934962</v>
      </c>
      <c r="R482">
        <f t="shared" si="982"/>
        <v>4244415.2823714251</v>
      </c>
      <c r="S482">
        <f t="shared" si="983"/>
        <v>42.444152823714248</v>
      </c>
      <c r="T482">
        <f t="shared" si="984"/>
        <v>4.2444152823714248E-2</v>
      </c>
    </row>
    <row r="483" spans="1:20" x14ac:dyDescent="0.25">
      <c r="A483" s="5">
        <v>44110</v>
      </c>
      <c r="B483">
        <v>10792.2</v>
      </c>
      <c r="C483">
        <v>10800</v>
      </c>
      <c r="D483">
        <v>10525</v>
      </c>
      <c r="E483">
        <v>10599.66</v>
      </c>
      <c r="F483">
        <v>48674.740470999997</v>
      </c>
      <c r="G483">
        <v>-1.78</v>
      </c>
      <c r="L483" t="s">
        <v>8</v>
      </c>
      <c r="M483" t="s">
        <v>7</v>
      </c>
      <c r="N483" t="s">
        <v>8</v>
      </c>
      <c r="P483">
        <f t="shared" si="980"/>
        <v>-0.45701818181818288</v>
      </c>
      <c r="Q483">
        <f t="shared" si="981"/>
        <v>-22245.241390528343</v>
      </c>
      <c r="R483">
        <f t="shared" si="982"/>
        <v>4219089.3585554902</v>
      </c>
      <c r="S483">
        <f t="shared" si="983"/>
        <v>42.190893585554903</v>
      </c>
      <c r="T483">
        <f t="shared" si="984"/>
        <v>4.2190893585554903E-2</v>
      </c>
    </row>
    <row r="484" spans="1:20" x14ac:dyDescent="0.25">
      <c r="A484" s="5">
        <v>44109</v>
      </c>
      <c r="B484">
        <v>10666.62</v>
      </c>
      <c r="C484">
        <v>10798</v>
      </c>
      <c r="D484">
        <v>10615.64</v>
      </c>
      <c r="E484">
        <v>10792.21</v>
      </c>
      <c r="F484">
        <v>34025.761653000001</v>
      </c>
      <c r="G484">
        <v>1.18</v>
      </c>
      <c r="L484" t="s">
        <v>8</v>
      </c>
      <c r="M484" t="s">
        <v>7</v>
      </c>
      <c r="N484" t="s">
        <v>8</v>
      </c>
      <c r="P484">
        <f t="shared" si="980"/>
        <v>0.93649923228777299</v>
      </c>
      <c r="Q484">
        <f t="shared" si="981"/>
        <v>31865.099666041246</v>
      </c>
      <c r="R484">
        <f t="shared" si="982"/>
        <v>4241334.5999460183</v>
      </c>
      <c r="S484">
        <f t="shared" si="983"/>
        <v>42.413345999460184</v>
      </c>
      <c r="T484">
        <f t="shared" si="984"/>
        <v>4.2413345999460186E-2</v>
      </c>
    </row>
    <row r="485" spans="1:20" x14ac:dyDescent="0.25">
      <c r="A485" s="5">
        <v>44108</v>
      </c>
      <c r="B485">
        <v>10542.07</v>
      </c>
      <c r="C485">
        <v>10696.87</v>
      </c>
      <c r="D485">
        <v>10517.87</v>
      </c>
      <c r="E485">
        <v>10666.63</v>
      </c>
      <c r="F485">
        <v>23212.001595000002</v>
      </c>
      <c r="G485">
        <v>1.18</v>
      </c>
      <c r="L485" t="s">
        <v>8</v>
      </c>
      <c r="M485" t="s">
        <v>7</v>
      </c>
      <c r="N485" t="s">
        <v>8</v>
      </c>
      <c r="P485">
        <f t="shared" si="980"/>
        <v>0.66212290502791504</v>
      </c>
      <c r="Q485">
        <f t="shared" si="981"/>
        <v>15369.197927593999</v>
      </c>
      <c r="R485">
        <f t="shared" si="982"/>
        <v>4209469.500279977</v>
      </c>
      <c r="S485">
        <f t="shared" si="983"/>
        <v>42.094695002799767</v>
      </c>
      <c r="T485">
        <f t="shared" si="984"/>
        <v>4.2094695002799769E-2</v>
      </c>
    </row>
    <row r="486" spans="1:20" x14ac:dyDescent="0.25">
      <c r="A486" s="5">
        <v>44107</v>
      </c>
      <c r="B486">
        <v>10570.4</v>
      </c>
      <c r="C486">
        <v>10603.56</v>
      </c>
      <c r="D486">
        <v>10496.46</v>
      </c>
      <c r="E486">
        <v>10542.06</v>
      </c>
      <c r="F486">
        <v>22298.221341</v>
      </c>
      <c r="G486">
        <v>-0.27</v>
      </c>
      <c r="L486" t="s">
        <v>8</v>
      </c>
      <c r="M486" t="s">
        <v>7</v>
      </c>
      <c r="N486" t="s">
        <v>8</v>
      </c>
      <c r="P486">
        <f t="shared" si="980"/>
        <v>-0.14845938375349749</v>
      </c>
      <c r="Q486">
        <f t="shared" si="981"/>
        <v>-3310.3801990839465</v>
      </c>
      <c r="R486">
        <f t="shared" si="982"/>
        <v>4194100.3023523828</v>
      </c>
      <c r="S486">
        <f t="shared" si="983"/>
        <v>41.941003023523827</v>
      </c>
      <c r="T486">
        <f t="shared" si="984"/>
        <v>4.1941003023523826E-2</v>
      </c>
    </row>
    <row r="487" spans="1:20" x14ac:dyDescent="0.25">
      <c r="A487" s="5">
        <v>44106</v>
      </c>
      <c r="B487">
        <v>10619.13</v>
      </c>
      <c r="C487">
        <v>10664.64</v>
      </c>
      <c r="D487">
        <v>10374</v>
      </c>
      <c r="E487">
        <v>10570.4</v>
      </c>
      <c r="F487">
        <v>50130.393705000002</v>
      </c>
      <c r="G487">
        <v>-0.46</v>
      </c>
      <c r="L487" t="s">
        <v>8</v>
      </c>
      <c r="M487" t="s">
        <v>7</v>
      </c>
      <c r="N487" t="s">
        <v>8</v>
      </c>
      <c r="P487">
        <f t="shared" si="980"/>
        <v>0.35150013762730548</v>
      </c>
      <c r="Q487">
        <f t="shared" si="981"/>
        <v>17620.84028661851</v>
      </c>
      <c r="R487">
        <f t="shared" si="982"/>
        <v>4197410.6825514669</v>
      </c>
      <c r="S487">
        <f t="shared" si="983"/>
        <v>41.974106825514667</v>
      </c>
      <c r="T487">
        <f t="shared" si="984"/>
        <v>4.1974106825514668E-2</v>
      </c>
    </row>
    <row r="488" spans="1:20" x14ac:dyDescent="0.25">
      <c r="A488" s="5">
        <v>44105</v>
      </c>
      <c r="B488">
        <v>10776.59</v>
      </c>
      <c r="C488">
        <v>10920</v>
      </c>
      <c r="D488">
        <v>10437</v>
      </c>
      <c r="E488">
        <v>10619.13</v>
      </c>
      <c r="F488">
        <v>60866.332892999999</v>
      </c>
      <c r="G488">
        <v>-1.46</v>
      </c>
      <c r="L488" t="s">
        <v>8</v>
      </c>
      <c r="M488" t="s">
        <v>7</v>
      </c>
      <c r="N488" t="s">
        <v>8</v>
      </c>
      <c r="P488">
        <f t="shared" si="980"/>
        <v>-0.24583850931677351</v>
      </c>
      <c r="Q488">
        <f t="shared" si="981"/>
        <v>-14963.288545993619</v>
      </c>
      <c r="R488">
        <f t="shared" si="982"/>
        <v>4179789.8422648483</v>
      </c>
      <c r="S488">
        <f t="shared" si="983"/>
        <v>41.79789842264848</v>
      </c>
      <c r="T488">
        <f t="shared" si="984"/>
        <v>4.1797898422648479E-2</v>
      </c>
    </row>
    <row r="489" spans="1:20" x14ac:dyDescent="0.25">
      <c r="A489" s="5">
        <v>44104</v>
      </c>
      <c r="B489">
        <v>10840.58</v>
      </c>
      <c r="C489">
        <v>10849.34</v>
      </c>
      <c r="D489">
        <v>10665.13</v>
      </c>
      <c r="E489">
        <v>10776.59</v>
      </c>
      <c r="F489">
        <v>39596.027322000002</v>
      </c>
      <c r="G489">
        <v>-0.59</v>
      </c>
      <c r="L489" t="s">
        <v>8</v>
      </c>
      <c r="M489" t="s">
        <v>7</v>
      </c>
      <c r="N489" t="s">
        <v>8</v>
      </c>
      <c r="P489">
        <f t="shared" si="980"/>
        <v>0.2101406004017195</v>
      </c>
      <c r="Q489">
        <f t="shared" si="981"/>
        <v>8320.7329549679707</v>
      </c>
      <c r="R489">
        <f t="shared" si="982"/>
        <v>4194753.1308108419</v>
      </c>
      <c r="S489">
        <f t="shared" si="983"/>
        <v>41.947531308108417</v>
      </c>
      <c r="T489">
        <f t="shared" si="984"/>
        <v>4.1947531308108417E-2</v>
      </c>
    </row>
    <row r="490" spans="1:20" x14ac:dyDescent="0.25">
      <c r="A490" s="5">
        <v>44103</v>
      </c>
      <c r="B490">
        <v>10696.11</v>
      </c>
      <c r="C490">
        <v>10867.54</v>
      </c>
      <c r="D490">
        <v>10635.87</v>
      </c>
      <c r="E490">
        <v>10840.48</v>
      </c>
      <c r="F490">
        <v>41874.898398999998</v>
      </c>
      <c r="G490">
        <v>1.35</v>
      </c>
      <c r="L490" t="s">
        <v>8</v>
      </c>
      <c r="M490" t="s">
        <v>7</v>
      </c>
      <c r="N490" t="s">
        <v>8</v>
      </c>
      <c r="P490">
        <f t="shared" si="980"/>
        <v>0.76639185047696035</v>
      </c>
      <c r="Q490">
        <f t="shared" si="981"/>
        <v>32092.580872544313</v>
      </c>
      <c r="R490">
        <f t="shared" si="982"/>
        <v>4186432.3978558742</v>
      </c>
      <c r="S490">
        <f t="shared" si="983"/>
        <v>41.864323978558744</v>
      </c>
      <c r="T490">
        <f t="shared" si="984"/>
        <v>4.1864323978558743E-2</v>
      </c>
    </row>
    <row r="491" spans="1:20" x14ac:dyDescent="0.25">
      <c r="A491" s="5">
        <v>44102</v>
      </c>
      <c r="B491">
        <v>10774.26</v>
      </c>
      <c r="C491">
        <v>10950</v>
      </c>
      <c r="D491">
        <v>10626</v>
      </c>
      <c r="E491">
        <v>10696.12</v>
      </c>
      <c r="F491">
        <v>50095.251733999998</v>
      </c>
      <c r="G491">
        <v>-0.73</v>
      </c>
      <c r="L491" t="s">
        <v>8</v>
      </c>
      <c r="M491" t="s">
        <v>7</v>
      </c>
      <c r="N491" t="s">
        <v>8</v>
      </c>
      <c r="P491">
        <f t="shared" si="980"/>
        <v>-0.5671604938271555</v>
      </c>
      <c r="Q491">
        <f t="shared" si="981"/>
        <v>-28412.047711851108</v>
      </c>
      <c r="R491">
        <f t="shared" si="982"/>
        <v>4154339.8169833301</v>
      </c>
      <c r="S491">
        <f t="shared" si="983"/>
        <v>41.543398169833303</v>
      </c>
      <c r="T491">
        <f t="shared" si="984"/>
        <v>4.1543398169833302E-2</v>
      </c>
    </row>
    <row r="492" spans="1:20" x14ac:dyDescent="0.25">
      <c r="A492" s="5">
        <v>44101</v>
      </c>
      <c r="B492">
        <v>10728.59</v>
      </c>
      <c r="C492">
        <v>10799</v>
      </c>
      <c r="D492">
        <v>10594.82</v>
      </c>
      <c r="E492">
        <v>10774.25</v>
      </c>
      <c r="F492">
        <v>30549.483252999999</v>
      </c>
      <c r="G492">
        <v>0.43</v>
      </c>
      <c r="L492" t="s">
        <v>8</v>
      </c>
      <c r="M492" t="s">
        <v>7</v>
      </c>
      <c r="N492" t="s">
        <v>8</v>
      </c>
      <c r="P492">
        <f t="shared" si="980"/>
        <v>0.7575668527769619</v>
      </c>
      <c r="Q492">
        <f t="shared" si="981"/>
        <v>23143.275881937712</v>
      </c>
      <c r="R492">
        <f t="shared" si="982"/>
        <v>4182751.8646951811</v>
      </c>
      <c r="S492">
        <f t="shared" si="983"/>
        <v>41.827518646951809</v>
      </c>
      <c r="T492">
        <f t="shared" si="984"/>
        <v>4.1827518646951806E-2</v>
      </c>
    </row>
    <row r="493" spans="1:20" x14ac:dyDescent="0.25">
      <c r="A493" s="5">
        <v>44100</v>
      </c>
      <c r="B493">
        <v>10686.57</v>
      </c>
      <c r="C493">
        <v>10820.94</v>
      </c>
      <c r="D493">
        <v>10644.68</v>
      </c>
      <c r="E493">
        <v>10728.6</v>
      </c>
      <c r="F493">
        <v>28420.836659000001</v>
      </c>
      <c r="G493">
        <v>0.39</v>
      </c>
      <c r="L493" t="s">
        <v>8</v>
      </c>
      <c r="M493" t="s">
        <v>7</v>
      </c>
      <c r="N493" t="s">
        <v>8</v>
      </c>
      <c r="P493">
        <f t="shared" si="980"/>
        <v>-4.777033927153105E-2</v>
      </c>
      <c r="Q493">
        <f t="shared" si="981"/>
        <v>-1357.673009581197</v>
      </c>
      <c r="R493">
        <f t="shared" si="982"/>
        <v>4159608.5888132434</v>
      </c>
      <c r="S493">
        <f t="shared" si="983"/>
        <v>41.596085888132436</v>
      </c>
      <c r="T493">
        <f t="shared" si="984"/>
        <v>4.1596085888132434E-2</v>
      </c>
    </row>
    <row r="494" spans="1:20" x14ac:dyDescent="0.25">
      <c r="A494" s="5">
        <v>44099</v>
      </c>
      <c r="B494">
        <v>10736.33</v>
      </c>
      <c r="C494">
        <v>10760.53</v>
      </c>
      <c r="D494">
        <v>10556.24</v>
      </c>
      <c r="E494">
        <v>10686.67</v>
      </c>
      <c r="F494">
        <v>48101.117008000001</v>
      </c>
      <c r="G494">
        <v>-0.46</v>
      </c>
      <c r="L494" t="s">
        <v>7</v>
      </c>
      <c r="M494" t="s">
        <v>7</v>
      </c>
      <c r="N494" t="s">
        <v>8</v>
      </c>
      <c r="P494">
        <f t="shared" si="980"/>
        <v>0.27691027460962098</v>
      </c>
      <c r="Q494">
        <f t="shared" si="981"/>
        <v>13319.69351971479</v>
      </c>
      <c r="R494">
        <f t="shared" si="982"/>
        <v>4160966.2618228248</v>
      </c>
      <c r="S494">
        <f t="shared" si="983"/>
        <v>41.609662618228249</v>
      </c>
      <c r="T494">
        <f t="shared" si="984"/>
        <v>4.1609662618228252E-2</v>
      </c>
    </row>
    <row r="495" spans="1:20" x14ac:dyDescent="0.25">
      <c r="A495" s="5">
        <v>44098</v>
      </c>
      <c r="B495">
        <v>10241.459999999999</v>
      </c>
      <c r="C495">
        <v>10795.24</v>
      </c>
      <c r="D495">
        <v>10190.93</v>
      </c>
      <c r="E495">
        <v>10736.32</v>
      </c>
      <c r="F495">
        <v>57676.619426999998</v>
      </c>
      <c r="G495">
        <v>4.83</v>
      </c>
      <c r="L495" t="s">
        <v>7</v>
      </c>
      <c r="M495" t="s">
        <v>7</v>
      </c>
      <c r="N495" t="s">
        <v>8</v>
      </c>
      <c r="P495">
        <f t="shared" si="980"/>
        <v>0.80500074465092375</v>
      </c>
      <c r="Q495">
        <f t="shared" si="981"/>
        <v>46429.721587682936</v>
      </c>
      <c r="R495">
        <f t="shared" si="982"/>
        <v>4147646.5683031101</v>
      </c>
      <c r="S495">
        <f t="shared" si="983"/>
        <v>41.476465683031101</v>
      </c>
      <c r="T495">
        <f t="shared" si="984"/>
        <v>4.1476465683031101E-2</v>
      </c>
    </row>
    <row r="496" spans="1:20" x14ac:dyDescent="0.25">
      <c r="A496" s="5">
        <v>44097</v>
      </c>
      <c r="B496">
        <v>10529.61</v>
      </c>
      <c r="C496">
        <v>10537.15</v>
      </c>
      <c r="D496">
        <v>10136.82</v>
      </c>
      <c r="E496">
        <v>10241.459999999999</v>
      </c>
      <c r="F496">
        <v>51876.568078999997</v>
      </c>
      <c r="G496">
        <v>-2.74</v>
      </c>
      <c r="L496" t="s">
        <v>7</v>
      </c>
      <c r="M496" t="s">
        <v>7</v>
      </c>
      <c r="N496" t="s">
        <v>8</v>
      </c>
      <c r="P496">
        <f t="shared" si="980"/>
        <v>-0.47723128419054561</v>
      </c>
      <c r="Q496">
        <f t="shared" si="981"/>
        <v>-24757.121203739436</v>
      </c>
      <c r="R496">
        <f t="shared" si="982"/>
        <v>4101216.846715427</v>
      </c>
      <c r="S496">
        <f t="shared" si="983"/>
        <v>41.012168467154268</v>
      </c>
      <c r="T496">
        <f t="shared" si="984"/>
        <v>4.1012168467154268E-2</v>
      </c>
    </row>
    <row r="497" spans="1:20" x14ac:dyDescent="0.25">
      <c r="A497" s="5">
        <v>44096</v>
      </c>
      <c r="B497">
        <v>10417.219999999999</v>
      </c>
      <c r="C497">
        <v>10572.71</v>
      </c>
      <c r="D497">
        <v>10353</v>
      </c>
      <c r="E497">
        <v>10529.61</v>
      </c>
      <c r="F497">
        <v>43991.235476000002</v>
      </c>
      <c r="G497">
        <v>1.08</v>
      </c>
      <c r="L497" t="s">
        <v>7</v>
      </c>
      <c r="M497" t="s">
        <v>7</v>
      </c>
      <c r="N497" t="s">
        <v>8</v>
      </c>
      <c r="P497">
        <f t="shared" si="980"/>
        <v>0.60766464885532101</v>
      </c>
      <c r="Q497">
        <f t="shared" si="981"/>
        <v>26731.918658235281</v>
      </c>
      <c r="R497">
        <f t="shared" si="982"/>
        <v>4125973.9679191667</v>
      </c>
      <c r="S497">
        <f t="shared" si="983"/>
        <v>41.259739679191668</v>
      </c>
      <c r="T497">
        <f t="shared" si="984"/>
        <v>4.1259739679191665E-2</v>
      </c>
    </row>
    <row r="498" spans="1:20" x14ac:dyDescent="0.25">
      <c r="A498" s="5">
        <v>44095</v>
      </c>
      <c r="B498">
        <v>10920.28</v>
      </c>
      <c r="C498">
        <v>10988.86</v>
      </c>
      <c r="D498">
        <v>10296.35</v>
      </c>
      <c r="E498">
        <v>10417.219999999999</v>
      </c>
      <c r="F498">
        <v>70683.431179000007</v>
      </c>
      <c r="G498">
        <v>-4.6100000000000003</v>
      </c>
      <c r="L498" t="s">
        <v>7</v>
      </c>
      <c r="M498" t="s">
        <v>7</v>
      </c>
      <c r="N498" t="s">
        <v>8</v>
      </c>
      <c r="P498">
        <f t="shared" si="980"/>
        <v>-0.65092200834645297</v>
      </c>
      <c r="Q498">
        <f t="shared" si="981"/>
        <v>-46009.400979852973</v>
      </c>
      <c r="R498">
        <f t="shared" si="982"/>
        <v>4099242.0492609316</v>
      </c>
      <c r="S498">
        <f t="shared" si="983"/>
        <v>40.992420492609313</v>
      </c>
      <c r="T498">
        <f t="shared" si="984"/>
        <v>4.0992420492609309E-2</v>
      </c>
    </row>
    <row r="499" spans="1:20" x14ac:dyDescent="0.25">
      <c r="A499" s="5">
        <v>44094</v>
      </c>
      <c r="B499">
        <v>11080.64</v>
      </c>
      <c r="C499">
        <v>11080.64</v>
      </c>
      <c r="D499">
        <v>10723</v>
      </c>
      <c r="E499">
        <v>10920.28</v>
      </c>
      <c r="F499">
        <v>39157.922565000001</v>
      </c>
      <c r="G499">
        <v>-1.45</v>
      </c>
      <c r="L499" t="s">
        <v>8</v>
      </c>
      <c r="M499" t="s">
        <v>7</v>
      </c>
      <c r="N499" t="s">
        <v>8</v>
      </c>
      <c r="P499">
        <f t="shared" si="980"/>
        <v>0.10323230063751804</v>
      </c>
      <c r="Q499">
        <f t="shared" si="981"/>
        <v>4042.3624345707317</v>
      </c>
      <c r="R499">
        <f t="shared" si="982"/>
        <v>4145251.4502407843</v>
      </c>
      <c r="S499">
        <f t="shared" si="983"/>
        <v>41.452514502407844</v>
      </c>
      <c r="T499">
        <f t="shared" si="984"/>
        <v>4.1452514502407847E-2</v>
      </c>
    </row>
    <row r="500" spans="1:20" x14ac:dyDescent="0.25">
      <c r="A500" s="5">
        <v>44093</v>
      </c>
      <c r="B500">
        <v>10933.4</v>
      </c>
      <c r="C500">
        <v>11179.79</v>
      </c>
      <c r="D500">
        <v>10887.37</v>
      </c>
      <c r="E500">
        <v>11080.65</v>
      </c>
      <c r="F500">
        <v>38440.036857999999</v>
      </c>
      <c r="G500">
        <v>1.35</v>
      </c>
      <c r="L500" t="s">
        <v>8</v>
      </c>
      <c r="M500" t="s">
        <v>7</v>
      </c>
      <c r="N500" t="s">
        <v>8</v>
      </c>
      <c r="P500">
        <f t="shared" si="980"/>
        <v>0.32193420422678876</v>
      </c>
      <c r="Q500">
        <f t="shared" si="981"/>
        <v>12375.162676328659</v>
      </c>
      <c r="R500">
        <f t="shared" si="982"/>
        <v>4141209.0878062136</v>
      </c>
      <c r="S500">
        <f t="shared" si="983"/>
        <v>41.412090878062138</v>
      </c>
      <c r="T500">
        <f t="shared" si="984"/>
        <v>4.1412090878062136E-2</v>
      </c>
    </row>
    <row r="501" spans="1:20" x14ac:dyDescent="0.25">
      <c r="A501" s="5">
        <v>44092</v>
      </c>
      <c r="B501">
        <v>10940</v>
      </c>
      <c r="C501">
        <v>11038.03</v>
      </c>
      <c r="D501">
        <v>10812.84</v>
      </c>
      <c r="E501">
        <v>10933.39</v>
      </c>
      <c r="F501">
        <v>47266.728275000001</v>
      </c>
      <c r="G501">
        <v>-0.06</v>
      </c>
      <c r="L501" t="s">
        <v>8</v>
      </c>
      <c r="M501" t="s">
        <v>7</v>
      </c>
      <c r="N501" t="s">
        <v>8</v>
      </c>
      <c r="P501">
        <f t="shared" si="980"/>
        <v>7.0651449886753412E-2</v>
      </c>
      <c r="Q501">
        <f t="shared" si="981"/>
        <v>3339.4628840319533</v>
      </c>
      <c r="R501">
        <f t="shared" si="982"/>
        <v>4128833.9251298849</v>
      </c>
      <c r="S501">
        <f t="shared" si="983"/>
        <v>41.288339251298851</v>
      </c>
      <c r="T501">
        <f t="shared" si="984"/>
        <v>4.128833925129885E-2</v>
      </c>
    </row>
    <row r="502" spans="1:20" x14ac:dyDescent="0.25">
      <c r="A502" s="5">
        <v>44091</v>
      </c>
      <c r="B502">
        <v>10954.01</v>
      </c>
      <c r="C502">
        <v>11045.46</v>
      </c>
      <c r="D502">
        <v>10745.83</v>
      </c>
      <c r="E502">
        <v>10939.99</v>
      </c>
      <c r="F502">
        <v>55601.614528999999</v>
      </c>
      <c r="G502">
        <v>-0.13</v>
      </c>
      <c r="L502" t="s">
        <v>8</v>
      </c>
      <c r="M502" t="s">
        <v>7</v>
      </c>
      <c r="N502" t="s">
        <v>8</v>
      </c>
      <c r="P502">
        <f t="shared" si="980"/>
        <v>0.29599839802423239</v>
      </c>
      <c r="Q502">
        <f t="shared" si="981"/>
        <v>16457.988828144884</v>
      </c>
      <c r="R502">
        <f t="shared" si="982"/>
        <v>4125494.4622458527</v>
      </c>
      <c r="S502">
        <f t="shared" si="983"/>
        <v>41.254944622458524</v>
      </c>
      <c r="T502">
        <f t="shared" si="984"/>
        <v>4.1254944622458524E-2</v>
      </c>
    </row>
    <row r="503" spans="1:20" x14ac:dyDescent="0.25">
      <c r="A503" s="5">
        <v>44090</v>
      </c>
      <c r="B503">
        <v>10785.23</v>
      </c>
      <c r="C503">
        <v>11093</v>
      </c>
      <c r="D503">
        <v>10661.22</v>
      </c>
      <c r="E503">
        <v>10954.01</v>
      </c>
      <c r="F503">
        <v>64991.512439999999</v>
      </c>
      <c r="G503">
        <v>1.56</v>
      </c>
      <c r="L503" t="s">
        <v>8</v>
      </c>
      <c r="M503" t="s">
        <v>7</v>
      </c>
      <c r="N503" t="s">
        <v>8</v>
      </c>
      <c r="P503">
        <f t="shared" si="980"/>
        <v>0.35619991662420875</v>
      </c>
      <c r="Q503">
        <f t="shared" si="981"/>
        <v>23149.971312409227</v>
      </c>
      <c r="R503">
        <f t="shared" si="982"/>
        <v>4109036.4734177077</v>
      </c>
      <c r="S503">
        <f t="shared" si="983"/>
        <v>41.090364734177079</v>
      </c>
      <c r="T503">
        <f t="shared" si="984"/>
        <v>4.1090364734177078E-2</v>
      </c>
    </row>
    <row r="504" spans="1:20" x14ac:dyDescent="0.25">
      <c r="A504" s="5">
        <v>44089</v>
      </c>
      <c r="B504">
        <v>10671.77</v>
      </c>
      <c r="C504">
        <v>10930.04</v>
      </c>
      <c r="D504">
        <v>10606.48</v>
      </c>
      <c r="E504">
        <v>10785.31</v>
      </c>
      <c r="F504">
        <v>61822.452786000002</v>
      </c>
      <c r="G504">
        <v>1.06</v>
      </c>
      <c r="L504" t="s">
        <v>8</v>
      </c>
      <c r="M504" t="s">
        <v>7</v>
      </c>
      <c r="N504" t="s">
        <v>8</v>
      </c>
      <c r="P504">
        <f t="shared" si="980"/>
        <v>0.10539003585115096</v>
      </c>
      <c r="Q504">
        <f t="shared" si="981"/>
        <v>6515.4705155226275</v>
      </c>
      <c r="R504">
        <f t="shared" si="982"/>
        <v>4085886.5021052985</v>
      </c>
      <c r="S504">
        <f t="shared" si="983"/>
        <v>40.858865021052985</v>
      </c>
      <c r="T504">
        <f t="shared" si="984"/>
        <v>4.0858865021052987E-2</v>
      </c>
    </row>
    <row r="505" spans="1:20" x14ac:dyDescent="0.25">
      <c r="A505" s="5">
        <v>44088</v>
      </c>
      <c r="B505">
        <v>10332.84</v>
      </c>
      <c r="C505">
        <v>10750</v>
      </c>
      <c r="D505">
        <v>10212.34</v>
      </c>
      <c r="E505">
        <v>10671.77</v>
      </c>
      <c r="F505">
        <v>67059.291360999996</v>
      </c>
      <c r="G505">
        <v>3.28</v>
      </c>
      <c r="L505" t="s">
        <v>8</v>
      </c>
      <c r="M505" t="s">
        <v>7</v>
      </c>
      <c r="N505" t="s">
        <v>8</v>
      </c>
      <c r="P505">
        <f t="shared" si="980"/>
        <v>0.70899825168322139</v>
      </c>
      <c r="Q505">
        <f t="shared" si="981"/>
        <v>47544.920334064751</v>
      </c>
      <c r="R505">
        <f t="shared" si="982"/>
        <v>4079371.0315897758</v>
      </c>
      <c r="S505">
        <f t="shared" si="983"/>
        <v>40.793710315897755</v>
      </c>
      <c r="T505">
        <f t="shared" si="984"/>
        <v>4.0793710315897756E-2</v>
      </c>
    </row>
    <row r="506" spans="1:20" x14ac:dyDescent="0.25">
      <c r="A506" s="5">
        <v>44087</v>
      </c>
      <c r="B506">
        <v>10440.67</v>
      </c>
      <c r="C506">
        <v>10580.11</v>
      </c>
      <c r="D506">
        <v>10200</v>
      </c>
      <c r="E506">
        <v>10332.83</v>
      </c>
      <c r="F506">
        <v>43837.609864999999</v>
      </c>
      <c r="G506">
        <v>-1.03</v>
      </c>
      <c r="L506" t="s">
        <v>7</v>
      </c>
      <c r="M506" t="s">
        <v>7</v>
      </c>
      <c r="N506" t="s">
        <v>8</v>
      </c>
      <c r="P506">
        <f t="shared" si="980"/>
        <v>-0.3010970508537017</v>
      </c>
      <c r="Q506">
        <f t="shared" si="981"/>
        <v>-13199.375046826639</v>
      </c>
      <c r="R506">
        <f t="shared" si="982"/>
        <v>4031826.1112557109</v>
      </c>
      <c r="S506">
        <f t="shared" si="983"/>
        <v>40.31826111255711</v>
      </c>
      <c r="T506">
        <f t="shared" si="984"/>
        <v>4.0318261112557111E-2</v>
      </c>
    </row>
    <row r="507" spans="1:20" x14ac:dyDescent="0.25">
      <c r="A507" s="5">
        <v>44086</v>
      </c>
      <c r="B507">
        <v>10387.89</v>
      </c>
      <c r="C507">
        <v>10477.969999999999</v>
      </c>
      <c r="D507">
        <v>10269.25</v>
      </c>
      <c r="E507">
        <v>10440.92</v>
      </c>
      <c r="F507">
        <v>35379.153096000002</v>
      </c>
      <c r="G507">
        <v>0.51</v>
      </c>
      <c r="L507" t="s">
        <v>7</v>
      </c>
      <c r="M507" t="s">
        <v>7</v>
      </c>
      <c r="N507" t="s">
        <v>8</v>
      </c>
      <c r="P507">
        <f t="shared" si="980"/>
        <v>0.64497891912610783</v>
      </c>
      <c r="Q507">
        <f t="shared" si="981"/>
        <v>22818.807923455173</v>
      </c>
      <c r="R507">
        <f t="shared" si="982"/>
        <v>4045025.4863025374</v>
      </c>
      <c r="S507">
        <f t="shared" si="983"/>
        <v>40.450254863025371</v>
      </c>
      <c r="T507">
        <f t="shared" si="984"/>
        <v>4.0450254863025371E-2</v>
      </c>
    </row>
    <row r="508" spans="1:20" x14ac:dyDescent="0.25">
      <c r="A508" s="5">
        <v>44085</v>
      </c>
      <c r="B508">
        <v>10336.86</v>
      </c>
      <c r="C508">
        <v>10397.6</v>
      </c>
      <c r="D508">
        <v>10200</v>
      </c>
      <c r="E508">
        <v>10387.89</v>
      </c>
      <c r="F508">
        <v>43830.254466999999</v>
      </c>
      <c r="G508">
        <v>0.49</v>
      </c>
      <c r="L508" t="s">
        <v>7</v>
      </c>
      <c r="M508" t="s">
        <v>7</v>
      </c>
      <c r="N508" t="s">
        <v>8</v>
      </c>
      <c r="P508">
        <f t="shared" si="980"/>
        <v>0.90172064777326999</v>
      </c>
      <c r="Q508">
        <f t="shared" si="981"/>
        <v>39522.645450050499</v>
      </c>
      <c r="R508">
        <f t="shared" si="982"/>
        <v>4022206.6783790821</v>
      </c>
      <c r="S508">
        <f t="shared" si="983"/>
        <v>40.222066783790822</v>
      </c>
      <c r="T508">
        <f t="shared" si="984"/>
        <v>4.0222066783790825E-2</v>
      </c>
    </row>
    <row r="509" spans="1:20" x14ac:dyDescent="0.25">
      <c r="A509" s="5">
        <v>44084</v>
      </c>
      <c r="B509">
        <v>10219.290000000001</v>
      </c>
      <c r="C509">
        <v>10483.35</v>
      </c>
      <c r="D509">
        <v>10070.83</v>
      </c>
      <c r="E509">
        <v>10336.870000000001</v>
      </c>
      <c r="F509">
        <v>58253.753750000003</v>
      </c>
      <c r="G509">
        <v>1.1499999999999999</v>
      </c>
      <c r="L509" t="s">
        <v>7</v>
      </c>
      <c r="M509" t="s">
        <v>7</v>
      </c>
      <c r="N509" t="s">
        <v>8</v>
      </c>
      <c r="P509">
        <f t="shared" si="980"/>
        <v>0.28982837195772615</v>
      </c>
      <c r="Q509">
        <f t="shared" si="981"/>
        <v>16883.590609788786</v>
      </c>
      <c r="R509">
        <f t="shared" si="982"/>
        <v>3982684.0329290316</v>
      </c>
      <c r="S509">
        <f t="shared" si="983"/>
        <v>39.826840329290313</v>
      </c>
      <c r="T509">
        <f t="shared" si="984"/>
        <v>3.9826840329290313E-2</v>
      </c>
    </row>
    <row r="510" spans="1:20" x14ac:dyDescent="0.25">
      <c r="A510" s="5">
        <v>44083</v>
      </c>
      <c r="B510">
        <v>10126.66</v>
      </c>
      <c r="C510">
        <v>10343</v>
      </c>
      <c r="D510">
        <v>9981.01</v>
      </c>
      <c r="E510">
        <v>10219.200000000001</v>
      </c>
      <c r="F510">
        <v>49347.113775999998</v>
      </c>
      <c r="G510">
        <v>0.91</v>
      </c>
      <c r="L510" t="s">
        <v>7</v>
      </c>
      <c r="M510" t="s">
        <v>7</v>
      </c>
      <c r="N510" t="s">
        <v>8</v>
      </c>
      <c r="P510">
        <f t="shared" si="980"/>
        <v>0.31600320450841546</v>
      </c>
      <c r="Q510">
        <f t="shared" si="981"/>
        <v>15593.846086457374</v>
      </c>
      <c r="R510">
        <f t="shared" si="982"/>
        <v>3965800.4423192427</v>
      </c>
      <c r="S510">
        <f t="shared" si="983"/>
        <v>39.65800442319243</v>
      </c>
      <c r="T510">
        <f t="shared" si="984"/>
        <v>3.9658004423192429E-2</v>
      </c>
    </row>
    <row r="511" spans="1:20" x14ac:dyDescent="0.25">
      <c r="A511" s="5">
        <v>44082</v>
      </c>
      <c r="B511">
        <v>10373.450000000001</v>
      </c>
      <c r="C511">
        <v>10438</v>
      </c>
      <c r="D511">
        <v>9850</v>
      </c>
      <c r="E511">
        <v>10126.65</v>
      </c>
      <c r="F511">
        <v>73491.878417999993</v>
      </c>
      <c r="G511">
        <v>-2.38</v>
      </c>
      <c r="L511" t="s">
        <v>7</v>
      </c>
      <c r="M511" t="s">
        <v>7</v>
      </c>
      <c r="N511" t="s">
        <v>8</v>
      </c>
      <c r="P511">
        <f t="shared" si="980"/>
        <v>-5.901360544217811E-2</v>
      </c>
      <c r="Q511">
        <f t="shared" si="981"/>
        <v>-4337.0207161643766</v>
      </c>
      <c r="R511">
        <f t="shared" si="982"/>
        <v>3950206.5962327854</v>
      </c>
      <c r="S511">
        <f t="shared" si="983"/>
        <v>39.502065962327855</v>
      </c>
      <c r="T511">
        <f t="shared" si="984"/>
        <v>3.9502065962327852E-2</v>
      </c>
    </row>
    <row r="512" spans="1:20" x14ac:dyDescent="0.25">
      <c r="A512" s="5">
        <v>44081</v>
      </c>
      <c r="B512">
        <v>10255.89</v>
      </c>
      <c r="C512">
        <v>10410.75</v>
      </c>
      <c r="D512">
        <v>9875</v>
      </c>
      <c r="E512">
        <v>10373.44</v>
      </c>
      <c r="F512">
        <v>62620.230675999999</v>
      </c>
      <c r="G512">
        <v>1.1499999999999999</v>
      </c>
      <c r="L512" t="s">
        <v>7</v>
      </c>
      <c r="M512" t="s">
        <v>7</v>
      </c>
      <c r="N512" t="s">
        <v>8</v>
      </c>
      <c r="P512">
        <f t="shared" si="980"/>
        <v>0.86071861875875133</v>
      </c>
      <c r="Q512">
        <f t="shared" si="981"/>
        <v>53898.398453801106</v>
      </c>
      <c r="R512">
        <f t="shared" si="982"/>
        <v>3954543.6169489496</v>
      </c>
      <c r="S512">
        <f t="shared" si="983"/>
        <v>39.545436169489498</v>
      </c>
      <c r="T512">
        <f t="shared" si="984"/>
        <v>3.9545436169489495E-2</v>
      </c>
    </row>
    <row r="513" spans="1:20" x14ac:dyDescent="0.25">
      <c r="A513" s="5">
        <v>44080</v>
      </c>
      <c r="B513">
        <v>10166.69</v>
      </c>
      <c r="C513">
        <v>10347.14</v>
      </c>
      <c r="D513">
        <v>9994.86</v>
      </c>
      <c r="E513">
        <v>10256.200000000001</v>
      </c>
      <c r="F513">
        <v>56368.788815</v>
      </c>
      <c r="G513">
        <v>0.88</v>
      </c>
      <c r="L513" t="s">
        <v>7</v>
      </c>
      <c r="M513" t="s">
        <v>7</v>
      </c>
      <c r="N513" t="s">
        <v>8</v>
      </c>
      <c r="P513">
        <f t="shared" si="980"/>
        <v>0.48370614284092772</v>
      </c>
      <c r="Q513">
        <f t="shared" si="981"/>
        <v>27265.929414318478</v>
      </c>
      <c r="R513">
        <f t="shared" si="982"/>
        <v>3900645.2184951487</v>
      </c>
      <c r="S513">
        <f t="shared" si="983"/>
        <v>39.006452184951485</v>
      </c>
      <c r="T513">
        <f t="shared" si="984"/>
        <v>3.9006452184951482E-2</v>
      </c>
    </row>
    <row r="514" spans="1:20" x14ac:dyDescent="0.25">
      <c r="A514" s="5">
        <v>44079</v>
      </c>
      <c r="B514">
        <v>10446.25</v>
      </c>
      <c r="C514">
        <v>10565.68</v>
      </c>
      <c r="D514">
        <v>9825</v>
      </c>
      <c r="E514">
        <v>10166.69</v>
      </c>
      <c r="F514">
        <v>90001.605567999999</v>
      </c>
      <c r="G514">
        <v>-2.68</v>
      </c>
      <c r="L514" t="s">
        <v>7</v>
      </c>
      <c r="M514" t="s">
        <v>7</v>
      </c>
      <c r="N514" t="s">
        <v>8</v>
      </c>
      <c r="P514">
        <f t="shared" si="980"/>
        <v>-7.736134363017666E-2</v>
      </c>
      <c r="Q514">
        <f t="shared" si="981"/>
        <v>-6962.6451356136686</v>
      </c>
      <c r="R514">
        <f t="shared" si="982"/>
        <v>3873379.2890808303</v>
      </c>
      <c r="S514">
        <f t="shared" si="983"/>
        <v>38.733792890808303</v>
      </c>
      <c r="T514">
        <f t="shared" si="984"/>
        <v>3.8733792890808305E-2</v>
      </c>
    </row>
    <row r="515" spans="1:20" x14ac:dyDescent="0.25">
      <c r="A515" s="5">
        <v>44078</v>
      </c>
      <c r="B515">
        <v>10138.290000000001</v>
      </c>
      <c r="C515">
        <v>10627.05</v>
      </c>
      <c r="D515">
        <v>9875.5</v>
      </c>
      <c r="E515">
        <v>10446.25</v>
      </c>
      <c r="F515">
        <v>92733.599113000004</v>
      </c>
      <c r="G515">
        <v>3.04</v>
      </c>
      <c r="L515" t="s">
        <v>8</v>
      </c>
      <c r="M515" t="s">
        <v>7</v>
      </c>
      <c r="N515" t="s">
        <v>8</v>
      </c>
      <c r="P515">
        <f t="shared" si="980"/>
        <v>0.51886102055751593</v>
      </c>
      <c r="Q515">
        <f t="shared" si="981"/>
        <v>48115.849875742737</v>
      </c>
      <c r="R515">
        <f t="shared" si="982"/>
        <v>3880341.9342164439</v>
      </c>
      <c r="S515">
        <f t="shared" si="983"/>
        <v>38.803419342164439</v>
      </c>
      <c r="T515">
        <f t="shared" si="984"/>
        <v>3.8803419342164441E-2</v>
      </c>
    </row>
    <row r="516" spans="1:20" x14ac:dyDescent="0.25">
      <c r="A516" s="5">
        <v>44077</v>
      </c>
      <c r="B516">
        <v>11388.54</v>
      </c>
      <c r="C516">
        <v>11462.6</v>
      </c>
      <c r="D516">
        <v>9960.7999999999993</v>
      </c>
      <c r="E516">
        <v>10140.85</v>
      </c>
      <c r="F516">
        <v>121950.106015</v>
      </c>
      <c r="G516">
        <v>-10.96</v>
      </c>
      <c r="L516" t="s">
        <v>7</v>
      </c>
      <c r="M516" t="s">
        <v>7</v>
      </c>
      <c r="N516" t="s">
        <v>8</v>
      </c>
      <c r="P516">
        <f t="shared" si="980"/>
        <v>-0.76022106805167</v>
      </c>
      <c r="Q516">
        <f t="shared" si="981"/>
        <v>-92709.039843737686</v>
      </c>
      <c r="R516">
        <f t="shared" si="982"/>
        <v>3832226.0843407013</v>
      </c>
      <c r="S516">
        <f t="shared" si="983"/>
        <v>38.322260843407015</v>
      </c>
      <c r="T516">
        <f t="shared" si="984"/>
        <v>3.8322260843407015E-2</v>
      </c>
    </row>
    <row r="517" spans="1:20" x14ac:dyDescent="0.25">
      <c r="A517" s="5">
        <v>44076</v>
      </c>
      <c r="B517">
        <v>11921.97</v>
      </c>
      <c r="C517">
        <v>11954.57</v>
      </c>
      <c r="D517">
        <v>11160.1</v>
      </c>
      <c r="E517">
        <v>11388.54</v>
      </c>
      <c r="F517">
        <v>87221.845602000001</v>
      </c>
      <c r="G517">
        <v>-4.47</v>
      </c>
      <c r="L517" t="s">
        <v>7</v>
      </c>
      <c r="M517" t="s">
        <v>8</v>
      </c>
      <c r="N517" t="s">
        <v>8</v>
      </c>
      <c r="P517">
        <f t="shared" si="980"/>
        <v>-0.42492479262904653</v>
      </c>
      <c r="Q517">
        <f t="shared" si="981"/>
        <v>-37062.724655152568</v>
      </c>
      <c r="R517">
        <f t="shared" si="982"/>
        <v>3924935.124184439</v>
      </c>
      <c r="S517">
        <f t="shared" si="983"/>
        <v>39.249351241844387</v>
      </c>
      <c r="T517">
        <f t="shared" si="984"/>
        <v>3.9249351241844387E-2</v>
      </c>
    </row>
    <row r="518" spans="1:20" x14ac:dyDescent="0.25">
      <c r="A518" s="5">
        <v>44075</v>
      </c>
      <c r="B518">
        <v>11649.51</v>
      </c>
      <c r="C518">
        <v>12050.85</v>
      </c>
      <c r="D518">
        <v>11515</v>
      </c>
      <c r="E518">
        <v>11921.97</v>
      </c>
      <c r="F518">
        <v>78148.193668000007</v>
      </c>
      <c r="G518">
        <v>2.34</v>
      </c>
      <c r="L518" t="s">
        <v>8</v>
      </c>
      <c r="M518" t="s">
        <v>8</v>
      </c>
      <c r="N518" t="s">
        <v>8</v>
      </c>
      <c r="P518">
        <f t="shared" ref="P518:P581" si="985">IF(C518=D518,0,((E518-D518)-(C518-E518))/(C518-D518))</f>
        <v>0.51896986096855113</v>
      </c>
      <c r="Q518">
        <f t="shared" ref="Q518:Q581" si="986">F518*P518</f>
        <v>40556.557202825374</v>
      </c>
      <c r="R518">
        <f t="shared" ref="R518:R581" si="987">R519+Q518</f>
        <v>3961997.8488395917</v>
      </c>
      <c r="S518">
        <f t="shared" ref="S518:S581" si="988">R518/100000</f>
        <v>39.619978488395915</v>
      </c>
      <c r="T518">
        <f t="shared" ref="T518:T581" si="989">S518/1000</f>
        <v>3.9619978488395914E-2</v>
      </c>
    </row>
    <row r="519" spans="1:20" x14ac:dyDescent="0.25">
      <c r="A519" s="5">
        <v>44074</v>
      </c>
      <c r="B519">
        <v>11711.17</v>
      </c>
      <c r="C519">
        <v>11800.77</v>
      </c>
      <c r="D519">
        <v>11570</v>
      </c>
      <c r="E519">
        <v>11649.51</v>
      </c>
      <c r="F519">
        <v>55353.617744000003</v>
      </c>
      <c r="G519">
        <v>-0.53</v>
      </c>
      <c r="L519" t="s">
        <v>7</v>
      </c>
      <c r="M519" t="s">
        <v>8</v>
      </c>
      <c r="N519" t="s">
        <v>8</v>
      </c>
      <c r="P519">
        <f t="shared" si="985"/>
        <v>-0.31091563028123181</v>
      </c>
      <c r="Q519">
        <f t="shared" si="986"/>
        <v>-17210.304949222136</v>
      </c>
      <c r="R519">
        <f t="shared" si="987"/>
        <v>3921441.2916367664</v>
      </c>
      <c r="S519">
        <f t="shared" si="988"/>
        <v>39.214412916367664</v>
      </c>
      <c r="T519">
        <f t="shared" si="989"/>
        <v>3.9214412916367666E-2</v>
      </c>
    </row>
    <row r="520" spans="1:20" x14ac:dyDescent="0.25">
      <c r="A520" s="5">
        <v>44073</v>
      </c>
      <c r="B520">
        <v>11465.84</v>
      </c>
      <c r="C520">
        <v>11719</v>
      </c>
      <c r="D520">
        <v>11458</v>
      </c>
      <c r="E520">
        <v>11711.16</v>
      </c>
      <c r="F520">
        <v>43177.879053999997</v>
      </c>
      <c r="G520">
        <v>2.14</v>
      </c>
      <c r="L520" t="s">
        <v>7</v>
      </c>
      <c r="M520" t="s">
        <v>8</v>
      </c>
      <c r="N520" t="s">
        <v>8</v>
      </c>
      <c r="P520">
        <f t="shared" si="985"/>
        <v>0.9399233716475085</v>
      </c>
      <c r="Q520">
        <f t="shared" si="986"/>
        <v>40583.897661024013</v>
      </c>
      <c r="R520">
        <f t="shared" si="987"/>
        <v>3938651.5965859885</v>
      </c>
      <c r="S520">
        <f t="shared" si="988"/>
        <v>39.386515965859886</v>
      </c>
      <c r="T520">
        <f t="shared" si="989"/>
        <v>3.9386515965859889E-2</v>
      </c>
    </row>
    <row r="521" spans="1:20" x14ac:dyDescent="0.25">
      <c r="A521" s="5">
        <v>44072</v>
      </c>
      <c r="B521">
        <v>11526.9</v>
      </c>
      <c r="C521">
        <v>11580.02</v>
      </c>
      <c r="D521">
        <v>11417.04</v>
      </c>
      <c r="E521">
        <v>11465.84</v>
      </c>
      <c r="F521">
        <v>32973.799200000001</v>
      </c>
      <c r="G521">
        <v>-0.53</v>
      </c>
      <c r="L521" t="s">
        <v>7</v>
      </c>
      <c r="M521" t="s">
        <v>8</v>
      </c>
      <c r="N521" t="s">
        <v>8</v>
      </c>
      <c r="P521">
        <f t="shared" si="985"/>
        <v>-0.40115351576881331</v>
      </c>
      <c r="Q521">
        <f t="shared" si="986"/>
        <v>-13227.555477334885</v>
      </c>
      <c r="R521">
        <f t="shared" si="987"/>
        <v>3898067.6989249643</v>
      </c>
      <c r="S521">
        <f t="shared" si="988"/>
        <v>38.980676989249645</v>
      </c>
      <c r="T521">
        <f t="shared" si="989"/>
        <v>3.8980676989249646E-2</v>
      </c>
    </row>
    <row r="522" spans="1:20" x14ac:dyDescent="0.25">
      <c r="A522" s="5">
        <v>44071</v>
      </c>
      <c r="B522">
        <v>11330.38</v>
      </c>
      <c r="C522">
        <v>11542.65</v>
      </c>
      <c r="D522">
        <v>11276.89</v>
      </c>
      <c r="E522">
        <v>11526.91</v>
      </c>
      <c r="F522">
        <v>45953.908365000003</v>
      </c>
      <c r="G522">
        <v>1.73</v>
      </c>
      <c r="L522" t="s">
        <v>7</v>
      </c>
      <c r="M522" t="s">
        <v>8</v>
      </c>
      <c r="N522" t="s">
        <v>8</v>
      </c>
      <c r="P522">
        <f t="shared" si="985"/>
        <v>0.88154726068633527</v>
      </c>
      <c r="Q522">
        <f t="shared" si="986"/>
        <v>40510.542036996623</v>
      </c>
      <c r="R522">
        <f t="shared" si="987"/>
        <v>3911295.2544022989</v>
      </c>
      <c r="S522">
        <f t="shared" si="988"/>
        <v>39.112952544022988</v>
      </c>
      <c r="T522">
        <f t="shared" si="989"/>
        <v>3.9112952544022986E-2</v>
      </c>
    </row>
    <row r="523" spans="1:20" x14ac:dyDescent="0.25">
      <c r="A523" s="5">
        <v>44070</v>
      </c>
      <c r="B523">
        <v>11461.42</v>
      </c>
      <c r="C523">
        <v>11592.2</v>
      </c>
      <c r="D523">
        <v>11125</v>
      </c>
      <c r="E523">
        <v>11330.38</v>
      </c>
      <c r="F523">
        <v>63246.036382999999</v>
      </c>
      <c r="G523">
        <v>-1.1399999999999999</v>
      </c>
      <c r="L523" t="s">
        <v>7</v>
      </c>
      <c r="M523" t="s">
        <v>8</v>
      </c>
      <c r="N523" t="s">
        <v>8</v>
      </c>
      <c r="P523">
        <f t="shared" si="985"/>
        <v>-0.12080479452055275</v>
      </c>
      <c r="Q523">
        <f t="shared" si="986"/>
        <v>-7640.424429487718</v>
      </c>
      <c r="R523">
        <f t="shared" si="987"/>
        <v>3870784.7123653023</v>
      </c>
      <c r="S523">
        <f t="shared" si="988"/>
        <v>38.707847123653025</v>
      </c>
      <c r="T523">
        <f t="shared" si="989"/>
        <v>3.8707847123653022E-2</v>
      </c>
    </row>
    <row r="524" spans="1:20" x14ac:dyDescent="0.25">
      <c r="A524" s="5">
        <v>44069</v>
      </c>
      <c r="B524">
        <v>11318.42</v>
      </c>
      <c r="C524">
        <v>11539.32</v>
      </c>
      <c r="D524">
        <v>11244</v>
      </c>
      <c r="E524">
        <v>11461.43</v>
      </c>
      <c r="F524">
        <v>53998.231230999998</v>
      </c>
      <c r="G524">
        <v>1.26</v>
      </c>
      <c r="L524" t="s">
        <v>7</v>
      </c>
      <c r="M524" t="s">
        <v>8</v>
      </c>
      <c r="N524" t="s">
        <v>8</v>
      </c>
      <c r="P524">
        <f t="shared" si="985"/>
        <v>0.47250440200460858</v>
      </c>
      <c r="Q524">
        <f t="shared" si="986"/>
        <v>25514.401957110233</v>
      </c>
      <c r="R524">
        <f t="shared" si="987"/>
        <v>3878425.1367947902</v>
      </c>
      <c r="S524">
        <f t="shared" si="988"/>
        <v>38.784251367947903</v>
      </c>
      <c r="T524">
        <f t="shared" si="989"/>
        <v>3.87842513679479E-2</v>
      </c>
    </row>
    <row r="525" spans="1:20" x14ac:dyDescent="0.25">
      <c r="A525" s="5">
        <v>44068</v>
      </c>
      <c r="B525">
        <v>11748.19</v>
      </c>
      <c r="C525">
        <v>11767.85</v>
      </c>
      <c r="D525">
        <v>11117.64</v>
      </c>
      <c r="E525">
        <v>11318.42</v>
      </c>
      <c r="F525">
        <v>69590.923272</v>
      </c>
      <c r="G525">
        <v>-3.66</v>
      </c>
      <c r="L525" t="s">
        <v>7</v>
      </c>
      <c r="M525" t="s">
        <v>8</v>
      </c>
      <c r="N525" t="s">
        <v>8</v>
      </c>
      <c r="P525">
        <f t="shared" si="985"/>
        <v>-0.38241491210531869</v>
      </c>
      <c r="Q525">
        <f t="shared" si="986"/>
        <v>-26612.606806389857</v>
      </c>
      <c r="R525">
        <f t="shared" si="987"/>
        <v>3852910.7348376801</v>
      </c>
      <c r="S525">
        <f t="shared" si="988"/>
        <v>38.529107348376805</v>
      </c>
      <c r="T525">
        <f t="shared" si="989"/>
        <v>3.8529107348376807E-2</v>
      </c>
    </row>
    <row r="526" spans="1:20" x14ac:dyDescent="0.25">
      <c r="A526" s="5">
        <v>44067</v>
      </c>
      <c r="B526">
        <v>11648.12</v>
      </c>
      <c r="C526">
        <v>11824.9</v>
      </c>
      <c r="D526">
        <v>11585.09</v>
      </c>
      <c r="E526">
        <v>11748.2</v>
      </c>
      <c r="F526">
        <v>46212.391866999998</v>
      </c>
      <c r="G526">
        <v>0.86</v>
      </c>
      <c r="L526" t="s">
        <v>7</v>
      </c>
      <c r="M526" t="s">
        <v>8</v>
      </c>
      <c r="N526" t="s">
        <v>8</v>
      </c>
      <c r="P526">
        <f t="shared" si="985"/>
        <v>0.36032692548268153</v>
      </c>
      <c r="Q526">
        <f t="shared" si="986"/>
        <v>16651.569080636986</v>
      </c>
      <c r="R526">
        <f t="shared" si="987"/>
        <v>3879523.3416440701</v>
      </c>
      <c r="S526">
        <f t="shared" si="988"/>
        <v>38.795233416440702</v>
      </c>
      <c r="T526">
        <f t="shared" si="989"/>
        <v>3.87952334164407E-2</v>
      </c>
    </row>
    <row r="527" spans="1:20" x14ac:dyDescent="0.25">
      <c r="A527" s="5">
        <v>44066</v>
      </c>
      <c r="B527">
        <v>11663.51</v>
      </c>
      <c r="C527">
        <v>11718.07</v>
      </c>
      <c r="D527">
        <v>11514.13</v>
      </c>
      <c r="E527">
        <v>11648.13</v>
      </c>
      <c r="F527">
        <v>37900.004690000002</v>
      </c>
      <c r="G527">
        <v>-0.13</v>
      </c>
      <c r="L527" t="s">
        <v>7</v>
      </c>
      <c r="M527" t="s">
        <v>8</v>
      </c>
      <c r="N527" t="s">
        <v>8</v>
      </c>
      <c r="P527">
        <f t="shared" si="985"/>
        <v>0.3141119937236409</v>
      </c>
      <c r="Q527">
        <f t="shared" si="986"/>
        <v>11904.84603531124</v>
      </c>
      <c r="R527">
        <f t="shared" si="987"/>
        <v>3862871.7725634333</v>
      </c>
      <c r="S527">
        <f t="shared" si="988"/>
        <v>38.628717725634331</v>
      </c>
      <c r="T527">
        <f t="shared" si="989"/>
        <v>3.862871772563433E-2</v>
      </c>
    </row>
    <row r="528" spans="1:20" x14ac:dyDescent="0.25">
      <c r="A528" s="5">
        <v>44065</v>
      </c>
      <c r="B528">
        <v>11531.23</v>
      </c>
      <c r="C528">
        <v>11686</v>
      </c>
      <c r="D528">
        <v>11376.81</v>
      </c>
      <c r="E528">
        <v>11662.96</v>
      </c>
      <c r="F528">
        <v>43678.701646000001</v>
      </c>
      <c r="G528">
        <v>1.1399999999999999</v>
      </c>
      <c r="L528" t="s">
        <v>7</v>
      </c>
      <c r="M528" t="s">
        <v>8</v>
      </c>
      <c r="N528" t="s">
        <v>8</v>
      </c>
      <c r="P528">
        <f t="shared" si="985"/>
        <v>0.85096542578996193</v>
      </c>
      <c r="Q528">
        <f t="shared" si="986"/>
        <v>37169.064944141101</v>
      </c>
      <c r="R528">
        <f t="shared" si="987"/>
        <v>3850966.9265281218</v>
      </c>
      <c r="S528">
        <f t="shared" si="988"/>
        <v>38.509669265281218</v>
      </c>
      <c r="T528">
        <f t="shared" si="989"/>
        <v>3.8509669265281217E-2</v>
      </c>
    </row>
    <row r="529" spans="1:20" x14ac:dyDescent="0.25">
      <c r="A529" s="5">
        <v>44064</v>
      </c>
      <c r="B529">
        <v>11853.54</v>
      </c>
      <c r="C529">
        <v>11878</v>
      </c>
      <c r="D529">
        <v>11485.81</v>
      </c>
      <c r="E529">
        <v>11531.34</v>
      </c>
      <c r="F529">
        <v>64448.306142000001</v>
      </c>
      <c r="G529">
        <v>-2.72</v>
      </c>
      <c r="L529" t="s">
        <v>7</v>
      </c>
      <c r="M529" t="s">
        <v>8</v>
      </c>
      <c r="N529" t="s">
        <v>8</v>
      </c>
      <c r="P529">
        <f t="shared" si="985"/>
        <v>-0.76781661949564961</v>
      </c>
      <c r="Q529">
        <f t="shared" si="986"/>
        <v>-49484.480554171154</v>
      </c>
      <c r="R529">
        <f t="shared" si="987"/>
        <v>3813797.8615839807</v>
      </c>
      <c r="S529">
        <f t="shared" si="988"/>
        <v>38.137978615839806</v>
      </c>
      <c r="T529">
        <f t="shared" si="989"/>
        <v>3.8137978615839806E-2</v>
      </c>
    </row>
    <row r="530" spans="1:20" x14ac:dyDescent="0.25">
      <c r="A530" s="5">
        <v>44063</v>
      </c>
      <c r="B530">
        <v>11754.38</v>
      </c>
      <c r="C530">
        <v>11888</v>
      </c>
      <c r="D530">
        <v>11668</v>
      </c>
      <c r="E530">
        <v>11853.55</v>
      </c>
      <c r="F530">
        <v>46085.254351000003</v>
      </c>
      <c r="G530">
        <v>0.84</v>
      </c>
      <c r="L530" t="s">
        <v>7</v>
      </c>
      <c r="M530" t="s">
        <v>8</v>
      </c>
      <c r="N530" t="s">
        <v>8</v>
      </c>
      <c r="P530">
        <f t="shared" si="985"/>
        <v>0.68681818181817522</v>
      </c>
      <c r="Q530">
        <f t="shared" si="986"/>
        <v>31652.190601981973</v>
      </c>
      <c r="R530">
        <f t="shared" si="987"/>
        <v>3863282.3421381521</v>
      </c>
      <c r="S530">
        <f t="shared" si="988"/>
        <v>38.632823421381524</v>
      </c>
      <c r="T530">
        <f t="shared" si="989"/>
        <v>3.8632823421381524E-2</v>
      </c>
    </row>
    <row r="531" spans="1:20" x14ac:dyDescent="0.25">
      <c r="A531" s="5">
        <v>44062</v>
      </c>
      <c r="B531">
        <v>11945.1</v>
      </c>
      <c r="C531">
        <v>12020.08</v>
      </c>
      <c r="D531">
        <v>11561</v>
      </c>
      <c r="E531">
        <v>11754.59</v>
      </c>
      <c r="F531">
        <v>73940.169605999996</v>
      </c>
      <c r="G531">
        <v>-1.59</v>
      </c>
      <c r="L531" t="s">
        <v>7</v>
      </c>
      <c r="M531" t="s">
        <v>8</v>
      </c>
      <c r="N531" t="s">
        <v>8</v>
      </c>
      <c r="P531">
        <f t="shared" si="985"/>
        <v>-0.15661758299207032</v>
      </c>
      <c r="Q531">
        <f t="shared" si="986"/>
        <v>-11580.330649715459</v>
      </c>
      <c r="R531">
        <f t="shared" si="987"/>
        <v>3831630.1515361699</v>
      </c>
      <c r="S531">
        <f t="shared" si="988"/>
        <v>38.316301515361701</v>
      </c>
      <c r="T531">
        <f t="shared" si="989"/>
        <v>3.8316301515361702E-2</v>
      </c>
    </row>
    <row r="532" spans="1:20" x14ac:dyDescent="0.25">
      <c r="A532" s="5">
        <v>44061</v>
      </c>
      <c r="B532">
        <v>12281.15</v>
      </c>
      <c r="C532">
        <v>12387.77</v>
      </c>
      <c r="D532">
        <v>11817.93</v>
      </c>
      <c r="E532">
        <v>11945.01</v>
      </c>
      <c r="F532">
        <v>75923.835527000003</v>
      </c>
      <c r="G532">
        <v>-2.74</v>
      </c>
      <c r="L532" t="s">
        <v>8</v>
      </c>
      <c r="M532" t="s">
        <v>8</v>
      </c>
      <c r="N532" t="s">
        <v>8</v>
      </c>
      <c r="P532">
        <f t="shared" si="985"/>
        <v>-0.55398006457953142</v>
      </c>
      <c r="Q532">
        <f t="shared" si="986"/>
        <v>-42060.291308373184</v>
      </c>
      <c r="R532">
        <f t="shared" si="987"/>
        <v>3843210.4821858853</v>
      </c>
      <c r="S532">
        <f t="shared" si="988"/>
        <v>38.43210482185885</v>
      </c>
      <c r="T532">
        <f t="shared" si="989"/>
        <v>3.8432104821858853E-2</v>
      </c>
    </row>
    <row r="533" spans="1:20" x14ac:dyDescent="0.25">
      <c r="A533" s="5">
        <v>44060</v>
      </c>
      <c r="B533">
        <v>11910.99</v>
      </c>
      <c r="C533">
        <v>12468</v>
      </c>
      <c r="D533">
        <v>11769.78</v>
      </c>
      <c r="E533">
        <v>12281.13</v>
      </c>
      <c r="F533">
        <v>84734.211540000004</v>
      </c>
      <c r="G533">
        <v>3.11</v>
      </c>
      <c r="L533" t="s">
        <v>8</v>
      </c>
      <c r="M533" t="s">
        <v>8</v>
      </c>
      <c r="N533" t="s">
        <v>8</v>
      </c>
      <c r="P533">
        <f t="shared" si="985"/>
        <v>0.46472458537423456</v>
      </c>
      <c r="Q533">
        <f t="shared" si="986"/>
        <v>39378.071324939185</v>
      </c>
      <c r="R533">
        <f t="shared" si="987"/>
        <v>3885270.7734942585</v>
      </c>
      <c r="S533">
        <f t="shared" si="988"/>
        <v>38.852707734942584</v>
      </c>
      <c r="T533">
        <f t="shared" si="989"/>
        <v>3.8852707734942586E-2</v>
      </c>
    </row>
    <row r="534" spans="1:20" x14ac:dyDescent="0.25">
      <c r="A534" s="5">
        <v>44059</v>
      </c>
      <c r="B534">
        <v>11852.4</v>
      </c>
      <c r="C534">
        <v>11931.72</v>
      </c>
      <c r="D534">
        <v>11686</v>
      </c>
      <c r="E534">
        <v>11911</v>
      </c>
      <c r="F534">
        <v>41368.236905999998</v>
      </c>
      <c r="G534">
        <v>0.49</v>
      </c>
      <c r="L534" t="s">
        <v>8</v>
      </c>
      <c r="M534" t="s">
        <v>8</v>
      </c>
      <c r="N534" t="s">
        <v>8</v>
      </c>
      <c r="P534">
        <f t="shared" si="985"/>
        <v>0.8313527592381621</v>
      </c>
      <c r="Q534">
        <f t="shared" si="986"/>
        <v>34391.597896621068</v>
      </c>
      <c r="R534">
        <f t="shared" si="987"/>
        <v>3845892.7021693191</v>
      </c>
      <c r="S534">
        <f t="shared" si="988"/>
        <v>38.458927021693192</v>
      </c>
      <c r="T534">
        <f t="shared" si="989"/>
        <v>3.8458927021693193E-2</v>
      </c>
    </row>
    <row r="535" spans="1:20" x14ac:dyDescent="0.25">
      <c r="A535" s="5">
        <v>44058</v>
      </c>
      <c r="B535">
        <v>11760.55</v>
      </c>
      <c r="C535">
        <v>11980</v>
      </c>
      <c r="D535">
        <v>11680</v>
      </c>
      <c r="E535">
        <v>11852.4</v>
      </c>
      <c r="F535">
        <v>56237.905050000001</v>
      </c>
      <c r="G535">
        <v>0.78</v>
      </c>
      <c r="L535" t="s">
        <v>8</v>
      </c>
      <c r="M535" t="s">
        <v>8</v>
      </c>
      <c r="N535" t="s">
        <v>8</v>
      </c>
      <c r="P535">
        <f t="shared" si="985"/>
        <v>0.1493333333333309</v>
      </c>
      <c r="Q535">
        <f t="shared" si="986"/>
        <v>8398.1938207998628</v>
      </c>
      <c r="R535">
        <f t="shared" si="987"/>
        <v>3811501.1042726981</v>
      </c>
      <c r="S535">
        <f t="shared" si="988"/>
        <v>38.115011042726984</v>
      </c>
      <c r="T535">
        <f t="shared" si="989"/>
        <v>3.8115011042726986E-2</v>
      </c>
    </row>
    <row r="536" spans="1:20" x14ac:dyDescent="0.25">
      <c r="A536" s="5">
        <v>44057</v>
      </c>
      <c r="B536">
        <v>11779.77</v>
      </c>
      <c r="C536">
        <v>11850</v>
      </c>
      <c r="D536">
        <v>11634.03</v>
      </c>
      <c r="E536">
        <v>11760.54</v>
      </c>
      <c r="F536">
        <v>59818.852697000002</v>
      </c>
      <c r="G536">
        <v>-0.16</v>
      </c>
      <c r="L536" t="s">
        <v>7</v>
      </c>
      <c r="M536" t="s">
        <v>8</v>
      </c>
      <c r="N536" t="s">
        <v>8</v>
      </c>
      <c r="P536">
        <f t="shared" si="985"/>
        <v>0.17155160438950412</v>
      </c>
      <c r="Q536">
        <f t="shared" si="986"/>
        <v>10262.020152909767</v>
      </c>
      <c r="R536">
        <f t="shared" si="987"/>
        <v>3803102.9104518984</v>
      </c>
      <c r="S536">
        <f t="shared" si="988"/>
        <v>38.031029104518986</v>
      </c>
      <c r="T536">
        <f t="shared" si="989"/>
        <v>3.8031029104518985E-2</v>
      </c>
    </row>
    <row r="537" spans="1:20" x14ac:dyDescent="0.25">
      <c r="A537" s="5">
        <v>44056</v>
      </c>
      <c r="B537">
        <v>11564.34</v>
      </c>
      <c r="C537">
        <v>11792.96</v>
      </c>
      <c r="D537">
        <v>11270.36</v>
      </c>
      <c r="E537">
        <v>11780</v>
      </c>
      <c r="F537">
        <v>70132.491502000004</v>
      </c>
      <c r="G537">
        <v>1.86</v>
      </c>
      <c r="L537" t="s">
        <v>7</v>
      </c>
      <c r="M537" t="s">
        <v>8</v>
      </c>
      <c r="N537" t="s">
        <v>8</v>
      </c>
      <c r="P537">
        <f t="shared" si="985"/>
        <v>0.95040183696900438</v>
      </c>
      <c r="Q537">
        <f t="shared" si="986"/>
        <v>66654.048754713891</v>
      </c>
      <c r="R537">
        <f t="shared" si="987"/>
        <v>3792840.8902989887</v>
      </c>
      <c r="S537">
        <f t="shared" si="988"/>
        <v>37.928408902989887</v>
      </c>
      <c r="T537">
        <f t="shared" si="989"/>
        <v>3.7928408902989888E-2</v>
      </c>
    </row>
    <row r="538" spans="1:20" x14ac:dyDescent="0.25">
      <c r="A538" s="5">
        <v>44055</v>
      </c>
      <c r="B538">
        <v>11392.09</v>
      </c>
      <c r="C538">
        <v>11617.52</v>
      </c>
      <c r="D538">
        <v>11150</v>
      </c>
      <c r="E538">
        <v>11564.33</v>
      </c>
      <c r="F538">
        <v>64909.613643999997</v>
      </c>
      <c r="G538">
        <v>1.51</v>
      </c>
      <c r="L538" t="s">
        <v>7</v>
      </c>
      <c r="M538" t="s">
        <v>8</v>
      </c>
      <c r="N538" t="s">
        <v>8</v>
      </c>
      <c r="P538">
        <f t="shared" si="985"/>
        <v>0.77245893223819106</v>
      </c>
      <c r="Q538">
        <f t="shared" si="986"/>
        <v>50140.010847437756</v>
      </c>
      <c r="R538">
        <f t="shared" si="987"/>
        <v>3726186.8415442747</v>
      </c>
      <c r="S538">
        <f t="shared" si="988"/>
        <v>37.261868415442748</v>
      </c>
      <c r="T538">
        <f t="shared" si="989"/>
        <v>3.7261868415442746E-2</v>
      </c>
    </row>
    <row r="539" spans="1:20" x14ac:dyDescent="0.25">
      <c r="A539" s="5">
        <v>44054</v>
      </c>
      <c r="B539">
        <v>11892.9</v>
      </c>
      <c r="C539">
        <v>11935</v>
      </c>
      <c r="D539">
        <v>11125</v>
      </c>
      <c r="E539">
        <v>11392.08</v>
      </c>
      <c r="F539">
        <v>90748.284633999996</v>
      </c>
      <c r="G539">
        <v>-4.21</v>
      </c>
      <c r="L539" t="s">
        <v>7</v>
      </c>
      <c r="M539" t="s">
        <v>8</v>
      </c>
      <c r="N539" t="s">
        <v>8</v>
      </c>
      <c r="P539">
        <f t="shared" si="985"/>
        <v>-0.34054320987654341</v>
      </c>
      <c r="Q539">
        <f t="shared" si="986"/>
        <v>-30903.712140052561</v>
      </c>
      <c r="R539">
        <f t="shared" si="987"/>
        <v>3676046.830696837</v>
      </c>
      <c r="S539">
        <f t="shared" si="988"/>
        <v>36.76046830696837</v>
      </c>
      <c r="T539">
        <f t="shared" si="989"/>
        <v>3.6760468306968372E-2</v>
      </c>
    </row>
    <row r="540" spans="1:20" x14ac:dyDescent="0.25">
      <c r="A540" s="5">
        <v>44053</v>
      </c>
      <c r="B540">
        <v>11681.69</v>
      </c>
      <c r="C540">
        <v>12067.35</v>
      </c>
      <c r="D540">
        <v>11450</v>
      </c>
      <c r="E540">
        <v>11892.92</v>
      </c>
      <c r="F540">
        <v>84952.337887000002</v>
      </c>
      <c r="G540">
        <v>1.81</v>
      </c>
      <c r="L540" t="s">
        <v>8</v>
      </c>
      <c r="M540" t="s">
        <v>8</v>
      </c>
      <c r="N540" t="s">
        <v>8</v>
      </c>
      <c r="P540">
        <f t="shared" si="985"/>
        <v>0.43490726492265269</v>
      </c>
      <c r="Q540">
        <f t="shared" si="986"/>
        <v>36946.388919220219</v>
      </c>
      <c r="R540">
        <f t="shared" si="987"/>
        <v>3706950.5428368896</v>
      </c>
      <c r="S540">
        <f t="shared" si="988"/>
        <v>37.069505428368899</v>
      </c>
      <c r="T540">
        <f t="shared" si="989"/>
        <v>3.7069505428368899E-2</v>
      </c>
    </row>
    <row r="541" spans="1:20" x14ac:dyDescent="0.25">
      <c r="A541" s="5">
        <v>44052</v>
      </c>
      <c r="B541">
        <v>11761.02</v>
      </c>
      <c r="C541">
        <v>11797.11</v>
      </c>
      <c r="D541">
        <v>11521.97</v>
      </c>
      <c r="E541">
        <v>11681.68</v>
      </c>
      <c r="F541">
        <v>41493.067342000002</v>
      </c>
      <c r="G541">
        <v>-0.67</v>
      </c>
      <c r="L541" t="s">
        <v>8</v>
      </c>
      <c r="M541" t="s">
        <v>8</v>
      </c>
      <c r="N541" t="s">
        <v>8</v>
      </c>
      <c r="P541">
        <f t="shared" si="985"/>
        <v>0.1609362506360415</v>
      </c>
      <c r="Q541">
        <f t="shared" si="986"/>
        <v>6677.7386854102606</v>
      </c>
      <c r="R541">
        <f t="shared" si="987"/>
        <v>3670004.1539176693</v>
      </c>
      <c r="S541">
        <f t="shared" si="988"/>
        <v>36.700041539176695</v>
      </c>
      <c r="T541">
        <f t="shared" si="989"/>
        <v>3.6700041539176692E-2</v>
      </c>
    </row>
    <row r="542" spans="1:20" x14ac:dyDescent="0.25">
      <c r="A542" s="5">
        <v>44051</v>
      </c>
      <c r="B542">
        <v>11594.36</v>
      </c>
      <c r="C542">
        <v>11808.27</v>
      </c>
      <c r="D542">
        <v>11512</v>
      </c>
      <c r="E542">
        <v>11761.41</v>
      </c>
      <c r="F542">
        <v>41858.161039999999</v>
      </c>
      <c r="G542">
        <v>1.44</v>
      </c>
      <c r="L542" t="s">
        <v>8</v>
      </c>
      <c r="M542" t="s">
        <v>8</v>
      </c>
      <c r="N542" t="s">
        <v>8</v>
      </c>
      <c r="P542">
        <f t="shared" si="985"/>
        <v>0.68366692543962926</v>
      </c>
      <c r="Q542">
        <f t="shared" si="986"/>
        <v>28617.040262773673</v>
      </c>
      <c r="R542">
        <f t="shared" si="987"/>
        <v>3663326.4152322588</v>
      </c>
      <c r="S542">
        <f t="shared" si="988"/>
        <v>36.633264152322589</v>
      </c>
      <c r="T542">
        <f t="shared" si="989"/>
        <v>3.6633264152322591E-2</v>
      </c>
    </row>
    <row r="543" spans="1:20" x14ac:dyDescent="0.25">
      <c r="A543" s="5">
        <v>44050</v>
      </c>
      <c r="B543">
        <v>11762.47</v>
      </c>
      <c r="C543">
        <v>11909.94</v>
      </c>
      <c r="D543">
        <v>11322</v>
      </c>
      <c r="E543">
        <v>11594.23</v>
      </c>
      <c r="F543">
        <v>65755.926022</v>
      </c>
      <c r="G543">
        <v>-1.43</v>
      </c>
      <c r="L543" t="s">
        <v>8</v>
      </c>
      <c r="M543" t="s">
        <v>8</v>
      </c>
      <c r="N543" t="s">
        <v>8</v>
      </c>
      <c r="P543">
        <f t="shared" si="985"/>
        <v>-7.3953124468485468E-2</v>
      </c>
      <c r="Q543">
        <f t="shared" si="986"/>
        <v>-4862.8561816454885</v>
      </c>
      <c r="R543">
        <f t="shared" si="987"/>
        <v>3634709.3749694852</v>
      </c>
      <c r="S543">
        <f t="shared" si="988"/>
        <v>36.347093749694849</v>
      </c>
      <c r="T543">
        <f t="shared" si="989"/>
        <v>3.6347093749694852E-2</v>
      </c>
    </row>
    <row r="544" spans="1:20" x14ac:dyDescent="0.25">
      <c r="A544" s="5">
        <v>44049</v>
      </c>
      <c r="B544">
        <v>11744.91</v>
      </c>
      <c r="C544">
        <v>11900</v>
      </c>
      <c r="D544">
        <v>11562.5</v>
      </c>
      <c r="E544">
        <v>11762.46</v>
      </c>
      <c r="F544">
        <v>63529.085019999999</v>
      </c>
      <c r="G544">
        <v>0.15</v>
      </c>
      <c r="L544" t="s">
        <v>8</v>
      </c>
      <c r="M544" t="s">
        <v>8</v>
      </c>
      <c r="N544" t="s">
        <v>8</v>
      </c>
      <c r="P544">
        <f t="shared" si="985"/>
        <v>0.18494814814814298</v>
      </c>
      <c r="Q544">
        <f t="shared" si="986"/>
        <v>11749.58662799493</v>
      </c>
      <c r="R544">
        <f t="shared" si="987"/>
        <v>3639572.2311511305</v>
      </c>
      <c r="S544">
        <f t="shared" si="988"/>
        <v>36.395722311511307</v>
      </c>
      <c r="T544">
        <f t="shared" si="989"/>
        <v>3.6395722311511308E-2</v>
      </c>
    </row>
    <row r="545" spans="1:20" x14ac:dyDescent="0.25">
      <c r="A545" s="5">
        <v>44048</v>
      </c>
      <c r="B545">
        <v>11191.99</v>
      </c>
      <c r="C545">
        <v>11780.93</v>
      </c>
      <c r="D545">
        <v>11093</v>
      </c>
      <c r="E545">
        <v>11744.91</v>
      </c>
      <c r="F545">
        <v>74970.256852000006</v>
      </c>
      <c r="G545">
        <v>4.9400000000000004</v>
      </c>
      <c r="L545" t="s">
        <v>8</v>
      </c>
      <c r="M545" t="s">
        <v>8</v>
      </c>
      <c r="N545" t="s">
        <v>8</v>
      </c>
      <c r="P545">
        <f t="shared" si="985"/>
        <v>0.89528004302763242</v>
      </c>
      <c r="Q545">
        <f t="shared" si="986"/>
        <v>67119.374780251223</v>
      </c>
      <c r="R545">
        <f t="shared" si="987"/>
        <v>3627822.6445231354</v>
      </c>
      <c r="S545">
        <f t="shared" si="988"/>
        <v>36.278226445231354</v>
      </c>
      <c r="T545">
        <f t="shared" si="989"/>
        <v>3.6278226445231355E-2</v>
      </c>
    </row>
    <row r="546" spans="1:20" x14ac:dyDescent="0.25">
      <c r="A546" s="5">
        <v>44047</v>
      </c>
      <c r="B546">
        <v>11219.68</v>
      </c>
      <c r="C546">
        <v>11414.98</v>
      </c>
      <c r="D546">
        <v>11000</v>
      </c>
      <c r="E546">
        <v>11191.97</v>
      </c>
      <c r="F546">
        <v>58629.113708999997</v>
      </c>
      <c r="G546">
        <v>-0.25</v>
      </c>
      <c r="L546" t="s">
        <v>7</v>
      </c>
      <c r="M546" t="s">
        <v>8</v>
      </c>
      <c r="N546" t="s">
        <v>8</v>
      </c>
      <c r="P546">
        <f t="shared" si="985"/>
        <v>-7.4798785483639954E-2</v>
      </c>
      <c r="Q546">
        <f t="shared" si="986"/>
        <v>-4385.3864994154255</v>
      </c>
      <c r="R546">
        <f t="shared" si="987"/>
        <v>3560703.2697428842</v>
      </c>
      <c r="S546">
        <f t="shared" si="988"/>
        <v>35.607032697428842</v>
      </c>
      <c r="T546">
        <f t="shared" si="989"/>
        <v>3.5607032697428841E-2</v>
      </c>
    </row>
    <row r="547" spans="1:20" x14ac:dyDescent="0.25">
      <c r="A547" s="5">
        <v>44046</v>
      </c>
      <c r="B547">
        <v>11071.36</v>
      </c>
      <c r="C547">
        <v>11473</v>
      </c>
      <c r="D547">
        <v>10936</v>
      </c>
      <c r="E547">
        <v>11219.81</v>
      </c>
      <c r="F547">
        <v>56931.841475000001</v>
      </c>
      <c r="G547">
        <v>1.34</v>
      </c>
      <c r="L547" t="s">
        <v>7</v>
      </c>
      <c r="M547" t="s">
        <v>8</v>
      </c>
      <c r="N547" t="s">
        <v>8</v>
      </c>
      <c r="P547">
        <f t="shared" si="985"/>
        <v>5.702048417132026E-2</v>
      </c>
      <c r="Q547">
        <f t="shared" si="986"/>
        <v>3246.281165669352</v>
      </c>
      <c r="R547">
        <f t="shared" si="987"/>
        <v>3565088.6562422998</v>
      </c>
      <c r="S547">
        <f t="shared" si="988"/>
        <v>35.650886562422997</v>
      </c>
      <c r="T547">
        <f t="shared" si="989"/>
        <v>3.5650886562422997E-2</v>
      </c>
    </row>
    <row r="548" spans="1:20" x14ac:dyDescent="0.25">
      <c r="A548" s="5">
        <v>44045</v>
      </c>
      <c r="B548">
        <v>11801.17</v>
      </c>
      <c r="C548">
        <v>12123.46</v>
      </c>
      <c r="D548">
        <v>10518.5</v>
      </c>
      <c r="E548">
        <v>11071.35</v>
      </c>
      <c r="F548">
        <v>97553.077604000006</v>
      </c>
      <c r="G548">
        <v>-6.18</v>
      </c>
      <c r="L548" t="s">
        <v>8</v>
      </c>
      <c r="M548" t="s">
        <v>8</v>
      </c>
      <c r="N548" t="s">
        <v>8</v>
      </c>
      <c r="P548">
        <f t="shared" si="985"/>
        <v>-0.31107317316319327</v>
      </c>
      <c r="Q548">
        <f t="shared" si="986"/>
        <v>-30346.145402111524</v>
      </c>
      <c r="R548">
        <f t="shared" si="987"/>
        <v>3561842.3750766306</v>
      </c>
      <c r="S548">
        <f t="shared" si="988"/>
        <v>35.618423750766304</v>
      </c>
      <c r="T548">
        <f t="shared" si="989"/>
        <v>3.5618423750766307E-2</v>
      </c>
    </row>
    <row r="549" spans="1:20" x14ac:dyDescent="0.25">
      <c r="A549" s="5">
        <v>44044</v>
      </c>
      <c r="B549">
        <v>11335.46</v>
      </c>
      <c r="C549">
        <v>11861</v>
      </c>
      <c r="D549">
        <v>11220</v>
      </c>
      <c r="E549">
        <v>11801.17</v>
      </c>
      <c r="F549">
        <v>85087.485126</v>
      </c>
      <c r="G549">
        <v>4.1100000000000003</v>
      </c>
      <c r="L549" t="s">
        <v>8</v>
      </c>
      <c r="M549" t="s">
        <v>8</v>
      </c>
      <c r="N549" t="s">
        <v>8</v>
      </c>
      <c r="P549">
        <f t="shared" si="985"/>
        <v>0.81332293291731694</v>
      </c>
      <c r="Q549">
        <f t="shared" si="986"/>
        <v>69203.602957236901</v>
      </c>
      <c r="R549">
        <f t="shared" si="987"/>
        <v>3592188.5204787422</v>
      </c>
      <c r="S549">
        <f t="shared" si="988"/>
        <v>35.921885204787422</v>
      </c>
      <c r="T549">
        <f t="shared" si="989"/>
        <v>3.5921885204787424E-2</v>
      </c>
    </row>
    <row r="550" spans="1:20" x14ac:dyDescent="0.25">
      <c r="A550" s="5">
        <v>44043</v>
      </c>
      <c r="B550">
        <v>11099.79</v>
      </c>
      <c r="C550">
        <v>11444</v>
      </c>
      <c r="D550">
        <v>10960</v>
      </c>
      <c r="E550">
        <v>11335.46</v>
      </c>
      <c r="F550">
        <v>70063.660973999999</v>
      </c>
      <c r="G550">
        <v>2.12</v>
      </c>
      <c r="L550" t="s">
        <v>8</v>
      </c>
      <c r="M550" t="s">
        <v>8</v>
      </c>
      <c r="N550" t="s">
        <v>8</v>
      </c>
      <c r="P550">
        <f t="shared" si="985"/>
        <v>0.5514876033057815</v>
      </c>
      <c r="Q550">
        <f t="shared" si="986"/>
        <v>38639.240469380078</v>
      </c>
      <c r="R550">
        <f t="shared" si="987"/>
        <v>3522984.9175215052</v>
      </c>
      <c r="S550">
        <f t="shared" si="988"/>
        <v>35.229849175215051</v>
      </c>
      <c r="T550">
        <f t="shared" si="989"/>
        <v>3.5229849175215051E-2</v>
      </c>
    </row>
    <row r="551" spans="1:20" x14ac:dyDescent="0.25">
      <c r="A551" s="5">
        <v>44042</v>
      </c>
      <c r="B551">
        <v>11100.52</v>
      </c>
      <c r="C551">
        <v>11170</v>
      </c>
      <c r="D551">
        <v>10831</v>
      </c>
      <c r="E551">
        <v>11099.61</v>
      </c>
      <c r="F551">
        <v>60794.826456000003</v>
      </c>
      <c r="G551">
        <v>-0.01</v>
      </c>
      <c r="L551" t="s">
        <v>8</v>
      </c>
      <c r="M551" t="s">
        <v>8</v>
      </c>
      <c r="N551" t="s">
        <v>8</v>
      </c>
      <c r="P551">
        <f t="shared" si="985"/>
        <v>0.58471976401180281</v>
      </c>
      <c r="Q551">
        <f t="shared" si="986"/>
        <v>35547.93657849083</v>
      </c>
      <c r="R551">
        <f t="shared" si="987"/>
        <v>3484345.6770521249</v>
      </c>
      <c r="S551">
        <f t="shared" si="988"/>
        <v>34.84345677052125</v>
      </c>
      <c r="T551">
        <f t="shared" si="989"/>
        <v>3.4843456770521253E-2</v>
      </c>
    </row>
    <row r="552" spans="1:20" x14ac:dyDescent="0.25">
      <c r="A552" s="5">
        <v>44041</v>
      </c>
      <c r="B552">
        <v>10906.27</v>
      </c>
      <c r="C552">
        <v>11342.82</v>
      </c>
      <c r="D552">
        <v>10812</v>
      </c>
      <c r="E552">
        <v>11100.53</v>
      </c>
      <c r="F552">
        <v>76838.094232999996</v>
      </c>
      <c r="G552">
        <v>1.78</v>
      </c>
      <c r="L552" t="s">
        <v>8</v>
      </c>
      <c r="M552" t="s">
        <v>8</v>
      </c>
      <c r="N552" t="s">
        <v>8</v>
      </c>
      <c r="P552">
        <f t="shared" si="985"/>
        <v>8.7110508270226497E-2</v>
      </c>
      <c r="Q552">
        <f t="shared" si="986"/>
        <v>6693.405443152189</v>
      </c>
      <c r="R552">
        <f t="shared" si="987"/>
        <v>3448797.7404736341</v>
      </c>
      <c r="S552">
        <f t="shared" si="988"/>
        <v>34.487977404736341</v>
      </c>
      <c r="T552">
        <f t="shared" si="989"/>
        <v>3.4487977404736345E-2</v>
      </c>
    </row>
    <row r="553" spans="1:20" x14ac:dyDescent="0.25">
      <c r="A553" s="5">
        <v>44040</v>
      </c>
      <c r="B553">
        <v>11029.96</v>
      </c>
      <c r="C553">
        <v>11242.23</v>
      </c>
      <c r="D553">
        <v>10565</v>
      </c>
      <c r="E553">
        <v>10906.27</v>
      </c>
      <c r="F553">
        <v>97267.734186999995</v>
      </c>
      <c r="G553">
        <v>-1.1200000000000001</v>
      </c>
      <c r="L553" t="s">
        <v>7</v>
      </c>
      <c r="M553" t="s">
        <v>8</v>
      </c>
      <c r="N553" t="s">
        <v>8</v>
      </c>
      <c r="P553">
        <f t="shared" si="985"/>
        <v>7.8407631085470417E-3</v>
      </c>
      <c r="Q553">
        <f t="shared" si="986"/>
        <v>762.65326186538948</v>
      </c>
      <c r="R553">
        <f t="shared" si="987"/>
        <v>3442104.3350304817</v>
      </c>
      <c r="S553">
        <f t="shared" si="988"/>
        <v>34.421043350304814</v>
      </c>
      <c r="T553">
        <f t="shared" si="989"/>
        <v>3.4421043350304811E-2</v>
      </c>
    </row>
    <row r="554" spans="1:20" x14ac:dyDescent="0.25">
      <c r="A554" s="5">
        <v>44039</v>
      </c>
      <c r="B554">
        <v>9931.5400000000009</v>
      </c>
      <c r="C554">
        <v>11394.86</v>
      </c>
      <c r="D554">
        <v>9917.2099999999991</v>
      </c>
      <c r="E554">
        <v>11029.96</v>
      </c>
      <c r="F554">
        <v>150188.93314400001</v>
      </c>
      <c r="G554">
        <v>11.06</v>
      </c>
      <c r="L554" t="s">
        <v>8</v>
      </c>
      <c r="M554" t="s">
        <v>8</v>
      </c>
      <c r="N554" t="s">
        <v>8</v>
      </c>
      <c r="P554">
        <f t="shared" si="985"/>
        <v>0.5061076709640292</v>
      </c>
      <c r="Q554">
        <f t="shared" si="986"/>
        <v>76011.771158082134</v>
      </c>
      <c r="R554">
        <f t="shared" si="987"/>
        <v>3441341.6817686162</v>
      </c>
      <c r="S554">
        <f t="shared" si="988"/>
        <v>34.413416817686162</v>
      </c>
      <c r="T554">
        <f t="shared" si="989"/>
        <v>3.4413416817686164E-2</v>
      </c>
    </row>
    <row r="555" spans="1:20" x14ac:dyDescent="0.25">
      <c r="A555" s="5">
        <v>44038</v>
      </c>
      <c r="B555">
        <v>9700.42</v>
      </c>
      <c r="C555">
        <v>10111</v>
      </c>
      <c r="D555">
        <v>9650</v>
      </c>
      <c r="E555">
        <v>9931.5400000000009</v>
      </c>
      <c r="F555">
        <v>65279.269318999999</v>
      </c>
      <c r="G555">
        <v>2.38</v>
      </c>
      <c r="L555" t="s">
        <v>8</v>
      </c>
      <c r="M555" t="s">
        <v>8</v>
      </c>
      <c r="N555" t="s">
        <v>8</v>
      </c>
      <c r="P555">
        <f t="shared" si="985"/>
        <v>0.22143167028199945</v>
      </c>
      <c r="Q555">
        <f t="shared" si="986"/>
        <v>14454.89764009465</v>
      </c>
      <c r="R555">
        <f t="shared" si="987"/>
        <v>3365329.9106105343</v>
      </c>
      <c r="S555">
        <f t="shared" si="988"/>
        <v>33.653299106105344</v>
      </c>
      <c r="T555">
        <f t="shared" si="989"/>
        <v>3.3653299106105344E-2</v>
      </c>
    </row>
    <row r="556" spans="1:20" x14ac:dyDescent="0.25">
      <c r="A556" s="5">
        <v>44037</v>
      </c>
      <c r="B556">
        <v>9538.1</v>
      </c>
      <c r="C556">
        <v>9732.9</v>
      </c>
      <c r="D556">
        <v>9513</v>
      </c>
      <c r="E556">
        <v>9700.42</v>
      </c>
      <c r="F556">
        <v>40679.545416000001</v>
      </c>
      <c r="G556">
        <v>1.7</v>
      </c>
      <c r="L556" t="s">
        <v>8</v>
      </c>
      <c r="M556" t="s">
        <v>8</v>
      </c>
      <c r="N556" t="s">
        <v>8</v>
      </c>
      <c r="P556">
        <f t="shared" si="985"/>
        <v>0.70459299681673837</v>
      </c>
      <c r="Q556">
        <f t="shared" si="986"/>
        <v>28662.522813802054</v>
      </c>
      <c r="R556">
        <f t="shared" si="987"/>
        <v>3350875.0129704396</v>
      </c>
      <c r="S556">
        <f t="shared" si="988"/>
        <v>33.508750129704396</v>
      </c>
      <c r="T556">
        <f t="shared" si="989"/>
        <v>3.3508750129704397E-2</v>
      </c>
    </row>
    <row r="557" spans="1:20" x14ac:dyDescent="0.25">
      <c r="A557" s="5">
        <v>44036</v>
      </c>
      <c r="B557">
        <v>9603.27</v>
      </c>
      <c r="C557">
        <v>9637</v>
      </c>
      <c r="D557">
        <v>9463.44</v>
      </c>
      <c r="E557">
        <v>9537.7999999999993</v>
      </c>
      <c r="F557">
        <v>43931.136205000003</v>
      </c>
      <c r="G557">
        <v>-0.68</v>
      </c>
      <c r="L557" t="s">
        <v>8</v>
      </c>
      <c r="M557" t="s">
        <v>8</v>
      </c>
      <c r="N557" t="s">
        <v>8</v>
      </c>
      <c r="P557">
        <f t="shared" si="985"/>
        <v>-0.14312053468542313</v>
      </c>
      <c r="Q557">
        <f t="shared" si="986"/>
        <v>-6287.4477029977506</v>
      </c>
      <c r="R557">
        <f t="shared" si="987"/>
        <v>3322212.4901566375</v>
      </c>
      <c r="S557">
        <f t="shared" si="988"/>
        <v>33.222124901566374</v>
      </c>
      <c r="T557">
        <f t="shared" si="989"/>
        <v>3.3222124901566376E-2</v>
      </c>
    </row>
    <row r="558" spans="1:20" x14ac:dyDescent="0.25">
      <c r="A558" s="5">
        <v>44035</v>
      </c>
      <c r="B558">
        <v>9518.16</v>
      </c>
      <c r="C558">
        <v>9664</v>
      </c>
      <c r="D558">
        <v>9440.33</v>
      </c>
      <c r="E558">
        <v>9603.27</v>
      </c>
      <c r="F558">
        <v>51856.233500000002</v>
      </c>
      <c r="G558">
        <v>0.89</v>
      </c>
      <c r="L558" t="s">
        <v>8</v>
      </c>
      <c r="M558" t="s">
        <v>8</v>
      </c>
      <c r="N558" t="s">
        <v>8</v>
      </c>
      <c r="P558">
        <f t="shared" si="985"/>
        <v>0.45696785442840304</v>
      </c>
      <c r="Q558">
        <f t="shared" si="986"/>
        <v>23696.631761233279</v>
      </c>
      <c r="R558">
        <f t="shared" si="987"/>
        <v>3328499.9378596353</v>
      </c>
      <c r="S558">
        <f t="shared" si="988"/>
        <v>33.284999378596353</v>
      </c>
      <c r="T558">
        <f t="shared" si="989"/>
        <v>3.3284999378596351E-2</v>
      </c>
    </row>
    <row r="559" spans="1:20" x14ac:dyDescent="0.25">
      <c r="A559" s="5">
        <v>44034</v>
      </c>
      <c r="B559">
        <v>9390</v>
      </c>
      <c r="C559">
        <v>9544</v>
      </c>
      <c r="D559">
        <v>9261</v>
      </c>
      <c r="E559">
        <v>9518.16</v>
      </c>
      <c r="F559">
        <v>48815.004107000001</v>
      </c>
      <c r="G559">
        <v>1.36</v>
      </c>
      <c r="L559" t="s">
        <v>8</v>
      </c>
      <c r="M559" t="s">
        <v>8</v>
      </c>
      <c r="N559" t="s">
        <v>8</v>
      </c>
      <c r="P559">
        <f t="shared" si="985"/>
        <v>0.81738515901059972</v>
      </c>
      <c r="Q559">
        <f t="shared" si="986"/>
        <v>39900.659894103272</v>
      </c>
      <c r="R559">
        <f t="shared" si="987"/>
        <v>3304803.306098402</v>
      </c>
      <c r="S559">
        <f t="shared" si="988"/>
        <v>33.048033060984018</v>
      </c>
      <c r="T559">
        <f t="shared" si="989"/>
        <v>3.3048033060984021E-2</v>
      </c>
    </row>
    <row r="560" spans="1:20" x14ac:dyDescent="0.25">
      <c r="A560" s="5">
        <v>44033</v>
      </c>
      <c r="B560">
        <v>9160.7800000000007</v>
      </c>
      <c r="C560">
        <v>9437.73</v>
      </c>
      <c r="D560">
        <v>9152.7999999999993</v>
      </c>
      <c r="E560">
        <v>9390</v>
      </c>
      <c r="F560">
        <v>60413.582485999999</v>
      </c>
      <c r="G560">
        <v>2.5</v>
      </c>
      <c r="L560" t="s">
        <v>8</v>
      </c>
      <c r="M560" t="s">
        <v>8</v>
      </c>
      <c r="N560" t="s">
        <v>8</v>
      </c>
      <c r="P560">
        <f t="shared" si="985"/>
        <v>0.66497034359316665</v>
      </c>
      <c r="Q560">
        <f t="shared" si="986"/>
        <v>40173.240703409538</v>
      </c>
      <c r="R560">
        <f t="shared" si="987"/>
        <v>3264902.6462042988</v>
      </c>
      <c r="S560">
        <f t="shared" si="988"/>
        <v>32.64902646204299</v>
      </c>
      <c r="T560">
        <f t="shared" si="989"/>
        <v>3.2649026462042992E-2</v>
      </c>
    </row>
    <row r="561" spans="1:104" x14ac:dyDescent="0.25">
      <c r="A561" s="5">
        <v>44032</v>
      </c>
      <c r="B561">
        <v>9208.99</v>
      </c>
      <c r="C561">
        <v>9221.52</v>
      </c>
      <c r="D561">
        <v>9131</v>
      </c>
      <c r="E561">
        <v>9160.7800000000007</v>
      </c>
      <c r="F561">
        <v>35458.764082000002</v>
      </c>
      <c r="G561">
        <v>-0.52</v>
      </c>
      <c r="L561" t="s">
        <v>8</v>
      </c>
      <c r="M561" t="s">
        <v>8</v>
      </c>
      <c r="N561" t="s">
        <v>8</v>
      </c>
      <c r="P561">
        <f t="shared" si="985"/>
        <v>-0.34202386212990477</v>
      </c>
      <c r="Q561">
        <f t="shared" si="986"/>
        <v>-12127.743437678788</v>
      </c>
      <c r="R561">
        <f t="shared" si="987"/>
        <v>3224729.4055008893</v>
      </c>
      <c r="S561">
        <f t="shared" si="988"/>
        <v>32.247294055008894</v>
      </c>
      <c r="T561">
        <f t="shared" si="989"/>
        <v>3.2247294055008896E-2</v>
      </c>
      <c r="CZ561" t="s">
        <v>7</v>
      </c>
    </row>
    <row r="562" spans="1:104" x14ac:dyDescent="0.25">
      <c r="A562" s="5">
        <v>44031</v>
      </c>
      <c r="B562">
        <v>9170.2999999999993</v>
      </c>
      <c r="C562">
        <v>9232.27</v>
      </c>
      <c r="D562">
        <v>9101.35</v>
      </c>
      <c r="E562">
        <v>9208.99</v>
      </c>
      <c r="F562">
        <v>26052.019417</v>
      </c>
      <c r="G562">
        <v>0.42</v>
      </c>
      <c r="L562" t="s">
        <v>8</v>
      </c>
      <c r="M562" t="s">
        <v>8</v>
      </c>
      <c r="N562" t="s">
        <v>8</v>
      </c>
      <c r="P562">
        <f t="shared" si="985"/>
        <v>0.64436296975251084</v>
      </c>
      <c r="Q562">
        <f t="shared" si="986"/>
        <v>16786.956599588197</v>
      </c>
      <c r="R562">
        <f t="shared" si="987"/>
        <v>3236857.1489385683</v>
      </c>
      <c r="S562">
        <f t="shared" si="988"/>
        <v>32.36857148938568</v>
      </c>
      <c r="T562">
        <f t="shared" si="989"/>
        <v>3.2368571489385677E-2</v>
      </c>
      <c r="CZ562" t="s">
        <v>7</v>
      </c>
    </row>
    <row r="563" spans="1:104" x14ac:dyDescent="0.25">
      <c r="A563" s="5">
        <v>44030</v>
      </c>
      <c r="B563">
        <v>9154.31</v>
      </c>
      <c r="C563">
        <v>9219.2999999999993</v>
      </c>
      <c r="D563">
        <v>9121.1</v>
      </c>
      <c r="E563">
        <v>9170.2800000000007</v>
      </c>
      <c r="F563">
        <v>22554.541456999999</v>
      </c>
      <c r="G563">
        <v>0.17</v>
      </c>
      <c r="L563" t="s">
        <v>8</v>
      </c>
      <c r="M563" t="s">
        <v>8</v>
      </c>
      <c r="N563" t="s">
        <v>8</v>
      </c>
      <c r="P563">
        <f t="shared" si="985"/>
        <v>1.6293279022573854E-3</v>
      </c>
      <c r="Q563">
        <f t="shared" si="986"/>
        <v>36.748743718511044</v>
      </c>
      <c r="R563">
        <f t="shared" si="987"/>
        <v>3220070.1923389803</v>
      </c>
      <c r="S563">
        <f t="shared" si="988"/>
        <v>32.200701923389801</v>
      </c>
      <c r="T563">
        <f t="shared" si="989"/>
        <v>3.22007019233898E-2</v>
      </c>
      <c r="CZ563" t="s">
        <v>7</v>
      </c>
    </row>
    <row r="564" spans="1:104" x14ac:dyDescent="0.25">
      <c r="A564" s="5">
        <v>44029</v>
      </c>
      <c r="B564">
        <v>9133.7199999999993</v>
      </c>
      <c r="C564">
        <v>9186.83</v>
      </c>
      <c r="D564">
        <v>9089.81</v>
      </c>
      <c r="E564">
        <v>9154.32</v>
      </c>
      <c r="F564">
        <v>28054.358741</v>
      </c>
      <c r="G564">
        <v>0.23</v>
      </c>
      <c r="L564" t="s">
        <v>8</v>
      </c>
      <c r="M564" t="s">
        <v>8</v>
      </c>
      <c r="N564" t="s">
        <v>8</v>
      </c>
      <c r="P564">
        <f t="shared" si="985"/>
        <v>0.32982890125747122</v>
      </c>
      <c r="Q564">
        <f t="shared" si="986"/>
        <v>9253.1383190269644</v>
      </c>
      <c r="R564">
        <f t="shared" si="987"/>
        <v>3220033.4435952618</v>
      </c>
      <c r="S564">
        <f t="shared" si="988"/>
        <v>32.20033443595262</v>
      </c>
      <c r="T564">
        <f t="shared" si="989"/>
        <v>3.2200334435952618E-2</v>
      </c>
    </row>
    <row r="565" spans="1:104" x14ac:dyDescent="0.25">
      <c r="A565" s="5">
        <v>44028</v>
      </c>
      <c r="B565">
        <v>9197.6</v>
      </c>
      <c r="C565">
        <v>9226.15</v>
      </c>
      <c r="D565">
        <v>9047.25</v>
      </c>
      <c r="E565">
        <v>9133.7199999999993</v>
      </c>
      <c r="F565">
        <v>43375.571191000003</v>
      </c>
      <c r="G565">
        <v>-0.69</v>
      </c>
      <c r="L565" t="s">
        <v>8</v>
      </c>
      <c r="M565" t="s">
        <v>8</v>
      </c>
      <c r="N565" t="s">
        <v>8</v>
      </c>
      <c r="P565">
        <f t="shared" si="985"/>
        <v>-3.331470095025689E-2</v>
      </c>
      <c r="Q565">
        <f t="shared" si="986"/>
        <v>-1445.0441827747431</v>
      </c>
      <c r="R565">
        <f t="shared" si="987"/>
        <v>3210780.3052762346</v>
      </c>
      <c r="S565">
        <f t="shared" si="988"/>
        <v>32.10780305276235</v>
      </c>
      <c r="T565">
        <f t="shared" si="989"/>
        <v>3.2107803052762347E-2</v>
      </c>
    </row>
    <row r="566" spans="1:104" x14ac:dyDescent="0.25">
      <c r="A566" s="5">
        <v>44027</v>
      </c>
      <c r="B566">
        <v>9255.85</v>
      </c>
      <c r="C566">
        <v>9276.49</v>
      </c>
      <c r="D566">
        <v>9160.57</v>
      </c>
      <c r="E566">
        <v>9197.6</v>
      </c>
      <c r="F566">
        <v>39053.579664999997</v>
      </c>
      <c r="G566">
        <v>-0.63</v>
      </c>
      <c r="L566" t="s">
        <v>8</v>
      </c>
      <c r="M566" t="s">
        <v>8</v>
      </c>
      <c r="N566" t="s">
        <v>8</v>
      </c>
      <c r="P566">
        <f t="shared" si="985"/>
        <v>-0.36111111111110022</v>
      </c>
      <c r="Q566">
        <f t="shared" si="986"/>
        <v>-14102.681545694018</v>
      </c>
      <c r="R566">
        <f t="shared" si="987"/>
        <v>3212225.3494590092</v>
      </c>
      <c r="S566">
        <f t="shared" si="988"/>
        <v>32.12225349459009</v>
      </c>
      <c r="T566">
        <f t="shared" si="989"/>
        <v>3.2122253494590088E-2</v>
      </c>
    </row>
    <row r="567" spans="1:104" x14ac:dyDescent="0.25">
      <c r="A567" s="5">
        <v>44026</v>
      </c>
      <c r="B567">
        <v>9242.61</v>
      </c>
      <c r="C567">
        <v>9279.5400000000009</v>
      </c>
      <c r="D567">
        <v>9113</v>
      </c>
      <c r="E567">
        <v>9255.85</v>
      </c>
      <c r="F567">
        <v>45772.552509000001</v>
      </c>
      <c r="G567">
        <v>0.14000000000000001</v>
      </c>
      <c r="L567" t="s">
        <v>8</v>
      </c>
      <c r="M567" t="s">
        <v>8</v>
      </c>
      <c r="N567" t="s">
        <v>8</v>
      </c>
      <c r="P567">
        <f t="shared" si="985"/>
        <v>0.7155037828749804</v>
      </c>
      <c r="Q567">
        <f t="shared" si="986"/>
        <v>32750.434472033176</v>
      </c>
      <c r="R567">
        <f t="shared" si="987"/>
        <v>3226328.0310047031</v>
      </c>
      <c r="S567">
        <f t="shared" si="988"/>
        <v>32.26328031004703</v>
      </c>
      <c r="T567">
        <f t="shared" si="989"/>
        <v>3.2263280310047028E-2</v>
      </c>
    </row>
    <row r="568" spans="1:104" x14ac:dyDescent="0.25">
      <c r="A568" s="5">
        <v>44025</v>
      </c>
      <c r="B568">
        <v>9303.31</v>
      </c>
      <c r="C568">
        <v>9343.82</v>
      </c>
      <c r="D568">
        <v>9200.89</v>
      </c>
      <c r="E568">
        <v>9242.6200000000008</v>
      </c>
      <c r="F568">
        <v>42740.069114999998</v>
      </c>
      <c r="G568">
        <v>-0.65</v>
      </c>
      <c r="L568" t="s">
        <v>8</v>
      </c>
      <c r="M568" t="s">
        <v>8</v>
      </c>
      <c r="N568" t="s">
        <v>8</v>
      </c>
      <c r="P568">
        <f t="shared" si="985"/>
        <v>-0.41607780032181768</v>
      </c>
      <c r="Q568">
        <f t="shared" si="986"/>
        <v>-17783.193942971655</v>
      </c>
      <c r="R568">
        <f t="shared" si="987"/>
        <v>3193577.5965326698</v>
      </c>
      <c r="S568">
        <f t="shared" si="988"/>
        <v>31.935775965326698</v>
      </c>
      <c r="T568">
        <f t="shared" si="989"/>
        <v>3.19357759653267E-2</v>
      </c>
    </row>
    <row r="569" spans="1:104" x14ac:dyDescent="0.25">
      <c r="A569" s="5">
        <v>44024</v>
      </c>
      <c r="B569">
        <v>9234.02</v>
      </c>
      <c r="C569">
        <v>9345</v>
      </c>
      <c r="D569">
        <v>9157.5</v>
      </c>
      <c r="E569">
        <v>9302.75</v>
      </c>
      <c r="F569">
        <v>30872.702286</v>
      </c>
      <c r="G569">
        <v>0.74</v>
      </c>
      <c r="L569" t="s">
        <v>8</v>
      </c>
      <c r="M569" t="s">
        <v>8</v>
      </c>
      <c r="N569" t="s">
        <v>8</v>
      </c>
      <c r="P569">
        <f t="shared" si="985"/>
        <v>0.54933333333333334</v>
      </c>
      <c r="Q569">
        <f t="shared" si="986"/>
        <v>16959.404455775999</v>
      </c>
      <c r="R569">
        <f t="shared" si="987"/>
        <v>3211360.7904756414</v>
      </c>
      <c r="S569">
        <f t="shared" si="988"/>
        <v>32.113607904756414</v>
      </c>
      <c r="T569">
        <f t="shared" si="989"/>
        <v>3.2113607904756411E-2</v>
      </c>
    </row>
    <row r="570" spans="1:104" x14ac:dyDescent="0.25">
      <c r="A570" s="5">
        <v>44023</v>
      </c>
      <c r="B570">
        <v>9288.34</v>
      </c>
      <c r="C570">
        <v>9299.2800000000007</v>
      </c>
      <c r="D570">
        <v>9178.25</v>
      </c>
      <c r="E570">
        <v>9234.0300000000007</v>
      </c>
      <c r="F570">
        <v>22561.366000000002</v>
      </c>
      <c r="G570">
        <v>-0.57999999999999996</v>
      </c>
      <c r="L570" t="s">
        <v>8</v>
      </c>
      <c r="M570" t="s">
        <v>8</v>
      </c>
      <c r="N570" t="s">
        <v>8</v>
      </c>
      <c r="P570">
        <f t="shared" si="985"/>
        <v>-7.8245063207463383E-2</v>
      </c>
      <c r="Q570">
        <f t="shared" si="986"/>
        <v>-1765.3155087167154</v>
      </c>
      <c r="R570">
        <f t="shared" si="987"/>
        <v>3194401.3860198655</v>
      </c>
      <c r="S570">
        <f t="shared" si="988"/>
        <v>31.944013860198655</v>
      </c>
      <c r="T570">
        <f t="shared" si="989"/>
        <v>3.1944013860198656E-2</v>
      </c>
    </row>
    <row r="571" spans="1:104" x14ac:dyDescent="0.25">
      <c r="A571" s="5">
        <v>44022</v>
      </c>
      <c r="B571">
        <v>9232.42</v>
      </c>
      <c r="C571">
        <v>9317.48</v>
      </c>
      <c r="D571">
        <v>9125</v>
      </c>
      <c r="E571">
        <v>9288.34</v>
      </c>
      <c r="F571">
        <v>38295.494006000001</v>
      </c>
      <c r="G571">
        <v>0.61</v>
      </c>
      <c r="L571" t="s">
        <v>8</v>
      </c>
      <c r="M571" t="s">
        <v>8</v>
      </c>
      <c r="N571" t="s">
        <v>8</v>
      </c>
      <c r="P571">
        <f t="shared" si="985"/>
        <v>0.69721529509559976</v>
      </c>
      <c r="Q571">
        <f t="shared" si="986"/>
        <v>26700.204154225063</v>
      </c>
      <c r="R571">
        <f t="shared" si="987"/>
        <v>3196166.7015285823</v>
      </c>
      <c r="S571">
        <f t="shared" si="988"/>
        <v>31.961667015285823</v>
      </c>
      <c r="T571">
        <f t="shared" si="989"/>
        <v>3.196166701528582E-2</v>
      </c>
    </row>
    <row r="572" spans="1:104" x14ac:dyDescent="0.25">
      <c r="A572" s="5">
        <v>44021</v>
      </c>
      <c r="B572">
        <v>9436.06</v>
      </c>
      <c r="C572">
        <v>9440.7900000000009</v>
      </c>
      <c r="D572">
        <v>9160</v>
      </c>
      <c r="E572">
        <v>9232.43</v>
      </c>
      <c r="F572">
        <v>48044.450644999997</v>
      </c>
      <c r="G572">
        <v>-2.16</v>
      </c>
      <c r="L572" t="s">
        <v>8</v>
      </c>
      <c r="M572" t="s">
        <v>8</v>
      </c>
      <c r="N572" t="s">
        <v>8</v>
      </c>
      <c r="P572">
        <f t="shared" si="985"/>
        <v>-0.48409843655400786</v>
      </c>
      <c r="Q572">
        <f t="shared" si="986"/>
        <v>-23258.243442340692</v>
      </c>
      <c r="R572">
        <f t="shared" si="987"/>
        <v>3169466.4973743572</v>
      </c>
      <c r="S572">
        <f t="shared" si="988"/>
        <v>31.694664973743571</v>
      </c>
      <c r="T572">
        <f t="shared" si="989"/>
        <v>3.1694664973743569E-2</v>
      </c>
    </row>
    <row r="573" spans="1:104" x14ac:dyDescent="0.25">
      <c r="A573" s="5">
        <v>44020</v>
      </c>
      <c r="B573">
        <v>9257.4</v>
      </c>
      <c r="C573">
        <v>9470</v>
      </c>
      <c r="D573">
        <v>9231</v>
      </c>
      <c r="E573">
        <v>9436.06</v>
      </c>
      <c r="F573">
        <v>56140.517781000002</v>
      </c>
      <c r="G573">
        <v>1.93</v>
      </c>
      <c r="L573" t="s">
        <v>8</v>
      </c>
      <c r="M573" t="s">
        <v>8</v>
      </c>
      <c r="N573" t="s">
        <v>8</v>
      </c>
      <c r="P573">
        <f t="shared" si="985"/>
        <v>0.71598326359832209</v>
      </c>
      <c r="Q573">
        <f t="shared" si="986"/>
        <v>40195.671140940016</v>
      </c>
      <c r="R573">
        <f t="shared" si="987"/>
        <v>3192724.7408166979</v>
      </c>
      <c r="S573">
        <f t="shared" si="988"/>
        <v>31.927247408166981</v>
      </c>
      <c r="T573">
        <f t="shared" si="989"/>
        <v>3.1927247408166978E-2</v>
      </c>
    </row>
    <row r="574" spans="1:104" x14ac:dyDescent="0.25">
      <c r="A574" s="5">
        <v>44019</v>
      </c>
      <c r="B574">
        <v>9342.4699999999993</v>
      </c>
      <c r="C574">
        <v>9379.42</v>
      </c>
      <c r="D574">
        <v>9203</v>
      </c>
      <c r="E574">
        <v>9257.39</v>
      </c>
      <c r="F574">
        <v>34587.336678</v>
      </c>
      <c r="G574">
        <v>-0.91</v>
      </c>
      <c r="L574" t="s">
        <v>7</v>
      </c>
      <c r="M574" t="s">
        <v>8</v>
      </c>
      <c r="N574" t="s">
        <v>8</v>
      </c>
      <c r="P574">
        <f t="shared" si="985"/>
        <v>-0.38340324226278882</v>
      </c>
      <c r="Q574">
        <f t="shared" si="986"/>
        <v>-13260.897023579875</v>
      </c>
      <c r="R574">
        <f t="shared" si="987"/>
        <v>3152529.069675758</v>
      </c>
      <c r="S574">
        <f t="shared" si="988"/>
        <v>31.52529069675758</v>
      </c>
      <c r="T574">
        <f t="shared" si="989"/>
        <v>3.152529069675758E-2</v>
      </c>
    </row>
    <row r="575" spans="1:104" x14ac:dyDescent="0.25">
      <c r="A575" s="5">
        <v>44018</v>
      </c>
      <c r="B575">
        <v>9069.41</v>
      </c>
      <c r="C575">
        <v>9375</v>
      </c>
      <c r="D575">
        <v>9055.92</v>
      </c>
      <c r="E575">
        <v>9344.2000000000007</v>
      </c>
      <c r="F575">
        <v>54463.132276999997</v>
      </c>
      <c r="G575">
        <v>3.03</v>
      </c>
      <c r="L575" t="s">
        <v>7</v>
      </c>
      <c r="M575" t="s">
        <v>8</v>
      </c>
      <c r="N575" t="s">
        <v>8</v>
      </c>
      <c r="P575">
        <f t="shared" si="985"/>
        <v>0.80694496677949556</v>
      </c>
      <c r="Q575">
        <f t="shared" si="986"/>
        <v>43948.750465971032</v>
      </c>
      <c r="R575">
        <f t="shared" si="987"/>
        <v>3165789.9666993381</v>
      </c>
      <c r="S575">
        <f t="shared" si="988"/>
        <v>31.65789966699338</v>
      </c>
      <c r="T575">
        <f t="shared" si="989"/>
        <v>3.165789966699338E-2</v>
      </c>
    </row>
    <row r="576" spans="1:104" x14ac:dyDescent="0.25">
      <c r="A576" s="5">
        <v>44017</v>
      </c>
      <c r="B576">
        <v>9135</v>
      </c>
      <c r="C576">
        <v>9145.24</v>
      </c>
      <c r="D576">
        <v>8893.0300000000007</v>
      </c>
      <c r="E576">
        <v>9069.41</v>
      </c>
      <c r="F576">
        <v>34073.653627</v>
      </c>
      <c r="G576">
        <v>-0.72</v>
      </c>
      <c r="L576" t="s">
        <v>7</v>
      </c>
      <c r="M576" t="s">
        <v>8</v>
      </c>
      <c r="N576" t="s">
        <v>8</v>
      </c>
      <c r="P576">
        <f t="shared" si="985"/>
        <v>0.39867570675230807</v>
      </c>
      <c r="Q576">
        <f t="shared" si="986"/>
        <v>13584.337941377569</v>
      </c>
      <c r="R576">
        <f t="shared" si="987"/>
        <v>3121841.2162333671</v>
      </c>
      <c r="S576">
        <f t="shared" si="988"/>
        <v>31.218412162333671</v>
      </c>
      <c r="T576">
        <f t="shared" si="989"/>
        <v>3.1218412162333672E-2</v>
      </c>
    </row>
    <row r="577" spans="1:20" x14ac:dyDescent="0.25">
      <c r="A577" s="5">
        <v>44016</v>
      </c>
      <c r="B577">
        <v>9057.7900000000009</v>
      </c>
      <c r="C577">
        <v>9190</v>
      </c>
      <c r="D577">
        <v>9040.0400000000009</v>
      </c>
      <c r="E577">
        <v>9135.4599999999991</v>
      </c>
      <c r="F577">
        <v>26441.968484000001</v>
      </c>
      <c r="G577">
        <v>0.86</v>
      </c>
      <c r="L577" t="s">
        <v>7</v>
      </c>
      <c r="M577" t="s">
        <v>8</v>
      </c>
      <c r="N577" t="s">
        <v>8</v>
      </c>
      <c r="P577">
        <f t="shared" si="985"/>
        <v>0.27260602827419056</v>
      </c>
      <c r="Q577">
        <f t="shared" si="986"/>
        <v>7208.24000817456</v>
      </c>
      <c r="R577">
        <f t="shared" si="987"/>
        <v>3108256.8782919897</v>
      </c>
      <c r="S577">
        <f t="shared" si="988"/>
        <v>31.082568782919896</v>
      </c>
      <c r="T577">
        <f t="shared" si="989"/>
        <v>3.1082568782919897E-2</v>
      </c>
    </row>
    <row r="578" spans="1:20" x14ac:dyDescent="0.25">
      <c r="A578" s="5">
        <v>44015</v>
      </c>
      <c r="B578">
        <v>9086.5400000000009</v>
      </c>
      <c r="C578">
        <v>9125</v>
      </c>
      <c r="D578">
        <v>9037.4699999999993</v>
      </c>
      <c r="E578">
        <v>9058.26</v>
      </c>
      <c r="F578">
        <v>28943.420177</v>
      </c>
      <c r="G578">
        <v>-0.31</v>
      </c>
      <c r="L578" t="s">
        <v>7</v>
      </c>
      <c r="M578" t="s">
        <v>8</v>
      </c>
      <c r="N578" t="s">
        <v>8</v>
      </c>
      <c r="P578">
        <f t="shared" si="985"/>
        <v>-0.52496286987316998</v>
      </c>
      <c r="Q578">
        <f t="shared" si="986"/>
        <v>-15194.220920062933</v>
      </c>
      <c r="R578">
        <f t="shared" si="987"/>
        <v>3101048.6382838152</v>
      </c>
      <c r="S578">
        <f t="shared" si="988"/>
        <v>31.010486382838153</v>
      </c>
      <c r="T578">
        <f t="shared" si="989"/>
        <v>3.1010486382838154E-2</v>
      </c>
    </row>
    <row r="579" spans="1:20" x14ac:dyDescent="0.25">
      <c r="A579" s="5">
        <v>44014</v>
      </c>
      <c r="B579">
        <v>9231.99</v>
      </c>
      <c r="C579">
        <v>9261.9599999999991</v>
      </c>
      <c r="D579">
        <v>8940</v>
      </c>
      <c r="E579">
        <v>9086.5400000000009</v>
      </c>
      <c r="F579">
        <v>45725.168076000002</v>
      </c>
      <c r="G579">
        <v>-1.58</v>
      </c>
      <c r="L579" t="s">
        <v>7</v>
      </c>
      <c r="M579" t="s">
        <v>8</v>
      </c>
      <c r="N579" t="s">
        <v>8</v>
      </c>
      <c r="P579">
        <f t="shared" si="985"/>
        <v>-8.9700583923460864E-2</v>
      </c>
      <c r="Q579">
        <f t="shared" si="986"/>
        <v>-4101.5742764155921</v>
      </c>
      <c r="R579">
        <f t="shared" si="987"/>
        <v>3116242.8592038783</v>
      </c>
      <c r="S579">
        <f t="shared" si="988"/>
        <v>31.162428592038783</v>
      </c>
      <c r="T579">
        <f t="shared" si="989"/>
        <v>3.1162428592038782E-2</v>
      </c>
    </row>
    <row r="580" spans="1:20" x14ac:dyDescent="0.25">
      <c r="A580" s="5">
        <v>44013</v>
      </c>
      <c r="B580">
        <v>9138.08</v>
      </c>
      <c r="C580">
        <v>9292</v>
      </c>
      <c r="D580">
        <v>9080.1</v>
      </c>
      <c r="E580">
        <v>9232</v>
      </c>
      <c r="F580">
        <v>38488.528699000002</v>
      </c>
      <c r="G580">
        <v>1.03</v>
      </c>
      <c r="L580" t="s">
        <v>7</v>
      </c>
      <c r="M580" t="s">
        <v>8</v>
      </c>
      <c r="N580" t="s">
        <v>8</v>
      </c>
      <c r="P580">
        <f t="shared" si="985"/>
        <v>0.43369513921661063</v>
      </c>
      <c r="Q580">
        <f t="shared" si="986"/>
        <v>16692.28781235532</v>
      </c>
      <c r="R580">
        <f t="shared" si="987"/>
        <v>3120344.433480294</v>
      </c>
      <c r="S580">
        <f t="shared" si="988"/>
        <v>31.203444334802938</v>
      </c>
      <c r="T580">
        <f t="shared" si="989"/>
        <v>3.1203444334802939E-2</v>
      </c>
    </row>
    <row r="581" spans="1:20" x14ac:dyDescent="0.25">
      <c r="A581" s="5">
        <v>44012</v>
      </c>
      <c r="B581">
        <v>9192.93</v>
      </c>
      <c r="C581">
        <v>9205</v>
      </c>
      <c r="D581">
        <v>9064.89</v>
      </c>
      <c r="E581">
        <v>9138.5499999999993</v>
      </c>
      <c r="F581">
        <v>31463.162800999999</v>
      </c>
      <c r="G581">
        <v>-0.59</v>
      </c>
      <c r="L581" t="s">
        <v>7</v>
      </c>
      <c r="M581" t="s">
        <v>8</v>
      </c>
      <c r="N581" t="s">
        <v>8</v>
      </c>
      <c r="P581">
        <f t="shared" si="985"/>
        <v>5.1459567482685722E-2</v>
      </c>
      <c r="Q581">
        <f t="shared" si="986"/>
        <v>1619.0807493767866</v>
      </c>
      <c r="R581">
        <f t="shared" si="987"/>
        <v>3103652.1456679385</v>
      </c>
      <c r="S581">
        <f t="shared" si="988"/>
        <v>31.036521456679385</v>
      </c>
      <c r="T581">
        <f t="shared" si="989"/>
        <v>3.1036521456679386E-2</v>
      </c>
    </row>
    <row r="582" spans="1:20" x14ac:dyDescent="0.25">
      <c r="A582" s="5">
        <v>44011</v>
      </c>
      <c r="B582">
        <v>9116.16</v>
      </c>
      <c r="C582">
        <v>9238</v>
      </c>
      <c r="D582">
        <v>9024.67</v>
      </c>
      <c r="E582">
        <v>9192.56</v>
      </c>
      <c r="F582">
        <v>42120.293260999999</v>
      </c>
      <c r="G582">
        <v>0.84</v>
      </c>
      <c r="L582" t="s">
        <v>7</v>
      </c>
      <c r="M582" t="s">
        <v>8</v>
      </c>
      <c r="N582" t="s">
        <v>8</v>
      </c>
      <c r="P582">
        <f t="shared" ref="P582:P645" si="990">IF(C582=D582,0,((E582-D582)-(C582-E582))/(C582-D582))</f>
        <v>0.57399334364598953</v>
      </c>
      <c r="Q582">
        <f t="shared" ref="Q582:Q645" si="991">F582*P582</f>
        <v>24176.767964231029</v>
      </c>
      <c r="R582">
        <f t="shared" ref="R582:R645" si="992">R583+Q582</f>
        <v>3102033.0649185618</v>
      </c>
      <c r="S582">
        <f t="shared" ref="S582:S645" si="993">R582/100000</f>
        <v>31.020330649185617</v>
      </c>
      <c r="T582">
        <f t="shared" ref="T582:T645" si="994">S582/1000</f>
        <v>3.1020330649185617E-2</v>
      </c>
    </row>
    <row r="583" spans="1:20" x14ac:dyDescent="0.25">
      <c r="A583" s="5">
        <v>44010</v>
      </c>
      <c r="B583">
        <v>9012</v>
      </c>
      <c r="C583">
        <v>9191</v>
      </c>
      <c r="D583">
        <v>8948.06</v>
      </c>
      <c r="E583">
        <v>9116.35</v>
      </c>
      <c r="F583">
        <v>30688.176421</v>
      </c>
      <c r="G583">
        <v>1.1599999999999999</v>
      </c>
      <c r="L583" t="s">
        <v>7</v>
      </c>
      <c r="M583" t="s">
        <v>8</v>
      </c>
      <c r="N583" t="s">
        <v>8</v>
      </c>
      <c r="P583">
        <f t="shared" si="990"/>
        <v>0.38544496583518995</v>
      </c>
      <c r="Q583">
        <f t="shared" si="991"/>
        <v>11828.603112136627</v>
      </c>
      <c r="R583">
        <f t="shared" si="992"/>
        <v>3077856.296954331</v>
      </c>
      <c r="S583">
        <f t="shared" si="993"/>
        <v>30.778562969543309</v>
      </c>
      <c r="T583">
        <f t="shared" si="994"/>
        <v>3.0778562969543309E-2</v>
      </c>
    </row>
    <row r="584" spans="1:20" x14ac:dyDescent="0.25">
      <c r="A584" s="5">
        <v>44009</v>
      </c>
      <c r="B584">
        <v>9162.2099999999991</v>
      </c>
      <c r="C584">
        <v>9196.24</v>
      </c>
      <c r="D584">
        <v>8833</v>
      </c>
      <c r="E584">
        <v>9012</v>
      </c>
      <c r="F584">
        <v>46290.930113000002</v>
      </c>
      <c r="G584">
        <v>-1.64</v>
      </c>
      <c r="L584" t="s">
        <v>7</v>
      </c>
      <c r="M584" t="s">
        <v>8</v>
      </c>
      <c r="N584" t="s">
        <v>8</v>
      </c>
      <c r="P584">
        <f t="shared" si="990"/>
        <v>-1.4425724039202139E-2</v>
      </c>
      <c r="Q584">
        <f t="shared" si="991"/>
        <v>-667.78018332813031</v>
      </c>
      <c r="R584">
        <f t="shared" si="992"/>
        <v>3066027.6938421945</v>
      </c>
      <c r="S584">
        <f t="shared" si="993"/>
        <v>30.660276938421944</v>
      </c>
      <c r="T584">
        <f t="shared" si="994"/>
        <v>3.0660276938421945E-2</v>
      </c>
    </row>
    <row r="585" spans="1:20" x14ac:dyDescent="0.25">
      <c r="A585" s="5">
        <v>44008</v>
      </c>
      <c r="B585">
        <v>9249.49</v>
      </c>
      <c r="C585">
        <v>9298</v>
      </c>
      <c r="D585">
        <v>9045.4500000000007</v>
      </c>
      <c r="E585">
        <v>9162.2099999999991</v>
      </c>
      <c r="F585">
        <v>50292.298277000002</v>
      </c>
      <c r="G585">
        <v>-0.94</v>
      </c>
      <c r="L585" t="s">
        <v>7</v>
      </c>
      <c r="M585" t="s">
        <v>8</v>
      </c>
      <c r="N585" t="s">
        <v>8</v>
      </c>
      <c r="P585">
        <f t="shared" si="990"/>
        <v>-7.535141556128501E-2</v>
      </c>
      <c r="Q585">
        <f t="shared" si="991"/>
        <v>-3789.5958670023251</v>
      </c>
      <c r="R585">
        <f t="shared" si="992"/>
        <v>3066695.4740255228</v>
      </c>
      <c r="S585">
        <f t="shared" si="993"/>
        <v>30.666954740255228</v>
      </c>
      <c r="T585">
        <f t="shared" si="994"/>
        <v>3.0666954740255228E-2</v>
      </c>
    </row>
    <row r="586" spans="1:20" x14ac:dyDescent="0.25">
      <c r="A586" s="5">
        <v>44007</v>
      </c>
      <c r="B586">
        <v>9298.33</v>
      </c>
      <c r="C586">
        <v>9340</v>
      </c>
      <c r="D586">
        <v>9009.69</v>
      </c>
      <c r="E586">
        <v>9249.49</v>
      </c>
      <c r="F586">
        <v>55831.619156000001</v>
      </c>
      <c r="G586">
        <v>-0.53</v>
      </c>
      <c r="L586" t="s">
        <v>7</v>
      </c>
      <c r="M586" t="s">
        <v>8</v>
      </c>
      <c r="N586" t="s">
        <v>8</v>
      </c>
      <c r="P586">
        <f t="shared" si="990"/>
        <v>0.45196936211437522</v>
      </c>
      <c r="Q586">
        <f t="shared" si="991"/>
        <v>25234.181295750052</v>
      </c>
      <c r="R586">
        <f t="shared" si="992"/>
        <v>3070485.0698925252</v>
      </c>
      <c r="S586">
        <f t="shared" si="993"/>
        <v>30.704850698925252</v>
      </c>
      <c r="T586">
        <f t="shared" si="994"/>
        <v>3.0704850698925253E-2</v>
      </c>
    </row>
    <row r="587" spans="1:20" x14ac:dyDescent="0.25">
      <c r="A587" s="5">
        <v>44006</v>
      </c>
      <c r="B587">
        <v>9624.33</v>
      </c>
      <c r="C587">
        <v>9670</v>
      </c>
      <c r="D587">
        <v>9208</v>
      </c>
      <c r="E587">
        <v>9296.49</v>
      </c>
      <c r="F587">
        <v>61571.561463999999</v>
      </c>
      <c r="G587">
        <v>-3.41</v>
      </c>
      <c r="L587" t="s">
        <v>8</v>
      </c>
      <c r="M587" t="s">
        <v>8</v>
      </c>
      <c r="N587" t="s">
        <v>8</v>
      </c>
      <c r="P587">
        <f t="shared" si="990"/>
        <v>-0.61692640692640788</v>
      </c>
      <c r="Q587">
        <f t="shared" si="991"/>
        <v>-37985.122182833999</v>
      </c>
      <c r="R587">
        <f t="shared" si="992"/>
        <v>3045250.888596775</v>
      </c>
      <c r="S587">
        <f t="shared" si="993"/>
        <v>30.452508885967749</v>
      </c>
      <c r="T587">
        <f t="shared" si="994"/>
        <v>3.045250888596775E-2</v>
      </c>
    </row>
    <row r="588" spans="1:20" x14ac:dyDescent="0.25">
      <c r="A588" s="5">
        <v>44005</v>
      </c>
      <c r="B588">
        <v>9685.69</v>
      </c>
      <c r="C588">
        <v>9720</v>
      </c>
      <c r="D588">
        <v>9577.0300000000007</v>
      </c>
      <c r="E588">
        <v>9624.89</v>
      </c>
      <c r="F588">
        <v>41031.02938</v>
      </c>
      <c r="G588">
        <v>-0.63</v>
      </c>
      <c r="L588" t="s">
        <v>8</v>
      </c>
      <c r="M588" t="s">
        <v>8</v>
      </c>
      <c r="N588" t="s">
        <v>8</v>
      </c>
      <c r="P588">
        <f t="shared" si="990"/>
        <v>-0.33048891375814532</v>
      </c>
      <c r="Q588">
        <f t="shared" si="991"/>
        <v>-13560.300330174747</v>
      </c>
      <c r="R588">
        <f t="shared" si="992"/>
        <v>3083236.010779609</v>
      </c>
      <c r="S588">
        <f t="shared" si="993"/>
        <v>30.832360107796088</v>
      </c>
      <c r="T588">
        <f t="shared" si="994"/>
        <v>3.0832360107796088E-2</v>
      </c>
    </row>
    <row r="589" spans="1:20" x14ac:dyDescent="0.25">
      <c r="A589" s="5">
        <v>44004</v>
      </c>
      <c r="B589">
        <v>9294.69</v>
      </c>
      <c r="C589">
        <v>9780</v>
      </c>
      <c r="D589">
        <v>9277.09</v>
      </c>
      <c r="E589">
        <v>9685.69</v>
      </c>
      <c r="F589">
        <v>57895.468343</v>
      </c>
      <c r="G589">
        <v>4.21</v>
      </c>
      <c r="L589" t="s">
        <v>8</v>
      </c>
      <c r="M589" t="s">
        <v>8</v>
      </c>
      <c r="N589" t="s">
        <v>8</v>
      </c>
      <c r="P589">
        <f t="shared" si="990"/>
        <v>0.62494283271360873</v>
      </c>
      <c r="Q589">
        <f t="shared" si="991"/>
        <v>36181.357987555479</v>
      </c>
      <c r="R589">
        <f t="shared" si="992"/>
        <v>3096796.3111097836</v>
      </c>
      <c r="S589">
        <f t="shared" si="993"/>
        <v>30.967963111097834</v>
      </c>
      <c r="T589">
        <f t="shared" si="994"/>
        <v>3.0967963111097833E-2</v>
      </c>
    </row>
    <row r="590" spans="1:20" x14ac:dyDescent="0.25">
      <c r="A590" s="5">
        <v>44003</v>
      </c>
      <c r="B590">
        <v>9358.9500000000007</v>
      </c>
      <c r="C590">
        <v>9422</v>
      </c>
      <c r="D590">
        <v>9281.5400000000009</v>
      </c>
      <c r="E590">
        <v>9294.69</v>
      </c>
      <c r="F590">
        <v>24316.926233999999</v>
      </c>
      <c r="G590">
        <v>-0.69</v>
      </c>
      <c r="L590" t="s">
        <v>7</v>
      </c>
      <c r="M590" t="s">
        <v>8</v>
      </c>
      <c r="N590" t="s">
        <v>8</v>
      </c>
      <c r="P590">
        <f t="shared" si="990"/>
        <v>-0.81275808059234345</v>
      </c>
      <c r="Q590">
        <f t="shared" si="991"/>
        <v>-19763.778291851442</v>
      </c>
      <c r="R590">
        <f t="shared" si="992"/>
        <v>3060614.9531222279</v>
      </c>
      <c r="S590">
        <f t="shared" si="993"/>
        <v>30.606149531222279</v>
      </c>
      <c r="T590">
        <f t="shared" si="994"/>
        <v>3.0606149531222281E-2</v>
      </c>
    </row>
    <row r="591" spans="1:20" x14ac:dyDescent="0.25">
      <c r="A591" s="5">
        <v>44002</v>
      </c>
      <c r="B591">
        <v>9310.23</v>
      </c>
      <c r="C591">
        <v>9395</v>
      </c>
      <c r="D591">
        <v>9170.9500000000007</v>
      </c>
      <c r="E591">
        <v>9358.9500000000007</v>
      </c>
      <c r="F591">
        <v>30329.065384000001</v>
      </c>
      <c r="G591">
        <v>0.52</v>
      </c>
      <c r="L591" t="s">
        <v>7</v>
      </c>
      <c r="M591" t="s">
        <v>8</v>
      </c>
      <c r="N591" t="s">
        <v>8</v>
      </c>
      <c r="P591">
        <f t="shared" si="990"/>
        <v>0.67819683106450002</v>
      </c>
      <c r="Q591">
        <f t="shared" si="991"/>
        <v>20569.076032576824</v>
      </c>
      <c r="R591">
        <f t="shared" si="992"/>
        <v>3080378.7314140792</v>
      </c>
      <c r="S591">
        <f t="shared" si="993"/>
        <v>30.803787314140791</v>
      </c>
      <c r="T591">
        <f t="shared" si="994"/>
        <v>3.0803787314140792E-2</v>
      </c>
    </row>
    <row r="592" spans="1:20" x14ac:dyDescent="0.25">
      <c r="A592" s="5">
        <v>44001</v>
      </c>
      <c r="B592">
        <v>9386.32</v>
      </c>
      <c r="C592">
        <v>9438.2999999999993</v>
      </c>
      <c r="D592">
        <v>9215.7900000000009</v>
      </c>
      <c r="E592">
        <v>9310.23</v>
      </c>
      <c r="F592">
        <v>45330.983673000002</v>
      </c>
      <c r="G592">
        <v>-0.81</v>
      </c>
      <c r="L592" t="s">
        <v>7</v>
      </c>
      <c r="M592" t="s">
        <v>8</v>
      </c>
      <c r="N592" t="s">
        <v>8</v>
      </c>
      <c r="P592">
        <f t="shared" si="990"/>
        <v>-0.1511392746393477</v>
      </c>
      <c r="Q592">
        <f t="shared" si="991"/>
        <v>-6851.291991025334</v>
      </c>
      <c r="R592">
        <f t="shared" si="992"/>
        <v>3059809.6553815026</v>
      </c>
      <c r="S592">
        <f t="shared" si="993"/>
        <v>30.598096553815026</v>
      </c>
      <c r="T592">
        <f t="shared" si="994"/>
        <v>3.0598096553815027E-2</v>
      </c>
    </row>
    <row r="593" spans="1:20" x14ac:dyDescent="0.25">
      <c r="A593" s="5">
        <v>44000</v>
      </c>
      <c r="B593">
        <v>9465.1299999999992</v>
      </c>
      <c r="C593">
        <v>9489</v>
      </c>
      <c r="D593">
        <v>9280</v>
      </c>
      <c r="E593">
        <v>9386.32</v>
      </c>
      <c r="F593">
        <v>37381.953764999998</v>
      </c>
      <c r="G593">
        <v>-0.83</v>
      </c>
      <c r="L593" t="s">
        <v>7</v>
      </c>
      <c r="M593" t="s">
        <v>8</v>
      </c>
      <c r="N593" t="s">
        <v>8</v>
      </c>
      <c r="P593">
        <f t="shared" si="990"/>
        <v>1.7416267942580946E-2</v>
      </c>
      <c r="Q593">
        <f t="shared" si="991"/>
        <v>651.05412298841259</v>
      </c>
      <c r="R593">
        <f t="shared" si="992"/>
        <v>3066660.9473725278</v>
      </c>
      <c r="S593">
        <f t="shared" si="993"/>
        <v>30.666609473725277</v>
      </c>
      <c r="T593">
        <f t="shared" si="994"/>
        <v>3.0666609473725279E-2</v>
      </c>
    </row>
    <row r="594" spans="1:20" x14ac:dyDescent="0.25">
      <c r="A594" s="5">
        <v>43999</v>
      </c>
      <c r="B594">
        <v>9526.9699999999993</v>
      </c>
      <c r="C594">
        <v>9565</v>
      </c>
      <c r="D594">
        <v>9236.61</v>
      </c>
      <c r="E594">
        <v>9465.14</v>
      </c>
      <c r="F594">
        <v>48046.411152000001</v>
      </c>
      <c r="G594">
        <v>-0.65</v>
      </c>
      <c r="L594" t="s">
        <v>7</v>
      </c>
      <c r="M594" t="s">
        <v>8</v>
      </c>
      <c r="N594" t="s">
        <v>8</v>
      </c>
      <c r="P594">
        <f t="shared" si="990"/>
        <v>0.39182070099576261</v>
      </c>
      <c r="Q594">
        <f t="shared" si="991"/>
        <v>18825.578497907267</v>
      </c>
      <c r="R594">
        <f t="shared" si="992"/>
        <v>3066009.8932495392</v>
      </c>
      <c r="S594">
        <f t="shared" si="993"/>
        <v>30.660098932495391</v>
      </c>
      <c r="T594">
        <f t="shared" si="994"/>
        <v>3.066009893249539E-2</v>
      </c>
    </row>
    <row r="595" spans="1:20" x14ac:dyDescent="0.25">
      <c r="A595" s="5">
        <v>43998</v>
      </c>
      <c r="B595">
        <v>9426.0499999999993</v>
      </c>
      <c r="C595">
        <v>9589</v>
      </c>
      <c r="D595">
        <v>9373.09</v>
      </c>
      <c r="E595">
        <v>9525.59</v>
      </c>
      <c r="F595">
        <v>52052.446926999997</v>
      </c>
      <c r="G595">
        <v>1.06</v>
      </c>
      <c r="L595" t="s">
        <v>7</v>
      </c>
      <c r="M595" t="s">
        <v>8</v>
      </c>
      <c r="N595" t="s">
        <v>8</v>
      </c>
      <c r="P595">
        <f t="shared" si="990"/>
        <v>0.41262563104997546</v>
      </c>
      <c r="Q595">
        <f t="shared" si="991"/>
        <v>21478.173760948728</v>
      </c>
      <c r="R595">
        <f t="shared" si="992"/>
        <v>3047184.314751632</v>
      </c>
      <c r="S595">
        <f t="shared" si="993"/>
        <v>30.471843147516321</v>
      </c>
      <c r="T595">
        <f t="shared" si="994"/>
        <v>3.0471843147516321E-2</v>
      </c>
    </row>
    <row r="596" spans="1:20" x14ac:dyDescent="0.25">
      <c r="A596" s="5">
        <v>43997</v>
      </c>
      <c r="B596">
        <v>9342.1</v>
      </c>
      <c r="C596">
        <v>9495</v>
      </c>
      <c r="D596">
        <v>8910.4500000000007</v>
      </c>
      <c r="E596">
        <v>9426.02</v>
      </c>
      <c r="F596">
        <v>86107.924706999998</v>
      </c>
      <c r="G596">
        <v>0.9</v>
      </c>
      <c r="L596" t="s">
        <v>7</v>
      </c>
      <c r="M596" t="s">
        <v>8</v>
      </c>
      <c r="N596" t="s">
        <v>8</v>
      </c>
      <c r="P596">
        <f t="shared" si="990"/>
        <v>0.7639893935505957</v>
      </c>
      <c r="Q596">
        <f t="shared" si="991"/>
        <v>65785.541176801285</v>
      </c>
      <c r="R596">
        <f t="shared" si="992"/>
        <v>3025706.1409906833</v>
      </c>
      <c r="S596">
        <f t="shared" si="993"/>
        <v>30.257061409906832</v>
      </c>
      <c r="T596">
        <f t="shared" si="994"/>
        <v>3.0257061409906832E-2</v>
      </c>
    </row>
    <row r="597" spans="1:20" x14ac:dyDescent="0.25">
      <c r="A597" s="5">
        <v>43996</v>
      </c>
      <c r="B597">
        <v>9473.34</v>
      </c>
      <c r="C597">
        <v>9480.99</v>
      </c>
      <c r="D597">
        <v>9245</v>
      </c>
      <c r="E597">
        <v>9342.1</v>
      </c>
      <c r="F597">
        <v>30055.506608</v>
      </c>
      <c r="G597">
        <v>-1.39</v>
      </c>
      <c r="L597" t="s">
        <v>7</v>
      </c>
      <c r="M597" t="s">
        <v>8</v>
      </c>
      <c r="N597" t="s">
        <v>8</v>
      </c>
      <c r="P597">
        <f t="shared" si="990"/>
        <v>-0.17708377473621378</v>
      </c>
      <c r="Q597">
        <f t="shared" si="991"/>
        <v>-5322.3425617538569</v>
      </c>
      <c r="R597">
        <f t="shared" si="992"/>
        <v>2959920.5998138823</v>
      </c>
      <c r="S597">
        <f t="shared" si="993"/>
        <v>29.599205998138821</v>
      </c>
      <c r="T597">
        <f t="shared" si="994"/>
        <v>2.9599205998138822E-2</v>
      </c>
    </row>
    <row r="598" spans="1:20" x14ac:dyDescent="0.25">
      <c r="A598" s="5">
        <v>43995</v>
      </c>
      <c r="B598">
        <v>9464.9599999999991</v>
      </c>
      <c r="C598">
        <v>9494.73</v>
      </c>
      <c r="D598">
        <v>9351</v>
      </c>
      <c r="E598">
        <v>9473.34</v>
      </c>
      <c r="F598">
        <v>27759.784851</v>
      </c>
      <c r="G598">
        <v>0.09</v>
      </c>
      <c r="L598" t="s">
        <v>7</v>
      </c>
      <c r="M598" t="s">
        <v>8</v>
      </c>
      <c r="N598" t="s">
        <v>8</v>
      </c>
      <c r="P598">
        <f t="shared" si="990"/>
        <v>0.70235858902108839</v>
      </c>
      <c r="Q598">
        <f t="shared" si="991"/>
        <v>19497.323319477346</v>
      </c>
      <c r="R598">
        <f t="shared" si="992"/>
        <v>2965242.9423756362</v>
      </c>
      <c r="S598">
        <f t="shared" si="993"/>
        <v>29.652429423756363</v>
      </c>
      <c r="T598">
        <f t="shared" si="994"/>
        <v>2.9652429423756364E-2</v>
      </c>
    </row>
    <row r="599" spans="1:20" x14ac:dyDescent="0.25">
      <c r="A599" s="5">
        <v>43994</v>
      </c>
      <c r="B599">
        <v>9278.8799999999992</v>
      </c>
      <c r="C599">
        <v>9557.1200000000008</v>
      </c>
      <c r="D599">
        <v>9232.51</v>
      </c>
      <c r="E599">
        <v>9465.1299999999992</v>
      </c>
      <c r="F599">
        <v>50119.066932000002</v>
      </c>
      <c r="G599">
        <v>2.0099999999999998</v>
      </c>
      <c r="L599" t="s">
        <v>7</v>
      </c>
      <c r="M599" t="s">
        <v>8</v>
      </c>
      <c r="N599" t="s">
        <v>8</v>
      </c>
      <c r="P599">
        <f t="shared" si="990"/>
        <v>0.43322756538614687</v>
      </c>
      <c r="Q599">
        <f t="shared" si="991"/>
        <v>21712.961346375701</v>
      </c>
      <c r="R599">
        <f t="shared" si="992"/>
        <v>2945745.6190561587</v>
      </c>
      <c r="S599">
        <f t="shared" si="993"/>
        <v>29.457456190561587</v>
      </c>
      <c r="T599">
        <f t="shared" si="994"/>
        <v>2.9457456190561587E-2</v>
      </c>
    </row>
    <row r="600" spans="1:20" x14ac:dyDescent="0.25">
      <c r="A600" s="5">
        <v>43993</v>
      </c>
      <c r="B600">
        <v>9885.2199999999993</v>
      </c>
      <c r="C600">
        <v>9964</v>
      </c>
      <c r="D600">
        <v>9113</v>
      </c>
      <c r="E600">
        <v>9280.4</v>
      </c>
      <c r="F600">
        <v>94418.984729999996</v>
      </c>
      <c r="G600">
        <v>-6.12</v>
      </c>
      <c r="L600" t="s">
        <v>7</v>
      </c>
      <c r="M600" t="s">
        <v>8</v>
      </c>
      <c r="N600" t="s">
        <v>8</v>
      </c>
      <c r="P600">
        <f t="shared" si="990"/>
        <v>-0.60658049353701615</v>
      </c>
      <c r="Q600">
        <f t="shared" si="991"/>
        <v>-57272.714356787386</v>
      </c>
      <c r="R600">
        <f t="shared" si="992"/>
        <v>2924032.6577097829</v>
      </c>
      <c r="S600">
        <f t="shared" si="993"/>
        <v>29.240326577097829</v>
      </c>
      <c r="T600">
        <f t="shared" si="994"/>
        <v>2.9240326577097828E-2</v>
      </c>
    </row>
    <row r="601" spans="1:20" x14ac:dyDescent="0.25">
      <c r="A601" s="5">
        <v>43992</v>
      </c>
      <c r="B601">
        <v>9772.44</v>
      </c>
      <c r="C601">
        <v>9992.7199999999993</v>
      </c>
      <c r="D601">
        <v>9704.18</v>
      </c>
      <c r="E601">
        <v>9885</v>
      </c>
      <c r="F601">
        <v>47130.762982</v>
      </c>
      <c r="G601">
        <v>1.1499999999999999</v>
      </c>
      <c r="L601" t="s">
        <v>8</v>
      </c>
      <c r="M601" t="s">
        <v>8</v>
      </c>
      <c r="N601" t="s">
        <v>8</v>
      </c>
      <c r="P601">
        <f t="shared" si="990"/>
        <v>0.25334442365010262</v>
      </c>
      <c r="Q601">
        <f t="shared" si="991"/>
        <v>11940.315983864382</v>
      </c>
      <c r="R601">
        <f t="shared" si="992"/>
        <v>2981305.3720665704</v>
      </c>
      <c r="S601">
        <f t="shared" si="993"/>
        <v>29.813053720665703</v>
      </c>
      <c r="T601">
        <f t="shared" si="994"/>
        <v>2.9813053720665703E-2</v>
      </c>
    </row>
    <row r="602" spans="1:20" x14ac:dyDescent="0.25">
      <c r="A602" s="5">
        <v>43991</v>
      </c>
      <c r="B602">
        <v>9782</v>
      </c>
      <c r="C602">
        <v>9877</v>
      </c>
      <c r="D602">
        <v>9570</v>
      </c>
      <c r="E602">
        <v>9772.43</v>
      </c>
      <c r="F602">
        <v>46024.001289</v>
      </c>
      <c r="G602">
        <v>-0.1</v>
      </c>
      <c r="L602" t="s">
        <v>7</v>
      </c>
      <c r="M602" t="s">
        <v>8</v>
      </c>
      <c r="N602" t="s">
        <v>8</v>
      </c>
      <c r="P602">
        <f t="shared" si="990"/>
        <v>0.31876221498371526</v>
      </c>
      <c r="Q602">
        <f t="shared" si="991"/>
        <v>14670.712593295006</v>
      </c>
      <c r="R602">
        <f t="shared" si="992"/>
        <v>2969365.056082706</v>
      </c>
      <c r="S602">
        <f t="shared" si="993"/>
        <v>29.693650560827059</v>
      </c>
      <c r="T602">
        <f t="shared" si="994"/>
        <v>2.969365056082706E-2</v>
      </c>
    </row>
    <row r="603" spans="1:20" x14ac:dyDescent="0.25">
      <c r="A603" s="5">
        <v>43990</v>
      </c>
      <c r="B603">
        <v>9746.99</v>
      </c>
      <c r="C603">
        <v>9800</v>
      </c>
      <c r="D603">
        <v>9633</v>
      </c>
      <c r="E603">
        <v>9782.01</v>
      </c>
      <c r="F603">
        <v>40664.664125000003</v>
      </c>
      <c r="G603">
        <v>0.36</v>
      </c>
      <c r="L603" t="s">
        <v>7</v>
      </c>
      <c r="M603" t="s">
        <v>8</v>
      </c>
      <c r="N603" t="s">
        <v>8</v>
      </c>
      <c r="P603">
        <f t="shared" si="990"/>
        <v>0.78455089820359547</v>
      </c>
      <c r="Q603">
        <f t="shared" si="991"/>
        <v>31903.498764416279</v>
      </c>
      <c r="R603">
        <f t="shared" si="992"/>
        <v>2954694.3434894108</v>
      </c>
      <c r="S603">
        <f t="shared" si="993"/>
        <v>29.546943434894107</v>
      </c>
      <c r="T603">
        <f t="shared" si="994"/>
        <v>2.9546943434894106E-2</v>
      </c>
    </row>
    <row r="604" spans="1:20" x14ac:dyDescent="0.25">
      <c r="A604" s="5">
        <v>43989</v>
      </c>
      <c r="B604">
        <v>9666.85</v>
      </c>
      <c r="C604">
        <v>9802</v>
      </c>
      <c r="D604">
        <v>9372.4599999999991</v>
      </c>
      <c r="E604">
        <v>9746.99</v>
      </c>
      <c r="F604">
        <v>57952.848384999998</v>
      </c>
      <c r="G604">
        <v>0.83</v>
      </c>
      <c r="L604" t="s">
        <v>7</v>
      </c>
      <c r="M604" t="s">
        <v>8</v>
      </c>
      <c r="N604" t="s">
        <v>8</v>
      </c>
      <c r="P604">
        <f t="shared" si="990"/>
        <v>0.74386553056758342</v>
      </c>
      <c r="Q604">
        <f t="shared" si="991"/>
        <v>43109.126311810745</v>
      </c>
      <c r="R604">
        <f t="shared" si="992"/>
        <v>2922790.8447249946</v>
      </c>
      <c r="S604">
        <f t="shared" si="993"/>
        <v>29.227908447249945</v>
      </c>
      <c r="T604">
        <f t="shared" si="994"/>
        <v>2.9227908447249946E-2</v>
      </c>
    </row>
    <row r="605" spans="1:20" x14ac:dyDescent="0.25">
      <c r="A605" s="5">
        <v>43988</v>
      </c>
      <c r="B605">
        <v>9621.17</v>
      </c>
      <c r="C605">
        <v>9735</v>
      </c>
      <c r="D605">
        <v>9531.0499999999993</v>
      </c>
      <c r="E605">
        <v>9666.2999999999993</v>
      </c>
      <c r="F605">
        <v>32752.950893000001</v>
      </c>
      <c r="G605">
        <v>0.47</v>
      </c>
      <c r="L605" t="s">
        <v>7</v>
      </c>
      <c r="M605" t="s">
        <v>8</v>
      </c>
      <c r="N605" t="s">
        <v>8</v>
      </c>
      <c r="P605">
        <f t="shared" si="990"/>
        <v>0.3263054670262272</v>
      </c>
      <c r="Q605">
        <f t="shared" si="991"/>
        <v>10687.466937627451</v>
      </c>
      <c r="R605">
        <f t="shared" si="992"/>
        <v>2879681.7184131839</v>
      </c>
      <c r="S605">
        <f t="shared" si="993"/>
        <v>28.796817184131839</v>
      </c>
      <c r="T605">
        <f t="shared" si="994"/>
        <v>2.8796817184131841E-2</v>
      </c>
    </row>
    <row r="606" spans="1:20" x14ac:dyDescent="0.25">
      <c r="A606" s="5">
        <v>43987</v>
      </c>
      <c r="B606">
        <v>9788.14</v>
      </c>
      <c r="C606">
        <v>9854.75</v>
      </c>
      <c r="D606">
        <v>9581</v>
      </c>
      <c r="E606">
        <v>9621.16</v>
      </c>
      <c r="F606">
        <v>47788.050049999998</v>
      </c>
      <c r="G606">
        <v>-1.71</v>
      </c>
      <c r="L606" t="s">
        <v>7</v>
      </c>
      <c r="M606" t="s">
        <v>8</v>
      </c>
      <c r="N606" t="s">
        <v>8</v>
      </c>
      <c r="P606">
        <f t="shared" si="990"/>
        <v>-0.70659360730593712</v>
      </c>
      <c r="Q606">
        <f t="shared" si="991"/>
        <v>-33766.73067094617</v>
      </c>
      <c r="R606">
        <f t="shared" si="992"/>
        <v>2868994.2514755563</v>
      </c>
      <c r="S606">
        <f t="shared" si="993"/>
        <v>28.689942514755561</v>
      </c>
      <c r="T606">
        <f t="shared" si="994"/>
        <v>2.8689942514755561E-2</v>
      </c>
    </row>
    <row r="607" spans="1:20" x14ac:dyDescent="0.25">
      <c r="A607" s="5">
        <v>43986</v>
      </c>
      <c r="B607">
        <v>9666.32</v>
      </c>
      <c r="C607">
        <v>9881.6299999999992</v>
      </c>
      <c r="D607">
        <v>9450</v>
      </c>
      <c r="E607">
        <v>9789.06</v>
      </c>
      <c r="F607">
        <v>57456.100968999999</v>
      </c>
      <c r="G607">
        <v>1.27</v>
      </c>
      <c r="L607" t="s">
        <v>7</v>
      </c>
      <c r="M607" t="s">
        <v>8</v>
      </c>
      <c r="N607" t="s">
        <v>8</v>
      </c>
      <c r="P607">
        <f t="shared" si="990"/>
        <v>0.57106781270996043</v>
      </c>
      <c r="Q607">
        <f t="shared" si="991"/>
        <v>32811.329907209467</v>
      </c>
      <c r="R607">
        <f t="shared" si="992"/>
        <v>2902760.9821465025</v>
      </c>
      <c r="S607">
        <f t="shared" si="993"/>
        <v>29.027609821465024</v>
      </c>
      <c r="T607">
        <f t="shared" si="994"/>
        <v>2.9027609821465024E-2</v>
      </c>
    </row>
    <row r="608" spans="1:20" x14ac:dyDescent="0.25">
      <c r="A608" s="5">
        <v>43985</v>
      </c>
      <c r="B608">
        <v>9518.02</v>
      </c>
      <c r="C608">
        <v>9690</v>
      </c>
      <c r="D608">
        <v>9365.2099999999991</v>
      </c>
      <c r="E608">
        <v>9666.24</v>
      </c>
      <c r="F608">
        <v>46252.644938999998</v>
      </c>
      <c r="G608">
        <v>1.56</v>
      </c>
      <c r="L608" t="s">
        <v>7</v>
      </c>
      <c r="M608" t="s">
        <v>8</v>
      </c>
      <c r="N608" t="s">
        <v>8</v>
      </c>
      <c r="P608">
        <f t="shared" si="990"/>
        <v>0.85369007666492103</v>
      </c>
      <c r="Q608">
        <f t="shared" si="991"/>
        <v>39485.424003930282</v>
      </c>
      <c r="R608">
        <f t="shared" si="992"/>
        <v>2869949.6522392929</v>
      </c>
      <c r="S608">
        <f t="shared" si="993"/>
        <v>28.699496522392927</v>
      </c>
      <c r="T608">
        <f t="shared" si="994"/>
        <v>2.8699496522392925E-2</v>
      </c>
    </row>
    <row r="609" spans="1:20" x14ac:dyDescent="0.25">
      <c r="A609" s="5">
        <v>43984</v>
      </c>
      <c r="B609">
        <v>10202.709999999999</v>
      </c>
      <c r="C609">
        <v>10228.99</v>
      </c>
      <c r="D609">
        <v>9266</v>
      </c>
      <c r="E609">
        <v>9518.0400000000009</v>
      </c>
      <c r="F609">
        <v>108970.773151</v>
      </c>
      <c r="G609">
        <v>-6.71</v>
      </c>
      <c r="L609" t="s">
        <v>7</v>
      </c>
      <c r="M609" t="s">
        <v>8</v>
      </c>
      <c r="N609" t="s">
        <v>8</v>
      </c>
      <c r="P609">
        <f t="shared" si="990"/>
        <v>-0.47654700464179084</v>
      </c>
      <c r="Q609">
        <f t="shared" si="991"/>
        <v>-51929.695538609136</v>
      </c>
      <c r="R609">
        <f t="shared" si="992"/>
        <v>2830464.2282353626</v>
      </c>
      <c r="S609">
        <f t="shared" si="993"/>
        <v>28.304642282353626</v>
      </c>
      <c r="T609">
        <f t="shared" si="994"/>
        <v>2.8304642282353625E-2</v>
      </c>
    </row>
    <row r="610" spans="1:20" x14ac:dyDescent="0.25">
      <c r="A610" s="5">
        <v>43983</v>
      </c>
      <c r="B610">
        <v>9448.27</v>
      </c>
      <c r="C610">
        <v>10380</v>
      </c>
      <c r="D610">
        <v>9421.67</v>
      </c>
      <c r="E610">
        <v>10200.77</v>
      </c>
      <c r="F610">
        <v>76649.126959999994</v>
      </c>
      <c r="G610">
        <v>7.96</v>
      </c>
      <c r="L610" t="s">
        <v>8</v>
      </c>
      <c r="M610" t="s">
        <v>8</v>
      </c>
      <c r="N610" t="s">
        <v>8</v>
      </c>
      <c r="P610">
        <f t="shared" si="990"/>
        <v>0.62595348157732811</v>
      </c>
      <c r="Q610">
        <f t="shared" si="991"/>
        <v>47978.787880474636</v>
      </c>
      <c r="R610">
        <f t="shared" si="992"/>
        <v>2882393.9237739719</v>
      </c>
      <c r="S610">
        <f t="shared" si="993"/>
        <v>28.823939237739719</v>
      </c>
      <c r="T610">
        <f t="shared" si="994"/>
        <v>2.882393923773972E-2</v>
      </c>
    </row>
    <row r="611" spans="1:20" x14ac:dyDescent="0.25">
      <c r="A611" s="5">
        <v>43982</v>
      </c>
      <c r="B611">
        <v>9697.7199999999993</v>
      </c>
      <c r="C611">
        <v>9700</v>
      </c>
      <c r="D611">
        <v>9381.41</v>
      </c>
      <c r="E611">
        <v>9448.27</v>
      </c>
      <c r="F611">
        <v>48333.786402999998</v>
      </c>
      <c r="G611">
        <v>-2.57</v>
      </c>
      <c r="L611" t="s">
        <v>8</v>
      </c>
      <c r="M611" t="s">
        <v>8</v>
      </c>
      <c r="N611" t="s">
        <v>8</v>
      </c>
      <c r="P611">
        <f t="shared" si="990"/>
        <v>-0.58027558931541756</v>
      </c>
      <c r="Q611">
        <f t="shared" si="991"/>
        <v>-28046.916388846341</v>
      </c>
      <c r="R611">
        <f t="shared" si="992"/>
        <v>2834415.1358934972</v>
      </c>
      <c r="S611">
        <f t="shared" si="993"/>
        <v>28.344151358934973</v>
      </c>
      <c r="T611">
        <f t="shared" si="994"/>
        <v>2.8344151358934973E-2</v>
      </c>
    </row>
    <row r="612" spans="1:20" x14ac:dyDescent="0.25">
      <c r="A612" s="5">
        <v>43981</v>
      </c>
      <c r="B612">
        <v>9426.6</v>
      </c>
      <c r="C612">
        <v>9740</v>
      </c>
      <c r="D612">
        <v>9331.23</v>
      </c>
      <c r="E612">
        <v>9697.7199999999993</v>
      </c>
      <c r="F612">
        <v>55665.272539999998</v>
      </c>
      <c r="G612">
        <v>2.88</v>
      </c>
      <c r="L612" t="s">
        <v>8</v>
      </c>
      <c r="M612" t="s">
        <v>8</v>
      </c>
      <c r="N612" t="s">
        <v>8</v>
      </c>
      <c r="P612">
        <f t="shared" si="990"/>
        <v>0.79313550407319222</v>
      </c>
      <c r="Q612">
        <f t="shared" si="991"/>
        <v>44150.103995384525</v>
      </c>
      <c r="R612">
        <f t="shared" si="992"/>
        <v>2862462.0522823436</v>
      </c>
      <c r="S612">
        <f t="shared" si="993"/>
        <v>28.624620522823434</v>
      </c>
      <c r="T612">
        <f t="shared" si="994"/>
        <v>2.8624620522823434E-2</v>
      </c>
    </row>
    <row r="613" spans="1:20" x14ac:dyDescent="0.25">
      <c r="A613" s="5">
        <v>43980</v>
      </c>
      <c r="B613">
        <v>9575.8700000000008</v>
      </c>
      <c r="C613">
        <v>9605.26</v>
      </c>
      <c r="D613">
        <v>9330</v>
      </c>
      <c r="E613">
        <v>9427.07</v>
      </c>
      <c r="F613">
        <v>57374.362960999999</v>
      </c>
      <c r="G613">
        <v>-1.55</v>
      </c>
      <c r="L613" t="s">
        <v>8</v>
      </c>
      <c r="M613" t="s">
        <v>8</v>
      </c>
      <c r="N613" t="s">
        <v>8</v>
      </c>
      <c r="P613">
        <f t="shared" si="990"/>
        <v>-0.29470318971154813</v>
      </c>
      <c r="Q613">
        <f t="shared" si="991"/>
        <v>-16908.407772274804</v>
      </c>
      <c r="R613">
        <f t="shared" si="992"/>
        <v>2818311.948286959</v>
      </c>
      <c r="S613">
        <f t="shared" si="993"/>
        <v>28.183119482869589</v>
      </c>
      <c r="T613">
        <f t="shared" si="994"/>
        <v>2.8183119482869588E-2</v>
      </c>
    </row>
    <row r="614" spans="1:20" x14ac:dyDescent="0.25">
      <c r="A614" s="5">
        <v>43979</v>
      </c>
      <c r="B614">
        <v>9204.07</v>
      </c>
      <c r="C614">
        <v>9625.4699999999993</v>
      </c>
      <c r="D614">
        <v>9110</v>
      </c>
      <c r="E614">
        <v>9575.89</v>
      </c>
      <c r="F614">
        <v>74110.787662000002</v>
      </c>
      <c r="G614">
        <v>4.04</v>
      </c>
      <c r="L614" t="s">
        <v>8</v>
      </c>
      <c r="M614" t="s">
        <v>8</v>
      </c>
      <c r="N614" t="s">
        <v>8</v>
      </c>
      <c r="P614">
        <f t="shared" si="990"/>
        <v>0.80763186994393465</v>
      </c>
      <c r="Q614">
        <f t="shared" si="991"/>
        <v>59854.234022478944</v>
      </c>
      <c r="R614">
        <f t="shared" si="992"/>
        <v>2835220.3560592337</v>
      </c>
      <c r="S614">
        <f t="shared" si="993"/>
        <v>28.352203560592336</v>
      </c>
      <c r="T614">
        <f t="shared" si="994"/>
        <v>2.8352203560592336E-2</v>
      </c>
    </row>
    <row r="615" spans="1:20" x14ac:dyDescent="0.25">
      <c r="A615" s="5">
        <v>43978</v>
      </c>
      <c r="B615">
        <v>8841</v>
      </c>
      <c r="C615">
        <v>9225</v>
      </c>
      <c r="D615">
        <v>8811.73</v>
      </c>
      <c r="E615">
        <v>9204.07</v>
      </c>
      <c r="F615">
        <v>68910.355513999995</v>
      </c>
      <c r="G615">
        <v>4.1100000000000003</v>
      </c>
      <c r="L615" t="s">
        <v>8</v>
      </c>
      <c r="M615" t="s">
        <v>8</v>
      </c>
      <c r="N615" t="s">
        <v>8</v>
      </c>
      <c r="P615">
        <f t="shared" si="990"/>
        <v>0.89871028625353755</v>
      </c>
      <c r="Q615">
        <f t="shared" si="991"/>
        <v>61930.445329819973</v>
      </c>
      <c r="R615">
        <f t="shared" si="992"/>
        <v>2775366.1220367546</v>
      </c>
      <c r="S615">
        <f t="shared" si="993"/>
        <v>27.753661220367547</v>
      </c>
      <c r="T615">
        <f t="shared" si="994"/>
        <v>2.7753661220367546E-2</v>
      </c>
    </row>
    <row r="616" spans="1:20" x14ac:dyDescent="0.25">
      <c r="A616" s="5">
        <v>43977</v>
      </c>
      <c r="B616">
        <v>8900.35</v>
      </c>
      <c r="C616">
        <v>9017.67</v>
      </c>
      <c r="D616">
        <v>8700</v>
      </c>
      <c r="E616">
        <v>8841.18</v>
      </c>
      <c r="F616">
        <v>58299.770138</v>
      </c>
      <c r="G616">
        <v>-0.66</v>
      </c>
      <c r="L616" t="s">
        <v>7</v>
      </c>
      <c r="M616" t="s">
        <v>8</v>
      </c>
      <c r="N616" t="s">
        <v>8</v>
      </c>
      <c r="P616">
        <f t="shared" si="990"/>
        <v>-0.11115308338842032</v>
      </c>
      <c r="Q616">
        <f t="shared" si="991"/>
        <v>-6480.1992116748506</v>
      </c>
      <c r="R616">
        <f t="shared" si="992"/>
        <v>2713435.6767069348</v>
      </c>
      <c r="S616">
        <f t="shared" si="993"/>
        <v>27.134356767069349</v>
      </c>
      <c r="T616">
        <f t="shared" si="994"/>
        <v>2.7134356767069347E-2</v>
      </c>
    </row>
    <row r="617" spans="1:20" x14ac:dyDescent="0.25">
      <c r="A617" s="5">
        <v>43976</v>
      </c>
      <c r="B617">
        <v>8718.14</v>
      </c>
      <c r="C617">
        <v>8979.66</v>
      </c>
      <c r="D617">
        <v>8642.7199999999993</v>
      </c>
      <c r="E617">
        <v>8900.35</v>
      </c>
      <c r="F617">
        <v>62833.910948999997</v>
      </c>
      <c r="G617">
        <v>2.09</v>
      </c>
      <c r="L617" t="s">
        <v>7</v>
      </c>
      <c r="M617" t="s">
        <v>8</v>
      </c>
      <c r="N617" t="s">
        <v>8</v>
      </c>
      <c r="P617">
        <f t="shared" si="990"/>
        <v>0.52923369145842358</v>
      </c>
      <c r="Q617">
        <f t="shared" si="991"/>
        <v>33253.822640309125</v>
      </c>
      <c r="R617">
        <f t="shared" si="992"/>
        <v>2719915.8759186096</v>
      </c>
      <c r="S617">
        <f t="shared" si="993"/>
        <v>27.199158759186094</v>
      </c>
      <c r="T617">
        <f t="shared" si="994"/>
        <v>2.7199158759186094E-2</v>
      </c>
    </row>
    <row r="618" spans="1:20" x14ac:dyDescent="0.25">
      <c r="A618" s="5">
        <v>43975</v>
      </c>
      <c r="B618">
        <v>9179.01</v>
      </c>
      <c r="C618">
        <v>9298</v>
      </c>
      <c r="D618">
        <v>8700</v>
      </c>
      <c r="E618">
        <v>8720.34</v>
      </c>
      <c r="F618">
        <v>70379.866450000001</v>
      </c>
      <c r="G618">
        <v>-5</v>
      </c>
      <c r="L618" t="s">
        <v>7</v>
      </c>
      <c r="M618" t="s">
        <v>8</v>
      </c>
      <c r="N618" t="s">
        <v>8</v>
      </c>
      <c r="P618">
        <f t="shared" si="990"/>
        <v>-0.93197324414715665</v>
      </c>
      <c r="Q618">
        <f t="shared" si="991"/>
        <v>-65592.152458050128</v>
      </c>
      <c r="R618">
        <f t="shared" si="992"/>
        <v>2686662.0532783004</v>
      </c>
      <c r="S618">
        <f t="shared" si="993"/>
        <v>26.866620532783003</v>
      </c>
      <c r="T618">
        <f t="shared" si="994"/>
        <v>2.6866620532783003E-2</v>
      </c>
    </row>
    <row r="619" spans="1:20" x14ac:dyDescent="0.25">
      <c r="A619" s="5">
        <v>43974</v>
      </c>
      <c r="B619">
        <v>9170</v>
      </c>
      <c r="C619">
        <v>9307.85</v>
      </c>
      <c r="D619">
        <v>9070</v>
      </c>
      <c r="E619">
        <v>9179.15</v>
      </c>
      <c r="F619">
        <v>43526.296966000002</v>
      </c>
      <c r="G619">
        <v>0.1</v>
      </c>
      <c r="L619" t="s">
        <v>7</v>
      </c>
      <c r="M619" t="s">
        <v>8</v>
      </c>
      <c r="N619" t="s">
        <v>8</v>
      </c>
      <c r="P619">
        <f t="shared" si="990"/>
        <v>-8.2194660500319788E-2</v>
      </c>
      <c r="Q619">
        <f t="shared" si="991"/>
        <v>-3577.6292019564694</v>
      </c>
      <c r="R619">
        <f t="shared" si="992"/>
        <v>2752254.2057363507</v>
      </c>
      <c r="S619">
        <f t="shared" si="993"/>
        <v>27.522542057363506</v>
      </c>
      <c r="T619">
        <f t="shared" si="994"/>
        <v>2.7522542057363507E-2</v>
      </c>
    </row>
    <row r="620" spans="1:20" x14ac:dyDescent="0.25">
      <c r="A620" s="5">
        <v>43973</v>
      </c>
      <c r="B620">
        <v>9067.51</v>
      </c>
      <c r="C620">
        <v>9271</v>
      </c>
      <c r="D620">
        <v>8933.52</v>
      </c>
      <c r="E620">
        <v>9170</v>
      </c>
      <c r="F620">
        <v>58943.131024000002</v>
      </c>
      <c r="G620">
        <v>1.1299999999999999</v>
      </c>
      <c r="L620" t="s">
        <v>7</v>
      </c>
      <c r="M620" t="s">
        <v>8</v>
      </c>
      <c r="N620" t="s">
        <v>8</v>
      </c>
      <c r="P620">
        <f t="shared" si="990"/>
        <v>0.40144601161550236</v>
      </c>
      <c r="Q620">
        <f t="shared" si="991"/>
        <v>23662.484861714784</v>
      </c>
      <c r="R620">
        <f t="shared" si="992"/>
        <v>2755831.8349383073</v>
      </c>
      <c r="S620">
        <f t="shared" si="993"/>
        <v>27.558318349383072</v>
      </c>
      <c r="T620">
        <f t="shared" si="994"/>
        <v>2.7558318349383073E-2</v>
      </c>
    </row>
    <row r="621" spans="1:20" x14ac:dyDescent="0.25">
      <c r="A621" s="5">
        <v>43972</v>
      </c>
      <c r="B621">
        <v>9511.43</v>
      </c>
      <c r="C621">
        <v>9578.4699999999993</v>
      </c>
      <c r="D621">
        <v>8815</v>
      </c>
      <c r="E621">
        <v>9068.65</v>
      </c>
      <c r="F621">
        <v>108928.780969</v>
      </c>
      <c r="G621">
        <v>-4.66</v>
      </c>
      <c r="L621" t="s">
        <v>7</v>
      </c>
      <c r="M621" t="s">
        <v>8</v>
      </c>
      <c r="N621" t="s">
        <v>8</v>
      </c>
      <c r="P621">
        <f t="shared" si="990"/>
        <v>-0.33553381272348659</v>
      </c>
      <c r="Q621">
        <f t="shared" si="991"/>
        <v>-36549.289193850134</v>
      </c>
      <c r="R621">
        <f t="shared" si="992"/>
        <v>2732169.3500765925</v>
      </c>
      <c r="S621">
        <f t="shared" si="993"/>
        <v>27.321693500765925</v>
      </c>
      <c r="T621">
        <f t="shared" si="994"/>
        <v>2.7321693500765923E-2</v>
      </c>
    </row>
    <row r="622" spans="1:20" x14ac:dyDescent="0.25">
      <c r="A622" s="5">
        <v>43971</v>
      </c>
      <c r="B622">
        <v>9775.1299999999992</v>
      </c>
      <c r="C622">
        <v>9842</v>
      </c>
      <c r="D622">
        <v>9326</v>
      </c>
      <c r="E622">
        <v>9511.43</v>
      </c>
      <c r="F622">
        <v>74923.738089999999</v>
      </c>
      <c r="G622">
        <v>-2.7</v>
      </c>
      <c r="L622" t="s">
        <v>8</v>
      </c>
      <c r="M622" t="s">
        <v>8</v>
      </c>
      <c r="N622" t="s">
        <v>8</v>
      </c>
      <c r="P622">
        <f t="shared" si="990"/>
        <v>-0.28127906976744071</v>
      </c>
      <c r="Q622">
        <f t="shared" si="991"/>
        <v>-21074.479353454564</v>
      </c>
      <c r="R622">
        <f t="shared" si="992"/>
        <v>2768718.6392704425</v>
      </c>
      <c r="S622">
        <f t="shared" si="993"/>
        <v>27.687186392704426</v>
      </c>
      <c r="T622">
        <f t="shared" si="994"/>
        <v>2.7687186392704427E-2</v>
      </c>
    </row>
    <row r="623" spans="1:20" x14ac:dyDescent="0.25">
      <c r="A623" s="5">
        <v>43970</v>
      </c>
      <c r="B623">
        <v>9733.93</v>
      </c>
      <c r="C623">
        <v>9897.2099999999991</v>
      </c>
      <c r="D623">
        <v>9474</v>
      </c>
      <c r="E623">
        <v>9775.5300000000007</v>
      </c>
      <c r="F623">
        <v>78539.760454000003</v>
      </c>
      <c r="G623">
        <v>0.43</v>
      </c>
      <c r="L623" t="s">
        <v>8</v>
      </c>
      <c r="M623" t="s">
        <v>8</v>
      </c>
      <c r="N623" t="s">
        <v>8</v>
      </c>
      <c r="P623">
        <f t="shared" si="990"/>
        <v>0.42496632877295565</v>
      </c>
      <c r="Q623">
        <f t="shared" si="991"/>
        <v>33376.753662843745</v>
      </c>
      <c r="R623">
        <f t="shared" si="992"/>
        <v>2789793.118623897</v>
      </c>
      <c r="S623">
        <f t="shared" si="993"/>
        <v>27.897931186238971</v>
      </c>
      <c r="T623">
        <f t="shared" si="994"/>
        <v>2.789793118623897E-2</v>
      </c>
    </row>
    <row r="624" spans="1:20" x14ac:dyDescent="0.25">
      <c r="A624" s="5">
        <v>43969</v>
      </c>
      <c r="B624">
        <v>9681.11</v>
      </c>
      <c r="C624">
        <v>9950</v>
      </c>
      <c r="D624">
        <v>9464.23</v>
      </c>
      <c r="E624">
        <v>9733.93</v>
      </c>
      <c r="F624">
        <v>82006.603583000004</v>
      </c>
      <c r="G624">
        <v>0.55000000000000004</v>
      </c>
      <c r="L624" t="s">
        <v>8</v>
      </c>
      <c r="M624" t="s">
        <v>8</v>
      </c>
      <c r="N624" t="s">
        <v>8</v>
      </c>
      <c r="P624">
        <f t="shared" si="990"/>
        <v>0.11040204211870015</v>
      </c>
      <c r="Q624">
        <f t="shared" si="991"/>
        <v>9053.6965027819133</v>
      </c>
      <c r="R624">
        <f t="shared" si="992"/>
        <v>2756416.3649610532</v>
      </c>
      <c r="S624">
        <f t="shared" si="993"/>
        <v>27.564163649610531</v>
      </c>
      <c r="T624">
        <f t="shared" si="994"/>
        <v>2.7564163649610531E-2</v>
      </c>
    </row>
    <row r="625" spans="1:20" x14ac:dyDescent="0.25">
      <c r="A625" s="5">
        <v>43968</v>
      </c>
      <c r="B625">
        <v>9380.81</v>
      </c>
      <c r="C625">
        <v>9888</v>
      </c>
      <c r="D625">
        <v>9322.1</v>
      </c>
      <c r="E625">
        <v>9680.0400000000009</v>
      </c>
      <c r="F625">
        <v>68647.764322999996</v>
      </c>
      <c r="G625">
        <v>3.19</v>
      </c>
      <c r="L625" t="s">
        <v>8</v>
      </c>
      <c r="M625" t="s">
        <v>8</v>
      </c>
      <c r="N625" t="s">
        <v>8</v>
      </c>
      <c r="P625">
        <f t="shared" si="990"/>
        <v>0.26502915709489572</v>
      </c>
      <c r="Q625">
        <f t="shared" si="991"/>
        <v>18193.659114973743</v>
      </c>
      <c r="R625">
        <f t="shared" si="992"/>
        <v>2747362.6684582713</v>
      </c>
      <c r="S625">
        <f t="shared" si="993"/>
        <v>27.473626684582712</v>
      </c>
      <c r="T625">
        <f t="shared" si="994"/>
        <v>2.7473626684582711E-2</v>
      </c>
    </row>
    <row r="626" spans="1:20" x14ac:dyDescent="0.25">
      <c r="A626" s="5">
        <v>43967</v>
      </c>
      <c r="B626">
        <v>9315.9599999999991</v>
      </c>
      <c r="C626">
        <v>9588</v>
      </c>
      <c r="D626">
        <v>9220</v>
      </c>
      <c r="E626">
        <v>9381.27</v>
      </c>
      <c r="F626">
        <v>59587.627862000001</v>
      </c>
      <c r="G626">
        <v>0.7</v>
      </c>
      <c r="L626" t="s">
        <v>7</v>
      </c>
      <c r="M626" t="s">
        <v>8</v>
      </c>
      <c r="N626" t="s">
        <v>8</v>
      </c>
      <c r="P626">
        <f t="shared" si="990"/>
        <v>-0.1235326086956498</v>
      </c>
      <c r="Q626">
        <f t="shared" si="991"/>
        <v>-7361.0151157784458</v>
      </c>
      <c r="R626">
        <f t="shared" si="992"/>
        <v>2729169.0093432977</v>
      </c>
      <c r="S626">
        <f t="shared" si="993"/>
        <v>27.291690093432976</v>
      </c>
      <c r="T626">
        <f t="shared" si="994"/>
        <v>2.7291690093432977E-2</v>
      </c>
    </row>
    <row r="627" spans="1:20" x14ac:dyDescent="0.25">
      <c r="A627" s="5">
        <v>43966</v>
      </c>
      <c r="B627">
        <v>9791.9699999999993</v>
      </c>
      <c r="C627">
        <v>9845.6200000000008</v>
      </c>
      <c r="D627">
        <v>9150</v>
      </c>
      <c r="E627">
        <v>9316.42</v>
      </c>
      <c r="F627">
        <v>115890.761516</v>
      </c>
      <c r="G627">
        <v>-4.8600000000000003</v>
      </c>
      <c r="L627" t="s">
        <v>7</v>
      </c>
      <c r="M627" t="s">
        <v>8</v>
      </c>
      <c r="N627" t="s">
        <v>8</v>
      </c>
      <c r="P627">
        <f t="shared" si="990"/>
        <v>-0.5215203703171275</v>
      </c>
      <c r="Q627">
        <f t="shared" si="991"/>
        <v>-60439.392862158231</v>
      </c>
      <c r="R627">
        <f t="shared" si="992"/>
        <v>2736530.0244590761</v>
      </c>
      <c r="S627">
        <f t="shared" si="993"/>
        <v>27.36530024459076</v>
      </c>
      <c r="T627">
        <f t="shared" si="994"/>
        <v>2.7365300244590759E-2</v>
      </c>
    </row>
    <row r="628" spans="1:20" x14ac:dyDescent="0.25">
      <c r="A628" s="5">
        <v>43965</v>
      </c>
      <c r="B628">
        <v>9309.35</v>
      </c>
      <c r="C628">
        <v>9939</v>
      </c>
      <c r="D628">
        <v>9256.76</v>
      </c>
      <c r="E628">
        <v>9791.98</v>
      </c>
      <c r="F628">
        <v>129565.37747000001</v>
      </c>
      <c r="G628">
        <v>5.18</v>
      </c>
      <c r="L628" t="s">
        <v>8</v>
      </c>
      <c r="M628" t="s">
        <v>8</v>
      </c>
      <c r="N628" t="s">
        <v>8</v>
      </c>
      <c r="P628">
        <f t="shared" si="990"/>
        <v>0.56900797373358203</v>
      </c>
      <c r="Q628">
        <f t="shared" si="991"/>
        <v>73723.732900231407</v>
      </c>
      <c r="R628">
        <f t="shared" si="992"/>
        <v>2796969.4173212345</v>
      </c>
      <c r="S628">
        <f t="shared" si="993"/>
        <v>27.969694173212346</v>
      </c>
      <c r="T628">
        <f t="shared" si="994"/>
        <v>2.7969694173212347E-2</v>
      </c>
    </row>
    <row r="629" spans="1:20" x14ac:dyDescent="0.25">
      <c r="A629" s="5">
        <v>43964</v>
      </c>
      <c r="B629">
        <v>8810.99</v>
      </c>
      <c r="C629">
        <v>9398</v>
      </c>
      <c r="D629">
        <v>8792.99</v>
      </c>
      <c r="E629">
        <v>9309.3700000000008</v>
      </c>
      <c r="F629">
        <v>92466.274017999996</v>
      </c>
      <c r="G629">
        <v>5.66</v>
      </c>
      <c r="L629" t="s">
        <v>8</v>
      </c>
      <c r="M629" t="s">
        <v>7</v>
      </c>
      <c r="N629" t="s">
        <v>8</v>
      </c>
      <c r="P629">
        <f t="shared" si="990"/>
        <v>0.70701310722137101</v>
      </c>
      <c r="Q629">
        <f t="shared" si="991"/>
        <v>65374.867706648904</v>
      </c>
      <c r="R629">
        <f t="shared" si="992"/>
        <v>2723245.6844210029</v>
      </c>
      <c r="S629">
        <f t="shared" si="993"/>
        <v>27.232456844210027</v>
      </c>
      <c r="T629">
        <f t="shared" si="994"/>
        <v>2.7232456844210027E-2</v>
      </c>
    </row>
    <row r="630" spans="1:20" x14ac:dyDescent="0.25">
      <c r="A630" s="5">
        <v>43963</v>
      </c>
      <c r="B630">
        <v>8562.0400000000009</v>
      </c>
      <c r="C630">
        <v>8978.26</v>
      </c>
      <c r="D630">
        <v>8528.7800000000007</v>
      </c>
      <c r="E630">
        <v>8810.7900000000009</v>
      </c>
      <c r="F630">
        <v>86522.780066000007</v>
      </c>
      <c r="G630">
        <v>2.91</v>
      </c>
      <c r="L630" t="s">
        <v>8</v>
      </c>
      <c r="M630" t="s">
        <v>7</v>
      </c>
      <c r="N630" t="s">
        <v>8</v>
      </c>
      <c r="P630">
        <f t="shared" si="990"/>
        <v>0.25482780101450786</v>
      </c>
      <c r="Q630">
        <f t="shared" si="991"/>
        <v>22048.409781880677</v>
      </c>
      <c r="R630">
        <f t="shared" si="992"/>
        <v>2657870.8167143539</v>
      </c>
      <c r="S630">
        <f t="shared" si="993"/>
        <v>26.578708167143539</v>
      </c>
      <c r="T630">
        <f t="shared" si="994"/>
        <v>2.6578708167143538E-2</v>
      </c>
    </row>
    <row r="631" spans="1:20" x14ac:dyDescent="0.25">
      <c r="A631" s="5">
        <v>43962</v>
      </c>
      <c r="B631">
        <v>8722.77</v>
      </c>
      <c r="C631">
        <v>9168</v>
      </c>
      <c r="D631">
        <v>8200</v>
      </c>
      <c r="E631">
        <v>8561.52</v>
      </c>
      <c r="F631">
        <v>168807.25183200001</v>
      </c>
      <c r="G631">
        <v>-1.85</v>
      </c>
      <c r="L631" t="s">
        <v>8</v>
      </c>
      <c r="M631" t="s">
        <v>7</v>
      </c>
      <c r="N631" t="s">
        <v>8</v>
      </c>
      <c r="P631">
        <f t="shared" si="990"/>
        <v>-0.25305785123966851</v>
      </c>
      <c r="Q631">
        <f t="shared" si="991"/>
        <v>-42718.000422279518</v>
      </c>
      <c r="R631">
        <f t="shared" si="992"/>
        <v>2635822.4069324732</v>
      </c>
      <c r="S631">
        <f t="shared" si="993"/>
        <v>26.358224069324731</v>
      </c>
      <c r="T631">
        <f t="shared" si="994"/>
        <v>2.635822406932473E-2</v>
      </c>
    </row>
    <row r="632" spans="1:20" x14ac:dyDescent="0.25">
      <c r="A632" s="5">
        <v>43961</v>
      </c>
      <c r="B632">
        <v>9539.1</v>
      </c>
      <c r="C632">
        <v>9574.83</v>
      </c>
      <c r="D632">
        <v>8117</v>
      </c>
      <c r="E632">
        <v>8722.77</v>
      </c>
      <c r="F632">
        <v>183865.18202800001</v>
      </c>
      <c r="G632">
        <v>-8.56</v>
      </c>
      <c r="L632" t="s">
        <v>7</v>
      </c>
      <c r="M632" t="s">
        <v>7</v>
      </c>
      <c r="N632" t="s">
        <v>8</v>
      </c>
      <c r="P632">
        <f t="shared" si="990"/>
        <v>-0.16894288085716377</v>
      </c>
      <c r="Q632">
        <f t="shared" si="991"/>
        <v>-31062.713541137135</v>
      </c>
      <c r="R632">
        <f t="shared" si="992"/>
        <v>2678540.4073547525</v>
      </c>
      <c r="S632">
        <f t="shared" si="993"/>
        <v>26.785404073547525</v>
      </c>
      <c r="T632">
        <f t="shared" si="994"/>
        <v>2.6785404073547524E-2</v>
      </c>
    </row>
    <row r="633" spans="1:20" x14ac:dyDescent="0.25">
      <c r="A633" s="5">
        <v>43960</v>
      </c>
      <c r="B633">
        <v>9800.02</v>
      </c>
      <c r="C633">
        <v>9914.25</v>
      </c>
      <c r="D633">
        <v>9520</v>
      </c>
      <c r="E633">
        <v>9539.4</v>
      </c>
      <c r="F633">
        <v>81950.679566999999</v>
      </c>
      <c r="G633">
        <v>-2.66</v>
      </c>
      <c r="L633" t="s">
        <v>8</v>
      </c>
      <c r="M633" t="s">
        <v>8</v>
      </c>
      <c r="N633" t="s">
        <v>8</v>
      </c>
      <c r="P633">
        <f t="shared" si="990"/>
        <v>-0.90158528852251296</v>
      </c>
      <c r="Q633">
        <f t="shared" si="991"/>
        <v>-73885.527082029701</v>
      </c>
      <c r="R633">
        <f t="shared" si="992"/>
        <v>2709603.1208958896</v>
      </c>
      <c r="S633">
        <f t="shared" si="993"/>
        <v>27.096031208958895</v>
      </c>
      <c r="T633">
        <f t="shared" si="994"/>
        <v>2.7096031208958895E-2</v>
      </c>
    </row>
    <row r="634" spans="1:20" x14ac:dyDescent="0.25">
      <c r="A634" s="5">
        <v>43959</v>
      </c>
      <c r="B634">
        <v>9986.2999999999993</v>
      </c>
      <c r="C634">
        <v>10035.959999999999</v>
      </c>
      <c r="D634">
        <v>9705</v>
      </c>
      <c r="E634">
        <v>9800.01</v>
      </c>
      <c r="F634">
        <v>100683.79640000001</v>
      </c>
      <c r="G634">
        <v>-1.87</v>
      </c>
      <c r="L634" t="s">
        <v>8</v>
      </c>
      <c r="M634" t="s">
        <v>8</v>
      </c>
      <c r="N634" t="s">
        <v>8</v>
      </c>
      <c r="P634">
        <f t="shared" si="990"/>
        <v>-0.42585206671500803</v>
      </c>
      <c r="Q634">
        <f t="shared" si="991"/>
        <v>-42876.402781653087</v>
      </c>
      <c r="R634">
        <f t="shared" si="992"/>
        <v>2783488.6479779193</v>
      </c>
      <c r="S634">
        <f t="shared" si="993"/>
        <v>27.834886479779193</v>
      </c>
      <c r="T634">
        <f t="shared" si="994"/>
        <v>2.7834886479779192E-2</v>
      </c>
    </row>
    <row r="635" spans="1:20" x14ac:dyDescent="0.25">
      <c r="A635" s="5">
        <v>43958</v>
      </c>
      <c r="B635">
        <v>9143.4</v>
      </c>
      <c r="C635">
        <v>10067</v>
      </c>
      <c r="D635">
        <v>9021</v>
      </c>
      <c r="E635">
        <v>9986.4</v>
      </c>
      <c r="F635">
        <v>147154.611378</v>
      </c>
      <c r="G635">
        <v>9.2200000000000006</v>
      </c>
      <c r="L635" t="s">
        <v>8</v>
      </c>
      <c r="M635" t="s">
        <v>8</v>
      </c>
      <c r="N635" t="s">
        <v>8</v>
      </c>
      <c r="P635">
        <f t="shared" si="990"/>
        <v>0.84588910133843143</v>
      </c>
      <c r="Q635">
        <f t="shared" si="991"/>
        <v>124476.48197634253</v>
      </c>
      <c r="R635">
        <f t="shared" si="992"/>
        <v>2826365.0507595725</v>
      </c>
      <c r="S635">
        <f t="shared" si="993"/>
        <v>28.263650507595724</v>
      </c>
      <c r="T635">
        <f t="shared" si="994"/>
        <v>2.8263650507595724E-2</v>
      </c>
    </row>
    <row r="636" spans="1:20" x14ac:dyDescent="0.25">
      <c r="A636" s="5">
        <v>43957</v>
      </c>
      <c r="B636">
        <v>9021.36</v>
      </c>
      <c r="C636">
        <v>9395</v>
      </c>
      <c r="D636">
        <v>8906.2099999999991</v>
      </c>
      <c r="E636">
        <v>9142.92</v>
      </c>
      <c r="F636">
        <v>105925.30242000001</v>
      </c>
      <c r="G636">
        <v>1.35</v>
      </c>
      <c r="L636" t="s">
        <v>8</v>
      </c>
      <c r="M636" t="s">
        <v>8</v>
      </c>
      <c r="N636" t="s">
        <v>8</v>
      </c>
      <c r="P636">
        <f t="shared" si="990"/>
        <v>-3.1444996828901887E-2</v>
      </c>
      <c r="Q636">
        <f t="shared" si="991"/>
        <v>-3330.8207986973734</v>
      </c>
      <c r="R636">
        <f t="shared" si="992"/>
        <v>2701888.5687832301</v>
      </c>
      <c r="S636">
        <f t="shared" si="993"/>
        <v>27.018885687832302</v>
      </c>
      <c r="T636">
        <f t="shared" si="994"/>
        <v>2.7018885687832301E-2</v>
      </c>
    </row>
    <row r="637" spans="1:20" x14ac:dyDescent="0.25">
      <c r="A637" s="5">
        <v>43956</v>
      </c>
      <c r="B637">
        <v>8871.92</v>
      </c>
      <c r="C637">
        <v>9118.58</v>
      </c>
      <c r="D637">
        <v>8760</v>
      </c>
      <c r="E637">
        <v>9021.83</v>
      </c>
      <c r="F637">
        <v>76480.765341999999</v>
      </c>
      <c r="G637">
        <v>1.69</v>
      </c>
      <c r="L637" t="s">
        <v>7</v>
      </c>
      <c r="M637" t="s">
        <v>8</v>
      </c>
      <c r="N637" t="s">
        <v>8</v>
      </c>
      <c r="P637">
        <f t="shared" si="990"/>
        <v>0.46037146522393874</v>
      </c>
      <c r="Q637">
        <f t="shared" si="991"/>
        <v>35209.562001944774</v>
      </c>
      <c r="R637">
        <f t="shared" si="992"/>
        <v>2705219.3895819276</v>
      </c>
      <c r="S637">
        <f t="shared" si="993"/>
        <v>27.052193895819276</v>
      </c>
      <c r="T637">
        <f t="shared" si="994"/>
        <v>2.7052193895819275E-2</v>
      </c>
    </row>
    <row r="638" spans="1:20" x14ac:dyDescent="0.25">
      <c r="A638" s="5">
        <v>43955</v>
      </c>
      <c r="B638">
        <v>8894.15</v>
      </c>
      <c r="C638">
        <v>8950</v>
      </c>
      <c r="D638">
        <v>8522</v>
      </c>
      <c r="E638">
        <v>8871.9599999999991</v>
      </c>
      <c r="F638">
        <v>84418.512331000005</v>
      </c>
      <c r="G638">
        <v>-0.25</v>
      </c>
      <c r="L638" t="s">
        <v>7</v>
      </c>
      <c r="M638" t="s">
        <v>8</v>
      </c>
      <c r="N638" t="s">
        <v>8</v>
      </c>
      <c r="P638">
        <f t="shared" si="990"/>
        <v>0.63532710280373428</v>
      </c>
      <c r="Q638">
        <f t="shared" si="991"/>
        <v>53633.368862255549</v>
      </c>
      <c r="R638">
        <f t="shared" si="992"/>
        <v>2670009.8275799826</v>
      </c>
      <c r="S638">
        <f t="shared" si="993"/>
        <v>26.700098275799824</v>
      </c>
      <c r="T638">
        <f t="shared" si="994"/>
        <v>2.6700098275799826E-2</v>
      </c>
    </row>
    <row r="639" spans="1:20" x14ac:dyDescent="0.25">
      <c r="A639" s="5">
        <v>43954</v>
      </c>
      <c r="B639">
        <v>8972.58</v>
      </c>
      <c r="C639">
        <v>9200</v>
      </c>
      <c r="D639">
        <v>8712</v>
      </c>
      <c r="E639">
        <v>8894.16</v>
      </c>
      <c r="F639">
        <v>90126.065642999994</v>
      </c>
      <c r="G639">
        <v>-0.87</v>
      </c>
      <c r="L639" t="s">
        <v>7</v>
      </c>
      <c r="M639" t="s">
        <v>8</v>
      </c>
      <c r="N639" t="s">
        <v>8</v>
      </c>
      <c r="P639">
        <f t="shared" si="990"/>
        <v>-0.25344262295082026</v>
      </c>
      <c r="Q639">
        <f t="shared" si="991"/>
        <v>-22841.786472799722</v>
      </c>
      <c r="R639">
        <f t="shared" si="992"/>
        <v>2616376.4587177271</v>
      </c>
      <c r="S639">
        <f t="shared" si="993"/>
        <v>26.163764587177273</v>
      </c>
      <c r="T639">
        <f t="shared" si="994"/>
        <v>2.6163764587177271E-2</v>
      </c>
    </row>
    <row r="640" spans="1:20" x14ac:dyDescent="0.25">
      <c r="A640" s="5">
        <v>43953</v>
      </c>
      <c r="B640">
        <v>8825.67</v>
      </c>
      <c r="C640">
        <v>9010</v>
      </c>
      <c r="D640">
        <v>8753</v>
      </c>
      <c r="E640">
        <v>8972.0499999999993</v>
      </c>
      <c r="F640">
        <v>59002.087549999997</v>
      </c>
      <c r="G640">
        <v>1.66</v>
      </c>
      <c r="L640" t="s">
        <v>7</v>
      </c>
      <c r="M640" t="s">
        <v>8</v>
      </c>
      <c r="N640" t="s">
        <v>8</v>
      </c>
      <c r="P640">
        <f t="shared" si="990"/>
        <v>0.70466926070038349</v>
      </c>
      <c r="Q640">
        <f t="shared" si="991"/>
        <v>41576.9574136378</v>
      </c>
      <c r="R640">
        <f t="shared" si="992"/>
        <v>2639218.2451905268</v>
      </c>
      <c r="S640">
        <f t="shared" si="993"/>
        <v>26.392182451905267</v>
      </c>
      <c r="T640">
        <f t="shared" si="994"/>
        <v>2.6392182451905267E-2</v>
      </c>
    </row>
    <row r="641" spans="1:20" x14ac:dyDescent="0.25">
      <c r="A641" s="5">
        <v>43952</v>
      </c>
      <c r="B641">
        <v>8620</v>
      </c>
      <c r="C641">
        <v>9059.18</v>
      </c>
      <c r="D641">
        <v>8613.56</v>
      </c>
      <c r="E641">
        <v>8826.9599999999991</v>
      </c>
      <c r="F641">
        <v>91468.815059</v>
      </c>
      <c r="G641">
        <v>2.4</v>
      </c>
      <c r="L641" t="s">
        <v>7</v>
      </c>
      <c r="M641" t="s">
        <v>8</v>
      </c>
      <c r="N641" t="s">
        <v>8</v>
      </c>
      <c r="P641">
        <f t="shared" si="990"/>
        <v>-4.2233292940176595E-2</v>
      </c>
      <c r="Q641">
        <f t="shared" si="991"/>
        <v>-3863.0292612775834</v>
      </c>
      <c r="R641">
        <f t="shared" si="992"/>
        <v>2597641.2877768888</v>
      </c>
      <c r="S641">
        <f t="shared" si="993"/>
        <v>25.976412877768887</v>
      </c>
      <c r="T641">
        <f t="shared" si="994"/>
        <v>2.5976412877768886E-2</v>
      </c>
    </row>
    <row r="642" spans="1:20" x14ac:dyDescent="0.25">
      <c r="A642" s="5">
        <v>43951</v>
      </c>
      <c r="B642">
        <v>8778.58</v>
      </c>
      <c r="C642">
        <v>9460</v>
      </c>
      <c r="D642">
        <v>8401</v>
      </c>
      <c r="E642">
        <v>8620</v>
      </c>
      <c r="F642">
        <v>206277.21412399999</v>
      </c>
      <c r="G642">
        <v>-1.81</v>
      </c>
      <c r="L642" t="s">
        <v>8</v>
      </c>
      <c r="M642" t="s">
        <v>8</v>
      </c>
      <c r="N642" t="s">
        <v>8</v>
      </c>
      <c r="P642">
        <f t="shared" si="990"/>
        <v>-0.58640226628895187</v>
      </c>
      <c r="Q642">
        <f t="shared" si="991"/>
        <v>-120961.42584608498</v>
      </c>
      <c r="R642">
        <f t="shared" si="992"/>
        <v>2601504.3170381663</v>
      </c>
      <c r="S642">
        <f t="shared" si="993"/>
        <v>26.015043170381663</v>
      </c>
      <c r="T642">
        <f t="shared" si="994"/>
        <v>2.6015043170381662E-2</v>
      </c>
    </row>
    <row r="643" spans="1:20" x14ac:dyDescent="0.25">
      <c r="A643" s="5">
        <v>43950</v>
      </c>
      <c r="B643">
        <v>7738.58</v>
      </c>
      <c r="C643">
        <v>8952.89</v>
      </c>
      <c r="D643">
        <v>7710.05</v>
      </c>
      <c r="E643">
        <v>8778.57</v>
      </c>
      <c r="F643">
        <v>183546.887514</v>
      </c>
      <c r="G643">
        <v>13.44</v>
      </c>
      <c r="L643" t="s">
        <v>8</v>
      </c>
      <c r="M643" t="s">
        <v>8</v>
      </c>
      <c r="N643" t="s">
        <v>8</v>
      </c>
      <c r="P643">
        <f t="shared" si="990"/>
        <v>0.71948118824627494</v>
      </c>
      <c r="Q643">
        <f t="shared" si="991"/>
        <v>132058.53272747807</v>
      </c>
      <c r="R643">
        <f t="shared" si="992"/>
        <v>2722465.7428842513</v>
      </c>
      <c r="S643">
        <f t="shared" si="993"/>
        <v>27.224657428842512</v>
      </c>
      <c r="T643">
        <f t="shared" si="994"/>
        <v>2.7224657428842513E-2</v>
      </c>
    </row>
    <row r="644" spans="1:20" x14ac:dyDescent="0.25">
      <c r="A644" s="5">
        <v>43949</v>
      </c>
      <c r="B644">
        <v>7773.51</v>
      </c>
      <c r="C644">
        <v>7780</v>
      </c>
      <c r="D644">
        <v>7659.12</v>
      </c>
      <c r="E644">
        <v>7738.98</v>
      </c>
      <c r="F644">
        <v>46302.752637999998</v>
      </c>
      <c r="G644">
        <v>-0.44</v>
      </c>
      <c r="L644" t="s">
        <v>8</v>
      </c>
      <c r="M644" t="s">
        <v>8</v>
      </c>
      <c r="N644" t="s">
        <v>8</v>
      </c>
      <c r="P644">
        <f t="shared" si="990"/>
        <v>0.32131039046988086</v>
      </c>
      <c r="Q644">
        <f t="shared" si="991"/>
        <v>14877.555529946085</v>
      </c>
      <c r="R644">
        <f t="shared" si="992"/>
        <v>2590407.2101567732</v>
      </c>
      <c r="S644">
        <f t="shared" si="993"/>
        <v>25.904072101567731</v>
      </c>
      <c r="T644">
        <f t="shared" si="994"/>
        <v>2.590407210156773E-2</v>
      </c>
    </row>
    <row r="645" spans="1:20" x14ac:dyDescent="0.25">
      <c r="A645" s="5">
        <v>43948</v>
      </c>
      <c r="B645">
        <v>7693.1</v>
      </c>
      <c r="C645">
        <v>7792.02</v>
      </c>
      <c r="D645">
        <v>7606</v>
      </c>
      <c r="E645">
        <v>7774.62</v>
      </c>
      <c r="F645">
        <v>65441.339575999998</v>
      </c>
      <c r="G645">
        <v>1.06</v>
      </c>
      <c r="L645" t="s">
        <v>8</v>
      </c>
      <c r="M645" t="s">
        <v>8</v>
      </c>
      <c r="N645" t="s">
        <v>8</v>
      </c>
      <c r="P645">
        <f t="shared" si="990"/>
        <v>0.81292334157616919</v>
      </c>
      <c r="Q645">
        <f t="shared" si="991"/>
        <v>53198.792445342726</v>
      </c>
      <c r="R645">
        <f t="shared" si="992"/>
        <v>2575529.6546268272</v>
      </c>
      <c r="S645">
        <f t="shared" si="993"/>
        <v>25.755296546268273</v>
      </c>
      <c r="T645">
        <f t="shared" si="994"/>
        <v>2.5755296546268274E-2</v>
      </c>
    </row>
    <row r="646" spans="1:20" x14ac:dyDescent="0.25">
      <c r="A646" s="5">
        <v>43947</v>
      </c>
      <c r="B646">
        <v>7539.03</v>
      </c>
      <c r="C646">
        <v>7700</v>
      </c>
      <c r="D646">
        <v>7480</v>
      </c>
      <c r="E646">
        <v>7693.1</v>
      </c>
      <c r="F646">
        <v>50522.616209</v>
      </c>
      <c r="G646">
        <v>2.04</v>
      </c>
      <c r="L646" t="s">
        <v>8</v>
      </c>
      <c r="M646" t="s">
        <v>8</v>
      </c>
      <c r="N646" t="s">
        <v>8</v>
      </c>
      <c r="P646">
        <f t="shared" ref="P646:P709" si="995">IF(C646=D646,0,((E646-D646)-(C646-E646))/(C646-D646))</f>
        <v>0.93727272727273059</v>
      </c>
      <c r="Q646">
        <f t="shared" ref="Q646:Q709" si="996">F646*P646</f>
        <v>47353.470283162897</v>
      </c>
      <c r="R646">
        <f t="shared" ref="R646:R709" si="997">R647+Q646</f>
        <v>2522330.8621814847</v>
      </c>
      <c r="S646">
        <f t="shared" ref="S646:S709" si="998">R646/100000</f>
        <v>25.223308621814848</v>
      </c>
      <c r="T646">
        <f t="shared" ref="T646:T709" si="999">S646/1000</f>
        <v>2.5223308621814849E-2</v>
      </c>
    </row>
    <row r="647" spans="1:20" x14ac:dyDescent="0.25">
      <c r="A647" s="5">
        <v>43946</v>
      </c>
      <c r="B647">
        <v>7505</v>
      </c>
      <c r="C647">
        <v>7705</v>
      </c>
      <c r="D647">
        <v>7431.07</v>
      </c>
      <c r="E647">
        <v>7538.67</v>
      </c>
      <c r="F647">
        <v>43874.427726000002</v>
      </c>
      <c r="G647">
        <v>0.45</v>
      </c>
      <c r="L647" t="s">
        <v>8</v>
      </c>
      <c r="M647" t="s">
        <v>8</v>
      </c>
      <c r="N647" t="s">
        <v>8</v>
      </c>
      <c r="P647">
        <f t="shared" si="995"/>
        <v>-0.21439783886394151</v>
      </c>
      <c r="Q647">
        <f t="shared" si="996"/>
        <v>-9406.5824858465967</v>
      </c>
      <c r="R647">
        <f t="shared" si="997"/>
        <v>2474977.3918983219</v>
      </c>
      <c r="S647">
        <f t="shared" si="998"/>
        <v>24.74977391898322</v>
      </c>
      <c r="T647">
        <f t="shared" si="999"/>
        <v>2.4749773918983219E-2</v>
      </c>
    </row>
    <row r="648" spans="1:20" x14ac:dyDescent="0.25">
      <c r="A648" s="5">
        <v>43945</v>
      </c>
      <c r="B648">
        <v>7483.96</v>
      </c>
      <c r="C648">
        <v>7615.96</v>
      </c>
      <c r="D648">
        <v>7388</v>
      </c>
      <c r="E648">
        <v>7505</v>
      </c>
      <c r="F648">
        <v>60182.119938999997</v>
      </c>
      <c r="G648">
        <v>0.28000000000000003</v>
      </c>
      <c r="L648" t="s">
        <v>8</v>
      </c>
      <c r="M648" t="s">
        <v>8</v>
      </c>
      <c r="N648" t="s">
        <v>8</v>
      </c>
      <c r="P648">
        <f t="shared" si="995"/>
        <v>2.6495876469555899E-2</v>
      </c>
      <c r="Q648">
        <f t="shared" si="996"/>
        <v>1594.5780155797408</v>
      </c>
      <c r="R648">
        <f t="shared" si="997"/>
        <v>2484383.9743841686</v>
      </c>
      <c r="S648">
        <f t="shared" si="998"/>
        <v>24.843839743841688</v>
      </c>
      <c r="T648">
        <f t="shared" si="999"/>
        <v>2.4843839743841689E-2</v>
      </c>
    </row>
    <row r="649" spans="1:20" x14ac:dyDescent="0.25">
      <c r="A649" s="5">
        <v>43944</v>
      </c>
      <c r="B649">
        <v>7125.12</v>
      </c>
      <c r="C649">
        <v>7738</v>
      </c>
      <c r="D649">
        <v>7020</v>
      </c>
      <c r="E649">
        <v>7482.39</v>
      </c>
      <c r="F649">
        <v>102773.569561</v>
      </c>
      <c r="G649">
        <v>5.01</v>
      </c>
      <c r="L649" t="s">
        <v>8</v>
      </c>
      <c r="M649" t="s">
        <v>8</v>
      </c>
      <c r="N649" t="s">
        <v>8</v>
      </c>
      <c r="P649">
        <f t="shared" si="995"/>
        <v>0.28799442896936023</v>
      </c>
      <c r="Q649">
        <f t="shared" si="996"/>
        <v>29598.215478863014</v>
      </c>
      <c r="R649">
        <f t="shared" si="997"/>
        <v>2482789.3963685888</v>
      </c>
      <c r="S649">
        <f t="shared" si="998"/>
        <v>24.827893963685888</v>
      </c>
      <c r="T649">
        <f t="shared" si="999"/>
        <v>2.4827893963685888E-2</v>
      </c>
    </row>
    <row r="650" spans="1:20" x14ac:dyDescent="0.25">
      <c r="A650" s="5">
        <v>43943</v>
      </c>
      <c r="B650">
        <v>6841.36</v>
      </c>
      <c r="C650">
        <v>7156.38</v>
      </c>
      <c r="D650">
        <v>6818</v>
      </c>
      <c r="E650">
        <v>7125.14</v>
      </c>
      <c r="F650">
        <v>61486.377333999997</v>
      </c>
      <c r="G650">
        <v>4.1500000000000004</v>
      </c>
      <c r="L650" t="s">
        <v>7</v>
      </c>
      <c r="M650" t="s">
        <v>8</v>
      </c>
      <c r="N650" t="s">
        <v>8</v>
      </c>
      <c r="P650">
        <f t="shared" si="995"/>
        <v>0.81535551746557255</v>
      </c>
      <c r="Q650">
        <f t="shared" si="996"/>
        <v>50133.257008247019</v>
      </c>
      <c r="R650">
        <f t="shared" si="997"/>
        <v>2453191.1808897257</v>
      </c>
      <c r="S650">
        <f t="shared" si="998"/>
        <v>24.531911808897256</v>
      </c>
      <c r="T650">
        <f t="shared" si="999"/>
        <v>2.4531911808897255E-2</v>
      </c>
    </row>
    <row r="651" spans="1:20" x14ac:dyDescent="0.25">
      <c r="A651" s="5">
        <v>43942</v>
      </c>
      <c r="B651">
        <v>6828.98</v>
      </c>
      <c r="C651">
        <v>6940</v>
      </c>
      <c r="D651">
        <v>6762</v>
      </c>
      <c r="E651">
        <v>6841.37</v>
      </c>
      <c r="F651">
        <v>60109.710808000003</v>
      </c>
      <c r="G651">
        <v>0.18</v>
      </c>
      <c r="L651" t="s">
        <v>7</v>
      </c>
      <c r="M651" t="s">
        <v>8</v>
      </c>
      <c r="N651" t="s">
        <v>8</v>
      </c>
      <c r="P651">
        <f t="shared" si="995"/>
        <v>-0.10820224719101246</v>
      </c>
      <c r="Q651">
        <f t="shared" si="996"/>
        <v>-6504.0057874274898</v>
      </c>
      <c r="R651">
        <f t="shared" si="997"/>
        <v>2403057.9238814786</v>
      </c>
      <c r="S651">
        <f t="shared" si="998"/>
        <v>24.030579238814784</v>
      </c>
      <c r="T651">
        <f t="shared" si="999"/>
        <v>2.4030579238814784E-2</v>
      </c>
    </row>
    <row r="652" spans="1:20" x14ac:dyDescent="0.25">
      <c r="A652" s="5">
        <v>43941</v>
      </c>
      <c r="B652">
        <v>7121.4</v>
      </c>
      <c r="C652">
        <v>7220</v>
      </c>
      <c r="D652">
        <v>6751</v>
      </c>
      <c r="E652">
        <v>6826.83</v>
      </c>
      <c r="F652">
        <v>90149.491370000003</v>
      </c>
      <c r="G652">
        <v>-4.1399999999999997</v>
      </c>
      <c r="L652" t="s">
        <v>7</v>
      </c>
      <c r="M652" t="s">
        <v>8</v>
      </c>
      <c r="N652" t="s">
        <v>8</v>
      </c>
      <c r="P652">
        <f t="shared" si="995"/>
        <v>-0.67663113006396625</v>
      </c>
      <c r="Q652">
        <f t="shared" si="996"/>
        <v>-60997.952220374878</v>
      </c>
      <c r="R652">
        <f t="shared" si="997"/>
        <v>2409561.9296689061</v>
      </c>
      <c r="S652">
        <f t="shared" si="998"/>
        <v>24.095619296689062</v>
      </c>
      <c r="T652">
        <f t="shared" si="999"/>
        <v>2.4095619296689061E-2</v>
      </c>
    </row>
    <row r="653" spans="1:20" x14ac:dyDescent="0.25">
      <c r="A653" s="5">
        <v>43940</v>
      </c>
      <c r="B653">
        <v>7248.6</v>
      </c>
      <c r="C653">
        <v>7266.15</v>
      </c>
      <c r="D653">
        <v>7055.6</v>
      </c>
      <c r="E653">
        <v>7120.74</v>
      </c>
      <c r="F653">
        <v>45664.86393</v>
      </c>
      <c r="G653">
        <v>-1.76</v>
      </c>
      <c r="L653" t="s">
        <v>8</v>
      </c>
      <c r="M653" t="s">
        <v>8</v>
      </c>
      <c r="N653" t="s">
        <v>8</v>
      </c>
      <c r="P653">
        <f t="shared" si="995"/>
        <v>-0.38123961054381722</v>
      </c>
      <c r="Q653">
        <f t="shared" si="996"/>
        <v>-17409.254940209605</v>
      </c>
      <c r="R653">
        <f t="shared" si="997"/>
        <v>2470559.8818892809</v>
      </c>
      <c r="S653">
        <f t="shared" si="998"/>
        <v>24.70559881889281</v>
      </c>
      <c r="T653">
        <f t="shared" si="999"/>
        <v>2.470559881889281E-2</v>
      </c>
    </row>
    <row r="654" spans="1:20" x14ac:dyDescent="0.25">
      <c r="A654" s="5">
        <v>43939</v>
      </c>
      <c r="B654">
        <v>7026.78</v>
      </c>
      <c r="C654">
        <v>7293.08</v>
      </c>
      <c r="D654">
        <v>7014.4</v>
      </c>
      <c r="E654">
        <v>7248.6</v>
      </c>
      <c r="F654">
        <v>49488.542819000002</v>
      </c>
      <c r="G654">
        <v>3.16</v>
      </c>
      <c r="L654" t="s">
        <v>8</v>
      </c>
      <c r="M654" t="s">
        <v>8</v>
      </c>
      <c r="N654" t="s">
        <v>8</v>
      </c>
      <c r="P654">
        <f t="shared" si="995"/>
        <v>0.68078082388402816</v>
      </c>
      <c r="Q654">
        <f t="shared" si="996"/>
        <v>33690.850953138826</v>
      </c>
      <c r="R654">
        <f t="shared" si="997"/>
        <v>2487969.1368294903</v>
      </c>
      <c r="S654">
        <f t="shared" si="998"/>
        <v>24.879691368294903</v>
      </c>
      <c r="T654">
        <f t="shared" si="999"/>
        <v>2.4879691368294904E-2</v>
      </c>
    </row>
    <row r="655" spans="1:20" x14ac:dyDescent="0.25">
      <c r="A655" s="5">
        <v>43938</v>
      </c>
      <c r="B655">
        <v>7101.99</v>
      </c>
      <c r="C655">
        <v>7148.12</v>
      </c>
      <c r="D655">
        <v>6972.98</v>
      </c>
      <c r="E655">
        <v>7027.55</v>
      </c>
      <c r="F655">
        <v>54126.509763000002</v>
      </c>
      <c r="G655">
        <v>-1.05</v>
      </c>
      <c r="L655" t="s">
        <v>8</v>
      </c>
      <c r="M655" t="s">
        <v>8</v>
      </c>
      <c r="N655" t="s">
        <v>8</v>
      </c>
      <c r="P655">
        <f t="shared" si="995"/>
        <v>-0.37684138403562273</v>
      </c>
      <c r="Q655">
        <f t="shared" si="996"/>
        <v>-20397.108852106565</v>
      </c>
      <c r="R655">
        <f t="shared" si="997"/>
        <v>2454278.2858763514</v>
      </c>
      <c r="S655">
        <f t="shared" si="998"/>
        <v>24.542782858763513</v>
      </c>
      <c r="T655">
        <f t="shared" si="999"/>
        <v>2.4542782858763514E-2</v>
      </c>
    </row>
    <row r="656" spans="1:20" x14ac:dyDescent="0.25">
      <c r="A656" s="5">
        <v>43937</v>
      </c>
      <c r="B656">
        <v>6621.25</v>
      </c>
      <c r="C656">
        <v>7190</v>
      </c>
      <c r="D656">
        <v>6468.27</v>
      </c>
      <c r="E656">
        <v>7101.94</v>
      </c>
      <c r="F656">
        <v>125009.857539</v>
      </c>
      <c r="G656">
        <v>7.26</v>
      </c>
      <c r="L656" t="s">
        <v>8</v>
      </c>
      <c r="M656" t="s">
        <v>8</v>
      </c>
      <c r="N656" t="s">
        <v>8</v>
      </c>
      <c r="P656">
        <f t="shared" si="995"/>
        <v>0.75597522619261925</v>
      </c>
      <c r="Q656">
        <f t="shared" si="996"/>
        <v>94504.355329352635</v>
      </c>
      <c r="R656">
        <f t="shared" si="997"/>
        <v>2474675.394728458</v>
      </c>
      <c r="S656">
        <f t="shared" si="998"/>
        <v>24.746753947284581</v>
      </c>
      <c r="T656">
        <f t="shared" si="999"/>
        <v>2.474675394728458E-2</v>
      </c>
    </row>
    <row r="657" spans="1:20" x14ac:dyDescent="0.25">
      <c r="A657" s="5">
        <v>43936</v>
      </c>
      <c r="B657">
        <v>6868.57</v>
      </c>
      <c r="C657">
        <v>6933</v>
      </c>
      <c r="D657">
        <v>6605</v>
      </c>
      <c r="E657">
        <v>6621.24</v>
      </c>
      <c r="F657">
        <v>61571.384994</v>
      </c>
      <c r="G657">
        <v>-3.6</v>
      </c>
      <c r="L657" t="s">
        <v>7</v>
      </c>
      <c r="M657" t="s">
        <v>8</v>
      </c>
      <c r="N657" t="s">
        <v>8</v>
      </c>
      <c r="P657">
        <f t="shared" si="995"/>
        <v>-0.90097560975609892</v>
      </c>
      <c r="Q657">
        <f t="shared" si="996"/>
        <v>-55474.316138496666</v>
      </c>
      <c r="R657">
        <f t="shared" si="997"/>
        <v>2380171.0393991056</v>
      </c>
      <c r="S657">
        <f t="shared" si="998"/>
        <v>23.801710393991055</v>
      </c>
      <c r="T657">
        <f t="shared" si="999"/>
        <v>2.3801710393991055E-2</v>
      </c>
    </row>
    <row r="658" spans="1:20" x14ac:dyDescent="0.25">
      <c r="A658" s="5">
        <v>43935</v>
      </c>
      <c r="B658">
        <v>6838.04</v>
      </c>
      <c r="C658">
        <v>6978</v>
      </c>
      <c r="D658">
        <v>6754.28</v>
      </c>
      <c r="E658">
        <v>6868.7</v>
      </c>
      <c r="F658">
        <v>69068.623284999994</v>
      </c>
      <c r="G658">
        <v>0.45</v>
      </c>
      <c r="L658" t="s">
        <v>7</v>
      </c>
      <c r="M658" t="s">
        <v>8</v>
      </c>
      <c r="N658" t="s">
        <v>8</v>
      </c>
      <c r="P658">
        <f t="shared" si="995"/>
        <v>2.2885750044698217E-2</v>
      </c>
      <c r="Q658">
        <f t="shared" si="996"/>
        <v>1580.6872484319329</v>
      </c>
      <c r="R658">
        <f t="shared" si="997"/>
        <v>2435645.3555376022</v>
      </c>
      <c r="S658">
        <f t="shared" si="998"/>
        <v>24.356453555376021</v>
      </c>
      <c r="T658">
        <f t="shared" si="999"/>
        <v>2.435645355537602E-2</v>
      </c>
    </row>
    <row r="659" spans="1:20" x14ac:dyDescent="0.25">
      <c r="A659" s="5">
        <v>43934</v>
      </c>
      <c r="B659">
        <v>6903.79</v>
      </c>
      <c r="C659">
        <v>6903.79</v>
      </c>
      <c r="D659">
        <v>6575</v>
      </c>
      <c r="E659">
        <v>6837.91</v>
      </c>
      <c r="F659">
        <v>96415.476573000007</v>
      </c>
      <c r="G659">
        <v>-0.95</v>
      </c>
      <c r="L659" t="s">
        <v>7</v>
      </c>
      <c r="M659" t="s">
        <v>8</v>
      </c>
      <c r="N659" t="s">
        <v>8</v>
      </c>
      <c r="P659">
        <f t="shared" si="995"/>
        <v>0.59925788497217003</v>
      </c>
      <c r="Q659">
        <f t="shared" si="996"/>
        <v>57777.734569719796</v>
      </c>
      <c r="R659">
        <f t="shared" si="997"/>
        <v>2434064.6682891701</v>
      </c>
      <c r="S659">
        <f t="shared" si="998"/>
        <v>24.340646682891702</v>
      </c>
      <c r="T659">
        <f t="shared" si="999"/>
        <v>2.4340646682891702E-2</v>
      </c>
    </row>
    <row r="660" spans="1:20" x14ac:dyDescent="0.25">
      <c r="A660" s="5">
        <v>43933</v>
      </c>
      <c r="B660">
        <v>6876.84</v>
      </c>
      <c r="C660">
        <v>7177</v>
      </c>
      <c r="D660">
        <v>6780</v>
      </c>
      <c r="E660">
        <v>6903.79</v>
      </c>
      <c r="F660">
        <v>73868.666501</v>
      </c>
      <c r="G660">
        <v>0.39</v>
      </c>
      <c r="L660" t="s">
        <v>7</v>
      </c>
      <c r="M660" t="s">
        <v>8</v>
      </c>
      <c r="N660" t="s">
        <v>8</v>
      </c>
      <c r="P660">
        <f t="shared" si="995"/>
        <v>-0.37637279596977347</v>
      </c>
      <c r="Q660">
        <f t="shared" si="996"/>
        <v>-27802.156545540114</v>
      </c>
      <c r="R660">
        <f t="shared" si="997"/>
        <v>2376286.9337194501</v>
      </c>
      <c r="S660">
        <f t="shared" si="998"/>
        <v>23.762869337194502</v>
      </c>
      <c r="T660">
        <f t="shared" si="999"/>
        <v>2.37628693371945E-2</v>
      </c>
    </row>
    <row r="661" spans="1:20" x14ac:dyDescent="0.25">
      <c r="A661" s="5">
        <v>43932</v>
      </c>
      <c r="B661">
        <v>6858.92</v>
      </c>
      <c r="C661">
        <v>6944.3</v>
      </c>
      <c r="D661">
        <v>6760</v>
      </c>
      <c r="E661">
        <v>6876.83</v>
      </c>
      <c r="F661">
        <v>45470.293206000002</v>
      </c>
      <c r="G661">
        <v>0.26</v>
      </c>
      <c r="L661" t="s">
        <v>7</v>
      </c>
      <c r="M661" t="s">
        <v>8</v>
      </c>
      <c r="N661" t="s">
        <v>8</v>
      </c>
      <c r="P661">
        <f t="shared" si="995"/>
        <v>0.26782419967444182</v>
      </c>
      <c r="Q661">
        <f t="shared" si="996"/>
        <v>12178.044886859159</v>
      </c>
      <c r="R661">
        <f t="shared" si="997"/>
        <v>2404089.0902649905</v>
      </c>
      <c r="S661">
        <f t="shared" si="998"/>
        <v>24.040890902649906</v>
      </c>
      <c r="T661">
        <f t="shared" si="999"/>
        <v>2.4040890902649905E-2</v>
      </c>
    </row>
    <row r="662" spans="1:20" x14ac:dyDescent="0.25">
      <c r="A662" s="5">
        <v>43931</v>
      </c>
      <c r="B662">
        <v>7283.54</v>
      </c>
      <c r="C662">
        <v>7295.75</v>
      </c>
      <c r="D662">
        <v>6739.98</v>
      </c>
      <c r="E662">
        <v>6858.92</v>
      </c>
      <c r="F662">
        <v>104674.623375</v>
      </c>
      <c r="G662">
        <v>-5.83</v>
      </c>
      <c r="L662" t="s">
        <v>7</v>
      </c>
      <c r="M662" t="s">
        <v>8</v>
      </c>
      <c r="N662" t="s">
        <v>8</v>
      </c>
      <c r="P662">
        <f t="shared" si="995"/>
        <v>-0.57198121525091161</v>
      </c>
      <c r="Q662">
        <f t="shared" si="996"/>
        <v>-59871.918283963976</v>
      </c>
      <c r="R662">
        <f t="shared" si="997"/>
        <v>2391911.0453781313</v>
      </c>
      <c r="S662">
        <f t="shared" si="998"/>
        <v>23.919110453781315</v>
      </c>
      <c r="T662">
        <f t="shared" si="999"/>
        <v>2.3919110453781315E-2</v>
      </c>
    </row>
    <row r="663" spans="1:20" x14ac:dyDescent="0.25">
      <c r="A663" s="5">
        <v>43930</v>
      </c>
      <c r="B663">
        <v>7360.26</v>
      </c>
      <c r="C663">
        <v>7371.92</v>
      </c>
      <c r="D663">
        <v>7108.08</v>
      </c>
      <c r="E663">
        <v>7283.54</v>
      </c>
      <c r="F663">
        <v>61094.872416999999</v>
      </c>
      <c r="G663">
        <v>-1.04</v>
      </c>
      <c r="L663" t="s">
        <v>8</v>
      </c>
      <c r="M663" t="s">
        <v>8</v>
      </c>
      <c r="N663" t="s">
        <v>8</v>
      </c>
      <c r="P663">
        <f t="shared" si="995"/>
        <v>0.3300485142510608</v>
      </c>
      <c r="Q663">
        <f t="shared" si="996"/>
        <v>20164.271869588967</v>
      </c>
      <c r="R663">
        <f t="shared" si="997"/>
        <v>2451782.9636620954</v>
      </c>
      <c r="S663">
        <f t="shared" si="998"/>
        <v>24.517829636620952</v>
      </c>
      <c r="T663">
        <f t="shared" si="999"/>
        <v>2.4517829636620952E-2</v>
      </c>
    </row>
    <row r="664" spans="1:20" x14ac:dyDescent="0.25">
      <c r="A664" s="5">
        <v>43929</v>
      </c>
      <c r="B664">
        <v>7197.32</v>
      </c>
      <c r="C664">
        <v>7420</v>
      </c>
      <c r="D664">
        <v>7150</v>
      </c>
      <c r="E664">
        <v>7361.28</v>
      </c>
      <c r="F664">
        <v>76059.145837999997</v>
      </c>
      <c r="G664">
        <v>2.2799999999999998</v>
      </c>
      <c r="L664" t="s">
        <v>8</v>
      </c>
      <c r="M664" t="s">
        <v>8</v>
      </c>
      <c r="N664" t="s">
        <v>8</v>
      </c>
      <c r="P664">
        <f t="shared" si="995"/>
        <v>0.56503703703703512</v>
      </c>
      <c r="Q664">
        <f t="shared" si="996"/>
        <v>42976.234403871262</v>
      </c>
      <c r="R664">
        <f t="shared" si="997"/>
        <v>2431618.6917925063</v>
      </c>
      <c r="S664">
        <f t="shared" si="998"/>
        <v>24.316186917925062</v>
      </c>
      <c r="T664">
        <f t="shared" si="999"/>
        <v>2.4316186917925062E-2</v>
      </c>
    </row>
    <row r="665" spans="1:20" x14ac:dyDescent="0.25">
      <c r="A665" s="5">
        <v>43928</v>
      </c>
      <c r="B665">
        <v>7329.9</v>
      </c>
      <c r="C665">
        <v>7459.69</v>
      </c>
      <c r="D665">
        <v>7077</v>
      </c>
      <c r="E665">
        <v>7197.32</v>
      </c>
      <c r="F665">
        <v>103585.168918</v>
      </c>
      <c r="G665">
        <v>-1.81</v>
      </c>
      <c r="L665" t="s">
        <v>8</v>
      </c>
      <c r="M665" t="s">
        <v>8</v>
      </c>
      <c r="N665" t="s">
        <v>8</v>
      </c>
      <c r="P665">
        <f t="shared" si="995"/>
        <v>-0.37118816796885296</v>
      </c>
      <c r="Q665">
        <f t="shared" si="996"/>
        <v>-38449.58907941659</v>
      </c>
      <c r="R665">
        <f t="shared" si="997"/>
        <v>2388642.4573886348</v>
      </c>
      <c r="S665">
        <f t="shared" si="998"/>
        <v>23.886424573886348</v>
      </c>
      <c r="T665">
        <f t="shared" si="999"/>
        <v>2.3886424573886348E-2</v>
      </c>
    </row>
    <row r="666" spans="1:20" x14ac:dyDescent="0.25">
      <c r="A666" s="5">
        <v>43927</v>
      </c>
      <c r="B666">
        <v>6772.78</v>
      </c>
      <c r="C666">
        <v>7355.14</v>
      </c>
      <c r="D666">
        <v>6765</v>
      </c>
      <c r="E666">
        <v>7329.9</v>
      </c>
      <c r="F666">
        <v>118052.00083200001</v>
      </c>
      <c r="G666">
        <v>8.23</v>
      </c>
      <c r="L666" t="s">
        <v>8</v>
      </c>
      <c r="M666" t="s">
        <v>8</v>
      </c>
      <c r="N666" t="s">
        <v>8</v>
      </c>
      <c r="P666">
        <f t="shared" si="995"/>
        <v>0.91446097536177628</v>
      </c>
      <c r="Q666">
        <f t="shared" si="996"/>
        <v>107953.94782423995</v>
      </c>
      <c r="R666">
        <f t="shared" si="997"/>
        <v>2427092.0464680516</v>
      </c>
      <c r="S666">
        <f t="shared" si="998"/>
        <v>24.270920464680515</v>
      </c>
      <c r="T666">
        <f t="shared" si="999"/>
        <v>2.4270920464680514E-2</v>
      </c>
    </row>
    <row r="667" spans="1:20" x14ac:dyDescent="0.25">
      <c r="A667" s="5">
        <v>43926</v>
      </c>
      <c r="B667">
        <v>6857.41</v>
      </c>
      <c r="C667">
        <v>6895.54</v>
      </c>
      <c r="D667">
        <v>6677.52</v>
      </c>
      <c r="E667">
        <v>6772.78</v>
      </c>
      <c r="F667">
        <v>49685.356982999998</v>
      </c>
      <c r="G667">
        <v>-1.23</v>
      </c>
      <c r="L667" t="s">
        <v>7</v>
      </c>
      <c r="M667" t="s">
        <v>8</v>
      </c>
      <c r="N667" t="s">
        <v>8</v>
      </c>
      <c r="P667">
        <f t="shared" si="995"/>
        <v>-0.12613521695257759</v>
      </c>
      <c r="Q667">
        <f t="shared" si="996"/>
        <v>-6267.0732824169709</v>
      </c>
      <c r="R667">
        <f t="shared" si="997"/>
        <v>2319138.0986438119</v>
      </c>
      <c r="S667">
        <f t="shared" si="998"/>
        <v>23.191380986438119</v>
      </c>
      <c r="T667">
        <f t="shared" si="999"/>
        <v>2.319138098643812E-2</v>
      </c>
    </row>
    <row r="668" spans="1:20" x14ac:dyDescent="0.25">
      <c r="A668" s="5">
        <v>43925</v>
      </c>
      <c r="B668">
        <v>6732.97</v>
      </c>
      <c r="C668">
        <v>6990.41</v>
      </c>
      <c r="D668">
        <v>6650.01</v>
      </c>
      <c r="E668">
        <v>6856.99</v>
      </c>
      <c r="F668">
        <v>72990.861139000001</v>
      </c>
      <c r="G668">
        <v>1.84</v>
      </c>
      <c r="L668" t="s">
        <v>7</v>
      </c>
      <c r="M668" t="s">
        <v>8</v>
      </c>
      <c r="N668" t="s">
        <v>8</v>
      </c>
      <c r="P668">
        <f t="shared" si="995"/>
        <v>0.21609870740305395</v>
      </c>
      <c r="Q668">
        <f t="shared" si="996"/>
        <v>15773.230744373703</v>
      </c>
      <c r="R668">
        <f t="shared" si="997"/>
        <v>2325405.1719262288</v>
      </c>
      <c r="S668">
        <f t="shared" si="998"/>
        <v>23.254051719262289</v>
      </c>
      <c r="T668">
        <f t="shared" si="999"/>
        <v>2.325405171926229E-2</v>
      </c>
    </row>
    <row r="669" spans="1:20" x14ac:dyDescent="0.25">
      <c r="A669" s="5">
        <v>43924</v>
      </c>
      <c r="B669">
        <v>6793.86</v>
      </c>
      <c r="C669">
        <v>7048</v>
      </c>
      <c r="D669">
        <v>6602.1</v>
      </c>
      <c r="E669">
        <v>6734.1</v>
      </c>
      <c r="F669">
        <v>104080.276939</v>
      </c>
      <c r="G669">
        <v>-0.88</v>
      </c>
      <c r="L669" t="s">
        <v>7</v>
      </c>
      <c r="M669" t="s">
        <v>8</v>
      </c>
      <c r="N669" t="s">
        <v>8</v>
      </c>
      <c r="P669">
        <f t="shared" si="995"/>
        <v>-0.407938999775734</v>
      </c>
      <c r="Q669">
        <f t="shared" si="996"/>
        <v>-42458.404070877055</v>
      </c>
      <c r="R669">
        <f t="shared" si="997"/>
        <v>2309631.9411818553</v>
      </c>
      <c r="S669">
        <f t="shared" si="998"/>
        <v>23.096319411818552</v>
      </c>
      <c r="T669">
        <f t="shared" si="999"/>
        <v>2.3096319411818552E-2</v>
      </c>
    </row>
    <row r="670" spans="1:20" x14ac:dyDescent="0.25">
      <c r="A670" s="5">
        <v>43923</v>
      </c>
      <c r="B670">
        <v>6643.36</v>
      </c>
      <c r="C670">
        <v>7198</v>
      </c>
      <c r="D670">
        <v>6551</v>
      </c>
      <c r="E670">
        <v>6794.09</v>
      </c>
      <c r="F670">
        <v>149299.90687100001</v>
      </c>
      <c r="G670">
        <v>2.27</v>
      </c>
      <c r="L670" t="s">
        <v>8</v>
      </c>
      <c r="M670" t="s">
        <v>8</v>
      </c>
      <c r="N670" t="s">
        <v>8</v>
      </c>
      <c r="P670">
        <f t="shared" si="995"/>
        <v>-0.24856259659969043</v>
      </c>
      <c r="Q670">
        <f t="shared" si="996"/>
        <v>-37110.372523947728</v>
      </c>
      <c r="R670">
        <f t="shared" si="997"/>
        <v>2352090.3452527323</v>
      </c>
      <c r="S670">
        <f t="shared" si="998"/>
        <v>23.520903452527321</v>
      </c>
      <c r="T670">
        <f t="shared" si="999"/>
        <v>2.352090345252732E-2</v>
      </c>
    </row>
    <row r="671" spans="1:20" x14ac:dyDescent="0.25">
      <c r="A671" s="5">
        <v>43922</v>
      </c>
      <c r="B671">
        <v>6412.14</v>
      </c>
      <c r="C671">
        <v>6679.94</v>
      </c>
      <c r="D671">
        <v>6150.11</v>
      </c>
      <c r="E671">
        <v>6642.92</v>
      </c>
      <c r="F671">
        <v>97500.752399999998</v>
      </c>
      <c r="G671">
        <v>3.6</v>
      </c>
      <c r="L671" t="s">
        <v>7</v>
      </c>
      <c r="M671" t="s">
        <v>7</v>
      </c>
      <c r="N671" t="s">
        <v>8</v>
      </c>
      <c r="P671">
        <f t="shared" si="995"/>
        <v>0.86025706358643517</v>
      </c>
      <c r="Q671">
        <f t="shared" si="996"/>
        <v>83875.710957092073</v>
      </c>
      <c r="R671">
        <f t="shared" si="997"/>
        <v>2389200.7177766799</v>
      </c>
      <c r="S671">
        <f t="shared" si="998"/>
        <v>23.8920071777668</v>
      </c>
      <c r="T671">
        <f t="shared" si="999"/>
        <v>2.3892007177766801E-2</v>
      </c>
    </row>
    <row r="672" spans="1:20" x14ac:dyDescent="0.25">
      <c r="A672" s="5">
        <v>43921</v>
      </c>
      <c r="B672">
        <v>6394.45</v>
      </c>
      <c r="C672">
        <v>6523.23</v>
      </c>
      <c r="D672">
        <v>6321.4</v>
      </c>
      <c r="E672">
        <v>6410.44</v>
      </c>
      <c r="F672">
        <v>72337.595258999994</v>
      </c>
      <c r="G672">
        <v>0.25</v>
      </c>
      <c r="L672" t="s">
        <v>8</v>
      </c>
      <c r="M672" t="s">
        <v>7</v>
      </c>
      <c r="N672" t="s">
        <v>8</v>
      </c>
      <c r="P672">
        <f t="shared" si="995"/>
        <v>-0.117673289401972</v>
      </c>
      <c r="Q672">
        <f t="shared" si="996"/>
        <v>-8512.2027815550246</v>
      </c>
      <c r="R672">
        <f t="shared" si="997"/>
        <v>2305325.0068195877</v>
      </c>
      <c r="S672">
        <f t="shared" si="998"/>
        <v>23.053250068195876</v>
      </c>
      <c r="T672">
        <f t="shared" si="999"/>
        <v>2.3053250068195877E-2</v>
      </c>
    </row>
    <row r="673" spans="1:20" x14ac:dyDescent="0.25">
      <c r="A673" s="5">
        <v>43920</v>
      </c>
      <c r="B673">
        <v>5880.5</v>
      </c>
      <c r="C673">
        <v>6599</v>
      </c>
      <c r="D673">
        <v>5857.76</v>
      </c>
      <c r="E673">
        <v>6394.38</v>
      </c>
      <c r="F673">
        <v>118889.549992</v>
      </c>
      <c r="G673">
        <v>8.74</v>
      </c>
      <c r="L673" t="s">
        <v>8</v>
      </c>
      <c r="M673" t="s">
        <v>7</v>
      </c>
      <c r="N673" t="s">
        <v>8</v>
      </c>
      <c r="P673">
        <f t="shared" si="995"/>
        <v>0.44789811666936497</v>
      </c>
      <c r="Q673">
        <f t="shared" si="996"/>
        <v>53250.405533085112</v>
      </c>
      <c r="R673">
        <f t="shared" si="997"/>
        <v>2313837.2096011429</v>
      </c>
      <c r="S673">
        <f t="shared" si="998"/>
        <v>23.13837209601143</v>
      </c>
      <c r="T673">
        <f t="shared" si="999"/>
        <v>2.3138372096011429E-2</v>
      </c>
    </row>
    <row r="674" spans="1:20" x14ac:dyDescent="0.25">
      <c r="A674" s="5">
        <v>43919</v>
      </c>
      <c r="B674">
        <v>6236.65</v>
      </c>
      <c r="C674">
        <v>6266</v>
      </c>
      <c r="D674">
        <v>5866.56</v>
      </c>
      <c r="E674">
        <v>5881.42</v>
      </c>
      <c r="F674">
        <v>63311.627714000002</v>
      </c>
      <c r="G674">
        <v>-5.7</v>
      </c>
      <c r="L674" t="s">
        <v>7</v>
      </c>
      <c r="M674" t="s">
        <v>7</v>
      </c>
      <c r="N674" t="s">
        <v>8</v>
      </c>
      <c r="P674">
        <f t="shared" si="995"/>
        <v>-0.92559583416783653</v>
      </c>
      <c r="Q674">
        <f t="shared" si="996"/>
        <v>-58600.978866463352</v>
      </c>
      <c r="R674">
        <f t="shared" si="997"/>
        <v>2260586.8040680578</v>
      </c>
      <c r="S674">
        <f t="shared" si="998"/>
        <v>22.605868040680576</v>
      </c>
      <c r="T674">
        <f t="shared" si="999"/>
        <v>2.2605868040680575E-2</v>
      </c>
    </row>
    <row r="675" spans="1:20" x14ac:dyDescent="0.25">
      <c r="A675" s="5">
        <v>43918</v>
      </c>
      <c r="B675">
        <v>6359.11</v>
      </c>
      <c r="C675">
        <v>6360</v>
      </c>
      <c r="D675">
        <v>6024</v>
      </c>
      <c r="E675">
        <v>6236.65</v>
      </c>
      <c r="F675">
        <v>93159.693429000006</v>
      </c>
      <c r="G675">
        <v>-1.93</v>
      </c>
      <c r="L675" t="s">
        <v>7</v>
      </c>
      <c r="M675" t="s">
        <v>8</v>
      </c>
      <c r="N675" t="s">
        <v>8</v>
      </c>
      <c r="P675">
        <f t="shared" si="995"/>
        <v>0.26577380952380736</v>
      </c>
      <c r="Q675">
        <f t="shared" si="996"/>
        <v>24759.406616695334</v>
      </c>
      <c r="R675">
        <f t="shared" si="997"/>
        <v>2319187.7829345213</v>
      </c>
      <c r="S675">
        <f t="shared" si="998"/>
        <v>23.191877829345213</v>
      </c>
      <c r="T675">
        <f t="shared" si="999"/>
        <v>2.3191877829345214E-2</v>
      </c>
    </row>
    <row r="676" spans="1:20" x14ac:dyDescent="0.25">
      <c r="A676" s="5">
        <v>43917</v>
      </c>
      <c r="B676">
        <v>6737.27</v>
      </c>
      <c r="C676">
        <v>6842.59</v>
      </c>
      <c r="D676">
        <v>6261</v>
      </c>
      <c r="E676">
        <v>6359.11</v>
      </c>
      <c r="F676">
        <v>82914.968353999997</v>
      </c>
      <c r="G676">
        <v>-5.61</v>
      </c>
      <c r="L676" t="s">
        <v>7</v>
      </c>
      <c r="M676" t="s">
        <v>8</v>
      </c>
      <c r="N676" t="s">
        <v>8</v>
      </c>
      <c r="P676">
        <f t="shared" si="995"/>
        <v>-0.66261455664643598</v>
      </c>
      <c r="Q676">
        <f t="shared" si="996"/>
        <v>-54940.664995238978</v>
      </c>
      <c r="R676">
        <f t="shared" si="997"/>
        <v>2294428.3763178261</v>
      </c>
      <c r="S676">
        <f t="shared" si="998"/>
        <v>22.944283763178262</v>
      </c>
      <c r="T676">
        <f t="shared" si="999"/>
        <v>2.2944283763178263E-2</v>
      </c>
    </row>
    <row r="677" spans="1:20" x14ac:dyDescent="0.25">
      <c r="A677" s="5">
        <v>43916</v>
      </c>
      <c r="B677">
        <v>6677.42</v>
      </c>
      <c r="C677">
        <v>6780</v>
      </c>
      <c r="D677">
        <v>6510</v>
      </c>
      <c r="E677">
        <v>6737.36</v>
      </c>
      <c r="F677">
        <v>83026.555210999999</v>
      </c>
      <c r="G677">
        <v>0.9</v>
      </c>
      <c r="L677" t="s">
        <v>8</v>
      </c>
      <c r="M677" t="s">
        <v>8</v>
      </c>
      <c r="N677" t="s">
        <v>8</v>
      </c>
      <c r="P677">
        <f t="shared" si="995"/>
        <v>0.68414814814814573</v>
      </c>
      <c r="Q677">
        <f t="shared" si="996"/>
        <v>56802.463994725425</v>
      </c>
      <c r="R677">
        <f t="shared" si="997"/>
        <v>2349369.0413130652</v>
      </c>
      <c r="S677">
        <f t="shared" si="998"/>
        <v>23.493690413130651</v>
      </c>
      <c r="T677">
        <f t="shared" si="999"/>
        <v>2.3493690413130649E-2</v>
      </c>
    </row>
    <row r="678" spans="1:20" x14ac:dyDescent="0.25">
      <c r="A678" s="5">
        <v>43915</v>
      </c>
      <c r="B678">
        <v>6744.69</v>
      </c>
      <c r="C678">
        <v>6957.96</v>
      </c>
      <c r="D678">
        <v>6450</v>
      </c>
      <c r="E678">
        <v>6677.43</v>
      </c>
      <c r="F678">
        <v>132155.73498899999</v>
      </c>
      <c r="G678">
        <v>-1</v>
      </c>
      <c r="L678" t="s">
        <v>8</v>
      </c>
      <c r="M678" t="s">
        <v>8</v>
      </c>
      <c r="N678" t="s">
        <v>8</v>
      </c>
      <c r="P678">
        <f t="shared" si="995"/>
        <v>-0.10453579021970126</v>
      </c>
      <c r="Q678">
        <f t="shared" si="996"/>
        <v>-13815.004189140536</v>
      </c>
      <c r="R678">
        <f t="shared" si="997"/>
        <v>2292566.5773183396</v>
      </c>
      <c r="S678">
        <f t="shared" si="998"/>
        <v>22.925665773183397</v>
      </c>
      <c r="T678">
        <f t="shared" si="999"/>
        <v>2.2925665773183397E-2</v>
      </c>
    </row>
    <row r="679" spans="1:20" x14ac:dyDescent="0.25">
      <c r="A679" s="5">
        <v>43914</v>
      </c>
      <c r="B679">
        <v>6465.25</v>
      </c>
      <c r="C679">
        <v>6833</v>
      </c>
      <c r="D679">
        <v>6371.33</v>
      </c>
      <c r="E679">
        <v>6744.72</v>
      </c>
      <c r="F679">
        <v>151138.00987800001</v>
      </c>
      <c r="G679">
        <v>4.32</v>
      </c>
      <c r="L679" t="s">
        <v>8</v>
      </c>
      <c r="M679" t="s">
        <v>7</v>
      </c>
      <c r="N679" t="s">
        <v>8</v>
      </c>
      <c r="P679">
        <f t="shared" si="995"/>
        <v>0.61756232806983458</v>
      </c>
      <c r="Q679">
        <f t="shared" si="996"/>
        <v>93337.141240099343</v>
      </c>
      <c r="R679">
        <f t="shared" si="997"/>
        <v>2306381.5815074802</v>
      </c>
      <c r="S679">
        <f t="shared" si="998"/>
        <v>23.063815815074804</v>
      </c>
      <c r="T679">
        <f t="shared" si="999"/>
        <v>2.3063815815074804E-2</v>
      </c>
    </row>
    <row r="680" spans="1:20" x14ac:dyDescent="0.25">
      <c r="A680" s="5">
        <v>43913</v>
      </c>
      <c r="B680">
        <v>5816.05</v>
      </c>
      <c r="C680">
        <v>6600</v>
      </c>
      <c r="D680">
        <v>5688</v>
      </c>
      <c r="E680">
        <v>6467.31</v>
      </c>
      <c r="F680">
        <v>164674.21578500001</v>
      </c>
      <c r="G680">
        <v>11.2</v>
      </c>
      <c r="L680" t="s">
        <v>7</v>
      </c>
      <c r="M680" t="s">
        <v>7</v>
      </c>
      <c r="N680" t="s">
        <v>8</v>
      </c>
      <c r="P680">
        <f t="shared" si="995"/>
        <v>0.70901315789473773</v>
      </c>
      <c r="Q680">
        <f t="shared" si="996"/>
        <v>116756.18575756233</v>
      </c>
      <c r="R680">
        <f t="shared" si="997"/>
        <v>2213044.4402673808</v>
      </c>
      <c r="S680">
        <f t="shared" si="998"/>
        <v>22.13044440267381</v>
      </c>
      <c r="T680">
        <f t="shared" si="999"/>
        <v>2.213044440267381E-2</v>
      </c>
    </row>
    <row r="681" spans="1:20" x14ac:dyDescent="0.25">
      <c r="A681" s="5">
        <v>43912</v>
      </c>
      <c r="B681">
        <v>6187.04</v>
      </c>
      <c r="C681">
        <v>6407.87</v>
      </c>
      <c r="D681">
        <v>5734.01</v>
      </c>
      <c r="E681">
        <v>5816.19</v>
      </c>
      <c r="F681">
        <v>119115.990527</v>
      </c>
      <c r="G681">
        <v>-5.99</v>
      </c>
      <c r="L681" t="s">
        <v>7</v>
      </c>
      <c r="M681" t="s">
        <v>7</v>
      </c>
      <c r="N681" t="s">
        <v>8</v>
      </c>
      <c r="P681">
        <f t="shared" si="995"/>
        <v>-0.75609176980381854</v>
      </c>
      <c r="Q681">
        <f t="shared" si="996"/>
        <v>-90062.620089494318</v>
      </c>
      <c r="R681">
        <f t="shared" si="997"/>
        <v>2096288.2545098185</v>
      </c>
      <c r="S681">
        <f t="shared" si="998"/>
        <v>20.962882545098186</v>
      </c>
      <c r="T681">
        <f t="shared" si="999"/>
        <v>2.0962882545098184E-2</v>
      </c>
    </row>
    <row r="682" spans="1:20" x14ac:dyDescent="0.25">
      <c r="A682" s="5">
        <v>43911</v>
      </c>
      <c r="B682">
        <v>6204.57</v>
      </c>
      <c r="C682">
        <v>6456.98</v>
      </c>
      <c r="D682">
        <v>5860.02</v>
      </c>
      <c r="E682">
        <v>6186.98</v>
      </c>
      <c r="F682">
        <v>128913.668363</v>
      </c>
      <c r="G682">
        <v>-0.28000000000000003</v>
      </c>
      <c r="L682" t="s">
        <v>7</v>
      </c>
      <c r="M682" t="s">
        <v>7</v>
      </c>
      <c r="N682" t="s">
        <v>8</v>
      </c>
      <c r="P682">
        <f t="shared" si="995"/>
        <v>9.541677834360629E-2</v>
      </c>
      <c r="Q682">
        <f t="shared" si="996"/>
        <v>12300.526919653543</v>
      </c>
      <c r="R682">
        <f t="shared" si="997"/>
        <v>2186350.8745993129</v>
      </c>
      <c r="S682">
        <f t="shared" si="998"/>
        <v>21.86350874599313</v>
      </c>
      <c r="T682">
        <f t="shared" si="999"/>
        <v>2.1863508745993129E-2</v>
      </c>
    </row>
    <row r="683" spans="1:20" x14ac:dyDescent="0.25">
      <c r="A683" s="5">
        <v>43910</v>
      </c>
      <c r="B683">
        <v>6162.05</v>
      </c>
      <c r="C683">
        <v>6900</v>
      </c>
      <c r="D683">
        <v>5670</v>
      </c>
      <c r="E683">
        <v>6208.36</v>
      </c>
      <c r="F683">
        <v>219298.32951400001</v>
      </c>
      <c r="G683">
        <v>0.75</v>
      </c>
      <c r="L683" t="s">
        <v>8</v>
      </c>
      <c r="M683" t="s">
        <v>8</v>
      </c>
      <c r="N683" t="s">
        <v>8</v>
      </c>
      <c r="P683">
        <f t="shared" si="995"/>
        <v>-0.12461788617886232</v>
      </c>
      <c r="Q683">
        <f t="shared" si="996"/>
        <v>-27328.494266590296</v>
      </c>
      <c r="R683">
        <f t="shared" si="997"/>
        <v>2174050.3476796593</v>
      </c>
      <c r="S683">
        <f t="shared" si="998"/>
        <v>21.740503476796594</v>
      </c>
      <c r="T683">
        <f t="shared" si="999"/>
        <v>2.1740503476796593E-2</v>
      </c>
    </row>
    <row r="684" spans="1:20" x14ac:dyDescent="0.25">
      <c r="A684" s="5">
        <v>43909</v>
      </c>
      <c r="B684">
        <v>5393.26</v>
      </c>
      <c r="C684">
        <v>6400</v>
      </c>
      <c r="D684">
        <v>5252.53</v>
      </c>
      <c r="E684">
        <v>6162.37</v>
      </c>
      <c r="F684">
        <v>199020.87343899999</v>
      </c>
      <c r="G684">
        <v>14.26</v>
      </c>
      <c r="L684" t="s">
        <v>8</v>
      </c>
      <c r="M684" t="s">
        <v>8</v>
      </c>
      <c r="N684" t="s">
        <v>8</v>
      </c>
      <c r="P684">
        <f t="shared" si="995"/>
        <v>0.58581923710423789</v>
      </c>
      <c r="Q684">
        <f t="shared" si="996"/>
        <v>116590.25624585405</v>
      </c>
      <c r="R684">
        <f t="shared" si="997"/>
        <v>2201378.8419462494</v>
      </c>
      <c r="S684">
        <f t="shared" si="998"/>
        <v>22.013788419462493</v>
      </c>
      <c r="T684">
        <f t="shared" si="999"/>
        <v>2.2013788419462492E-2</v>
      </c>
    </row>
    <row r="685" spans="1:20" x14ac:dyDescent="0.25">
      <c r="A685" s="5">
        <v>43908</v>
      </c>
      <c r="B685">
        <v>5312.64</v>
      </c>
      <c r="C685">
        <v>5436.17</v>
      </c>
      <c r="D685">
        <v>5009.37</v>
      </c>
      <c r="E685">
        <v>5393.04</v>
      </c>
      <c r="F685">
        <v>137127.63489399999</v>
      </c>
      <c r="G685">
        <v>1.51</v>
      </c>
      <c r="L685" t="s">
        <v>7</v>
      </c>
      <c r="M685" t="s">
        <v>8</v>
      </c>
      <c r="N685" t="s">
        <v>8</v>
      </c>
      <c r="P685">
        <f t="shared" si="995"/>
        <v>0.79789128397375775</v>
      </c>
      <c r="Q685">
        <f t="shared" si="996"/>
        <v>109412.94467385832</v>
      </c>
      <c r="R685">
        <f t="shared" si="997"/>
        <v>2084788.5857003955</v>
      </c>
      <c r="S685">
        <f t="shared" si="998"/>
        <v>20.847885857003956</v>
      </c>
      <c r="T685">
        <f t="shared" si="999"/>
        <v>2.0847885857003954E-2</v>
      </c>
    </row>
    <row r="686" spans="1:20" x14ac:dyDescent="0.25">
      <c r="A686" s="5">
        <v>43907</v>
      </c>
      <c r="B686">
        <v>5028.8599999999997</v>
      </c>
      <c r="C686">
        <v>5525</v>
      </c>
      <c r="D686">
        <v>4921.45</v>
      </c>
      <c r="E686">
        <v>5312.64</v>
      </c>
      <c r="F686">
        <v>150089.92631800001</v>
      </c>
      <c r="G686">
        <v>5.64</v>
      </c>
      <c r="L686" t="s">
        <v>8</v>
      </c>
      <c r="M686" t="s">
        <v>8</v>
      </c>
      <c r="N686" t="s">
        <v>8</v>
      </c>
      <c r="P686">
        <f t="shared" si="995"/>
        <v>0.29629690994946695</v>
      </c>
      <c r="Q686">
        <f t="shared" si="996"/>
        <v>44471.181382566581</v>
      </c>
      <c r="R686">
        <f t="shared" si="997"/>
        <v>1975375.6410265372</v>
      </c>
      <c r="S686">
        <f t="shared" si="998"/>
        <v>19.753756410265371</v>
      </c>
      <c r="T686">
        <f t="shared" si="999"/>
        <v>1.9753756410265371E-2</v>
      </c>
    </row>
    <row r="687" spans="1:20" x14ac:dyDescent="0.25">
      <c r="A687" s="5">
        <v>43906</v>
      </c>
      <c r="B687">
        <v>5360.33</v>
      </c>
      <c r="C687">
        <v>5365.42</v>
      </c>
      <c r="D687">
        <v>4442.12</v>
      </c>
      <c r="E687">
        <v>5028.97</v>
      </c>
      <c r="F687">
        <v>227276.92275999999</v>
      </c>
      <c r="G687">
        <v>-6.18</v>
      </c>
      <c r="L687" t="s">
        <v>7</v>
      </c>
      <c r="M687" t="s">
        <v>7</v>
      </c>
      <c r="N687" t="s">
        <v>8</v>
      </c>
      <c r="P687">
        <f t="shared" si="995"/>
        <v>0.27120112639445521</v>
      </c>
      <c r="Q687">
        <f t="shared" si="996"/>
        <v>61637.757455977589</v>
      </c>
      <c r="R687">
        <f t="shared" si="997"/>
        <v>1930904.4596439705</v>
      </c>
      <c r="S687">
        <f t="shared" si="998"/>
        <v>19.309044596439705</v>
      </c>
      <c r="T687">
        <f t="shared" si="999"/>
        <v>1.9309044596439704E-2</v>
      </c>
    </row>
    <row r="688" spans="1:20" x14ac:dyDescent="0.25">
      <c r="A688" s="5">
        <v>43905</v>
      </c>
      <c r="B688">
        <v>5172.4799999999996</v>
      </c>
      <c r="C688">
        <v>5940</v>
      </c>
      <c r="D688">
        <v>5093.1000000000004</v>
      </c>
      <c r="E688">
        <v>5361.3</v>
      </c>
      <c r="F688">
        <v>139916.146534</v>
      </c>
      <c r="G688">
        <v>3.65</v>
      </c>
      <c r="L688" t="s">
        <v>8</v>
      </c>
      <c r="M688" t="s">
        <v>8</v>
      </c>
      <c r="N688" t="s">
        <v>8</v>
      </c>
      <c r="P688">
        <f t="shared" si="995"/>
        <v>-0.3666312433581298</v>
      </c>
      <c r="Q688">
        <f t="shared" si="996"/>
        <v>-51297.630769638701</v>
      </c>
      <c r="R688">
        <f t="shared" si="997"/>
        <v>1869266.7021879929</v>
      </c>
      <c r="S688">
        <f t="shared" si="998"/>
        <v>18.692667021879927</v>
      </c>
      <c r="T688">
        <f t="shared" si="999"/>
        <v>1.8692667021879928E-2</v>
      </c>
    </row>
    <row r="689" spans="1:20" x14ac:dyDescent="0.25">
      <c r="A689" s="5">
        <v>43904</v>
      </c>
      <c r="B689">
        <v>5576.05</v>
      </c>
      <c r="C689">
        <v>5640.52</v>
      </c>
      <c r="D689">
        <v>5055.13</v>
      </c>
      <c r="E689">
        <v>5172.0600000000004</v>
      </c>
      <c r="F689">
        <v>136910.135974</v>
      </c>
      <c r="G689">
        <v>-7.25</v>
      </c>
      <c r="L689" t="s">
        <v>8</v>
      </c>
      <c r="M689" t="s">
        <v>8</v>
      </c>
      <c r="N689" t="s">
        <v>8</v>
      </c>
      <c r="P689">
        <f t="shared" si="995"/>
        <v>-0.6005056458087763</v>
      </c>
      <c r="Q689">
        <f t="shared" si="996"/>
        <v>-82215.309620834247</v>
      </c>
      <c r="R689">
        <f t="shared" si="997"/>
        <v>1920564.3329576317</v>
      </c>
      <c r="S689">
        <f t="shared" si="998"/>
        <v>19.205643329576318</v>
      </c>
      <c r="T689">
        <f t="shared" si="999"/>
        <v>1.9205643329576319E-2</v>
      </c>
    </row>
    <row r="690" spans="1:20" x14ac:dyDescent="0.25">
      <c r="A690" s="5">
        <v>43903</v>
      </c>
      <c r="B690">
        <v>4800.01</v>
      </c>
      <c r="C690">
        <v>5955</v>
      </c>
      <c r="D690">
        <v>3782.13</v>
      </c>
      <c r="E690">
        <v>5578.6</v>
      </c>
      <c r="F690">
        <v>402201.67376400001</v>
      </c>
      <c r="G690">
        <v>16.22</v>
      </c>
      <c r="L690" t="s">
        <v>7</v>
      </c>
      <c r="M690" t="s">
        <v>7</v>
      </c>
      <c r="N690" t="s">
        <v>7</v>
      </c>
      <c r="P690">
        <f t="shared" si="995"/>
        <v>0.6535457712610514</v>
      </c>
      <c r="Q690">
        <f t="shared" si="996"/>
        <v>262857.20308257919</v>
      </c>
      <c r="R690">
        <f t="shared" si="997"/>
        <v>2002779.6425784659</v>
      </c>
      <c r="S690">
        <f t="shared" si="998"/>
        <v>20.027796425784658</v>
      </c>
      <c r="T690">
        <f t="shared" si="999"/>
        <v>2.0027796425784658E-2</v>
      </c>
    </row>
    <row r="691" spans="1:20" x14ac:dyDescent="0.25">
      <c r="A691" s="5">
        <v>43902</v>
      </c>
      <c r="B691">
        <v>7934.58</v>
      </c>
      <c r="C691">
        <v>7966.17</v>
      </c>
      <c r="D691">
        <v>4410</v>
      </c>
      <c r="E691">
        <v>4800</v>
      </c>
      <c r="F691">
        <v>261505.608653</v>
      </c>
      <c r="G691">
        <v>-39.51</v>
      </c>
      <c r="L691" t="s">
        <v>7</v>
      </c>
      <c r="M691" t="s">
        <v>7</v>
      </c>
      <c r="N691" t="s">
        <v>7</v>
      </c>
      <c r="P691">
        <f t="shared" si="995"/>
        <v>-0.78066290419186934</v>
      </c>
      <c r="Q691">
        <f t="shared" si="996"/>
        <v>-204147.72791351343</v>
      </c>
      <c r="R691">
        <f t="shared" si="997"/>
        <v>1739922.4394958867</v>
      </c>
      <c r="S691">
        <f t="shared" si="998"/>
        <v>17.399224394958868</v>
      </c>
      <c r="T691">
        <f t="shared" si="999"/>
        <v>1.7399224394958869E-2</v>
      </c>
    </row>
    <row r="692" spans="1:20" x14ac:dyDescent="0.25">
      <c r="A692" s="5">
        <v>43901</v>
      </c>
      <c r="B692">
        <v>7894.57</v>
      </c>
      <c r="C692">
        <v>7980</v>
      </c>
      <c r="D692">
        <v>7590</v>
      </c>
      <c r="E692">
        <v>7934.52</v>
      </c>
      <c r="F692">
        <v>79942.411171999993</v>
      </c>
      <c r="G692">
        <v>0.51</v>
      </c>
      <c r="L692" t="s">
        <v>7</v>
      </c>
      <c r="M692" t="s">
        <v>7</v>
      </c>
      <c r="N692" t="s">
        <v>7</v>
      </c>
      <c r="P692">
        <f t="shared" si="995"/>
        <v>0.76676923076923298</v>
      </c>
      <c r="Q692">
        <f t="shared" si="996"/>
        <v>61297.381120192171</v>
      </c>
      <c r="R692">
        <f t="shared" si="997"/>
        <v>1944070.1674094002</v>
      </c>
      <c r="S692">
        <f t="shared" si="998"/>
        <v>19.440701674094001</v>
      </c>
      <c r="T692">
        <f t="shared" si="999"/>
        <v>1.9440701674094001E-2</v>
      </c>
    </row>
    <row r="693" spans="1:20" x14ac:dyDescent="0.25">
      <c r="A693" s="5">
        <v>43900</v>
      </c>
      <c r="B693">
        <v>7929.87</v>
      </c>
      <c r="C693">
        <v>8149</v>
      </c>
      <c r="D693">
        <v>7728.01</v>
      </c>
      <c r="E693">
        <v>7894.56</v>
      </c>
      <c r="F693">
        <v>86783.443874999997</v>
      </c>
      <c r="G693">
        <v>-0.45</v>
      </c>
      <c r="L693" t="s">
        <v>7</v>
      </c>
      <c r="M693" t="s">
        <v>7</v>
      </c>
      <c r="N693" t="s">
        <v>7</v>
      </c>
      <c r="P693">
        <f t="shared" si="995"/>
        <v>-0.20876980450841937</v>
      </c>
      <c r="Q693">
        <f t="shared" si="996"/>
        <v>-18117.762612351133</v>
      </c>
      <c r="R693">
        <f t="shared" si="997"/>
        <v>1882772.7862892081</v>
      </c>
      <c r="S693">
        <f t="shared" si="998"/>
        <v>18.827727862892083</v>
      </c>
      <c r="T693">
        <f t="shared" si="999"/>
        <v>1.8827727862892083E-2</v>
      </c>
    </row>
    <row r="694" spans="1:20" x14ac:dyDescent="0.25">
      <c r="A694" s="5">
        <v>43899</v>
      </c>
      <c r="B694">
        <v>8034.76</v>
      </c>
      <c r="C694">
        <v>8179.31</v>
      </c>
      <c r="D694">
        <v>7632.01</v>
      </c>
      <c r="E694">
        <v>7929.87</v>
      </c>
      <c r="F694">
        <v>116968.863268</v>
      </c>
      <c r="G694">
        <v>-1.31</v>
      </c>
      <c r="L694" t="s">
        <v>7</v>
      </c>
      <c r="M694" t="s">
        <v>7</v>
      </c>
      <c r="N694" t="s">
        <v>7</v>
      </c>
      <c r="P694">
        <f t="shared" si="995"/>
        <v>8.8470674218891182E-2</v>
      </c>
      <c r="Q694">
        <f t="shared" si="996"/>
        <v>10348.314195937255</v>
      </c>
      <c r="R694">
        <f t="shared" si="997"/>
        <v>1900890.5489015593</v>
      </c>
      <c r="S694">
        <f t="shared" si="998"/>
        <v>19.008905489015593</v>
      </c>
      <c r="T694">
        <f t="shared" si="999"/>
        <v>1.9008905489015591E-2</v>
      </c>
    </row>
    <row r="695" spans="1:20" x14ac:dyDescent="0.25">
      <c r="A695" s="5">
        <v>43898</v>
      </c>
      <c r="B695">
        <v>8885.25</v>
      </c>
      <c r="C695">
        <v>8886.76</v>
      </c>
      <c r="D695">
        <v>8000</v>
      </c>
      <c r="E695">
        <v>8033.31</v>
      </c>
      <c r="F695">
        <v>77537.315166</v>
      </c>
      <c r="G695">
        <v>-9.59</v>
      </c>
      <c r="L695" t="s">
        <v>7</v>
      </c>
      <c r="M695" t="s">
        <v>7</v>
      </c>
      <c r="N695" t="s">
        <v>8</v>
      </c>
      <c r="P695">
        <f t="shared" si="995"/>
        <v>-0.92487256980468135</v>
      </c>
      <c r="Q695">
        <f t="shared" si="996"/>
        <v>-71712.135933333921</v>
      </c>
      <c r="R695">
        <f t="shared" si="997"/>
        <v>1890542.2347056221</v>
      </c>
      <c r="S695">
        <f t="shared" si="998"/>
        <v>18.90542234705622</v>
      </c>
      <c r="T695">
        <f t="shared" si="999"/>
        <v>1.8905422347056219E-2</v>
      </c>
    </row>
    <row r="696" spans="1:20" x14ac:dyDescent="0.25">
      <c r="A696" s="5">
        <v>43897</v>
      </c>
      <c r="B696">
        <v>9130.89</v>
      </c>
      <c r="C696">
        <v>9188</v>
      </c>
      <c r="D696">
        <v>8835</v>
      </c>
      <c r="E696">
        <v>8886.66</v>
      </c>
      <c r="F696">
        <v>45422.204525000001</v>
      </c>
      <c r="G696">
        <v>-2.67</v>
      </c>
      <c r="L696" t="s">
        <v>8</v>
      </c>
      <c r="M696" t="s">
        <v>7</v>
      </c>
      <c r="N696" t="s">
        <v>8</v>
      </c>
      <c r="P696">
        <f t="shared" si="995"/>
        <v>-0.70730878186968926</v>
      </c>
      <c r="Q696">
        <f t="shared" si="996"/>
        <v>-32127.52415241364</v>
      </c>
      <c r="R696">
        <f t="shared" si="997"/>
        <v>1962254.3706389561</v>
      </c>
      <c r="S696">
        <f t="shared" si="998"/>
        <v>19.62254370638956</v>
      </c>
      <c r="T696">
        <f t="shared" si="999"/>
        <v>1.9622543706389561E-2</v>
      </c>
    </row>
    <row r="697" spans="1:20" x14ac:dyDescent="0.25">
      <c r="A697" s="5">
        <v>43896</v>
      </c>
      <c r="B697">
        <v>9054.64</v>
      </c>
      <c r="C697">
        <v>9170</v>
      </c>
      <c r="D697">
        <v>8985.5</v>
      </c>
      <c r="E697">
        <v>9131.8799999999992</v>
      </c>
      <c r="F697">
        <v>43782.948043999997</v>
      </c>
      <c r="G697">
        <v>0.85</v>
      </c>
      <c r="L697" t="s">
        <v>8</v>
      </c>
      <c r="M697" t="s">
        <v>7</v>
      </c>
      <c r="N697" t="s">
        <v>8</v>
      </c>
      <c r="P697">
        <f t="shared" si="995"/>
        <v>0.58677506775066879</v>
      </c>
      <c r="Q697">
        <f t="shared" si="996"/>
        <v>25690.742304842111</v>
      </c>
      <c r="R697">
        <f t="shared" si="997"/>
        <v>1994381.8947913698</v>
      </c>
      <c r="S697">
        <f t="shared" si="998"/>
        <v>19.943818947913698</v>
      </c>
      <c r="T697">
        <f t="shared" si="999"/>
        <v>1.9943818947913697E-2</v>
      </c>
    </row>
    <row r="698" spans="1:20" x14ac:dyDescent="0.25">
      <c r="A698" s="5">
        <v>43895</v>
      </c>
      <c r="B698">
        <v>8750.99</v>
      </c>
      <c r="C698">
        <v>9159.42</v>
      </c>
      <c r="D698">
        <v>8746.5400000000009</v>
      </c>
      <c r="E698">
        <v>9054.68</v>
      </c>
      <c r="F698">
        <v>58201.866354999998</v>
      </c>
      <c r="G698">
        <v>3.47</v>
      </c>
      <c r="L698" t="s">
        <v>8</v>
      </c>
      <c r="M698" t="s">
        <v>7</v>
      </c>
      <c r="N698" t="s">
        <v>8</v>
      </c>
      <c r="P698">
        <f t="shared" si="995"/>
        <v>0.49263708583607835</v>
      </c>
      <c r="Q698">
        <f t="shared" si="996"/>
        <v>28672.397831348095</v>
      </c>
      <c r="R698">
        <f t="shared" si="997"/>
        <v>1968691.1524865276</v>
      </c>
      <c r="S698">
        <f t="shared" si="998"/>
        <v>19.686911524865277</v>
      </c>
      <c r="T698">
        <f t="shared" si="999"/>
        <v>1.9686911524865278E-2</v>
      </c>
    </row>
    <row r="699" spans="1:20" x14ac:dyDescent="0.25">
      <c r="A699" s="5">
        <v>43894</v>
      </c>
      <c r="B699">
        <v>8760.07</v>
      </c>
      <c r="C699">
        <v>8848.2900000000009</v>
      </c>
      <c r="D699">
        <v>8660</v>
      </c>
      <c r="E699">
        <v>8750.8700000000008</v>
      </c>
      <c r="F699">
        <v>38696.482578000003</v>
      </c>
      <c r="G699">
        <v>-0.11</v>
      </c>
      <c r="L699" t="s">
        <v>7</v>
      </c>
      <c r="M699" t="s">
        <v>7</v>
      </c>
      <c r="N699" t="s">
        <v>8</v>
      </c>
      <c r="P699">
        <f t="shared" si="995"/>
        <v>-3.4786765096389838E-2</v>
      </c>
      <c r="Q699">
        <f t="shared" si="996"/>
        <v>-1346.125449497428</v>
      </c>
      <c r="R699">
        <f t="shared" si="997"/>
        <v>1940018.7546551796</v>
      </c>
      <c r="S699">
        <f t="shared" si="998"/>
        <v>19.400187546551795</v>
      </c>
      <c r="T699">
        <f t="shared" si="999"/>
        <v>1.9400187546551796E-2</v>
      </c>
    </row>
    <row r="700" spans="1:20" x14ac:dyDescent="0.25">
      <c r="A700" s="5">
        <v>43893</v>
      </c>
      <c r="B700">
        <v>8911.18</v>
      </c>
      <c r="C700">
        <v>8919.65</v>
      </c>
      <c r="D700">
        <v>8651</v>
      </c>
      <c r="E700">
        <v>8760.07</v>
      </c>
      <c r="F700">
        <v>55154.997281999997</v>
      </c>
      <c r="G700">
        <v>-1.7</v>
      </c>
      <c r="L700" t="s">
        <v>7</v>
      </c>
      <c r="M700" t="s">
        <v>7</v>
      </c>
      <c r="N700" t="s">
        <v>8</v>
      </c>
      <c r="P700">
        <f t="shared" si="995"/>
        <v>-0.18801414479806547</v>
      </c>
      <c r="Q700">
        <f t="shared" si="996"/>
        <v>-10369.919645314854</v>
      </c>
      <c r="R700">
        <f t="shared" si="997"/>
        <v>1941364.8801046771</v>
      </c>
      <c r="S700">
        <f t="shared" si="998"/>
        <v>19.413648801046772</v>
      </c>
      <c r="T700">
        <f t="shared" si="999"/>
        <v>1.9413648801046773E-2</v>
      </c>
    </row>
    <row r="701" spans="1:20" x14ac:dyDescent="0.25">
      <c r="A701" s="5">
        <v>43892</v>
      </c>
      <c r="B701">
        <v>8530.2999999999993</v>
      </c>
      <c r="C701">
        <v>8965.75</v>
      </c>
      <c r="D701">
        <v>8498</v>
      </c>
      <c r="E701">
        <v>8915.24</v>
      </c>
      <c r="F701">
        <v>60401.317730000002</v>
      </c>
      <c r="G701">
        <v>4.51</v>
      </c>
      <c r="L701" t="s">
        <v>7</v>
      </c>
      <c r="M701" t="s">
        <v>7</v>
      </c>
      <c r="N701" t="s">
        <v>8</v>
      </c>
      <c r="P701">
        <f t="shared" si="995"/>
        <v>0.78402993051843839</v>
      </c>
      <c r="Q701">
        <f t="shared" si="996"/>
        <v>47356.44094307402</v>
      </c>
      <c r="R701">
        <f t="shared" si="997"/>
        <v>1951734.7997499919</v>
      </c>
      <c r="S701">
        <f t="shared" si="998"/>
        <v>19.517347997499918</v>
      </c>
      <c r="T701">
        <f t="shared" si="999"/>
        <v>1.9517347997499917E-2</v>
      </c>
    </row>
    <row r="702" spans="1:20" x14ac:dyDescent="0.25">
      <c r="A702" s="5">
        <v>43891</v>
      </c>
      <c r="B702">
        <v>8523.61</v>
      </c>
      <c r="C702">
        <v>8750</v>
      </c>
      <c r="D702">
        <v>8411</v>
      </c>
      <c r="E702">
        <v>8531.8799999999992</v>
      </c>
      <c r="F702">
        <v>43892.201779000003</v>
      </c>
      <c r="G702">
        <v>0.1</v>
      </c>
      <c r="L702" t="s">
        <v>7</v>
      </c>
      <c r="M702" t="s">
        <v>7</v>
      </c>
      <c r="N702" t="s">
        <v>8</v>
      </c>
      <c r="P702">
        <f t="shared" si="995"/>
        <v>-0.28684365781711385</v>
      </c>
      <c r="Q702">
        <f t="shared" si="996"/>
        <v>-12590.199707935193</v>
      </c>
      <c r="R702">
        <f t="shared" si="997"/>
        <v>1904378.3588069179</v>
      </c>
      <c r="S702">
        <f t="shared" si="998"/>
        <v>19.043783588069179</v>
      </c>
      <c r="T702">
        <f t="shared" si="999"/>
        <v>1.9043783588069178E-2</v>
      </c>
    </row>
    <row r="703" spans="1:20" x14ac:dyDescent="0.25">
      <c r="A703" s="5">
        <v>43890</v>
      </c>
      <c r="B703">
        <v>8690.7999999999993</v>
      </c>
      <c r="C703">
        <v>8790</v>
      </c>
      <c r="D703">
        <v>8523.5499999999993</v>
      </c>
      <c r="E703">
        <v>8523.61</v>
      </c>
      <c r="F703">
        <v>36748.183035000002</v>
      </c>
      <c r="G703">
        <v>-1.92</v>
      </c>
      <c r="L703" t="s">
        <v>7</v>
      </c>
      <c r="M703" t="s">
        <v>7</v>
      </c>
      <c r="N703" t="s">
        <v>8</v>
      </c>
      <c r="P703">
        <f t="shared" si="995"/>
        <v>-0.99954963407767827</v>
      </c>
      <c r="Q703">
        <f t="shared" si="996"/>
        <v>-36731.632905653794</v>
      </c>
      <c r="R703">
        <f t="shared" si="997"/>
        <v>1916968.558514853</v>
      </c>
      <c r="S703">
        <f t="shared" si="998"/>
        <v>19.169685585148532</v>
      </c>
      <c r="T703">
        <f t="shared" si="999"/>
        <v>1.9169685585148533E-2</v>
      </c>
    </row>
    <row r="704" spans="1:20" x14ac:dyDescent="0.25">
      <c r="A704" s="5">
        <v>43889</v>
      </c>
      <c r="B704">
        <v>8823.25</v>
      </c>
      <c r="C704">
        <v>8900</v>
      </c>
      <c r="D704">
        <v>8445</v>
      </c>
      <c r="E704">
        <v>8692.91</v>
      </c>
      <c r="F704">
        <v>71155.208977000002</v>
      </c>
      <c r="G704">
        <v>-1.48</v>
      </c>
      <c r="L704" t="s">
        <v>7</v>
      </c>
      <c r="M704" t="s">
        <v>7</v>
      </c>
      <c r="N704" t="s">
        <v>8</v>
      </c>
      <c r="P704">
        <f t="shared" si="995"/>
        <v>8.971428571428508E-2</v>
      </c>
      <c r="Q704">
        <f t="shared" si="996"/>
        <v>6383.6387482222408</v>
      </c>
      <c r="R704">
        <f t="shared" si="997"/>
        <v>1953700.1914205067</v>
      </c>
      <c r="S704">
        <f t="shared" si="998"/>
        <v>19.537001914205067</v>
      </c>
      <c r="T704">
        <f t="shared" si="999"/>
        <v>1.9537001914205068E-2</v>
      </c>
    </row>
    <row r="705" spans="1:20" x14ac:dyDescent="0.25">
      <c r="A705" s="5">
        <v>43888</v>
      </c>
      <c r="B705">
        <v>8786</v>
      </c>
      <c r="C705">
        <v>8971.77</v>
      </c>
      <c r="D705">
        <v>8531</v>
      </c>
      <c r="E705">
        <v>8823.2099999999991</v>
      </c>
      <c r="F705">
        <v>72483.578762000005</v>
      </c>
      <c r="G705">
        <v>0.42</v>
      </c>
      <c r="L705" t="s">
        <v>7</v>
      </c>
      <c r="M705" t="s">
        <v>7</v>
      </c>
      <c r="N705" t="s">
        <v>8</v>
      </c>
      <c r="P705">
        <f t="shared" si="995"/>
        <v>0.32590693558998496</v>
      </c>
      <c r="Q705">
        <f t="shared" si="996"/>
        <v>23622.901034918737</v>
      </c>
      <c r="R705">
        <f t="shared" si="997"/>
        <v>1947316.5526722844</v>
      </c>
      <c r="S705">
        <f t="shared" si="998"/>
        <v>19.473165526722845</v>
      </c>
      <c r="T705">
        <f t="shared" si="999"/>
        <v>1.9473165526722843E-2</v>
      </c>
    </row>
    <row r="706" spans="1:20" x14ac:dyDescent="0.25">
      <c r="A706" s="5">
        <v>43887</v>
      </c>
      <c r="B706">
        <v>9316.48</v>
      </c>
      <c r="C706">
        <v>9377.44</v>
      </c>
      <c r="D706">
        <v>8633.6299999999992</v>
      </c>
      <c r="E706">
        <v>8785.25</v>
      </c>
      <c r="F706">
        <v>92130.345482000004</v>
      </c>
      <c r="G706">
        <v>-5.7</v>
      </c>
      <c r="L706" t="s">
        <v>7</v>
      </c>
      <c r="M706" t="s">
        <v>7</v>
      </c>
      <c r="N706" t="s">
        <v>8</v>
      </c>
      <c r="P706">
        <f t="shared" si="995"/>
        <v>-0.59231524179561845</v>
      </c>
      <c r="Q706">
        <f t="shared" si="996"/>
        <v>-54570.207860884693</v>
      </c>
      <c r="R706">
        <f t="shared" si="997"/>
        <v>1923693.6516373656</v>
      </c>
      <c r="S706">
        <f t="shared" si="998"/>
        <v>19.236936516373657</v>
      </c>
      <c r="T706">
        <f t="shared" si="999"/>
        <v>1.9236936516373655E-2</v>
      </c>
    </row>
    <row r="707" spans="1:20" x14ac:dyDescent="0.25">
      <c r="A707" s="5">
        <v>43886</v>
      </c>
      <c r="B707">
        <v>9655.52</v>
      </c>
      <c r="C707">
        <v>9675</v>
      </c>
      <c r="D707">
        <v>9250</v>
      </c>
      <c r="E707">
        <v>9315.84</v>
      </c>
      <c r="F707">
        <v>54379.344552000002</v>
      </c>
      <c r="G707">
        <v>-3.52</v>
      </c>
      <c r="L707" t="s">
        <v>7</v>
      </c>
      <c r="M707" t="s">
        <v>8</v>
      </c>
      <c r="N707" t="s">
        <v>8</v>
      </c>
      <c r="P707">
        <f t="shared" si="995"/>
        <v>-0.69016470588235224</v>
      </c>
      <c r="Q707">
        <f t="shared" si="996"/>
        <v>-37530.704338806172</v>
      </c>
      <c r="R707">
        <f t="shared" si="997"/>
        <v>1978263.8594982503</v>
      </c>
      <c r="S707">
        <f t="shared" si="998"/>
        <v>19.782638594982505</v>
      </c>
      <c r="T707">
        <f t="shared" si="999"/>
        <v>1.9782638594982506E-2</v>
      </c>
    </row>
    <row r="708" spans="1:20" x14ac:dyDescent="0.25">
      <c r="A708" s="5">
        <v>43885</v>
      </c>
      <c r="B708">
        <v>9936.4</v>
      </c>
      <c r="C708">
        <v>9990</v>
      </c>
      <c r="D708">
        <v>9473.56</v>
      </c>
      <c r="E708">
        <v>9656.1299999999992</v>
      </c>
      <c r="F708">
        <v>55796.596120000002</v>
      </c>
      <c r="G708">
        <v>-2.82</v>
      </c>
      <c r="L708" t="s">
        <v>8</v>
      </c>
      <c r="M708" t="s">
        <v>8</v>
      </c>
      <c r="N708" t="s">
        <v>8</v>
      </c>
      <c r="P708">
        <f t="shared" si="995"/>
        <v>-0.29296723723956497</v>
      </c>
      <c r="Q708">
        <f t="shared" si="996"/>
        <v>-16346.574612648232</v>
      </c>
      <c r="R708">
        <f t="shared" si="997"/>
        <v>2015794.5638370565</v>
      </c>
      <c r="S708">
        <f t="shared" si="998"/>
        <v>20.157945638370567</v>
      </c>
      <c r="T708">
        <f t="shared" si="999"/>
        <v>2.0157945638370568E-2</v>
      </c>
    </row>
    <row r="709" spans="1:20" x14ac:dyDescent="0.25">
      <c r="A709" s="5">
        <v>43884</v>
      </c>
      <c r="B709">
        <v>9650.85</v>
      </c>
      <c r="C709">
        <v>9990</v>
      </c>
      <c r="D709">
        <v>9645</v>
      </c>
      <c r="E709">
        <v>9936.4</v>
      </c>
      <c r="F709">
        <v>37702.089843000002</v>
      </c>
      <c r="G709">
        <v>2.96</v>
      </c>
      <c r="L709" t="s">
        <v>8</v>
      </c>
      <c r="M709" t="s">
        <v>8</v>
      </c>
      <c r="N709" t="s">
        <v>8</v>
      </c>
      <c r="P709">
        <f t="shared" si="995"/>
        <v>0.68927536231883846</v>
      </c>
      <c r="Q709">
        <f t="shared" si="996"/>
        <v>25987.121636711225</v>
      </c>
      <c r="R709">
        <f t="shared" si="997"/>
        <v>2032141.1384497047</v>
      </c>
      <c r="S709">
        <f t="shared" si="998"/>
        <v>20.321411384497047</v>
      </c>
      <c r="T709">
        <f t="shared" si="999"/>
        <v>2.0321411384497046E-2</v>
      </c>
    </row>
    <row r="710" spans="1:20" x14ac:dyDescent="0.25">
      <c r="A710" s="5">
        <v>43883</v>
      </c>
      <c r="B710">
        <v>9677.0499999999993</v>
      </c>
      <c r="C710">
        <v>9709.17</v>
      </c>
      <c r="D710">
        <v>9560.02</v>
      </c>
      <c r="E710">
        <v>9650.86</v>
      </c>
      <c r="F710">
        <v>24636.757623000001</v>
      </c>
      <c r="G710">
        <v>-0.27</v>
      </c>
      <c r="L710" t="s">
        <v>7</v>
      </c>
      <c r="M710" t="s">
        <v>8</v>
      </c>
      <c r="N710" t="s">
        <v>8</v>
      </c>
      <c r="P710">
        <f t="shared" ref="P710:P766" si="1000">IF(C710=D710,0,((E710-D710)-(C710-E710))/(C710-D710))</f>
        <v>0.21810258129400426</v>
      </c>
      <c r="Q710">
        <f t="shared" ref="Q710:Q766" si="1001">F710*P710</f>
        <v>5373.3404322910364</v>
      </c>
      <c r="R710">
        <f t="shared" ref="R710:R766" si="1002">R711+Q710</f>
        <v>2006154.0168129934</v>
      </c>
      <c r="S710">
        <f t="shared" ref="S710:S766" si="1003">R710/100000</f>
        <v>20.061540168129934</v>
      </c>
      <c r="T710">
        <f t="shared" ref="T710:T766" si="1004">S710/1000</f>
        <v>2.0061540168129933E-2</v>
      </c>
    </row>
    <row r="711" spans="1:20" x14ac:dyDescent="0.25">
      <c r="A711" s="5">
        <v>43882</v>
      </c>
      <c r="B711">
        <v>9597.2099999999991</v>
      </c>
      <c r="C711">
        <v>9755.51</v>
      </c>
      <c r="D711">
        <v>9550.2099999999991</v>
      </c>
      <c r="E711">
        <v>9677.0499999999993</v>
      </c>
      <c r="F711">
        <v>42181.554523999999</v>
      </c>
      <c r="G711">
        <v>0.83</v>
      </c>
      <c r="L711" t="s">
        <v>7</v>
      </c>
      <c r="M711" t="s">
        <v>8</v>
      </c>
      <c r="N711" t="s">
        <v>8</v>
      </c>
      <c r="P711">
        <f t="shared" si="1000"/>
        <v>0.23565513882123207</v>
      </c>
      <c r="Q711">
        <f t="shared" si="1001"/>
        <v>9940.3000870485903</v>
      </c>
      <c r="R711">
        <f t="shared" si="1002"/>
        <v>2000780.6763807023</v>
      </c>
      <c r="S711">
        <f t="shared" si="1003"/>
        <v>20.007806763807022</v>
      </c>
      <c r="T711">
        <f t="shared" si="1004"/>
        <v>2.0007806763807021E-2</v>
      </c>
    </row>
    <row r="712" spans="1:20" x14ac:dyDescent="0.25">
      <c r="A712" s="5">
        <v>43881</v>
      </c>
      <c r="B712">
        <v>9594.65</v>
      </c>
      <c r="C712">
        <v>9699</v>
      </c>
      <c r="D712">
        <v>9400</v>
      </c>
      <c r="E712">
        <v>9596.42</v>
      </c>
      <c r="F712">
        <v>60152.342914000001</v>
      </c>
      <c r="G712">
        <v>0.02</v>
      </c>
      <c r="L712" t="s">
        <v>7</v>
      </c>
      <c r="M712" t="s">
        <v>8</v>
      </c>
      <c r="N712" t="s">
        <v>8</v>
      </c>
      <c r="P712">
        <f t="shared" si="1000"/>
        <v>0.31384615384615433</v>
      </c>
      <c r="Q712">
        <f t="shared" si="1001"/>
        <v>18878.581468393877</v>
      </c>
      <c r="R712">
        <f t="shared" si="1002"/>
        <v>1990840.3762936536</v>
      </c>
      <c r="S712">
        <f t="shared" si="1003"/>
        <v>19.908403762936537</v>
      </c>
      <c r="T712">
        <f t="shared" si="1004"/>
        <v>1.9908403762936538E-2</v>
      </c>
    </row>
    <row r="713" spans="1:20" x14ac:dyDescent="0.25">
      <c r="A713" s="5">
        <v>43880</v>
      </c>
      <c r="B713">
        <v>10164.780000000001</v>
      </c>
      <c r="C713">
        <v>10250</v>
      </c>
      <c r="D713">
        <v>9350</v>
      </c>
      <c r="E713">
        <v>9593.7900000000009</v>
      </c>
      <c r="F713">
        <v>55162.586895</v>
      </c>
      <c r="G713">
        <v>-5.62</v>
      </c>
      <c r="L713" t="s">
        <v>7</v>
      </c>
      <c r="M713" t="s">
        <v>8</v>
      </c>
      <c r="N713" t="s">
        <v>8</v>
      </c>
      <c r="P713">
        <f t="shared" si="1000"/>
        <v>-0.45824444444444251</v>
      </c>
      <c r="Q713">
        <f t="shared" si="1001"/>
        <v>-25277.948985817558</v>
      </c>
      <c r="R713">
        <f t="shared" si="1002"/>
        <v>1971961.7948252598</v>
      </c>
      <c r="S713">
        <f t="shared" si="1003"/>
        <v>19.719617948252598</v>
      </c>
      <c r="T713">
        <f t="shared" si="1004"/>
        <v>1.9719617948252596E-2</v>
      </c>
    </row>
    <row r="714" spans="1:20" x14ac:dyDescent="0.25">
      <c r="A714" s="5">
        <v>43879</v>
      </c>
      <c r="B714">
        <v>9706</v>
      </c>
      <c r="C714">
        <v>10250</v>
      </c>
      <c r="D714">
        <v>9576.01</v>
      </c>
      <c r="E714">
        <v>10164.709999999999</v>
      </c>
      <c r="F714">
        <v>70604.124018999995</v>
      </c>
      <c r="G714">
        <v>4.7300000000000004</v>
      </c>
      <c r="L714" t="s">
        <v>8</v>
      </c>
      <c r="M714" t="s">
        <v>8</v>
      </c>
      <c r="N714" t="s">
        <v>8</v>
      </c>
      <c r="P714">
        <f t="shared" si="1000"/>
        <v>0.74691019154586591</v>
      </c>
      <c r="Q714">
        <f t="shared" si="1001"/>
        <v>52734.939794959355</v>
      </c>
      <c r="R714">
        <f t="shared" si="1002"/>
        <v>1997239.7438110774</v>
      </c>
      <c r="S714">
        <f t="shared" si="1003"/>
        <v>19.972397438110775</v>
      </c>
      <c r="T714">
        <f t="shared" si="1004"/>
        <v>1.9972397438110776E-2</v>
      </c>
    </row>
    <row r="715" spans="1:20" x14ac:dyDescent="0.25">
      <c r="A715" s="5">
        <v>43878</v>
      </c>
      <c r="B715">
        <v>9910.7000000000007</v>
      </c>
      <c r="C715">
        <v>9964.16</v>
      </c>
      <c r="D715">
        <v>9452.67</v>
      </c>
      <c r="E715">
        <v>9706</v>
      </c>
      <c r="F715">
        <v>70261.011901000005</v>
      </c>
      <c r="G715">
        <v>-2.0699999999999998</v>
      </c>
      <c r="L715" t="s">
        <v>7</v>
      </c>
      <c r="M715" t="s">
        <v>8</v>
      </c>
      <c r="N715" t="s">
        <v>8</v>
      </c>
      <c r="P715">
        <f t="shared" si="1000"/>
        <v>-9.4429998631447905E-3</v>
      </c>
      <c r="Q715">
        <f t="shared" si="1001"/>
        <v>-663.47472576555754</v>
      </c>
      <c r="R715">
        <f t="shared" si="1002"/>
        <v>1944504.8040161182</v>
      </c>
      <c r="S715">
        <f t="shared" si="1003"/>
        <v>19.445048040161183</v>
      </c>
      <c r="T715">
        <f t="shared" si="1004"/>
        <v>1.9445048040161183E-2</v>
      </c>
    </row>
    <row r="716" spans="1:20" x14ac:dyDescent="0.25">
      <c r="A716" s="5">
        <v>43877</v>
      </c>
      <c r="B716">
        <v>9904.4599999999991</v>
      </c>
      <c r="C716">
        <v>10050</v>
      </c>
      <c r="D716">
        <v>9638.1200000000008</v>
      </c>
      <c r="E716">
        <v>9917.27</v>
      </c>
      <c r="F716">
        <v>60023.999537000003</v>
      </c>
      <c r="G716">
        <v>0.13</v>
      </c>
      <c r="L716" t="s">
        <v>7</v>
      </c>
      <c r="M716" t="s">
        <v>8</v>
      </c>
      <c r="N716" t="s">
        <v>8</v>
      </c>
      <c r="P716">
        <f t="shared" si="1000"/>
        <v>0.35549189084199367</v>
      </c>
      <c r="Q716">
        <f t="shared" si="1001"/>
        <v>21338.045091307085</v>
      </c>
      <c r="R716">
        <f t="shared" si="1002"/>
        <v>1945168.2787418838</v>
      </c>
      <c r="S716">
        <f t="shared" si="1003"/>
        <v>19.451682787418839</v>
      </c>
      <c r="T716">
        <f t="shared" si="1004"/>
        <v>1.945168278741884E-2</v>
      </c>
    </row>
    <row r="717" spans="1:20" x14ac:dyDescent="0.25">
      <c r="A717" s="5">
        <v>43876</v>
      </c>
      <c r="B717">
        <v>10344.36</v>
      </c>
      <c r="C717">
        <v>10375</v>
      </c>
      <c r="D717">
        <v>9801</v>
      </c>
      <c r="E717">
        <v>9904.7199999999993</v>
      </c>
      <c r="F717">
        <v>57657.202946999998</v>
      </c>
      <c r="G717">
        <v>-4.25</v>
      </c>
      <c r="L717" t="s">
        <v>8</v>
      </c>
      <c r="M717" t="s">
        <v>8</v>
      </c>
      <c r="N717" t="s">
        <v>8</v>
      </c>
      <c r="P717">
        <f t="shared" si="1000"/>
        <v>-0.6386062717770058</v>
      </c>
      <c r="Q717">
        <f t="shared" si="1001"/>
        <v>-36820.251415073857</v>
      </c>
      <c r="R717">
        <f t="shared" si="1002"/>
        <v>1923830.2336505768</v>
      </c>
      <c r="S717">
        <f t="shared" si="1003"/>
        <v>19.238302336505768</v>
      </c>
      <c r="T717">
        <f t="shared" si="1004"/>
        <v>1.9238302336505766E-2</v>
      </c>
    </row>
    <row r="718" spans="1:20" x14ac:dyDescent="0.25">
      <c r="A718" s="5">
        <v>43875</v>
      </c>
      <c r="B718">
        <v>10227.780000000001</v>
      </c>
      <c r="C718">
        <v>10381.56</v>
      </c>
      <c r="D718">
        <v>10111.370000000001</v>
      </c>
      <c r="E718">
        <v>10344.36</v>
      </c>
      <c r="F718">
        <v>47038.480173000004</v>
      </c>
      <c r="G718">
        <v>1.1399999999999999</v>
      </c>
      <c r="L718" t="s">
        <v>8</v>
      </c>
      <c r="M718" t="s">
        <v>8</v>
      </c>
      <c r="N718" t="s">
        <v>8</v>
      </c>
      <c r="P718">
        <f t="shared" si="1000"/>
        <v>0.7246382175506193</v>
      </c>
      <c r="Q718">
        <f t="shared" si="1001"/>
        <v>34085.88042885287</v>
      </c>
      <c r="R718">
        <f t="shared" si="1002"/>
        <v>1960650.4850656507</v>
      </c>
      <c r="S718">
        <f t="shared" si="1003"/>
        <v>19.606504850656506</v>
      </c>
      <c r="T718">
        <f t="shared" si="1004"/>
        <v>1.9606504850656507E-2</v>
      </c>
    </row>
    <row r="719" spans="1:20" x14ac:dyDescent="0.25">
      <c r="A719" s="5">
        <v>43874</v>
      </c>
      <c r="B719">
        <v>10325.33</v>
      </c>
      <c r="C719">
        <v>10500</v>
      </c>
      <c r="D719">
        <v>10080</v>
      </c>
      <c r="E719">
        <v>10229.629999999999</v>
      </c>
      <c r="F719">
        <v>79344.358758999995</v>
      </c>
      <c r="G719">
        <v>-0.93</v>
      </c>
      <c r="L719" t="s">
        <v>8</v>
      </c>
      <c r="M719" t="s">
        <v>8</v>
      </c>
      <c r="N719" t="s">
        <v>8</v>
      </c>
      <c r="P719">
        <f t="shared" si="1000"/>
        <v>-0.28747619047619427</v>
      </c>
      <c r="Q719">
        <f t="shared" si="1001"/>
        <v>-22809.613991813774</v>
      </c>
      <c r="R719">
        <f t="shared" si="1002"/>
        <v>1926564.6046367977</v>
      </c>
      <c r="S719">
        <f t="shared" si="1003"/>
        <v>19.265646046367976</v>
      </c>
      <c r="T719">
        <f t="shared" si="1004"/>
        <v>1.9265646046367976E-2</v>
      </c>
    </row>
    <row r="720" spans="1:20" x14ac:dyDescent="0.25">
      <c r="A720" s="5">
        <v>43873</v>
      </c>
      <c r="B720">
        <v>10223.08</v>
      </c>
      <c r="C720">
        <v>10450</v>
      </c>
      <c r="D720">
        <v>10223.08</v>
      </c>
      <c r="E720">
        <v>10326.459999999999</v>
      </c>
      <c r="F720">
        <v>61008.063929999997</v>
      </c>
      <c r="G720">
        <v>1.01</v>
      </c>
      <c r="L720" t="s">
        <v>8</v>
      </c>
      <c r="M720" t="s">
        <v>8</v>
      </c>
      <c r="N720" t="s">
        <v>8</v>
      </c>
      <c r="P720">
        <f t="shared" si="1000"/>
        <v>-8.8841882601805339E-2</v>
      </c>
      <c r="Q720">
        <f t="shared" si="1001"/>
        <v>-5420.0712534324948</v>
      </c>
      <c r="R720">
        <f t="shared" si="1002"/>
        <v>1949374.2186286114</v>
      </c>
      <c r="S720">
        <f t="shared" si="1003"/>
        <v>19.493742186286113</v>
      </c>
      <c r="T720">
        <f t="shared" si="1004"/>
        <v>1.9493742186286113E-2</v>
      </c>
    </row>
    <row r="721" spans="1:20" x14ac:dyDescent="0.25">
      <c r="A721" s="5">
        <v>43872</v>
      </c>
      <c r="B721">
        <v>9851.74</v>
      </c>
      <c r="C721">
        <v>10323.59</v>
      </c>
      <c r="D721">
        <v>9700</v>
      </c>
      <c r="E721">
        <v>10223.08</v>
      </c>
      <c r="F721">
        <v>62422.395224</v>
      </c>
      <c r="G721">
        <v>3.77</v>
      </c>
      <c r="L721" t="s">
        <v>8</v>
      </c>
      <c r="M721" t="s">
        <v>8</v>
      </c>
      <c r="N721" t="s">
        <v>8</v>
      </c>
      <c r="P721">
        <f t="shared" si="1000"/>
        <v>0.67764075754902997</v>
      </c>
      <c r="Q721">
        <f t="shared" si="1001"/>
        <v>42299.95918761631</v>
      </c>
      <c r="R721">
        <f t="shared" si="1002"/>
        <v>1954794.2898820438</v>
      </c>
      <c r="S721">
        <f t="shared" si="1003"/>
        <v>19.547942898820438</v>
      </c>
      <c r="T721">
        <f t="shared" si="1004"/>
        <v>1.9547942898820437E-2</v>
      </c>
    </row>
    <row r="722" spans="1:20" x14ac:dyDescent="0.25">
      <c r="A722" s="5">
        <v>43871</v>
      </c>
      <c r="B722">
        <v>10151.719999999999</v>
      </c>
      <c r="C722">
        <v>10188</v>
      </c>
      <c r="D722">
        <v>9756</v>
      </c>
      <c r="E722">
        <v>9851.83</v>
      </c>
      <c r="F722">
        <v>59573.084619000001</v>
      </c>
      <c r="G722">
        <v>-2.95</v>
      </c>
      <c r="L722" t="s">
        <v>8</v>
      </c>
      <c r="M722" t="s">
        <v>8</v>
      </c>
      <c r="N722" t="s">
        <v>8</v>
      </c>
      <c r="P722">
        <f t="shared" si="1000"/>
        <v>-0.55634259259259289</v>
      </c>
      <c r="Q722">
        <f t="shared" si="1001"/>
        <v>-33143.044345672381</v>
      </c>
      <c r="R722">
        <f t="shared" si="1002"/>
        <v>1912494.3306944275</v>
      </c>
      <c r="S722">
        <f t="shared" si="1003"/>
        <v>19.124943306944274</v>
      </c>
      <c r="T722">
        <f t="shared" si="1004"/>
        <v>1.9124943306944274E-2</v>
      </c>
    </row>
    <row r="723" spans="1:20" x14ac:dyDescent="0.25">
      <c r="A723" s="5">
        <v>43870</v>
      </c>
      <c r="B723">
        <v>9895.0400000000009</v>
      </c>
      <c r="C723">
        <v>10166</v>
      </c>
      <c r="D723">
        <v>9880.75</v>
      </c>
      <c r="E723">
        <v>10151.75</v>
      </c>
      <c r="F723">
        <v>43408.475616000003</v>
      </c>
      <c r="G723">
        <v>2.59</v>
      </c>
      <c r="L723" t="s">
        <v>8</v>
      </c>
      <c r="M723" t="s">
        <v>8</v>
      </c>
      <c r="N723" t="s">
        <v>8</v>
      </c>
      <c r="P723">
        <f t="shared" si="1000"/>
        <v>0.9000876424189308</v>
      </c>
      <c r="Q723">
        <f t="shared" si="1001"/>
        <v>39071.43247820509</v>
      </c>
      <c r="R723">
        <f t="shared" si="1002"/>
        <v>1945637.3750401</v>
      </c>
      <c r="S723">
        <f t="shared" si="1003"/>
        <v>19.456373750400999</v>
      </c>
      <c r="T723">
        <f t="shared" si="1004"/>
        <v>1.9456373750401001E-2</v>
      </c>
    </row>
    <row r="724" spans="1:20" x14ac:dyDescent="0.25">
      <c r="A724" s="5">
        <v>43869</v>
      </c>
      <c r="B724">
        <v>9813.8700000000008</v>
      </c>
      <c r="C724">
        <v>9940</v>
      </c>
      <c r="D724">
        <v>9667.11</v>
      </c>
      <c r="E724">
        <v>9895.0499999999993</v>
      </c>
      <c r="F724">
        <v>43600.843666000001</v>
      </c>
      <c r="G724">
        <v>0.83</v>
      </c>
      <c r="L724" t="s">
        <v>8</v>
      </c>
      <c r="M724" t="s">
        <v>8</v>
      </c>
      <c r="N724" t="s">
        <v>8</v>
      </c>
      <c r="P724">
        <f t="shared" si="1000"/>
        <v>0.67056323060573253</v>
      </c>
      <c r="Q724">
        <f t="shared" si="1001"/>
        <v>29237.122585808451</v>
      </c>
      <c r="R724">
        <f t="shared" si="1002"/>
        <v>1906565.9425618949</v>
      </c>
      <c r="S724">
        <f t="shared" si="1003"/>
        <v>19.06565942561895</v>
      </c>
      <c r="T724">
        <f t="shared" si="1004"/>
        <v>1.9065659425618948E-2</v>
      </c>
    </row>
    <row r="725" spans="1:20" x14ac:dyDescent="0.25">
      <c r="A725" s="5">
        <v>43868</v>
      </c>
      <c r="B725">
        <v>9772</v>
      </c>
      <c r="C725">
        <v>9885</v>
      </c>
      <c r="D725">
        <v>9730</v>
      </c>
      <c r="E725">
        <v>9813.73</v>
      </c>
      <c r="F725">
        <v>43966.114631999997</v>
      </c>
      <c r="G725">
        <v>0.43</v>
      </c>
      <c r="L725" t="s">
        <v>8</v>
      </c>
      <c r="M725" t="s">
        <v>8</v>
      </c>
      <c r="N725" t="s">
        <v>8</v>
      </c>
      <c r="P725">
        <f t="shared" si="1000"/>
        <v>8.0387096774187913E-2</v>
      </c>
      <c r="Q725">
        <f t="shared" si="1001"/>
        <v>3534.308311707623</v>
      </c>
      <c r="R725">
        <f t="shared" si="1002"/>
        <v>1877328.8199760865</v>
      </c>
      <c r="S725">
        <f t="shared" si="1003"/>
        <v>18.773288199760866</v>
      </c>
      <c r="T725">
        <f t="shared" si="1004"/>
        <v>1.8773288199760867E-2</v>
      </c>
    </row>
    <row r="726" spans="1:20" x14ac:dyDescent="0.25">
      <c r="A726" s="5">
        <v>43867</v>
      </c>
      <c r="B726">
        <v>9612.0300000000007</v>
      </c>
      <c r="C726">
        <v>9862.57</v>
      </c>
      <c r="D726">
        <v>9526.35</v>
      </c>
      <c r="E726">
        <v>9772</v>
      </c>
      <c r="F726">
        <v>64949.706588000001</v>
      </c>
      <c r="G726">
        <v>1.66</v>
      </c>
      <c r="L726" t="s">
        <v>8</v>
      </c>
      <c r="M726" t="s">
        <v>8</v>
      </c>
      <c r="N726" t="s">
        <v>8</v>
      </c>
      <c r="P726">
        <f t="shared" si="1000"/>
        <v>0.46124561299149436</v>
      </c>
      <c r="Q726">
        <f t="shared" si="1001"/>
        <v>29957.767228799759</v>
      </c>
      <c r="R726">
        <f t="shared" si="1002"/>
        <v>1873794.5116643789</v>
      </c>
      <c r="S726">
        <f t="shared" si="1003"/>
        <v>18.73794511664379</v>
      </c>
      <c r="T726">
        <f t="shared" si="1004"/>
        <v>1.8737945116643791E-2</v>
      </c>
    </row>
    <row r="727" spans="1:20" x14ac:dyDescent="0.25">
      <c r="A727" s="5">
        <v>43866</v>
      </c>
      <c r="B727">
        <v>9197.02</v>
      </c>
      <c r="C727">
        <v>9744.4500000000007</v>
      </c>
      <c r="D727">
        <v>9177.2199999999993</v>
      </c>
      <c r="E727">
        <v>9612.0400000000009</v>
      </c>
      <c r="F727">
        <v>64870.415614999998</v>
      </c>
      <c r="G727">
        <v>4.51</v>
      </c>
      <c r="L727" t="s">
        <v>8</v>
      </c>
      <c r="M727" t="s">
        <v>8</v>
      </c>
      <c r="N727" t="s">
        <v>8</v>
      </c>
      <c r="P727">
        <f t="shared" si="1000"/>
        <v>0.53313470726160628</v>
      </c>
      <c r="Q727">
        <f t="shared" si="1001"/>
        <v>34584.670038841759</v>
      </c>
      <c r="R727">
        <f t="shared" si="1002"/>
        <v>1843836.7444355791</v>
      </c>
      <c r="S727">
        <f t="shared" si="1003"/>
        <v>18.438367444355791</v>
      </c>
      <c r="T727">
        <f t="shared" si="1004"/>
        <v>1.8438367444355792E-2</v>
      </c>
    </row>
    <row r="728" spans="1:20" x14ac:dyDescent="0.25">
      <c r="A728" s="5">
        <v>43865</v>
      </c>
      <c r="B728">
        <v>9291.35</v>
      </c>
      <c r="C728">
        <v>9350</v>
      </c>
      <c r="D728">
        <v>9093.01</v>
      </c>
      <c r="E728">
        <v>9197.02</v>
      </c>
      <c r="F728">
        <v>53308.175265999998</v>
      </c>
      <c r="G728">
        <v>-1.02</v>
      </c>
      <c r="L728" t="s">
        <v>8</v>
      </c>
      <c r="M728" t="s">
        <v>8</v>
      </c>
      <c r="N728" t="s">
        <v>8</v>
      </c>
      <c r="P728">
        <f t="shared" si="1000"/>
        <v>-0.19055216156270433</v>
      </c>
      <c r="Q728">
        <f t="shared" si="1001"/>
        <v>-10157.988025899791</v>
      </c>
      <c r="R728">
        <f t="shared" si="1002"/>
        <v>1809252.0743967374</v>
      </c>
      <c r="S728">
        <f t="shared" si="1003"/>
        <v>18.092520743967373</v>
      </c>
      <c r="T728">
        <f t="shared" si="1004"/>
        <v>1.8092520743967375E-2</v>
      </c>
    </row>
    <row r="729" spans="1:20" x14ac:dyDescent="0.25">
      <c r="A729" s="5">
        <v>43864</v>
      </c>
      <c r="B729">
        <v>9331.59</v>
      </c>
      <c r="C729">
        <v>9618.7900000000009</v>
      </c>
      <c r="D729">
        <v>9234</v>
      </c>
      <c r="E729">
        <v>9292.24</v>
      </c>
      <c r="F729">
        <v>50892.133451000002</v>
      </c>
      <c r="G729">
        <v>-0.42</v>
      </c>
      <c r="L729" t="s">
        <v>8</v>
      </c>
      <c r="M729" t="s">
        <v>8</v>
      </c>
      <c r="N729" t="s">
        <v>8</v>
      </c>
      <c r="P729">
        <f t="shared" si="1000"/>
        <v>-0.69728943059851012</v>
      </c>
      <c r="Q729">
        <f t="shared" si="1001"/>
        <v>-35486.546755991178</v>
      </c>
      <c r="R729">
        <f t="shared" si="1002"/>
        <v>1819410.0624226371</v>
      </c>
      <c r="S729">
        <f t="shared" si="1003"/>
        <v>18.194100624226373</v>
      </c>
      <c r="T729">
        <f t="shared" si="1004"/>
        <v>1.8194100624226373E-2</v>
      </c>
    </row>
    <row r="730" spans="1:20" x14ac:dyDescent="0.25">
      <c r="A730" s="5">
        <v>43863</v>
      </c>
      <c r="B730">
        <v>9384.41</v>
      </c>
      <c r="C730">
        <v>9477.0300000000007</v>
      </c>
      <c r="D730">
        <v>9120</v>
      </c>
      <c r="E730">
        <v>9331.51</v>
      </c>
      <c r="F730">
        <v>45690.912539999998</v>
      </c>
      <c r="G730">
        <v>-0.56000000000000005</v>
      </c>
      <c r="L730" t="s">
        <v>8</v>
      </c>
      <c r="M730" t="s">
        <v>8</v>
      </c>
      <c r="N730" t="s">
        <v>8</v>
      </c>
      <c r="P730">
        <f t="shared" si="1000"/>
        <v>0.1848304064084241</v>
      </c>
      <c r="Q730">
        <f t="shared" si="1001"/>
        <v>8445.0699339399616</v>
      </c>
      <c r="R730">
        <f t="shared" si="1002"/>
        <v>1854896.6091786283</v>
      </c>
      <c r="S730">
        <f t="shared" si="1003"/>
        <v>18.548966091786284</v>
      </c>
      <c r="T730">
        <f t="shared" si="1004"/>
        <v>1.8548966091786283E-2</v>
      </c>
    </row>
    <row r="731" spans="1:20" x14ac:dyDescent="0.25">
      <c r="A731" s="5">
        <v>43862</v>
      </c>
      <c r="B731">
        <v>9351.7099999999991</v>
      </c>
      <c r="C731">
        <v>9464.5300000000007</v>
      </c>
      <c r="D731">
        <v>9281</v>
      </c>
      <c r="E731">
        <v>9384.61</v>
      </c>
      <c r="F731">
        <v>28578.067353999999</v>
      </c>
      <c r="G731">
        <v>0.35</v>
      </c>
      <c r="L731" t="s">
        <v>8</v>
      </c>
      <c r="M731" t="s">
        <v>8</v>
      </c>
      <c r="N731" t="s">
        <v>8</v>
      </c>
      <c r="P731">
        <f t="shared" si="1000"/>
        <v>0.12907971448809691</v>
      </c>
      <c r="Q731">
        <f t="shared" si="1001"/>
        <v>3688.8487746759229</v>
      </c>
      <c r="R731">
        <f t="shared" si="1002"/>
        <v>1846451.5392446883</v>
      </c>
      <c r="S731">
        <f t="shared" si="1003"/>
        <v>18.464515392446884</v>
      </c>
      <c r="T731">
        <f t="shared" si="1004"/>
        <v>1.8464515392446885E-2</v>
      </c>
    </row>
    <row r="732" spans="1:20" x14ac:dyDescent="0.25">
      <c r="A732" s="5">
        <v>43861</v>
      </c>
      <c r="B732">
        <v>9511.52</v>
      </c>
      <c r="C732">
        <v>9530.2199999999993</v>
      </c>
      <c r="D732">
        <v>9210.01</v>
      </c>
      <c r="E732">
        <v>9352.89</v>
      </c>
      <c r="F732">
        <v>45552.022352</v>
      </c>
      <c r="G732">
        <v>-1.67</v>
      </c>
      <c r="L732" t="s">
        <v>8</v>
      </c>
      <c r="M732" t="s">
        <v>8</v>
      </c>
      <c r="N732" t="s">
        <v>8</v>
      </c>
      <c r="P732">
        <f t="shared" si="1000"/>
        <v>-0.10758564691921184</v>
      </c>
      <c r="Q732">
        <f t="shared" si="1001"/>
        <v>-4900.7437932183175</v>
      </c>
      <c r="R732">
        <f t="shared" si="1002"/>
        <v>1842762.6904700124</v>
      </c>
      <c r="S732">
        <f t="shared" si="1003"/>
        <v>18.427626904700123</v>
      </c>
      <c r="T732">
        <f t="shared" si="1004"/>
        <v>1.8427626904700123E-2</v>
      </c>
    </row>
    <row r="733" spans="1:20" x14ac:dyDescent="0.25">
      <c r="A733" s="5">
        <v>43860</v>
      </c>
      <c r="B733">
        <v>9301.57</v>
      </c>
      <c r="C733">
        <v>9578</v>
      </c>
      <c r="D733">
        <v>9204.44</v>
      </c>
      <c r="E733">
        <v>9513.2099999999991</v>
      </c>
      <c r="F733">
        <v>60626.744258999999</v>
      </c>
      <c r="G733">
        <v>2.2799999999999998</v>
      </c>
      <c r="L733" t="s">
        <v>8</v>
      </c>
      <c r="M733" t="s">
        <v>8</v>
      </c>
      <c r="N733" t="s">
        <v>8</v>
      </c>
      <c r="P733">
        <f t="shared" si="1000"/>
        <v>0.65312131919905259</v>
      </c>
      <c r="Q733">
        <f t="shared" si="1001"/>
        <v>39596.619189181671</v>
      </c>
      <c r="R733">
        <f t="shared" si="1002"/>
        <v>1847663.4342632308</v>
      </c>
      <c r="S733">
        <f t="shared" si="1003"/>
        <v>18.476634342632309</v>
      </c>
      <c r="T733">
        <f t="shared" si="1004"/>
        <v>1.847663434263231E-2</v>
      </c>
    </row>
    <row r="734" spans="1:20" x14ac:dyDescent="0.25">
      <c r="A734" s="5">
        <v>43859</v>
      </c>
      <c r="B734">
        <v>9375.34</v>
      </c>
      <c r="C734">
        <v>9449.24</v>
      </c>
      <c r="D734">
        <v>9216</v>
      </c>
      <c r="E734">
        <v>9301.5300000000007</v>
      </c>
      <c r="F734">
        <v>53864.065122</v>
      </c>
      <c r="G734">
        <v>-0.79</v>
      </c>
      <c r="L734" t="s">
        <v>8</v>
      </c>
      <c r="M734" t="s">
        <v>8</v>
      </c>
      <c r="N734" t="s">
        <v>8</v>
      </c>
      <c r="P734">
        <f t="shared" si="1000"/>
        <v>-0.26659235122619845</v>
      </c>
      <c r="Q734">
        <f t="shared" si="1001"/>
        <v>-14359.74776747505</v>
      </c>
      <c r="R734">
        <f t="shared" si="1002"/>
        <v>1808066.8150740492</v>
      </c>
      <c r="S734">
        <f t="shared" si="1003"/>
        <v>18.080668150740493</v>
      </c>
      <c r="T734">
        <f t="shared" si="1004"/>
        <v>1.8080668150740494E-2</v>
      </c>
    </row>
    <row r="735" spans="1:20" x14ac:dyDescent="0.25">
      <c r="A735" s="5">
        <v>43858</v>
      </c>
      <c r="B735">
        <v>8907.57</v>
      </c>
      <c r="C735">
        <v>9400</v>
      </c>
      <c r="D735">
        <v>8862.4</v>
      </c>
      <c r="E735">
        <v>9374.2099999999991</v>
      </c>
      <c r="F735">
        <v>74584.853765000007</v>
      </c>
      <c r="G735">
        <v>5.24</v>
      </c>
      <c r="L735" t="s">
        <v>8</v>
      </c>
      <c r="M735" t="s">
        <v>8</v>
      </c>
      <c r="N735" t="s">
        <v>7</v>
      </c>
      <c r="P735">
        <f t="shared" si="1000"/>
        <v>0.90405505952380638</v>
      </c>
      <c r="Q735">
        <f t="shared" si="1001"/>
        <v>67428.81441009148</v>
      </c>
      <c r="R735">
        <f t="shared" si="1002"/>
        <v>1822426.5628415241</v>
      </c>
      <c r="S735">
        <f t="shared" si="1003"/>
        <v>18.224265628415242</v>
      </c>
      <c r="T735">
        <f t="shared" si="1004"/>
        <v>1.8224265628415243E-2</v>
      </c>
    </row>
    <row r="736" spans="1:20" x14ac:dyDescent="0.25">
      <c r="A736" s="5">
        <v>43857</v>
      </c>
      <c r="B736">
        <v>8614.39</v>
      </c>
      <c r="C736">
        <v>9000</v>
      </c>
      <c r="D736">
        <v>8535</v>
      </c>
      <c r="E736">
        <v>8907.57</v>
      </c>
      <c r="F736">
        <v>53973.542995999996</v>
      </c>
      <c r="G736">
        <v>3.4</v>
      </c>
      <c r="L736" t="s">
        <v>8</v>
      </c>
      <c r="M736" t="s">
        <v>8</v>
      </c>
      <c r="N736" t="s">
        <v>7</v>
      </c>
      <c r="P736">
        <f t="shared" si="1000"/>
        <v>0.60245161290322458</v>
      </c>
      <c r="Q736">
        <f t="shared" si="1001"/>
        <v>32516.448032041739</v>
      </c>
      <c r="R736">
        <f t="shared" si="1002"/>
        <v>1754997.7484314328</v>
      </c>
      <c r="S736">
        <f t="shared" si="1003"/>
        <v>17.549977484314329</v>
      </c>
      <c r="T736">
        <f t="shared" si="1004"/>
        <v>1.754997748431433E-2</v>
      </c>
    </row>
    <row r="737" spans="1:20" x14ac:dyDescent="0.25">
      <c r="A737" s="5">
        <v>43856</v>
      </c>
      <c r="B737">
        <v>8340.01</v>
      </c>
      <c r="C737">
        <v>8618.1299999999992</v>
      </c>
      <c r="D737">
        <v>8293.66</v>
      </c>
      <c r="E737">
        <v>8615</v>
      </c>
      <c r="F737">
        <v>31130.485164000002</v>
      </c>
      <c r="G737">
        <v>3.3</v>
      </c>
      <c r="L737" t="s">
        <v>7</v>
      </c>
      <c r="M737" t="s">
        <v>8</v>
      </c>
      <c r="N737" t="s">
        <v>7</v>
      </c>
      <c r="P737">
        <f t="shared" si="1000"/>
        <v>0.98070699910623971</v>
      </c>
      <c r="Q737">
        <f t="shared" si="1001"/>
        <v>30529.884685907757</v>
      </c>
      <c r="R737">
        <f t="shared" si="1002"/>
        <v>1722481.300399391</v>
      </c>
      <c r="S737">
        <f t="shared" si="1003"/>
        <v>17.224813003993908</v>
      </c>
      <c r="T737">
        <f t="shared" si="1004"/>
        <v>1.7224813003993908E-2</v>
      </c>
    </row>
    <row r="738" spans="1:20" x14ac:dyDescent="0.25">
      <c r="A738" s="5">
        <v>43855</v>
      </c>
      <c r="B738">
        <v>8438.99</v>
      </c>
      <c r="C738">
        <v>8451.26</v>
      </c>
      <c r="D738">
        <v>8254.9</v>
      </c>
      <c r="E738">
        <v>8340.58</v>
      </c>
      <c r="F738">
        <v>25521.157931999998</v>
      </c>
      <c r="G738">
        <v>-1.17</v>
      </c>
      <c r="L738" t="s">
        <v>7</v>
      </c>
      <c r="M738" t="s">
        <v>8</v>
      </c>
      <c r="N738" t="s">
        <v>7</v>
      </c>
      <c r="P738">
        <f t="shared" si="1000"/>
        <v>-0.12731717254023184</v>
      </c>
      <c r="Q738">
        <f t="shared" si="1001"/>
        <v>-3249.2816678549502</v>
      </c>
      <c r="R738">
        <f t="shared" si="1002"/>
        <v>1691951.4157134832</v>
      </c>
      <c r="S738">
        <f t="shared" si="1003"/>
        <v>16.919514157134831</v>
      </c>
      <c r="T738">
        <f t="shared" si="1004"/>
        <v>1.691951415713483E-2</v>
      </c>
    </row>
    <row r="739" spans="1:20" x14ac:dyDescent="0.25">
      <c r="A739" s="5">
        <v>43854</v>
      </c>
      <c r="B739">
        <v>8404.52</v>
      </c>
      <c r="C739">
        <v>8528.02</v>
      </c>
      <c r="D739">
        <v>8238</v>
      </c>
      <c r="E739">
        <v>8439</v>
      </c>
      <c r="F739">
        <v>41687.529528999999</v>
      </c>
      <c r="G739">
        <v>0.41</v>
      </c>
      <c r="L739" t="s">
        <v>7</v>
      </c>
      <c r="M739" t="s">
        <v>8</v>
      </c>
      <c r="N739" t="s">
        <v>7</v>
      </c>
      <c r="P739">
        <f t="shared" si="1000"/>
        <v>0.38611130266877935</v>
      </c>
      <c r="Q739">
        <f t="shared" si="1001"/>
        <v>16096.026331485396</v>
      </c>
      <c r="R739">
        <f t="shared" si="1002"/>
        <v>1695200.6973813381</v>
      </c>
      <c r="S739">
        <f t="shared" si="1003"/>
        <v>16.952006973813383</v>
      </c>
      <c r="T739">
        <f t="shared" si="1004"/>
        <v>1.6952006973813383E-2</v>
      </c>
    </row>
    <row r="740" spans="1:20" x14ac:dyDescent="0.25">
      <c r="A740" s="5">
        <v>43853</v>
      </c>
      <c r="B740">
        <v>8682.77</v>
      </c>
      <c r="C740">
        <v>8691.81</v>
      </c>
      <c r="D740">
        <v>8306.39</v>
      </c>
      <c r="E740">
        <v>8404.52</v>
      </c>
      <c r="F740">
        <v>48165.944597000002</v>
      </c>
      <c r="G740">
        <v>-3.2</v>
      </c>
      <c r="L740" t="s">
        <v>7</v>
      </c>
      <c r="M740" t="s">
        <v>8</v>
      </c>
      <c r="N740" t="s">
        <v>7</v>
      </c>
      <c r="P740">
        <f t="shared" si="1000"/>
        <v>-0.49078926884956153</v>
      </c>
      <c r="Q740">
        <f t="shared" si="1001"/>
        <v>-23639.328732210121</v>
      </c>
      <c r="R740">
        <f t="shared" si="1002"/>
        <v>1679104.6710498526</v>
      </c>
      <c r="S740">
        <f t="shared" si="1003"/>
        <v>16.791046710498527</v>
      </c>
      <c r="T740">
        <f t="shared" si="1004"/>
        <v>1.6791046710498529E-2</v>
      </c>
    </row>
    <row r="741" spans="1:20" x14ac:dyDescent="0.25">
      <c r="A741" s="5">
        <v>43852</v>
      </c>
      <c r="B741">
        <v>8736.0400000000009</v>
      </c>
      <c r="C741">
        <v>8818</v>
      </c>
      <c r="D741">
        <v>8590</v>
      </c>
      <c r="E741">
        <v>8682.36</v>
      </c>
      <c r="F741">
        <v>29080.557138</v>
      </c>
      <c r="G741">
        <v>-0.61</v>
      </c>
      <c r="L741" t="s">
        <v>7</v>
      </c>
      <c r="M741" t="s">
        <v>8</v>
      </c>
      <c r="N741" t="s">
        <v>7</v>
      </c>
      <c r="P741">
        <f t="shared" si="1000"/>
        <v>-0.18982456140350368</v>
      </c>
      <c r="Q741">
        <f t="shared" si="1001"/>
        <v>-5520.2040040903785</v>
      </c>
      <c r="R741">
        <f t="shared" si="1002"/>
        <v>1702743.9997820628</v>
      </c>
      <c r="S741">
        <f t="shared" si="1003"/>
        <v>17.027439997820629</v>
      </c>
      <c r="T741">
        <f t="shared" si="1004"/>
        <v>1.702743999782063E-2</v>
      </c>
    </row>
    <row r="742" spans="1:20" x14ac:dyDescent="0.25">
      <c r="A742" s="5">
        <v>43851</v>
      </c>
      <c r="B742">
        <v>8642.35</v>
      </c>
      <c r="C742">
        <v>8789</v>
      </c>
      <c r="D742">
        <v>8488</v>
      </c>
      <c r="E742">
        <v>8736.0300000000007</v>
      </c>
      <c r="F742">
        <v>36494.687659000003</v>
      </c>
      <c r="G742">
        <v>1.08</v>
      </c>
      <c r="L742" t="s">
        <v>7</v>
      </c>
      <c r="M742" t="s">
        <v>8</v>
      </c>
      <c r="N742" t="s">
        <v>7</v>
      </c>
      <c r="P742">
        <f t="shared" si="1000"/>
        <v>0.6480398671096389</v>
      </c>
      <c r="Q742">
        <f t="shared" si="1001"/>
        <v>23650.012540746142</v>
      </c>
      <c r="R742">
        <f t="shared" si="1002"/>
        <v>1708264.2037861531</v>
      </c>
      <c r="S742">
        <f t="shared" si="1003"/>
        <v>17.082642037861532</v>
      </c>
      <c r="T742">
        <f t="shared" si="1004"/>
        <v>1.7082642037861532E-2</v>
      </c>
    </row>
    <row r="743" spans="1:20" x14ac:dyDescent="0.25">
      <c r="A743" s="5">
        <v>43850</v>
      </c>
      <c r="B743">
        <v>8701.7199999999993</v>
      </c>
      <c r="C743">
        <v>8746.99</v>
      </c>
      <c r="D743">
        <v>8521.2800000000007</v>
      </c>
      <c r="E743">
        <v>8642.35</v>
      </c>
      <c r="F743">
        <v>38896.639746000001</v>
      </c>
      <c r="G743">
        <v>-0.68</v>
      </c>
      <c r="L743" t="s">
        <v>7</v>
      </c>
      <c r="M743" t="s">
        <v>8</v>
      </c>
      <c r="N743" t="s">
        <v>7</v>
      </c>
      <c r="P743">
        <f t="shared" si="1000"/>
        <v>7.2792521376989744E-2</v>
      </c>
      <c r="Q743">
        <f t="shared" si="1001"/>
        <v>2831.3844802037738</v>
      </c>
      <c r="R743">
        <f t="shared" si="1002"/>
        <v>1684614.1912454069</v>
      </c>
      <c r="S743">
        <f t="shared" si="1003"/>
        <v>16.846141912454069</v>
      </c>
      <c r="T743">
        <f t="shared" si="1004"/>
        <v>1.6846141912454069E-2</v>
      </c>
    </row>
    <row r="744" spans="1:20" x14ac:dyDescent="0.25">
      <c r="A744" s="5">
        <v>43849</v>
      </c>
      <c r="B744">
        <v>8915.09</v>
      </c>
      <c r="C744">
        <v>9198.98</v>
      </c>
      <c r="D744">
        <v>8466</v>
      </c>
      <c r="E744">
        <v>8701.7000000000007</v>
      </c>
      <c r="F744">
        <v>70676.889259000003</v>
      </c>
      <c r="G744">
        <v>-2.39</v>
      </c>
      <c r="L744" t="s">
        <v>7</v>
      </c>
      <c r="M744" t="s">
        <v>8</v>
      </c>
      <c r="N744" t="s">
        <v>7</v>
      </c>
      <c r="P744">
        <f t="shared" si="1000"/>
        <v>-0.35687194739283234</v>
      </c>
      <c r="Q744">
        <f t="shared" si="1001"/>
        <v>-25222.599105526886</v>
      </c>
      <c r="R744">
        <f t="shared" si="1002"/>
        <v>1681782.8067652031</v>
      </c>
      <c r="S744">
        <f t="shared" si="1003"/>
        <v>16.81782806765203</v>
      </c>
      <c r="T744">
        <f t="shared" si="1004"/>
        <v>1.681782806765203E-2</v>
      </c>
    </row>
    <row r="745" spans="1:20" x14ac:dyDescent="0.25">
      <c r="A745" s="5">
        <v>43848</v>
      </c>
      <c r="B745">
        <v>8913.27</v>
      </c>
      <c r="C745">
        <v>8988.8799999999992</v>
      </c>
      <c r="D745">
        <v>8806.3799999999992</v>
      </c>
      <c r="E745">
        <v>8915.9599999999991</v>
      </c>
      <c r="F745">
        <v>38294.746545000002</v>
      </c>
      <c r="G745">
        <v>0.03</v>
      </c>
      <c r="L745" t="s">
        <v>8</v>
      </c>
      <c r="M745" t="s">
        <v>8</v>
      </c>
      <c r="N745" t="s">
        <v>7</v>
      </c>
      <c r="P745">
        <f t="shared" si="1000"/>
        <v>0.20087671232876633</v>
      </c>
      <c r="Q745">
        <f t="shared" si="1001"/>
        <v>7692.5227854229834</v>
      </c>
      <c r="R745">
        <f t="shared" si="1002"/>
        <v>1707005.4058707301</v>
      </c>
      <c r="S745">
        <f t="shared" si="1003"/>
        <v>17.070054058707299</v>
      </c>
      <c r="T745">
        <f t="shared" si="1004"/>
        <v>1.7070054058707301E-2</v>
      </c>
    </row>
    <row r="746" spans="1:20" x14ac:dyDescent="0.25">
      <c r="A746" s="5">
        <v>43847</v>
      </c>
      <c r="B746">
        <v>8720.15</v>
      </c>
      <c r="C746">
        <v>9041.65</v>
      </c>
      <c r="D746">
        <v>8672.44</v>
      </c>
      <c r="E746">
        <v>8913.2800000000007</v>
      </c>
      <c r="F746">
        <v>70897.737376999998</v>
      </c>
      <c r="G746">
        <v>2.21</v>
      </c>
      <c r="L746" t="s">
        <v>8</v>
      </c>
      <c r="M746" t="s">
        <v>8</v>
      </c>
      <c r="N746" t="s">
        <v>7</v>
      </c>
      <c r="P746">
        <f t="shared" si="1000"/>
        <v>0.30462338506541381</v>
      </c>
      <c r="Q746">
        <f t="shared" si="1001"/>
        <v>21597.108753260451</v>
      </c>
      <c r="R746">
        <f t="shared" si="1002"/>
        <v>1699312.883085307</v>
      </c>
      <c r="S746">
        <f t="shared" si="1003"/>
        <v>16.99312883085307</v>
      </c>
      <c r="T746">
        <f t="shared" si="1004"/>
        <v>1.699312883085307E-2</v>
      </c>
    </row>
    <row r="747" spans="1:20" x14ac:dyDescent="0.25">
      <c r="A747" s="5">
        <v>43846</v>
      </c>
      <c r="B747">
        <v>8820.01</v>
      </c>
      <c r="C747">
        <v>8859.81</v>
      </c>
      <c r="D747">
        <v>8586</v>
      </c>
      <c r="E747">
        <v>8720.01</v>
      </c>
      <c r="F747">
        <v>51991.074284000002</v>
      </c>
      <c r="G747">
        <v>-1.1299999999999999</v>
      </c>
      <c r="L747" t="s">
        <v>8</v>
      </c>
      <c r="M747" t="s">
        <v>8</v>
      </c>
      <c r="N747" t="s">
        <v>7</v>
      </c>
      <c r="P747">
        <f t="shared" si="1000"/>
        <v>-2.1146050180778878E-2</v>
      </c>
      <c r="Q747">
        <f t="shared" si="1001"/>
        <v>-1099.4058657620662</v>
      </c>
      <c r="R747">
        <f t="shared" si="1002"/>
        <v>1677715.7743320465</v>
      </c>
      <c r="S747">
        <f t="shared" si="1003"/>
        <v>16.777157743320465</v>
      </c>
      <c r="T747">
        <f t="shared" si="1004"/>
        <v>1.6777157743320465E-2</v>
      </c>
    </row>
    <row r="748" spans="1:20" x14ac:dyDescent="0.25">
      <c r="A748" s="5">
        <v>43845</v>
      </c>
      <c r="B748">
        <v>8814.64</v>
      </c>
      <c r="C748">
        <v>8916.48</v>
      </c>
      <c r="D748">
        <v>8564</v>
      </c>
      <c r="E748">
        <v>8821.41</v>
      </c>
      <c r="F748">
        <v>84816.297605999993</v>
      </c>
      <c r="G748">
        <v>0.08</v>
      </c>
      <c r="L748" t="s">
        <v>8</v>
      </c>
      <c r="M748" t="s">
        <v>8</v>
      </c>
      <c r="N748" t="s">
        <v>7</v>
      </c>
      <c r="P748">
        <f t="shared" si="1000"/>
        <v>0.46056513844757246</v>
      </c>
      <c r="Q748">
        <f t="shared" si="1001"/>
        <v>39063.429849517895</v>
      </c>
      <c r="R748">
        <f t="shared" si="1002"/>
        <v>1678815.1801978087</v>
      </c>
      <c r="S748">
        <f t="shared" si="1003"/>
        <v>16.788151801978085</v>
      </c>
      <c r="T748">
        <f t="shared" si="1004"/>
        <v>1.6788151801978086E-2</v>
      </c>
    </row>
    <row r="749" spans="1:20" x14ac:dyDescent="0.25">
      <c r="A749" s="5">
        <v>43844</v>
      </c>
      <c r="B749">
        <v>8110.34</v>
      </c>
      <c r="C749">
        <v>8880</v>
      </c>
      <c r="D749">
        <v>8105.54</v>
      </c>
      <c r="E749">
        <v>8810.01</v>
      </c>
      <c r="F749">
        <v>120399.12674199999</v>
      </c>
      <c r="G749">
        <v>8.6300000000000008</v>
      </c>
      <c r="L749" t="s">
        <v>8</v>
      </c>
      <c r="M749" t="s">
        <v>8</v>
      </c>
      <c r="N749" t="s">
        <v>7</v>
      </c>
      <c r="P749">
        <f t="shared" si="1000"/>
        <v>0.8192547065051784</v>
      </c>
      <c r="Q749">
        <f t="shared" si="1001"/>
        <v>98637.551242496978</v>
      </c>
      <c r="R749">
        <f t="shared" si="1002"/>
        <v>1639751.7503482907</v>
      </c>
      <c r="S749">
        <f t="shared" si="1003"/>
        <v>16.397517503482906</v>
      </c>
      <c r="T749">
        <f t="shared" si="1004"/>
        <v>1.6397517503482905E-2</v>
      </c>
    </row>
    <row r="750" spans="1:20" x14ac:dyDescent="0.25">
      <c r="A750" s="5">
        <v>43843</v>
      </c>
      <c r="B750">
        <v>8184.97</v>
      </c>
      <c r="C750">
        <v>8196</v>
      </c>
      <c r="D750">
        <v>8055.89</v>
      </c>
      <c r="E750">
        <v>8110.34</v>
      </c>
      <c r="F750">
        <v>31159.755682999999</v>
      </c>
      <c r="G750">
        <v>-0.91</v>
      </c>
      <c r="L750" t="s">
        <v>8</v>
      </c>
      <c r="M750" t="s">
        <v>8</v>
      </c>
      <c r="N750" t="s">
        <v>7</v>
      </c>
      <c r="P750">
        <f t="shared" si="1000"/>
        <v>-0.22275355078152959</v>
      </c>
      <c r="Q750">
        <f t="shared" si="1001"/>
        <v>-6940.9462198731953</v>
      </c>
      <c r="R750">
        <f t="shared" si="1002"/>
        <v>1541114.1991057936</v>
      </c>
      <c r="S750">
        <f t="shared" si="1003"/>
        <v>15.411141991057937</v>
      </c>
      <c r="T750">
        <f t="shared" si="1004"/>
        <v>1.5411141991057937E-2</v>
      </c>
    </row>
    <row r="751" spans="1:20" x14ac:dyDescent="0.25">
      <c r="A751" s="5">
        <v>43842</v>
      </c>
      <c r="B751">
        <v>8020.01</v>
      </c>
      <c r="C751">
        <v>8197</v>
      </c>
      <c r="D751">
        <v>7960</v>
      </c>
      <c r="E751">
        <v>8184.98</v>
      </c>
      <c r="F751">
        <v>38131.494336000003</v>
      </c>
      <c r="G751">
        <v>2.06</v>
      </c>
      <c r="L751" t="s">
        <v>8</v>
      </c>
      <c r="M751" t="s">
        <v>8</v>
      </c>
      <c r="N751" t="s">
        <v>7</v>
      </c>
      <c r="P751">
        <f t="shared" si="1000"/>
        <v>0.89856540084387815</v>
      </c>
      <c r="Q751">
        <f t="shared" si="1001"/>
        <v>34263.641492803916</v>
      </c>
      <c r="R751">
        <f t="shared" si="1002"/>
        <v>1548055.1453256668</v>
      </c>
      <c r="S751">
        <f t="shared" si="1003"/>
        <v>15.480551453256668</v>
      </c>
      <c r="T751">
        <f t="shared" si="1004"/>
        <v>1.5480551453256669E-2</v>
      </c>
    </row>
    <row r="752" spans="1:20" x14ac:dyDescent="0.25">
      <c r="A752" s="5">
        <v>43841</v>
      </c>
      <c r="B752">
        <v>8198.86</v>
      </c>
      <c r="C752">
        <v>8286.34</v>
      </c>
      <c r="D752">
        <v>8003.16</v>
      </c>
      <c r="E752">
        <v>8020.01</v>
      </c>
      <c r="F752">
        <v>54810.032666999999</v>
      </c>
      <c r="G752">
        <v>-2.1800000000000002</v>
      </c>
      <c r="L752" t="s">
        <v>8</v>
      </c>
      <c r="M752" t="s">
        <v>8</v>
      </c>
      <c r="N752" t="s">
        <v>7</v>
      </c>
      <c r="P752">
        <f t="shared" si="1000"/>
        <v>-0.88099442050992061</v>
      </c>
      <c r="Q752">
        <f t="shared" si="1001"/>
        <v>-48287.33296759348</v>
      </c>
      <c r="R752">
        <f t="shared" si="1002"/>
        <v>1513791.5038328629</v>
      </c>
      <c r="S752">
        <f t="shared" si="1003"/>
        <v>15.137915038328629</v>
      </c>
      <c r="T752">
        <f t="shared" si="1004"/>
        <v>1.5137915038328629E-2</v>
      </c>
    </row>
    <row r="753" spans="1:20" x14ac:dyDescent="0.25">
      <c r="A753" s="5">
        <v>43840</v>
      </c>
      <c r="B753">
        <v>7817.74</v>
      </c>
      <c r="C753">
        <v>8199</v>
      </c>
      <c r="D753">
        <v>7672</v>
      </c>
      <c r="E753">
        <v>8197.02</v>
      </c>
      <c r="F753">
        <v>82406.777447999993</v>
      </c>
      <c r="G753">
        <v>4.8499999999999996</v>
      </c>
      <c r="L753" t="s">
        <v>7</v>
      </c>
      <c r="M753" t="s">
        <v>8</v>
      </c>
      <c r="N753" t="s">
        <v>7</v>
      </c>
      <c r="P753">
        <f t="shared" si="1000"/>
        <v>0.99248576850095038</v>
      </c>
      <c r="Q753">
        <f t="shared" si="1001"/>
        <v>81787.553845165065</v>
      </c>
      <c r="R753">
        <f t="shared" si="1002"/>
        <v>1562078.8368004565</v>
      </c>
      <c r="S753">
        <f t="shared" si="1003"/>
        <v>15.620788368004565</v>
      </c>
      <c r="T753">
        <f t="shared" si="1004"/>
        <v>1.5620788368004564E-2</v>
      </c>
    </row>
    <row r="754" spans="1:20" x14ac:dyDescent="0.25">
      <c r="A754" s="5">
        <v>43839</v>
      </c>
      <c r="B754">
        <v>8054.72</v>
      </c>
      <c r="C754">
        <v>8055.96</v>
      </c>
      <c r="D754">
        <v>7750</v>
      </c>
      <c r="E754">
        <v>7817.76</v>
      </c>
      <c r="F754">
        <v>64239.519829999997</v>
      </c>
      <c r="G754">
        <v>-2.94</v>
      </c>
      <c r="L754" t="s">
        <v>7</v>
      </c>
      <c r="M754" t="s">
        <v>8</v>
      </c>
      <c r="N754" t="s">
        <v>7</v>
      </c>
      <c r="P754">
        <f t="shared" si="1000"/>
        <v>-0.55706628317426976</v>
      </c>
      <c r="Q754">
        <f t="shared" si="1001"/>
        <v>-35785.670544597895</v>
      </c>
      <c r="R754">
        <f t="shared" si="1002"/>
        <v>1480291.2829552914</v>
      </c>
      <c r="S754">
        <f t="shared" si="1003"/>
        <v>14.802912829552914</v>
      </c>
      <c r="T754">
        <f t="shared" si="1004"/>
        <v>1.4802912829552914E-2</v>
      </c>
    </row>
    <row r="755" spans="1:20" x14ac:dyDescent="0.25">
      <c r="A755" s="5">
        <v>43838</v>
      </c>
      <c r="B755">
        <v>8145.92</v>
      </c>
      <c r="C755">
        <v>8455</v>
      </c>
      <c r="D755">
        <v>7870</v>
      </c>
      <c r="E755">
        <v>8055.98</v>
      </c>
      <c r="F755">
        <v>112622.64264000001</v>
      </c>
      <c r="G755">
        <v>-1.1000000000000001</v>
      </c>
      <c r="L755" t="s">
        <v>8</v>
      </c>
      <c r="M755" t="s">
        <v>8</v>
      </c>
      <c r="N755" t="s">
        <v>7</v>
      </c>
      <c r="P755">
        <f t="shared" si="1000"/>
        <v>-0.36417094017094165</v>
      </c>
      <c r="Q755">
        <f t="shared" si="1001"/>
        <v>-41013.893654744781</v>
      </c>
      <c r="R755">
        <f t="shared" si="1002"/>
        <v>1516076.9534998892</v>
      </c>
      <c r="S755">
        <f t="shared" si="1003"/>
        <v>15.160769534998892</v>
      </c>
      <c r="T755">
        <f t="shared" si="1004"/>
        <v>1.5160769534998892E-2</v>
      </c>
    </row>
    <row r="756" spans="1:20" x14ac:dyDescent="0.25">
      <c r="A756" s="5">
        <v>43837</v>
      </c>
      <c r="B756">
        <v>7758.9</v>
      </c>
      <c r="C756">
        <v>8207.68</v>
      </c>
      <c r="D756">
        <v>7723.71</v>
      </c>
      <c r="E756">
        <v>8145.28</v>
      </c>
      <c r="F756">
        <v>91171.684661000007</v>
      </c>
      <c r="G756">
        <v>4.9800000000000004</v>
      </c>
      <c r="L756" t="s">
        <v>8</v>
      </c>
      <c r="M756" t="s">
        <v>8</v>
      </c>
      <c r="N756" t="s">
        <v>7</v>
      </c>
      <c r="P756">
        <f t="shared" si="1000"/>
        <v>0.74213277682500767</v>
      </c>
      <c r="Q756">
        <f t="shared" si="1001"/>
        <v>67661.495505281899</v>
      </c>
      <c r="R756">
        <f t="shared" si="1002"/>
        <v>1557090.8471546341</v>
      </c>
      <c r="S756">
        <f t="shared" si="1003"/>
        <v>15.570908471546341</v>
      </c>
      <c r="T756">
        <f t="shared" si="1004"/>
        <v>1.5570908471546342E-2</v>
      </c>
    </row>
    <row r="757" spans="1:20" x14ac:dyDescent="0.25">
      <c r="A757" s="5">
        <v>43836</v>
      </c>
      <c r="B757">
        <v>7357.64</v>
      </c>
      <c r="C757">
        <v>7795.34</v>
      </c>
      <c r="D757">
        <v>7346.76</v>
      </c>
      <c r="E757">
        <v>7758</v>
      </c>
      <c r="F757">
        <v>54635.695315999998</v>
      </c>
      <c r="G757">
        <v>5.44</v>
      </c>
      <c r="L757" t="s">
        <v>8</v>
      </c>
      <c r="M757" t="s">
        <v>8</v>
      </c>
      <c r="N757" t="s">
        <v>7</v>
      </c>
      <c r="P757">
        <f t="shared" si="1000"/>
        <v>0.83351910473048219</v>
      </c>
      <c r="Q757">
        <f t="shared" si="1001"/>
        <v>45539.895846119718</v>
      </c>
      <c r="R757">
        <f t="shared" si="1002"/>
        <v>1489429.3516493521</v>
      </c>
      <c r="S757">
        <f t="shared" si="1003"/>
        <v>14.894293516493521</v>
      </c>
      <c r="T757">
        <f t="shared" si="1004"/>
        <v>1.4894293516493521E-2</v>
      </c>
    </row>
    <row r="758" spans="1:20" x14ac:dyDescent="0.25">
      <c r="A758" s="5">
        <v>43835</v>
      </c>
      <c r="B758">
        <v>7354.19</v>
      </c>
      <c r="C758">
        <v>7495</v>
      </c>
      <c r="D758">
        <v>7318</v>
      </c>
      <c r="E758">
        <v>7358.75</v>
      </c>
      <c r="F758">
        <v>38331.085604</v>
      </c>
      <c r="G758">
        <v>0.06</v>
      </c>
      <c r="L758" t="s">
        <v>8</v>
      </c>
      <c r="M758" t="s">
        <v>8</v>
      </c>
      <c r="N758" t="s">
        <v>7</v>
      </c>
      <c r="P758">
        <f t="shared" si="1000"/>
        <v>-0.53954802259887003</v>
      </c>
      <c r="Q758">
        <f t="shared" si="1001"/>
        <v>-20681.461441706215</v>
      </c>
      <c r="R758">
        <f t="shared" si="1002"/>
        <v>1443889.4558032325</v>
      </c>
      <c r="S758">
        <f t="shared" si="1003"/>
        <v>14.438894558032326</v>
      </c>
      <c r="T758">
        <f t="shared" si="1004"/>
        <v>1.4438894558032326E-2</v>
      </c>
    </row>
    <row r="759" spans="1:20" x14ac:dyDescent="0.25">
      <c r="A759" s="5">
        <v>43834</v>
      </c>
      <c r="B759">
        <v>7345</v>
      </c>
      <c r="C759">
        <v>7404</v>
      </c>
      <c r="D759">
        <v>7272.21</v>
      </c>
      <c r="E759">
        <v>7354.11</v>
      </c>
      <c r="F759">
        <v>29987.974977000002</v>
      </c>
      <c r="G759">
        <v>0.12</v>
      </c>
      <c r="L759" t="s">
        <v>7</v>
      </c>
      <c r="M759" t="s">
        <v>8</v>
      </c>
      <c r="N759" t="s">
        <v>7</v>
      </c>
      <c r="P759">
        <f t="shared" si="1000"/>
        <v>0.24288641019803717</v>
      </c>
      <c r="Q759">
        <f t="shared" si="1001"/>
        <v>7283.6715912720965</v>
      </c>
      <c r="R759">
        <f t="shared" si="1002"/>
        <v>1464570.9172449387</v>
      </c>
      <c r="S759">
        <f t="shared" si="1003"/>
        <v>14.645709172449386</v>
      </c>
      <c r="T759">
        <f t="shared" si="1004"/>
        <v>1.4645709172449386E-2</v>
      </c>
    </row>
    <row r="760" spans="1:20" x14ac:dyDescent="0.25">
      <c r="A760" s="5">
        <v>43833</v>
      </c>
      <c r="B760">
        <v>6965.49</v>
      </c>
      <c r="C760">
        <v>7405</v>
      </c>
      <c r="D760">
        <v>6871.04</v>
      </c>
      <c r="E760">
        <v>7344.96</v>
      </c>
      <c r="F760">
        <v>68428.500451</v>
      </c>
      <c r="G760">
        <v>5.45</v>
      </c>
      <c r="L760" t="s">
        <v>7</v>
      </c>
      <c r="M760" t="s">
        <v>8</v>
      </c>
      <c r="N760" t="s">
        <v>7</v>
      </c>
      <c r="P760">
        <f t="shared" si="1000"/>
        <v>0.77511424076709878</v>
      </c>
      <c r="Q760">
        <f t="shared" si="1001"/>
        <v>53039.905173907944</v>
      </c>
      <c r="R760">
        <f t="shared" si="1002"/>
        <v>1457287.2456536666</v>
      </c>
      <c r="S760">
        <f t="shared" si="1003"/>
        <v>14.572872456536665</v>
      </c>
      <c r="T760">
        <f t="shared" si="1004"/>
        <v>1.4572872456536665E-2</v>
      </c>
    </row>
    <row r="761" spans="1:20" x14ac:dyDescent="0.25">
      <c r="A761" s="5">
        <v>43832</v>
      </c>
      <c r="B761">
        <v>7200.77</v>
      </c>
      <c r="C761">
        <v>7212.5</v>
      </c>
      <c r="D761">
        <v>6924.74</v>
      </c>
      <c r="E761">
        <v>6965.71</v>
      </c>
      <c r="F761">
        <v>31951.483931999999</v>
      </c>
      <c r="G761">
        <v>-3.26</v>
      </c>
      <c r="L761" t="s">
        <v>7</v>
      </c>
      <c r="M761" t="s">
        <v>8</v>
      </c>
      <c r="N761" t="s">
        <v>7</v>
      </c>
      <c r="P761">
        <f t="shared" si="1000"/>
        <v>-0.71524881845982613</v>
      </c>
      <c r="Q761">
        <f t="shared" si="1001"/>
        <v>-22853.261130401119</v>
      </c>
      <c r="R761">
        <f t="shared" si="1002"/>
        <v>1404247.3404797586</v>
      </c>
      <c r="S761">
        <f t="shared" si="1003"/>
        <v>14.042473404797585</v>
      </c>
      <c r="T761">
        <f t="shared" si="1004"/>
        <v>1.4042473404797586E-2</v>
      </c>
    </row>
    <row r="762" spans="1:20" x14ac:dyDescent="0.25">
      <c r="A762" s="5">
        <v>43831</v>
      </c>
      <c r="B762">
        <v>7195.24</v>
      </c>
      <c r="C762">
        <v>7255</v>
      </c>
      <c r="D762">
        <v>7175.15</v>
      </c>
      <c r="E762">
        <v>7200.85</v>
      </c>
      <c r="F762">
        <v>16792.388165</v>
      </c>
      <c r="G762">
        <v>0.08</v>
      </c>
      <c r="L762" t="s">
        <v>7</v>
      </c>
      <c r="M762" t="s">
        <v>8</v>
      </c>
      <c r="N762" t="s">
        <v>7</v>
      </c>
      <c r="P762">
        <f t="shared" si="1000"/>
        <v>-0.35629304946773677</v>
      </c>
      <c r="Q762">
        <f t="shared" si="1001"/>
        <v>-5983.0111871537829</v>
      </c>
      <c r="R762">
        <f t="shared" si="1002"/>
        <v>1427100.6016101597</v>
      </c>
      <c r="S762">
        <f t="shared" si="1003"/>
        <v>14.271006016101598</v>
      </c>
      <c r="T762">
        <f t="shared" si="1004"/>
        <v>1.4271006016101598E-2</v>
      </c>
    </row>
    <row r="763" spans="1:20" x14ac:dyDescent="0.25">
      <c r="A763" s="5">
        <v>43830</v>
      </c>
      <c r="B763">
        <v>7246</v>
      </c>
      <c r="C763">
        <v>7320</v>
      </c>
      <c r="D763">
        <v>7145.01</v>
      </c>
      <c r="E763">
        <v>7195.23</v>
      </c>
      <c r="F763">
        <v>25954.453533</v>
      </c>
      <c r="G763">
        <v>-0.7</v>
      </c>
      <c r="L763" t="s">
        <v>7</v>
      </c>
      <c r="M763" t="s">
        <v>8</v>
      </c>
      <c r="N763" t="s">
        <v>7</v>
      </c>
      <c r="P763">
        <f t="shared" si="1000"/>
        <v>-0.42602434424824953</v>
      </c>
      <c r="Q763">
        <f t="shared" si="1001"/>
        <v>-11057.229046717988</v>
      </c>
      <c r="R763">
        <f t="shared" si="1002"/>
        <v>1433083.6127973136</v>
      </c>
      <c r="S763">
        <f t="shared" si="1003"/>
        <v>14.330836127973136</v>
      </c>
      <c r="T763">
        <f t="shared" si="1004"/>
        <v>1.4330836127973135E-2</v>
      </c>
    </row>
    <row r="764" spans="1:20" x14ac:dyDescent="0.25">
      <c r="A764" s="5">
        <v>43829</v>
      </c>
      <c r="B764">
        <v>7388.43</v>
      </c>
      <c r="C764">
        <v>7408.24</v>
      </c>
      <c r="D764">
        <v>7220</v>
      </c>
      <c r="E764">
        <v>7246</v>
      </c>
      <c r="F764">
        <v>29605.911781999999</v>
      </c>
      <c r="G764">
        <v>-1.93</v>
      </c>
      <c r="L764" t="s">
        <v>7</v>
      </c>
      <c r="M764" t="s">
        <v>8</v>
      </c>
      <c r="N764" t="s">
        <v>7</v>
      </c>
      <c r="P764">
        <f t="shared" si="1000"/>
        <v>-0.72375690607734777</v>
      </c>
      <c r="Q764">
        <f t="shared" si="1001"/>
        <v>-21427.483112939219</v>
      </c>
      <c r="R764">
        <f t="shared" si="1002"/>
        <v>1444140.8418440316</v>
      </c>
      <c r="S764">
        <f t="shared" si="1003"/>
        <v>14.441408418440316</v>
      </c>
      <c r="T764">
        <f t="shared" si="1004"/>
        <v>1.4441408418440316E-2</v>
      </c>
    </row>
    <row r="765" spans="1:20" x14ac:dyDescent="0.25">
      <c r="A765" s="5">
        <v>43828</v>
      </c>
      <c r="B765">
        <v>7315.36</v>
      </c>
      <c r="C765">
        <v>7528.45</v>
      </c>
      <c r="D765">
        <v>7288</v>
      </c>
      <c r="E765">
        <v>7388.24</v>
      </c>
      <c r="F765">
        <v>31387.106084999999</v>
      </c>
      <c r="G765">
        <v>1</v>
      </c>
      <c r="L765" t="s">
        <v>7</v>
      </c>
      <c r="M765" t="s">
        <v>8</v>
      </c>
      <c r="N765" t="s">
        <v>7</v>
      </c>
      <c r="P765">
        <f t="shared" si="1000"/>
        <v>-0.16622998544396042</v>
      </c>
      <c r="Q765">
        <f t="shared" si="1001"/>
        <v>-5217.4781876375919</v>
      </c>
      <c r="R765">
        <f t="shared" si="1002"/>
        <v>1465568.3249569708</v>
      </c>
      <c r="S765">
        <f t="shared" si="1003"/>
        <v>14.655683249569707</v>
      </c>
      <c r="T765">
        <f t="shared" si="1004"/>
        <v>1.4655683249569706E-2</v>
      </c>
    </row>
    <row r="766" spans="1:20" x14ac:dyDescent="0.25">
      <c r="A766" s="5">
        <v>43827</v>
      </c>
      <c r="B766">
        <v>7254.77</v>
      </c>
      <c r="C766">
        <v>7365.01</v>
      </c>
      <c r="D766">
        <v>7238.67</v>
      </c>
      <c r="E766">
        <v>7316.14</v>
      </c>
      <c r="F766">
        <v>26848.982198999998</v>
      </c>
      <c r="G766">
        <v>0.85</v>
      </c>
      <c r="L766" t="s">
        <v>7</v>
      </c>
      <c r="M766" t="s">
        <v>8</v>
      </c>
      <c r="N766" t="s">
        <v>7</v>
      </c>
      <c r="P766">
        <f t="shared" si="1000"/>
        <v>0.22637327845496541</v>
      </c>
      <c r="Q766">
        <f t="shared" si="1001"/>
        <v>6077.8921235666357</v>
      </c>
      <c r="R766">
        <f t="shared" si="1002"/>
        <v>1470785.8031446084</v>
      </c>
      <c r="S766">
        <f t="shared" si="1003"/>
        <v>14.707858031446085</v>
      </c>
      <c r="T766">
        <f t="shared" si="1004"/>
        <v>1.4707858031446084E-2</v>
      </c>
    </row>
    <row r="767" spans="1:20" x14ac:dyDescent="0.25">
      <c r="A767" s="5">
        <v>43826</v>
      </c>
      <c r="B767">
        <v>7202</v>
      </c>
      <c r="C767">
        <v>7275.86</v>
      </c>
      <c r="D767">
        <v>7076.42</v>
      </c>
      <c r="E767">
        <v>7254.74</v>
      </c>
      <c r="F767">
        <v>33642.701861000001</v>
      </c>
      <c r="G767">
        <v>0.73</v>
      </c>
      <c r="L767" t="s">
        <v>7</v>
      </c>
      <c r="M767" t="s">
        <v>8</v>
      </c>
      <c r="N767" t="s">
        <v>7</v>
      </c>
      <c r="P767">
        <f t="shared" ref="P767:P830" si="1005">IF(C767=D767,0,((E767-D767)-(C767-E767))/(C767-D767))</f>
        <v>0.78820697954272023</v>
      </c>
      <c r="Q767">
        <f t="shared" ref="Q767:Q830" si="1006">F767*P767</f>
        <v>26517.412417515065</v>
      </c>
      <c r="R767">
        <f t="shared" ref="R767:R830" si="1007">R768+Q767</f>
        <v>1464707.9110210417</v>
      </c>
      <c r="S767">
        <f t="shared" ref="S767:S830" si="1008">R767/100000</f>
        <v>14.647079110210417</v>
      </c>
      <c r="T767">
        <f t="shared" ref="T767:T830" si="1009">S767/1000</f>
        <v>1.4647079110210416E-2</v>
      </c>
    </row>
    <row r="768" spans="1:20" x14ac:dyDescent="0.25">
      <c r="A768" s="5">
        <v>43825</v>
      </c>
      <c r="B768">
        <v>7205.01</v>
      </c>
      <c r="C768">
        <v>7435</v>
      </c>
      <c r="D768">
        <v>7157.12</v>
      </c>
      <c r="E768">
        <v>7202</v>
      </c>
      <c r="F768">
        <v>36259.761076000003</v>
      </c>
      <c r="G768">
        <v>-0.04</v>
      </c>
      <c r="L768" t="s">
        <v>8</v>
      </c>
      <c r="M768" t="s">
        <v>8</v>
      </c>
      <c r="N768" t="s">
        <v>7</v>
      </c>
      <c r="P768">
        <f t="shared" si="1005"/>
        <v>-0.67698287030372761</v>
      </c>
      <c r="Q768">
        <f t="shared" si="1006"/>
        <v>-24547.237129757861</v>
      </c>
      <c r="R768">
        <f t="shared" si="1007"/>
        <v>1438190.4986035267</v>
      </c>
      <c r="S768">
        <f t="shared" si="1008"/>
        <v>14.381904986035268</v>
      </c>
      <c r="T768">
        <f t="shared" si="1009"/>
        <v>1.4381904986035268E-2</v>
      </c>
    </row>
    <row r="769" spans="1:20" x14ac:dyDescent="0.25">
      <c r="A769" s="5">
        <v>43824</v>
      </c>
      <c r="B769">
        <v>7255.77</v>
      </c>
      <c r="C769">
        <v>7271.77</v>
      </c>
      <c r="D769">
        <v>7128.86</v>
      </c>
      <c r="E769">
        <v>7204.63</v>
      </c>
      <c r="F769">
        <v>27492.044322999998</v>
      </c>
      <c r="G769">
        <v>-0.7</v>
      </c>
      <c r="L769" t="s">
        <v>8</v>
      </c>
      <c r="M769" t="s">
        <v>8</v>
      </c>
      <c r="N769" t="s">
        <v>7</v>
      </c>
      <c r="P769">
        <f t="shared" si="1005"/>
        <v>6.0387656567070624E-2</v>
      </c>
      <c r="Q769">
        <f t="shared" si="1006"/>
        <v>1660.1801309040075</v>
      </c>
      <c r="R769">
        <f t="shared" si="1007"/>
        <v>1462737.7357332846</v>
      </c>
      <c r="S769">
        <f t="shared" si="1008"/>
        <v>14.627377357332847</v>
      </c>
      <c r="T769">
        <f t="shared" si="1009"/>
        <v>1.4627377357332848E-2</v>
      </c>
    </row>
    <row r="770" spans="1:20" x14ac:dyDescent="0.25">
      <c r="A770" s="5">
        <v>43823</v>
      </c>
      <c r="B770">
        <v>7317.3</v>
      </c>
      <c r="C770">
        <v>7436.68</v>
      </c>
      <c r="D770">
        <v>7157.04</v>
      </c>
      <c r="E770">
        <v>7255.77</v>
      </c>
      <c r="F770">
        <v>43629.494187999997</v>
      </c>
      <c r="G770">
        <v>-0.84</v>
      </c>
      <c r="L770" t="s">
        <v>8</v>
      </c>
      <c r="M770" t="s">
        <v>8</v>
      </c>
      <c r="N770" t="s">
        <v>7</v>
      </c>
      <c r="P770">
        <f t="shared" si="1005"/>
        <v>-0.29387784294092151</v>
      </c>
      <c r="Q770">
        <f t="shared" si="1006"/>
        <v>-12821.741640572911</v>
      </c>
      <c r="R770">
        <f t="shared" si="1007"/>
        <v>1461077.5556023805</v>
      </c>
      <c r="S770">
        <f t="shared" si="1008"/>
        <v>14.610775556023805</v>
      </c>
      <c r="T770">
        <f t="shared" si="1009"/>
        <v>1.4610775556023805E-2</v>
      </c>
    </row>
    <row r="771" spans="1:20" x14ac:dyDescent="0.25">
      <c r="A771" s="5">
        <v>43822</v>
      </c>
      <c r="B771">
        <v>7500.71</v>
      </c>
      <c r="C771">
        <v>7695.38</v>
      </c>
      <c r="D771">
        <v>7265.84</v>
      </c>
      <c r="E771">
        <v>7317.09</v>
      </c>
      <c r="F771">
        <v>68051.997203000006</v>
      </c>
      <c r="G771">
        <v>-2.4500000000000002</v>
      </c>
      <c r="L771" t="s">
        <v>8</v>
      </c>
      <c r="M771" t="s">
        <v>8</v>
      </c>
      <c r="N771" t="s">
        <v>7</v>
      </c>
      <c r="P771">
        <f t="shared" si="1005"/>
        <v>-0.76137263118685106</v>
      </c>
      <c r="Q771">
        <f t="shared" si="1006"/>
        <v>-51812.928167968341</v>
      </c>
      <c r="R771">
        <f t="shared" si="1007"/>
        <v>1473899.2972429534</v>
      </c>
      <c r="S771">
        <f t="shared" si="1008"/>
        <v>14.738992972429534</v>
      </c>
      <c r="T771">
        <f t="shared" si="1009"/>
        <v>1.4738992972429534E-2</v>
      </c>
    </row>
    <row r="772" spans="1:20" x14ac:dyDescent="0.25">
      <c r="A772" s="5">
        <v>43821</v>
      </c>
      <c r="B772">
        <v>7131.59</v>
      </c>
      <c r="C772">
        <v>7518.54</v>
      </c>
      <c r="D772">
        <v>7122.47</v>
      </c>
      <c r="E772">
        <v>7501.44</v>
      </c>
      <c r="F772">
        <v>39137.455150000002</v>
      </c>
      <c r="G772">
        <v>5.19</v>
      </c>
      <c r="L772" t="s">
        <v>8</v>
      </c>
      <c r="M772" t="s">
        <v>7</v>
      </c>
      <c r="N772" t="s">
        <v>7</v>
      </c>
      <c r="P772">
        <f t="shared" si="1005"/>
        <v>0.91365162723760762</v>
      </c>
      <c r="Q772">
        <f t="shared" si="1006"/>
        <v>35757.999583736389</v>
      </c>
      <c r="R772">
        <f t="shared" si="1007"/>
        <v>1525712.2254109217</v>
      </c>
      <c r="S772">
        <f t="shared" si="1008"/>
        <v>15.257122254109218</v>
      </c>
      <c r="T772">
        <f t="shared" si="1009"/>
        <v>1.5257122254109218E-2</v>
      </c>
    </row>
    <row r="773" spans="1:20" x14ac:dyDescent="0.25">
      <c r="A773" s="5">
        <v>43820</v>
      </c>
      <c r="B773">
        <v>7188.01</v>
      </c>
      <c r="C773">
        <v>7190.58</v>
      </c>
      <c r="D773">
        <v>7105</v>
      </c>
      <c r="E773">
        <v>7132.75</v>
      </c>
      <c r="F773">
        <v>19467.174028000001</v>
      </c>
      <c r="G773">
        <v>-0.77</v>
      </c>
      <c r="L773" t="s">
        <v>8</v>
      </c>
      <c r="M773" t="s">
        <v>7</v>
      </c>
      <c r="N773" t="s">
        <v>7</v>
      </c>
      <c r="P773">
        <f t="shared" si="1005"/>
        <v>-0.35148399158681881</v>
      </c>
      <c r="Q773">
        <f t="shared" si="1006"/>
        <v>-6842.4000322766897</v>
      </c>
      <c r="R773">
        <f t="shared" si="1007"/>
        <v>1489954.2258271854</v>
      </c>
      <c r="S773">
        <f t="shared" si="1008"/>
        <v>14.899542258271854</v>
      </c>
      <c r="T773">
        <f t="shared" si="1009"/>
        <v>1.4899542258271854E-2</v>
      </c>
    </row>
    <row r="774" spans="1:20" x14ac:dyDescent="0.25">
      <c r="A774" s="5">
        <v>43819</v>
      </c>
      <c r="B774">
        <v>7151.31</v>
      </c>
      <c r="C774">
        <v>7220</v>
      </c>
      <c r="D774">
        <v>7079.5</v>
      </c>
      <c r="E774">
        <v>7187.83</v>
      </c>
      <c r="F774">
        <v>32132.069205</v>
      </c>
      <c r="G774">
        <v>0.51</v>
      </c>
      <c r="L774" t="s">
        <v>8</v>
      </c>
      <c r="M774" t="s">
        <v>7</v>
      </c>
      <c r="N774" t="s">
        <v>7</v>
      </c>
      <c r="P774">
        <f t="shared" si="1005"/>
        <v>0.54206405693950077</v>
      </c>
      <c r="Q774">
        <f t="shared" si="1006"/>
        <v>17417.6397911231</v>
      </c>
      <c r="R774">
        <f t="shared" si="1007"/>
        <v>1496796.6258594622</v>
      </c>
      <c r="S774">
        <f t="shared" si="1008"/>
        <v>14.967966258594622</v>
      </c>
      <c r="T774">
        <f t="shared" si="1009"/>
        <v>1.4967966258594622E-2</v>
      </c>
    </row>
    <row r="775" spans="1:20" x14ac:dyDescent="0.25">
      <c r="A775" s="5">
        <v>43818</v>
      </c>
      <c r="B775">
        <v>7277.83</v>
      </c>
      <c r="C775">
        <v>7380</v>
      </c>
      <c r="D775">
        <v>7038.31</v>
      </c>
      <c r="E775">
        <v>7150.3</v>
      </c>
      <c r="F775">
        <v>55509.049075000003</v>
      </c>
      <c r="G775">
        <v>-1.75</v>
      </c>
      <c r="L775" t="s">
        <v>8</v>
      </c>
      <c r="M775" t="s">
        <v>7</v>
      </c>
      <c r="N775" t="s">
        <v>7</v>
      </c>
      <c r="P775">
        <f t="shared" si="1005"/>
        <v>-0.34449354678217148</v>
      </c>
      <c r="Q775">
        <f t="shared" si="1006"/>
        <v>-19122.509194352366</v>
      </c>
      <c r="R775">
        <f t="shared" si="1007"/>
        <v>1479378.9860683391</v>
      </c>
      <c r="S775">
        <f t="shared" si="1008"/>
        <v>14.793789860683392</v>
      </c>
      <c r="T775">
        <f t="shared" si="1009"/>
        <v>1.4793789860683391E-2</v>
      </c>
    </row>
    <row r="776" spans="1:20" x14ac:dyDescent="0.25">
      <c r="A776" s="5">
        <v>43817</v>
      </c>
      <c r="B776">
        <v>6623.84</v>
      </c>
      <c r="C776">
        <v>7440</v>
      </c>
      <c r="D776">
        <v>6435</v>
      </c>
      <c r="E776">
        <v>7277.83</v>
      </c>
      <c r="F776">
        <v>95636.651251000003</v>
      </c>
      <c r="G776">
        <v>9.8699999999999992</v>
      </c>
      <c r="L776" t="s">
        <v>7</v>
      </c>
      <c r="M776" t="s">
        <v>7</v>
      </c>
      <c r="N776" t="s">
        <v>7</v>
      </c>
      <c r="P776">
        <f t="shared" si="1005"/>
        <v>0.67727363184079592</v>
      </c>
      <c r="Q776">
        <f t="shared" si="1006"/>
        <v>64772.182129856374</v>
      </c>
      <c r="R776">
        <f t="shared" si="1007"/>
        <v>1498501.4952626915</v>
      </c>
      <c r="S776">
        <f t="shared" si="1008"/>
        <v>14.985014952626916</v>
      </c>
      <c r="T776">
        <f t="shared" si="1009"/>
        <v>1.4985014952626916E-2</v>
      </c>
    </row>
    <row r="777" spans="1:20" x14ac:dyDescent="0.25">
      <c r="A777" s="5">
        <v>43816</v>
      </c>
      <c r="B777">
        <v>6891.44</v>
      </c>
      <c r="C777">
        <v>6942.21</v>
      </c>
      <c r="D777">
        <v>6560</v>
      </c>
      <c r="E777">
        <v>6623.82</v>
      </c>
      <c r="F777">
        <v>53865.069928999998</v>
      </c>
      <c r="G777">
        <v>-3.88</v>
      </c>
      <c r="L777" t="s">
        <v>7</v>
      </c>
      <c r="M777" t="s">
        <v>8</v>
      </c>
      <c r="N777" t="s">
        <v>7</v>
      </c>
      <c r="P777">
        <f t="shared" si="1005"/>
        <v>-0.66604746081996968</v>
      </c>
      <c r="Q777">
        <f t="shared" si="1006"/>
        <v>-35876.693053100556</v>
      </c>
      <c r="R777">
        <f t="shared" si="1007"/>
        <v>1433729.3131328351</v>
      </c>
      <c r="S777">
        <f t="shared" si="1008"/>
        <v>14.337293131328352</v>
      </c>
      <c r="T777">
        <f t="shared" si="1009"/>
        <v>1.4337293131328352E-2</v>
      </c>
    </row>
    <row r="778" spans="1:20" x14ac:dyDescent="0.25">
      <c r="A778" s="5">
        <v>43815</v>
      </c>
      <c r="B778">
        <v>7119.6</v>
      </c>
      <c r="C778">
        <v>7150</v>
      </c>
      <c r="D778">
        <v>6836</v>
      </c>
      <c r="E778">
        <v>6891.72</v>
      </c>
      <c r="F778">
        <v>43863.993059</v>
      </c>
      <c r="G778">
        <v>-3.2</v>
      </c>
      <c r="L778" t="s">
        <v>7</v>
      </c>
      <c r="M778" t="s">
        <v>8</v>
      </c>
      <c r="N778" t="s">
        <v>7</v>
      </c>
      <c r="P778">
        <f t="shared" si="1005"/>
        <v>-0.64509554140127223</v>
      </c>
      <c r="Q778">
        <f t="shared" si="1006"/>
        <v>-28296.466350417253</v>
      </c>
      <c r="R778">
        <f t="shared" si="1007"/>
        <v>1469606.0061859356</v>
      </c>
      <c r="S778">
        <f t="shared" si="1008"/>
        <v>14.696060061859356</v>
      </c>
      <c r="T778">
        <f t="shared" si="1009"/>
        <v>1.4696060061859357E-2</v>
      </c>
    </row>
    <row r="779" spans="1:20" x14ac:dyDescent="0.25">
      <c r="A779" s="5">
        <v>43814</v>
      </c>
      <c r="B779">
        <v>7064.14</v>
      </c>
      <c r="C779">
        <v>7200.3</v>
      </c>
      <c r="D779">
        <v>7008.35</v>
      </c>
      <c r="E779">
        <v>7118.59</v>
      </c>
      <c r="F779">
        <v>26395.778137000001</v>
      </c>
      <c r="G779">
        <v>0.77</v>
      </c>
      <c r="L779" t="s">
        <v>7</v>
      </c>
      <c r="M779" t="s">
        <v>8</v>
      </c>
      <c r="N779" t="s">
        <v>7</v>
      </c>
      <c r="P779">
        <f t="shared" si="1005"/>
        <v>0.14863245636884487</v>
      </c>
      <c r="Q779">
        <f t="shared" si="1006"/>
        <v>3923.2693422693619</v>
      </c>
      <c r="R779">
        <f t="shared" si="1007"/>
        <v>1497902.4725363529</v>
      </c>
      <c r="S779">
        <f t="shared" si="1008"/>
        <v>14.97902472536353</v>
      </c>
      <c r="T779">
        <f t="shared" si="1009"/>
        <v>1.497902472536353E-2</v>
      </c>
    </row>
    <row r="780" spans="1:20" x14ac:dyDescent="0.25">
      <c r="A780" s="5">
        <v>43813</v>
      </c>
      <c r="B780">
        <v>7257.37</v>
      </c>
      <c r="C780">
        <v>7271.77</v>
      </c>
      <c r="D780">
        <v>7012</v>
      </c>
      <c r="E780">
        <v>7064.05</v>
      </c>
      <c r="F780">
        <v>29561.985967000001</v>
      </c>
      <c r="G780">
        <v>-2.66</v>
      </c>
      <c r="L780" t="s">
        <v>7</v>
      </c>
      <c r="M780" t="s">
        <v>8</v>
      </c>
      <c r="N780" t="s">
        <v>7</v>
      </c>
      <c r="P780">
        <f t="shared" si="1005"/>
        <v>-0.5992608846287093</v>
      </c>
      <c r="Q780">
        <f t="shared" si="1006"/>
        <v>-17715.34186196591</v>
      </c>
      <c r="R780">
        <f t="shared" si="1007"/>
        <v>1493979.2031940836</v>
      </c>
      <c r="S780">
        <f t="shared" si="1008"/>
        <v>14.939792031940836</v>
      </c>
      <c r="T780">
        <f t="shared" si="1009"/>
        <v>1.4939792031940836E-2</v>
      </c>
    </row>
    <row r="781" spans="1:20" x14ac:dyDescent="0.25">
      <c r="A781" s="5">
        <v>43812</v>
      </c>
      <c r="B781">
        <v>7197.76</v>
      </c>
      <c r="C781">
        <v>7309.05</v>
      </c>
      <c r="D781">
        <v>7190.76</v>
      </c>
      <c r="E781">
        <v>7258.48</v>
      </c>
      <c r="F781">
        <v>27609.873795</v>
      </c>
      <c r="G781">
        <v>0.84</v>
      </c>
      <c r="L781" t="s">
        <v>7</v>
      </c>
      <c r="M781" t="s">
        <v>8</v>
      </c>
      <c r="N781" t="s">
        <v>7</v>
      </c>
      <c r="P781">
        <f t="shared" si="1005"/>
        <v>0.14498266971002394</v>
      </c>
      <c r="Q781">
        <f t="shared" si="1006"/>
        <v>4002.9532131559299</v>
      </c>
      <c r="R781">
        <f t="shared" si="1007"/>
        <v>1511694.5450560495</v>
      </c>
      <c r="S781">
        <f t="shared" si="1008"/>
        <v>15.116945450560495</v>
      </c>
      <c r="T781">
        <f t="shared" si="1009"/>
        <v>1.5116945450560495E-2</v>
      </c>
    </row>
    <row r="782" spans="1:20" x14ac:dyDescent="0.25">
      <c r="A782" s="5">
        <v>43811</v>
      </c>
      <c r="B782">
        <v>7210</v>
      </c>
      <c r="C782">
        <v>7295</v>
      </c>
      <c r="D782">
        <v>7080.3</v>
      </c>
      <c r="E782">
        <v>7198.08</v>
      </c>
      <c r="F782">
        <v>42288.600932000001</v>
      </c>
      <c r="G782">
        <v>-0.17</v>
      </c>
      <c r="L782" t="s">
        <v>7</v>
      </c>
      <c r="M782" t="s">
        <v>8</v>
      </c>
      <c r="N782" t="s">
        <v>7</v>
      </c>
      <c r="P782">
        <f t="shared" si="1005"/>
        <v>9.7158826269211407E-2</v>
      </c>
      <c r="Q782">
        <f t="shared" si="1006"/>
        <v>4108.7108311202001</v>
      </c>
      <c r="R782">
        <f t="shared" si="1007"/>
        <v>1507691.5918428935</v>
      </c>
      <c r="S782">
        <f t="shared" si="1008"/>
        <v>15.076915918428934</v>
      </c>
      <c r="T782">
        <f t="shared" si="1009"/>
        <v>1.5076915918428935E-2</v>
      </c>
    </row>
    <row r="783" spans="1:20" x14ac:dyDescent="0.25">
      <c r="A783" s="5">
        <v>43810</v>
      </c>
      <c r="B783">
        <v>7224.15</v>
      </c>
      <c r="C783">
        <v>7275.5</v>
      </c>
      <c r="D783">
        <v>7125.66</v>
      </c>
      <c r="E783">
        <v>7210</v>
      </c>
      <c r="F783">
        <v>30093.091944</v>
      </c>
      <c r="G783">
        <v>-0.2</v>
      </c>
      <c r="L783" t="s">
        <v>7</v>
      </c>
      <c r="M783" t="s">
        <v>8</v>
      </c>
      <c r="N783" t="s">
        <v>7</v>
      </c>
      <c r="P783">
        <f t="shared" si="1005"/>
        <v>0.12573411639081772</v>
      </c>
      <c r="Q783">
        <f t="shared" si="1006"/>
        <v>3783.7283250464752</v>
      </c>
      <c r="R783">
        <f t="shared" si="1007"/>
        <v>1503582.8810117734</v>
      </c>
      <c r="S783">
        <f t="shared" si="1008"/>
        <v>15.035828810117733</v>
      </c>
      <c r="T783">
        <f t="shared" si="1009"/>
        <v>1.5035828810117733E-2</v>
      </c>
    </row>
    <row r="784" spans="1:20" x14ac:dyDescent="0.25">
      <c r="A784" s="5">
        <v>43809</v>
      </c>
      <c r="B784">
        <v>7338.64</v>
      </c>
      <c r="C784">
        <v>7407.6</v>
      </c>
      <c r="D784">
        <v>7157.1</v>
      </c>
      <c r="E784">
        <v>7224.13</v>
      </c>
      <c r="F784">
        <v>49723.762139999999</v>
      </c>
      <c r="G784">
        <v>-1.56</v>
      </c>
      <c r="L784" t="s">
        <v>8</v>
      </c>
      <c r="M784" t="s">
        <v>8</v>
      </c>
      <c r="N784" t="s">
        <v>7</v>
      </c>
      <c r="P784">
        <f t="shared" si="1005"/>
        <v>-0.46483033932135931</v>
      </c>
      <c r="Q784">
        <f t="shared" si="1006"/>
        <v>-23113.113227870759</v>
      </c>
      <c r="R784">
        <f t="shared" si="1007"/>
        <v>1499799.152686727</v>
      </c>
      <c r="S784">
        <f t="shared" si="1008"/>
        <v>14.997991526867271</v>
      </c>
      <c r="T784">
        <f t="shared" si="1009"/>
        <v>1.4997991526867271E-2</v>
      </c>
    </row>
    <row r="785" spans="1:20" x14ac:dyDescent="0.25">
      <c r="A785" s="5">
        <v>43808</v>
      </c>
      <c r="B785">
        <v>7510.11</v>
      </c>
      <c r="C785">
        <v>7650</v>
      </c>
      <c r="D785">
        <v>7273</v>
      </c>
      <c r="E785">
        <v>7338.64</v>
      </c>
      <c r="F785">
        <v>46621.887493000002</v>
      </c>
      <c r="G785">
        <v>-2.2799999999999998</v>
      </c>
      <c r="L785" t="s">
        <v>8</v>
      </c>
      <c r="M785" t="s">
        <v>8</v>
      </c>
      <c r="N785" t="s">
        <v>7</v>
      </c>
      <c r="P785">
        <f t="shared" si="1005"/>
        <v>-0.65177718832891074</v>
      </c>
      <c r="Q785">
        <f t="shared" si="1006"/>
        <v>-30387.08274477435</v>
      </c>
      <c r="R785">
        <f t="shared" si="1007"/>
        <v>1522912.2659145978</v>
      </c>
      <c r="S785">
        <f t="shared" si="1008"/>
        <v>15.229122659145977</v>
      </c>
      <c r="T785">
        <f t="shared" si="1009"/>
        <v>1.5229122659145977E-2</v>
      </c>
    </row>
    <row r="786" spans="1:20" x14ac:dyDescent="0.25">
      <c r="A786" s="5">
        <v>43807</v>
      </c>
      <c r="B786">
        <v>7487.31</v>
      </c>
      <c r="C786">
        <v>7564</v>
      </c>
      <c r="D786">
        <v>7374.86</v>
      </c>
      <c r="E786">
        <v>7510.11</v>
      </c>
      <c r="F786">
        <v>29856.897631</v>
      </c>
      <c r="G786">
        <v>0.3</v>
      </c>
      <c r="L786" t="s">
        <v>8</v>
      </c>
      <c r="M786" t="s">
        <v>8</v>
      </c>
      <c r="N786" t="s">
        <v>7</v>
      </c>
      <c r="P786">
        <f t="shared" si="1005"/>
        <v>0.43015755525007682</v>
      </c>
      <c r="Q786">
        <f t="shared" si="1006"/>
        <v>12843.170092302769</v>
      </c>
      <c r="R786">
        <f t="shared" si="1007"/>
        <v>1553299.3486593722</v>
      </c>
      <c r="S786">
        <f t="shared" si="1008"/>
        <v>15.532993486593721</v>
      </c>
      <c r="T786">
        <f t="shared" si="1009"/>
        <v>1.553299348659372E-2</v>
      </c>
    </row>
    <row r="787" spans="1:20" x14ac:dyDescent="0.25">
      <c r="A787" s="5">
        <v>43806</v>
      </c>
      <c r="B787">
        <v>7527.8</v>
      </c>
      <c r="C787">
        <v>7619.62</v>
      </c>
      <c r="D787">
        <v>7470.16</v>
      </c>
      <c r="E787">
        <v>7488.21</v>
      </c>
      <c r="F787">
        <v>31498.684173000001</v>
      </c>
      <c r="G787">
        <v>-0.53</v>
      </c>
      <c r="L787" t="s">
        <v>8</v>
      </c>
      <c r="M787" t="s">
        <v>8</v>
      </c>
      <c r="N787" t="s">
        <v>7</v>
      </c>
      <c r="P787">
        <f t="shared" si="1005"/>
        <v>-0.75846380302421812</v>
      </c>
      <c r="Q787">
        <f t="shared" si="1006"/>
        <v>-23890.611788112328</v>
      </c>
      <c r="R787">
        <f t="shared" si="1007"/>
        <v>1540456.1785670693</v>
      </c>
      <c r="S787">
        <f t="shared" si="1008"/>
        <v>15.404561785670694</v>
      </c>
      <c r="T787">
        <f t="shared" si="1009"/>
        <v>1.5404561785670694E-2</v>
      </c>
    </row>
    <row r="788" spans="1:20" x14ac:dyDescent="0.25">
      <c r="A788" s="5">
        <v>43805</v>
      </c>
      <c r="B788">
        <v>7389</v>
      </c>
      <c r="C788">
        <v>7590.03</v>
      </c>
      <c r="D788">
        <v>7305</v>
      </c>
      <c r="E788">
        <v>7527.47</v>
      </c>
      <c r="F788">
        <v>48189.087943999999</v>
      </c>
      <c r="G788">
        <v>1.87</v>
      </c>
      <c r="L788" t="s">
        <v>8</v>
      </c>
      <c r="M788" t="s">
        <v>8</v>
      </c>
      <c r="N788" t="s">
        <v>7</v>
      </c>
      <c r="P788">
        <f t="shared" si="1005"/>
        <v>0.56102866364944359</v>
      </c>
      <c r="Q788">
        <f t="shared" si="1006"/>
        <v>27035.459611707833</v>
      </c>
      <c r="R788">
        <f t="shared" si="1007"/>
        <v>1564346.7903551818</v>
      </c>
      <c r="S788">
        <f t="shared" si="1008"/>
        <v>15.643467903551818</v>
      </c>
      <c r="T788">
        <f t="shared" si="1009"/>
        <v>1.5643467903551818E-2</v>
      </c>
    </row>
    <row r="789" spans="1:20" x14ac:dyDescent="0.25">
      <c r="A789" s="5">
        <v>43804</v>
      </c>
      <c r="B789">
        <v>7194.59</v>
      </c>
      <c r="C789">
        <v>7485</v>
      </c>
      <c r="D789">
        <v>7150</v>
      </c>
      <c r="E789">
        <v>7389</v>
      </c>
      <c r="F789">
        <v>59306.678854999998</v>
      </c>
      <c r="G789">
        <v>2.7</v>
      </c>
      <c r="L789" t="s">
        <v>7</v>
      </c>
      <c r="M789" t="s">
        <v>8</v>
      </c>
      <c r="N789" t="s">
        <v>7</v>
      </c>
      <c r="P789">
        <f t="shared" si="1005"/>
        <v>0.42686567164179107</v>
      </c>
      <c r="Q789">
        <f t="shared" si="1006"/>
        <v>25315.985302283581</v>
      </c>
      <c r="R789">
        <f t="shared" si="1007"/>
        <v>1537311.330743474</v>
      </c>
      <c r="S789">
        <f t="shared" si="1008"/>
        <v>15.373113307434739</v>
      </c>
      <c r="T789">
        <f t="shared" si="1009"/>
        <v>1.537311330743474E-2</v>
      </c>
    </row>
    <row r="790" spans="1:20" x14ac:dyDescent="0.25">
      <c r="A790" s="5">
        <v>43803</v>
      </c>
      <c r="B790">
        <v>7292.71</v>
      </c>
      <c r="C790">
        <v>7750</v>
      </c>
      <c r="D790">
        <v>7067</v>
      </c>
      <c r="E790">
        <v>7194.32</v>
      </c>
      <c r="F790">
        <v>83147.149141999995</v>
      </c>
      <c r="G790">
        <v>-1.35</v>
      </c>
      <c r="L790" t="s">
        <v>7</v>
      </c>
      <c r="M790" t="s">
        <v>8</v>
      </c>
      <c r="N790" t="s">
        <v>7</v>
      </c>
      <c r="P790">
        <f t="shared" si="1005"/>
        <v>-0.62717423133235806</v>
      </c>
      <c r="Q790">
        <f t="shared" si="1006"/>
        <v>-52147.749350610778</v>
      </c>
      <c r="R790">
        <f t="shared" si="1007"/>
        <v>1511995.3454411903</v>
      </c>
      <c r="S790">
        <f t="shared" si="1008"/>
        <v>15.119953454411903</v>
      </c>
      <c r="T790">
        <f t="shared" si="1009"/>
        <v>1.5119953454411902E-2</v>
      </c>
    </row>
    <row r="791" spans="1:20" x14ac:dyDescent="0.25">
      <c r="A791" s="5">
        <v>43802</v>
      </c>
      <c r="B791">
        <v>7294.42</v>
      </c>
      <c r="C791">
        <v>7400</v>
      </c>
      <c r="D791">
        <v>7241.35</v>
      </c>
      <c r="E791">
        <v>7292.71</v>
      </c>
      <c r="F791">
        <v>33149.477486999996</v>
      </c>
      <c r="G791">
        <v>-0.02</v>
      </c>
      <c r="L791" t="s">
        <v>7</v>
      </c>
      <c r="M791" t="s">
        <v>8</v>
      </c>
      <c r="N791" t="s">
        <v>7</v>
      </c>
      <c r="P791">
        <f t="shared" si="1005"/>
        <v>-0.35253703120075902</v>
      </c>
      <c r="Q791">
        <f t="shared" si="1006"/>
        <v>-11686.418379123377</v>
      </c>
      <c r="R791">
        <f t="shared" si="1007"/>
        <v>1564143.0947918012</v>
      </c>
      <c r="S791">
        <f t="shared" si="1008"/>
        <v>15.641430947918012</v>
      </c>
      <c r="T791">
        <f t="shared" si="1009"/>
        <v>1.5641430947918013E-2</v>
      </c>
    </row>
    <row r="792" spans="1:20" x14ac:dyDescent="0.25">
      <c r="A792" s="5">
        <v>43801</v>
      </c>
      <c r="B792">
        <v>7391.5</v>
      </c>
      <c r="C792">
        <v>7420.56</v>
      </c>
      <c r="D792">
        <v>7151.1</v>
      </c>
      <c r="E792">
        <v>7294.28</v>
      </c>
      <c r="F792">
        <v>46330.25604</v>
      </c>
      <c r="G792">
        <v>-1.32</v>
      </c>
      <c r="L792" t="s">
        <v>7</v>
      </c>
      <c r="M792" t="s">
        <v>8</v>
      </c>
      <c r="N792" t="s">
        <v>7</v>
      </c>
      <c r="P792">
        <f t="shared" si="1005"/>
        <v>6.2718028649887639E-2</v>
      </c>
      <c r="Q792">
        <f t="shared" si="1006"/>
        <v>2905.74232567335</v>
      </c>
      <c r="R792">
        <f t="shared" si="1007"/>
        <v>1575829.5131709245</v>
      </c>
      <c r="S792">
        <f t="shared" si="1008"/>
        <v>15.758295131709245</v>
      </c>
      <c r="T792">
        <f t="shared" si="1009"/>
        <v>1.5758295131709246E-2</v>
      </c>
    </row>
    <row r="793" spans="1:20" x14ac:dyDescent="0.25">
      <c r="A793" s="5">
        <v>43800</v>
      </c>
      <c r="B793">
        <v>7540.63</v>
      </c>
      <c r="C793">
        <v>7541.85</v>
      </c>
      <c r="D793">
        <v>7210</v>
      </c>
      <c r="E793">
        <v>7390.89</v>
      </c>
      <c r="F793">
        <v>60769.342313000001</v>
      </c>
      <c r="G793">
        <v>-1.99</v>
      </c>
      <c r="L793" t="s">
        <v>7</v>
      </c>
      <c r="M793" t="s">
        <v>8</v>
      </c>
      <c r="N793" t="s">
        <v>7</v>
      </c>
      <c r="P793">
        <f t="shared" si="1005"/>
        <v>9.019135151423914E-2</v>
      </c>
      <c r="Q793">
        <f t="shared" si="1006"/>
        <v>5480.8691138409094</v>
      </c>
      <c r="R793">
        <f t="shared" si="1007"/>
        <v>1572923.7708452512</v>
      </c>
      <c r="S793">
        <f t="shared" si="1008"/>
        <v>15.729237708452512</v>
      </c>
      <c r="T793">
        <f t="shared" si="1009"/>
        <v>1.5729237708452512E-2</v>
      </c>
    </row>
    <row r="794" spans="1:20" x14ac:dyDescent="0.25">
      <c r="A794" s="5">
        <v>43799</v>
      </c>
      <c r="B794">
        <v>7740.99</v>
      </c>
      <c r="C794">
        <v>7810</v>
      </c>
      <c r="D794">
        <v>7441</v>
      </c>
      <c r="E794">
        <v>7541.89</v>
      </c>
      <c r="F794">
        <v>46989.433619000003</v>
      </c>
      <c r="G794">
        <v>-2.57</v>
      </c>
      <c r="L794" t="s">
        <v>8</v>
      </c>
      <c r="M794" t="s">
        <v>8</v>
      </c>
      <c r="N794" t="s">
        <v>7</v>
      </c>
      <c r="P794">
        <f t="shared" si="1005"/>
        <v>-0.45317073170731531</v>
      </c>
      <c r="Q794">
        <f t="shared" si="1006"/>
        <v>-21294.236015634553</v>
      </c>
      <c r="R794">
        <f t="shared" si="1007"/>
        <v>1567442.9017314103</v>
      </c>
      <c r="S794">
        <f t="shared" si="1008"/>
        <v>15.674429017314102</v>
      </c>
      <c r="T794">
        <f t="shared" si="1009"/>
        <v>1.5674429017314102E-2</v>
      </c>
    </row>
    <row r="795" spans="1:20" x14ac:dyDescent="0.25">
      <c r="A795" s="5">
        <v>43798</v>
      </c>
      <c r="B795">
        <v>7418.52</v>
      </c>
      <c r="C795">
        <v>7850</v>
      </c>
      <c r="D795">
        <v>7362.3</v>
      </c>
      <c r="E795">
        <v>7739.68</v>
      </c>
      <c r="F795">
        <v>60745.300873</v>
      </c>
      <c r="G795">
        <v>4.33</v>
      </c>
      <c r="L795" t="s">
        <v>8</v>
      </c>
      <c r="M795" t="s">
        <v>8</v>
      </c>
      <c r="N795" t="s">
        <v>7</v>
      </c>
      <c r="P795">
        <f t="shared" si="1005"/>
        <v>0.54759073200738262</v>
      </c>
      <c r="Q795">
        <f t="shared" si="1006"/>
        <v>33263.563771054767</v>
      </c>
      <c r="R795">
        <f t="shared" si="1007"/>
        <v>1588737.1377470449</v>
      </c>
      <c r="S795">
        <f t="shared" si="1008"/>
        <v>15.887371377470449</v>
      </c>
      <c r="T795">
        <f t="shared" si="1009"/>
        <v>1.5887371377470448E-2</v>
      </c>
    </row>
    <row r="796" spans="1:20" x14ac:dyDescent="0.25">
      <c r="A796" s="5">
        <v>43797</v>
      </c>
      <c r="B796">
        <v>7507.9</v>
      </c>
      <c r="C796">
        <v>7643</v>
      </c>
      <c r="D796">
        <v>7360</v>
      </c>
      <c r="E796">
        <v>7419.49</v>
      </c>
      <c r="F796">
        <v>56933.981109</v>
      </c>
      <c r="G796">
        <v>-1.18</v>
      </c>
      <c r="L796" t="s">
        <v>8</v>
      </c>
      <c r="M796" t="s">
        <v>8</v>
      </c>
      <c r="N796" t="s">
        <v>7</v>
      </c>
      <c r="P796">
        <f t="shared" si="1005"/>
        <v>-0.57957597173145026</v>
      </c>
      <c r="Q796">
        <f t="shared" si="1006"/>
        <v>-32997.567425788708</v>
      </c>
      <c r="R796">
        <f t="shared" si="1007"/>
        <v>1555473.5739759901</v>
      </c>
      <c r="S796">
        <f t="shared" si="1008"/>
        <v>15.5547357397599</v>
      </c>
      <c r="T796">
        <f t="shared" si="1009"/>
        <v>1.5554735739759901E-2</v>
      </c>
    </row>
    <row r="797" spans="1:20" x14ac:dyDescent="0.25">
      <c r="A797" s="5">
        <v>43796</v>
      </c>
      <c r="B797">
        <v>7154.75</v>
      </c>
      <c r="C797">
        <v>7655</v>
      </c>
      <c r="D797">
        <v>6840</v>
      </c>
      <c r="E797">
        <v>7508.52</v>
      </c>
      <c r="F797">
        <v>92452.873489999998</v>
      </c>
      <c r="G797">
        <v>4.9400000000000004</v>
      </c>
      <c r="L797" t="s">
        <v>8</v>
      </c>
      <c r="M797" t="s">
        <v>8</v>
      </c>
      <c r="N797" t="s">
        <v>7</v>
      </c>
      <c r="P797">
        <f t="shared" si="1005"/>
        <v>0.64053987730061457</v>
      </c>
      <c r="Q797">
        <f t="shared" si="1006"/>
        <v>59219.752241373841</v>
      </c>
      <c r="R797">
        <f t="shared" si="1007"/>
        <v>1588471.1414017787</v>
      </c>
      <c r="S797">
        <f t="shared" si="1008"/>
        <v>15.884711414017787</v>
      </c>
      <c r="T797">
        <f t="shared" si="1009"/>
        <v>1.5884711414017788E-2</v>
      </c>
    </row>
    <row r="798" spans="1:20" x14ac:dyDescent="0.25">
      <c r="A798" s="5">
        <v>43795</v>
      </c>
      <c r="B798">
        <v>7109.99</v>
      </c>
      <c r="C798">
        <v>7340</v>
      </c>
      <c r="D798">
        <v>7017.48</v>
      </c>
      <c r="E798">
        <v>7156.14</v>
      </c>
      <c r="F798">
        <v>65722.397689999998</v>
      </c>
      <c r="G798">
        <v>0.65</v>
      </c>
      <c r="L798" t="s">
        <v>8</v>
      </c>
      <c r="M798" t="s">
        <v>7</v>
      </c>
      <c r="N798" t="s">
        <v>7</v>
      </c>
      <c r="P798">
        <f t="shared" si="1005"/>
        <v>-0.14014634751332894</v>
      </c>
      <c r="Q798">
        <f t="shared" si="1006"/>
        <v>-9210.7539860719462</v>
      </c>
      <c r="R798">
        <f t="shared" si="1007"/>
        <v>1529251.3891604049</v>
      </c>
      <c r="S798">
        <f t="shared" si="1008"/>
        <v>15.292513891604049</v>
      </c>
      <c r="T798">
        <f t="shared" si="1009"/>
        <v>1.5292513891604048E-2</v>
      </c>
    </row>
    <row r="799" spans="1:20" x14ac:dyDescent="0.25">
      <c r="A799" s="5">
        <v>43794</v>
      </c>
      <c r="B799">
        <v>6900.23</v>
      </c>
      <c r="C799">
        <v>7377.69</v>
      </c>
      <c r="D799">
        <v>6515</v>
      </c>
      <c r="E799">
        <v>7109.57</v>
      </c>
      <c r="F799">
        <v>119645.735197</v>
      </c>
      <c r="G799">
        <v>3.03</v>
      </c>
      <c r="L799" t="s">
        <v>7</v>
      </c>
      <c r="M799" t="s">
        <v>7</v>
      </c>
      <c r="N799" t="s">
        <v>7</v>
      </c>
      <c r="P799">
        <f t="shared" si="1005"/>
        <v>0.3784093938726541</v>
      </c>
      <c r="Q799">
        <f t="shared" si="1006"/>
        <v>45275.070135344846</v>
      </c>
      <c r="R799">
        <f t="shared" si="1007"/>
        <v>1538462.1431464769</v>
      </c>
      <c r="S799">
        <f t="shared" si="1008"/>
        <v>15.384621431464769</v>
      </c>
      <c r="T799">
        <f t="shared" si="1009"/>
        <v>1.538462143146477E-2</v>
      </c>
    </row>
    <row r="800" spans="1:20" x14ac:dyDescent="0.25">
      <c r="A800" s="5">
        <v>43793</v>
      </c>
      <c r="B800">
        <v>7311.1</v>
      </c>
      <c r="C800">
        <v>7330.39</v>
      </c>
      <c r="D800">
        <v>6861</v>
      </c>
      <c r="E800">
        <v>6903.28</v>
      </c>
      <c r="F800">
        <v>67890.206483000002</v>
      </c>
      <c r="G800">
        <v>-5.58</v>
      </c>
      <c r="L800" t="s">
        <v>8</v>
      </c>
      <c r="M800" t="s">
        <v>7</v>
      </c>
      <c r="N800" t="s">
        <v>7</v>
      </c>
      <c r="P800">
        <f t="shared" si="1005"/>
        <v>-0.8198512963633664</v>
      </c>
      <c r="Q800">
        <f t="shared" si="1006"/>
        <v>-55659.873795464177</v>
      </c>
      <c r="R800">
        <f t="shared" si="1007"/>
        <v>1493187.0730111322</v>
      </c>
      <c r="S800">
        <f t="shared" si="1008"/>
        <v>14.931870730111322</v>
      </c>
      <c r="T800">
        <f t="shared" si="1009"/>
        <v>1.4931870730111322E-2</v>
      </c>
    </row>
    <row r="801" spans="1:20" x14ac:dyDescent="0.25">
      <c r="A801" s="5">
        <v>43792</v>
      </c>
      <c r="B801">
        <v>7268.23</v>
      </c>
      <c r="C801">
        <v>7344.48</v>
      </c>
      <c r="D801">
        <v>7080.01</v>
      </c>
      <c r="E801">
        <v>7311.57</v>
      </c>
      <c r="F801">
        <v>50449.894755000001</v>
      </c>
      <c r="G801">
        <v>0.6</v>
      </c>
      <c r="L801" t="s">
        <v>8</v>
      </c>
      <c r="M801" t="s">
        <v>7</v>
      </c>
      <c r="N801" t="s">
        <v>7</v>
      </c>
      <c r="P801">
        <f t="shared" si="1005"/>
        <v>0.75112489129201854</v>
      </c>
      <c r="Q801">
        <f t="shared" si="1006"/>
        <v>37894.171713543154</v>
      </c>
      <c r="R801">
        <f t="shared" si="1007"/>
        <v>1548846.9468065964</v>
      </c>
      <c r="S801">
        <f t="shared" si="1008"/>
        <v>15.488469468065963</v>
      </c>
      <c r="T801">
        <f t="shared" si="1009"/>
        <v>1.5488469468065964E-2</v>
      </c>
    </row>
    <row r="802" spans="1:20" x14ac:dyDescent="0.25">
      <c r="A802" s="5">
        <v>43791</v>
      </c>
      <c r="B802">
        <v>7627.79</v>
      </c>
      <c r="C802">
        <v>7750</v>
      </c>
      <c r="D802">
        <v>6790</v>
      </c>
      <c r="E802">
        <v>7268.23</v>
      </c>
      <c r="F802">
        <v>126603.14025900001</v>
      </c>
      <c r="G802">
        <v>-4.71</v>
      </c>
      <c r="L802" t="s">
        <v>7</v>
      </c>
      <c r="M802" t="s">
        <v>7</v>
      </c>
      <c r="N802" t="s">
        <v>7</v>
      </c>
      <c r="P802">
        <f t="shared" si="1005"/>
        <v>-3.6875000000009097E-3</v>
      </c>
      <c r="Q802">
        <f t="shared" si="1006"/>
        <v>-466.8490797051777</v>
      </c>
      <c r="R802">
        <f t="shared" si="1007"/>
        <v>1510952.7750930532</v>
      </c>
      <c r="S802">
        <f t="shared" si="1008"/>
        <v>15.109527750930532</v>
      </c>
      <c r="T802">
        <f t="shared" si="1009"/>
        <v>1.5109527750930532E-2</v>
      </c>
    </row>
    <row r="803" spans="1:20" x14ac:dyDescent="0.25">
      <c r="A803" s="5">
        <v>43790</v>
      </c>
      <c r="B803">
        <v>8098.56</v>
      </c>
      <c r="C803">
        <v>8134.73</v>
      </c>
      <c r="D803">
        <v>7500</v>
      </c>
      <c r="E803">
        <v>7627.74</v>
      </c>
      <c r="F803">
        <v>58418.780261</v>
      </c>
      <c r="G803">
        <v>-5.81</v>
      </c>
      <c r="L803" t="s">
        <v>7</v>
      </c>
      <c r="M803" t="s">
        <v>7</v>
      </c>
      <c r="N803" t="s">
        <v>7</v>
      </c>
      <c r="P803">
        <f t="shared" si="1005"/>
        <v>-0.59749814881918339</v>
      </c>
      <c r="Q803">
        <f t="shared" si="1006"/>
        <v>-34905.113062222154</v>
      </c>
      <c r="R803">
        <f t="shared" si="1007"/>
        <v>1511419.6241727583</v>
      </c>
      <c r="S803">
        <f t="shared" si="1008"/>
        <v>15.114196241727583</v>
      </c>
      <c r="T803">
        <f t="shared" si="1009"/>
        <v>1.5114196241727584E-2</v>
      </c>
    </row>
    <row r="804" spans="1:20" x14ac:dyDescent="0.25">
      <c r="A804" s="5">
        <v>43789</v>
      </c>
      <c r="B804">
        <v>8133.83</v>
      </c>
      <c r="C804">
        <v>8264.2900000000009</v>
      </c>
      <c r="D804">
        <v>8038.4</v>
      </c>
      <c r="E804">
        <v>8098.01</v>
      </c>
      <c r="F804">
        <v>32466.23098</v>
      </c>
      <c r="G804">
        <v>-0.44</v>
      </c>
      <c r="L804" t="s">
        <v>7</v>
      </c>
      <c r="M804" t="s">
        <v>7</v>
      </c>
      <c r="N804" t="s">
        <v>8</v>
      </c>
      <c r="P804">
        <f t="shared" si="1005"/>
        <v>-0.47222099251848021</v>
      </c>
      <c r="Q804">
        <f t="shared" si="1006"/>
        <v>-15331.23581670983</v>
      </c>
      <c r="R804">
        <f t="shared" si="1007"/>
        <v>1546324.7372349806</v>
      </c>
      <c r="S804">
        <f t="shared" si="1008"/>
        <v>15.463247372349805</v>
      </c>
      <c r="T804">
        <f t="shared" si="1009"/>
        <v>1.5463247372349805E-2</v>
      </c>
    </row>
    <row r="805" spans="1:20" x14ac:dyDescent="0.25">
      <c r="A805" s="5">
        <v>43788</v>
      </c>
      <c r="B805">
        <v>8186.5</v>
      </c>
      <c r="C805">
        <v>8218.6299999999992</v>
      </c>
      <c r="D805">
        <v>8003</v>
      </c>
      <c r="E805">
        <v>8133.64</v>
      </c>
      <c r="F805">
        <v>43556.061025000003</v>
      </c>
      <c r="G805">
        <v>-0.65</v>
      </c>
      <c r="L805" t="s">
        <v>7</v>
      </c>
      <c r="M805" t="s">
        <v>7</v>
      </c>
      <c r="N805" t="s">
        <v>8</v>
      </c>
      <c r="P805">
        <f t="shared" si="1005"/>
        <v>0.2117052358206262</v>
      </c>
      <c r="Q805">
        <f t="shared" si="1006"/>
        <v>9221.0461707152117</v>
      </c>
      <c r="R805">
        <f t="shared" si="1007"/>
        <v>1561655.9730516905</v>
      </c>
      <c r="S805">
        <f t="shared" si="1008"/>
        <v>15.616559730516904</v>
      </c>
      <c r="T805">
        <f t="shared" si="1009"/>
        <v>1.5616559730516904E-2</v>
      </c>
    </row>
    <row r="806" spans="1:20" x14ac:dyDescent="0.25">
      <c r="A806" s="5">
        <v>43787</v>
      </c>
      <c r="B806">
        <v>8502.8700000000008</v>
      </c>
      <c r="C806">
        <v>8503.52</v>
      </c>
      <c r="D806">
        <v>8060</v>
      </c>
      <c r="E806">
        <v>8187.17</v>
      </c>
      <c r="F806">
        <v>43017.69094</v>
      </c>
      <c r="G806">
        <v>-3.71</v>
      </c>
      <c r="L806" t="s">
        <v>7</v>
      </c>
      <c r="M806" t="s">
        <v>7</v>
      </c>
      <c r="N806" t="s">
        <v>8</v>
      </c>
      <c r="P806">
        <f t="shared" si="1005"/>
        <v>-0.42654220779220803</v>
      </c>
      <c r="Q806">
        <f t="shared" si="1006"/>
        <v>-18348.860867670464</v>
      </c>
      <c r="R806">
        <f t="shared" si="1007"/>
        <v>1552434.9268809753</v>
      </c>
      <c r="S806">
        <f t="shared" si="1008"/>
        <v>15.524349268809752</v>
      </c>
      <c r="T806">
        <f t="shared" si="1009"/>
        <v>1.5524349268809752E-2</v>
      </c>
    </row>
    <row r="807" spans="1:20" x14ac:dyDescent="0.25">
      <c r="A807" s="5">
        <v>43786</v>
      </c>
      <c r="B807">
        <v>8490.74</v>
      </c>
      <c r="C807">
        <v>8635</v>
      </c>
      <c r="D807">
        <v>8350.68</v>
      </c>
      <c r="E807">
        <v>8502.4</v>
      </c>
      <c r="F807">
        <v>27009.037081999999</v>
      </c>
      <c r="G807">
        <v>0.14000000000000001</v>
      </c>
      <c r="L807" t="s">
        <v>7</v>
      </c>
      <c r="M807" t="s">
        <v>7</v>
      </c>
      <c r="N807" t="s">
        <v>8</v>
      </c>
      <c r="P807">
        <f t="shared" si="1005"/>
        <v>6.7248171074841726E-2</v>
      </c>
      <c r="Q807">
        <f t="shared" si="1006"/>
        <v>1816.3083462570798</v>
      </c>
      <c r="R807">
        <f t="shared" si="1007"/>
        <v>1570783.7877486458</v>
      </c>
      <c r="S807">
        <f t="shared" si="1008"/>
        <v>15.707837877486458</v>
      </c>
      <c r="T807">
        <f t="shared" si="1009"/>
        <v>1.5707837877486457E-2</v>
      </c>
    </row>
    <row r="808" spans="1:20" x14ac:dyDescent="0.25">
      <c r="A808" s="5">
        <v>43785</v>
      </c>
      <c r="B808">
        <v>8471.6200000000008</v>
      </c>
      <c r="C808">
        <v>8543</v>
      </c>
      <c r="D808">
        <v>8400</v>
      </c>
      <c r="E808">
        <v>8491.02</v>
      </c>
      <c r="F808">
        <v>20902.299751999999</v>
      </c>
      <c r="G808">
        <v>0.23</v>
      </c>
      <c r="L808" t="s">
        <v>7</v>
      </c>
      <c r="M808" t="s">
        <v>7</v>
      </c>
      <c r="N808" t="s">
        <v>8</v>
      </c>
      <c r="P808">
        <f t="shared" si="1005"/>
        <v>0.2730069930069991</v>
      </c>
      <c r="Q808">
        <f t="shared" si="1006"/>
        <v>5706.4740022244623</v>
      </c>
      <c r="R808">
        <f t="shared" si="1007"/>
        <v>1568967.4794023887</v>
      </c>
      <c r="S808">
        <f t="shared" si="1008"/>
        <v>15.689674794023887</v>
      </c>
      <c r="T808">
        <f t="shared" si="1009"/>
        <v>1.5689674794023886E-2</v>
      </c>
    </row>
    <row r="809" spans="1:20" x14ac:dyDescent="0.25">
      <c r="A809" s="5">
        <v>43784</v>
      </c>
      <c r="B809">
        <v>8646.3799999999992</v>
      </c>
      <c r="C809">
        <v>8790</v>
      </c>
      <c r="D809">
        <v>8400</v>
      </c>
      <c r="E809">
        <v>8471.73</v>
      </c>
      <c r="F809">
        <v>46087.417751000001</v>
      </c>
      <c r="G809">
        <v>-2.02</v>
      </c>
      <c r="L809" t="s">
        <v>7</v>
      </c>
      <c r="M809" t="s">
        <v>7</v>
      </c>
      <c r="N809" t="s">
        <v>8</v>
      </c>
      <c r="P809">
        <f t="shared" si="1005"/>
        <v>-0.6321538461538484</v>
      </c>
      <c r="Q809">
        <f t="shared" si="1006"/>
        <v>-29134.338390593795</v>
      </c>
      <c r="R809">
        <f t="shared" si="1007"/>
        <v>1563261.0054001643</v>
      </c>
      <c r="S809">
        <f t="shared" si="1008"/>
        <v>15.632610054001644</v>
      </c>
      <c r="T809">
        <f t="shared" si="1009"/>
        <v>1.5632610054001645E-2</v>
      </c>
    </row>
    <row r="810" spans="1:20" x14ac:dyDescent="0.25">
      <c r="A810" s="5">
        <v>43783</v>
      </c>
      <c r="B810">
        <v>8777.5400000000009</v>
      </c>
      <c r="C810">
        <v>8800</v>
      </c>
      <c r="D810">
        <v>8582.6</v>
      </c>
      <c r="E810">
        <v>8646.68</v>
      </c>
      <c r="F810">
        <v>33468.468960999999</v>
      </c>
      <c r="G810">
        <v>-1.49</v>
      </c>
      <c r="L810" t="s">
        <v>7</v>
      </c>
      <c r="M810" t="s">
        <v>7</v>
      </c>
      <c r="N810" t="s">
        <v>8</v>
      </c>
      <c r="P810">
        <f t="shared" si="1005"/>
        <v>-0.4104875804967798</v>
      </c>
      <c r="Q810">
        <f t="shared" si="1006"/>
        <v>-13738.390846732464</v>
      </c>
      <c r="R810">
        <f t="shared" si="1007"/>
        <v>1592395.3437907582</v>
      </c>
      <c r="S810">
        <f t="shared" si="1008"/>
        <v>15.923953437907581</v>
      </c>
      <c r="T810">
        <f t="shared" si="1009"/>
        <v>1.5923953437907583E-2</v>
      </c>
    </row>
    <row r="811" spans="1:20" x14ac:dyDescent="0.25">
      <c r="A811" s="5">
        <v>43782</v>
      </c>
      <c r="B811">
        <v>8821.91</v>
      </c>
      <c r="C811">
        <v>8844.99</v>
      </c>
      <c r="D811">
        <v>8702</v>
      </c>
      <c r="E811">
        <v>8777.1200000000008</v>
      </c>
      <c r="F811">
        <v>26810.116918</v>
      </c>
      <c r="G811">
        <v>-0.51</v>
      </c>
      <c r="L811" t="s">
        <v>7</v>
      </c>
      <c r="M811" t="s">
        <v>7</v>
      </c>
      <c r="N811" t="s">
        <v>8</v>
      </c>
      <c r="P811">
        <f t="shared" si="1005"/>
        <v>5.0702846352904611E-2</v>
      </c>
      <c r="Q811">
        <f t="shared" si="1006"/>
        <v>1359.3492387967624</v>
      </c>
      <c r="R811">
        <f t="shared" si="1007"/>
        <v>1606133.7346374907</v>
      </c>
      <c r="S811">
        <f t="shared" si="1008"/>
        <v>16.061337346374906</v>
      </c>
      <c r="T811">
        <f t="shared" si="1009"/>
        <v>1.6061337346374906E-2</v>
      </c>
    </row>
    <row r="812" spans="1:20" x14ac:dyDescent="0.25">
      <c r="A812" s="5">
        <v>43781</v>
      </c>
      <c r="B812">
        <v>8733.36</v>
      </c>
      <c r="C812">
        <v>8888</v>
      </c>
      <c r="D812">
        <v>8567.6</v>
      </c>
      <c r="E812">
        <v>8821.94</v>
      </c>
      <c r="F812">
        <v>40366.629471</v>
      </c>
      <c r="G812">
        <v>1.01</v>
      </c>
      <c r="L812" t="s">
        <v>7</v>
      </c>
      <c r="M812" t="s">
        <v>7</v>
      </c>
      <c r="N812" t="s">
        <v>8</v>
      </c>
      <c r="P812">
        <f t="shared" si="1005"/>
        <v>0.58764044943820493</v>
      </c>
      <c r="Q812">
        <f t="shared" si="1006"/>
        <v>23721.06428464393</v>
      </c>
      <c r="R812">
        <f t="shared" si="1007"/>
        <v>1604774.3853986938</v>
      </c>
      <c r="S812">
        <f t="shared" si="1008"/>
        <v>16.047743853986937</v>
      </c>
      <c r="T812">
        <f t="shared" si="1009"/>
        <v>1.6047743853986936E-2</v>
      </c>
    </row>
    <row r="813" spans="1:20" x14ac:dyDescent="0.25">
      <c r="A813" s="5">
        <v>43780</v>
      </c>
      <c r="B813">
        <v>9040.16</v>
      </c>
      <c r="C813">
        <v>9072.32</v>
      </c>
      <c r="D813">
        <v>8618.68</v>
      </c>
      <c r="E813">
        <v>8733.27</v>
      </c>
      <c r="F813">
        <v>44888.053545000002</v>
      </c>
      <c r="G813">
        <v>-3.39</v>
      </c>
      <c r="L813" t="s">
        <v>7</v>
      </c>
      <c r="M813" t="s">
        <v>7</v>
      </c>
      <c r="N813" t="s">
        <v>8</v>
      </c>
      <c r="P813">
        <f t="shared" si="1005"/>
        <v>-0.49479763689268896</v>
      </c>
      <c r="Q813">
        <f t="shared" si="1006"/>
        <v>-22210.502818778492</v>
      </c>
      <c r="R813">
        <f t="shared" si="1007"/>
        <v>1581053.32111405</v>
      </c>
      <c r="S813">
        <f t="shared" si="1008"/>
        <v>15.8105332111405</v>
      </c>
      <c r="T813">
        <f t="shared" si="1009"/>
        <v>1.5810533211140499E-2</v>
      </c>
    </row>
    <row r="814" spans="1:20" x14ac:dyDescent="0.25">
      <c r="A814" s="5">
        <v>43779</v>
      </c>
      <c r="B814">
        <v>8809.18</v>
      </c>
      <c r="C814">
        <v>9147.19</v>
      </c>
      <c r="D814">
        <v>8750</v>
      </c>
      <c r="E814">
        <v>9039.4699999999993</v>
      </c>
      <c r="F814">
        <v>34422.029797000003</v>
      </c>
      <c r="G814">
        <v>2.61</v>
      </c>
      <c r="L814" t="s">
        <v>7</v>
      </c>
      <c r="M814" t="s">
        <v>7</v>
      </c>
      <c r="N814" t="s">
        <v>8</v>
      </c>
      <c r="P814">
        <f t="shared" si="1005"/>
        <v>0.45758956670610523</v>
      </c>
      <c r="Q814">
        <f t="shared" si="1006"/>
        <v>15751.161699953875</v>
      </c>
      <c r="R814">
        <f t="shared" si="1007"/>
        <v>1603263.8239328284</v>
      </c>
      <c r="S814">
        <f t="shared" si="1008"/>
        <v>16.032638239328286</v>
      </c>
      <c r="T814">
        <f t="shared" si="1009"/>
        <v>1.6032638239328285E-2</v>
      </c>
    </row>
    <row r="815" spans="1:20" x14ac:dyDescent="0.25">
      <c r="A815" s="5">
        <v>43778</v>
      </c>
      <c r="B815">
        <v>8773.74</v>
      </c>
      <c r="C815">
        <v>8880</v>
      </c>
      <c r="D815">
        <v>8724.8799999999992</v>
      </c>
      <c r="E815">
        <v>8809.41</v>
      </c>
      <c r="F815">
        <v>29469.481404999999</v>
      </c>
      <c r="G815">
        <v>0.41</v>
      </c>
      <c r="L815" t="s">
        <v>7</v>
      </c>
      <c r="M815" t="s">
        <v>7</v>
      </c>
      <c r="N815" t="s">
        <v>8</v>
      </c>
      <c r="P815">
        <f t="shared" si="1005"/>
        <v>8.9865910263024998E-2</v>
      </c>
      <c r="Q815">
        <f t="shared" si="1006"/>
        <v>2648.3017714396137</v>
      </c>
      <c r="R815">
        <f t="shared" si="1007"/>
        <v>1587512.6622328744</v>
      </c>
      <c r="S815">
        <f t="shared" si="1008"/>
        <v>15.875126622328745</v>
      </c>
      <c r="T815">
        <f t="shared" si="1009"/>
        <v>1.5875126622328744E-2</v>
      </c>
    </row>
    <row r="816" spans="1:20" x14ac:dyDescent="0.25">
      <c r="A816" s="5">
        <v>43777</v>
      </c>
      <c r="B816">
        <v>9214</v>
      </c>
      <c r="C816">
        <v>9261</v>
      </c>
      <c r="D816">
        <v>8696</v>
      </c>
      <c r="E816">
        <v>8773.73</v>
      </c>
      <c r="F816">
        <v>62107.289242999999</v>
      </c>
      <c r="G816">
        <v>-4.78</v>
      </c>
      <c r="L816" t="s">
        <v>7</v>
      </c>
      <c r="M816" t="s">
        <v>7</v>
      </c>
      <c r="N816" t="s">
        <v>8</v>
      </c>
      <c r="P816">
        <f t="shared" si="1005"/>
        <v>-0.72484955752212543</v>
      </c>
      <c r="Q816">
        <f t="shared" si="1006"/>
        <v>-45018.441126687212</v>
      </c>
      <c r="R816">
        <f t="shared" si="1007"/>
        <v>1584864.3604614348</v>
      </c>
      <c r="S816">
        <f t="shared" si="1008"/>
        <v>15.848643604614349</v>
      </c>
      <c r="T816">
        <f t="shared" si="1009"/>
        <v>1.5848643604614347E-2</v>
      </c>
    </row>
    <row r="817" spans="1:20" x14ac:dyDescent="0.25">
      <c r="A817" s="5">
        <v>43776</v>
      </c>
      <c r="B817">
        <v>9339.16</v>
      </c>
      <c r="C817">
        <v>9375</v>
      </c>
      <c r="D817">
        <v>9101</v>
      </c>
      <c r="E817">
        <v>9216.2000000000007</v>
      </c>
      <c r="F817">
        <v>39117.470852999999</v>
      </c>
      <c r="G817">
        <v>-1.32</v>
      </c>
      <c r="L817" t="s">
        <v>7</v>
      </c>
      <c r="M817" t="s">
        <v>8</v>
      </c>
      <c r="N817" t="s">
        <v>8</v>
      </c>
      <c r="P817">
        <f t="shared" si="1005"/>
        <v>-0.15912408759123556</v>
      </c>
      <c r="Q817">
        <f t="shared" si="1006"/>
        <v>-6224.5318583603757</v>
      </c>
      <c r="R817">
        <f t="shared" si="1007"/>
        <v>1629882.801588122</v>
      </c>
      <c r="S817">
        <f t="shared" si="1008"/>
        <v>16.29882801588122</v>
      </c>
      <c r="T817">
        <f t="shared" si="1009"/>
        <v>1.6298828015881221E-2</v>
      </c>
    </row>
    <row r="818" spans="1:20" x14ac:dyDescent="0.25">
      <c r="A818" s="5">
        <v>43775</v>
      </c>
      <c r="B818">
        <v>9307.73</v>
      </c>
      <c r="C818">
        <v>9440.91</v>
      </c>
      <c r="D818">
        <v>9250.01</v>
      </c>
      <c r="E818">
        <v>9339.0499999999993</v>
      </c>
      <c r="F818">
        <v>37336.170372</v>
      </c>
      <c r="G818">
        <v>0.34</v>
      </c>
      <c r="L818" t="s">
        <v>7</v>
      </c>
      <c r="M818" t="s">
        <v>8</v>
      </c>
      <c r="N818" t="s">
        <v>8</v>
      </c>
      <c r="P818">
        <f t="shared" si="1005"/>
        <v>-6.7155578837095609E-2</v>
      </c>
      <c r="Q818">
        <f t="shared" si="1006"/>
        <v>-2507.3321328920792</v>
      </c>
      <c r="R818">
        <f t="shared" si="1007"/>
        <v>1636107.3334464824</v>
      </c>
      <c r="S818">
        <f t="shared" si="1008"/>
        <v>16.361073334464823</v>
      </c>
      <c r="T818">
        <f t="shared" si="1009"/>
        <v>1.6361073334464824E-2</v>
      </c>
    </row>
    <row r="819" spans="1:20" x14ac:dyDescent="0.25">
      <c r="A819" s="5">
        <v>43774</v>
      </c>
      <c r="B819">
        <v>9392.4</v>
      </c>
      <c r="C819">
        <v>9454.9500000000007</v>
      </c>
      <c r="D819">
        <v>9175.76</v>
      </c>
      <c r="E819">
        <v>9308.66</v>
      </c>
      <c r="F819">
        <v>45935.873664999999</v>
      </c>
      <c r="G819">
        <v>-0.89</v>
      </c>
      <c r="L819" t="s">
        <v>7</v>
      </c>
      <c r="M819" t="s">
        <v>8</v>
      </c>
      <c r="N819" t="s">
        <v>8</v>
      </c>
      <c r="P819">
        <f t="shared" si="1005"/>
        <v>-4.7960170493216853E-2</v>
      </c>
      <c r="Q819">
        <f t="shared" si="1006"/>
        <v>-2203.0923327282699</v>
      </c>
      <c r="R819">
        <f t="shared" si="1007"/>
        <v>1638614.6655793744</v>
      </c>
      <c r="S819">
        <f t="shared" si="1008"/>
        <v>16.386146655793745</v>
      </c>
      <c r="T819">
        <f t="shared" si="1009"/>
        <v>1.6386146655793746E-2</v>
      </c>
    </row>
    <row r="820" spans="1:20" x14ac:dyDescent="0.25">
      <c r="A820" s="5">
        <v>43773</v>
      </c>
      <c r="B820">
        <v>9196.4599999999991</v>
      </c>
      <c r="C820">
        <v>9513.68</v>
      </c>
      <c r="D820">
        <v>9115.84</v>
      </c>
      <c r="E820">
        <v>9393.35</v>
      </c>
      <c r="F820">
        <v>45894.456276999997</v>
      </c>
      <c r="G820">
        <v>2.14</v>
      </c>
      <c r="L820" t="s">
        <v>7</v>
      </c>
      <c r="M820" t="s">
        <v>8</v>
      </c>
      <c r="N820" t="s">
        <v>8</v>
      </c>
      <c r="P820">
        <f t="shared" si="1005"/>
        <v>0.39508345063342104</v>
      </c>
      <c r="Q820">
        <f t="shared" si="1006"/>
        <v>18132.140150861829</v>
      </c>
      <c r="R820">
        <f t="shared" si="1007"/>
        <v>1640817.7579121026</v>
      </c>
      <c r="S820">
        <f t="shared" si="1008"/>
        <v>16.408177579121027</v>
      </c>
      <c r="T820">
        <f t="shared" si="1009"/>
        <v>1.6408177579121028E-2</v>
      </c>
    </row>
    <row r="821" spans="1:20" x14ac:dyDescent="0.25">
      <c r="A821" s="5">
        <v>43772</v>
      </c>
      <c r="B821">
        <v>9289.85</v>
      </c>
      <c r="C821">
        <v>9362.57</v>
      </c>
      <c r="D821">
        <v>9066.14</v>
      </c>
      <c r="E821">
        <v>9194.7099999999991</v>
      </c>
      <c r="F821">
        <v>27894.378279</v>
      </c>
      <c r="G821">
        <v>-1.02</v>
      </c>
      <c r="L821" t="s">
        <v>7</v>
      </c>
      <c r="M821" t="s">
        <v>8</v>
      </c>
      <c r="N821" t="s">
        <v>8</v>
      </c>
      <c r="P821">
        <f t="shared" si="1005"/>
        <v>-0.13254393954728211</v>
      </c>
      <c r="Q821">
        <f t="shared" si="1006"/>
        <v>-3697.230788320795</v>
      </c>
      <c r="R821">
        <f t="shared" si="1007"/>
        <v>1622685.6177612408</v>
      </c>
      <c r="S821">
        <f t="shared" si="1008"/>
        <v>16.226856177612408</v>
      </c>
      <c r="T821">
        <f t="shared" si="1009"/>
        <v>1.6226856177612409E-2</v>
      </c>
    </row>
    <row r="822" spans="1:20" x14ac:dyDescent="0.25">
      <c r="A822" s="5">
        <v>43771</v>
      </c>
      <c r="B822">
        <v>9231.4</v>
      </c>
      <c r="C822">
        <v>9373.74</v>
      </c>
      <c r="D822">
        <v>9186.2099999999991</v>
      </c>
      <c r="E822">
        <v>9289.52</v>
      </c>
      <c r="F822">
        <v>28923.060828000001</v>
      </c>
      <c r="G822">
        <v>0.63</v>
      </c>
      <c r="L822" t="s">
        <v>7</v>
      </c>
      <c r="M822" t="s">
        <v>8</v>
      </c>
      <c r="N822" t="s">
        <v>8</v>
      </c>
      <c r="P822">
        <f t="shared" si="1005"/>
        <v>0.10179704580601449</v>
      </c>
      <c r="Q822">
        <f t="shared" si="1006"/>
        <v>2944.2821479580598</v>
      </c>
      <c r="R822">
        <f t="shared" si="1007"/>
        <v>1626382.8485495616</v>
      </c>
      <c r="S822">
        <f t="shared" si="1008"/>
        <v>16.263828485495615</v>
      </c>
      <c r="T822">
        <f t="shared" si="1009"/>
        <v>1.6263828485495617E-2</v>
      </c>
    </row>
    <row r="823" spans="1:20" x14ac:dyDescent="0.25">
      <c r="A823" s="5">
        <v>43770</v>
      </c>
      <c r="B823">
        <v>9140.86</v>
      </c>
      <c r="C823">
        <v>9279</v>
      </c>
      <c r="D823">
        <v>9030</v>
      </c>
      <c r="E823">
        <v>9231.61</v>
      </c>
      <c r="F823">
        <v>43594.814115000001</v>
      </c>
      <c r="G823">
        <v>0.99</v>
      </c>
      <c r="L823" t="s">
        <v>7</v>
      </c>
      <c r="M823" t="s">
        <v>8</v>
      </c>
      <c r="N823" t="s">
        <v>8</v>
      </c>
      <c r="P823">
        <f t="shared" si="1005"/>
        <v>0.61935742971888019</v>
      </c>
      <c r="Q823">
        <f t="shared" si="1006"/>
        <v>27000.772019338758</v>
      </c>
      <c r="R823">
        <f t="shared" si="1007"/>
        <v>1623438.5664016034</v>
      </c>
      <c r="S823">
        <f t="shared" si="1008"/>
        <v>16.234385664016035</v>
      </c>
      <c r="T823">
        <f t="shared" si="1009"/>
        <v>1.6234385664016034E-2</v>
      </c>
    </row>
    <row r="824" spans="1:20" x14ac:dyDescent="0.25">
      <c r="A824" s="5">
        <v>43769</v>
      </c>
      <c r="B824">
        <v>9154.02</v>
      </c>
      <c r="C824">
        <v>9405</v>
      </c>
      <c r="D824">
        <v>8913</v>
      </c>
      <c r="E824">
        <v>9140.85</v>
      </c>
      <c r="F824">
        <v>54376.024901999997</v>
      </c>
      <c r="G824">
        <v>-0.14000000000000001</v>
      </c>
      <c r="L824" t="s">
        <v>7</v>
      </c>
      <c r="M824" t="s">
        <v>8</v>
      </c>
      <c r="N824" t="s">
        <v>8</v>
      </c>
      <c r="P824">
        <f t="shared" si="1005"/>
        <v>-7.3780487804876574E-2</v>
      </c>
      <c r="Q824">
        <f t="shared" si="1006"/>
        <v>-4011.8896421596755</v>
      </c>
      <c r="R824">
        <f t="shared" si="1007"/>
        <v>1596437.7943822646</v>
      </c>
      <c r="S824">
        <f t="shared" si="1008"/>
        <v>15.964377943822646</v>
      </c>
      <c r="T824">
        <f t="shared" si="1009"/>
        <v>1.5964377943822647E-2</v>
      </c>
    </row>
    <row r="825" spans="1:20" x14ac:dyDescent="0.25">
      <c r="A825" s="5">
        <v>43768</v>
      </c>
      <c r="B825">
        <v>9407.6200000000008</v>
      </c>
      <c r="C825">
        <v>9409.84</v>
      </c>
      <c r="D825">
        <v>9001.01</v>
      </c>
      <c r="E825">
        <v>9154.7199999999993</v>
      </c>
      <c r="F825">
        <v>55241.786434000001</v>
      </c>
      <c r="G825">
        <v>-2.69</v>
      </c>
      <c r="L825" t="s">
        <v>7</v>
      </c>
      <c r="M825" t="s">
        <v>8</v>
      </c>
      <c r="N825" t="s">
        <v>8</v>
      </c>
      <c r="P825">
        <f t="shared" si="1005"/>
        <v>-0.24804931144975098</v>
      </c>
      <c r="Q825">
        <f t="shared" si="1006"/>
        <v>-13702.687088207895</v>
      </c>
      <c r="R825">
        <f t="shared" si="1007"/>
        <v>1600449.6840244243</v>
      </c>
      <c r="S825">
        <f t="shared" si="1008"/>
        <v>16.004496840244244</v>
      </c>
      <c r="T825">
        <f t="shared" si="1009"/>
        <v>1.6004496840244242E-2</v>
      </c>
    </row>
    <row r="826" spans="1:20" x14ac:dyDescent="0.25">
      <c r="A826" s="5">
        <v>43767</v>
      </c>
      <c r="B826">
        <v>9204.4500000000007</v>
      </c>
      <c r="C826">
        <v>9550</v>
      </c>
      <c r="D826">
        <v>9072</v>
      </c>
      <c r="E826">
        <v>9407.6200000000008</v>
      </c>
      <c r="F826">
        <v>64158.462445999998</v>
      </c>
      <c r="G826">
        <v>2.21</v>
      </c>
      <c r="L826" t="s">
        <v>7</v>
      </c>
      <c r="M826" t="s">
        <v>8</v>
      </c>
      <c r="N826" t="s">
        <v>8</v>
      </c>
      <c r="P826">
        <f t="shared" si="1005"/>
        <v>0.40426778242678157</v>
      </c>
      <c r="Q826">
        <f t="shared" si="1006"/>
        <v>25937.199336956364</v>
      </c>
      <c r="R826">
        <f t="shared" si="1007"/>
        <v>1614152.3711126321</v>
      </c>
      <c r="S826">
        <f t="shared" si="1008"/>
        <v>16.141523711126322</v>
      </c>
      <c r="T826">
        <f t="shared" si="1009"/>
        <v>1.6141523711126322E-2</v>
      </c>
    </row>
    <row r="827" spans="1:20" x14ac:dyDescent="0.25">
      <c r="A827" s="5">
        <v>43766</v>
      </c>
      <c r="B827">
        <v>9528.23</v>
      </c>
      <c r="C827">
        <v>9902.1</v>
      </c>
      <c r="D827">
        <v>9160</v>
      </c>
      <c r="E827">
        <v>9205.14</v>
      </c>
      <c r="F827">
        <v>80174.217323000004</v>
      </c>
      <c r="G827">
        <v>-3.39</v>
      </c>
      <c r="L827" t="s">
        <v>8</v>
      </c>
      <c r="M827" t="s">
        <v>8</v>
      </c>
      <c r="N827" t="s">
        <v>8</v>
      </c>
      <c r="P827">
        <f t="shared" si="1005"/>
        <v>-0.87834523649104057</v>
      </c>
      <c r="Q827">
        <f t="shared" si="1006"/>
        <v>-70420.641875054527</v>
      </c>
      <c r="R827">
        <f t="shared" si="1007"/>
        <v>1588215.1717756758</v>
      </c>
      <c r="S827">
        <f t="shared" si="1008"/>
        <v>15.882151717756759</v>
      </c>
      <c r="T827">
        <f t="shared" si="1009"/>
        <v>1.5882151717756761E-2</v>
      </c>
    </row>
    <row r="828" spans="1:20" x14ac:dyDescent="0.25">
      <c r="A828" s="5">
        <v>43765</v>
      </c>
      <c r="B828">
        <v>9230</v>
      </c>
      <c r="C828">
        <v>9794.98</v>
      </c>
      <c r="D828">
        <v>9074.34</v>
      </c>
      <c r="E828">
        <v>9529.93</v>
      </c>
      <c r="F828">
        <v>93833.541603999998</v>
      </c>
      <c r="G828">
        <v>3.25</v>
      </c>
      <c r="L828" t="s">
        <v>7</v>
      </c>
      <c r="M828" t="s">
        <v>8</v>
      </c>
      <c r="N828" t="s">
        <v>8</v>
      </c>
      <c r="P828">
        <f t="shared" si="1005"/>
        <v>0.2644038632326835</v>
      </c>
      <c r="Q828">
        <f t="shared" si="1006"/>
        <v>24809.950900902331</v>
      </c>
      <c r="R828">
        <f t="shared" si="1007"/>
        <v>1658635.8136507303</v>
      </c>
      <c r="S828">
        <f t="shared" si="1008"/>
        <v>16.586358136507304</v>
      </c>
      <c r="T828">
        <f t="shared" si="1009"/>
        <v>1.6586358136507304E-2</v>
      </c>
    </row>
    <row r="829" spans="1:20" x14ac:dyDescent="0.25">
      <c r="A829" s="5">
        <v>43764</v>
      </c>
      <c r="B829">
        <v>8655.8799999999992</v>
      </c>
      <c r="C829">
        <v>10370</v>
      </c>
      <c r="D829">
        <v>8470.3799999999992</v>
      </c>
      <c r="E829">
        <v>9230</v>
      </c>
      <c r="F829">
        <v>162588.58541299999</v>
      </c>
      <c r="G829">
        <v>6.63</v>
      </c>
      <c r="L829" t="s">
        <v>8</v>
      </c>
      <c r="M829" t="s">
        <v>8</v>
      </c>
      <c r="N829" t="s">
        <v>8</v>
      </c>
      <c r="P829">
        <f t="shared" si="1005"/>
        <v>-0.20024004800960141</v>
      </c>
      <c r="Q829">
        <f t="shared" si="1006"/>
        <v>-32556.746148912298</v>
      </c>
      <c r="R829">
        <f t="shared" si="1007"/>
        <v>1633825.862749828</v>
      </c>
      <c r="S829">
        <f t="shared" si="1008"/>
        <v>16.338258627498281</v>
      </c>
      <c r="T829">
        <f t="shared" si="1009"/>
        <v>1.633825862749828E-2</v>
      </c>
    </row>
    <row r="830" spans="1:20" x14ac:dyDescent="0.25">
      <c r="A830" s="5">
        <v>43763</v>
      </c>
      <c r="B830">
        <v>7412.41</v>
      </c>
      <c r="C830">
        <v>8799</v>
      </c>
      <c r="D830">
        <v>7361</v>
      </c>
      <c r="E830">
        <v>8655.02</v>
      </c>
      <c r="F830">
        <v>90748.218173999994</v>
      </c>
      <c r="G830">
        <v>16.760000000000002</v>
      </c>
      <c r="L830" t="s">
        <v>8</v>
      </c>
      <c r="M830" t="s">
        <v>8</v>
      </c>
      <c r="N830" t="s">
        <v>7</v>
      </c>
      <c r="P830">
        <f t="shared" si="1005"/>
        <v>0.79974965229485462</v>
      </c>
      <c r="Q830">
        <f t="shared" si="1006"/>
        <v>72575.855931034108</v>
      </c>
      <c r="R830">
        <f t="shared" si="1007"/>
        <v>1666382.6088987403</v>
      </c>
      <c r="S830">
        <f t="shared" si="1008"/>
        <v>16.663826088987403</v>
      </c>
      <c r="T830">
        <f t="shared" si="1009"/>
        <v>1.6663826088987404E-2</v>
      </c>
    </row>
    <row r="831" spans="1:20" x14ac:dyDescent="0.25">
      <c r="A831" s="5">
        <v>43762</v>
      </c>
      <c r="B831">
        <v>7468.47</v>
      </c>
      <c r="C831">
        <v>7503.68</v>
      </c>
      <c r="D831">
        <v>7337.99</v>
      </c>
      <c r="E831">
        <v>7412.41</v>
      </c>
      <c r="F831">
        <v>32714.383265</v>
      </c>
      <c r="G831">
        <v>-0.75</v>
      </c>
      <c r="L831" t="s">
        <v>7</v>
      </c>
      <c r="M831" t="s">
        <v>7</v>
      </c>
      <c r="N831" t="s">
        <v>7</v>
      </c>
      <c r="P831">
        <f t="shared" ref="P831:P894" si="1010">IF(C831=D831,0,((E831-D831)-(C831-E831))/(C831-D831))</f>
        <v>-0.10169593819784122</v>
      </c>
      <c r="Q831">
        <f t="shared" ref="Q831:Q894" si="1011">F831*P831</f>
        <v>-3326.9198986979309</v>
      </c>
      <c r="R831">
        <f t="shared" ref="R831:R894" si="1012">R832+Q831</f>
        <v>1593806.7529677062</v>
      </c>
      <c r="S831">
        <f t="shared" ref="S831:S894" si="1013">R831/100000</f>
        <v>15.938067529677062</v>
      </c>
      <c r="T831">
        <f t="shared" ref="T831:T894" si="1014">S831/1000</f>
        <v>1.5938067529677063E-2</v>
      </c>
    </row>
    <row r="832" spans="1:20" x14ac:dyDescent="0.25">
      <c r="A832" s="5">
        <v>43761</v>
      </c>
      <c r="B832">
        <v>8020.06</v>
      </c>
      <c r="C832">
        <v>8047.59</v>
      </c>
      <c r="D832">
        <v>7300</v>
      </c>
      <c r="E832">
        <v>7466.62</v>
      </c>
      <c r="F832">
        <v>63897.457097999999</v>
      </c>
      <c r="G832">
        <v>-6.9</v>
      </c>
      <c r="L832" t="s">
        <v>7</v>
      </c>
      <c r="M832" t="s">
        <v>7</v>
      </c>
      <c r="N832" t="s">
        <v>7</v>
      </c>
      <c r="P832">
        <f t="shared" si="1010"/>
        <v>-0.55424764911248181</v>
      </c>
      <c r="Q832">
        <f t="shared" si="1011"/>
        <v>-35415.015380832163</v>
      </c>
      <c r="R832">
        <f t="shared" si="1012"/>
        <v>1597133.6728664041</v>
      </c>
      <c r="S832">
        <f t="shared" si="1013"/>
        <v>15.97133672866404</v>
      </c>
      <c r="T832">
        <f t="shared" si="1014"/>
        <v>1.5971336728664041E-2</v>
      </c>
    </row>
    <row r="833" spans="1:20" x14ac:dyDescent="0.25">
      <c r="A833" s="5">
        <v>43760</v>
      </c>
      <c r="B833">
        <v>8197.2800000000007</v>
      </c>
      <c r="C833">
        <v>8297.99</v>
      </c>
      <c r="D833">
        <v>8000</v>
      </c>
      <c r="E833">
        <v>8020</v>
      </c>
      <c r="F833">
        <v>34651.828663</v>
      </c>
      <c r="G833">
        <v>-2.16</v>
      </c>
      <c r="L833" t="s">
        <v>7</v>
      </c>
      <c r="M833" t="s">
        <v>7</v>
      </c>
      <c r="N833" t="s">
        <v>7</v>
      </c>
      <c r="P833">
        <f t="shared" si="1010"/>
        <v>-0.86576730762777265</v>
      </c>
      <c r="Q833">
        <f t="shared" si="1011"/>
        <v>-30000.420405944391</v>
      </c>
      <c r="R833">
        <f t="shared" si="1012"/>
        <v>1632548.6882472362</v>
      </c>
      <c r="S833">
        <f t="shared" si="1013"/>
        <v>16.325486882472362</v>
      </c>
      <c r="T833">
        <f t="shared" si="1014"/>
        <v>1.6325486882472363E-2</v>
      </c>
    </row>
    <row r="834" spans="1:20" x14ac:dyDescent="0.25">
      <c r="A834" s="5">
        <v>43759</v>
      </c>
      <c r="B834">
        <v>8223.35</v>
      </c>
      <c r="C834">
        <v>8333</v>
      </c>
      <c r="D834">
        <v>8142.03</v>
      </c>
      <c r="E834">
        <v>8197.27</v>
      </c>
      <c r="F834">
        <v>30448.679539000001</v>
      </c>
      <c r="G834">
        <v>-0.32</v>
      </c>
      <c r="L834" t="s">
        <v>7</v>
      </c>
      <c r="M834" t="s">
        <v>7</v>
      </c>
      <c r="N834" t="s">
        <v>7</v>
      </c>
      <c r="P834">
        <f t="shared" si="1010"/>
        <v>-0.42147981358327885</v>
      </c>
      <c r="Q834">
        <f t="shared" si="1011"/>
        <v>-12833.503775954718</v>
      </c>
      <c r="R834">
        <f t="shared" si="1012"/>
        <v>1662549.1086531805</v>
      </c>
      <c r="S834">
        <f t="shared" si="1013"/>
        <v>16.625491086531806</v>
      </c>
      <c r="T834">
        <f t="shared" si="1014"/>
        <v>1.6625491086531805E-2</v>
      </c>
    </row>
    <row r="835" spans="1:20" x14ac:dyDescent="0.25">
      <c r="A835" s="5">
        <v>43758</v>
      </c>
      <c r="B835">
        <v>7949.87</v>
      </c>
      <c r="C835">
        <v>8297</v>
      </c>
      <c r="D835">
        <v>7870</v>
      </c>
      <c r="E835">
        <v>8223.35</v>
      </c>
      <c r="F835">
        <v>34286.452654000001</v>
      </c>
      <c r="G835">
        <v>3.44</v>
      </c>
      <c r="L835" t="s">
        <v>7</v>
      </c>
      <c r="M835" t="s">
        <v>7</v>
      </c>
      <c r="N835" t="s">
        <v>7</v>
      </c>
      <c r="P835">
        <f t="shared" si="1010"/>
        <v>0.65503512880562231</v>
      </c>
      <c r="Q835">
        <f t="shared" si="1011"/>
        <v>22458.830930500761</v>
      </c>
      <c r="R835">
        <f t="shared" si="1012"/>
        <v>1675382.6124291352</v>
      </c>
      <c r="S835">
        <f t="shared" si="1013"/>
        <v>16.753826124291354</v>
      </c>
      <c r="T835">
        <f t="shared" si="1014"/>
        <v>1.6753826124291354E-2</v>
      </c>
    </row>
    <row r="836" spans="1:20" x14ac:dyDescent="0.25">
      <c r="A836" s="5">
        <v>43757</v>
      </c>
      <c r="B836">
        <v>7946.89</v>
      </c>
      <c r="C836">
        <v>8098.1</v>
      </c>
      <c r="D836">
        <v>7866.92</v>
      </c>
      <c r="E836">
        <v>7948.01</v>
      </c>
      <c r="F836">
        <v>26627.889388</v>
      </c>
      <c r="G836">
        <v>0.01</v>
      </c>
      <c r="L836" t="s">
        <v>7</v>
      </c>
      <c r="M836" t="s">
        <v>7</v>
      </c>
      <c r="N836" t="s">
        <v>7</v>
      </c>
      <c r="P836">
        <f t="shared" si="1010"/>
        <v>-0.29846872566831001</v>
      </c>
      <c r="Q836">
        <f t="shared" si="1011"/>
        <v>-7947.5922128730754</v>
      </c>
      <c r="R836">
        <f t="shared" si="1012"/>
        <v>1652923.7814986345</v>
      </c>
      <c r="S836">
        <f t="shared" si="1013"/>
        <v>16.529237814986345</v>
      </c>
      <c r="T836">
        <f t="shared" si="1014"/>
        <v>1.6529237814986344E-2</v>
      </c>
    </row>
    <row r="837" spans="1:20" x14ac:dyDescent="0.25">
      <c r="A837" s="5">
        <v>43756</v>
      </c>
      <c r="B837">
        <v>8070.71</v>
      </c>
      <c r="C837">
        <v>8115</v>
      </c>
      <c r="D837">
        <v>7816.01</v>
      </c>
      <c r="E837">
        <v>7947.01</v>
      </c>
      <c r="F837">
        <v>31353.181415999999</v>
      </c>
      <c r="G837">
        <v>-1.53</v>
      </c>
      <c r="L837" t="s">
        <v>7</v>
      </c>
      <c r="M837" t="s">
        <v>7</v>
      </c>
      <c r="N837" t="s">
        <v>7</v>
      </c>
      <c r="P837">
        <f t="shared" si="1010"/>
        <v>-0.12371651225793441</v>
      </c>
      <c r="Q837">
        <f t="shared" si="1011"/>
        <v>-3878.9062529778053</v>
      </c>
      <c r="R837">
        <f t="shared" si="1012"/>
        <v>1660871.3737115075</v>
      </c>
      <c r="S837">
        <f t="shared" si="1013"/>
        <v>16.608713737115075</v>
      </c>
      <c r="T837">
        <f t="shared" si="1014"/>
        <v>1.6608713737115074E-2</v>
      </c>
    </row>
    <row r="838" spans="1:20" x14ac:dyDescent="0.25">
      <c r="A838" s="5">
        <v>43755</v>
      </c>
      <c r="B838">
        <v>7995.02</v>
      </c>
      <c r="C838">
        <v>8124.92</v>
      </c>
      <c r="D838">
        <v>7929.03</v>
      </c>
      <c r="E838">
        <v>8070.58</v>
      </c>
      <c r="F838">
        <v>29656.949157999999</v>
      </c>
      <c r="G838">
        <v>0.95</v>
      </c>
      <c r="L838" t="s">
        <v>7</v>
      </c>
      <c r="M838" t="s">
        <v>7</v>
      </c>
      <c r="N838" t="s">
        <v>7</v>
      </c>
      <c r="P838">
        <f t="shared" si="1010"/>
        <v>0.44519883608147376</v>
      </c>
      <c r="Q838">
        <f t="shared" si="1011"/>
        <v>13203.239246869043</v>
      </c>
      <c r="R838">
        <f t="shared" si="1012"/>
        <v>1664750.2799644854</v>
      </c>
      <c r="S838">
        <f t="shared" si="1013"/>
        <v>16.647502799644855</v>
      </c>
      <c r="T838">
        <f t="shared" si="1014"/>
        <v>1.6647502799644855E-2</v>
      </c>
    </row>
    <row r="839" spans="1:20" x14ac:dyDescent="0.25">
      <c r="A839" s="5">
        <v>43754</v>
      </c>
      <c r="B839">
        <v>8159.3</v>
      </c>
      <c r="C839">
        <v>8181.16</v>
      </c>
      <c r="D839">
        <v>7917</v>
      </c>
      <c r="E839">
        <v>7991.74</v>
      </c>
      <c r="F839">
        <v>34733.593966</v>
      </c>
      <c r="G839">
        <v>-2.0499999999999998</v>
      </c>
      <c r="L839" t="s">
        <v>7</v>
      </c>
      <c r="M839" t="s">
        <v>7</v>
      </c>
      <c r="N839" t="s">
        <v>7</v>
      </c>
      <c r="P839">
        <f t="shared" si="1010"/>
        <v>-0.43413082980012246</v>
      </c>
      <c r="Q839">
        <f t="shared" si="1011"/>
        <v>-15078.923970400107</v>
      </c>
      <c r="R839">
        <f t="shared" si="1012"/>
        <v>1651547.0407176164</v>
      </c>
      <c r="S839">
        <f t="shared" si="1013"/>
        <v>16.515470407176164</v>
      </c>
      <c r="T839">
        <f t="shared" si="1014"/>
        <v>1.6515470407176165E-2</v>
      </c>
    </row>
    <row r="840" spans="1:20" x14ac:dyDescent="0.25">
      <c r="A840" s="5">
        <v>43753</v>
      </c>
      <c r="B840">
        <v>8346.86</v>
      </c>
      <c r="C840">
        <v>8403</v>
      </c>
      <c r="D840">
        <v>8090</v>
      </c>
      <c r="E840">
        <v>8159.29</v>
      </c>
      <c r="F840">
        <v>32773.062475999999</v>
      </c>
      <c r="G840">
        <v>-2.25</v>
      </c>
      <c r="L840" t="s">
        <v>7</v>
      </c>
      <c r="M840" t="s">
        <v>7</v>
      </c>
      <c r="N840" t="s">
        <v>7</v>
      </c>
      <c r="P840">
        <f t="shared" si="1010"/>
        <v>-0.55725239616613442</v>
      </c>
      <c r="Q840">
        <f t="shared" si="1011"/>
        <v>-18262.867594453426</v>
      </c>
      <c r="R840">
        <f t="shared" si="1012"/>
        <v>1666625.9646880166</v>
      </c>
      <c r="S840">
        <f t="shared" si="1013"/>
        <v>16.666259646880167</v>
      </c>
      <c r="T840">
        <f t="shared" si="1014"/>
        <v>1.6666259646880167E-2</v>
      </c>
    </row>
    <row r="841" spans="1:20" x14ac:dyDescent="0.25">
      <c r="A841" s="5">
        <v>43752</v>
      </c>
      <c r="B841">
        <v>8275.24</v>
      </c>
      <c r="C841">
        <v>8388.85</v>
      </c>
      <c r="D841">
        <v>8203</v>
      </c>
      <c r="E841">
        <v>8348.2000000000007</v>
      </c>
      <c r="F841">
        <v>29810.663252999999</v>
      </c>
      <c r="G841">
        <v>0.88</v>
      </c>
      <c r="L841" t="s">
        <v>7</v>
      </c>
      <c r="M841" t="s">
        <v>7</v>
      </c>
      <c r="N841" t="s">
        <v>7</v>
      </c>
      <c r="P841">
        <f t="shared" si="1010"/>
        <v>0.56255044390638087</v>
      </c>
      <c r="Q841">
        <f t="shared" si="1011"/>
        <v>16770.001846118786</v>
      </c>
      <c r="R841">
        <f t="shared" si="1012"/>
        <v>1684888.8322824701</v>
      </c>
      <c r="S841">
        <f t="shared" si="1013"/>
        <v>16.848888322824699</v>
      </c>
      <c r="T841">
        <f t="shared" si="1014"/>
        <v>1.68488883228247E-2</v>
      </c>
    </row>
    <row r="842" spans="1:20" x14ac:dyDescent="0.25">
      <c r="A842" s="5">
        <v>43751</v>
      </c>
      <c r="B842">
        <v>8301.98</v>
      </c>
      <c r="C842">
        <v>8451.3700000000008</v>
      </c>
      <c r="D842">
        <v>8160</v>
      </c>
      <c r="E842">
        <v>8275.01</v>
      </c>
      <c r="F842">
        <v>27840.739953</v>
      </c>
      <c r="G842">
        <v>-0.32</v>
      </c>
      <c r="L842" t="s">
        <v>7</v>
      </c>
      <c r="M842" t="s">
        <v>7</v>
      </c>
      <c r="N842" t="s">
        <v>7</v>
      </c>
      <c r="P842">
        <f t="shared" si="1010"/>
        <v>-0.21055702371555135</v>
      </c>
      <c r="Q842">
        <f t="shared" si="1011"/>
        <v>-5862.0633425423193</v>
      </c>
      <c r="R842">
        <f t="shared" si="1012"/>
        <v>1668118.8304363512</v>
      </c>
      <c r="S842">
        <f t="shared" si="1013"/>
        <v>16.681188304363513</v>
      </c>
      <c r="T842">
        <f t="shared" si="1014"/>
        <v>1.6681188304363513E-2</v>
      </c>
    </row>
    <row r="843" spans="1:20" x14ac:dyDescent="0.25">
      <c r="A843" s="5">
        <v>43750</v>
      </c>
      <c r="B843">
        <v>8257.9500000000007</v>
      </c>
      <c r="C843">
        <v>8400</v>
      </c>
      <c r="D843">
        <v>8250</v>
      </c>
      <c r="E843">
        <v>8300.09</v>
      </c>
      <c r="F843">
        <v>21339.334097999999</v>
      </c>
      <c r="G843">
        <v>0.51</v>
      </c>
      <c r="L843" t="s">
        <v>8</v>
      </c>
      <c r="M843" t="s">
        <v>7</v>
      </c>
      <c r="N843" t="s">
        <v>7</v>
      </c>
      <c r="P843">
        <f t="shared" si="1010"/>
        <v>-0.33213333333333139</v>
      </c>
      <c r="Q843">
        <f t="shared" si="1011"/>
        <v>-7087.5041650823587</v>
      </c>
      <c r="R843">
        <f t="shared" si="1012"/>
        <v>1673980.8937788936</v>
      </c>
      <c r="S843">
        <f t="shared" si="1013"/>
        <v>16.739808937788936</v>
      </c>
      <c r="T843">
        <f t="shared" si="1014"/>
        <v>1.6739808937788935E-2</v>
      </c>
    </row>
    <row r="844" spans="1:20" x14ac:dyDescent="0.25">
      <c r="A844" s="5">
        <v>43749</v>
      </c>
      <c r="B844">
        <v>8557.82</v>
      </c>
      <c r="C844">
        <v>8779.51</v>
      </c>
      <c r="D844">
        <v>8212.3799999999992</v>
      </c>
      <c r="E844">
        <v>8258.5</v>
      </c>
      <c r="F844">
        <v>50405.284418000003</v>
      </c>
      <c r="G844">
        <v>-3.5</v>
      </c>
      <c r="L844" t="s">
        <v>8</v>
      </c>
      <c r="M844" t="s">
        <v>7</v>
      </c>
      <c r="N844" t="s">
        <v>7</v>
      </c>
      <c r="P844">
        <f t="shared" si="1010"/>
        <v>-0.83735651437941661</v>
      </c>
      <c r="Q844">
        <f t="shared" si="1011"/>
        <v>-42207.193266559603</v>
      </c>
      <c r="R844">
        <f t="shared" si="1012"/>
        <v>1681068.3979439761</v>
      </c>
      <c r="S844">
        <f t="shared" si="1013"/>
        <v>16.810683979439762</v>
      </c>
      <c r="T844">
        <f t="shared" si="1014"/>
        <v>1.6810683979439762E-2</v>
      </c>
    </row>
    <row r="845" spans="1:20" x14ac:dyDescent="0.25">
      <c r="A845" s="5">
        <v>43748</v>
      </c>
      <c r="B845">
        <v>8562.15</v>
      </c>
      <c r="C845">
        <v>8644</v>
      </c>
      <c r="D845">
        <v>8414.52</v>
      </c>
      <c r="E845">
        <v>8558.0300000000007</v>
      </c>
      <c r="F845">
        <v>39137.946167000002</v>
      </c>
      <c r="G845">
        <v>-0.05</v>
      </c>
      <c r="L845" t="s">
        <v>8</v>
      </c>
      <c r="M845" t="s">
        <v>7</v>
      </c>
      <c r="N845" t="s">
        <v>7</v>
      </c>
      <c r="P845">
        <f t="shared" si="1010"/>
        <v>0.25074080529894099</v>
      </c>
      <c r="Q845">
        <f t="shared" si="1011"/>
        <v>9813.4801396601815</v>
      </c>
      <c r="R845">
        <f t="shared" si="1012"/>
        <v>1723275.5912105357</v>
      </c>
      <c r="S845">
        <f t="shared" si="1013"/>
        <v>17.232755912105358</v>
      </c>
      <c r="T845">
        <f t="shared" si="1014"/>
        <v>1.7232755912105359E-2</v>
      </c>
    </row>
    <row r="846" spans="1:20" x14ac:dyDescent="0.25">
      <c r="A846" s="5">
        <v>43747</v>
      </c>
      <c r="B846">
        <v>8170.79</v>
      </c>
      <c r="C846">
        <v>8670</v>
      </c>
      <c r="D846">
        <v>8115</v>
      </c>
      <c r="E846">
        <v>8560.74</v>
      </c>
      <c r="F846">
        <v>55038.704378000002</v>
      </c>
      <c r="G846">
        <v>4.7699999999999996</v>
      </c>
      <c r="L846" t="s">
        <v>8</v>
      </c>
      <c r="M846" t="s">
        <v>7</v>
      </c>
      <c r="N846" t="s">
        <v>7</v>
      </c>
      <c r="P846">
        <f t="shared" si="1010"/>
        <v>0.60627027027026947</v>
      </c>
      <c r="Q846">
        <f t="shared" si="1011"/>
        <v>33368.330178575525</v>
      </c>
      <c r="R846">
        <f t="shared" si="1012"/>
        <v>1713462.1110708755</v>
      </c>
      <c r="S846">
        <f t="shared" si="1013"/>
        <v>17.134621110708757</v>
      </c>
      <c r="T846">
        <f t="shared" si="1014"/>
        <v>1.7134621110708757E-2</v>
      </c>
    </row>
    <row r="847" spans="1:20" x14ac:dyDescent="0.25">
      <c r="A847" s="5">
        <v>43746</v>
      </c>
      <c r="B847">
        <v>8190.82</v>
      </c>
      <c r="C847">
        <v>8325</v>
      </c>
      <c r="D847">
        <v>8088.75</v>
      </c>
      <c r="E847">
        <v>8168.39</v>
      </c>
      <c r="F847">
        <v>35452.657422999997</v>
      </c>
      <c r="G847">
        <v>-0.27</v>
      </c>
      <c r="L847" t="s">
        <v>7</v>
      </c>
      <c r="M847" t="s">
        <v>7</v>
      </c>
      <c r="N847" t="s">
        <v>7</v>
      </c>
      <c r="P847">
        <f t="shared" si="1010"/>
        <v>-0.32579894179893903</v>
      </c>
      <c r="Q847">
        <f t="shared" si="1011"/>
        <v>-11550.4382723737</v>
      </c>
      <c r="R847">
        <f t="shared" si="1012"/>
        <v>1680093.7808923</v>
      </c>
      <c r="S847">
        <f t="shared" si="1013"/>
        <v>16.800937808922999</v>
      </c>
      <c r="T847">
        <f t="shared" si="1014"/>
        <v>1.6800937808923E-2</v>
      </c>
    </row>
    <row r="848" spans="1:20" x14ac:dyDescent="0.25">
      <c r="A848" s="5">
        <v>43745</v>
      </c>
      <c r="B848">
        <v>7855.3</v>
      </c>
      <c r="C848">
        <v>8299.92</v>
      </c>
      <c r="D848">
        <v>7762</v>
      </c>
      <c r="E848">
        <v>8190.09</v>
      </c>
      <c r="F848">
        <v>52202.072296999999</v>
      </c>
      <c r="G848">
        <v>4.26</v>
      </c>
      <c r="L848" t="s">
        <v>7</v>
      </c>
      <c r="M848" t="s">
        <v>7</v>
      </c>
      <c r="N848" t="s">
        <v>7</v>
      </c>
      <c r="P848">
        <f t="shared" si="1010"/>
        <v>0.59164931588340308</v>
      </c>
      <c r="Q848">
        <f t="shared" si="1011"/>
        <v>30885.320362215996</v>
      </c>
      <c r="R848">
        <f t="shared" si="1012"/>
        <v>1691644.2191646737</v>
      </c>
      <c r="S848">
        <f t="shared" si="1013"/>
        <v>16.916442191646738</v>
      </c>
      <c r="T848">
        <f t="shared" si="1014"/>
        <v>1.6916442191646737E-2</v>
      </c>
    </row>
    <row r="849" spans="1:20" x14ac:dyDescent="0.25">
      <c r="A849" s="5">
        <v>43744</v>
      </c>
      <c r="B849">
        <v>8127.55</v>
      </c>
      <c r="C849">
        <v>8153.87</v>
      </c>
      <c r="D849">
        <v>7785</v>
      </c>
      <c r="E849">
        <v>7854.25</v>
      </c>
      <c r="F849">
        <v>34676.104049000001</v>
      </c>
      <c r="G849">
        <v>-3.36</v>
      </c>
      <c r="L849" t="s">
        <v>7</v>
      </c>
      <c r="M849" t="s">
        <v>7</v>
      </c>
      <c r="N849" t="s">
        <v>7</v>
      </c>
      <c r="P849">
        <f t="shared" si="1010"/>
        <v>-0.62452896684468773</v>
      </c>
      <c r="Q849">
        <f t="shared" si="1011"/>
        <v>-21656.231435920865</v>
      </c>
      <c r="R849">
        <f t="shared" si="1012"/>
        <v>1660758.8988024576</v>
      </c>
      <c r="S849">
        <f t="shared" si="1013"/>
        <v>16.607588988024578</v>
      </c>
      <c r="T849">
        <f t="shared" si="1014"/>
        <v>1.6607588988024578E-2</v>
      </c>
    </row>
    <row r="850" spans="1:20" x14ac:dyDescent="0.25">
      <c r="A850" s="5">
        <v>43743</v>
      </c>
      <c r="B850">
        <v>8137.09</v>
      </c>
      <c r="C850">
        <v>8183.41</v>
      </c>
      <c r="D850">
        <v>8012.98</v>
      </c>
      <c r="E850">
        <v>8126.19</v>
      </c>
      <c r="F850">
        <v>21907.615564</v>
      </c>
      <c r="G850">
        <v>-0.13</v>
      </c>
      <c r="L850" t="s">
        <v>8</v>
      </c>
      <c r="M850" t="s">
        <v>7</v>
      </c>
      <c r="N850" t="s">
        <v>7</v>
      </c>
      <c r="P850">
        <f t="shared" si="1010"/>
        <v>0.32852197383089649</v>
      </c>
      <c r="Q850">
        <f t="shared" si="1011"/>
        <v>7197.1331070137485</v>
      </c>
      <c r="R850">
        <f t="shared" si="1012"/>
        <v>1682415.1302383784</v>
      </c>
      <c r="S850">
        <f t="shared" si="1013"/>
        <v>16.824151302383783</v>
      </c>
      <c r="T850">
        <f t="shared" si="1014"/>
        <v>1.6824151302383784E-2</v>
      </c>
    </row>
    <row r="851" spans="1:20" x14ac:dyDescent="0.25">
      <c r="A851" s="5">
        <v>43742</v>
      </c>
      <c r="B851">
        <v>8224.43</v>
      </c>
      <c r="C851">
        <v>8232.41</v>
      </c>
      <c r="D851">
        <v>8005</v>
      </c>
      <c r="E851">
        <v>8137.13</v>
      </c>
      <c r="F851">
        <v>26476.330404</v>
      </c>
      <c r="G851">
        <v>-1.06</v>
      </c>
      <c r="L851" t="s">
        <v>8</v>
      </c>
      <c r="M851" t="s">
        <v>7</v>
      </c>
      <c r="N851" t="s">
        <v>7</v>
      </c>
      <c r="P851">
        <f t="shared" si="1010"/>
        <v>0.16204212655556213</v>
      </c>
      <c r="Q851">
        <f t="shared" si="1011"/>
        <v>4290.2808820518458</v>
      </c>
      <c r="R851">
        <f t="shared" si="1012"/>
        <v>1675217.9971313647</v>
      </c>
      <c r="S851">
        <f t="shared" si="1013"/>
        <v>16.752179971313648</v>
      </c>
      <c r="T851">
        <f t="shared" si="1014"/>
        <v>1.6752179971313647E-2</v>
      </c>
    </row>
    <row r="852" spans="1:20" x14ac:dyDescent="0.25">
      <c r="A852" s="5">
        <v>43741</v>
      </c>
      <c r="B852">
        <v>8360</v>
      </c>
      <c r="C852">
        <v>8393</v>
      </c>
      <c r="D852">
        <v>8060</v>
      </c>
      <c r="E852">
        <v>8223.9599999999991</v>
      </c>
      <c r="F852">
        <v>30488.284058000001</v>
      </c>
      <c r="G852">
        <v>-1.63</v>
      </c>
      <c r="L852" t="s">
        <v>8</v>
      </c>
      <c r="M852" t="s">
        <v>7</v>
      </c>
      <c r="N852" t="s">
        <v>7</v>
      </c>
      <c r="P852">
        <f t="shared" si="1010"/>
        <v>-1.5255255255260499E-2</v>
      </c>
      <c r="Q852">
        <f t="shared" si="1011"/>
        <v>-465.10655559967944</v>
      </c>
      <c r="R852">
        <f t="shared" si="1012"/>
        <v>1670927.7162493127</v>
      </c>
      <c r="S852">
        <f t="shared" si="1013"/>
        <v>16.709277162493127</v>
      </c>
      <c r="T852">
        <f t="shared" si="1014"/>
        <v>1.6709277162493128E-2</v>
      </c>
    </row>
    <row r="853" spans="1:20" x14ac:dyDescent="0.25">
      <c r="A853" s="5">
        <v>43740</v>
      </c>
      <c r="B853">
        <v>8292.67</v>
      </c>
      <c r="C853">
        <v>8373.91</v>
      </c>
      <c r="D853">
        <v>8151.22</v>
      </c>
      <c r="E853">
        <v>8359.94</v>
      </c>
      <c r="F853">
        <v>26243.386643999998</v>
      </c>
      <c r="G853">
        <v>0.81</v>
      </c>
      <c r="L853" t="s">
        <v>8</v>
      </c>
      <c r="M853" t="s">
        <v>7</v>
      </c>
      <c r="N853" t="s">
        <v>7</v>
      </c>
      <c r="P853">
        <f t="shared" si="1010"/>
        <v>0.87453410570749135</v>
      </c>
      <c r="Q853">
        <f t="shared" si="1011"/>
        <v>22950.736669446462</v>
      </c>
      <c r="R853">
        <f t="shared" si="1012"/>
        <v>1671392.8228049125</v>
      </c>
      <c r="S853">
        <f t="shared" si="1013"/>
        <v>16.713928228049124</v>
      </c>
      <c r="T853">
        <f t="shared" si="1014"/>
        <v>1.6713928228049124E-2</v>
      </c>
    </row>
    <row r="854" spans="1:20" x14ac:dyDescent="0.25">
      <c r="A854" s="5">
        <v>43739</v>
      </c>
      <c r="B854">
        <v>8289.9699999999993</v>
      </c>
      <c r="C854">
        <v>8500</v>
      </c>
      <c r="D854">
        <v>8173.05</v>
      </c>
      <c r="E854">
        <v>8292.44</v>
      </c>
      <c r="F854">
        <v>43472.418091</v>
      </c>
      <c r="G854">
        <v>0.03</v>
      </c>
      <c r="L854" t="s">
        <v>8</v>
      </c>
      <c r="M854" t="s">
        <v>7</v>
      </c>
      <c r="N854" t="s">
        <v>7</v>
      </c>
      <c r="P854">
        <f t="shared" si="1010"/>
        <v>-0.26967426211958773</v>
      </c>
      <c r="Q854">
        <f t="shared" si="1011"/>
        <v>-11723.392271244642</v>
      </c>
      <c r="R854">
        <f t="shared" si="1012"/>
        <v>1648442.0861354659</v>
      </c>
      <c r="S854">
        <f t="shared" si="1013"/>
        <v>16.484420861354661</v>
      </c>
      <c r="T854">
        <f t="shared" si="1014"/>
        <v>1.6484420861354661E-2</v>
      </c>
    </row>
    <row r="855" spans="1:20" x14ac:dyDescent="0.25">
      <c r="A855" s="5">
        <v>43738</v>
      </c>
      <c r="B855">
        <v>8043.04</v>
      </c>
      <c r="C855">
        <v>8337.26</v>
      </c>
      <c r="D855">
        <v>7710</v>
      </c>
      <c r="E855">
        <v>8289.34</v>
      </c>
      <c r="F855">
        <v>55865.487260000002</v>
      </c>
      <c r="G855">
        <v>3.06</v>
      </c>
      <c r="L855" t="s">
        <v>7</v>
      </c>
      <c r="M855" t="s">
        <v>7</v>
      </c>
      <c r="N855" t="s">
        <v>7</v>
      </c>
      <c r="P855">
        <f t="shared" si="1010"/>
        <v>0.84720849408538701</v>
      </c>
      <c r="Q855">
        <f t="shared" si="1011"/>
        <v>47329.715332890977</v>
      </c>
      <c r="R855">
        <f t="shared" si="1012"/>
        <v>1660165.4784067106</v>
      </c>
      <c r="S855">
        <f t="shared" si="1013"/>
        <v>16.601654784067104</v>
      </c>
      <c r="T855">
        <f t="shared" si="1014"/>
        <v>1.6601654784067103E-2</v>
      </c>
    </row>
    <row r="856" spans="1:20" x14ac:dyDescent="0.25">
      <c r="A856" s="5">
        <v>43737</v>
      </c>
      <c r="B856">
        <v>8199.3799999999992</v>
      </c>
      <c r="C856">
        <v>8229.1299999999992</v>
      </c>
      <c r="D856">
        <v>7890</v>
      </c>
      <c r="E856">
        <v>8043.82</v>
      </c>
      <c r="F856">
        <v>31544.211388</v>
      </c>
      <c r="G856">
        <v>-1.9</v>
      </c>
      <c r="L856" t="s">
        <v>7</v>
      </c>
      <c r="M856" t="s">
        <v>7</v>
      </c>
      <c r="N856" t="s">
        <v>7</v>
      </c>
      <c r="P856">
        <f t="shared" si="1010"/>
        <v>-9.2855247250316561E-2</v>
      </c>
      <c r="Q856">
        <f t="shared" si="1011"/>
        <v>-2929.0455477489913</v>
      </c>
      <c r="R856">
        <f t="shared" si="1012"/>
        <v>1612835.7630738197</v>
      </c>
      <c r="S856">
        <f t="shared" si="1013"/>
        <v>16.128357630738197</v>
      </c>
      <c r="T856">
        <f t="shared" si="1014"/>
        <v>1.6128357630738197E-2</v>
      </c>
    </row>
    <row r="857" spans="1:20" x14ac:dyDescent="0.25">
      <c r="A857" s="5">
        <v>43736</v>
      </c>
      <c r="B857">
        <v>8177.47</v>
      </c>
      <c r="C857">
        <v>8315</v>
      </c>
      <c r="D857">
        <v>8001.09</v>
      </c>
      <c r="E857">
        <v>8198.81</v>
      </c>
      <c r="F857">
        <v>34473.605165000001</v>
      </c>
      <c r="G857">
        <v>0.26</v>
      </c>
      <c r="L857" t="s">
        <v>7</v>
      </c>
      <c r="M857" t="s">
        <v>7</v>
      </c>
      <c r="N857" t="s">
        <v>7</v>
      </c>
      <c r="P857">
        <f t="shared" si="1010"/>
        <v>0.25972412474912832</v>
      </c>
      <c r="Q857">
        <f t="shared" si="1011"/>
        <v>8953.6269284266546</v>
      </c>
      <c r="R857">
        <f t="shared" si="1012"/>
        <v>1615764.8086215686</v>
      </c>
      <c r="S857">
        <f t="shared" si="1013"/>
        <v>16.157648086215687</v>
      </c>
      <c r="T857">
        <f t="shared" si="1014"/>
        <v>1.6157648086215688E-2</v>
      </c>
    </row>
    <row r="858" spans="1:20" x14ac:dyDescent="0.25">
      <c r="A858" s="5">
        <v>43735</v>
      </c>
      <c r="B858">
        <v>8063.49</v>
      </c>
      <c r="C858">
        <v>8265</v>
      </c>
      <c r="D858">
        <v>7852.15</v>
      </c>
      <c r="E858">
        <v>8177.91</v>
      </c>
      <c r="F858">
        <v>43882.924625</v>
      </c>
      <c r="G858">
        <v>1.42</v>
      </c>
      <c r="L858" t="s">
        <v>7</v>
      </c>
      <c r="M858" t="s">
        <v>7</v>
      </c>
      <c r="N858" t="s">
        <v>7</v>
      </c>
      <c r="P858">
        <f t="shared" si="1010"/>
        <v>0.57810342739493725</v>
      </c>
      <c r="Q858">
        <f t="shared" si="1011"/>
        <v>25368.869129826191</v>
      </c>
      <c r="R858">
        <f t="shared" si="1012"/>
        <v>1606811.181693142</v>
      </c>
      <c r="S858">
        <f t="shared" si="1013"/>
        <v>16.06811181693142</v>
      </c>
      <c r="T858">
        <f t="shared" si="1014"/>
        <v>1.6068111816931421E-2</v>
      </c>
    </row>
    <row r="859" spans="1:20" x14ac:dyDescent="0.25">
      <c r="A859" s="5">
        <v>43734</v>
      </c>
      <c r="B859">
        <v>8430.0499999999993</v>
      </c>
      <c r="C859">
        <v>8465.99</v>
      </c>
      <c r="D859">
        <v>7750</v>
      </c>
      <c r="E859">
        <v>8063.73</v>
      </c>
      <c r="F859">
        <v>67930.853749000002</v>
      </c>
      <c r="G859">
        <v>-4.3499999999999996</v>
      </c>
      <c r="L859" t="s">
        <v>7</v>
      </c>
      <c r="M859" t="s">
        <v>7</v>
      </c>
      <c r="N859" t="s">
        <v>7</v>
      </c>
      <c r="P859">
        <f t="shared" si="1010"/>
        <v>-0.12364697830975388</v>
      </c>
      <c r="Q859">
        <f t="shared" si="1011"/>
        <v>-8399.4448000656666</v>
      </c>
      <c r="R859">
        <f t="shared" si="1012"/>
        <v>1581442.312563316</v>
      </c>
      <c r="S859">
        <f t="shared" si="1013"/>
        <v>15.81442312563316</v>
      </c>
      <c r="T859">
        <f t="shared" si="1014"/>
        <v>1.5814423125633161E-2</v>
      </c>
    </row>
    <row r="860" spans="1:20" x14ac:dyDescent="0.25">
      <c r="A860" s="5">
        <v>43733</v>
      </c>
      <c r="B860">
        <v>8497.5499999999993</v>
      </c>
      <c r="C860">
        <v>8730</v>
      </c>
      <c r="D860">
        <v>8215.64</v>
      </c>
      <c r="E860">
        <v>8430.0499999999993</v>
      </c>
      <c r="F860">
        <v>60783.892258</v>
      </c>
      <c r="G860">
        <v>-0.79</v>
      </c>
      <c r="L860" t="s">
        <v>8</v>
      </c>
      <c r="M860" t="s">
        <v>7</v>
      </c>
      <c r="N860" t="s">
        <v>7</v>
      </c>
      <c r="P860">
        <f t="shared" si="1010"/>
        <v>-0.16630375612411691</v>
      </c>
      <c r="Q860">
        <f t="shared" si="1011"/>
        <v>-10108.58959434903</v>
      </c>
      <c r="R860">
        <f t="shared" si="1012"/>
        <v>1589841.7573633816</v>
      </c>
      <c r="S860">
        <f t="shared" si="1013"/>
        <v>15.898417573633816</v>
      </c>
      <c r="T860">
        <f t="shared" si="1014"/>
        <v>1.5898417573633816E-2</v>
      </c>
    </row>
    <row r="861" spans="1:20" x14ac:dyDescent="0.25">
      <c r="A861" s="5">
        <v>43732</v>
      </c>
      <c r="B861">
        <v>9702.2000000000007</v>
      </c>
      <c r="C861">
        <v>9794.99</v>
      </c>
      <c r="D861">
        <v>7800</v>
      </c>
      <c r="E861">
        <v>8493.14</v>
      </c>
      <c r="F861">
        <v>94007.345203000004</v>
      </c>
      <c r="G861">
        <v>-12.46</v>
      </c>
      <c r="L861" t="s">
        <v>7</v>
      </c>
      <c r="M861" t="s">
        <v>7</v>
      </c>
      <c r="N861" t="s">
        <v>7</v>
      </c>
      <c r="P861">
        <f t="shared" si="1010"/>
        <v>-0.30511932390638602</v>
      </c>
      <c r="Q861">
        <f t="shared" si="1011"/>
        <v>-28683.457610573601</v>
      </c>
      <c r="R861">
        <f t="shared" si="1012"/>
        <v>1599950.3469577306</v>
      </c>
      <c r="S861">
        <f t="shared" si="1013"/>
        <v>15.999503469577306</v>
      </c>
      <c r="T861">
        <f t="shared" si="1014"/>
        <v>1.5999503469577306E-2</v>
      </c>
    </row>
    <row r="862" spans="1:20" x14ac:dyDescent="0.25">
      <c r="A862" s="5">
        <v>43731</v>
      </c>
      <c r="B862">
        <v>10028.049999999999</v>
      </c>
      <c r="C862">
        <v>10049.99</v>
      </c>
      <c r="D862">
        <v>9615.77</v>
      </c>
      <c r="E862">
        <v>9702.25</v>
      </c>
      <c r="F862">
        <v>31937.232356</v>
      </c>
      <c r="G862">
        <v>-3.25</v>
      </c>
      <c r="L862" t="s">
        <v>7</v>
      </c>
      <c r="M862" t="s">
        <v>7</v>
      </c>
      <c r="N862" t="s">
        <v>7</v>
      </c>
      <c r="P862">
        <f t="shared" si="1010"/>
        <v>-0.60167656948090975</v>
      </c>
      <c r="Q862">
        <f t="shared" si="1011"/>
        <v>-19215.884402672793</v>
      </c>
      <c r="R862">
        <f t="shared" si="1012"/>
        <v>1628633.8045683042</v>
      </c>
      <c r="S862">
        <f t="shared" si="1013"/>
        <v>16.286338045683042</v>
      </c>
      <c r="T862">
        <f t="shared" si="1014"/>
        <v>1.6286338045683042E-2</v>
      </c>
    </row>
    <row r="863" spans="1:20" x14ac:dyDescent="0.25">
      <c r="A863" s="5">
        <v>43730</v>
      </c>
      <c r="B863">
        <v>9985.15</v>
      </c>
      <c r="C863">
        <v>10089</v>
      </c>
      <c r="D863">
        <v>9853.9699999999993</v>
      </c>
      <c r="E863">
        <v>10028.870000000001</v>
      </c>
      <c r="F863">
        <v>22049.275256000001</v>
      </c>
      <c r="G863">
        <v>0.44</v>
      </c>
      <c r="L863" t="s">
        <v>7</v>
      </c>
      <c r="M863" t="s">
        <v>7</v>
      </c>
      <c r="N863" t="s">
        <v>7</v>
      </c>
      <c r="P863">
        <f t="shared" si="1010"/>
        <v>0.48832063991831653</v>
      </c>
      <c r="Q863">
        <f t="shared" si="1011"/>
        <v>10767.116202745023</v>
      </c>
      <c r="R863">
        <f t="shared" si="1012"/>
        <v>1647849.688970977</v>
      </c>
      <c r="S863">
        <f t="shared" si="1013"/>
        <v>16.478496889709771</v>
      </c>
      <c r="T863">
        <f t="shared" si="1014"/>
        <v>1.647849688970977E-2</v>
      </c>
    </row>
    <row r="864" spans="1:20" x14ac:dyDescent="0.25">
      <c r="A864" s="5">
        <v>43729</v>
      </c>
      <c r="B864">
        <v>10167.92</v>
      </c>
      <c r="C864">
        <v>10176.700000000001</v>
      </c>
      <c r="D864">
        <v>9900</v>
      </c>
      <c r="E864">
        <v>9986.39</v>
      </c>
      <c r="F864">
        <v>20544.175196</v>
      </c>
      <c r="G864">
        <v>-1.79</v>
      </c>
      <c r="L864" t="s">
        <v>7</v>
      </c>
      <c r="M864" t="s">
        <v>7</v>
      </c>
      <c r="N864" t="s">
        <v>7</v>
      </c>
      <c r="P864">
        <f t="shared" si="1010"/>
        <v>-0.37556920852909875</v>
      </c>
      <c r="Q864">
        <f t="shared" si="1011"/>
        <v>-7715.7596182448624</v>
      </c>
      <c r="R864">
        <f t="shared" si="1012"/>
        <v>1637082.5727682319</v>
      </c>
      <c r="S864">
        <f t="shared" si="1013"/>
        <v>16.37082572768232</v>
      </c>
      <c r="T864">
        <f t="shared" si="1014"/>
        <v>1.6370825727682319E-2</v>
      </c>
    </row>
    <row r="865" spans="1:20" x14ac:dyDescent="0.25">
      <c r="A865" s="5">
        <v>43728</v>
      </c>
      <c r="B865">
        <v>10243.700000000001</v>
      </c>
      <c r="C865">
        <v>10281</v>
      </c>
      <c r="D865">
        <v>10061.39</v>
      </c>
      <c r="E865">
        <v>10168.59</v>
      </c>
      <c r="F865">
        <v>25088.491069</v>
      </c>
      <c r="G865">
        <v>-0.73</v>
      </c>
      <c r="L865" t="s">
        <v>7</v>
      </c>
      <c r="M865" t="s">
        <v>7</v>
      </c>
      <c r="N865" t="s">
        <v>7</v>
      </c>
      <c r="P865">
        <f t="shared" si="1010"/>
        <v>-2.3723874140517794E-2</v>
      </c>
      <c r="Q865">
        <f t="shared" si="1011"/>
        <v>-595.19620449646072</v>
      </c>
      <c r="R865">
        <f t="shared" si="1012"/>
        <v>1644798.3323864767</v>
      </c>
      <c r="S865">
        <f t="shared" si="1013"/>
        <v>16.447983323864769</v>
      </c>
      <c r="T865">
        <f t="shared" si="1014"/>
        <v>1.6447983323864768E-2</v>
      </c>
    </row>
    <row r="866" spans="1:20" x14ac:dyDescent="0.25">
      <c r="A866" s="5">
        <v>43727</v>
      </c>
      <c r="B866">
        <v>10156.41</v>
      </c>
      <c r="C866">
        <v>10325</v>
      </c>
      <c r="D866">
        <v>9653</v>
      </c>
      <c r="E866">
        <v>10244.290000000001</v>
      </c>
      <c r="F866">
        <v>44826.282578999999</v>
      </c>
      <c r="G866">
        <v>0.87</v>
      </c>
      <c r="L866" t="s">
        <v>7</v>
      </c>
      <c r="M866" t="s">
        <v>7</v>
      </c>
      <c r="N866" t="s">
        <v>7</v>
      </c>
      <c r="P866">
        <f t="shared" si="1010"/>
        <v>0.75979166666666931</v>
      </c>
      <c r="Q866">
        <f t="shared" si="1011"/>
        <v>34058.63595116949</v>
      </c>
      <c r="R866">
        <f t="shared" si="1012"/>
        <v>1645393.5285909732</v>
      </c>
      <c r="S866">
        <f t="shared" si="1013"/>
        <v>16.453935285909733</v>
      </c>
      <c r="T866">
        <f t="shared" si="1014"/>
        <v>1.6453935285909733E-2</v>
      </c>
    </row>
    <row r="867" spans="1:20" x14ac:dyDescent="0.25">
      <c r="A867" s="5">
        <v>43726</v>
      </c>
      <c r="B867">
        <v>10187.48</v>
      </c>
      <c r="C867">
        <v>10258.02</v>
      </c>
      <c r="D867">
        <v>10100</v>
      </c>
      <c r="E867">
        <v>10156.99</v>
      </c>
      <c r="F867">
        <v>24250.249303000001</v>
      </c>
      <c r="G867">
        <v>-0.3</v>
      </c>
      <c r="L867" t="s">
        <v>7</v>
      </c>
      <c r="M867" t="s">
        <v>7</v>
      </c>
      <c r="N867" t="s">
        <v>7</v>
      </c>
      <c r="P867">
        <f t="shared" si="1010"/>
        <v>-0.27869889887356508</v>
      </c>
      <c r="Q867">
        <f t="shared" si="1011"/>
        <v>-6758.5177781555394</v>
      </c>
      <c r="R867">
        <f t="shared" si="1012"/>
        <v>1611334.8926398037</v>
      </c>
      <c r="S867">
        <f t="shared" si="1013"/>
        <v>16.113348926398036</v>
      </c>
      <c r="T867">
        <f t="shared" si="1014"/>
        <v>1.6113348926398034E-2</v>
      </c>
    </row>
    <row r="868" spans="1:20" x14ac:dyDescent="0.25">
      <c r="A868" s="5">
        <v>43725</v>
      </c>
      <c r="B868">
        <v>10249.68</v>
      </c>
      <c r="C868">
        <v>10275</v>
      </c>
      <c r="D868">
        <v>10128.01</v>
      </c>
      <c r="E868">
        <v>10187.82</v>
      </c>
      <c r="F868">
        <v>22914.324562999998</v>
      </c>
      <c r="G868">
        <v>-0.6</v>
      </c>
      <c r="L868" t="s">
        <v>7</v>
      </c>
      <c r="M868" t="s">
        <v>7</v>
      </c>
      <c r="N868" t="s">
        <v>7</v>
      </c>
      <c r="P868">
        <f t="shared" si="1010"/>
        <v>-0.18620314307096292</v>
      </c>
      <c r="Q868">
        <f t="shared" si="1011"/>
        <v>-4266.7192549787687</v>
      </c>
      <c r="R868">
        <f t="shared" si="1012"/>
        <v>1618093.4104179593</v>
      </c>
      <c r="S868">
        <f t="shared" si="1013"/>
        <v>16.180934104179592</v>
      </c>
      <c r="T868">
        <f t="shared" si="1014"/>
        <v>1.6180934104179593E-2</v>
      </c>
    </row>
    <row r="869" spans="1:20" x14ac:dyDescent="0.25">
      <c r="A869" s="5">
        <v>43724</v>
      </c>
      <c r="B869">
        <v>10303.34</v>
      </c>
      <c r="C869">
        <v>10355</v>
      </c>
      <c r="D869">
        <v>10078</v>
      </c>
      <c r="E869">
        <v>10251.31</v>
      </c>
      <c r="F869">
        <v>28971.401656999999</v>
      </c>
      <c r="G869">
        <v>-0.5</v>
      </c>
      <c r="L869" t="s">
        <v>7</v>
      </c>
      <c r="M869" t="s">
        <v>7</v>
      </c>
      <c r="N869" t="s">
        <v>7</v>
      </c>
      <c r="P869">
        <f t="shared" si="1010"/>
        <v>0.2513357400721985</v>
      </c>
      <c r="Q869">
        <f t="shared" si="1011"/>
        <v>7281.5486763910121</v>
      </c>
      <c r="R869">
        <f t="shared" si="1012"/>
        <v>1622360.129672938</v>
      </c>
      <c r="S869">
        <f t="shared" si="1013"/>
        <v>16.223601296729381</v>
      </c>
      <c r="T869">
        <f t="shared" si="1014"/>
        <v>1.6223601296729381E-2</v>
      </c>
    </row>
    <row r="870" spans="1:20" x14ac:dyDescent="0.25">
      <c r="A870" s="5">
        <v>43723</v>
      </c>
      <c r="B870">
        <v>10332.81</v>
      </c>
      <c r="C870">
        <v>10360</v>
      </c>
      <c r="D870">
        <v>10252.15</v>
      </c>
      <c r="E870">
        <v>10302.01</v>
      </c>
      <c r="F870">
        <v>18047.654012999999</v>
      </c>
      <c r="G870">
        <v>-0.3</v>
      </c>
      <c r="L870" t="s">
        <v>7</v>
      </c>
      <c r="M870" t="s">
        <v>7</v>
      </c>
      <c r="N870" t="s">
        <v>7</v>
      </c>
      <c r="P870">
        <f t="shared" si="1010"/>
        <v>-7.5382475660632109E-2</v>
      </c>
      <c r="Q870">
        <f t="shared" si="1011"/>
        <v>-1360.476839366482</v>
      </c>
      <c r="R870">
        <f t="shared" si="1012"/>
        <v>1615078.5809965471</v>
      </c>
      <c r="S870">
        <f t="shared" si="1013"/>
        <v>16.15078580996547</v>
      </c>
      <c r="T870">
        <f t="shared" si="1014"/>
        <v>1.6150785809965471E-2</v>
      </c>
    </row>
    <row r="871" spans="1:20" x14ac:dyDescent="0.25">
      <c r="A871" s="5">
        <v>43722</v>
      </c>
      <c r="B871">
        <v>10344.129999999999</v>
      </c>
      <c r="C871">
        <v>10419.99</v>
      </c>
      <c r="D871">
        <v>10222.33</v>
      </c>
      <c r="E871">
        <v>10335.02</v>
      </c>
      <c r="F871">
        <v>23621.533519000001</v>
      </c>
      <c r="G871">
        <v>-0.09</v>
      </c>
      <c r="L871" t="s">
        <v>7</v>
      </c>
      <c r="M871" t="s">
        <v>7</v>
      </c>
      <c r="N871" t="s">
        <v>7</v>
      </c>
      <c r="P871">
        <f t="shared" si="1010"/>
        <v>0.14024081756552254</v>
      </c>
      <c r="Q871">
        <f t="shared" si="1011"/>
        <v>3312.7031728559546</v>
      </c>
      <c r="R871">
        <f t="shared" si="1012"/>
        <v>1616439.0578359135</v>
      </c>
      <c r="S871">
        <f t="shared" si="1013"/>
        <v>16.164390578359136</v>
      </c>
      <c r="T871">
        <f t="shared" si="1014"/>
        <v>1.6164390578359136E-2</v>
      </c>
    </row>
    <row r="872" spans="1:20" x14ac:dyDescent="0.25">
      <c r="A872" s="5">
        <v>43721</v>
      </c>
      <c r="B872">
        <v>10415.01</v>
      </c>
      <c r="C872">
        <v>10439</v>
      </c>
      <c r="D872">
        <v>10153</v>
      </c>
      <c r="E872">
        <v>10342.06</v>
      </c>
      <c r="F872">
        <v>30280.339776000001</v>
      </c>
      <c r="G872">
        <v>-0.7</v>
      </c>
      <c r="L872" t="s">
        <v>7</v>
      </c>
      <c r="M872" t="s">
        <v>7</v>
      </c>
      <c r="N872" t="s">
        <v>7</v>
      </c>
      <c r="P872">
        <f t="shared" si="1010"/>
        <v>0.32209790209789851</v>
      </c>
      <c r="Q872">
        <f t="shared" si="1011"/>
        <v>9753.2339166611509</v>
      </c>
      <c r="R872">
        <f t="shared" si="1012"/>
        <v>1613126.3546630575</v>
      </c>
      <c r="S872">
        <f t="shared" si="1013"/>
        <v>16.131263546630574</v>
      </c>
      <c r="T872">
        <f t="shared" si="1014"/>
        <v>1.6131263546630574E-2</v>
      </c>
    </row>
    <row r="873" spans="1:20" x14ac:dyDescent="0.25">
      <c r="A873" s="5">
        <v>43720</v>
      </c>
      <c r="B873">
        <v>10158.75</v>
      </c>
      <c r="C873">
        <v>10448.81</v>
      </c>
      <c r="D873">
        <v>10040</v>
      </c>
      <c r="E873">
        <v>10415.01</v>
      </c>
      <c r="F873">
        <v>34511.162754999998</v>
      </c>
      <c r="G873">
        <v>2.52</v>
      </c>
      <c r="L873" t="s">
        <v>7</v>
      </c>
      <c r="M873" t="s">
        <v>7</v>
      </c>
      <c r="N873" t="s">
        <v>7</v>
      </c>
      <c r="P873">
        <f t="shared" si="1010"/>
        <v>0.83464200973557734</v>
      </c>
      <c r="Q873">
        <f t="shared" si="1011"/>
        <v>28804.4662401448</v>
      </c>
      <c r="R873">
        <f t="shared" si="1012"/>
        <v>1603373.1207463962</v>
      </c>
      <c r="S873">
        <f t="shared" si="1013"/>
        <v>16.033731207463962</v>
      </c>
      <c r="T873">
        <f t="shared" si="1014"/>
        <v>1.6033731207463962E-2</v>
      </c>
    </row>
    <row r="874" spans="1:20" x14ac:dyDescent="0.25">
      <c r="A874" s="5">
        <v>43719</v>
      </c>
      <c r="B874">
        <v>10098.19</v>
      </c>
      <c r="C874">
        <v>10293</v>
      </c>
      <c r="D874">
        <v>9880</v>
      </c>
      <c r="E874">
        <v>10158.33</v>
      </c>
      <c r="F874">
        <v>31953.824562000002</v>
      </c>
      <c r="G874">
        <v>0.6</v>
      </c>
      <c r="L874" t="s">
        <v>7</v>
      </c>
      <c r="M874" t="s">
        <v>7</v>
      </c>
      <c r="N874" t="s">
        <v>7</v>
      </c>
      <c r="P874">
        <f t="shared" si="1010"/>
        <v>0.34784503631961222</v>
      </c>
      <c r="Q874">
        <f t="shared" si="1011"/>
        <v>11114.979265319407</v>
      </c>
      <c r="R874">
        <f t="shared" si="1012"/>
        <v>1574568.6545062514</v>
      </c>
      <c r="S874">
        <f t="shared" si="1013"/>
        <v>15.745686545062515</v>
      </c>
      <c r="T874">
        <f t="shared" si="1014"/>
        <v>1.5745686545062514E-2</v>
      </c>
    </row>
    <row r="875" spans="1:20" x14ac:dyDescent="0.25">
      <c r="A875" s="5">
        <v>43718</v>
      </c>
      <c r="B875">
        <v>10302.58</v>
      </c>
      <c r="C875">
        <v>10384.99</v>
      </c>
      <c r="D875">
        <v>9953</v>
      </c>
      <c r="E875">
        <v>10098.15</v>
      </c>
      <c r="F875">
        <v>28915.412225</v>
      </c>
      <c r="G875">
        <v>-1.98</v>
      </c>
      <c r="L875" t="s">
        <v>7</v>
      </c>
      <c r="M875" t="s">
        <v>7</v>
      </c>
      <c r="N875" t="s">
        <v>7</v>
      </c>
      <c r="P875">
        <f t="shared" si="1010"/>
        <v>-0.3279937035579541</v>
      </c>
      <c r="Q875">
        <f t="shared" si="1011"/>
        <v>-9484.0731455826917</v>
      </c>
      <c r="R875">
        <f t="shared" si="1012"/>
        <v>1563453.675240932</v>
      </c>
      <c r="S875">
        <f t="shared" si="1013"/>
        <v>15.63453675240932</v>
      </c>
      <c r="T875">
        <f t="shared" si="1014"/>
        <v>1.563453675240932E-2</v>
      </c>
    </row>
    <row r="876" spans="1:20" x14ac:dyDescent="0.25">
      <c r="A876" s="5">
        <v>43717</v>
      </c>
      <c r="B876">
        <v>10381.24</v>
      </c>
      <c r="C876">
        <v>10480</v>
      </c>
      <c r="D876">
        <v>10068.5</v>
      </c>
      <c r="E876">
        <v>10303.120000000001</v>
      </c>
      <c r="F876">
        <v>39835.727608000001</v>
      </c>
      <c r="G876">
        <v>-0.75</v>
      </c>
      <c r="L876" t="s">
        <v>7</v>
      </c>
      <c r="M876" t="s">
        <v>7</v>
      </c>
      <c r="N876" t="s">
        <v>7</v>
      </c>
      <c r="P876">
        <f t="shared" si="1010"/>
        <v>0.14031591737545954</v>
      </c>
      <c r="Q876">
        <f t="shared" si="1011"/>
        <v>5589.5866636354403</v>
      </c>
      <c r="R876">
        <f t="shared" si="1012"/>
        <v>1572937.7483865148</v>
      </c>
      <c r="S876">
        <f t="shared" si="1013"/>
        <v>15.729377483865148</v>
      </c>
      <c r="T876">
        <f t="shared" si="1014"/>
        <v>1.5729377483865149E-2</v>
      </c>
    </row>
    <row r="877" spans="1:20" x14ac:dyDescent="0.25">
      <c r="A877" s="5">
        <v>43716</v>
      </c>
      <c r="B877">
        <v>10455.9</v>
      </c>
      <c r="C877">
        <v>10592.5</v>
      </c>
      <c r="D877">
        <v>10208</v>
      </c>
      <c r="E877">
        <v>10381.18</v>
      </c>
      <c r="F877">
        <v>23984.672018000001</v>
      </c>
      <c r="G877">
        <v>-0.71</v>
      </c>
      <c r="L877" t="s">
        <v>7</v>
      </c>
      <c r="M877" t="s">
        <v>7</v>
      </c>
      <c r="N877" t="s">
        <v>7</v>
      </c>
      <c r="P877">
        <f t="shared" si="1010"/>
        <v>-9.9193758127436721E-2</v>
      </c>
      <c r="Q877">
        <f t="shared" si="1011"/>
        <v>-2379.1297549193919</v>
      </c>
      <c r="R877">
        <f t="shared" si="1012"/>
        <v>1567348.1617228794</v>
      </c>
      <c r="S877">
        <f t="shared" si="1013"/>
        <v>15.673481617228793</v>
      </c>
      <c r="T877">
        <f t="shared" si="1014"/>
        <v>1.5673481617228792E-2</v>
      </c>
    </row>
    <row r="878" spans="1:20" x14ac:dyDescent="0.25">
      <c r="A878" s="5">
        <v>43715</v>
      </c>
      <c r="B878">
        <v>10298.709999999999</v>
      </c>
      <c r="C878">
        <v>10558</v>
      </c>
      <c r="D878">
        <v>10288.57</v>
      </c>
      <c r="E878">
        <v>10455.879999999999</v>
      </c>
      <c r="F878">
        <v>27637.877391999999</v>
      </c>
      <c r="G878">
        <v>1.53</v>
      </c>
      <c r="L878" t="s">
        <v>7</v>
      </c>
      <c r="M878" t="s">
        <v>7</v>
      </c>
      <c r="N878" t="s">
        <v>7</v>
      </c>
      <c r="P878">
        <f t="shared" si="1010"/>
        <v>0.2419552388375408</v>
      </c>
      <c r="Q878">
        <f t="shared" si="1011"/>
        <v>6687.1292253440288</v>
      </c>
      <c r="R878">
        <f t="shared" si="1012"/>
        <v>1569727.2914777987</v>
      </c>
      <c r="S878">
        <f t="shared" si="1013"/>
        <v>15.697272914777987</v>
      </c>
      <c r="T878">
        <f t="shared" si="1014"/>
        <v>1.5697272914777988E-2</v>
      </c>
    </row>
    <row r="879" spans="1:20" x14ac:dyDescent="0.25">
      <c r="A879" s="5">
        <v>43714</v>
      </c>
      <c r="B879">
        <v>10563.13</v>
      </c>
      <c r="C879">
        <v>10905.87</v>
      </c>
      <c r="D879">
        <v>10150</v>
      </c>
      <c r="E879">
        <v>10298.73</v>
      </c>
      <c r="F879">
        <v>58799.640958999997</v>
      </c>
      <c r="G879">
        <v>-2.5</v>
      </c>
      <c r="L879" t="s">
        <v>7</v>
      </c>
      <c r="M879" t="s">
        <v>7</v>
      </c>
      <c r="N879" t="s">
        <v>7</v>
      </c>
      <c r="P879">
        <f t="shared" si="1010"/>
        <v>-0.60646672046780692</v>
      </c>
      <c r="Q879">
        <f t="shared" si="1011"/>
        <v>-35660.025417089259</v>
      </c>
      <c r="R879">
        <f t="shared" si="1012"/>
        <v>1563040.1622524548</v>
      </c>
      <c r="S879">
        <f t="shared" si="1013"/>
        <v>15.630401622524548</v>
      </c>
      <c r="T879">
        <f t="shared" si="1014"/>
        <v>1.5630401622524548E-2</v>
      </c>
    </row>
    <row r="880" spans="1:20" x14ac:dyDescent="0.25">
      <c r="A880" s="5">
        <v>43713</v>
      </c>
      <c r="B880">
        <v>10565.92</v>
      </c>
      <c r="C880">
        <v>10900</v>
      </c>
      <c r="D880">
        <v>10450</v>
      </c>
      <c r="E880">
        <v>10564.49</v>
      </c>
      <c r="F880">
        <v>33970.960638999997</v>
      </c>
      <c r="G880">
        <v>-0.01</v>
      </c>
      <c r="L880" t="s">
        <v>8</v>
      </c>
      <c r="M880" t="s">
        <v>7</v>
      </c>
      <c r="N880" t="s">
        <v>7</v>
      </c>
      <c r="P880">
        <f t="shared" si="1010"/>
        <v>-0.49115555555555651</v>
      </c>
      <c r="Q880">
        <f t="shared" si="1011"/>
        <v>-16685.026045403985</v>
      </c>
      <c r="R880">
        <f t="shared" si="1012"/>
        <v>1598700.187669544</v>
      </c>
      <c r="S880">
        <f t="shared" si="1013"/>
        <v>15.987001876695441</v>
      </c>
      <c r="T880">
        <f t="shared" si="1014"/>
        <v>1.5987001876695443E-2</v>
      </c>
    </row>
    <row r="881" spans="1:20" x14ac:dyDescent="0.25">
      <c r="A881" s="5">
        <v>43712</v>
      </c>
      <c r="B881">
        <v>10611.85</v>
      </c>
      <c r="C881">
        <v>10799</v>
      </c>
      <c r="D881">
        <v>10369.89</v>
      </c>
      <c r="E881">
        <v>10567.02</v>
      </c>
      <c r="F881">
        <v>43943.889025999997</v>
      </c>
      <c r="G881">
        <v>-0.42</v>
      </c>
      <c r="L881" t="s">
        <v>8</v>
      </c>
      <c r="M881" t="s">
        <v>7</v>
      </c>
      <c r="N881" t="s">
        <v>7</v>
      </c>
      <c r="P881">
        <f t="shared" si="1010"/>
        <v>-8.1214606977228446E-2</v>
      </c>
      <c r="Q881">
        <f t="shared" si="1011"/>
        <v>-3568.885676297532</v>
      </c>
      <c r="R881">
        <f t="shared" si="1012"/>
        <v>1615385.2137149479</v>
      </c>
      <c r="S881">
        <f t="shared" si="1013"/>
        <v>16.153852137149478</v>
      </c>
      <c r="T881">
        <f t="shared" si="1014"/>
        <v>1.6153852137149479E-2</v>
      </c>
    </row>
    <row r="882" spans="1:20" x14ac:dyDescent="0.25">
      <c r="A882" s="5">
        <v>43711</v>
      </c>
      <c r="B882">
        <v>10340</v>
      </c>
      <c r="C882">
        <v>10773</v>
      </c>
      <c r="D882">
        <v>10272</v>
      </c>
      <c r="E882">
        <v>10615.28</v>
      </c>
      <c r="F882">
        <v>47998.376780999999</v>
      </c>
      <c r="G882">
        <v>2.66</v>
      </c>
      <c r="L882" t="s">
        <v>8</v>
      </c>
      <c r="M882" t="s">
        <v>7</v>
      </c>
      <c r="N882" t="s">
        <v>7</v>
      </c>
      <c r="P882">
        <f t="shared" si="1010"/>
        <v>0.37037924151696866</v>
      </c>
      <c r="Q882">
        <f t="shared" si="1011"/>
        <v>17777.602386192459</v>
      </c>
      <c r="R882">
        <f t="shared" si="1012"/>
        <v>1618954.0993912455</v>
      </c>
      <c r="S882">
        <f t="shared" si="1013"/>
        <v>16.189540993912455</v>
      </c>
      <c r="T882">
        <f t="shared" si="1014"/>
        <v>1.6189540993912455E-2</v>
      </c>
    </row>
    <row r="883" spans="1:20" x14ac:dyDescent="0.25">
      <c r="A883" s="5">
        <v>43710</v>
      </c>
      <c r="B883">
        <v>9723.59</v>
      </c>
      <c r="C883">
        <v>10450</v>
      </c>
      <c r="D883">
        <v>9712.5</v>
      </c>
      <c r="E883">
        <v>10340</v>
      </c>
      <c r="F883">
        <v>44740.248093000002</v>
      </c>
      <c r="G883">
        <v>6.34</v>
      </c>
      <c r="L883" t="s">
        <v>8</v>
      </c>
      <c r="M883" t="s">
        <v>7</v>
      </c>
      <c r="N883" t="s">
        <v>7</v>
      </c>
      <c r="P883">
        <f t="shared" si="1010"/>
        <v>0.70169491525423733</v>
      </c>
      <c r="Q883">
        <f t="shared" si="1011"/>
        <v>31394.00459407119</v>
      </c>
      <c r="R883">
        <f t="shared" si="1012"/>
        <v>1601176.4970050531</v>
      </c>
      <c r="S883">
        <f t="shared" si="1013"/>
        <v>16.011764970050532</v>
      </c>
      <c r="T883">
        <f t="shared" si="1014"/>
        <v>1.6011764970050531E-2</v>
      </c>
    </row>
    <row r="884" spans="1:20" x14ac:dyDescent="0.25">
      <c r="A884" s="5">
        <v>43709</v>
      </c>
      <c r="B884">
        <v>9588.74</v>
      </c>
      <c r="C884">
        <v>9830</v>
      </c>
      <c r="D884">
        <v>9520</v>
      </c>
      <c r="E884">
        <v>9724.98</v>
      </c>
      <c r="F884">
        <v>19545.404843</v>
      </c>
      <c r="G884">
        <v>1.42</v>
      </c>
      <c r="L884" t="s">
        <v>7</v>
      </c>
      <c r="M884" t="s">
        <v>7</v>
      </c>
      <c r="N884" t="s">
        <v>7</v>
      </c>
      <c r="P884">
        <f t="shared" si="1010"/>
        <v>0.32245161290322299</v>
      </c>
      <c r="Q884">
        <f t="shared" si="1011"/>
        <v>6302.4473164718165</v>
      </c>
      <c r="R884">
        <f t="shared" si="1012"/>
        <v>1569782.4924109818</v>
      </c>
      <c r="S884">
        <f t="shared" si="1013"/>
        <v>15.697824924109819</v>
      </c>
      <c r="T884">
        <f t="shared" si="1014"/>
        <v>1.5697824924109819E-2</v>
      </c>
    </row>
    <row r="885" spans="1:20" x14ac:dyDescent="0.25">
      <c r="A885" s="5">
        <v>43708</v>
      </c>
      <c r="B885">
        <v>9582.76</v>
      </c>
      <c r="C885">
        <v>9684.51</v>
      </c>
      <c r="D885">
        <v>9420.75</v>
      </c>
      <c r="E885">
        <v>9587.4699999999993</v>
      </c>
      <c r="F885">
        <v>17130.290074</v>
      </c>
      <c r="G885">
        <v>0.05</v>
      </c>
      <c r="L885" t="s">
        <v>7</v>
      </c>
      <c r="M885" t="s">
        <v>7</v>
      </c>
      <c r="N885" t="s">
        <v>7</v>
      </c>
      <c r="P885">
        <f t="shared" si="1010"/>
        <v>0.26417955717318176</v>
      </c>
      <c r="Q885">
        <f t="shared" si="1011"/>
        <v>4525.4724459974714</v>
      </c>
      <c r="R885">
        <f t="shared" si="1012"/>
        <v>1563480.0450945101</v>
      </c>
      <c r="S885">
        <f t="shared" si="1013"/>
        <v>15.6348004509451</v>
      </c>
      <c r="T885">
        <f t="shared" si="1014"/>
        <v>1.5634800450945101E-2</v>
      </c>
    </row>
    <row r="886" spans="1:20" x14ac:dyDescent="0.25">
      <c r="A886" s="5">
        <v>43707</v>
      </c>
      <c r="B886">
        <v>9499.01</v>
      </c>
      <c r="C886">
        <v>9696</v>
      </c>
      <c r="D886">
        <v>9350.41</v>
      </c>
      <c r="E886">
        <v>9584.5400000000009</v>
      </c>
      <c r="F886">
        <v>26834.318104000002</v>
      </c>
      <c r="G886">
        <v>0.9</v>
      </c>
      <c r="L886" t="s">
        <v>7</v>
      </c>
      <c r="M886" t="s">
        <v>7</v>
      </c>
      <c r="N886" t="s">
        <v>7</v>
      </c>
      <c r="P886">
        <f t="shared" si="1010"/>
        <v>0.3549581874475588</v>
      </c>
      <c r="Q886">
        <f t="shared" si="1011"/>
        <v>9525.0609155870534</v>
      </c>
      <c r="R886">
        <f t="shared" si="1012"/>
        <v>1558954.5726485127</v>
      </c>
      <c r="S886">
        <f t="shared" si="1013"/>
        <v>15.589545726485127</v>
      </c>
      <c r="T886">
        <f t="shared" si="1014"/>
        <v>1.5589545726485127E-2</v>
      </c>
    </row>
    <row r="887" spans="1:20" x14ac:dyDescent="0.25">
      <c r="A887" s="5">
        <v>43706</v>
      </c>
      <c r="B887">
        <v>9721</v>
      </c>
      <c r="C887">
        <v>9724</v>
      </c>
      <c r="D887">
        <v>9320</v>
      </c>
      <c r="E887">
        <v>9498.44</v>
      </c>
      <c r="F887">
        <v>35532.694909999998</v>
      </c>
      <c r="G887">
        <v>-2.29</v>
      </c>
      <c r="L887" t="s">
        <v>7</v>
      </c>
      <c r="M887" t="s">
        <v>7</v>
      </c>
      <c r="N887" t="s">
        <v>7</v>
      </c>
      <c r="P887">
        <f t="shared" si="1010"/>
        <v>-0.11663366336633411</v>
      </c>
      <c r="Q887">
        <f t="shared" si="1011"/>
        <v>-4144.3083766315931</v>
      </c>
      <c r="R887">
        <f t="shared" si="1012"/>
        <v>1549429.5117329257</v>
      </c>
      <c r="S887">
        <f t="shared" si="1013"/>
        <v>15.494295117329257</v>
      </c>
      <c r="T887">
        <f t="shared" si="1014"/>
        <v>1.5494295117329257E-2</v>
      </c>
    </row>
    <row r="888" spans="1:20" x14ac:dyDescent="0.25">
      <c r="A888" s="5">
        <v>43705</v>
      </c>
      <c r="B888">
        <v>10185.69</v>
      </c>
      <c r="C888">
        <v>10299</v>
      </c>
      <c r="D888">
        <v>9601.01</v>
      </c>
      <c r="E888">
        <v>9721</v>
      </c>
      <c r="F888">
        <v>42110.555375000004</v>
      </c>
      <c r="G888">
        <v>-4.5599999999999996</v>
      </c>
      <c r="L888" t="s">
        <v>7</v>
      </c>
      <c r="M888" t="s">
        <v>7</v>
      </c>
      <c r="N888" t="s">
        <v>7</v>
      </c>
      <c r="P888">
        <f t="shared" si="1010"/>
        <v>-0.65618418601985751</v>
      </c>
      <c r="Q888">
        <f t="shared" si="1011"/>
        <v>-27632.280501588513</v>
      </c>
      <c r="R888">
        <f t="shared" si="1012"/>
        <v>1553573.8201095574</v>
      </c>
      <c r="S888">
        <f t="shared" si="1013"/>
        <v>15.535738201095574</v>
      </c>
      <c r="T888">
        <f t="shared" si="1014"/>
        <v>1.5535738201095575E-2</v>
      </c>
    </row>
    <row r="889" spans="1:20" x14ac:dyDescent="0.25">
      <c r="A889" s="5">
        <v>43704</v>
      </c>
      <c r="B889">
        <v>10373.6</v>
      </c>
      <c r="C889">
        <v>10391.08</v>
      </c>
      <c r="D889">
        <v>10051.08</v>
      </c>
      <c r="E889">
        <v>10185.049999999999</v>
      </c>
      <c r="F889">
        <v>28402.775383</v>
      </c>
      <c r="G889">
        <v>-1.82</v>
      </c>
      <c r="L889" t="s">
        <v>8</v>
      </c>
      <c r="M889" t="s">
        <v>7</v>
      </c>
      <c r="N889" t="s">
        <v>7</v>
      </c>
      <c r="P889">
        <f t="shared" si="1010"/>
        <v>-0.21194117647059207</v>
      </c>
      <c r="Q889">
        <f t="shared" si="1011"/>
        <v>-6019.7176297029919</v>
      </c>
      <c r="R889">
        <f t="shared" si="1012"/>
        <v>1581206.1006111458</v>
      </c>
      <c r="S889">
        <f t="shared" si="1013"/>
        <v>15.812061006111458</v>
      </c>
      <c r="T889">
        <f t="shared" si="1014"/>
        <v>1.5812061006111457E-2</v>
      </c>
    </row>
    <row r="890" spans="1:20" x14ac:dyDescent="0.25">
      <c r="A890" s="5">
        <v>43703</v>
      </c>
      <c r="B890">
        <v>10142.69</v>
      </c>
      <c r="C890">
        <v>10604</v>
      </c>
      <c r="D890">
        <v>10137.93</v>
      </c>
      <c r="E890">
        <v>10372.25</v>
      </c>
      <c r="F890">
        <v>41687.511598999998</v>
      </c>
      <c r="G890">
        <v>2.2599999999999998</v>
      </c>
      <c r="L890" t="s">
        <v>8</v>
      </c>
      <c r="M890" t="s">
        <v>7</v>
      </c>
      <c r="N890" t="s">
        <v>7</v>
      </c>
      <c r="P890">
        <f t="shared" si="1010"/>
        <v>5.5141931469515539E-3</v>
      </c>
      <c r="Q890">
        <f t="shared" si="1011"/>
        <v>229.8729907726692</v>
      </c>
      <c r="R890">
        <f t="shared" si="1012"/>
        <v>1587225.8182408488</v>
      </c>
      <c r="S890">
        <f t="shared" si="1013"/>
        <v>15.872258182408489</v>
      </c>
      <c r="T890">
        <f t="shared" si="1014"/>
        <v>1.5872258182408488E-2</v>
      </c>
    </row>
    <row r="891" spans="1:20" x14ac:dyDescent="0.25">
      <c r="A891" s="5">
        <v>43702</v>
      </c>
      <c r="B891">
        <v>10134.61</v>
      </c>
      <c r="C891">
        <v>10333</v>
      </c>
      <c r="D891">
        <v>9906.9699999999993</v>
      </c>
      <c r="E891">
        <v>10142.69</v>
      </c>
      <c r="F891">
        <v>26271.657397999999</v>
      </c>
      <c r="G891">
        <v>0.08</v>
      </c>
      <c r="L891" t="s">
        <v>8</v>
      </c>
      <c r="M891" t="s">
        <v>7</v>
      </c>
      <c r="N891" t="s">
        <v>7</v>
      </c>
      <c r="P891">
        <f t="shared" si="1010"/>
        <v>0.10658873788231252</v>
      </c>
      <c r="Q891">
        <f t="shared" si="1011"/>
        <v>2800.2628041293383</v>
      </c>
      <c r="R891">
        <f t="shared" si="1012"/>
        <v>1586995.9452500762</v>
      </c>
      <c r="S891">
        <f t="shared" si="1013"/>
        <v>15.869959452500762</v>
      </c>
      <c r="T891">
        <f t="shared" si="1014"/>
        <v>1.5869959452500762E-2</v>
      </c>
    </row>
    <row r="892" spans="1:20" x14ac:dyDescent="0.25">
      <c r="A892" s="5">
        <v>43701</v>
      </c>
      <c r="B892">
        <v>10388.16</v>
      </c>
      <c r="C892">
        <v>10419.42</v>
      </c>
      <c r="D892">
        <v>9890</v>
      </c>
      <c r="E892">
        <v>10134.35</v>
      </c>
      <c r="F892">
        <v>27692.456844</v>
      </c>
      <c r="G892">
        <v>-2.44</v>
      </c>
      <c r="L892" t="s">
        <v>8</v>
      </c>
      <c r="M892" t="s">
        <v>7</v>
      </c>
      <c r="N892" t="s">
        <v>7</v>
      </c>
      <c r="P892">
        <f t="shared" si="1010"/>
        <v>-7.6914359109968147E-2</v>
      </c>
      <c r="Q892">
        <f t="shared" si="1011"/>
        <v>-2129.9475703367111</v>
      </c>
      <c r="R892">
        <f t="shared" si="1012"/>
        <v>1584195.6824459468</v>
      </c>
      <c r="S892">
        <f t="shared" si="1013"/>
        <v>15.841956824459469</v>
      </c>
      <c r="T892">
        <f t="shared" si="1014"/>
        <v>1.584195682445947E-2</v>
      </c>
    </row>
    <row r="893" spans="1:20" x14ac:dyDescent="0.25">
      <c r="A893" s="5">
        <v>43700</v>
      </c>
      <c r="B893">
        <v>10099.9</v>
      </c>
      <c r="C893">
        <v>10445</v>
      </c>
      <c r="D893">
        <v>10019.790000000001</v>
      </c>
      <c r="E893">
        <v>10389.549999999999</v>
      </c>
      <c r="F893">
        <v>27550.336173</v>
      </c>
      <c r="G893">
        <v>2.87</v>
      </c>
      <c r="L893" t="s">
        <v>8</v>
      </c>
      <c r="M893" t="s">
        <v>7</v>
      </c>
      <c r="N893" t="s">
        <v>7</v>
      </c>
      <c r="P893">
        <f t="shared" si="1010"/>
        <v>0.73918769549163543</v>
      </c>
      <c r="Q893">
        <f t="shared" si="1011"/>
        <v>20364.869505739713</v>
      </c>
      <c r="R893">
        <f t="shared" si="1012"/>
        <v>1586325.6300162836</v>
      </c>
      <c r="S893">
        <f t="shared" si="1013"/>
        <v>15.863256300162837</v>
      </c>
      <c r="T893">
        <f t="shared" si="1014"/>
        <v>1.5863256300162838E-2</v>
      </c>
    </row>
    <row r="894" spans="1:20" x14ac:dyDescent="0.25">
      <c r="A894" s="5">
        <v>43699</v>
      </c>
      <c r="B894">
        <v>10140.82</v>
      </c>
      <c r="C894">
        <v>10242</v>
      </c>
      <c r="D894">
        <v>9762</v>
      </c>
      <c r="E894">
        <v>10099.879999999999</v>
      </c>
      <c r="F894">
        <v>34059.642738000002</v>
      </c>
      <c r="G894">
        <v>-0.4</v>
      </c>
      <c r="L894" t="s">
        <v>7</v>
      </c>
      <c r="M894" t="s">
        <v>7</v>
      </c>
      <c r="N894" t="s">
        <v>7</v>
      </c>
      <c r="P894">
        <f t="shared" si="1010"/>
        <v>0.40783333333332999</v>
      </c>
      <c r="Q894">
        <f t="shared" si="1011"/>
        <v>13890.657629980888</v>
      </c>
      <c r="R894">
        <f t="shared" si="1012"/>
        <v>1565960.7605105438</v>
      </c>
      <c r="S894">
        <f t="shared" si="1013"/>
        <v>15.659607605105439</v>
      </c>
      <c r="T894">
        <f t="shared" si="1014"/>
        <v>1.565960760510544E-2</v>
      </c>
    </row>
    <row r="895" spans="1:20" x14ac:dyDescent="0.25">
      <c r="A895" s="5">
        <v>43698</v>
      </c>
      <c r="B895">
        <v>10760.51</v>
      </c>
      <c r="C895">
        <v>10804.13</v>
      </c>
      <c r="D895">
        <v>9858</v>
      </c>
      <c r="E895">
        <v>10142.57</v>
      </c>
      <c r="F895">
        <v>47355.719281999998</v>
      </c>
      <c r="G895">
        <v>-5.74</v>
      </c>
      <c r="L895" t="s">
        <v>7</v>
      </c>
      <c r="M895" t="s">
        <v>7</v>
      </c>
      <c r="N895" t="s">
        <v>7</v>
      </c>
      <c r="P895">
        <f t="shared" ref="P895:P958" si="1015">IF(C895=D895,0,((E895-D895)-(C895-E895))/(C895-D895))</f>
        <v>-0.39845475780283907</v>
      </c>
      <c r="Q895">
        <f t="shared" ref="Q895:Q958" si="1016">F895*P895</f>
        <v>-18869.111657088546</v>
      </c>
      <c r="R895">
        <f t="shared" ref="R895:R958" si="1017">R896+Q895</f>
        <v>1552070.1028805629</v>
      </c>
      <c r="S895">
        <f t="shared" ref="S895:S958" si="1018">R895/100000</f>
        <v>15.520701028805629</v>
      </c>
      <c r="T895">
        <f t="shared" ref="T895:T958" si="1019">S895/1000</f>
        <v>1.5520701028805629E-2</v>
      </c>
    </row>
    <row r="896" spans="1:20" x14ac:dyDescent="0.25">
      <c r="A896" s="5">
        <v>43697</v>
      </c>
      <c r="B896">
        <v>10914.73</v>
      </c>
      <c r="C896">
        <v>10949.96</v>
      </c>
      <c r="D896">
        <v>10560</v>
      </c>
      <c r="E896">
        <v>10760.51</v>
      </c>
      <c r="F896">
        <v>32298.921678999999</v>
      </c>
      <c r="G896">
        <v>-1.41</v>
      </c>
      <c r="L896" t="s">
        <v>8</v>
      </c>
      <c r="M896" t="s">
        <v>7</v>
      </c>
      <c r="N896" t="s">
        <v>7</v>
      </c>
      <c r="P896">
        <f t="shared" si="1015"/>
        <v>2.8361883270082405E-2</v>
      </c>
      <c r="Q896">
        <f t="shared" si="1016"/>
        <v>916.05824640933201</v>
      </c>
      <c r="R896">
        <f t="shared" si="1017"/>
        <v>1570939.2145376515</v>
      </c>
      <c r="S896">
        <f t="shared" si="1018"/>
        <v>15.709392145376516</v>
      </c>
      <c r="T896">
        <f t="shared" si="1019"/>
        <v>1.5709392145376515E-2</v>
      </c>
    </row>
    <row r="897" spans="1:20" x14ac:dyDescent="0.25">
      <c r="A897" s="5">
        <v>43696</v>
      </c>
      <c r="B897">
        <v>10306.17</v>
      </c>
      <c r="C897">
        <v>10930</v>
      </c>
      <c r="D897">
        <v>10258.6</v>
      </c>
      <c r="E897">
        <v>10915.54</v>
      </c>
      <c r="F897">
        <v>37243.319216999997</v>
      </c>
      <c r="G897">
        <v>5.91</v>
      </c>
      <c r="L897" t="s">
        <v>8</v>
      </c>
      <c r="M897" t="s">
        <v>7</v>
      </c>
      <c r="N897" t="s">
        <v>7</v>
      </c>
      <c r="P897">
        <f t="shared" si="1015"/>
        <v>0.95692582663092307</v>
      </c>
      <c r="Q897">
        <f t="shared" si="1016"/>
        <v>35639.094028207066</v>
      </c>
      <c r="R897">
        <f t="shared" si="1017"/>
        <v>1570023.1562912422</v>
      </c>
      <c r="S897">
        <f t="shared" si="1018"/>
        <v>15.700231562912423</v>
      </c>
      <c r="T897">
        <f t="shared" si="1019"/>
        <v>1.5700231562912424E-2</v>
      </c>
    </row>
    <row r="898" spans="1:20" x14ac:dyDescent="0.25">
      <c r="A898" s="5">
        <v>43695</v>
      </c>
      <c r="B898">
        <v>10216.049999999999</v>
      </c>
      <c r="C898">
        <v>10500</v>
      </c>
      <c r="D898">
        <v>10080</v>
      </c>
      <c r="E898">
        <v>10306.780000000001</v>
      </c>
      <c r="F898">
        <v>24085.395172</v>
      </c>
      <c r="G898">
        <v>0.89</v>
      </c>
      <c r="L898" t="s">
        <v>8</v>
      </c>
      <c r="M898" t="s">
        <v>7</v>
      </c>
      <c r="N898" t="s">
        <v>7</v>
      </c>
      <c r="P898">
        <f t="shared" si="1015"/>
        <v>7.9904761904765018E-2</v>
      </c>
      <c r="Q898">
        <f t="shared" si="1016"/>
        <v>1924.5377666008369</v>
      </c>
      <c r="R898">
        <f t="shared" si="1017"/>
        <v>1534384.0622630352</v>
      </c>
      <c r="S898">
        <f t="shared" si="1018"/>
        <v>15.343840622630353</v>
      </c>
      <c r="T898">
        <f t="shared" si="1019"/>
        <v>1.5343840622630353E-2</v>
      </c>
    </row>
    <row r="899" spans="1:20" x14ac:dyDescent="0.25">
      <c r="A899" s="5">
        <v>43694</v>
      </c>
      <c r="B899">
        <v>10331.15</v>
      </c>
      <c r="C899">
        <v>10465.14</v>
      </c>
      <c r="D899">
        <v>10000</v>
      </c>
      <c r="E899">
        <v>10216.02</v>
      </c>
      <c r="F899">
        <v>29000.581201000001</v>
      </c>
      <c r="G899">
        <v>-1.1100000000000001</v>
      </c>
      <c r="L899" t="s">
        <v>8</v>
      </c>
      <c r="M899" t="s">
        <v>7</v>
      </c>
      <c r="N899" t="s">
        <v>7</v>
      </c>
      <c r="P899">
        <f t="shared" si="1015"/>
        <v>-7.116137077008769E-2</v>
      </c>
      <c r="Q899">
        <f t="shared" si="1016"/>
        <v>-2063.7211113923959</v>
      </c>
      <c r="R899">
        <f t="shared" si="1017"/>
        <v>1532459.5244964345</v>
      </c>
      <c r="S899">
        <f t="shared" si="1018"/>
        <v>15.324595244964344</v>
      </c>
      <c r="T899">
        <f t="shared" si="1019"/>
        <v>1.5324595244964344E-2</v>
      </c>
    </row>
    <row r="900" spans="1:20" x14ac:dyDescent="0.25">
      <c r="A900" s="5">
        <v>43693</v>
      </c>
      <c r="B900">
        <v>10296.77</v>
      </c>
      <c r="C900">
        <v>10536.03</v>
      </c>
      <c r="D900">
        <v>9750</v>
      </c>
      <c r="E900">
        <v>10331.540000000001</v>
      </c>
      <c r="F900">
        <v>51758.142917999998</v>
      </c>
      <c r="G900">
        <v>0.34</v>
      </c>
      <c r="L900" t="s">
        <v>7</v>
      </c>
      <c r="M900" t="s">
        <v>7</v>
      </c>
      <c r="N900" t="s">
        <v>7</v>
      </c>
      <c r="P900">
        <f t="shared" si="1015"/>
        <v>0.47968907039171632</v>
      </c>
      <c r="Q900">
        <f t="shared" si="1016"/>
        <v>24827.815461537015</v>
      </c>
      <c r="R900">
        <f t="shared" si="1017"/>
        <v>1534523.2456078269</v>
      </c>
      <c r="S900">
        <f t="shared" si="1018"/>
        <v>15.345232456078268</v>
      </c>
      <c r="T900">
        <f t="shared" si="1019"/>
        <v>1.5345232456078267E-2</v>
      </c>
    </row>
    <row r="901" spans="1:20" x14ac:dyDescent="0.25">
      <c r="A901" s="5">
        <v>43692</v>
      </c>
      <c r="B901">
        <v>10055.16</v>
      </c>
      <c r="C901">
        <v>10460</v>
      </c>
      <c r="D901">
        <v>9911</v>
      </c>
      <c r="E901">
        <v>10293.93</v>
      </c>
      <c r="F901">
        <v>38174.451119999998</v>
      </c>
      <c r="G901">
        <v>2.37</v>
      </c>
      <c r="L901" t="s">
        <v>7</v>
      </c>
      <c r="M901" t="s">
        <v>7</v>
      </c>
      <c r="N901" t="s">
        <v>7</v>
      </c>
      <c r="P901">
        <f t="shared" si="1015"/>
        <v>0.3950091074681249</v>
      </c>
      <c r="Q901">
        <f t="shared" si="1016"/>
        <v>15079.25586499676</v>
      </c>
      <c r="R901">
        <f t="shared" si="1017"/>
        <v>1509695.4301462898</v>
      </c>
      <c r="S901">
        <f t="shared" si="1018"/>
        <v>15.096954301462898</v>
      </c>
      <c r="T901">
        <f t="shared" si="1019"/>
        <v>1.5096954301462897E-2</v>
      </c>
    </row>
    <row r="902" spans="1:20" x14ac:dyDescent="0.25">
      <c r="A902" s="5">
        <v>43691</v>
      </c>
      <c r="B902">
        <v>10893.36</v>
      </c>
      <c r="C902">
        <v>10897.48</v>
      </c>
      <c r="D902">
        <v>9928.1</v>
      </c>
      <c r="E902">
        <v>10050.370000000001</v>
      </c>
      <c r="F902">
        <v>54451.847499000003</v>
      </c>
      <c r="G902">
        <v>-7.74</v>
      </c>
      <c r="L902" t="s">
        <v>7</v>
      </c>
      <c r="M902" t="s">
        <v>7</v>
      </c>
      <c r="N902" t="s">
        <v>7</v>
      </c>
      <c r="P902">
        <f t="shared" si="1015"/>
        <v>-0.74773566609585396</v>
      </c>
      <c r="Q902">
        <f t="shared" si="1016"/>
        <v>-40715.588459814629</v>
      </c>
      <c r="R902">
        <f t="shared" si="1017"/>
        <v>1494616.1742812931</v>
      </c>
      <c r="S902">
        <f t="shared" si="1018"/>
        <v>14.946161742812931</v>
      </c>
      <c r="T902">
        <f t="shared" si="1019"/>
        <v>1.494616174281293E-2</v>
      </c>
    </row>
    <row r="903" spans="1:20" x14ac:dyDescent="0.25">
      <c r="A903" s="5">
        <v>43690</v>
      </c>
      <c r="B903">
        <v>11398.35</v>
      </c>
      <c r="C903">
        <v>11456.16</v>
      </c>
      <c r="D903">
        <v>10788.45</v>
      </c>
      <c r="E903">
        <v>10892.71</v>
      </c>
      <c r="F903">
        <v>33234.729679999997</v>
      </c>
      <c r="G903">
        <v>-4.4400000000000004</v>
      </c>
      <c r="L903" t="s">
        <v>7</v>
      </c>
      <c r="M903" t="s">
        <v>8</v>
      </c>
      <c r="N903" t="s">
        <v>7</v>
      </c>
      <c r="P903">
        <f t="shared" si="1015"/>
        <v>-0.68770873582843295</v>
      </c>
      <c r="Q903">
        <f t="shared" si="1016"/>
        <v>-22855.813933832498</v>
      </c>
      <c r="R903">
        <f t="shared" si="1017"/>
        <v>1535331.7627411077</v>
      </c>
      <c r="S903">
        <f t="shared" si="1018"/>
        <v>15.353317627411077</v>
      </c>
      <c r="T903">
        <f t="shared" si="1019"/>
        <v>1.5353317627411076E-2</v>
      </c>
    </row>
    <row r="904" spans="1:20" x14ac:dyDescent="0.25">
      <c r="A904" s="5">
        <v>43689</v>
      </c>
      <c r="B904">
        <v>11539.08</v>
      </c>
      <c r="C904">
        <v>11577.89</v>
      </c>
      <c r="D904">
        <v>11235.32</v>
      </c>
      <c r="E904">
        <v>11396.08</v>
      </c>
      <c r="F904">
        <v>17568.227074999999</v>
      </c>
      <c r="G904">
        <v>-1.24</v>
      </c>
      <c r="L904" t="s">
        <v>7</v>
      </c>
      <c r="M904" t="s">
        <v>8</v>
      </c>
      <c r="N904" t="s">
        <v>7</v>
      </c>
      <c r="P904">
        <f t="shared" si="1015"/>
        <v>-6.1447295443265E-2</v>
      </c>
      <c r="Q904">
        <f t="shared" si="1016"/>
        <v>-1079.5200394918922</v>
      </c>
      <c r="R904">
        <f t="shared" si="1017"/>
        <v>1558187.5766749403</v>
      </c>
      <c r="S904">
        <f t="shared" si="1018"/>
        <v>15.581875766749404</v>
      </c>
      <c r="T904">
        <f t="shared" si="1019"/>
        <v>1.5581875766749404E-2</v>
      </c>
    </row>
    <row r="905" spans="1:20" x14ac:dyDescent="0.25">
      <c r="A905" s="5">
        <v>43688</v>
      </c>
      <c r="B905">
        <v>11309.24</v>
      </c>
      <c r="C905">
        <v>11600</v>
      </c>
      <c r="D905">
        <v>11112.11</v>
      </c>
      <c r="E905">
        <v>11549.97</v>
      </c>
      <c r="F905">
        <v>26772.906910000002</v>
      </c>
      <c r="G905">
        <v>2.13</v>
      </c>
      <c r="L905" t="s">
        <v>7</v>
      </c>
      <c r="M905" t="s">
        <v>8</v>
      </c>
      <c r="N905" t="s">
        <v>7</v>
      </c>
      <c r="P905">
        <f t="shared" si="1015"/>
        <v>0.79491278771854024</v>
      </c>
      <c r="Q905">
        <f t="shared" si="1016"/>
        <v>21282.126067157071</v>
      </c>
      <c r="R905">
        <f t="shared" si="1017"/>
        <v>1559267.0967144321</v>
      </c>
      <c r="S905">
        <f t="shared" si="1018"/>
        <v>15.592670967144322</v>
      </c>
      <c r="T905">
        <f t="shared" si="1019"/>
        <v>1.5592670967144322E-2</v>
      </c>
    </row>
    <row r="906" spans="1:20" x14ac:dyDescent="0.25">
      <c r="A906" s="5">
        <v>43687</v>
      </c>
      <c r="B906">
        <v>11879.98</v>
      </c>
      <c r="C906">
        <v>11985</v>
      </c>
      <c r="D906">
        <v>11270</v>
      </c>
      <c r="E906">
        <v>11309.31</v>
      </c>
      <c r="F906">
        <v>42633.087048000001</v>
      </c>
      <c r="G906">
        <v>-4.8</v>
      </c>
      <c r="L906" t="s">
        <v>7</v>
      </c>
      <c r="M906" t="s">
        <v>8</v>
      </c>
      <c r="N906" t="s">
        <v>7</v>
      </c>
      <c r="P906">
        <f t="shared" si="1015"/>
        <v>-0.89004195804195951</v>
      </c>
      <c r="Q906">
        <f t="shared" si="1016"/>
        <v>-37945.236273575225</v>
      </c>
      <c r="R906">
        <f t="shared" si="1017"/>
        <v>1537984.970647275</v>
      </c>
      <c r="S906">
        <f t="shared" si="1018"/>
        <v>15.379849706472751</v>
      </c>
      <c r="T906">
        <f t="shared" si="1019"/>
        <v>1.5379849706472751E-2</v>
      </c>
    </row>
    <row r="907" spans="1:20" x14ac:dyDescent="0.25">
      <c r="A907" s="5">
        <v>43686</v>
      </c>
      <c r="B907">
        <v>11994.17</v>
      </c>
      <c r="C907">
        <v>12045.68</v>
      </c>
      <c r="D907">
        <v>11700</v>
      </c>
      <c r="E907">
        <v>11879.99</v>
      </c>
      <c r="F907">
        <v>39427.152587999997</v>
      </c>
      <c r="G907">
        <v>-0.95</v>
      </c>
      <c r="L907" t="s">
        <v>7</v>
      </c>
      <c r="M907" t="s">
        <v>8</v>
      </c>
      <c r="N907" t="s">
        <v>7</v>
      </c>
      <c r="P907">
        <f t="shared" si="1015"/>
        <v>4.1367738949315148E-2</v>
      </c>
      <c r="Q907">
        <f t="shared" si="1016"/>
        <v>1631.0121557751991</v>
      </c>
      <c r="R907">
        <f t="shared" si="1017"/>
        <v>1575930.2069208501</v>
      </c>
      <c r="S907">
        <f t="shared" si="1018"/>
        <v>15.7593020692085</v>
      </c>
      <c r="T907">
        <f t="shared" si="1019"/>
        <v>1.5759302069208499E-2</v>
      </c>
    </row>
    <row r="908" spans="1:20" x14ac:dyDescent="0.25">
      <c r="A908" s="5">
        <v>43685</v>
      </c>
      <c r="B908">
        <v>11975.04</v>
      </c>
      <c r="C908">
        <v>12060</v>
      </c>
      <c r="D908">
        <v>11521</v>
      </c>
      <c r="E908">
        <v>11999.77</v>
      </c>
      <c r="F908">
        <v>51207.257173999998</v>
      </c>
      <c r="G908">
        <v>0.21</v>
      </c>
      <c r="L908" t="s">
        <v>7</v>
      </c>
      <c r="M908" t="s">
        <v>8</v>
      </c>
      <c r="N908" t="s">
        <v>7</v>
      </c>
      <c r="P908">
        <f t="shared" si="1015"/>
        <v>0.77651205936920387</v>
      </c>
      <c r="Q908">
        <f t="shared" si="1016"/>
        <v>39763.052722831177</v>
      </c>
      <c r="R908">
        <f t="shared" si="1017"/>
        <v>1574299.1947650749</v>
      </c>
      <c r="S908">
        <f t="shared" si="1018"/>
        <v>15.742991947650749</v>
      </c>
      <c r="T908">
        <f t="shared" si="1019"/>
        <v>1.5742991947650747E-2</v>
      </c>
    </row>
    <row r="909" spans="1:20" x14ac:dyDescent="0.25">
      <c r="A909" s="5">
        <v>43684</v>
      </c>
      <c r="B909">
        <v>11481.69</v>
      </c>
      <c r="C909">
        <v>12141.17</v>
      </c>
      <c r="D909">
        <v>11382.84</v>
      </c>
      <c r="E909">
        <v>11975.03</v>
      </c>
      <c r="F909">
        <v>69173.390352999995</v>
      </c>
      <c r="G909">
        <v>4.3</v>
      </c>
      <c r="L909" t="s">
        <v>7</v>
      </c>
      <c r="M909" t="s">
        <v>8</v>
      </c>
      <c r="N909" t="s">
        <v>7</v>
      </c>
      <c r="P909">
        <f t="shared" si="1015"/>
        <v>0.56182664539184934</v>
      </c>
      <c r="Q909">
        <f t="shared" si="1016"/>
        <v>38863.453852406899</v>
      </c>
      <c r="R909">
        <f t="shared" si="1017"/>
        <v>1534536.1420422436</v>
      </c>
      <c r="S909">
        <f t="shared" si="1018"/>
        <v>15.345361420422437</v>
      </c>
      <c r="T909">
        <f t="shared" si="1019"/>
        <v>1.5345361420422437E-2</v>
      </c>
    </row>
    <row r="910" spans="1:20" x14ac:dyDescent="0.25">
      <c r="A910" s="5">
        <v>43683</v>
      </c>
      <c r="B910">
        <v>11830</v>
      </c>
      <c r="C910">
        <v>12330.7</v>
      </c>
      <c r="D910">
        <v>11226.7</v>
      </c>
      <c r="E910">
        <v>11481.69</v>
      </c>
      <c r="F910">
        <v>76705.389874999993</v>
      </c>
      <c r="G910">
        <v>-2.94</v>
      </c>
      <c r="L910" t="s">
        <v>8</v>
      </c>
      <c r="M910" t="s">
        <v>8</v>
      </c>
      <c r="N910" t="s">
        <v>7</v>
      </c>
      <c r="P910">
        <f t="shared" si="1015"/>
        <v>-0.5380615942028989</v>
      </c>
      <c r="Q910">
        <f t="shared" si="1016"/>
        <v>-41272.224360097396</v>
      </c>
      <c r="R910">
        <f t="shared" si="1017"/>
        <v>1495672.6881898367</v>
      </c>
      <c r="S910">
        <f t="shared" si="1018"/>
        <v>14.956726881898367</v>
      </c>
      <c r="T910">
        <f t="shared" si="1019"/>
        <v>1.4956726881898367E-2</v>
      </c>
    </row>
    <row r="911" spans="1:20" x14ac:dyDescent="0.25">
      <c r="A911" s="5">
        <v>43682</v>
      </c>
      <c r="B911">
        <v>10929.99</v>
      </c>
      <c r="C911">
        <v>11937.52</v>
      </c>
      <c r="D911">
        <v>10927.8</v>
      </c>
      <c r="E911">
        <v>11828.8</v>
      </c>
      <c r="F911">
        <v>65153.673712999996</v>
      </c>
      <c r="G911">
        <v>8.2200000000000006</v>
      </c>
      <c r="L911" t="s">
        <v>8</v>
      </c>
      <c r="M911" t="s">
        <v>8</v>
      </c>
      <c r="N911" t="s">
        <v>7</v>
      </c>
      <c r="P911">
        <f t="shared" si="1015"/>
        <v>0.78465317117616562</v>
      </c>
      <c r="Q911">
        <f t="shared" si="1016"/>
        <v>51123.036692682632</v>
      </c>
      <c r="R911">
        <f t="shared" si="1017"/>
        <v>1536944.9125499341</v>
      </c>
      <c r="S911">
        <f t="shared" si="1018"/>
        <v>15.369449125499342</v>
      </c>
      <c r="T911">
        <f t="shared" si="1019"/>
        <v>1.5369449125499342E-2</v>
      </c>
    </row>
    <row r="912" spans="1:20" x14ac:dyDescent="0.25">
      <c r="A912" s="5">
        <v>43681</v>
      </c>
      <c r="B912">
        <v>10816.86</v>
      </c>
      <c r="C912">
        <v>11040</v>
      </c>
      <c r="D912">
        <v>10552</v>
      </c>
      <c r="E912">
        <v>10929.23</v>
      </c>
      <c r="F912">
        <v>39924.745140999999</v>
      </c>
      <c r="G912">
        <v>1.04</v>
      </c>
      <c r="L912" t="s">
        <v>8</v>
      </c>
      <c r="M912" t="s">
        <v>8</v>
      </c>
      <c r="N912" t="s">
        <v>7</v>
      </c>
      <c r="P912">
        <f t="shared" si="1015"/>
        <v>0.54602459016393268</v>
      </c>
      <c r="Q912">
        <f t="shared" si="1016"/>
        <v>21799.892603013988</v>
      </c>
      <c r="R912">
        <f t="shared" si="1017"/>
        <v>1485821.8758572515</v>
      </c>
      <c r="S912">
        <f t="shared" si="1018"/>
        <v>14.858218758572514</v>
      </c>
      <c r="T912">
        <f t="shared" si="1019"/>
        <v>1.4858218758572513E-2</v>
      </c>
    </row>
    <row r="913" spans="1:20" x14ac:dyDescent="0.25">
      <c r="A913" s="5">
        <v>43680</v>
      </c>
      <c r="B913">
        <v>10523.75</v>
      </c>
      <c r="C913">
        <v>10904.77</v>
      </c>
      <c r="D913">
        <v>10497.93</v>
      </c>
      <c r="E913">
        <v>10816.86</v>
      </c>
      <c r="F913">
        <v>33802.318824000002</v>
      </c>
      <c r="G913">
        <v>2.79</v>
      </c>
      <c r="L913" t="s">
        <v>8</v>
      </c>
      <c r="M913" t="s">
        <v>8</v>
      </c>
      <c r="N913" t="s">
        <v>7</v>
      </c>
      <c r="P913">
        <f t="shared" si="1015"/>
        <v>0.56783993707600122</v>
      </c>
      <c r="Q913">
        <f t="shared" si="1016"/>
        <v>19194.306594043093</v>
      </c>
      <c r="R913">
        <f t="shared" si="1017"/>
        <v>1464021.9832542376</v>
      </c>
      <c r="S913">
        <f t="shared" si="1018"/>
        <v>14.640219832542376</v>
      </c>
      <c r="T913">
        <f t="shared" si="1019"/>
        <v>1.4640219832542377E-2</v>
      </c>
    </row>
    <row r="914" spans="1:20" x14ac:dyDescent="0.25">
      <c r="A914" s="5">
        <v>43679</v>
      </c>
      <c r="B914">
        <v>10375</v>
      </c>
      <c r="C914">
        <v>10670</v>
      </c>
      <c r="D914">
        <v>10281.35</v>
      </c>
      <c r="E914">
        <v>10523.75</v>
      </c>
      <c r="F914">
        <v>42990.444220999998</v>
      </c>
      <c r="G914">
        <v>1.43</v>
      </c>
      <c r="L914" t="s">
        <v>8</v>
      </c>
      <c r="M914" t="s">
        <v>8</v>
      </c>
      <c r="N914" t="s">
        <v>7</v>
      </c>
      <c r="P914">
        <f t="shared" si="1015"/>
        <v>0.24739482825163958</v>
      </c>
      <c r="Q914">
        <f t="shared" si="1016"/>
        <v>10635.613564515987</v>
      </c>
      <c r="R914">
        <f t="shared" si="1017"/>
        <v>1444827.6766601945</v>
      </c>
      <c r="S914">
        <f t="shared" si="1018"/>
        <v>14.448276766601944</v>
      </c>
      <c r="T914">
        <f t="shared" si="1019"/>
        <v>1.4448276766601945E-2</v>
      </c>
    </row>
    <row r="915" spans="1:20" x14ac:dyDescent="0.25">
      <c r="A915" s="5">
        <v>43678</v>
      </c>
      <c r="B915">
        <v>10080.530000000001</v>
      </c>
      <c r="C915">
        <v>10467.86</v>
      </c>
      <c r="D915">
        <v>9863.4599999999991</v>
      </c>
      <c r="E915">
        <v>10374.99</v>
      </c>
      <c r="F915">
        <v>41727.637027999997</v>
      </c>
      <c r="G915">
        <v>2.92</v>
      </c>
      <c r="L915" t="s">
        <v>8</v>
      </c>
      <c r="M915" t="s">
        <v>7</v>
      </c>
      <c r="N915" t="s">
        <v>7</v>
      </c>
      <c r="P915">
        <f t="shared" si="1015"/>
        <v>0.69268696227663606</v>
      </c>
      <c r="Q915">
        <f t="shared" si="1016"/>
        <v>28904.190135907396</v>
      </c>
      <c r="R915">
        <f t="shared" si="1017"/>
        <v>1434192.0630956786</v>
      </c>
      <c r="S915">
        <f t="shared" si="1018"/>
        <v>14.341920630956785</v>
      </c>
      <c r="T915">
        <f t="shared" si="1019"/>
        <v>1.4341920630956786E-2</v>
      </c>
    </row>
    <row r="916" spans="1:20" x14ac:dyDescent="0.25">
      <c r="A916" s="5">
        <v>43677</v>
      </c>
      <c r="B916">
        <v>9575</v>
      </c>
      <c r="C916">
        <v>10109.799999999999</v>
      </c>
      <c r="D916">
        <v>9555</v>
      </c>
      <c r="E916">
        <v>10080.530000000001</v>
      </c>
      <c r="F916">
        <v>39515.35456</v>
      </c>
      <c r="G916">
        <v>5.28</v>
      </c>
      <c r="L916" t="s">
        <v>8</v>
      </c>
      <c r="M916" t="s">
        <v>7</v>
      </c>
      <c r="N916" t="s">
        <v>7</v>
      </c>
      <c r="P916">
        <f t="shared" si="1015"/>
        <v>0.8944844989185341</v>
      </c>
      <c r="Q916">
        <f t="shared" si="1016"/>
        <v>35345.872123189809</v>
      </c>
      <c r="R916">
        <f t="shared" si="1017"/>
        <v>1405287.8729597712</v>
      </c>
      <c r="S916">
        <f t="shared" si="1018"/>
        <v>14.052878729597712</v>
      </c>
      <c r="T916">
        <f t="shared" si="1019"/>
        <v>1.4052878729597712E-2</v>
      </c>
    </row>
    <row r="917" spans="1:20" x14ac:dyDescent="0.25">
      <c r="A917" s="5">
        <v>43676</v>
      </c>
      <c r="B917">
        <v>9509.07</v>
      </c>
      <c r="C917">
        <v>9714.2800000000007</v>
      </c>
      <c r="D917">
        <v>9402</v>
      </c>
      <c r="E917">
        <v>9574.2099999999991</v>
      </c>
      <c r="F917">
        <v>32536.368834000001</v>
      </c>
      <c r="G917">
        <v>0.69</v>
      </c>
      <c r="L917" t="s">
        <v>7</v>
      </c>
      <c r="M917" t="s">
        <v>7</v>
      </c>
      <c r="N917" t="s">
        <v>7</v>
      </c>
      <c r="P917">
        <f t="shared" si="1015"/>
        <v>0.10292045600101682</v>
      </c>
      <c r="Q917">
        <f t="shared" si="1016"/>
        <v>3348.6579170125519</v>
      </c>
      <c r="R917">
        <f t="shared" si="1017"/>
        <v>1369942.0008365815</v>
      </c>
      <c r="S917">
        <f t="shared" si="1018"/>
        <v>13.699420008365815</v>
      </c>
      <c r="T917">
        <f t="shared" si="1019"/>
        <v>1.3699420008365815E-2</v>
      </c>
    </row>
    <row r="918" spans="1:20" x14ac:dyDescent="0.25">
      <c r="A918" s="5">
        <v>43675</v>
      </c>
      <c r="B918">
        <v>9541.5400000000009</v>
      </c>
      <c r="C918">
        <v>9729</v>
      </c>
      <c r="D918">
        <v>9395</v>
      </c>
      <c r="E918">
        <v>9507.64</v>
      </c>
      <c r="F918">
        <v>29021.937410999999</v>
      </c>
      <c r="G918">
        <v>-0.36</v>
      </c>
      <c r="L918" t="s">
        <v>7</v>
      </c>
      <c r="M918" t="s">
        <v>7</v>
      </c>
      <c r="N918" t="s">
        <v>7</v>
      </c>
      <c r="P918">
        <f t="shared" si="1015"/>
        <v>-0.32550898203593165</v>
      </c>
      <c r="Q918">
        <f t="shared" si="1016"/>
        <v>-9446.9013033651318</v>
      </c>
      <c r="R918">
        <f t="shared" si="1017"/>
        <v>1366593.342919569</v>
      </c>
      <c r="S918">
        <f t="shared" si="1018"/>
        <v>13.66593342919569</v>
      </c>
      <c r="T918">
        <f t="shared" si="1019"/>
        <v>1.3665933429195689E-2</v>
      </c>
    </row>
    <row r="919" spans="1:20" x14ac:dyDescent="0.25">
      <c r="A919" s="5">
        <v>43674</v>
      </c>
      <c r="B919">
        <v>9478.92</v>
      </c>
      <c r="C919">
        <v>9594.99</v>
      </c>
      <c r="D919">
        <v>9165</v>
      </c>
      <c r="E919">
        <v>9541.5400000000009</v>
      </c>
      <c r="F919">
        <v>29401.022937000002</v>
      </c>
      <c r="G919">
        <v>0.66</v>
      </c>
      <c r="L919" t="s">
        <v>7</v>
      </c>
      <c r="M919" t="s">
        <v>7</v>
      </c>
      <c r="N919" t="s">
        <v>7</v>
      </c>
      <c r="P919">
        <f t="shared" si="1015"/>
        <v>0.7513895671992421</v>
      </c>
      <c r="Q919">
        <f t="shared" si="1016"/>
        <v>22091.621899847421</v>
      </c>
      <c r="R919">
        <f t="shared" si="1017"/>
        <v>1376040.2442229341</v>
      </c>
      <c r="S919">
        <f t="shared" si="1018"/>
        <v>13.760402442229342</v>
      </c>
      <c r="T919">
        <f t="shared" si="1019"/>
        <v>1.3760402442229341E-2</v>
      </c>
    </row>
    <row r="920" spans="1:20" x14ac:dyDescent="0.25">
      <c r="A920" s="5">
        <v>43673</v>
      </c>
      <c r="B920">
        <v>9824</v>
      </c>
      <c r="C920">
        <v>10188.66</v>
      </c>
      <c r="D920">
        <v>9333</v>
      </c>
      <c r="E920">
        <v>9476.52</v>
      </c>
      <c r="F920">
        <v>43809.778300999998</v>
      </c>
      <c r="G920">
        <v>-3.54</v>
      </c>
      <c r="L920" t="s">
        <v>7</v>
      </c>
      <c r="M920" t="s">
        <v>8</v>
      </c>
      <c r="N920" t="s">
        <v>7</v>
      </c>
      <c r="P920">
        <f t="shared" si="1015"/>
        <v>-0.6645396536007282</v>
      </c>
      <c r="Q920">
        <f t="shared" si="1016"/>
        <v>-29113.334896471239</v>
      </c>
      <c r="R920">
        <f t="shared" si="1017"/>
        <v>1353948.6223230867</v>
      </c>
      <c r="S920">
        <f t="shared" si="1018"/>
        <v>13.539486223230867</v>
      </c>
      <c r="T920">
        <f t="shared" si="1019"/>
        <v>1.3539486223230866E-2</v>
      </c>
    </row>
    <row r="921" spans="1:20" x14ac:dyDescent="0.25">
      <c r="A921" s="5">
        <v>43672</v>
      </c>
      <c r="B921">
        <v>9882.15</v>
      </c>
      <c r="C921">
        <v>9889.98</v>
      </c>
      <c r="D921">
        <v>9637</v>
      </c>
      <c r="E921">
        <v>9824</v>
      </c>
      <c r="F921">
        <v>27167.463217</v>
      </c>
      <c r="G921">
        <v>-0.59</v>
      </c>
      <c r="L921" t="s">
        <v>7</v>
      </c>
      <c r="M921" t="s">
        <v>8</v>
      </c>
      <c r="N921" t="s">
        <v>7</v>
      </c>
      <c r="P921">
        <f t="shared" si="1015"/>
        <v>0.47837773737054567</v>
      </c>
      <c r="Q921">
        <f t="shared" si="1016"/>
        <v>12996.309583845987</v>
      </c>
      <c r="R921">
        <f t="shared" si="1017"/>
        <v>1383061.9572195581</v>
      </c>
      <c r="S921">
        <f t="shared" si="1018"/>
        <v>13.83061957219558</v>
      </c>
      <c r="T921">
        <f t="shared" si="1019"/>
        <v>1.383061957219558E-2</v>
      </c>
    </row>
    <row r="922" spans="1:20" x14ac:dyDescent="0.25">
      <c r="A922" s="5">
        <v>43671</v>
      </c>
      <c r="B922">
        <v>9763.4</v>
      </c>
      <c r="C922">
        <v>10175</v>
      </c>
      <c r="D922">
        <v>9720.0300000000007</v>
      </c>
      <c r="E922">
        <v>9879.8700000000008</v>
      </c>
      <c r="F922">
        <v>37873.354727999998</v>
      </c>
      <c r="G922">
        <v>1.19</v>
      </c>
      <c r="L922" t="s">
        <v>7</v>
      </c>
      <c r="M922" t="s">
        <v>8</v>
      </c>
      <c r="N922" t="s">
        <v>7</v>
      </c>
      <c r="P922">
        <f t="shared" si="1015"/>
        <v>-0.29736026551201011</v>
      </c>
      <c r="Q922">
        <f t="shared" si="1016"/>
        <v>-11262.030817748622</v>
      </c>
      <c r="R922">
        <f t="shared" si="1017"/>
        <v>1370065.6476357121</v>
      </c>
      <c r="S922">
        <f t="shared" si="1018"/>
        <v>13.700656476357121</v>
      </c>
      <c r="T922">
        <f t="shared" si="1019"/>
        <v>1.3700656476357121E-2</v>
      </c>
    </row>
    <row r="923" spans="1:20" x14ac:dyDescent="0.25">
      <c r="A923" s="5">
        <v>43670</v>
      </c>
      <c r="B923">
        <v>9864.7800000000007</v>
      </c>
      <c r="C923">
        <v>9937</v>
      </c>
      <c r="D923">
        <v>9525</v>
      </c>
      <c r="E923">
        <v>9763.2800000000007</v>
      </c>
      <c r="F923">
        <v>43475.380377000001</v>
      </c>
      <c r="G923">
        <v>-1.03</v>
      </c>
      <c r="L923" t="s">
        <v>7</v>
      </c>
      <c r="M923" t="s">
        <v>8</v>
      </c>
      <c r="N923" t="s">
        <v>7</v>
      </c>
      <c r="P923">
        <f t="shared" si="1015"/>
        <v>0.15669902912621678</v>
      </c>
      <c r="Q923">
        <f t="shared" si="1016"/>
        <v>6812.5498959688766</v>
      </c>
      <c r="R923">
        <f t="shared" si="1017"/>
        <v>1381327.6784534606</v>
      </c>
      <c r="S923">
        <f t="shared" si="1018"/>
        <v>13.813276784534606</v>
      </c>
      <c r="T923">
        <f t="shared" si="1019"/>
        <v>1.3813276784534607E-2</v>
      </c>
    </row>
    <row r="924" spans="1:20" x14ac:dyDescent="0.25">
      <c r="A924" s="5">
        <v>43669</v>
      </c>
      <c r="B924">
        <v>10343.08</v>
      </c>
      <c r="C924">
        <v>10343.969999999999</v>
      </c>
      <c r="D924">
        <v>9822</v>
      </c>
      <c r="E924">
        <v>9864.91</v>
      </c>
      <c r="F924">
        <v>47624.370710000003</v>
      </c>
      <c r="G924">
        <v>-4.62</v>
      </c>
      <c r="L924" t="s">
        <v>7</v>
      </c>
      <c r="M924" t="s">
        <v>8</v>
      </c>
      <c r="N924" t="s">
        <v>7</v>
      </c>
      <c r="P924">
        <f t="shared" si="1015"/>
        <v>-0.83558442056056892</v>
      </c>
      <c r="Q924">
        <f t="shared" si="1016"/>
        <v>-39794.18220427708</v>
      </c>
      <c r="R924">
        <f t="shared" si="1017"/>
        <v>1374515.1285574916</v>
      </c>
      <c r="S924">
        <f t="shared" si="1018"/>
        <v>13.745151285574916</v>
      </c>
      <c r="T924">
        <f t="shared" si="1019"/>
        <v>1.3745151285574917E-2</v>
      </c>
    </row>
    <row r="925" spans="1:20" x14ac:dyDescent="0.25">
      <c r="A925" s="5">
        <v>43668</v>
      </c>
      <c r="B925">
        <v>10590.15</v>
      </c>
      <c r="C925">
        <v>10683.16</v>
      </c>
      <c r="D925">
        <v>10100</v>
      </c>
      <c r="E925">
        <v>10340.31</v>
      </c>
      <c r="F925">
        <v>40467.954838999998</v>
      </c>
      <c r="G925">
        <v>-2.36</v>
      </c>
      <c r="L925" t="s">
        <v>7</v>
      </c>
      <c r="M925" t="s">
        <v>8</v>
      </c>
      <c r="N925" t="s">
        <v>7</v>
      </c>
      <c r="P925">
        <f t="shared" si="1015"/>
        <v>-0.1758351052884301</v>
      </c>
      <c r="Q925">
        <f t="shared" si="1016"/>
        <v>-7115.6870999229996</v>
      </c>
      <c r="R925">
        <f t="shared" si="1017"/>
        <v>1414309.3107617686</v>
      </c>
      <c r="S925">
        <f t="shared" si="1018"/>
        <v>14.143093107617686</v>
      </c>
      <c r="T925">
        <f t="shared" si="1019"/>
        <v>1.4143093107617686E-2</v>
      </c>
    </row>
    <row r="926" spans="1:20" x14ac:dyDescent="0.25">
      <c r="A926" s="5">
        <v>43667</v>
      </c>
      <c r="B926">
        <v>10740.27</v>
      </c>
      <c r="C926">
        <v>10817.9</v>
      </c>
      <c r="D926">
        <v>10288</v>
      </c>
      <c r="E926">
        <v>10589.45</v>
      </c>
      <c r="F926">
        <v>38834.287935</v>
      </c>
      <c r="G926">
        <v>-1.4</v>
      </c>
      <c r="L926" t="s">
        <v>7</v>
      </c>
      <c r="M926" t="s">
        <v>8</v>
      </c>
      <c r="N926" t="s">
        <v>7</v>
      </c>
      <c r="P926">
        <f t="shared" si="1015"/>
        <v>0.13776184185695767</v>
      </c>
      <c r="Q926">
        <f t="shared" si="1016"/>
        <v>5349.8830331290292</v>
      </c>
      <c r="R926">
        <f t="shared" si="1017"/>
        <v>1421424.9978616915</v>
      </c>
      <c r="S926">
        <f t="shared" si="1018"/>
        <v>14.214249978616914</v>
      </c>
      <c r="T926">
        <f t="shared" si="1019"/>
        <v>1.4214249978616915E-2</v>
      </c>
    </row>
    <row r="927" spans="1:20" x14ac:dyDescent="0.25">
      <c r="A927" s="5">
        <v>43666</v>
      </c>
      <c r="B927">
        <v>10505.78</v>
      </c>
      <c r="C927">
        <v>11068.99</v>
      </c>
      <c r="D927">
        <v>10350</v>
      </c>
      <c r="E927">
        <v>10740.23</v>
      </c>
      <c r="F927">
        <v>47331.899848000001</v>
      </c>
      <c r="G927">
        <v>2.23</v>
      </c>
      <c r="L927" t="s">
        <v>8</v>
      </c>
      <c r="M927" t="s">
        <v>8</v>
      </c>
      <c r="N927" t="s">
        <v>7</v>
      </c>
      <c r="P927">
        <f t="shared" si="1015"/>
        <v>8.5494930388460705E-2</v>
      </c>
      <c r="Q927">
        <f t="shared" si="1016"/>
        <v>4046.6374826583537</v>
      </c>
      <c r="R927">
        <f t="shared" si="1017"/>
        <v>1416075.1148285626</v>
      </c>
      <c r="S927">
        <f t="shared" si="1018"/>
        <v>14.160751148285627</v>
      </c>
      <c r="T927">
        <f t="shared" si="1019"/>
        <v>1.4160751148285626E-2</v>
      </c>
    </row>
    <row r="928" spans="1:20" x14ac:dyDescent="0.25">
      <c r="A928" s="5">
        <v>43665</v>
      </c>
      <c r="B928">
        <v>10628.64</v>
      </c>
      <c r="C928">
        <v>10769.71</v>
      </c>
      <c r="D928">
        <v>10121.84</v>
      </c>
      <c r="E928">
        <v>10504.29</v>
      </c>
      <c r="F928">
        <v>56546.932133000002</v>
      </c>
      <c r="G928">
        <v>-1.17</v>
      </c>
      <c r="L928" t="s">
        <v>8</v>
      </c>
      <c r="M928" t="s">
        <v>8</v>
      </c>
      <c r="N928" t="s">
        <v>7</v>
      </c>
      <c r="P928">
        <f t="shared" si="1015"/>
        <v>0.18063809097504538</v>
      </c>
      <c r="Q928">
        <f t="shared" si="1016"/>
        <v>10214.529871000572</v>
      </c>
      <c r="R928">
        <f t="shared" si="1017"/>
        <v>1412028.4773459043</v>
      </c>
      <c r="S928">
        <f t="shared" si="1018"/>
        <v>14.120284773459044</v>
      </c>
      <c r="T928">
        <f t="shared" si="1019"/>
        <v>1.4120284773459044E-2</v>
      </c>
    </row>
    <row r="929" spans="1:20" x14ac:dyDescent="0.25">
      <c r="A929" s="5">
        <v>43664</v>
      </c>
      <c r="B929">
        <v>9668.86</v>
      </c>
      <c r="C929">
        <v>10788</v>
      </c>
      <c r="D929">
        <v>9252</v>
      </c>
      <c r="E929">
        <v>10627.16</v>
      </c>
      <c r="F929">
        <v>80283.310251999996</v>
      </c>
      <c r="G929">
        <v>9.91</v>
      </c>
      <c r="L929" t="s">
        <v>8</v>
      </c>
      <c r="M929" t="s">
        <v>8</v>
      </c>
      <c r="N929" t="s">
        <v>7</v>
      </c>
      <c r="P929">
        <f t="shared" si="1015"/>
        <v>0.79057291666666651</v>
      </c>
      <c r="Q929">
        <f t="shared" si="1016"/>
        <v>63469.810745578528</v>
      </c>
      <c r="R929">
        <f t="shared" si="1017"/>
        <v>1401813.9474749037</v>
      </c>
      <c r="S929">
        <f t="shared" si="1018"/>
        <v>14.018139474749036</v>
      </c>
      <c r="T929">
        <f t="shared" si="1019"/>
        <v>1.4018139474749036E-2</v>
      </c>
    </row>
    <row r="930" spans="1:20" x14ac:dyDescent="0.25">
      <c r="A930" s="5">
        <v>43663</v>
      </c>
      <c r="B930">
        <v>9430.17</v>
      </c>
      <c r="C930">
        <v>9957</v>
      </c>
      <c r="D930">
        <v>9060</v>
      </c>
      <c r="E930">
        <v>9667.92</v>
      </c>
      <c r="F930">
        <v>84942.672716999994</v>
      </c>
      <c r="G930">
        <v>2.52</v>
      </c>
      <c r="L930" t="s">
        <v>7</v>
      </c>
      <c r="M930" t="s">
        <v>7</v>
      </c>
      <c r="N930" t="s">
        <v>7</v>
      </c>
      <c r="P930">
        <f t="shared" si="1015"/>
        <v>0.35545150501672257</v>
      </c>
      <c r="Q930">
        <f t="shared" si="1016"/>
        <v>30193.000857400548</v>
      </c>
      <c r="R930">
        <f t="shared" si="1017"/>
        <v>1338344.1367293252</v>
      </c>
      <c r="S930">
        <f t="shared" si="1018"/>
        <v>13.383441367293251</v>
      </c>
      <c r="T930">
        <f t="shared" si="1019"/>
        <v>1.3383441367293251E-2</v>
      </c>
    </row>
    <row r="931" spans="1:20" x14ac:dyDescent="0.25">
      <c r="A931" s="5">
        <v>43662</v>
      </c>
      <c r="B931">
        <v>10833.78</v>
      </c>
      <c r="C931">
        <v>11028</v>
      </c>
      <c r="D931">
        <v>9350.01</v>
      </c>
      <c r="E931">
        <v>9439.59</v>
      </c>
      <c r="F931">
        <v>97219.443413000001</v>
      </c>
      <c r="G931">
        <v>-12.87</v>
      </c>
      <c r="L931" t="s">
        <v>7</v>
      </c>
      <c r="M931" t="s">
        <v>7</v>
      </c>
      <c r="N931" t="s">
        <v>7</v>
      </c>
      <c r="P931">
        <f t="shared" si="1015"/>
        <v>-0.89322939946006841</v>
      </c>
      <c r="Q931">
        <f t="shared" si="1016"/>
        <v>-86839.26505563609</v>
      </c>
      <c r="R931">
        <f t="shared" si="1017"/>
        <v>1308151.1358719247</v>
      </c>
      <c r="S931">
        <f t="shared" si="1018"/>
        <v>13.081511358719247</v>
      </c>
      <c r="T931">
        <f t="shared" si="1019"/>
        <v>1.3081511358719248E-2</v>
      </c>
    </row>
    <row r="932" spans="1:20" x14ac:dyDescent="0.25">
      <c r="A932" s="5">
        <v>43661</v>
      </c>
      <c r="B932">
        <v>10174.18</v>
      </c>
      <c r="C932">
        <v>11100</v>
      </c>
      <c r="D932">
        <v>9860</v>
      </c>
      <c r="E932">
        <v>10838.72</v>
      </c>
      <c r="F932">
        <v>81922.426332000003</v>
      </c>
      <c r="G932">
        <v>6.53</v>
      </c>
      <c r="L932" t="s">
        <v>7</v>
      </c>
      <c r="M932" t="s">
        <v>7</v>
      </c>
      <c r="N932" t="s">
        <v>7</v>
      </c>
      <c r="P932">
        <f t="shared" si="1015"/>
        <v>0.57858064516128926</v>
      </c>
      <c r="Q932">
        <f t="shared" si="1016"/>
        <v>47398.730280346754</v>
      </c>
      <c r="R932">
        <f t="shared" si="1017"/>
        <v>1394990.4009275609</v>
      </c>
      <c r="S932">
        <f t="shared" si="1018"/>
        <v>13.949904009275608</v>
      </c>
      <c r="T932">
        <f t="shared" si="1019"/>
        <v>1.3949904009275607E-2</v>
      </c>
    </row>
    <row r="933" spans="1:20" x14ac:dyDescent="0.25">
      <c r="A933" s="5">
        <v>43660</v>
      </c>
      <c r="B933">
        <v>11355.78</v>
      </c>
      <c r="C933">
        <v>11452</v>
      </c>
      <c r="D933">
        <v>10103</v>
      </c>
      <c r="E933">
        <v>10174.18</v>
      </c>
      <c r="F933">
        <v>72517.579236000005</v>
      </c>
      <c r="G933">
        <v>-10.41</v>
      </c>
      <c r="L933" t="s">
        <v>7</v>
      </c>
      <c r="M933" t="s">
        <v>7</v>
      </c>
      <c r="N933" t="s">
        <v>7</v>
      </c>
      <c r="P933">
        <f t="shared" si="1015"/>
        <v>-0.89446997776130421</v>
      </c>
      <c r="Q933">
        <f t="shared" si="1016"/>
        <v>-64864.797486528543</v>
      </c>
      <c r="R933">
        <f t="shared" si="1017"/>
        <v>1347591.6706472142</v>
      </c>
      <c r="S933">
        <f t="shared" si="1018"/>
        <v>13.475916706472141</v>
      </c>
      <c r="T933">
        <f t="shared" si="1019"/>
        <v>1.347591670647214E-2</v>
      </c>
    </row>
    <row r="934" spans="1:20" x14ac:dyDescent="0.25">
      <c r="A934" s="5">
        <v>43659</v>
      </c>
      <c r="B934">
        <v>11757.22</v>
      </c>
      <c r="C934">
        <v>11799.98</v>
      </c>
      <c r="D934">
        <v>10830</v>
      </c>
      <c r="E934">
        <v>11355.76</v>
      </c>
      <c r="F934">
        <v>54245.594548000001</v>
      </c>
      <c r="G934">
        <v>-3.41</v>
      </c>
      <c r="L934" t="s">
        <v>7</v>
      </c>
      <c r="M934" t="s">
        <v>7</v>
      </c>
      <c r="N934" t="s">
        <v>7</v>
      </c>
      <c r="P934">
        <f t="shared" si="1015"/>
        <v>8.4063588939979075E-2</v>
      </c>
      <c r="Q934">
        <f t="shared" si="1016"/>
        <v>4560.0793618878424</v>
      </c>
      <c r="R934">
        <f t="shared" si="1017"/>
        <v>1412456.4681337427</v>
      </c>
      <c r="S934">
        <f t="shared" si="1018"/>
        <v>14.124564681337427</v>
      </c>
      <c r="T934">
        <f t="shared" si="1019"/>
        <v>1.4124564681337427E-2</v>
      </c>
    </row>
    <row r="935" spans="1:20" x14ac:dyDescent="0.25">
      <c r="A935" s="5">
        <v>43658</v>
      </c>
      <c r="B935">
        <v>11342.88</v>
      </c>
      <c r="C935">
        <v>11885</v>
      </c>
      <c r="D935">
        <v>11073</v>
      </c>
      <c r="E935">
        <v>11757.22</v>
      </c>
      <c r="F935">
        <v>56321.858281000001</v>
      </c>
      <c r="G935">
        <v>3.65</v>
      </c>
      <c r="L935" t="s">
        <v>8</v>
      </c>
      <c r="M935" t="s">
        <v>7</v>
      </c>
      <c r="N935" t="s">
        <v>7</v>
      </c>
      <c r="P935">
        <f t="shared" si="1015"/>
        <v>0.68527093596058952</v>
      </c>
      <c r="Q935">
        <f t="shared" si="1016"/>
        <v>38595.732539260549</v>
      </c>
      <c r="R935">
        <f t="shared" si="1017"/>
        <v>1407896.3887718548</v>
      </c>
      <c r="S935">
        <f t="shared" si="1018"/>
        <v>14.078963887718547</v>
      </c>
      <c r="T935">
        <f t="shared" si="1019"/>
        <v>1.4078963887718548E-2</v>
      </c>
    </row>
    <row r="936" spans="1:20" x14ac:dyDescent="0.25">
      <c r="A936" s="5">
        <v>43657</v>
      </c>
      <c r="B936">
        <v>12108.11</v>
      </c>
      <c r="C936">
        <v>12111.73</v>
      </c>
      <c r="D936">
        <v>11000</v>
      </c>
      <c r="E936">
        <v>11342.89</v>
      </c>
      <c r="F936">
        <v>87506.461058000001</v>
      </c>
      <c r="G936">
        <v>-6.32</v>
      </c>
      <c r="L936" t="s">
        <v>7</v>
      </c>
      <c r="M936" t="s">
        <v>7</v>
      </c>
      <c r="N936" t="s">
        <v>7</v>
      </c>
      <c r="P936">
        <f t="shared" si="1015"/>
        <v>-0.383141590134296</v>
      </c>
      <c r="Q936">
        <f t="shared" si="1016"/>
        <v>-33527.364636786973</v>
      </c>
      <c r="R936">
        <f t="shared" si="1017"/>
        <v>1369300.6562325943</v>
      </c>
      <c r="S936">
        <f t="shared" si="1018"/>
        <v>13.693006562325943</v>
      </c>
      <c r="T936">
        <f t="shared" si="1019"/>
        <v>1.3693006562325943E-2</v>
      </c>
    </row>
    <row r="937" spans="1:20" x14ac:dyDescent="0.25">
      <c r="A937" s="5">
        <v>43656</v>
      </c>
      <c r="B937">
        <v>12548.51</v>
      </c>
      <c r="C937">
        <v>13147.08</v>
      </c>
      <c r="D937">
        <v>11569</v>
      </c>
      <c r="E937">
        <v>12108.37</v>
      </c>
      <c r="F937">
        <v>109246.044997</v>
      </c>
      <c r="G937">
        <v>-3.51</v>
      </c>
      <c r="L937" t="s">
        <v>8</v>
      </c>
      <c r="M937" t="s">
        <v>8</v>
      </c>
      <c r="N937" t="s">
        <v>7</v>
      </c>
      <c r="P937">
        <f t="shared" si="1015"/>
        <v>-0.31642248808678797</v>
      </c>
      <c r="Q937">
        <f t="shared" si="1016"/>
        <v>-34567.905371591936</v>
      </c>
      <c r="R937">
        <f t="shared" si="1017"/>
        <v>1402828.0208693813</v>
      </c>
      <c r="S937">
        <f t="shared" si="1018"/>
        <v>14.028280208693813</v>
      </c>
      <c r="T937">
        <f t="shared" si="1019"/>
        <v>1.4028280208693813E-2</v>
      </c>
    </row>
    <row r="938" spans="1:20" x14ac:dyDescent="0.25">
      <c r="A938" s="5">
        <v>43655</v>
      </c>
      <c r="B938">
        <v>12238.6</v>
      </c>
      <c r="C938">
        <v>12794.73</v>
      </c>
      <c r="D938">
        <v>12068</v>
      </c>
      <c r="E938">
        <v>12543.41</v>
      </c>
      <c r="F938">
        <v>78442.130342999997</v>
      </c>
      <c r="G938">
        <v>2.4900000000000002</v>
      </c>
      <c r="L938" t="s">
        <v>8</v>
      </c>
      <c r="M938" t="s">
        <v>8</v>
      </c>
      <c r="N938" t="s">
        <v>7</v>
      </c>
      <c r="P938">
        <f t="shared" si="1015"/>
        <v>0.30835385906732937</v>
      </c>
      <c r="Q938">
        <f t="shared" si="1016"/>
        <v>24187.933604726502</v>
      </c>
      <c r="R938">
        <f t="shared" si="1017"/>
        <v>1437395.9262409732</v>
      </c>
      <c r="S938">
        <f t="shared" si="1018"/>
        <v>14.373959262409732</v>
      </c>
      <c r="T938">
        <f t="shared" si="1019"/>
        <v>1.4373959262409731E-2</v>
      </c>
    </row>
    <row r="939" spans="1:20" x14ac:dyDescent="0.25">
      <c r="A939" s="5">
        <v>43654</v>
      </c>
      <c r="B939">
        <v>11410</v>
      </c>
      <c r="C939">
        <v>12338.03</v>
      </c>
      <c r="D939">
        <v>11220</v>
      </c>
      <c r="E939">
        <v>12238.6</v>
      </c>
      <c r="F939">
        <v>52182.367214999998</v>
      </c>
      <c r="G939">
        <v>7.26</v>
      </c>
      <c r="L939" t="s">
        <v>8</v>
      </c>
      <c r="M939" t="s">
        <v>8</v>
      </c>
      <c r="N939" t="s">
        <v>7</v>
      </c>
      <c r="P939">
        <f t="shared" si="1015"/>
        <v>0.82213357423324918</v>
      </c>
      <c r="Q939">
        <f t="shared" si="1016"/>
        <v>42900.876070419872</v>
      </c>
      <c r="R939">
        <f t="shared" si="1017"/>
        <v>1413207.9926362466</v>
      </c>
      <c r="S939">
        <f t="shared" si="1018"/>
        <v>14.132079926362467</v>
      </c>
      <c r="T939">
        <f t="shared" si="1019"/>
        <v>1.4132079926362466E-2</v>
      </c>
    </row>
    <row r="940" spans="1:20" x14ac:dyDescent="0.25">
      <c r="A940" s="5">
        <v>43653</v>
      </c>
      <c r="B940">
        <v>11256.45</v>
      </c>
      <c r="C940">
        <v>11538</v>
      </c>
      <c r="D940">
        <v>11094.37</v>
      </c>
      <c r="E940">
        <v>11406.24</v>
      </c>
      <c r="F940">
        <v>38884.795598999997</v>
      </c>
      <c r="G940">
        <v>1.33</v>
      </c>
      <c r="L940" t="s">
        <v>8</v>
      </c>
      <c r="M940" t="s">
        <v>8</v>
      </c>
      <c r="N940" t="s">
        <v>7</v>
      </c>
      <c r="P940">
        <f t="shared" si="1015"/>
        <v>0.40599147938597274</v>
      </c>
      <c r="Q940">
        <f t="shared" si="1016"/>
        <v>15786.895690859172</v>
      </c>
      <c r="R940">
        <f t="shared" si="1017"/>
        <v>1370307.1165658268</v>
      </c>
      <c r="S940">
        <f t="shared" si="1018"/>
        <v>13.703071165658269</v>
      </c>
      <c r="T940">
        <f t="shared" si="1019"/>
        <v>1.3703071165658269E-2</v>
      </c>
    </row>
    <row r="941" spans="1:20" x14ac:dyDescent="0.25">
      <c r="A941" s="5">
        <v>43652</v>
      </c>
      <c r="B941">
        <v>10982.41</v>
      </c>
      <c r="C941">
        <v>11665</v>
      </c>
      <c r="D941">
        <v>10964.51</v>
      </c>
      <c r="E941">
        <v>11256.49</v>
      </c>
      <c r="F941">
        <v>51469.496331000002</v>
      </c>
      <c r="G941">
        <v>2.5</v>
      </c>
      <c r="L941" t="s">
        <v>8</v>
      </c>
      <c r="M941" t="s">
        <v>8</v>
      </c>
      <c r="N941" t="s">
        <v>7</v>
      </c>
      <c r="P941">
        <f t="shared" si="1015"/>
        <v>-0.16635498008536981</v>
      </c>
      <c r="Q941">
        <f t="shared" si="1016"/>
        <v>-8562.2070371475202</v>
      </c>
      <c r="R941">
        <f t="shared" si="1017"/>
        <v>1354520.2208749678</v>
      </c>
      <c r="S941">
        <f t="shared" si="1018"/>
        <v>13.545202208749677</v>
      </c>
      <c r="T941">
        <f t="shared" si="1019"/>
        <v>1.3545202208749677E-2</v>
      </c>
    </row>
    <row r="942" spans="1:20" x14ac:dyDescent="0.25">
      <c r="A942" s="5">
        <v>43651</v>
      </c>
      <c r="B942">
        <v>11145.67</v>
      </c>
      <c r="C942">
        <v>11406.83</v>
      </c>
      <c r="D942">
        <v>10796.44</v>
      </c>
      <c r="E942">
        <v>10970.73</v>
      </c>
      <c r="F942">
        <v>63534.350581999999</v>
      </c>
      <c r="G942">
        <v>-1.57</v>
      </c>
      <c r="L942" t="s">
        <v>7</v>
      </c>
      <c r="M942" t="s">
        <v>8</v>
      </c>
      <c r="N942" t="s">
        <v>7</v>
      </c>
      <c r="P942">
        <f t="shared" si="1015"/>
        <v>-0.42892249217713518</v>
      </c>
      <c r="Q942">
        <f t="shared" si="1016"/>
        <v>-27251.311990487258</v>
      </c>
      <c r="R942">
        <f t="shared" si="1017"/>
        <v>1363082.4279121154</v>
      </c>
      <c r="S942">
        <f t="shared" si="1018"/>
        <v>13.630824279121153</v>
      </c>
      <c r="T942">
        <f t="shared" si="1019"/>
        <v>1.3630824279121153E-2</v>
      </c>
    </row>
    <row r="943" spans="1:20" x14ac:dyDescent="0.25">
      <c r="A943" s="5">
        <v>43650</v>
      </c>
      <c r="B943">
        <v>11940</v>
      </c>
      <c r="C943">
        <v>12000</v>
      </c>
      <c r="D943">
        <v>11055</v>
      </c>
      <c r="E943">
        <v>11145.67</v>
      </c>
      <c r="F943">
        <v>66512.221892000001</v>
      </c>
      <c r="G943">
        <v>-6.65</v>
      </c>
      <c r="L943" t="s">
        <v>7</v>
      </c>
      <c r="M943" t="s">
        <v>8</v>
      </c>
      <c r="N943" t="s">
        <v>7</v>
      </c>
      <c r="P943">
        <f t="shared" si="1015"/>
        <v>-0.80810582010581999</v>
      </c>
      <c r="Q943">
        <f t="shared" si="1016"/>
        <v>-53748.913619094936</v>
      </c>
      <c r="R943">
        <f t="shared" si="1017"/>
        <v>1390333.7399026025</v>
      </c>
      <c r="S943">
        <f t="shared" si="1018"/>
        <v>13.903337399026025</v>
      </c>
      <c r="T943">
        <f t="shared" si="1019"/>
        <v>1.3903337399026026E-2</v>
      </c>
    </row>
    <row r="944" spans="1:20" x14ac:dyDescent="0.25">
      <c r="A944" s="5">
        <v>43649</v>
      </c>
      <c r="B944">
        <v>10844.98</v>
      </c>
      <c r="C944">
        <v>11991.89</v>
      </c>
      <c r="D944">
        <v>10841.04</v>
      </c>
      <c r="E944">
        <v>11940</v>
      </c>
      <c r="F944">
        <v>96815.900290000005</v>
      </c>
      <c r="G944">
        <v>10.1</v>
      </c>
      <c r="L944" t="s">
        <v>8</v>
      </c>
      <c r="M944" t="s">
        <v>8</v>
      </c>
      <c r="N944" t="s">
        <v>7</v>
      </c>
      <c r="P944">
        <f t="shared" si="1015"/>
        <v>0.90982317417561021</v>
      </c>
      <c r="Q944">
        <f t="shared" si="1016"/>
        <v>88085.349712517185</v>
      </c>
      <c r="R944">
        <f t="shared" si="1017"/>
        <v>1444082.6535216975</v>
      </c>
      <c r="S944">
        <f t="shared" si="1018"/>
        <v>14.440826535216974</v>
      </c>
      <c r="T944">
        <f t="shared" si="1019"/>
        <v>1.4440826535216974E-2</v>
      </c>
    </row>
    <row r="945" spans="1:20" x14ac:dyDescent="0.25">
      <c r="A945" s="5">
        <v>43648</v>
      </c>
      <c r="B945">
        <v>10624.9</v>
      </c>
      <c r="C945">
        <v>10938.75</v>
      </c>
      <c r="D945">
        <v>9727</v>
      </c>
      <c r="E945">
        <v>10842.85</v>
      </c>
      <c r="F945">
        <v>109561.038728</v>
      </c>
      <c r="G945">
        <v>2.0499999999999998</v>
      </c>
      <c r="L945" t="s">
        <v>7</v>
      </c>
      <c r="M945" t="s">
        <v>7</v>
      </c>
      <c r="N945" t="s">
        <v>7</v>
      </c>
      <c r="P945">
        <f t="shared" si="1015"/>
        <v>0.84171652568599198</v>
      </c>
      <c r="Q945">
        <f t="shared" si="1016"/>
        <v>92219.336868680577</v>
      </c>
      <c r="R945">
        <f t="shared" si="1017"/>
        <v>1355997.3038091804</v>
      </c>
      <c r="S945">
        <f t="shared" si="1018"/>
        <v>13.559973038091805</v>
      </c>
      <c r="T945">
        <f t="shared" si="1019"/>
        <v>1.3559973038091805E-2</v>
      </c>
    </row>
    <row r="946" spans="1:20" x14ac:dyDescent="0.25">
      <c r="A946" s="5">
        <v>43647</v>
      </c>
      <c r="B946">
        <v>10854.1</v>
      </c>
      <c r="C946">
        <v>11282.28</v>
      </c>
      <c r="D946">
        <v>10030</v>
      </c>
      <c r="E946">
        <v>10624.93</v>
      </c>
      <c r="F946">
        <v>90962.268270999994</v>
      </c>
      <c r="G946">
        <v>-2.11</v>
      </c>
      <c r="L946" t="s">
        <v>7</v>
      </c>
      <c r="M946" t="s">
        <v>7</v>
      </c>
      <c r="N946" t="s">
        <v>7</v>
      </c>
      <c r="P946">
        <f t="shared" si="1015"/>
        <v>-4.9845082569393462E-2</v>
      </c>
      <c r="Q946">
        <f t="shared" si="1016"/>
        <v>-4534.0217726673136</v>
      </c>
      <c r="R946">
        <f t="shared" si="1017"/>
        <v>1263777.9669404998</v>
      </c>
      <c r="S946">
        <f t="shared" si="1018"/>
        <v>12.637779669404999</v>
      </c>
      <c r="T946">
        <f t="shared" si="1019"/>
        <v>1.2637779669404998E-2</v>
      </c>
    </row>
    <row r="947" spans="1:20" x14ac:dyDescent="0.25">
      <c r="A947" s="5">
        <v>43646</v>
      </c>
      <c r="B947">
        <v>11903.13</v>
      </c>
      <c r="C947">
        <v>12180</v>
      </c>
      <c r="D947">
        <v>10766.03</v>
      </c>
      <c r="E947">
        <v>10854.1</v>
      </c>
      <c r="F947">
        <v>84512.530442999996</v>
      </c>
      <c r="G947">
        <v>-8.81</v>
      </c>
      <c r="L947" t="s">
        <v>7</v>
      </c>
      <c r="M947" t="s">
        <v>8</v>
      </c>
      <c r="N947" t="s">
        <v>8</v>
      </c>
      <c r="P947">
        <f t="shared" si="1015"/>
        <v>-0.87542875732865655</v>
      </c>
      <c r="Q947">
        <f t="shared" si="1016"/>
        <v>-73984.699504415737</v>
      </c>
      <c r="R947">
        <f t="shared" si="1017"/>
        <v>1268311.9887131671</v>
      </c>
      <c r="S947">
        <f t="shared" si="1018"/>
        <v>12.683119887131671</v>
      </c>
      <c r="T947">
        <f t="shared" si="1019"/>
        <v>1.2683119887131672E-2</v>
      </c>
    </row>
    <row r="948" spans="1:20" x14ac:dyDescent="0.25">
      <c r="A948" s="5">
        <v>43645</v>
      </c>
      <c r="B948">
        <v>12407.06</v>
      </c>
      <c r="C948">
        <v>12441.54</v>
      </c>
      <c r="D948">
        <v>11475.02</v>
      </c>
      <c r="E948">
        <v>11903.13</v>
      </c>
      <c r="F948">
        <v>69642.074156999995</v>
      </c>
      <c r="G948">
        <v>-4.0599999999999996</v>
      </c>
      <c r="L948" t="s">
        <v>7</v>
      </c>
      <c r="M948" t="s">
        <v>8</v>
      </c>
      <c r="N948" t="s">
        <v>8</v>
      </c>
      <c r="P948">
        <f t="shared" si="1015"/>
        <v>-0.11412076315027403</v>
      </c>
      <c r="Q948">
        <f t="shared" si="1016"/>
        <v>-7947.6066501648165</v>
      </c>
      <c r="R948">
        <f t="shared" si="1017"/>
        <v>1342296.6882175829</v>
      </c>
      <c r="S948">
        <f t="shared" si="1018"/>
        <v>13.422966882175828</v>
      </c>
      <c r="T948">
        <f t="shared" si="1019"/>
        <v>1.3422966882175829E-2</v>
      </c>
    </row>
    <row r="949" spans="1:20" x14ac:dyDescent="0.25">
      <c r="A949" s="5">
        <v>43644</v>
      </c>
      <c r="B949">
        <v>11329.99</v>
      </c>
      <c r="C949">
        <v>12480</v>
      </c>
      <c r="D949">
        <v>10982.88</v>
      </c>
      <c r="E949">
        <v>12400.63</v>
      </c>
      <c r="F949">
        <v>95795.203964</v>
      </c>
      <c r="G949">
        <v>9.4499999999999993</v>
      </c>
      <c r="L949" t="s">
        <v>8</v>
      </c>
      <c r="M949" t="s">
        <v>8</v>
      </c>
      <c r="N949" t="s">
        <v>8</v>
      </c>
      <c r="P949">
        <f t="shared" si="1015"/>
        <v>0.89396975526343814</v>
      </c>
      <c r="Q949">
        <f t="shared" si="1016"/>
        <v>85638.015043108215</v>
      </c>
      <c r="R949">
        <f t="shared" si="1017"/>
        <v>1350244.2948677477</v>
      </c>
      <c r="S949">
        <f t="shared" si="1018"/>
        <v>13.502442948677476</v>
      </c>
      <c r="T949">
        <f t="shared" si="1019"/>
        <v>1.3502442948677477E-2</v>
      </c>
    </row>
    <row r="950" spans="1:20" x14ac:dyDescent="0.25">
      <c r="A950" s="5">
        <v>43643</v>
      </c>
      <c r="B950">
        <v>13098.38</v>
      </c>
      <c r="C950">
        <v>13478.04</v>
      </c>
      <c r="D950">
        <v>10525.1</v>
      </c>
      <c r="E950">
        <v>11329.99</v>
      </c>
      <c r="F950">
        <v>173894.820889</v>
      </c>
      <c r="G950">
        <v>-13.5</v>
      </c>
      <c r="L950" t="s">
        <v>7</v>
      </c>
      <c r="M950" t="s">
        <v>7</v>
      </c>
      <c r="N950" t="s">
        <v>8</v>
      </c>
      <c r="P950">
        <f t="shared" si="1015"/>
        <v>-0.45485516129687747</v>
      </c>
      <c r="Q950">
        <f t="shared" si="1016"/>
        <v>-79096.956804157715</v>
      </c>
      <c r="R950">
        <f t="shared" si="1017"/>
        <v>1264606.2798246394</v>
      </c>
      <c r="S950">
        <f t="shared" si="1018"/>
        <v>12.646062798246394</v>
      </c>
      <c r="T950">
        <f t="shared" si="1019"/>
        <v>1.2646062798246394E-2</v>
      </c>
    </row>
    <row r="951" spans="1:20" x14ac:dyDescent="0.25">
      <c r="A951" s="5">
        <v>43642</v>
      </c>
      <c r="B951">
        <v>11821.28</v>
      </c>
      <c r="C951">
        <v>13970</v>
      </c>
      <c r="D951">
        <v>11741</v>
      </c>
      <c r="E951">
        <v>13093.8</v>
      </c>
      <c r="F951">
        <v>155930.147386</v>
      </c>
      <c r="G951">
        <v>10.76</v>
      </c>
      <c r="L951" t="s">
        <v>8</v>
      </c>
      <c r="M951" t="s">
        <v>8</v>
      </c>
      <c r="N951" t="s">
        <v>8</v>
      </c>
      <c r="P951">
        <f t="shared" si="1015"/>
        <v>0.21381785554060051</v>
      </c>
      <c r="Q951">
        <f t="shared" si="1016"/>
        <v>33340.649728204291</v>
      </c>
      <c r="R951">
        <f t="shared" si="1017"/>
        <v>1343703.2366287971</v>
      </c>
      <c r="S951">
        <f t="shared" si="1018"/>
        <v>13.437032366287971</v>
      </c>
      <c r="T951">
        <f t="shared" si="1019"/>
        <v>1.343703236628797E-2</v>
      </c>
    </row>
    <row r="952" spans="1:20" x14ac:dyDescent="0.25">
      <c r="A952" s="5">
        <v>43641</v>
      </c>
      <c r="B952">
        <v>11056.59</v>
      </c>
      <c r="C952">
        <v>11850</v>
      </c>
      <c r="D952">
        <v>11026</v>
      </c>
      <c r="E952">
        <v>11820.86</v>
      </c>
      <c r="F952">
        <v>61276.686648000003</v>
      </c>
      <c r="G952">
        <v>6.91</v>
      </c>
      <c r="L952" t="s">
        <v>8</v>
      </c>
      <c r="M952" t="s">
        <v>8</v>
      </c>
      <c r="N952" t="s">
        <v>8</v>
      </c>
      <c r="P952">
        <f t="shared" si="1015"/>
        <v>0.92927184466019563</v>
      </c>
      <c r="Q952">
        <f t="shared" si="1016"/>
        <v>56942.699636051744</v>
      </c>
      <c r="R952">
        <f t="shared" si="1017"/>
        <v>1310362.5869005928</v>
      </c>
      <c r="S952">
        <f t="shared" si="1018"/>
        <v>13.103625869005928</v>
      </c>
      <c r="T952">
        <f t="shared" si="1019"/>
        <v>1.3103625869005927E-2</v>
      </c>
    </row>
    <row r="953" spans="1:20" x14ac:dyDescent="0.25">
      <c r="A953" s="5">
        <v>43640</v>
      </c>
      <c r="B953">
        <v>10905.95</v>
      </c>
      <c r="C953">
        <v>11143.63</v>
      </c>
      <c r="D953">
        <v>10620.8</v>
      </c>
      <c r="E953">
        <v>11056.59</v>
      </c>
      <c r="F953">
        <v>43101.045285</v>
      </c>
      <c r="G953">
        <v>1.38</v>
      </c>
      <c r="L953" t="s">
        <v>8</v>
      </c>
      <c r="M953" t="s">
        <v>8</v>
      </c>
      <c r="N953" t="s">
        <v>8</v>
      </c>
      <c r="P953">
        <f t="shared" si="1015"/>
        <v>0.66704282462751152</v>
      </c>
      <c r="Q953">
        <f t="shared" si="1016"/>
        <v>28750.242991304687</v>
      </c>
      <c r="R953">
        <f t="shared" si="1017"/>
        <v>1253419.8872645411</v>
      </c>
      <c r="S953">
        <f t="shared" si="1018"/>
        <v>12.534198872645412</v>
      </c>
      <c r="T953">
        <f t="shared" si="1019"/>
        <v>1.2534198872645412E-2</v>
      </c>
    </row>
    <row r="954" spans="1:20" x14ac:dyDescent="0.25">
      <c r="A954" s="5">
        <v>43639</v>
      </c>
      <c r="B954">
        <v>10729</v>
      </c>
      <c r="C954">
        <v>11392.64</v>
      </c>
      <c r="D954">
        <v>10555.18</v>
      </c>
      <c r="E954">
        <v>10906.07</v>
      </c>
      <c r="F954">
        <v>57445.323944999996</v>
      </c>
      <c r="G954">
        <v>1.65</v>
      </c>
      <c r="L954" t="s">
        <v>8</v>
      </c>
      <c r="M954" t="s">
        <v>8</v>
      </c>
      <c r="N954" t="s">
        <v>8</v>
      </c>
      <c r="P954">
        <f t="shared" si="1015"/>
        <v>-0.16201370811740315</v>
      </c>
      <c r="Q954">
        <f t="shared" si="1016"/>
        <v>-9306.9299463348998</v>
      </c>
      <c r="R954">
        <f t="shared" si="1017"/>
        <v>1224669.6442732364</v>
      </c>
      <c r="S954">
        <f t="shared" si="1018"/>
        <v>12.246696442732365</v>
      </c>
      <c r="T954">
        <f t="shared" si="1019"/>
        <v>1.2246696442732364E-2</v>
      </c>
    </row>
    <row r="955" spans="1:20" x14ac:dyDescent="0.25">
      <c r="A955" s="5">
        <v>43638</v>
      </c>
      <c r="B955">
        <v>10159.86</v>
      </c>
      <c r="C955">
        <v>11160</v>
      </c>
      <c r="D955">
        <v>9921.7199999999993</v>
      </c>
      <c r="E955">
        <v>10729.5</v>
      </c>
      <c r="F955">
        <v>104169.447976</v>
      </c>
      <c r="G955">
        <v>5.61</v>
      </c>
      <c r="L955" t="s">
        <v>8</v>
      </c>
      <c r="M955" t="s">
        <v>8</v>
      </c>
      <c r="N955" t="s">
        <v>8</v>
      </c>
      <c r="P955">
        <f t="shared" si="1015"/>
        <v>0.30468068611299581</v>
      </c>
      <c r="Q955">
        <f t="shared" si="1016"/>
        <v>31738.418881339701</v>
      </c>
      <c r="R955">
        <f t="shared" si="1017"/>
        <v>1233976.5742195712</v>
      </c>
      <c r="S955">
        <f t="shared" si="1018"/>
        <v>12.339765742195713</v>
      </c>
      <c r="T955">
        <f t="shared" si="1019"/>
        <v>1.2339765742195712E-2</v>
      </c>
    </row>
    <row r="956" spans="1:20" x14ac:dyDescent="0.25">
      <c r="A956" s="5">
        <v>43637</v>
      </c>
      <c r="B956">
        <v>9518.06</v>
      </c>
      <c r="C956">
        <v>10174.99</v>
      </c>
      <c r="D956">
        <v>9518.06</v>
      </c>
      <c r="E956">
        <v>10159.86</v>
      </c>
      <c r="F956">
        <v>50484.415891999997</v>
      </c>
      <c r="G956">
        <v>6.74</v>
      </c>
      <c r="L956" t="s">
        <v>8</v>
      </c>
      <c r="M956" t="s">
        <v>8</v>
      </c>
      <c r="N956" t="s">
        <v>8</v>
      </c>
      <c r="P956">
        <f t="shared" si="1015"/>
        <v>0.95393725358866488</v>
      </c>
      <c r="Q956">
        <f t="shared" si="1016"/>
        <v>48158.965045042423</v>
      </c>
      <c r="R956">
        <f t="shared" si="1017"/>
        <v>1202238.1553382315</v>
      </c>
      <c r="S956">
        <f t="shared" si="1018"/>
        <v>12.022381553382315</v>
      </c>
      <c r="T956">
        <f t="shared" si="1019"/>
        <v>1.2022381553382316E-2</v>
      </c>
    </row>
    <row r="957" spans="1:20" x14ac:dyDescent="0.25">
      <c r="A957" s="5">
        <v>43636</v>
      </c>
      <c r="B957">
        <v>9253.76</v>
      </c>
      <c r="C957">
        <v>9590</v>
      </c>
      <c r="D957">
        <v>9175.2000000000007</v>
      </c>
      <c r="E957">
        <v>9517.1200000000008</v>
      </c>
      <c r="F957">
        <v>34556.053981999998</v>
      </c>
      <c r="G957">
        <v>2.85</v>
      </c>
      <c r="L957" t="s">
        <v>8</v>
      </c>
      <c r="M957" t="s">
        <v>8</v>
      </c>
      <c r="N957" t="s">
        <v>8</v>
      </c>
      <c r="P957">
        <f t="shared" si="1015"/>
        <v>0.648601735776281</v>
      </c>
      <c r="Q957">
        <f t="shared" si="1016"/>
        <v>22413.116594304065</v>
      </c>
      <c r="R957">
        <f t="shared" si="1017"/>
        <v>1154079.1902931891</v>
      </c>
      <c r="S957">
        <f t="shared" si="1018"/>
        <v>11.540791902931891</v>
      </c>
      <c r="T957">
        <f t="shared" si="1019"/>
        <v>1.1540791902931892E-2</v>
      </c>
    </row>
    <row r="958" spans="1:20" x14ac:dyDescent="0.25">
      <c r="A958" s="5">
        <v>43635</v>
      </c>
      <c r="B958">
        <v>9081.9699999999993</v>
      </c>
      <c r="C958">
        <v>9304</v>
      </c>
      <c r="D958">
        <v>8960</v>
      </c>
      <c r="E958">
        <v>9255.49</v>
      </c>
      <c r="F958">
        <v>32147.706494999999</v>
      </c>
      <c r="G958">
        <v>1.91</v>
      </c>
      <c r="L958" t="s">
        <v>8</v>
      </c>
      <c r="M958" t="s">
        <v>8</v>
      </c>
      <c r="N958" t="s">
        <v>8</v>
      </c>
      <c r="P958">
        <f t="shared" si="1015"/>
        <v>0.71796511627906845</v>
      </c>
      <c r="Q958">
        <f t="shared" si="1016"/>
        <v>23080.931831788039</v>
      </c>
      <c r="R958">
        <f t="shared" si="1017"/>
        <v>1131666.073698885</v>
      </c>
      <c r="S958">
        <f t="shared" si="1018"/>
        <v>11.316660736988851</v>
      </c>
      <c r="T958">
        <f t="shared" si="1019"/>
        <v>1.1316660736988851E-2</v>
      </c>
    </row>
    <row r="959" spans="1:20" x14ac:dyDescent="0.25">
      <c r="A959" s="5">
        <v>43634</v>
      </c>
      <c r="B959">
        <v>9312.1299999999992</v>
      </c>
      <c r="C959">
        <v>9336.36</v>
      </c>
      <c r="D959">
        <v>8950</v>
      </c>
      <c r="E959">
        <v>9081.5499999999993</v>
      </c>
      <c r="F959">
        <v>51554.569401000001</v>
      </c>
      <c r="G959">
        <v>-2.48</v>
      </c>
      <c r="L959" t="s">
        <v>8</v>
      </c>
      <c r="M959" t="s">
        <v>8</v>
      </c>
      <c r="N959" t="s">
        <v>8</v>
      </c>
      <c r="P959">
        <f t="shared" ref="P959:P1022" si="1020">IF(C959=D959,0,((E959-D959)-(C959-E959))/(C959-D959))</f>
        <v>-0.31902888497774579</v>
      </c>
      <c r="Q959">
        <f t="shared" ref="Q959:Q1022" si="1021">F959*P959</f>
        <v>-16447.396791508843</v>
      </c>
      <c r="R959">
        <f t="shared" ref="R959:R1022" si="1022">R960+Q959</f>
        <v>1108585.141867097</v>
      </c>
      <c r="S959">
        <f t="shared" ref="S959:S1022" si="1023">R959/100000</f>
        <v>11.08585141867097</v>
      </c>
      <c r="T959">
        <f t="shared" ref="T959:T1022" si="1024">S959/1000</f>
        <v>1.108585141867097E-2</v>
      </c>
    </row>
    <row r="960" spans="1:20" x14ac:dyDescent="0.25">
      <c r="A960" s="5">
        <v>43633</v>
      </c>
      <c r="B960">
        <v>8953</v>
      </c>
      <c r="C960">
        <v>9444</v>
      </c>
      <c r="D960">
        <v>8950</v>
      </c>
      <c r="E960">
        <v>9313.9599999999991</v>
      </c>
      <c r="F960">
        <v>47895.485374000004</v>
      </c>
      <c r="G960">
        <v>4.03</v>
      </c>
      <c r="L960" t="s">
        <v>8</v>
      </c>
      <c r="M960" t="s">
        <v>8</v>
      </c>
      <c r="N960" t="s">
        <v>8</v>
      </c>
      <c r="P960">
        <f t="shared" si="1020"/>
        <v>0.47352226720647422</v>
      </c>
      <c r="Q960">
        <f t="shared" si="1021"/>
        <v>22679.578823251009</v>
      </c>
      <c r="R960">
        <f t="shared" si="1022"/>
        <v>1125032.5386586059</v>
      </c>
      <c r="S960">
        <f t="shared" si="1023"/>
        <v>11.250325386586059</v>
      </c>
      <c r="T960">
        <f t="shared" si="1024"/>
        <v>1.1250325386586059E-2</v>
      </c>
    </row>
    <row r="961" spans="1:20" x14ac:dyDescent="0.25">
      <c r="A961" s="5">
        <v>43632</v>
      </c>
      <c r="B961">
        <v>8810.77</v>
      </c>
      <c r="C961">
        <v>9333</v>
      </c>
      <c r="D961">
        <v>8760</v>
      </c>
      <c r="E961">
        <v>8953.33</v>
      </c>
      <c r="F961">
        <v>63289.251218999998</v>
      </c>
      <c r="G961">
        <v>1.62</v>
      </c>
      <c r="L961" t="s">
        <v>8</v>
      </c>
      <c r="M961" t="s">
        <v>8</v>
      </c>
      <c r="N961" t="s">
        <v>8</v>
      </c>
      <c r="P961">
        <f t="shared" si="1020"/>
        <v>-0.32520069808027946</v>
      </c>
      <c r="Q961">
        <f t="shared" si="1021"/>
        <v>-20581.708677396979</v>
      </c>
      <c r="R961">
        <f t="shared" si="1022"/>
        <v>1102352.9598353549</v>
      </c>
      <c r="S961">
        <f t="shared" si="1023"/>
        <v>11.02352959835355</v>
      </c>
      <c r="T961">
        <f t="shared" si="1024"/>
        <v>1.102352959835355E-2</v>
      </c>
    </row>
    <row r="962" spans="1:20" x14ac:dyDescent="0.25">
      <c r="A962" s="5">
        <v>43631</v>
      </c>
      <c r="B962">
        <v>8650.8799999999992</v>
      </c>
      <c r="C962">
        <v>8864.99</v>
      </c>
      <c r="D962">
        <v>8567.6299999999992</v>
      </c>
      <c r="E962">
        <v>8808.7000000000007</v>
      </c>
      <c r="F962">
        <v>31791.636039000001</v>
      </c>
      <c r="G962">
        <v>1.82</v>
      </c>
      <c r="L962" t="s">
        <v>8</v>
      </c>
      <c r="M962" t="s">
        <v>8</v>
      </c>
      <c r="N962" t="s">
        <v>8</v>
      </c>
      <c r="P962">
        <f t="shared" si="1020"/>
        <v>0.6214016680118446</v>
      </c>
      <c r="Q962">
        <f t="shared" si="1021"/>
        <v>19755.375663460072</v>
      </c>
      <c r="R962">
        <f t="shared" si="1022"/>
        <v>1122934.6685127518</v>
      </c>
      <c r="S962">
        <f t="shared" si="1023"/>
        <v>11.229346685127519</v>
      </c>
      <c r="T962">
        <f t="shared" si="1024"/>
        <v>1.1229346685127518E-2</v>
      </c>
    </row>
    <row r="963" spans="1:20" x14ac:dyDescent="0.25">
      <c r="A963" s="5">
        <v>43630</v>
      </c>
      <c r="B963">
        <v>8216.44</v>
      </c>
      <c r="C963">
        <v>8684.41</v>
      </c>
      <c r="D963">
        <v>8144.32</v>
      </c>
      <c r="E963">
        <v>8650</v>
      </c>
      <c r="F963">
        <v>39835.246254999998</v>
      </c>
      <c r="G963">
        <v>5.28</v>
      </c>
      <c r="L963" t="s">
        <v>8</v>
      </c>
      <c r="M963" t="s">
        <v>7</v>
      </c>
      <c r="N963" t="s">
        <v>8</v>
      </c>
      <c r="P963">
        <f t="shared" si="1020"/>
        <v>0.87257679275676336</v>
      </c>
      <c r="Q963">
        <f t="shared" si="1021"/>
        <v>34759.311415863769</v>
      </c>
      <c r="R963">
        <f t="shared" si="1022"/>
        <v>1103179.2928492918</v>
      </c>
      <c r="S963">
        <f t="shared" si="1023"/>
        <v>11.031792928492917</v>
      </c>
      <c r="T963">
        <f t="shared" si="1024"/>
        <v>1.1031792928492918E-2</v>
      </c>
    </row>
    <row r="964" spans="1:20" x14ac:dyDescent="0.25">
      <c r="A964" s="5">
        <v>43629</v>
      </c>
      <c r="B964">
        <v>8127.64</v>
      </c>
      <c r="C964">
        <v>8309.82</v>
      </c>
      <c r="D964">
        <v>8010.03</v>
      </c>
      <c r="E964">
        <v>8218.5400000000009</v>
      </c>
      <c r="F964">
        <v>30467.764340999998</v>
      </c>
      <c r="G964">
        <v>1.1200000000000001</v>
      </c>
      <c r="L964" t="s">
        <v>8</v>
      </c>
      <c r="M964" t="s">
        <v>7</v>
      </c>
      <c r="N964" t="s">
        <v>8</v>
      </c>
      <c r="P964">
        <f t="shared" si="1020"/>
        <v>0.39104039494313453</v>
      </c>
      <c r="Q964">
        <f t="shared" si="1021"/>
        <v>11914.126600938991</v>
      </c>
      <c r="R964">
        <f t="shared" si="1022"/>
        <v>1068419.9814334281</v>
      </c>
      <c r="S964">
        <f t="shared" si="1023"/>
        <v>10.684199814334281</v>
      </c>
      <c r="T964">
        <f t="shared" si="1024"/>
        <v>1.0684199814334281E-2</v>
      </c>
    </row>
    <row r="965" spans="1:20" x14ac:dyDescent="0.25">
      <c r="A965" s="5">
        <v>43628</v>
      </c>
      <c r="B965">
        <v>7884.9</v>
      </c>
      <c r="C965">
        <v>8200</v>
      </c>
      <c r="D965">
        <v>7788.99</v>
      </c>
      <c r="E965">
        <v>8127.64</v>
      </c>
      <c r="F965">
        <v>41597.082622000002</v>
      </c>
      <c r="G965">
        <v>3.08</v>
      </c>
      <c r="L965" t="s">
        <v>8</v>
      </c>
      <c r="M965" t="s">
        <v>7</v>
      </c>
      <c r="N965" t="s">
        <v>8</v>
      </c>
      <c r="P965">
        <f t="shared" si="1020"/>
        <v>0.64789177878883908</v>
      </c>
      <c r="Q965">
        <f t="shared" si="1021"/>
        <v>26950.407852393888</v>
      </c>
      <c r="R965">
        <f t="shared" si="1022"/>
        <v>1056505.854832489</v>
      </c>
      <c r="S965">
        <f t="shared" si="1023"/>
        <v>10.56505854832489</v>
      </c>
      <c r="T965">
        <f t="shared" si="1024"/>
        <v>1.0565058548324889E-2</v>
      </c>
    </row>
    <row r="966" spans="1:20" x14ac:dyDescent="0.25">
      <c r="A966" s="5">
        <v>43627</v>
      </c>
      <c r="B966">
        <v>7981</v>
      </c>
      <c r="C966">
        <v>8010</v>
      </c>
      <c r="D966">
        <v>7692.23</v>
      </c>
      <c r="E966">
        <v>7884.9</v>
      </c>
      <c r="F966">
        <v>30334.999426999999</v>
      </c>
      <c r="G966">
        <v>-1.2</v>
      </c>
      <c r="L966" t="s">
        <v>7</v>
      </c>
      <c r="M966" t="s">
        <v>7</v>
      </c>
      <c r="N966" t="s">
        <v>8</v>
      </c>
      <c r="P966">
        <f t="shared" si="1020"/>
        <v>0.21263807156119086</v>
      </c>
      <c r="Q966">
        <f t="shared" si="1021"/>
        <v>6450.375778967109</v>
      </c>
      <c r="R966">
        <f t="shared" si="1022"/>
        <v>1029555.4469800951</v>
      </c>
      <c r="S966">
        <f t="shared" si="1023"/>
        <v>10.295554469800951</v>
      </c>
      <c r="T966">
        <f t="shared" si="1024"/>
        <v>1.0295554469800952E-2</v>
      </c>
    </row>
    <row r="967" spans="1:20" x14ac:dyDescent="0.25">
      <c r="A967" s="5">
        <v>43626</v>
      </c>
      <c r="B967">
        <v>7627.57</v>
      </c>
      <c r="C967">
        <v>8020</v>
      </c>
      <c r="D967">
        <v>7511</v>
      </c>
      <c r="E967">
        <v>7982.75</v>
      </c>
      <c r="F967">
        <v>36756.078468</v>
      </c>
      <c r="G967">
        <v>4.66</v>
      </c>
      <c r="L967" t="s">
        <v>7</v>
      </c>
      <c r="M967" t="s">
        <v>7</v>
      </c>
      <c r="N967" t="s">
        <v>8</v>
      </c>
      <c r="P967">
        <f t="shared" si="1020"/>
        <v>0.85363457760314343</v>
      </c>
      <c r="Q967">
        <f t="shared" si="1021"/>
        <v>31376.259517379174</v>
      </c>
      <c r="R967">
        <f t="shared" si="1022"/>
        <v>1023105.071201128</v>
      </c>
      <c r="S967">
        <f t="shared" si="1023"/>
        <v>10.23105071201128</v>
      </c>
      <c r="T967">
        <f t="shared" si="1024"/>
        <v>1.023105071201128E-2</v>
      </c>
    </row>
    <row r="968" spans="1:20" x14ac:dyDescent="0.25">
      <c r="A968" s="5">
        <v>43625</v>
      </c>
      <c r="B968">
        <v>7895.28</v>
      </c>
      <c r="C968">
        <v>7935</v>
      </c>
      <c r="D968">
        <v>7506.66</v>
      </c>
      <c r="E968">
        <v>7628.13</v>
      </c>
      <c r="F968">
        <v>31568.465156999999</v>
      </c>
      <c r="G968">
        <v>-3.38</v>
      </c>
      <c r="L968" t="s">
        <v>7</v>
      </c>
      <c r="M968" t="s">
        <v>7</v>
      </c>
      <c r="N968" t="s">
        <v>8</v>
      </c>
      <c r="P968">
        <f t="shared" si="1020"/>
        <v>-0.43283373021431476</v>
      </c>
      <c r="Q968">
        <f t="shared" si="1021"/>
        <v>-13663.896531044933</v>
      </c>
      <c r="R968">
        <f t="shared" si="1022"/>
        <v>991728.81168374873</v>
      </c>
      <c r="S968">
        <f t="shared" si="1023"/>
        <v>9.9172881168374865</v>
      </c>
      <c r="T968">
        <f t="shared" si="1024"/>
        <v>9.9172881168374857E-3</v>
      </c>
    </row>
    <row r="969" spans="1:20" x14ac:dyDescent="0.25">
      <c r="A969" s="5">
        <v>43624</v>
      </c>
      <c r="B969">
        <v>7978.94</v>
      </c>
      <c r="C969">
        <v>8044.65</v>
      </c>
      <c r="D969">
        <v>7751</v>
      </c>
      <c r="E969">
        <v>7893.62</v>
      </c>
      <c r="F969">
        <v>22657.329634000002</v>
      </c>
      <c r="G969">
        <v>-1.07</v>
      </c>
      <c r="L969" t="s">
        <v>8</v>
      </c>
      <c r="M969" t="s">
        <v>7</v>
      </c>
      <c r="N969" t="s">
        <v>8</v>
      </c>
      <c r="P969">
        <f t="shared" si="1020"/>
        <v>-2.8639536863612685E-2</v>
      </c>
      <c r="Q969">
        <f t="shared" si="1021"/>
        <v>-648.89542728396714</v>
      </c>
      <c r="R969">
        <f t="shared" si="1022"/>
        <v>1005392.7082147937</v>
      </c>
      <c r="S969">
        <f t="shared" si="1023"/>
        <v>10.053927082147936</v>
      </c>
      <c r="T969">
        <f t="shared" si="1024"/>
        <v>1.0053927082147937E-2</v>
      </c>
    </row>
    <row r="970" spans="1:20" x14ac:dyDescent="0.25">
      <c r="A970" s="5">
        <v>43623</v>
      </c>
      <c r="B970">
        <v>7787.57</v>
      </c>
      <c r="C970">
        <v>8100</v>
      </c>
      <c r="D970">
        <v>7737.49</v>
      </c>
      <c r="E970">
        <v>7980.53</v>
      </c>
      <c r="F970">
        <v>33942.225658000003</v>
      </c>
      <c r="G970">
        <v>2.48</v>
      </c>
      <c r="L970" t="s">
        <v>8</v>
      </c>
      <c r="M970" t="s">
        <v>7</v>
      </c>
      <c r="N970" t="s">
        <v>8</v>
      </c>
      <c r="P970">
        <f t="shared" si="1020"/>
        <v>0.34087335521778611</v>
      </c>
      <c r="Q970">
        <f t="shared" si="1021"/>
        <v>11570.000343601689</v>
      </c>
      <c r="R970">
        <f t="shared" si="1022"/>
        <v>1006041.6036420777</v>
      </c>
      <c r="S970">
        <f t="shared" si="1023"/>
        <v>10.060416036420776</v>
      </c>
      <c r="T970">
        <f t="shared" si="1024"/>
        <v>1.0060416036420775E-2</v>
      </c>
    </row>
    <row r="971" spans="1:20" x14ac:dyDescent="0.25">
      <c r="A971" s="5">
        <v>43622</v>
      </c>
      <c r="B971">
        <v>7778.08</v>
      </c>
      <c r="C971">
        <v>7868.13</v>
      </c>
      <c r="D971">
        <v>7444.58</v>
      </c>
      <c r="E971">
        <v>7786.7</v>
      </c>
      <c r="F971">
        <v>36624.118747</v>
      </c>
      <c r="G971">
        <v>0.11</v>
      </c>
      <c r="L971" t="s">
        <v>7</v>
      </c>
      <c r="M971" t="s">
        <v>7</v>
      </c>
      <c r="N971" t="s">
        <v>8</v>
      </c>
      <c r="P971">
        <f t="shared" si="1020"/>
        <v>0.61548813599338803</v>
      </c>
      <c r="Q971">
        <f t="shared" si="1021"/>
        <v>22541.71057999153</v>
      </c>
      <c r="R971">
        <f t="shared" si="1022"/>
        <v>994471.60329847597</v>
      </c>
      <c r="S971">
        <f t="shared" si="1023"/>
        <v>9.9447160329847595</v>
      </c>
      <c r="T971">
        <f t="shared" si="1024"/>
        <v>9.94471603298476E-3</v>
      </c>
    </row>
    <row r="972" spans="1:20" x14ac:dyDescent="0.25">
      <c r="A972" s="5">
        <v>43621</v>
      </c>
      <c r="B972">
        <v>7687.04</v>
      </c>
      <c r="C972">
        <v>7896.7</v>
      </c>
      <c r="D972">
        <v>7572.78</v>
      </c>
      <c r="E972">
        <v>7776.5</v>
      </c>
      <c r="F972">
        <v>48679.656454999997</v>
      </c>
      <c r="G972">
        <v>1.1599999999999999</v>
      </c>
      <c r="L972" t="s">
        <v>7</v>
      </c>
      <c r="M972" t="s">
        <v>7</v>
      </c>
      <c r="N972" t="s">
        <v>8</v>
      </c>
      <c r="P972">
        <f t="shared" si="1020"/>
        <v>0.25784144233144113</v>
      </c>
      <c r="Q972">
        <f t="shared" si="1021"/>
        <v>12551.632832556248</v>
      </c>
      <c r="R972">
        <f t="shared" si="1022"/>
        <v>971929.89271848439</v>
      </c>
      <c r="S972">
        <f t="shared" si="1023"/>
        <v>9.7192989271848447</v>
      </c>
      <c r="T972">
        <f t="shared" si="1024"/>
        <v>9.719298927184844E-3</v>
      </c>
    </row>
    <row r="973" spans="1:20" x14ac:dyDescent="0.25">
      <c r="A973" s="5">
        <v>43620</v>
      </c>
      <c r="B973">
        <v>8115.66</v>
      </c>
      <c r="C973">
        <v>8115.66</v>
      </c>
      <c r="D973">
        <v>7481.02</v>
      </c>
      <c r="E973">
        <v>7687.03</v>
      </c>
      <c r="F973">
        <v>74143.948940999995</v>
      </c>
      <c r="G973">
        <v>-5.28</v>
      </c>
      <c r="L973" t="s">
        <v>7</v>
      </c>
      <c r="M973" t="s">
        <v>7</v>
      </c>
      <c r="N973" t="s">
        <v>8</v>
      </c>
      <c r="P973">
        <f t="shared" si="1020"/>
        <v>-0.35078154544308743</v>
      </c>
      <c r="Q973">
        <f t="shared" si="1021"/>
        <v>-26008.328994777345</v>
      </c>
      <c r="R973">
        <f t="shared" si="1022"/>
        <v>959378.25988592813</v>
      </c>
      <c r="S973">
        <f t="shared" si="1023"/>
        <v>9.5937825988592813</v>
      </c>
      <c r="T973">
        <f t="shared" si="1024"/>
        <v>9.593782598859282E-3</v>
      </c>
    </row>
    <row r="974" spans="1:20" x14ac:dyDescent="0.25">
      <c r="A974" s="5">
        <v>43619</v>
      </c>
      <c r="B974">
        <v>8726</v>
      </c>
      <c r="C974">
        <v>8800.9500000000007</v>
      </c>
      <c r="D974">
        <v>8080.8</v>
      </c>
      <c r="E974">
        <v>8115.82</v>
      </c>
      <c r="F974">
        <v>45692.965104000003</v>
      </c>
      <c r="G974">
        <v>-6.99</v>
      </c>
      <c r="L974" t="s">
        <v>7</v>
      </c>
      <c r="M974" t="s">
        <v>8</v>
      </c>
      <c r="N974" t="s">
        <v>8</v>
      </c>
      <c r="P974">
        <f t="shared" si="1020"/>
        <v>-0.90274248420468095</v>
      </c>
      <c r="Q974">
        <f t="shared" si="1021"/>
        <v>-41248.980828662759</v>
      </c>
      <c r="R974">
        <f t="shared" si="1022"/>
        <v>985386.58888070553</v>
      </c>
      <c r="S974">
        <f t="shared" si="1023"/>
        <v>9.8538658888070554</v>
      </c>
      <c r="T974">
        <f t="shared" si="1024"/>
        <v>9.8538658888070556E-3</v>
      </c>
    </row>
    <row r="975" spans="1:20" x14ac:dyDescent="0.25">
      <c r="A975" s="5">
        <v>43618</v>
      </c>
      <c r="B975">
        <v>8545.1</v>
      </c>
      <c r="C975">
        <v>8814.7800000000007</v>
      </c>
      <c r="D975">
        <v>8524</v>
      </c>
      <c r="E975">
        <v>8725.98</v>
      </c>
      <c r="F975">
        <v>27835.133265</v>
      </c>
      <c r="G975">
        <v>2.12</v>
      </c>
      <c r="L975" t="s">
        <v>8</v>
      </c>
      <c r="M975" t="s">
        <v>8</v>
      </c>
      <c r="N975" t="s">
        <v>8</v>
      </c>
      <c r="P975">
        <f t="shared" si="1020"/>
        <v>0.38922897035558918</v>
      </c>
      <c r="Q975">
        <f t="shared" si="1021"/>
        <v>10834.240260446559</v>
      </c>
      <c r="R975">
        <f t="shared" si="1022"/>
        <v>1026635.5697093683</v>
      </c>
      <c r="S975">
        <f t="shared" si="1023"/>
        <v>10.266355697093683</v>
      </c>
      <c r="T975">
        <f t="shared" si="1024"/>
        <v>1.0266355697093683E-2</v>
      </c>
    </row>
    <row r="976" spans="1:20" x14ac:dyDescent="0.25">
      <c r="A976" s="5">
        <v>43617</v>
      </c>
      <c r="B976">
        <v>8555</v>
      </c>
      <c r="C976">
        <v>8626</v>
      </c>
      <c r="D976">
        <v>8442.36</v>
      </c>
      <c r="E976">
        <v>8544.07</v>
      </c>
      <c r="F976">
        <v>31868.234156999999</v>
      </c>
      <c r="G976">
        <v>-0.13</v>
      </c>
      <c r="L976" t="s">
        <v>7</v>
      </c>
      <c r="M976" t="s">
        <v>8</v>
      </c>
      <c r="N976" t="s">
        <v>8</v>
      </c>
      <c r="P976">
        <f t="shared" si="1020"/>
        <v>0.10771073840121378</v>
      </c>
      <c r="Q976">
        <f t="shared" si="1021"/>
        <v>3432.5510325932528</v>
      </c>
      <c r="R976">
        <f t="shared" si="1022"/>
        <v>1015801.3294489217</v>
      </c>
      <c r="S976">
        <f t="shared" si="1023"/>
        <v>10.158013294489217</v>
      </c>
      <c r="T976">
        <f t="shared" si="1024"/>
        <v>1.0158013294489218E-2</v>
      </c>
    </row>
    <row r="977" spans="1:20" x14ac:dyDescent="0.25">
      <c r="A977" s="5">
        <v>43616</v>
      </c>
      <c r="B977">
        <v>8267.1</v>
      </c>
      <c r="C977">
        <v>8594</v>
      </c>
      <c r="D977">
        <v>8108.5</v>
      </c>
      <c r="E977">
        <v>8555</v>
      </c>
      <c r="F977">
        <v>44727.491620000001</v>
      </c>
      <c r="G977">
        <v>3.48</v>
      </c>
      <c r="L977" t="s">
        <v>7</v>
      </c>
      <c r="M977" t="s">
        <v>8</v>
      </c>
      <c r="N977" t="s">
        <v>8</v>
      </c>
      <c r="P977">
        <f t="shared" si="1020"/>
        <v>0.83934088568486098</v>
      </c>
      <c r="Q977">
        <f t="shared" si="1021"/>
        <v>37541.612430793</v>
      </c>
      <c r="R977">
        <f t="shared" si="1022"/>
        <v>1012368.7784163285</v>
      </c>
      <c r="S977">
        <f t="shared" si="1023"/>
        <v>10.123687784163284</v>
      </c>
      <c r="T977">
        <f t="shared" si="1024"/>
        <v>1.0123687784163284E-2</v>
      </c>
    </row>
    <row r="978" spans="1:20" x14ac:dyDescent="0.25">
      <c r="A978" s="5">
        <v>43615</v>
      </c>
      <c r="B978">
        <v>8646.5</v>
      </c>
      <c r="C978">
        <v>9074.26</v>
      </c>
      <c r="D978">
        <v>8005</v>
      </c>
      <c r="E978">
        <v>8269.5400000000009</v>
      </c>
      <c r="F978">
        <v>70379.998521000001</v>
      </c>
      <c r="G978">
        <v>-4.3600000000000003</v>
      </c>
      <c r="L978" t="s">
        <v>8</v>
      </c>
      <c r="M978" t="s">
        <v>8</v>
      </c>
      <c r="N978" t="s">
        <v>8</v>
      </c>
      <c r="P978">
        <f t="shared" si="1020"/>
        <v>-0.50519050558329903</v>
      </c>
      <c r="Q978">
        <f t="shared" si="1021"/>
        <v>-35555.307035775826</v>
      </c>
      <c r="R978">
        <f t="shared" si="1022"/>
        <v>974827.16598553548</v>
      </c>
      <c r="S978">
        <f t="shared" si="1023"/>
        <v>9.7482716598553552</v>
      </c>
      <c r="T978">
        <f t="shared" si="1024"/>
        <v>9.7482716598553554E-3</v>
      </c>
    </row>
    <row r="979" spans="1:20" x14ac:dyDescent="0.25">
      <c r="A979" s="5">
        <v>43614</v>
      </c>
      <c r="B979">
        <v>8716.8700000000008</v>
      </c>
      <c r="C979">
        <v>8750</v>
      </c>
      <c r="D979">
        <v>8406.6</v>
      </c>
      <c r="E979">
        <v>8645.68</v>
      </c>
      <c r="F979">
        <v>33880.865921999997</v>
      </c>
      <c r="G979">
        <v>-0.82</v>
      </c>
      <c r="L979" t="s">
        <v>8</v>
      </c>
      <c r="M979" t="s">
        <v>8</v>
      </c>
      <c r="N979" t="s">
        <v>8</v>
      </c>
      <c r="P979">
        <f t="shared" si="1020"/>
        <v>0.39242865463016996</v>
      </c>
      <c r="Q979">
        <f t="shared" si="1021"/>
        <v>13295.822631475632</v>
      </c>
      <c r="R979">
        <f t="shared" si="1022"/>
        <v>1010382.4730213113</v>
      </c>
      <c r="S979">
        <f t="shared" si="1023"/>
        <v>10.103824730213113</v>
      </c>
      <c r="T979">
        <f t="shared" si="1024"/>
        <v>1.0103824730213113E-2</v>
      </c>
    </row>
    <row r="980" spans="1:20" x14ac:dyDescent="0.25">
      <c r="A980" s="5">
        <v>43613</v>
      </c>
      <c r="B980">
        <v>8752.52</v>
      </c>
      <c r="C980">
        <v>8798.49</v>
      </c>
      <c r="D980">
        <v>8510.6299999999992</v>
      </c>
      <c r="E980">
        <v>8715.64</v>
      </c>
      <c r="F980">
        <v>31470.551533999998</v>
      </c>
      <c r="G980">
        <v>-0.42</v>
      </c>
      <c r="L980" t="s">
        <v>8</v>
      </c>
      <c r="M980" t="s">
        <v>8</v>
      </c>
      <c r="N980" t="s">
        <v>8</v>
      </c>
      <c r="P980">
        <f t="shared" si="1020"/>
        <v>0.42437295907732792</v>
      </c>
      <c r="Q980">
        <f t="shared" si="1021"/>
        <v>13355.251078279121</v>
      </c>
      <c r="R980">
        <f t="shared" si="1022"/>
        <v>997086.6503898357</v>
      </c>
      <c r="S980">
        <f t="shared" si="1023"/>
        <v>9.9708665038983568</v>
      </c>
      <c r="T980">
        <f t="shared" si="1024"/>
        <v>9.9708665038983572E-3</v>
      </c>
    </row>
    <row r="981" spans="1:20" x14ac:dyDescent="0.25">
      <c r="A981" s="5">
        <v>43612</v>
      </c>
      <c r="B981">
        <v>8612.5400000000009</v>
      </c>
      <c r="C981">
        <v>8908.32</v>
      </c>
      <c r="D981">
        <v>8589</v>
      </c>
      <c r="E981">
        <v>8756.32</v>
      </c>
      <c r="F981">
        <v>51886.768793000003</v>
      </c>
      <c r="G981">
        <v>1.67</v>
      </c>
      <c r="L981" t="s">
        <v>8</v>
      </c>
      <c r="M981" t="s">
        <v>8</v>
      </c>
      <c r="N981" t="s">
        <v>8</v>
      </c>
      <c r="P981">
        <f t="shared" si="1020"/>
        <v>4.7976951020918583E-2</v>
      </c>
      <c r="Q981">
        <f t="shared" si="1021"/>
        <v>2489.3689650154879</v>
      </c>
      <c r="R981">
        <f t="shared" si="1022"/>
        <v>983731.3993115566</v>
      </c>
      <c r="S981">
        <f t="shared" si="1023"/>
        <v>9.8373139931155666</v>
      </c>
      <c r="T981">
        <f t="shared" si="1024"/>
        <v>9.8373139931155658E-3</v>
      </c>
    </row>
    <row r="982" spans="1:20" x14ac:dyDescent="0.25">
      <c r="A982" s="5">
        <v>43611</v>
      </c>
      <c r="B982">
        <v>8023</v>
      </c>
      <c r="C982">
        <v>8740</v>
      </c>
      <c r="D982">
        <v>7833.42</v>
      </c>
      <c r="E982">
        <v>8614.43</v>
      </c>
      <c r="F982">
        <v>49652.144567000003</v>
      </c>
      <c r="G982">
        <v>7.37</v>
      </c>
      <c r="L982" t="s">
        <v>8</v>
      </c>
      <c r="M982" t="s">
        <v>8</v>
      </c>
      <c r="N982" t="s">
        <v>8</v>
      </c>
      <c r="P982">
        <f t="shared" si="1020"/>
        <v>0.7229808731717009</v>
      </c>
      <c r="Q982">
        <f t="shared" si="1021"/>
        <v>35897.550833897185</v>
      </c>
      <c r="R982">
        <f t="shared" si="1022"/>
        <v>981242.03034654108</v>
      </c>
      <c r="S982">
        <f t="shared" si="1023"/>
        <v>9.8124203034654105</v>
      </c>
      <c r="T982">
        <f t="shared" si="1024"/>
        <v>9.8124203034654113E-3</v>
      </c>
    </row>
    <row r="983" spans="1:20" x14ac:dyDescent="0.25">
      <c r="A983" s="5">
        <v>43610</v>
      </c>
      <c r="B983">
        <v>7964.52</v>
      </c>
      <c r="C983">
        <v>8091.8</v>
      </c>
      <c r="D983">
        <v>7908.34</v>
      </c>
      <c r="E983">
        <v>8025.41</v>
      </c>
      <c r="F983">
        <v>28414.328817000001</v>
      </c>
      <c r="G983">
        <v>0.76</v>
      </c>
      <c r="L983" t="s">
        <v>8</v>
      </c>
      <c r="M983" t="s">
        <v>7</v>
      </c>
      <c r="N983" t="s">
        <v>8</v>
      </c>
      <c r="P983">
        <f t="shared" si="1020"/>
        <v>0.27624550310694085</v>
      </c>
      <c r="Q983">
        <f t="shared" si="1021"/>
        <v>7849.330559498213</v>
      </c>
      <c r="R983">
        <f t="shared" si="1022"/>
        <v>945344.47951264388</v>
      </c>
      <c r="S983">
        <f t="shared" si="1023"/>
        <v>9.4534447951264386</v>
      </c>
      <c r="T983">
        <f t="shared" si="1024"/>
        <v>9.4534447951264387E-3</v>
      </c>
    </row>
    <row r="984" spans="1:20" x14ac:dyDescent="0.25">
      <c r="A984" s="5">
        <v>43609</v>
      </c>
      <c r="B984">
        <v>7849.95</v>
      </c>
      <c r="C984">
        <v>8130</v>
      </c>
      <c r="D984">
        <v>7766</v>
      </c>
      <c r="E984">
        <v>7964.87</v>
      </c>
      <c r="F984">
        <v>46664.785324999997</v>
      </c>
      <c r="G984">
        <v>1.46</v>
      </c>
      <c r="L984" t="s">
        <v>8</v>
      </c>
      <c r="M984" t="s">
        <v>7</v>
      </c>
      <c r="N984" t="s">
        <v>8</v>
      </c>
      <c r="P984">
        <f t="shared" si="1020"/>
        <v>9.2692307692307088E-2</v>
      </c>
      <c r="Q984">
        <f t="shared" si="1021"/>
        <v>4325.4666397403562</v>
      </c>
      <c r="R984">
        <f t="shared" si="1022"/>
        <v>937495.14895314572</v>
      </c>
      <c r="S984">
        <f t="shared" si="1023"/>
        <v>9.3749514895314565</v>
      </c>
      <c r="T984">
        <f t="shared" si="1024"/>
        <v>9.3749514895314565E-3</v>
      </c>
    </row>
    <row r="985" spans="1:20" x14ac:dyDescent="0.25">
      <c r="A985" s="5">
        <v>43608</v>
      </c>
      <c r="B985">
        <v>7627.8</v>
      </c>
      <c r="C985">
        <v>7940.98</v>
      </c>
      <c r="D985">
        <v>7461</v>
      </c>
      <c r="E985">
        <v>7851.51</v>
      </c>
      <c r="F985">
        <v>49648.184700999998</v>
      </c>
      <c r="G985">
        <v>2.93</v>
      </c>
      <c r="L985" t="s">
        <v>7</v>
      </c>
      <c r="M985" t="s">
        <v>7</v>
      </c>
      <c r="N985" t="s">
        <v>8</v>
      </c>
      <c r="P985">
        <f t="shared" si="1020"/>
        <v>0.62719279969998987</v>
      </c>
      <c r="Q985">
        <f t="shared" si="1021"/>
        <v>31138.983962642393</v>
      </c>
      <c r="R985">
        <f t="shared" si="1022"/>
        <v>933169.68231340533</v>
      </c>
      <c r="S985">
        <f t="shared" si="1023"/>
        <v>9.3316968231340525</v>
      </c>
      <c r="T985">
        <f t="shared" si="1024"/>
        <v>9.3316968231340527E-3</v>
      </c>
    </row>
    <row r="986" spans="1:20" x14ac:dyDescent="0.25">
      <c r="A986" s="5">
        <v>43607</v>
      </c>
      <c r="B986">
        <v>7904.48</v>
      </c>
      <c r="C986">
        <v>8016</v>
      </c>
      <c r="D986">
        <v>7465</v>
      </c>
      <c r="E986">
        <v>7628.43</v>
      </c>
      <c r="F986">
        <v>49136.994589000002</v>
      </c>
      <c r="G986">
        <v>-3.49</v>
      </c>
      <c r="L986" t="s">
        <v>7</v>
      </c>
      <c r="M986" t="s">
        <v>7</v>
      </c>
      <c r="N986" t="s">
        <v>8</v>
      </c>
      <c r="P986">
        <f t="shared" si="1020"/>
        <v>-0.40678765880217682</v>
      </c>
      <c r="Q986">
        <f t="shared" si="1021"/>
        <v>-19988.322989434542</v>
      </c>
      <c r="R986">
        <f t="shared" si="1022"/>
        <v>902030.69835076295</v>
      </c>
      <c r="S986">
        <f t="shared" si="1023"/>
        <v>9.0203069835076288</v>
      </c>
      <c r="T986">
        <f t="shared" si="1024"/>
        <v>9.0203069835076283E-3</v>
      </c>
    </row>
    <row r="987" spans="1:20" x14ac:dyDescent="0.25">
      <c r="A987" s="5">
        <v>43606</v>
      </c>
      <c r="B987">
        <v>7937.16</v>
      </c>
      <c r="C987">
        <v>8042.32</v>
      </c>
      <c r="D987">
        <v>7771</v>
      </c>
      <c r="E987">
        <v>7904.87</v>
      </c>
      <c r="F987">
        <v>52301.752246999997</v>
      </c>
      <c r="G987">
        <v>-0.41</v>
      </c>
      <c r="L987" t="s">
        <v>8</v>
      </c>
      <c r="M987" t="s">
        <v>7</v>
      </c>
      <c r="N987" t="s">
        <v>8</v>
      </c>
      <c r="P987">
        <f t="shared" si="1020"/>
        <v>-1.3194751584844211E-2</v>
      </c>
      <c r="Q987">
        <f t="shared" si="1021"/>
        <v>-690.10862835123248</v>
      </c>
      <c r="R987">
        <f t="shared" si="1022"/>
        <v>922019.02134019753</v>
      </c>
      <c r="S987">
        <f t="shared" si="1023"/>
        <v>9.2201902134019758</v>
      </c>
      <c r="T987">
        <f t="shared" si="1024"/>
        <v>9.2201902134019763E-3</v>
      </c>
    </row>
    <row r="988" spans="1:20" x14ac:dyDescent="0.25">
      <c r="A988" s="5">
        <v>43605</v>
      </c>
      <c r="B988">
        <v>8147.94</v>
      </c>
      <c r="C988">
        <v>8156.03</v>
      </c>
      <c r="D988">
        <v>7553</v>
      </c>
      <c r="E988">
        <v>7938.15</v>
      </c>
      <c r="F988">
        <v>65859.208564</v>
      </c>
      <c r="G988">
        <v>-2.57</v>
      </c>
      <c r="L988" t="s">
        <v>7</v>
      </c>
      <c r="M988" t="s">
        <v>7</v>
      </c>
      <c r="N988" t="s">
        <v>8</v>
      </c>
      <c r="P988">
        <f t="shared" si="1020"/>
        <v>0.27738255144851764</v>
      </c>
      <c r="Q988">
        <f t="shared" si="1021"/>
        <v>18268.195307862385</v>
      </c>
      <c r="R988">
        <f t="shared" si="1022"/>
        <v>922709.12996854878</v>
      </c>
      <c r="S988">
        <f t="shared" si="1023"/>
        <v>9.2270912996854886</v>
      </c>
      <c r="T988">
        <f t="shared" si="1024"/>
        <v>9.227091299685488E-3</v>
      </c>
    </row>
    <row r="989" spans="1:20" x14ac:dyDescent="0.25">
      <c r="A989" s="5">
        <v>43604</v>
      </c>
      <c r="B989">
        <v>7257.32</v>
      </c>
      <c r="C989">
        <v>8275.09</v>
      </c>
      <c r="D989">
        <v>7243.08</v>
      </c>
      <c r="E989">
        <v>8148.48</v>
      </c>
      <c r="F989">
        <v>65577.442058000001</v>
      </c>
      <c r="G989">
        <v>12.28</v>
      </c>
      <c r="L989" t="s">
        <v>8</v>
      </c>
      <c r="M989" t="s">
        <v>7</v>
      </c>
      <c r="N989" t="s">
        <v>8</v>
      </c>
      <c r="P989">
        <f t="shared" si="1020"/>
        <v>0.75463416052169929</v>
      </c>
      <c r="Q989">
        <f t="shared" si="1021"/>
        <v>49486.977936599207</v>
      </c>
      <c r="R989">
        <f t="shared" si="1022"/>
        <v>904440.93466068641</v>
      </c>
      <c r="S989">
        <f t="shared" si="1023"/>
        <v>9.044409346606864</v>
      </c>
      <c r="T989">
        <f t="shared" si="1024"/>
        <v>9.0444093466068645E-3</v>
      </c>
    </row>
    <row r="990" spans="1:20" x14ac:dyDescent="0.25">
      <c r="A990" s="5">
        <v>43603</v>
      </c>
      <c r="B990">
        <v>7355.28</v>
      </c>
      <c r="C990">
        <v>7458</v>
      </c>
      <c r="D990">
        <v>7156.61</v>
      </c>
      <c r="E990">
        <v>7257.45</v>
      </c>
      <c r="F990">
        <v>37054.944778999998</v>
      </c>
      <c r="G990">
        <v>-1.33</v>
      </c>
      <c r="L990" t="s">
        <v>8</v>
      </c>
      <c r="M990" t="s">
        <v>7</v>
      </c>
      <c r="N990" t="s">
        <v>8</v>
      </c>
      <c r="P990">
        <f t="shared" si="1020"/>
        <v>-0.33083380337768314</v>
      </c>
      <c r="Q990">
        <f t="shared" si="1021"/>
        <v>-12259.028315186591</v>
      </c>
      <c r="R990">
        <f t="shared" si="1022"/>
        <v>854953.95672408724</v>
      </c>
      <c r="S990">
        <f t="shared" si="1023"/>
        <v>8.5495395672408723</v>
      </c>
      <c r="T990">
        <f t="shared" si="1024"/>
        <v>8.5495395672408724E-3</v>
      </c>
    </row>
    <row r="991" spans="1:20" x14ac:dyDescent="0.25">
      <c r="A991" s="5">
        <v>43602</v>
      </c>
      <c r="B991">
        <v>7868.67</v>
      </c>
      <c r="C991">
        <v>7925</v>
      </c>
      <c r="D991">
        <v>6913</v>
      </c>
      <c r="E991">
        <v>7355.26</v>
      </c>
      <c r="F991">
        <v>88752.008159000005</v>
      </c>
      <c r="G991">
        <v>-6.52</v>
      </c>
      <c r="L991" t="s">
        <v>7</v>
      </c>
      <c r="M991" t="s">
        <v>7</v>
      </c>
      <c r="N991" t="s">
        <v>8</v>
      </c>
      <c r="P991">
        <f t="shared" si="1020"/>
        <v>-0.12596837944663988</v>
      </c>
      <c r="Q991">
        <f t="shared" si="1021"/>
        <v>-11179.946640424192</v>
      </c>
      <c r="R991">
        <f t="shared" si="1022"/>
        <v>867212.98503927386</v>
      </c>
      <c r="S991">
        <f t="shared" si="1023"/>
        <v>8.6721298503927393</v>
      </c>
      <c r="T991">
        <f t="shared" si="1024"/>
        <v>8.6721298503927395E-3</v>
      </c>
    </row>
    <row r="992" spans="1:20" x14ac:dyDescent="0.25">
      <c r="A992" s="5">
        <v>43601</v>
      </c>
      <c r="B992">
        <v>8169.08</v>
      </c>
      <c r="C992">
        <v>8320</v>
      </c>
      <c r="D992">
        <v>7705</v>
      </c>
      <c r="E992">
        <v>7866.59</v>
      </c>
      <c r="F992">
        <v>69630.513995999994</v>
      </c>
      <c r="G992">
        <v>-3.7</v>
      </c>
      <c r="L992" t="s">
        <v>7</v>
      </c>
      <c r="M992" t="s">
        <v>8</v>
      </c>
      <c r="N992" t="s">
        <v>8</v>
      </c>
      <c r="P992">
        <f t="shared" si="1020"/>
        <v>-0.47450406504064996</v>
      </c>
      <c r="Q992">
        <f t="shared" si="1021"/>
        <v>-33039.961941971866</v>
      </c>
      <c r="R992">
        <f t="shared" si="1022"/>
        <v>878392.93167969806</v>
      </c>
      <c r="S992">
        <f t="shared" si="1023"/>
        <v>8.7839293167969803</v>
      </c>
      <c r="T992">
        <f t="shared" si="1024"/>
        <v>8.7839293167969804E-3</v>
      </c>
    </row>
    <row r="993" spans="1:20" x14ac:dyDescent="0.25">
      <c r="A993" s="5">
        <v>43600</v>
      </c>
      <c r="B993">
        <v>7945.26</v>
      </c>
      <c r="C993">
        <v>8249</v>
      </c>
      <c r="D993">
        <v>7850</v>
      </c>
      <c r="E993">
        <v>8169.87</v>
      </c>
      <c r="F993">
        <v>37884.327211000003</v>
      </c>
      <c r="G993">
        <v>2.83</v>
      </c>
      <c r="L993" t="s">
        <v>7</v>
      </c>
      <c r="M993" t="s">
        <v>8</v>
      </c>
      <c r="N993" t="s">
        <v>8</v>
      </c>
      <c r="P993">
        <f t="shared" si="1020"/>
        <v>0.60335839598997443</v>
      </c>
      <c r="Q993">
        <f t="shared" si="1021"/>
        <v>22857.826899188305</v>
      </c>
      <c r="R993">
        <f t="shared" si="1022"/>
        <v>911432.89362166997</v>
      </c>
      <c r="S993">
        <f t="shared" si="1023"/>
        <v>9.1143289362166993</v>
      </c>
      <c r="T993">
        <f t="shared" si="1024"/>
        <v>9.1143289362166993E-3</v>
      </c>
    </row>
    <row r="994" spans="1:20" x14ac:dyDescent="0.25">
      <c r="A994" s="5">
        <v>43599</v>
      </c>
      <c r="B994">
        <v>7795.62</v>
      </c>
      <c r="C994">
        <v>8366</v>
      </c>
      <c r="D994">
        <v>7599.56</v>
      </c>
      <c r="E994">
        <v>7947.56</v>
      </c>
      <c r="F994">
        <v>76583.722603000002</v>
      </c>
      <c r="G994">
        <v>1.95</v>
      </c>
      <c r="L994" t="s">
        <v>8</v>
      </c>
      <c r="M994" t="s">
        <v>8</v>
      </c>
      <c r="N994" t="s">
        <v>8</v>
      </c>
      <c r="P994">
        <f t="shared" si="1020"/>
        <v>-9.1905432910599175E-2</v>
      </c>
      <c r="Q994">
        <f t="shared" si="1021"/>
        <v>-7038.4601797339546</v>
      </c>
      <c r="R994">
        <f t="shared" si="1022"/>
        <v>888575.06672248163</v>
      </c>
      <c r="S994">
        <f t="shared" si="1023"/>
        <v>8.8857506672248157</v>
      </c>
      <c r="T994">
        <f t="shared" si="1024"/>
        <v>8.8857506672248149E-3</v>
      </c>
    </row>
    <row r="995" spans="1:20" x14ac:dyDescent="0.25">
      <c r="A995" s="5">
        <v>43598</v>
      </c>
      <c r="B995">
        <v>6968.24</v>
      </c>
      <c r="C995">
        <v>8100</v>
      </c>
      <c r="D995">
        <v>6870</v>
      </c>
      <c r="E995">
        <v>7790.71</v>
      </c>
      <c r="F995">
        <v>85804.735333000004</v>
      </c>
      <c r="G995">
        <v>11.8</v>
      </c>
      <c r="L995" t="s">
        <v>8</v>
      </c>
      <c r="M995" t="s">
        <v>8</v>
      </c>
      <c r="N995" t="s">
        <v>8</v>
      </c>
      <c r="P995">
        <f t="shared" si="1020"/>
        <v>0.49708943089430901</v>
      </c>
      <c r="Q995">
        <f t="shared" si="1021"/>
        <v>42652.627054717777</v>
      </c>
      <c r="R995">
        <f t="shared" si="1022"/>
        <v>895613.52690221556</v>
      </c>
      <c r="S995">
        <f t="shared" si="1023"/>
        <v>8.9561352690221554</v>
      </c>
      <c r="T995">
        <f t="shared" si="1024"/>
        <v>8.9561352690221557E-3</v>
      </c>
    </row>
    <row r="996" spans="1:20" x14ac:dyDescent="0.25">
      <c r="A996" s="5">
        <v>43597</v>
      </c>
      <c r="B996">
        <v>7076.24</v>
      </c>
      <c r="C996">
        <v>7521.78</v>
      </c>
      <c r="D996">
        <v>6750</v>
      </c>
      <c r="E996">
        <v>6967.31</v>
      </c>
      <c r="F996">
        <v>86948.975338999997</v>
      </c>
      <c r="G996">
        <v>-1.54</v>
      </c>
      <c r="L996" t="s">
        <v>8</v>
      </c>
      <c r="M996" t="s">
        <v>8</v>
      </c>
      <c r="N996" t="s">
        <v>8</v>
      </c>
      <c r="P996">
        <f t="shared" si="1020"/>
        <v>-0.43686024514757971</v>
      </c>
      <c r="Q996">
        <f t="shared" si="1021"/>
        <v>-37984.550681926397</v>
      </c>
      <c r="R996">
        <f t="shared" si="1022"/>
        <v>852960.89984749781</v>
      </c>
      <c r="S996">
        <f t="shared" si="1023"/>
        <v>8.5296089984749788</v>
      </c>
      <c r="T996">
        <f t="shared" si="1024"/>
        <v>8.5296089984749791E-3</v>
      </c>
    </row>
    <row r="997" spans="1:20" x14ac:dyDescent="0.25">
      <c r="A997" s="5">
        <v>43596</v>
      </c>
      <c r="B997">
        <v>6375.16</v>
      </c>
      <c r="C997">
        <v>7343.99</v>
      </c>
      <c r="D997">
        <v>6372.85</v>
      </c>
      <c r="E997">
        <v>7076.22</v>
      </c>
      <c r="F997">
        <v>74022.424392999994</v>
      </c>
      <c r="G997">
        <v>11</v>
      </c>
      <c r="L997" t="s">
        <v>8</v>
      </c>
      <c r="M997" t="s">
        <v>8</v>
      </c>
      <c r="N997" t="s">
        <v>8</v>
      </c>
      <c r="P997">
        <f t="shared" si="1020"/>
        <v>0.44854500895854421</v>
      </c>
      <c r="Q997">
        <f t="shared" si="1021"/>
        <v>33202.389012491345</v>
      </c>
      <c r="R997">
        <f t="shared" si="1022"/>
        <v>890945.45052942424</v>
      </c>
      <c r="S997">
        <f t="shared" si="1023"/>
        <v>8.9094545052942422</v>
      </c>
      <c r="T997">
        <f t="shared" si="1024"/>
        <v>8.9094545052942429E-3</v>
      </c>
    </row>
    <row r="998" spans="1:20" x14ac:dyDescent="0.25">
      <c r="A998" s="5">
        <v>43595</v>
      </c>
      <c r="B998">
        <v>6209.95</v>
      </c>
      <c r="C998">
        <v>6468.92</v>
      </c>
      <c r="D998">
        <v>6172</v>
      </c>
      <c r="E998">
        <v>6373.33</v>
      </c>
      <c r="F998">
        <v>36623.610789999999</v>
      </c>
      <c r="G998">
        <v>2.63</v>
      </c>
      <c r="L998" t="s">
        <v>8</v>
      </c>
      <c r="M998" t="s">
        <v>8</v>
      </c>
      <c r="N998" t="s">
        <v>8</v>
      </c>
      <c r="P998">
        <f t="shared" si="1020"/>
        <v>0.35612286137680099</v>
      </c>
      <c r="Q998">
        <f t="shared" si="1021"/>
        <v>13042.505068485083</v>
      </c>
      <c r="R998">
        <f t="shared" si="1022"/>
        <v>857743.06151693291</v>
      </c>
      <c r="S998">
        <f t="shared" si="1023"/>
        <v>8.5774306151693285</v>
      </c>
      <c r="T998">
        <f t="shared" si="1024"/>
        <v>8.5774306151693291E-3</v>
      </c>
    </row>
    <row r="999" spans="1:20" x14ac:dyDescent="0.25">
      <c r="A999" s="5">
        <v>43594</v>
      </c>
      <c r="B999">
        <v>5986.66</v>
      </c>
      <c r="C999">
        <v>6224.55</v>
      </c>
      <c r="D999">
        <v>5983.71</v>
      </c>
      <c r="E999">
        <v>6209.18</v>
      </c>
      <c r="F999">
        <v>27453.011436000001</v>
      </c>
      <c r="G999">
        <v>3.72</v>
      </c>
      <c r="L999" t="s">
        <v>8</v>
      </c>
      <c r="M999" t="s">
        <v>8</v>
      </c>
      <c r="N999" t="s">
        <v>8</v>
      </c>
      <c r="P999">
        <f t="shared" si="1020"/>
        <v>0.87236339478492042</v>
      </c>
      <c r="Q999">
        <f t="shared" si="1021"/>
        <v>23949.002253378203</v>
      </c>
      <c r="R999">
        <f t="shared" si="1022"/>
        <v>844700.55644844787</v>
      </c>
      <c r="S999">
        <f t="shared" si="1023"/>
        <v>8.4470055644844795</v>
      </c>
      <c r="T999">
        <f t="shared" si="1024"/>
        <v>8.4470055644844787E-3</v>
      </c>
    </row>
    <row r="1000" spans="1:20" x14ac:dyDescent="0.25">
      <c r="A1000" s="5">
        <v>43593</v>
      </c>
      <c r="B1000">
        <v>5846.34</v>
      </c>
      <c r="C1000">
        <v>6014.72</v>
      </c>
      <c r="D1000">
        <v>5772.2</v>
      </c>
      <c r="E1000">
        <v>5987.29</v>
      </c>
      <c r="F1000">
        <v>23074.051520000001</v>
      </c>
      <c r="G1000">
        <v>2.41</v>
      </c>
      <c r="L1000" t="s">
        <v>8</v>
      </c>
      <c r="M1000" t="s">
        <v>8</v>
      </c>
      <c r="N1000" t="s">
        <v>8</v>
      </c>
      <c r="P1000">
        <f t="shared" si="1020"/>
        <v>0.77379185221837177</v>
      </c>
      <c r="Q1000">
        <f t="shared" si="1021"/>
        <v>17854.513063842936</v>
      </c>
      <c r="R1000">
        <f t="shared" si="1022"/>
        <v>820751.55419506971</v>
      </c>
      <c r="S1000">
        <f t="shared" si="1023"/>
        <v>8.2075155419506967</v>
      </c>
      <c r="T1000">
        <f t="shared" si="1024"/>
        <v>8.2075155419506964E-3</v>
      </c>
    </row>
    <row r="1001" spans="1:20" x14ac:dyDescent="0.25">
      <c r="A1001" s="5">
        <v>43592</v>
      </c>
      <c r="B1001">
        <v>5749.92</v>
      </c>
      <c r="C1001">
        <v>6028.41</v>
      </c>
      <c r="D1001">
        <v>5747.74</v>
      </c>
      <c r="E1001">
        <v>5846.34</v>
      </c>
      <c r="F1001">
        <v>39905.064422000003</v>
      </c>
      <c r="G1001">
        <v>1.68</v>
      </c>
      <c r="L1001" t="s">
        <v>8</v>
      </c>
      <c r="M1001" t="s">
        <v>8</v>
      </c>
      <c r="N1001" t="s">
        <v>8</v>
      </c>
      <c r="P1001">
        <f t="shared" si="1020"/>
        <v>-0.29739551786795643</v>
      </c>
      <c r="Q1001">
        <f t="shared" si="1021"/>
        <v>-11867.587299334855</v>
      </c>
      <c r="R1001">
        <f t="shared" si="1022"/>
        <v>802897.04113122681</v>
      </c>
      <c r="S1001">
        <f t="shared" si="1023"/>
        <v>8.0289704113122689</v>
      </c>
      <c r="T1001">
        <f t="shared" si="1024"/>
        <v>8.0289704113122688E-3</v>
      </c>
    </row>
    <row r="1002" spans="1:20" x14ac:dyDescent="0.25">
      <c r="A1002" s="5">
        <v>43591</v>
      </c>
      <c r="B1002">
        <v>5773.18</v>
      </c>
      <c r="C1002">
        <v>5805</v>
      </c>
      <c r="D1002">
        <v>5619.14</v>
      </c>
      <c r="E1002">
        <v>5747.79</v>
      </c>
      <c r="F1002">
        <v>25256.596324999999</v>
      </c>
      <c r="G1002">
        <v>-0.44</v>
      </c>
      <c r="L1002" t="s">
        <v>8</v>
      </c>
      <c r="M1002" t="s">
        <v>8</v>
      </c>
      <c r="N1002" t="s">
        <v>8</v>
      </c>
      <c r="P1002">
        <f t="shared" si="1020"/>
        <v>0.38437533627461384</v>
      </c>
      <c r="Q1002">
        <f t="shared" si="1021"/>
        <v>9708.0127055740504</v>
      </c>
      <c r="R1002">
        <f t="shared" si="1022"/>
        <v>814764.62843056163</v>
      </c>
      <c r="S1002">
        <f t="shared" si="1023"/>
        <v>8.1476462843056154</v>
      </c>
      <c r="T1002">
        <f t="shared" si="1024"/>
        <v>8.1476462843056152E-3</v>
      </c>
    </row>
    <row r="1003" spans="1:20" x14ac:dyDescent="0.25">
      <c r="A1003" s="5">
        <v>43590</v>
      </c>
      <c r="B1003">
        <v>5829.83</v>
      </c>
      <c r="C1003">
        <v>5839.9</v>
      </c>
      <c r="D1003">
        <v>5696</v>
      </c>
      <c r="E1003">
        <v>5775.62</v>
      </c>
      <c r="F1003">
        <v>23822.543774999998</v>
      </c>
      <c r="G1003">
        <v>-0.93</v>
      </c>
      <c r="L1003" t="s">
        <v>8</v>
      </c>
      <c r="M1003" t="s">
        <v>8</v>
      </c>
      <c r="N1003" t="s">
        <v>8</v>
      </c>
      <c r="P1003">
        <f t="shared" si="1020"/>
        <v>0.10660180681028621</v>
      </c>
      <c r="Q1003">
        <f t="shared" si="1021"/>
        <v>2539.5262092321359</v>
      </c>
      <c r="R1003">
        <f t="shared" si="1022"/>
        <v>805056.61572498758</v>
      </c>
      <c r="S1003">
        <f t="shared" si="1023"/>
        <v>8.0505661572498752</v>
      </c>
      <c r="T1003">
        <f t="shared" si="1024"/>
        <v>8.0505661572498749E-3</v>
      </c>
    </row>
    <row r="1004" spans="1:20" x14ac:dyDescent="0.25">
      <c r="A1004" s="5">
        <v>43589</v>
      </c>
      <c r="B1004">
        <v>5770.62</v>
      </c>
      <c r="C1004">
        <v>5900</v>
      </c>
      <c r="D1004">
        <v>5587.45</v>
      </c>
      <c r="E1004">
        <v>5829.45</v>
      </c>
      <c r="F1004">
        <v>39682.408990999997</v>
      </c>
      <c r="G1004">
        <v>1.02</v>
      </c>
      <c r="L1004" t="s">
        <v>8</v>
      </c>
      <c r="M1004" t="s">
        <v>8</v>
      </c>
      <c r="N1004" t="s">
        <v>8</v>
      </c>
      <c r="P1004">
        <f t="shared" si="1020"/>
        <v>0.54855223164293621</v>
      </c>
      <c r="Q1004">
        <f t="shared" si="1021"/>
        <v>21767.874008980765</v>
      </c>
      <c r="R1004">
        <f t="shared" si="1022"/>
        <v>802517.08951575542</v>
      </c>
      <c r="S1004">
        <f t="shared" si="1023"/>
        <v>8.0251708951575544</v>
      </c>
      <c r="T1004">
        <f t="shared" si="1024"/>
        <v>8.0251708951575539E-3</v>
      </c>
    </row>
    <row r="1005" spans="1:20" x14ac:dyDescent="0.25">
      <c r="A1005" s="5">
        <v>43588</v>
      </c>
      <c r="B1005">
        <v>5494.81</v>
      </c>
      <c r="C1005">
        <v>5844</v>
      </c>
      <c r="D1005">
        <v>5477.57</v>
      </c>
      <c r="E1005">
        <v>5772.69</v>
      </c>
      <c r="F1005">
        <v>46297.172849000002</v>
      </c>
      <c r="G1005">
        <v>5.0599999999999996</v>
      </c>
      <c r="L1005" t="s">
        <v>8</v>
      </c>
      <c r="M1005" t="s">
        <v>8</v>
      </c>
      <c r="N1005" t="s">
        <v>8</v>
      </c>
      <c r="P1005">
        <f t="shared" si="1020"/>
        <v>0.6107851431378416</v>
      </c>
      <c r="Q1005">
        <f t="shared" si="1021"/>
        <v>28277.62534545386</v>
      </c>
      <c r="R1005">
        <f t="shared" si="1022"/>
        <v>780749.21550677461</v>
      </c>
      <c r="S1005">
        <f t="shared" si="1023"/>
        <v>7.8074921550677461</v>
      </c>
      <c r="T1005">
        <f t="shared" si="1024"/>
        <v>7.807492155067746E-3</v>
      </c>
    </row>
    <row r="1006" spans="1:20" x14ac:dyDescent="0.25">
      <c r="A1006" s="5">
        <v>43587</v>
      </c>
      <c r="B1006">
        <v>5383.2</v>
      </c>
      <c r="C1006">
        <v>5538</v>
      </c>
      <c r="D1006">
        <v>5370</v>
      </c>
      <c r="E1006">
        <v>5492.87</v>
      </c>
      <c r="F1006">
        <v>22795.787834999999</v>
      </c>
      <c r="G1006">
        <v>2.04</v>
      </c>
      <c r="L1006" t="s">
        <v>8</v>
      </c>
      <c r="M1006" t="s">
        <v>8</v>
      </c>
      <c r="N1006" t="s">
        <v>8</v>
      </c>
      <c r="P1006">
        <f t="shared" si="1020"/>
        <v>0.46273809523809395</v>
      </c>
      <c r="Q1006">
        <f t="shared" si="1021"/>
        <v>10548.479442219614</v>
      </c>
      <c r="R1006">
        <f t="shared" si="1022"/>
        <v>752471.59016132075</v>
      </c>
      <c r="S1006">
        <f t="shared" si="1023"/>
        <v>7.5247159016132077</v>
      </c>
      <c r="T1006">
        <f t="shared" si="1024"/>
        <v>7.5247159016132081E-3</v>
      </c>
    </row>
    <row r="1007" spans="1:20" x14ac:dyDescent="0.25">
      <c r="A1007" s="5">
        <v>43586</v>
      </c>
      <c r="B1007">
        <v>5321.94</v>
      </c>
      <c r="C1007">
        <v>5402</v>
      </c>
      <c r="D1007">
        <v>5316.2</v>
      </c>
      <c r="E1007">
        <v>5383.2</v>
      </c>
      <c r="F1007">
        <v>17217.473215999999</v>
      </c>
      <c r="G1007">
        <v>1.1499999999999999</v>
      </c>
      <c r="L1007" t="s">
        <v>7</v>
      </c>
      <c r="M1007" t="s">
        <v>8</v>
      </c>
      <c r="N1007" t="s">
        <v>8</v>
      </c>
      <c r="P1007">
        <f t="shared" si="1020"/>
        <v>0.56177156177155851</v>
      </c>
      <c r="Q1007">
        <f t="shared" si="1021"/>
        <v>9672.2868183122973</v>
      </c>
      <c r="R1007">
        <f t="shared" si="1022"/>
        <v>741923.11071910115</v>
      </c>
      <c r="S1007">
        <f t="shared" si="1023"/>
        <v>7.4192311071910115</v>
      </c>
      <c r="T1007">
        <f t="shared" si="1024"/>
        <v>7.4192311071910114E-3</v>
      </c>
    </row>
    <row r="1008" spans="1:20" x14ac:dyDescent="0.25">
      <c r="A1008" s="5">
        <v>43585</v>
      </c>
      <c r="B1008">
        <v>5238.1400000000003</v>
      </c>
      <c r="C1008">
        <v>5339.98</v>
      </c>
      <c r="D1008">
        <v>5192.1499999999996</v>
      </c>
      <c r="E1008">
        <v>5320.81</v>
      </c>
      <c r="F1008">
        <v>22238.068230000001</v>
      </c>
      <c r="G1008">
        <v>1.58</v>
      </c>
      <c r="L1008" t="s">
        <v>7</v>
      </c>
      <c r="M1008" t="s">
        <v>8</v>
      </c>
      <c r="N1008" t="s">
        <v>8</v>
      </c>
      <c r="P1008">
        <f t="shared" si="1020"/>
        <v>0.74064804166949638</v>
      </c>
      <c r="Q1008">
        <f t="shared" si="1021"/>
        <v>16470.581685062145</v>
      </c>
      <c r="R1008">
        <f t="shared" si="1022"/>
        <v>732250.82390078891</v>
      </c>
      <c r="S1008">
        <f t="shared" si="1023"/>
        <v>7.3225082390078891</v>
      </c>
      <c r="T1008">
        <f t="shared" si="1024"/>
        <v>7.3225082390078891E-3</v>
      </c>
    </row>
    <row r="1009" spans="1:20" x14ac:dyDescent="0.25">
      <c r="A1009" s="5">
        <v>43584</v>
      </c>
      <c r="B1009">
        <v>5309.81</v>
      </c>
      <c r="C1009">
        <v>5332</v>
      </c>
      <c r="D1009">
        <v>5178.8</v>
      </c>
      <c r="E1009">
        <v>5238.1400000000003</v>
      </c>
      <c r="F1009">
        <v>19918.135079</v>
      </c>
      <c r="G1009">
        <v>-1.35</v>
      </c>
      <c r="L1009" t="s">
        <v>7</v>
      </c>
      <c r="M1009" t="s">
        <v>8</v>
      </c>
      <c r="N1009" t="s">
        <v>8</v>
      </c>
      <c r="P1009">
        <f t="shared" si="1020"/>
        <v>-0.22532637075717735</v>
      </c>
      <c r="Q1009">
        <f t="shared" si="1021"/>
        <v>-4488.081089602294</v>
      </c>
      <c r="R1009">
        <f t="shared" si="1022"/>
        <v>715780.24221572676</v>
      </c>
      <c r="S1009">
        <f t="shared" si="1023"/>
        <v>7.1578024221572676</v>
      </c>
      <c r="T1009">
        <f t="shared" si="1024"/>
        <v>7.1578024221572679E-3</v>
      </c>
    </row>
    <row r="1010" spans="1:20" x14ac:dyDescent="0.25">
      <c r="A1010" s="5">
        <v>43583</v>
      </c>
      <c r="B1010">
        <v>5295.69</v>
      </c>
      <c r="C1010">
        <v>5340</v>
      </c>
      <c r="D1010">
        <v>5259.48</v>
      </c>
      <c r="E1010">
        <v>5307.52</v>
      </c>
      <c r="F1010">
        <v>14371.433869</v>
      </c>
      <c r="G1010">
        <v>0.22</v>
      </c>
      <c r="L1010" t="s">
        <v>8</v>
      </c>
      <c r="M1010" t="s">
        <v>8</v>
      </c>
      <c r="N1010" t="s">
        <v>8</v>
      </c>
      <c r="P1010">
        <f t="shared" si="1020"/>
        <v>0.19324391455540518</v>
      </c>
      <c r="Q1010">
        <f t="shared" si="1021"/>
        <v>2777.1921386196923</v>
      </c>
      <c r="R1010">
        <f t="shared" si="1022"/>
        <v>720268.32330532908</v>
      </c>
      <c r="S1010">
        <f t="shared" si="1023"/>
        <v>7.2026832330532908</v>
      </c>
      <c r="T1010">
        <f t="shared" si="1024"/>
        <v>7.2026832330532907E-3</v>
      </c>
    </row>
    <row r="1011" spans="1:20" x14ac:dyDescent="0.25">
      <c r="A1011" s="5">
        <v>43582</v>
      </c>
      <c r="B1011">
        <v>5315</v>
      </c>
      <c r="C1011">
        <v>5342.5</v>
      </c>
      <c r="D1011">
        <v>5257.67</v>
      </c>
      <c r="E1011">
        <v>5295.69</v>
      </c>
      <c r="F1011">
        <v>15422.896935000001</v>
      </c>
      <c r="G1011">
        <v>-0.36</v>
      </c>
      <c r="L1011" t="s">
        <v>8</v>
      </c>
      <c r="M1011" t="s">
        <v>8</v>
      </c>
      <c r="N1011" t="s">
        <v>8</v>
      </c>
      <c r="P1011">
        <f t="shared" si="1020"/>
        <v>-0.10361900271131534</v>
      </c>
      <c r="Q1011">
        <f t="shared" si="1021"/>
        <v>-1598.1051993241022</v>
      </c>
      <c r="R1011">
        <f t="shared" si="1022"/>
        <v>717491.13116670935</v>
      </c>
      <c r="S1011">
        <f t="shared" si="1023"/>
        <v>7.1749113116670937</v>
      </c>
      <c r="T1011">
        <f t="shared" si="1024"/>
        <v>7.174911311667094E-3</v>
      </c>
    </row>
    <row r="1012" spans="1:20" x14ac:dyDescent="0.25">
      <c r="A1012" s="5">
        <v>43581</v>
      </c>
      <c r="B1012">
        <v>5220.47</v>
      </c>
      <c r="C1012">
        <v>5510</v>
      </c>
      <c r="D1012">
        <v>5161.62</v>
      </c>
      <c r="E1012">
        <v>5314.1</v>
      </c>
      <c r="F1012">
        <v>48912.294513000001</v>
      </c>
      <c r="G1012">
        <v>1.79</v>
      </c>
      <c r="L1012" t="s">
        <v>8</v>
      </c>
      <c r="M1012" t="s">
        <v>8</v>
      </c>
      <c r="N1012" t="s">
        <v>8</v>
      </c>
      <c r="P1012">
        <f t="shared" si="1020"/>
        <v>-0.12463402032263377</v>
      </c>
      <c r="Q1012">
        <f t="shared" si="1021"/>
        <v>-6096.13590835989</v>
      </c>
      <c r="R1012">
        <f t="shared" si="1022"/>
        <v>719089.23636603344</v>
      </c>
      <c r="S1012">
        <f t="shared" si="1023"/>
        <v>7.1908923636603346</v>
      </c>
      <c r="T1012">
        <f t="shared" si="1024"/>
        <v>7.1908923636603344E-3</v>
      </c>
    </row>
    <row r="1013" spans="1:20" x14ac:dyDescent="0.25">
      <c r="A1013" s="5">
        <v>43580</v>
      </c>
      <c r="B1013">
        <v>5415</v>
      </c>
      <c r="C1013">
        <v>5491.84</v>
      </c>
      <c r="D1013">
        <v>5102</v>
      </c>
      <c r="E1013">
        <v>5219.8999999999996</v>
      </c>
      <c r="F1013">
        <v>49636.089948000001</v>
      </c>
      <c r="G1013">
        <v>-3.6</v>
      </c>
      <c r="L1013" t="s">
        <v>7</v>
      </c>
      <c r="M1013" t="s">
        <v>8</v>
      </c>
      <c r="N1013" t="s">
        <v>8</v>
      </c>
      <c r="P1013">
        <f t="shared" si="1020"/>
        <v>-0.39513646624256316</v>
      </c>
      <c r="Q1013">
        <f t="shared" si="1021"/>
        <v>-19613.02918015073</v>
      </c>
      <c r="R1013">
        <f t="shared" si="1022"/>
        <v>725185.37227439333</v>
      </c>
      <c r="S1013">
        <f t="shared" si="1023"/>
        <v>7.2518537227439337</v>
      </c>
      <c r="T1013">
        <f t="shared" si="1024"/>
        <v>7.2518537227439341E-3</v>
      </c>
    </row>
    <row r="1014" spans="1:20" x14ac:dyDescent="0.25">
      <c r="A1014" s="5">
        <v>43579</v>
      </c>
      <c r="B1014">
        <v>5490.91</v>
      </c>
      <c r="C1014">
        <v>5582.2</v>
      </c>
      <c r="D1014">
        <v>5333.35</v>
      </c>
      <c r="E1014">
        <v>5415</v>
      </c>
      <c r="F1014">
        <v>48224.152413000003</v>
      </c>
      <c r="G1014">
        <v>-1.38</v>
      </c>
      <c r="L1014" t="s">
        <v>8</v>
      </c>
      <c r="M1014" t="s">
        <v>8</v>
      </c>
      <c r="N1014" t="s">
        <v>8</v>
      </c>
      <c r="P1014">
        <f t="shared" si="1020"/>
        <v>-0.34378139441430727</v>
      </c>
      <c r="Q1014">
        <f t="shared" si="1021"/>
        <v>-16578.566360989222</v>
      </c>
      <c r="R1014">
        <f t="shared" si="1022"/>
        <v>744798.40145454404</v>
      </c>
      <c r="S1014">
        <f t="shared" si="1023"/>
        <v>7.4479840145454403</v>
      </c>
      <c r="T1014">
        <f t="shared" si="1024"/>
        <v>7.4479840145454407E-3</v>
      </c>
    </row>
    <row r="1015" spans="1:20" x14ac:dyDescent="0.25">
      <c r="A1015" s="5">
        <v>43578</v>
      </c>
      <c r="B1015">
        <v>5357.14</v>
      </c>
      <c r="C1015">
        <v>5600</v>
      </c>
      <c r="D1015">
        <v>5332.41</v>
      </c>
      <c r="E1015">
        <v>5493.31</v>
      </c>
      <c r="F1015">
        <v>41262.103917</v>
      </c>
      <c r="G1015">
        <v>2.54</v>
      </c>
      <c r="L1015" t="s">
        <v>8</v>
      </c>
      <c r="M1015" t="s">
        <v>8</v>
      </c>
      <c r="N1015" t="s">
        <v>8</v>
      </c>
      <c r="P1015">
        <f t="shared" si="1020"/>
        <v>0.20258604581636427</v>
      </c>
      <c r="Q1015">
        <f t="shared" si="1021"/>
        <v>8359.1264746089455</v>
      </c>
      <c r="R1015">
        <f t="shared" si="1022"/>
        <v>761376.96781553328</v>
      </c>
      <c r="S1015">
        <f t="shared" si="1023"/>
        <v>7.6137696781553332</v>
      </c>
      <c r="T1015">
        <f t="shared" si="1024"/>
        <v>7.6137696781553334E-3</v>
      </c>
    </row>
    <row r="1016" spans="1:20" x14ac:dyDescent="0.25">
      <c r="A1016" s="5">
        <v>43577</v>
      </c>
      <c r="B1016">
        <v>5257.41</v>
      </c>
      <c r="C1016">
        <v>5400</v>
      </c>
      <c r="D1016">
        <v>5208.3500000000004</v>
      </c>
      <c r="E1016">
        <v>5357.14</v>
      </c>
      <c r="F1016">
        <v>29563.852309000002</v>
      </c>
      <c r="G1016">
        <v>1.9</v>
      </c>
      <c r="L1016" t="s">
        <v>8</v>
      </c>
      <c r="M1016" t="s">
        <v>8</v>
      </c>
      <c r="N1016" t="s">
        <v>8</v>
      </c>
      <c r="P1016">
        <f t="shared" si="1020"/>
        <v>0.55272632402817889</v>
      </c>
      <c r="Q1016">
        <f t="shared" si="1021"/>
        <v>16340.71941086556</v>
      </c>
      <c r="R1016">
        <f t="shared" si="1022"/>
        <v>753017.84134092438</v>
      </c>
      <c r="S1016">
        <f t="shared" si="1023"/>
        <v>7.530178413409244</v>
      </c>
      <c r="T1016">
        <f t="shared" si="1024"/>
        <v>7.5301784134092437E-3</v>
      </c>
    </row>
    <row r="1017" spans="1:20" x14ac:dyDescent="0.25">
      <c r="A1017" s="5">
        <v>43576</v>
      </c>
      <c r="B1017">
        <v>5292.91</v>
      </c>
      <c r="C1017">
        <v>5314.35</v>
      </c>
      <c r="D1017">
        <v>5165</v>
      </c>
      <c r="E1017">
        <v>5256.14</v>
      </c>
      <c r="F1017">
        <v>25549.570939000001</v>
      </c>
      <c r="G1017">
        <v>-0.69</v>
      </c>
      <c r="L1017" t="s">
        <v>8</v>
      </c>
      <c r="M1017" t="s">
        <v>8</v>
      </c>
      <c r="N1017" t="s">
        <v>8</v>
      </c>
      <c r="P1017">
        <f t="shared" si="1020"/>
        <v>0.22048878473384809</v>
      </c>
      <c r="Q1017">
        <f t="shared" si="1021"/>
        <v>5633.393846811352</v>
      </c>
      <c r="R1017">
        <f t="shared" si="1022"/>
        <v>736677.12193005881</v>
      </c>
      <c r="S1017">
        <f t="shared" si="1023"/>
        <v>7.3667712193005883</v>
      </c>
      <c r="T1017">
        <f t="shared" si="1024"/>
        <v>7.3667712193005884E-3</v>
      </c>
    </row>
    <row r="1018" spans="1:20" x14ac:dyDescent="0.25">
      <c r="A1018" s="5">
        <v>43575</v>
      </c>
      <c r="B1018">
        <v>5258.68</v>
      </c>
      <c r="C1018">
        <v>5333.42</v>
      </c>
      <c r="D1018">
        <v>5230.1000000000004</v>
      </c>
      <c r="E1018">
        <v>5291.73</v>
      </c>
      <c r="F1018">
        <v>19168.908274000001</v>
      </c>
      <c r="G1018">
        <v>0.63</v>
      </c>
      <c r="L1018" t="s">
        <v>8</v>
      </c>
      <c r="M1018" t="s">
        <v>8</v>
      </c>
      <c r="N1018" t="s">
        <v>8</v>
      </c>
      <c r="P1018">
        <f t="shared" si="1020"/>
        <v>0.19299264421214427</v>
      </c>
      <c r="Q1018">
        <f t="shared" si="1021"/>
        <v>3699.4582944593108</v>
      </c>
      <c r="R1018">
        <f t="shared" si="1022"/>
        <v>731043.72808324744</v>
      </c>
      <c r="S1018">
        <f t="shared" si="1023"/>
        <v>7.310437280832474</v>
      </c>
      <c r="T1018">
        <f t="shared" si="1024"/>
        <v>7.310437280832474E-3</v>
      </c>
    </row>
    <row r="1019" spans="1:20" x14ac:dyDescent="0.25">
      <c r="A1019" s="5">
        <v>43574</v>
      </c>
      <c r="B1019">
        <v>5258.44</v>
      </c>
      <c r="C1019">
        <v>5320</v>
      </c>
      <c r="D1019">
        <v>5175</v>
      </c>
      <c r="E1019">
        <v>5258.68</v>
      </c>
      <c r="F1019">
        <v>24611.236323000001</v>
      </c>
      <c r="G1019">
        <v>0</v>
      </c>
      <c r="L1019" t="s">
        <v>8</v>
      </c>
      <c r="M1019" t="s">
        <v>8</v>
      </c>
      <c r="N1019" t="s">
        <v>8</v>
      </c>
      <c r="P1019">
        <f t="shared" si="1020"/>
        <v>0.15420689655172815</v>
      </c>
      <c r="Q1019">
        <f t="shared" si="1021"/>
        <v>3795.2223736709952</v>
      </c>
      <c r="R1019">
        <f t="shared" si="1022"/>
        <v>727344.26978878817</v>
      </c>
      <c r="S1019">
        <f t="shared" si="1023"/>
        <v>7.2734426978878819</v>
      </c>
      <c r="T1019">
        <f t="shared" si="1024"/>
        <v>7.2734426978878818E-3</v>
      </c>
    </row>
    <row r="1020" spans="1:20" x14ac:dyDescent="0.25">
      <c r="A1020" s="5">
        <v>43573</v>
      </c>
      <c r="B1020">
        <v>5202.41</v>
      </c>
      <c r="C1020">
        <v>5287</v>
      </c>
      <c r="D1020">
        <v>5198.8</v>
      </c>
      <c r="E1020">
        <v>5258.44</v>
      </c>
      <c r="F1020">
        <v>22619.239001000002</v>
      </c>
      <c r="G1020">
        <v>1.08</v>
      </c>
      <c r="L1020" t="s">
        <v>8</v>
      </c>
      <c r="M1020" t="s">
        <v>8</v>
      </c>
      <c r="N1020" t="s">
        <v>8</v>
      </c>
      <c r="P1020">
        <f t="shared" si="1020"/>
        <v>0.35238095238094197</v>
      </c>
      <c r="Q1020">
        <f t="shared" si="1021"/>
        <v>7970.5889813045269</v>
      </c>
      <c r="R1020">
        <f t="shared" si="1022"/>
        <v>723549.04741511715</v>
      </c>
      <c r="S1020">
        <f t="shared" si="1023"/>
        <v>7.2354904741511712</v>
      </c>
      <c r="T1020">
        <f t="shared" si="1024"/>
        <v>7.2354904741511713E-3</v>
      </c>
    </row>
    <row r="1021" spans="1:20" x14ac:dyDescent="0.25">
      <c r="A1021" s="5">
        <v>43572</v>
      </c>
      <c r="B1021">
        <v>5173.72</v>
      </c>
      <c r="C1021">
        <v>5230.3999999999996</v>
      </c>
      <c r="D1021">
        <v>5146.8</v>
      </c>
      <c r="E1021">
        <v>5202.82</v>
      </c>
      <c r="F1021">
        <v>23307.536134000002</v>
      </c>
      <c r="G1021">
        <v>0.56000000000000005</v>
      </c>
      <c r="L1021" t="s">
        <v>8</v>
      </c>
      <c r="M1021" t="s">
        <v>8</v>
      </c>
      <c r="N1021" t="s">
        <v>8</v>
      </c>
      <c r="P1021">
        <f t="shared" si="1020"/>
        <v>0.34019138755980605</v>
      </c>
      <c r="Q1021">
        <f t="shared" si="1021"/>
        <v>7929.0230580257785</v>
      </c>
      <c r="R1021">
        <f t="shared" si="1022"/>
        <v>715578.4584338126</v>
      </c>
      <c r="S1021">
        <f t="shared" si="1023"/>
        <v>7.155784584338126</v>
      </c>
      <c r="T1021">
        <f t="shared" si="1024"/>
        <v>7.1557845843381257E-3</v>
      </c>
    </row>
    <row r="1022" spans="1:20" x14ac:dyDescent="0.25">
      <c r="A1022" s="5">
        <v>43571</v>
      </c>
      <c r="B1022">
        <v>5024.95</v>
      </c>
      <c r="C1022">
        <v>5197.72</v>
      </c>
      <c r="D1022">
        <v>5003.9399999999996</v>
      </c>
      <c r="E1022">
        <v>5173.72</v>
      </c>
      <c r="F1022">
        <v>24242.229492999999</v>
      </c>
      <c r="G1022">
        <v>2.96</v>
      </c>
      <c r="L1022" t="s">
        <v>8</v>
      </c>
      <c r="M1022" t="s">
        <v>8</v>
      </c>
      <c r="N1022" t="s">
        <v>8</v>
      </c>
      <c r="P1022">
        <f t="shared" si="1020"/>
        <v>0.75229641861905339</v>
      </c>
      <c r="Q1022">
        <f t="shared" si="1021"/>
        <v>18237.34242692509</v>
      </c>
      <c r="R1022">
        <f t="shared" si="1022"/>
        <v>707649.43537578685</v>
      </c>
      <c r="S1022">
        <f t="shared" si="1023"/>
        <v>7.0764943537578686</v>
      </c>
      <c r="T1022">
        <f t="shared" si="1024"/>
        <v>7.0764943537578685E-3</v>
      </c>
    </row>
    <row r="1023" spans="1:20" x14ac:dyDescent="0.25">
      <c r="A1023" s="5">
        <v>43570</v>
      </c>
      <c r="B1023">
        <v>5131.28</v>
      </c>
      <c r="C1023">
        <v>5167.38</v>
      </c>
      <c r="D1023">
        <v>4950</v>
      </c>
      <c r="E1023">
        <v>5024.95</v>
      </c>
      <c r="F1023">
        <v>29057.191580999999</v>
      </c>
      <c r="G1023">
        <v>-2.0699999999999998</v>
      </c>
      <c r="L1023" t="s">
        <v>7</v>
      </c>
      <c r="M1023" t="s">
        <v>8</v>
      </c>
      <c r="N1023" t="s">
        <v>8</v>
      </c>
      <c r="P1023">
        <f t="shared" ref="P1023:P1086" si="1025">IF(C1023=D1023,0,((E1023-D1023)-(C1023-E1023))/(C1023-D1023))</f>
        <v>-0.31042414205538887</v>
      </c>
      <c r="Q1023">
        <f t="shared" ref="Q1023:Q1086" si="1026">F1023*P1023</f>
        <v>-9020.0537670709928</v>
      </c>
      <c r="R1023">
        <f t="shared" ref="R1023:R1086" si="1027">R1024+Q1023</f>
        <v>689412.09294886177</v>
      </c>
      <c r="S1023">
        <f t="shared" ref="S1023:S1086" si="1028">R1023/100000</f>
        <v>6.8941209294886177</v>
      </c>
      <c r="T1023">
        <f t="shared" ref="T1023:T1086" si="1029">S1023/1000</f>
        <v>6.8941209294886173E-3</v>
      </c>
    </row>
    <row r="1024" spans="1:20" x14ac:dyDescent="0.25">
      <c r="A1024" s="5">
        <v>43569</v>
      </c>
      <c r="B1024">
        <v>5047.45</v>
      </c>
      <c r="C1024">
        <v>5152.99</v>
      </c>
      <c r="D1024">
        <v>5000</v>
      </c>
      <c r="E1024">
        <v>5131.3</v>
      </c>
      <c r="F1024">
        <v>18281.607738999999</v>
      </c>
      <c r="G1024">
        <v>1.66</v>
      </c>
      <c r="L1024" t="s">
        <v>7</v>
      </c>
      <c r="M1024" t="s">
        <v>8</v>
      </c>
      <c r="N1024" t="s">
        <v>8</v>
      </c>
      <c r="P1024">
        <f t="shared" si="1025"/>
        <v>0.71645205568991921</v>
      </c>
      <c r="Q1024">
        <f t="shared" si="1026"/>
        <v>13097.895445923285</v>
      </c>
      <c r="R1024">
        <f t="shared" si="1027"/>
        <v>698432.14671593276</v>
      </c>
      <c r="S1024">
        <f t="shared" si="1028"/>
        <v>6.9843214671593277</v>
      </c>
      <c r="T1024">
        <f t="shared" si="1029"/>
        <v>6.9843214671593276E-3</v>
      </c>
    </row>
    <row r="1025" spans="1:20" x14ac:dyDescent="0.25">
      <c r="A1025" s="5">
        <v>43568</v>
      </c>
      <c r="B1025">
        <v>5047</v>
      </c>
      <c r="C1025">
        <v>5099</v>
      </c>
      <c r="D1025">
        <v>5004</v>
      </c>
      <c r="E1025">
        <v>5045.22</v>
      </c>
      <c r="F1025">
        <v>17292.456802000001</v>
      </c>
      <c r="G1025">
        <v>-0.04</v>
      </c>
      <c r="L1025" t="s">
        <v>7</v>
      </c>
      <c r="M1025" t="s">
        <v>8</v>
      </c>
      <c r="N1025" t="s">
        <v>8</v>
      </c>
      <c r="P1025">
        <f t="shared" si="1025"/>
        <v>-0.13221052631578412</v>
      </c>
      <c r="Q1025">
        <f t="shared" si="1026"/>
        <v>-2286.2448150853811</v>
      </c>
      <c r="R1025">
        <f t="shared" si="1027"/>
        <v>685334.25127000944</v>
      </c>
      <c r="S1025">
        <f t="shared" si="1028"/>
        <v>6.8533425127000944</v>
      </c>
      <c r="T1025">
        <f t="shared" si="1029"/>
        <v>6.8533425127000943E-3</v>
      </c>
    </row>
    <row r="1026" spans="1:20" x14ac:dyDescent="0.25">
      <c r="A1026" s="5">
        <v>43567</v>
      </c>
      <c r="B1026">
        <v>5017.37</v>
      </c>
      <c r="C1026">
        <v>5080.58</v>
      </c>
      <c r="D1026">
        <v>4861.22</v>
      </c>
      <c r="E1026">
        <v>5048.01</v>
      </c>
      <c r="F1026">
        <v>33276.678613999997</v>
      </c>
      <c r="G1026">
        <v>0.61</v>
      </c>
      <c r="L1026" t="s">
        <v>7</v>
      </c>
      <c r="M1026" t="s">
        <v>8</v>
      </c>
      <c r="N1026" t="s">
        <v>8</v>
      </c>
      <c r="P1026">
        <f t="shared" si="1025"/>
        <v>0.70304522246535595</v>
      </c>
      <c r="Q1026">
        <f t="shared" si="1026"/>
        <v>23395.009919087781</v>
      </c>
      <c r="R1026">
        <f t="shared" si="1027"/>
        <v>687620.49608509487</v>
      </c>
      <c r="S1026">
        <f t="shared" si="1028"/>
        <v>6.8762049608509486</v>
      </c>
      <c r="T1026">
        <f t="shared" si="1029"/>
        <v>6.8762049608509486E-3</v>
      </c>
    </row>
    <row r="1027" spans="1:20" x14ac:dyDescent="0.25">
      <c r="A1027" s="5">
        <v>43566</v>
      </c>
      <c r="B1027">
        <v>5307.86</v>
      </c>
      <c r="C1027">
        <v>5332.67</v>
      </c>
      <c r="D1027">
        <v>4927</v>
      </c>
      <c r="E1027">
        <v>5017.37</v>
      </c>
      <c r="F1027">
        <v>54696.600685999998</v>
      </c>
      <c r="G1027">
        <v>-5.47</v>
      </c>
      <c r="L1027" t="s">
        <v>7</v>
      </c>
      <c r="M1027" t="s">
        <v>8</v>
      </c>
      <c r="N1027" t="s">
        <v>8</v>
      </c>
      <c r="P1027">
        <f t="shared" si="1025"/>
        <v>-0.5544654522148551</v>
      </c>
      <c r="Q1027">
        <f t="shared" si="1026"/>
        <v>-30327.375433978345</v>
      </c>
      <c r="R1027">
        <f t="shared" si="1027"/>
        <v>664225.48616600712</v>
      </c>
      <c r="S1027">
        <f t="shared" si="1028"/>
        <v>6.6422548616600716</v>
      </c>
      <c r="T1027">
        <f t="shared" si="1029"/>
        <v>6.6422548616600716E-3</v>
      </c>
    </row>
    <row r="1028" spans="1:20" x14ac:dyDescent="0.25">
      <c r="A1028" s="5">
        <v>43565</v>
      </c>
      <c r="B1028">
        <v>5150</v>
      </c>
      <c r="C1028">
        <v>5422</v>
      </c>
      <c r="D1028">
        <v>5135</v>
      </c>
      <c r="E1028">
        <v>5308.25</v>
      </c>
      <c r="F1028">
        <v>40073.620471000002</v>
      </c>
      <c r="G1028">
        <v>3.07</v>
      </c>
      <c r="L1028" t="s">
        <v>8</v>
      </c>
      <c r="M1028" t="s">
        <v>8</v>
      </c>
      <c r="N1028" t="s">
        <v>8</v>
      </c>
      <c r="P1028">
        <f t="shared" si="1025"/>
        <v>0.2073170731707317</v>
      </c>
      <c r="Q1028">
        <f t="shared" si="1026"/>
        <v>8307.9457074024394</v>
      </c>
      <c r="R1028">
        <f t="shared" si="1027"/>
        <v>694552.86159998551</v>
      </c>
      <c r="S1028">
        <f t="shared" si="1028"/>
        <v>6.945528615999855</v>
      </c>
      <c r="T1028">
        <f t="shared" si="1029"/>
        <v>6.9455286159998547E-3</v>
      </c>
    </row>
    <row r="1029" spans="1:20" x14ac:dyDescent="0.25">
      <c r="A1029" s="5">
        <v>43564</v>
      </c>
      <c r="B1029">
        <v>5238.38</v>
      </c>
      <c r="C1029">
        <v>5238.3999999999996</v>
      </c>
      <c r="D1029">
        <v>5076.68</v>
      </c>
      <c r="E1029">
        <v>5150</v>
      </c>
      <c r="F1029">
        <v>34067.012310999999</v>
      </c>
      <c r="G1029">
        <v>-1.69</v>
      </c>
      <c r="L1029" t="s">
        <v>8</v>
      </c>
      <c r="M1029" t="s">
        <v>8</v>
      </c>
      <c r="N1029" t="s">
        <v>8</v>
      </c>
      <c r="P1029">
        <f t="shared" si="1025"/>
        <v>-9.3247588424437228E-2</v>
      </c>
      <c r="Q1029">
        <f t="shared" si="1026"/>
        <v>-3176.666742826364</v>
      </c>
      <c r="R1029">
        <f t="shared" si="1027"/>
        <v>686244.91589258309</v>
      </c>
      <c r="S1029">
        <f t="shared" si="1028"/>
        <v>6.8624491589258305</v>
      </c>
      <c r="T1029">
        <f t="shared" si="1029"/>
        <v>6.8624491589258305E-3</v>
      </c>
    </row>
    <row r="1030" spans="1:20" x14ac:dyDescent="0.25">
      <c r="A1030" s="5">
        <v>43563</v>
      </c>
      <c r="B1030">
        <v>5170.2700000000004</v>
      </c>
      <c r="C1030">
        <v>5305</v>
      </c>
      <c r="D1030">
        <v>5039</v>
      </c>
      <c r="E1030">
        <v>5236.8999999999996</v>
      </c>
      <c r="F1030">
        <v>50178.430782000003</v>
      </c>
      <c r="G1030">
        <v>1.29</v>
      </c>
      <c r="L1030" t="s">
        <v>8</v>
      </c>
      <c r="M1030" t="s">
        <v>8</v>
      </c>
      <c r="N1030" t="s">
        <v>8</v>
      </c>
      <c r="P1030">
        <f t="shared" si="1025"/>
        <v>0.48796992481202733</v>
      </c>
      <c r="Q1030">
        <f t="shared" si="1026"/>
        <v>24485.565095878061</v>
      </c>
      <c r="R1030">
        <f t="shared" si="1027"/>
        <v>689421.58263540943</v>
      </c>
      <c r="S1030">
        <f t="shared" si="1028"/>
        <v>6.8942158263540945</v>
      </c>
      <c r="T1030">
        <f t="shared" si="1029"/>
        <v>6.8942158263540941E-3</v>
      </c>
    </row>
    <row r="1031" spans="1:20" x14ac:dyDescent="0.25">
      <c r="A1031" s="5">
        <v>43562</v>
      </c>
      <c r="B1031">
        <v>5042.07</v>
      </c>
      <c r="C1031">
        <v>5234</v>
      </c>
      <c r="D1031">
        <v>5026</v>
      </c>
      <c r="E1031">
        <v>5170.2700000000004</v>
      </c>
      <c r="F1031">
        <v>37615.486804</v>
      </c>
      <c r="G1031">
        <v>2.54</v>
      </c>
      <c r="L1031" t="s">
        <v>8</v>
      </c>
      <c r="M1031" t="s">
        <v>8</v>
      </c>
      <c r="N1031" t="s">
        <v>8</v>
      </c>
      <c r="P1031">
        <f t="shared" si="1025"/>
        <v>0.38721153846154266</v>
      </c>
      <c r="Q1031">
        <f t="shared" si="1026"/>
        <v>14565.150515356696</v>
      </c>
      <c r="R1031">
        <f t="shared" si="1027"/>
        <v>664936.01753953134</v>
      </c>
      <c r="S1031">
        <f t="shared" si="1028"/>
        <v>6.6493601753953131</v>
      </c>
      <c r="T1031">
        <f t="shared" si="1029"/>
        <v>6.6493601753953128E-3</v>
      </c>
    </row>
    <row r="1032" spans="1:20" x14ac:dyDescent="0.25">
      <c r="A1032" s="5">
        <v>43561</v>
      </c>
      <c r="B1032">
        <v>5004.96</v>
      </c>
      <c r="C1032">
        <v>5205</v>
      </c>
      <c r="D1032">
        <v>4928.59</v>
      </c>
      <c r="E1032">
        <v>5043.8900000000003</v>
      </c>
      <c r="F1032">
        <v>41770.842313000001</v>
      </c>
      <c r="G1032">
        <v>0.78</v>
      </c>
      <c r="L1032" t="s">
        <v>8</v>
      </c>
      <c r="M1032" t="s">
        <v>8</v>
      </c>
      <c r="N1032" t="s">
        <v>8</v>
      </c>
      <c r="P1032">
        <f t="shared" si="1025"/>
        <v>-0.16573206468651466</v>
      </c>
      <c r="Q1032">
        <f t="shared" si="1026"/>
        <v>-6922.7679402283202</v>
      </c>
      <c r="R1032">
        <f t="shared" si="1027"/>
        <v>650370.86702417466</v>
      </c>
      <c r="S1032">
        <f t="shared" si="1028"/>
        <v>6.5037086702417461</v>
      </c>
      <c r="T1032">
        <f t="shared" si="1029"/>
        <v>6.5037086702417462E-3</v>
      </c>
    </row>
    <row r="1033" spans="1:20" x14ac:dyDescent="0.25">
      <c r="A1033" s="5">
        <v>43560</v>
      </c>
      <c r="B1033">
        <v>4898.6400000000003</v>
      </c>
      <c r="C1033">
        <v>5028.22</v>
      </c>
      <c r="D1033">
        <v>4880.62</v>
      </c>
      <c r="E1033">
        <v>5004.95</v>
      </c>
      <c r="F1033">
        <v>39768.552806</v>
      </c>
      <c r="G1033">
        <v>2.17</v>
      </c>
      <c r="L1033" t="s">
        <v>7</v>
      </c>
      <c r="M1033" t="s">
        <v>8</v>
      </c>
      <c r="N1033" t="s">
        <v>8</v>
      </c>
      <c r="P1033">
        <f t="shared" si="1025"/>
        <v>0.68468834688346369</v>
      </c>
      <c r="Q1033">
        <f t="shared" si="1026"/>
        <v>27229.064678687871</v>
      </c>
      <c r="R1033">
        <f t="shared" si="1027"/>
        <v>657293.634964403</v>
      </c>
      <c r="S1033">
        <f t="shared" si="1028"/>
        <v>6.5729363496440296</v>
      </c>
      <c r="T1033">
        <f t="shared" si="1029"/>
        <v>6.5729363496440296E-3</v>
      </c>
    </row>
    <row r="1034" spans="1:20" x14ac:dyDescent="0.25">
      <c r="A1034" s="5">
        <v>43559</v>
      </c>
      <c r="B1034">
        <v>4932.59</v>
      </c>
      <c r="C1034">
        <v>5039.08</v>
      </c>
      <c r="D1034">
        <v>4777</v>
      </c>
      <c r="E1034">
        <v>4898.66</v>
      </c>
      <c r="F1034">
        <v>61054.254167999999</v>
      </c>
      <c r="G1034">
        <v>-0.69</v>
      </c>
      <c r="L1034" t="s">
        <v>7</v>
      </c>
      <c r="M1034" t="s">
        <v>8</v>
      </c>
      <c r="N1034" t="s">
        <v>8</v>
      </c>
      <c r="P1034">
        <f t="shared" si="1025"/>
        <v>-7.1581196581197437E-2</v>
      </c>
      <c r="Q1034">
        <f t="shared" si="1026"/>
        <v>-4370.3365697180006</v>
      </c>
      <c r="R1034">
        <f t="shared" si="1027"/>
        <v>630064.57028571516</v>
      </c>
      <c r="S1034">
        <f t="shared" si="1028"/>
        <v>6.3006457028571514</v>
      </c>
      <c r="T1034">
        <f t="shared" si="1029"/>
        <v>6.3006457028571515E-3</v>
      </c>
    </row>
    <row r="1035" spans="1:20" x14ac:dyDescent="0.25">
      <c r="A1035" s="5">
        <v>43558</v>
      </c>
      <c r="B1035">
        <v>4857.1899999999996</v>
      </c>
      <c r="C1035">
        <v>5275.01</v>
      </c>
      <c r="D1035">
        <v>4753.5</v>
      </c>
      <c r="E1035">
        <v>4932.6000000000004</v>
      </c>
      <c r="F1035">
        <v>109890.125743</v>
      </c>
      <c r="G1035">
        <v>1.55</v>
      </c>
      <c r="L1035" t="s">
        <v>8</v>
      </c>
      <c r="M1035" t="s">
        <v>8</v>
      </c>
      <c r="N1035" t="s">
        <v>8</v>
      </c>
      <c r="P1035">
        <f t="shared" si="1025"/>
        <v>-0.31314835765373517</v>
      </c>
      <c r="Q1035">
        <f t="shared" si="1026"/>
        <v>-34411.912398782893</v>
      </c>
      <c r="R1035">
        <f t="shared" si="1027"/>
        <v>634434.90685543313</v>
      </c>
      <c r="S1035">
        <f t="shared" si="1028"/>
        <v>6.3443490685543313</v>
      </c>
      <c r="T1035">
        <f t="shared" si="1029"/>
        <v>6.3443490685543315E-3</v>
      </c>
    </row>
    <row r="1036" spans="1:20" x14ac:dyDescent="0.25">
      <c r="A1036" s="5">
        <v>43557</v>
      </c>
      <c r="B1036">
        <v>4144.54</v>
      </c>
      <c r="C1036">
        <v>4897.99</v>
      </c>
      <c r="D1036">
        <v>4140.54</v>
      </c>
      <c r="E1036">
        <v>4857.29</v>
      </c>
      <c r="F1036">
        <v>105383.639263</v>
      </c>
      <c r="G1036">
        <v>17.2</v>
      </c>
      <c r="L1036" t="s">
        <v>8</v>
      </c>
      <c r="M1036" t="s">
        <v>8</v>
      </c>
      <c r="N1036" t="s">
        <v>8</v>
      </c>
      <c r="P1036">
        <f t="shared" si="1025"/>
        <v>0.89253416067067182</v>
      </c>
      <c r="Q1036">
        <f t="shared" si="1026"/>
        <v>94058.498018022568</v>
      </c>
      <c r="R1036">
        <f t="shared" si="1027"/>
        <v>668846.81925421604</v>
      </c>
      <c r="S1036">
        <f t="shared" si="1028"/>
        <v>6.6884681925421603</v>
      </c>
      <c r="T1036">
        <f t="shared" si="1029"/>
        <v>6.6884681925421605E-3</v>
      </c>
    </row>
    <row r="1037" spans="1:20" x14ac:dyDescent="0.25">
      <c r="A1037" s="5">
        <v>43556</v>
      </c>
      <c r="B1037">
        <v>4102.4399999999996</v>
      </c>
      <c r="C1037">
        <v>4158.7</v>
      </c>
      <c r="D1037">
        <v>4067</v>
      </c>
      <c r="E1037">
        <v>4144.5600000000004</v>
      </c>
      <c r="F1037">
        <v>25507.067641000001</v>
      </c>
      <c r="G1037">
        <v>1.03</v>
      </c>
      <c r="L1037" t="s">
        <v>8</v>
      </c>
      <c r="M1037" t="s">
        <v>8</v>
      </c>
      <c r="N1037" t="s">
        <v>7</v>
      </c>
      <c r="P1037">
        <f t="shared" si="1025"/>
        <v>0.69160305343512662</v>
      </c>
      <c r="Q1037">
        <f t="shared" si="1026"/>
        <v>17640.765864691912</v>
      </c>
      <c r="R1037">
        <f t="shared" si="1027"/>
        <v>574788.32123619341</v>
      </c>
      <c r="S1037">
        <f t="shared" si="1028"/>
        <v>5.7478832123619341</v>
      </c>
      <c r="T1037">
        <f t="shared" si="1029"/>
        <v>5.7478832123619341E-3</v>
      </c>
    </row>
    <row r="1038" spans="1:20" x14ac:dyDescent="0.25">
      <c r="A1038" s="5">
        <v>43555</v>
      </c>
      <c r="B1038">
        <v>4106.99</v>
      </c>
      <c r="C1038">
        <v>4116.12</v>
      </c>
      <c r="D1038">
        <v>4082.57</v>
      </c>
      <c r="E1038">
        <v>4103.95</v>
      </c>
      <c r="F1038">
        <v>13525.087433000001</v>
      </c>
      <c r="G1038">
        <v>-7.0000000000000007E-2</v>
      </c>
      <c r="L1038" t="s">
        <v>8</v>
      </c>
      <c r="M1038" t="s">
        <v>8</v>
      </c>
      <c r="N1038" t="s">
        <v>7</v>
      </c>
      <c r="P1038">
        <f t="shared" si="1025"/>
        <v>0.27451564828612984</v>
      </c>
      <c r="Q1038">
        <f t="shared" si="1026"/>
        <v>3712.8481447965828</v>
      </c>
      <c r="R1038">
        <f t="shared" si="1027"/>
        <v>557147.55537150148</v>
      </c>
      <c r="S1038">
        <f t="shared" si="1028"/>
        <v>5.5714755537150147</v>
      </c>
      <c r="T1038">
        <f t="shared" si="1029"/>
        <v>5.571475553715015E-3</v>
      </c>
    </row>
    <row r="1039" spans="1:20" x14ac:dyDescent="0.25">
      <c r="A1039" s="5">
        <v>43554</v>
      </c>
      <c r="B1039">
        <v>4104.24</v>
      </c>
      <c r="C1039">
        <v>4140</v>
      </c>
      <c r="D1039">
        <v>4052</v>
      </c>
      <c r="E1039">
        <v>4106.97</v>
      </c>
      <c r="F1039">
        <v>19509.292601000001</v>
      </c>
      <c r="G1039">
        <v>7.0000000000000007E-2</v>
      </c>
      <c r="L1039" t="s">
        <v>8</v>
      </c>
      <c r="M1039" t="s">
        <v>8</v>
      </c>
      <c r="N1039" t="s">
        <v>7</v>
      </c>
      <c r="P1039">
        <f t="shared" si="1025"/>
        <v>0.2493181818181876</v>
      </c>
      <c r="Q1039">
        <f t="shared" si="1026"/>
        <v>4864.0213598403407</v>
      </c>
      <c r="R1039">
        <f t="shared" si="1027"/>
        <v>553434.70722670492</v>
      </c>
      <c r="S1039">
        <f t="shared" si="1028"/>
        <v>5.5343470722670496</v>
      </c>
      <c r="T1039">
        <f t="shared" si="1029"/>
        <v>5.5343470722670493E-3</v>
      </c>
    </row>
    <row r="1040" spans="1:20" x14ac:dyDescent="0.25">
      <c r="A1040" s="5">
        <v>43553</v>
      </c>
      <c r="B1040">
        <v>4028.22</v>
      </c>
      <c r="C1040">
        <v>4123.71</v>
      </c>
      <c r="D1040">
        <v>4024.03</v>
      </c>
      <c r="E1040">
        <v>4103.25</v>
      </c>
      <c r="F1040">
        <v>30084.217444000002</v>
      </c>
      <c r="G1040">
        <v>1.86</v>
      </c>
      <c r="L1040" t="s">
        <v>8</v>
      </c>
      <c r="M1040" t="s">
        <v>8</v>
      </c>
      <c r="N1040" t="s">
        <v>7</v>
      </c>
      <c r="P1040">
        <f t="shared" si="1025"/>
        <v>0.58948635634028757</v>
      </c>
      <c r="Q1040">
        <f t="shared" si="1026"/>
        <v>17734.23572441248</v>
      </c>
      <c r="R1040">
        <f t="shared" si="1027"/>
        <v>548570.68586686463</v>
      </c>
      <c r="S1040">
        <f t="shared" si="1028"/>
        <v>5.4857068586686459</v>
      </c>
      <c r="T1040">
        <f t="shared" si="1029"/>
        <v>5.4857068586686457E-3</v>
      </c>
    </row>
    <row r="1041" spans="1:20" x14ac:dyDescent="0.25">
      <c r="A1041" s="5">
        <v>43552</v>
      </c>
      <c r="B1041">
        <v>4039.58</v>
      </c>
      <c r="C1041">
        <v>4039.7</v>
      </c>
      <c r="D1041">
        <v>4002</v>
      </c>
      <c r="E1041">
        <v>4027.81</v>
      </c>
      <c r="F1041">
        <v>20089.293874999999</v>
      </c>
      <c r="G1041">
        <v>-0.28999999999999998</v>
      </c>
      <c r="L1041" t="s">
        <v>8</v>
      </c>
      <c r="M1041" t="s">
        <v>8</v>
      </c>
      <c r="N1041" t="s">
        <v>7</v>
      </c>
      <c r="P1041">
        <f t="shared" si="1025"/>
        <v>0.36923076923077292</v>
      </c>
      <c r="Q1041">
        <f t="shared" si="1026"/>
        <v>7417.5854307693044</v>
      </c>
      <c r="R1041">
        <f t="shared" si="1027"/>
        <v>530836.45014245214</v>
      </c>
      <c r="S1041">
        <f t="shared" si="1028"/>
        <v>5.3083645014245215</v>
      </c>
      <c r="T1041">
        <f t="shared" si="1029"/>
        <v>5.3083645014245211E-3</v>
      </c>
    </row>
    <row r="1042" spans="1:20" x14ac:dyDescent="0.25">
      <c r="A1042" s="5">
        <v>43551</v>
      </c>
      <c r="B1042">
        <v>3948.77</v>
      </c>
      <c r="C1042">
        <v>4048</v>
      </c>
      <c r="D1042">
        <v>3936.15</v>
      </c>
      <c r="E1042">
        <v>4038.05</v>
      </c>
      <c r="F1042">
        <v>32364.555852000001</v>
      </c>
      <c r="G1042">
        <v>2.2599999999999998</v>
      </c>
      <c r="L1042" t="s">
        <v>8</v>
      </c>
      <c r="M1042" t="s">
        <v>8</v>
      </c>
      <c r="N1042" t="s">
        <v>7</v>
      </c>
      <c r="P1042">
        <f t="shared" si="1025"/>
        <v>0.8220831470719745</v>
      </c>
      <c r="Q1042">
        <f t="shared" si="1026"/>
        <v>26606.355928398851</v>
      </c>
      <c r="R1042">
        <f t="shared" si="1027"/>
        <v>523418.86471168284</v>
      </c>
      <c r="S1042">
        <f t="shared" si="1028"/>
        <v>5.2341886471168282</v>
      </c>
      <c r="T1042">
        <f t="shared" si="1029"/>
        <v>5.2341886471168279E-3</v>
      </c>
    </row>
    <row r="1043" spans="1:20" x14ac:dyDescent="0.25">
      <c r="A1043" s="5">
        <v>43550</v>
      </c>
      <c r="B1043">
        <v>3935.47</v>
      </c>
      <c r="C1043">
        <v>3958.98</v>
      </c>
      <c r="D1043">
        <v>3894</v>
      </c>
      <c r="E1043">
        <v>3948.55</v>
      </c>
      <c r="F1043">
        <v>29349.537627000002</v>
      </c>
      <c r="G1043">
        <v>0.33</v>
      </c>
      <c r="L1043" t="s">
        <v>8</v>
      </c>
      <c r="M1043" t="s">
        <v>8</v>
      </c>
      <c r="N1043" t="s">
        <v>7</v>
      </c>
      <c r="P1043">
        <f t="shared" si="1025"/>
        <v>0.67897814712219662</v>
      </c>
      <c r="Q1043">
        <f t="shared" si="1026"/>
        <v>19927.694676873652</v>
      </c>
      <c r="R1043">
        <f t="shared" si="1027"/>
        <v>496812.50878328399</v>
      </c>
      <c r="S1043">
        <f t="shared" si="1028"/>
        <v>4.9681250878328402</v>
      </c>
      <c r="T1043">
        <f t="shared" si="1029"/>
        <v>4.9681250878328403E-3</v>
      </c>
    </row>
    <row r="1044" spans="1:20" x14ac:dyDescent="0.25">
      <c r="A1044" s="5">
        <v>43549</v>
      </c>
      <c r="B1044">
        <v>3991.35</v>
      </c>
      <c r="C1044">
        <v>3999.3</v>
      </c>
      <c r="D1044">
        <v>3888.71</v>
      </c>
      <c r="E1044">
        <v>3936.12</v>
      </c>
      <c r="F1044">
        <v>33192.890217</v>
      </c>
      <c r="G1044">
        <v>-1.38</v>
      </c>
      <c r="L1044" t="s">
        <v>8</v>
      </c>
      <c r="M1044" t="s">
        <v>8</v>
      </c>
      <c r="N1044" t="s">
        <v>7</v>
      </c>
      <c r="P1044">
        <f t="shared" si="1025"/>
        <v>-0.14259878831721146</v>
      </c>
      <c r="Q1044">
        <f t="shared" si="1026"/>
        <v>-4733.2659256904217</v>
      </c>
      <c r="R1044">
        <f t="shared" si="1027"/>
        <v>476884.81410641037</v>
      </c>
      <c r="S1044">
        <f t="shared" si="1028"/>
        <v>4.7688481410641037</v>
      </c>
      <c r="T1044">
        <f t="shared" si="1029"/>
        <v>4.768848141064104E-3</v>
      </c>
    </row>
    <row r="1045" spans="1:20" x14ac:dyDescent="0.25">
      <c r="A1045" s="5">
        <v>43548</v>
      </c>
      <c r="B1045">
        <v>4006.01</v>
      </c>
      <c r="C1045">
        <v>4006.02</v>
      </c>
      <c r="D1045">
        <v>3950</v>
      </c>
      <c r="E1045">
        <v>3992.18</v>
      </c>
      <c r="F1045">
        <v>17179.850648</v>
      </c>
      <c r="G1045">
        <v>-0.35</v>
      </c>
      <c r="L1045" t="s">
        <v>8</v>
      </c>
      <c r="M1045" t="s">
        <v>8</v>
      </c>
      <c r="N1045" t="s">
        <v>7</v>
      </c>
      <c r="P1045">
        <f t="shared" si="1025"/>
        <v>0.50589075330238664</v>
      </c>
      <c r="Q1045">
        <f t="shared" si="1026"/>
        <v>8691.1275859392154</v>
      </c>
      <c r="R1045">
        <f t="shared" si="1027"/>
        <v>481618.08003210078</v>
      </c>
      <c r="S1045">
        <f t="shared" si="1028"/>
        <v>4.8161808003210078</v>
      </c>
      <c r="T1045">
        <f t="shared" si="1029"/>
        <v>4.816180800321008E-3</v>
      </c>
    </row>
    <row r="1046" spans="1:20" x14ac:dyDescent="0.25">
      <c r="A1046" s="5">
        <v>43547</v>
      </c>
      <c r="B1046">
        <v>3987.89</v>
      </c>
      <c r="C1046">
        <v>4018.83</v>
      </c>
      <c r="D1046">
        <v>3978.01</v>
      </c>
      <c r="E1046">
        <v>4006.01</v>
      </c>
      <c r="F1046">
        <v>17302.604318000002</v>
      </c>
      <c r="G1046">
        <v>0.45</v>
      </c>
      <c r="L1046" t="s">
        <v>8</v>
      </c>
      <c r="M1046" t="s">
        <v>8</v>
      </c>
      <c r="N1046" t="s">
        <v>7</v>
      </c>
      <c r="P1046">
        <f t="shared" si="1025"/>
        <v>0.3718765311122097</v>
      </c>
      <c r="Q1046">
        <f t="shared" si="1026"/>
        <v>6434.4324729849814</v>
      </c>
      <c r="R1046">
        <f t="shared" si="1027"/>
        <v>472926.95244616159</v>
      </c>
      <c r="S1046">
        <f t="shared" si="1028"/>
        <v>4.7292695244616159</v>
      </c>
      <c r="T1046">
        <f t="shared" si="1029"/>
        <v>4.729269524461616E-3</v>
      </c>
    </row>
    <row r="1047" spans="1:20" x14ac:dyDescent="0.25">
      <c r="A1047" s="5">
        <v>43546</v>
      </c>
      <c r="B1047">
        <v>3980.85</v>
      </c>
      <c r="C1047">
        <v>4008</v>
      </c>
      <c r="D1047">
        <v>3968.25</v>
      </c>
      <c r="E1047">
        <v>3986.93</v>
      </c>
      <c r="F1047">
        <v>20022.606317999998</v>
      </c>
      <c r="G1047">
        <v>0.15</v>
      </c>
      <c r="L1047" t="s">
        <v>8</v>
      </c>
      <c r="M1047" t="s">
        <v>8</v>
      </c>
      <c r="N1047" t="s">
        <v>7</v>
      </c>
      <c r="P1047">
        <f t="shared" si="1025"/>
        <v>-6.0125786163530252E-2</v>
      </c>
      <c r="Q1047">
        <f t="shared" si="1026"/>
        <v>-1203.8749459126177</v>
      </c>
      <c r="R1047">
        <f t="shared" si="1027"/>
        <v>466492.51997317659</v>
      </c>
      <c r="S1047">
        <f t="shared" si="1028"/>
        <v>4.6649251997317656</v>
      </c>
      <c r="T1047">
        <f t="shared" si="1029"/>
        <v>4.6649251997317653E-3</v>
      </c>
    </row>
    <row r="1048" spans="1:20" x14ac:dyDescent="0.25">
      <c r="A1048" s="5">
        <v>43545</v>
      </c>
      <c r="B1048">
        <v>4043.04</v>
      </c>
      <c r="C1048">
        <v>4069.32</v>
      </c>
      <c r="D1048">
        <v>3880.01</v>
      </c>
      <c r="E1048">
        <v>3980.64</v>
      </c>
      <c r="F1048">
        <v>35997.682118999997</v>
      </c>
      <c r="G1048">
        <v>-1.54</v>
      </c>
      <c r="L1048" t="s">
        <v>8</v>
      </c>
      <c r="M1048" t="s">
        <v>8</v>
      </c>
      <c r="N1048" t="s">
        <v>7</v>
      </c>
      <c r="P1048">
        <f t="shared" si="1025"/>
        <v>6.3123976546402019E-2</v>
      </c>
      <c r="Q1048">
        <f t="shared" si="1026"/>
        <v>2272.3168418045911</v>
      </c>
      <c r="R1048">
        <f t="shared" si="1027"/>
        <v>467696.39491908922</v>
      </c>
      <c r="S1048">
        <f t="shared" si="1028"/>
        <v>4.6769639491908919</v>
      </c>
      <c r="T1048">
        <f t="shared" si="1029"/>
        <v>4.6769639491908918E-3</v>
      </c>
    </row>
    <row r="1049" spans="1:20" x14ac:dyDescent="0.25">
      <c r="A1049" s="5">
        <v>43544</v>
      </c>
      <c r="B1049">
        <v>4017.48</v>
      </c>
      <c r="C1049">
        <v>4050</v>
      </c>
      <c r="D1049">
        <v>3980.5</v>
      </c>
      <c r="E1049">
        <v>4043.04</v>
      </c>
      <c r="F1049">
        <v>23432.300254999998</v>
      </c>
      <c r="G1049">
        <v>0.64</v>
      </c>
      <c r="L1049" t="s">
        <v>8</v>
      </c>
      <c r="M1049" t="s">
        <v>8</v>
      </c>
      <c r="N1049" t="s">
        <v>7</v>
      </c>
      <c r="P1049">
        <f t="shared" si="1025"/>
        <v>0.79971223021582627</v>
      </c>
      <c r="Q1049">
        <f t="shared" si="1026"/>
        <v>18739.097096012923</v>
      </c>
      <c r="R1049">
        <f t="shared" si="1027"/>
        <v>465424.07807728462</v>
      </c>
      <c r="S1049">
        <f t="shared" si="1028"/>
        <v>4.6542407807728461</v>
      </c>
      <c r="T1049">
        <f t="shared" si="1029"/>
        <v>4.6542407807728461E-3</v>
      </c>
    </row>
    <row r="1050" spans="1:20" x14ac:dyDescent="0.25">
      <c r="A1050" s="5">
        <v>43543</v>
      </c>
      <c r="B1050">
        <v>3987.83</v>
      </c>
      <c r="C1050">
        <v>4031</v>
      </c>
      <c r="D1050">
        <v>3970</v>
      </c>
      <c r="E1050">
        <v>4015.53</v>
      </c>
      <c r="F1050">
        <v>19893.741815000001</v>
      </c>
      <c r="G1050">
        <v>0.69</v>
      </c>
      <c r="L1050" t="s">
        <v>8</v>
      </c>
      <c r="M1050" t="s">
        <v>8</v>
      </c>
      <c r="N1050" t="s">
        <v>7</v>
      </c>
      <c r="P1050">
        <f t="shared" si="1025"/>
        <v>0.49278688524590819</v>
      </c>
      <c r="Q1050">
        <f t="shared" si="1026"/>
        <v>9803.3750649001304</v>
      </c>
      <c r="R1050">
        <f t="shared" si="1027"/>
        <v>446684.98098127171</v>
      </c>
      <c r="S1050">
        <f t="shared" si="1028"/>
        <v>4.4668498098127172</v>
      </c>
      <c r="T1050">
        <f t="shared" si="1029"/>
        <v>4.4668498098127171E-3</v>
      </c>
    </row>
    <row r="1051" spans="1:20" x14ac:dyDescent="0.25">
      <c r="A1051" s="5">
        <v>43542</v>
      </c>
      <c r="B1051">
        <v>3981.85</v>
      </c>
      <c r="C1051">
        <v>4037</v>
      </c>
      <c r="D1051">
        <v>3953.33</v>
      </c>
      <c r="E1051">
        <v>3987.81</v>
      </c>
      <c r="F1051">
        <v>22454.478009999999</v>
      </c>
      <c r="G1051">
        <v>0.15</v>
      </c>
      <c r="L1051" t="s">
        <v>8</v>
      </c>
      <c r="M1051" t="s">
        <v>8</v>
      </c>
      <c r="N1051" t="s">
        <v>7</v>
      </c>
      <c r="P1051">
        <f t="shared" si="1025"/>
        <v>-0.17580972869606817</v>
      </c>
      <c r="Q1051">
        <f t="shared" si="1026"/>
        <v>-3947.7156869499286</v>
      </c>
      <c r="R1051">
        <f t="shared" si="1027"/>
        <v>436881.60591637157</v>
      </c>
      <c r="S1051">
        <f t="shared" si="1028"/>
        <v>4.3688160591637155</v>
      </c>
      <c r="T1051">
        <f t="shared" si="1029"/>
        <v>4.3688160591637158E-3</v>
      </c>
    </row>
    <row r="1052" spans="1:20" x14ac:dyDescent="0.25">
      <c r="A1052" s="5">
        <v>43541</v>
      </c>
      <c r="B1052">
        <v>4005.98</v>
      </c>
      <c r="C1052">
        <v>4012</v>
      </c>
      <c r="D1052">
        <v>3950.01</v>
      </c>
      <c r="E1052">
        <v>3981.14</v>
      </c>
      <c r="F1052">
        <v>18814.255577</v>
      </c>
      <c r="G1052">
        <v>-0.62</v>
      </c>
      <c r="L1052" t="s">
        <v>8</v>
      </c>
      <c r="M1052" t="s">
        <v>8</v>
      </c>
      <c r="N1052" t="s">
        <v>7</v>
      </c>
      <c r="P1052">
        <f t="shared" si="1025"/>
        <v>4.3555412163176002E-3</v>
      </c>
      <c r="Q1052">
        <f t="shared" si="1026"/>
        <v>81.946265619956776</v>
      </c>
      <c r="R1052">
        <f t="shared" si="1027"/>
        <v>440829.32160332147</v>
      </c>
      <c r="S1052">
        <f t="shared" si="1028"/>
        <v>4.4082932160332149</v>
      </c>
      <c r="T1052">
        <f t="shared" si="1029"/>
        <v>4.4082932160332145E-3</v>
      </c>
    </row>
    <row r="1053" spans="1:20" x14ac:dyDescent="0.25">
      <c r="A1053" s="5">
        <v>43540</v>
      </c>
      <c r="B1053">
        <v>3924.46</v>
      </c>
      <c r="C1053">
        <v>4056.98</v>
      </c>
      <c r="D1053">
        <v>3921.98</v>
      </c>
      <c r="E1053">
        <v>4005.98</v>
      </c>
      <c r="F1053">
        <v>28568.376123999999</v>
      </c>
      <c r="G1053">
        <v>2.08</v>
      </c>
      <c r="L1053" t="s">
        <v>8</v>
      </c>
      <c r="M1053" t="s">
        <v>8</v>
      </c>
      <c r="N1053" t="s">
        <v>7</v>
      </c>
      <c r="P1053">
        <f t="shared" si="1025"/>
        <v>0.24444444444444444</v>
      </c>
      <c r="Q1053">
        <f t="shared" si="1026"/>
        <v>6983.3808303111109</v>
      </c>
      <c r="R1053">
        <f t="shared" si="1027"/>
        <v>440747.37533770152</v>
      </c>
      <c r="S1053">
        <f t="shared" si="1028"/>
        <v>4.4074737533770154</v>
      </c>
      <c r="T1053">
        <f t="shared" si="1029"/>
        <v>4.4074737533770156E-3</v>
      </c>
    </row>
    <row r="1054" spans="1:20" x14ac:dyDescent="0.25">
      <c r="A1054" s="5">
        <v>43539</v>
      </c>
      <c r="B1054">
        <v>3877.12</v>
      </c>
      <c r="C1054">
        <v>3939.22</v>
      </c>
      <c r="D1054">
        <v>3872.2</v>
      </c>
      <c r="E1054">
        <v>3923.76</v>
      </c>
      <c r="F1054">
        <v>21740.061497999999</v>
      </c>
      <c r="G1054">
        <v>1.2</v>
      </c>
      <c r="L1054" t="s">
        <v>8</v>
      </c>
      <c r="M1054" t="s">
        <v>8</v>
      </c>
      <c r="N1054" t="s">
        <v>7</v>
      </c>
      <c r="P1054">
        <f t="shared" si="1025"/>
        <v>0.53864518054313382</v>
      </c>
      <c r="Q1054">
        <f t="shared" si="1026"/>
        <v>11710.179350609042</v>
      </c>
      <c r="R1054">
        <f t="shared" si="1027"/>
        <v>433763.99450739042</v>
      </c>
      <c r="S1054">
        <f t="shared" si="1028"/>
        <v>4.3376399450739038</v>
      </c>
      <c r="T1054">
        <f t="shared" si="1029"/>
        <v>4.3376399450739036E-3</v>
      </c>
    </row>
    <row r="1055" spans="1:20" x14ac:dyDescent="0.25">
      <c r="A1055" s="5">
        <v>43538</v>
      </c>
      <c r="B1055">
        <v>3866</v>
      </c>
      <c r="C1055">
        <v>3920</v>
      </c>
      <c r="D1055">
        <v>3810.43</v>
      </c>
      <c r="E1055">
        <v>3877.12</v>
      </c>
      <c r="F1055">
        <v>27048.748530000001</v>
      </c>
      <c r="G1055">
        <v>0.28999999999999998</v>
      </c>
      <c r="L1055" t="s">
        <v>8</v>
      </c>
      <c r="M1055" t="s">
        <v>8</v>
      </c>
      <c r="N1055" t="s">
        <v>7</v>
      </c>
      <c r="P1055">
        <f t="shared" si="1025"/>
        <v>0.21730400657114091</v>
      </c>
      <c r="Q1055">
        <f t="shared" si="1026"/>
        <v>5877.8014283042585</v>
      </c>
      <c r="R1055">
        <f t="shared" si="1027"/>
        <v>422053.81515678141</v>
      </c>
      <c r="S1055">
        <f t="shared" si="1028"/>
        <v>4.2205381515678138</v>
      </c>
      <c r="T1055">
        <f t="shared" si="1029"/>
        <v>4.2205381515678141E-3</v>
      </c>
    </row>
    <row r="1056" spans="1:20" x14ac:dyDescent="0.25">
      <c r="A1056" s="5">
        <v>43537</v>
      </c>
      <c r="B1056">
        <v>3882.69</v>
      </c>
      <c r="C1056">
        <v>3893.56</v>
      </c>
      <c r="D1056">
        <v>3840</v>
      </c>
      <c r="E1056">
        <v>3866</v>
      </c>
      <c r="F1056">
        <v>24461.008757</v>
      </c>
      <c r="G1056">
        <v>-0.43</v>
      </c>
      <c r="L1056" t="s">
        <v>8</v>
      </c>
      <c r="M1056" t="s">
        <v>8</v>
      </c>
      <c r="N1056" t="s">
        <v>7</v>
      </c>
      <c r="P1056">
        <f t="shared" si="1025"/>
        <v>-2.9126213592232022E-2</v>
      </c>
      <c r="Q1056">
        <f t="shared" si="1026"/>
        <v>-712.45656573783992</v>
      </c>
      <c r="R1056">
        <f t="shared" si="1027"/>
        <v>416176.01372847712</v>
      </c>
      <c r="S1056">
        <f t="shared" si="1028"/>
        <v>4.1617601372847712</v>
      </c>
      <c r="T1056">
        <f t="shared" si="1029"/>
        <v>4.1617601372847708E-3</v>
      </c>
    </row>
    <row r="1057" spans="1:20" x14ac:dyDescent="0.25">
      <c r="A1057" s="5">
        <v>43536</v>
      </c>
      <c r="B1057">
        <v>3871.61</v>
      </c>
      <c r="C1057">
        <v>3905.2</v>
      </c>
      <c r="D1057">
        <v>3826.06</v>
      </c>
      <c r="E1057">
        <v>3882.73</v>
      </c>
      <c r="F1057">
        <v>26921.008622000001</v>
      </c>
      <c r="G1057">
        <v>0.28999999999999998</v>
      </c>
      <c r="L1057" t="s">
        <v>8</v>
      </c>
      <c r="M1057" t="s">
        <v>8</v>
      </c>
      <c r="N1057" t="s">
        <v>7</v>
      </c>
      <c r="P1057">
        <f t="shared" si="1025"/>
        <v>0.43214556482183886</v>
      </c>
      <c r="Q1057">
        <f t="shared" si="1026"/>
        <v>11633.794476527784</v>
      </c>
      <c r="R1057">
        <f t="shared" si="1027"/>
        <v>416888.47029421496</v>
      </c>
      <c r="S1057">
        <f t="shared" si="1028"/>
        <v>4.1688847029421492</v>
      </c>
      <c r="T1057">
        <f t="shared" si="1029"/>
        <v>4.1688847029421492E-3</v>
      </c>
    </row>
    <row r="1058" spans="1:20" x14ac:dyDescent="0.25">
      <c r="A1058" s="5">
        <v>43535</v>
      </c>
      <c r="B1058">
        <v>3915.99</v>
      </c>
      <c r="C1058">
        <v>3936.98</v>
      </c>
      <c r="D1058">
        <v>3830</v>
      </c>
      <c r="E1058">
        <v>3871.61</v>
      </c>
      <c r="F1058">
        <v>38066.885705000001</v>
      </c>
      <c r="G1058">
        <v>-1.1299999999999999</v>
      </c>
      <c r="L1058" t="s">
        <v>8</v>
      </c>
      <c r="M1058" t="s">
        <v>8</v>
      </c>
      <c r="N1058" t="s">
        <v>7</v>
      </c>
      <c r="P1058">
        <f t="shared" si="1025"/>
        <v>-0.22209758833426585</v>
      </c>
      <c r="Q1058">
        <f t="shared" si="1026"/>
        <v>-8454.5635104766388</v>
      </c>
      <c r="R1058">
        <f t="shared" si="1027"/>
        <v>405254.67581768718</v>
      </c>
      <c r="S1058">
        <f t="shared" si="1028"/>
        <v>4.0525467581768719</v>
      </c>
      <c r="T1058">
        <f t="shared" si="1029"/>
        <v>4.0525467581768717E-3</v>
      </c>
    </row>
    <row r="1059" spans="1:20" x14ac:dyDescent="0.25">
      <c r="A1059" s="5">
        <v>43534</v>
      </c>
      <c r="B1059">
        <v>3943.43</v>
      </c>
      <c r="C1059">
        <v>3943.43</v>
      </c>
      <c r="D1059">
        <v>3881.69</v>
      </c>
      <c r="E1059">
        <v>3916.82</v>
      </c>
      <c r="F1059">
        <v>23187.561411999999</v>
      </c>
      <c r="G1059">
        <v>-0.67</v>
      </c>
      <c r="L1059" t="s">
        <v>8</v>
      </c>
      <c r="M1059" t="s">
        <v>8</v>
      </c>
      <c r="N1059" t="s">
        <v>7</v>
      </c>
      <c r="P1059">
        <f t="shared" si="1025"/>
        <v>0.13799805636541088</v>
      </c>
      <c r="Q1059">
        <f t="shared" si="1026"/>
        <v>3199.8384067096022</v>
      </c>
      <c r="R1059">
        <f t="shared" si="1027"/>
        <v>413709.23932816379</v>
      </c>
      <c r="S1059">
        <f t="shared" si="1028"/>
        <v>4.1370923932816384</v>
      </c>
      <c r="T1059">
        <f t="shared" si="1029"/>
        <v>4.1370923932816384E-3</v>
      </c>
    </row>
    <row r="1060" spans="1:20" x14ac:dyDescent="0.25">
      <c r="A1060" s="5">
        <v>43533</v>
      </c>
      <c r="B1060">
        <v>3864.88</v>
      </c>
      <c r="C1060">
        <v>3971.75</v>
      </c>
      <c r="D1060">
        <v>3854.75</v>
      </c>
      <c r="E1060">
        <v>3943.04</v>
      </c>
      <c r="F1060">
        <v>30979.747652999999</v>
      </c>
      <c r="G1060">
        <v>2.02</v>
      </c>
      <c r="L1060" t="s">
        <v>8</v>
      </c>
      <c r="M1060" t="s">
        <v>8</v>
      </c>
      <c r="N1060" t="s">
        <v>7</v>
      </c>
      <c r="P1060">
        <f t="shared" si="1025"/>
        <v>0.5092307692307686</v>
      </c>
      <c r="Q1060">
        <f t="shared" si="1026"/>
        <v>15775.840727912288</v>
      </c>
      <c r="R1060">
        <f t="shared" si="1027"/>
        <v>410509.40092145419</v>
      </c>
      <c r="S1060">
        <f t="shared" si="1028"/>
        <v>4.1050940092145423</v>
      </c>
      <c r="T1060">
        <f t="shared" si="1029"/>
        <v>4.1050940092145424E-3</v>
      </c>
    </row>
    <row r="1061" spans="1:20" x14ac:dyDescent="0.25">
      <c r="A1061" s="5">
        <v>43532</v>
      </c>
      <c r="B1061">
        <v>3873.63</v>
      </c>
      <c r="C1061">
        <v>3932</v>
      </c>
      <c r="D1061">
        <v>3800</v>
      </c>
      <c r="E1061">
        <v>3864.89</v>
      </c>
      <c r="F1061">
        <v>34730.366591999998</v>
      </c>
      <c r="G1061">
        <v>-0.23</v>
      </c>
      <c r="L1061" t="s">
        <v>7</v>
      </c>
      <c r="M1061" t="s">
        <v>8</v>
      </c>
      <c r="N1061" t="s">
        <v>7</v>
      </c>
      <c r="P1061">
        <f t="shared" si="1025"/>
        <v>-1.6818181818183748E-2</v>
      </c>
      <c r="Q1061">
        <f t="shared" si="1026"/>
        <v>-584.10161995643068</v>
      </c>
      <c r="R1061">
        <f t="shared" si="1027"/>
        <v>394733.56019354193</v>
      </c>
      <c r="S1061">
        <f t="shared" si="1028"/>
        <v>3.9473356019354191</v>
      </c>
      <c r="T1061">
        <f t="shared" si="1029"/>
        <v>3.9473356019354188E-3</v>
      </c>
    </row>
    <row r="1062" spans="1:20" x14ac:dyDescent="0.25">
      <c r="A1062" s="5">
        <v>43531</v>
      </c>
      <c r="B1062">
        <v>3861.84</v>
      </c>
      <c r="C1062">
        <v>3905.4</v>
      </c>
      <c r="D1062">
        <v>3840.4</v>
      </c>
      <c r="E1062">
        <v>3873.64</v>
      </c>
      <c r="F1062">
        <v>26455.257661</v>
      </c>
      <c r="G1062">
        <v>0.31</v>
      </c>
      <c r="L1062" t="s">
        <v>7</v>
      </c>
      <c r="M1062" t="s">
        <v>8</v>
      </c>
      <c r="N1062" t="s">
        <v>7</v>
      </c>
      <c r="P1062">
        <f t="shared" si="1025"/>
        <v>2.2769230769224054E-2</v>
      </c>
      <c r="Q1062">
        <f t="shared" si="1026"/>
        <v>602.36586674259161</v>
      </c>
      <c r="R1062">
        <f t="shared" si="1027"/>
        <v>395317.66181349836</v>
      </c>
      <c r="S1062">
        <f t="shared" si="1028"/>
        <v>3.9531766181349837</v>
      </c>
      <c r="T1062">
        <f t="shared" si="1029"/>
        <v>3.9531766181349834E-3</v>
      </c>
    </row>
    <row r="1063" spans="1:20" x14ac:dyDescent="0.25">
      <c r="A1063" s="5">
        <v>43530</v>
      </c>
      <c r="B1063">
        <v>3857.58</v>
      </c>
      <c r="C1063">
        <v>3907</v>
      </c>
      <c r="D1063">
        <v>3813.09</v>
      </c>
      <c r="E1063">
        <v>3861.84</v>
      </c>
      <c r="F1063">
        <v>24775.118829999999</v>
      </c>
      <c r="G1063">
        <v>0.11</v>
      </c>
      <c r="L1063" t="s">
        <v>7</v>
      </c>
      <c r="M1063" t="s">
        <v>8</v>
      </c>
      <c r="N1063" t="s">
        <v>7</v>
      </c>
      <c r="P1063">
        <f t="shared" si="1025"/>
        <v>3.8228090725163998E-2</v>
      </c>
      <c r="Q1063">
        <f t="shared" si="1026"/>
        <v>947.10549035995894</v>
      </c>
      <c r="R1063">
        <f t="shared" si="1027"/>
        <v>394715.2959467558</v>
      </c>
      <c r="S1063">
        <f t="shared" si="1028"/>
        <v>3.9471529594675578</v>
      </c>
      <c r="T1063">
        <f t="shared" si="1029"/>
        <v>3.9471529594675581E-3</v>
      </c>
    </row>
    <row r="1064" spans="1:20" x14ac:dyDescent="0.25">
      <c r="A1064" s="5">
        <v>43529</v>
      </c>
      <c r="B1064">
        <v>3716.1</v>
      </c>
      <c r="C1064">
        <v>3877.1</v>
      </c>
      <c r="D1064">
        <v>3703.55</v>
      </c>
      <c r="E1064">
        <v>3857.73</v>
      </c>
      <c r="F1064">
        <v>32962.536161999997</v>
      </c>
      <c r="G1064">
        <v>3.81</v>
      </c>
      <c r="L1064" t="s">
        <v>7</v>
      </c>
      <c r="M1064" t="s">
        <v>8</v>
      </c>
      <c r="N1064" t="s">
        <v>7</v>
      </c>
      <c r="P1064">
        <f t="shared" si="1025"/>
        <v>0.77677902621722938</v>
      </c>
      <c r="Q1064">
        <f t="shared" si="1026"/>
        <v>25604.606741568568</v>
      </c>
      <c r="R1064">
        <f t="shared" si="1027"/>
        <v>393768.19045639585</v>
      </c>
      <c r="S1064">
        <f t="shared" si="1028"/>
        <v>3.9376819045639584</v>
      </c>
      <c r="T1064">
        <f t="shared" si="1029"/>
        <v>3.9376819045639586E-3</v>
      </c>
    </row>
    <row r="1065" spans="1:20" x14ac:dyDescent="0.25">
      <c r="A1065" s="5">
        <v>43528</v>
      </c>
      <c r="B1065">
        <v>3807.32</v>
      </c>
      <c r="C1065">
        <v>3830</v>
      </c>
      <c r="D1065">
        <v>3670.69</v>
      </c>
      <c r="E1065">
        <v>3715.3</v>
      </c>
      <c r="F1065">
        <v>34742.841659999998</v>
      </c>
      <c r="G1065">
        <v>-2.42</v>
      </c>
      <c r="L1065" t="s">
        <v>7</v>
      </c>
      <c r="M1065" t="s">
        <v>8</v>
      </c>
      <c r="N1065" t="s">
        <v>7</v>
      </c>
      <c r="P1065">
        <f t="shared" si="1025"/>
        <v>-0.43995982675286999</v>
      </c>
      <c r="Q1065">
        <f t="shared" si="1026"/>
        <v>-15285.454597635993</v>
      </c>
      <c r="R1065">
        <f t="shared" si="1027"/>
        <v>368163.58371482725</v>
      </c>
      <c r="S1065">
        <f t="shared" si="1028"/>
        <v>3.6816358371482725</v>
      </c>
      <c r="T1065">
        <f t="shared" si="1029"/>
        <v>3.6816358371482725E-3</v>
      </c>
    </row>
    <row r="1066" spans="1:20" x14ac:dyDescent="0.25">
      <c r="A1066" s="5">
        <v>43527</v>
      </c>
      <c r="B1066">
        <v>3819.97</v>
      </c>
      <c r="C1066">
        <v>3835</v>
      </c>
      <c r="D1066">
        <v>3781.32</v>
      </c>
      <c r="E1066">
        <v>3807.75</v>
      </c>
      <c r="F1066">
        <v>16718.165410000001</v>
      </c>
      <c r="G1066">
        <v>-0.32</v>
      </c>
      <c r="L1066" t="s">
        <v>7</v>
      </c>
      <c r="M1066" t="s">
        <v>8</v>
      </c>
      <c r="N1066" t="s">
        <v>7</v>
      </c>
      <c r="P1066">
        <f t="shared" si="1025"/>
        <v>-1.5275707898661815E-2</v>
      </c>
      <c r="Q1066">
        <f t="shared" si="1026"/>
        <v>-255.38181140467177</v>
      </c>
      <c r="R1066">
        <f t="shared" si="1027"/>
        <v>383449.03831246326</v>
      </c>
      <c r="S1066">
        <f t="shared" si="1028"/>
        <v>3.8344903831246326</v>
      </c>
      <c r="T1066">
        <f t="shared" si="1029"/>
        <v>3.8344903831246326E-3</v>
      </c>
    </row>
    <row r="1067" spans="1:20" x14ac:dyDescent="0.25">
      <c r="A1067" s="5">
        <v>43526</v>
      </c>
      <c r="B1067">
        <v>3822.17</v>
      </c>
      <c r="C1067">
        <v>3841.31</v>
      </c>
      <c r="D1067">
        <v>3772.25</v>
      </c>
      <c r="E1067">
        <v>3819.93</v>
      </c>
      <c r="F1067">
        <v>19445.838355</v>
      </c>
      <c r="G1067">
        <v>-0.06</v>
      </c>
      <c r="L1067" t="s">
        <v>7</v>
      </c>
      <c r="M1067" t="s">
        <v>8</v>
      </c>
      <c r="N1067" t="s">
        <v>7</v>
      </c>
      <c r="P1067">
        <f t="shared" si="1025"/>
        <v>0.38082826527656743</v>
      </c>
      <c r="Q1067">
        <f t="shared" si="1026"/>
        <v>7405.5248875831894</v>
      </c>
      <c r="R1067">
        <f t="shared" si="1027"/>
        <v>383704.42012386792</v>
      </c>
      <c r="S1067">
        <f t="shared" si="1028"/>
        <v>3.8370442012386792</v>
      </c>
      <c r="T1067">
        <f t="shared" si="1029"/>
        <v>3.8370442012386793E-3</v>
      </c>
    </row>
    <row r="1068" spans="1:20" x14ac:dyDescent="0.25">
      <c r="A1068" s="5">
        <v>43525</v>
      </c>
      <c r="B1068">
        <v>3814.26</v>
      </c>
      <c r="C1068">
        <v>3857</v>
      </c>
      <c r="D1068">
        <v>3813.01</v>
      </c>
      <c r="E1068">
        <v>3823</v>
      </c>
      <c r="F1068">
        <v>23174.572169999999</v>
      </c>
      <c r="G1068">
        <v>0.23</v>
      </c>
      <c r="L1068" t="s">
        <v>7</v>
      </c>
      <c r="M1068" t="s">
        <v>8</v>
      </c>
      <c r="N1068" t="s">
        <v>7</v>
      </c>
      <c r="P1068">
        <f t="shared" si="1025"/>
        <v>-0.54580586496931893</v>
      </c>
      <c r="Q1068">
        <f t="shared" si="1026"/>
        <v>-12648.817408540755</v>
      </c>
      <c r="R1068">
        <f t="shared" si="1027"/>
        <v>376298.8952362847</v>
      </c>
      <c r="S1068">
        <f t="shared" si="1028"/>
        <v>3.7629889523628473</v>
      </c>
      <c r="T1068">
        <f t="shared" si="1029"/>
        <v>3.7629889523628471E-3</v>
      </c>
    </row>
    <row r="1069" spans="1:20" x14ac:dyDescent="0.25">
      <c r="A1069" s="5">
        <v>43524</v>
      </c>
      <c r="B1069">
        <v>3818.04</v>
      </c>
      <c r="C1069">
        <v>3888</v>
      </c>
      <c r="D1069">
        <v>3763.87</v>
      </c>
      <c r="E1069">
        <v>3813.69</v>
      </c>
      <c r="F1069">
        <v>32561.961044</v>
      </c>
      <c r="G1069">
        <v>-0.11</v>
      </c>
      <c r="L1069" t="s">
        <v>7</v>
      </c>
      <c r="M1069" t="s">
        <v>8</v>
      </c>
      <c r="N1069" t="s">
        <v>7</v>
      </c>
      <c r="P1069">
        <f t="shared" si="1025"/>
        <v>-0.19729316039635672</v>
      </c>
      <c r="Q1069">
        <f t="shared" si="1026"/>
        <v>-6424.252203073811</v>
      </c>
      <c r="R1069">
        <f t="shared" si="1027"/>
        <v>388947.71264482546</v>
      </c>
      <c r="S1069">
        <f t="shared" si="1028"/>
        <v>3.8894771264482544</v>
      </c>
      <c r="T1069">
        <f t="shared" si="1029"/>
        <v>3.8894771264482543E-3</v>
      </c>
    </row>
    <row r="1070" spans="1:20" x14ac:dyDescent="0.25">
      <c r="A1070" s="5">
        <v>43523</v>
      </c>
      <c r="B1070">
        <v>3809.31</v>
      </c>
      <c r="C1070">
        <v>3838.85</v>
      </c>
      <c r="D1070">
        <v>3677.17</v>
      </c>
      <c r="E1070">
        <v>3818.07</v>
      </c>
      <c r="F1070">
        <v>31500.995466</v>
      </c>
      <c r="G1070">
        <v>0.23</v>
      </c>
      <c r="L1070" t="s">
        <v>7</v>
      </c>
      <c r="M1070" t="s">
        <v>8</v>
      </c>
      <c r="N1070" t="s">
        <v>7</v>
      </c>
      <c r="P1070">
        <f t="shared" si="1025"/>
        <v>0.74294903513112609</v>
      </c>
      <c r="Q1070">
        <f t="shared" si="1026"/>
        <v>23403.634187134678</v>
      </c>
      <c r="R1070">
        <f t="shared" si="1027"/>
        <v>395371.96484789927</v>
      </c>
      <c r="S1070">
        <f t="shared" si="1028"/>
        <v>3.9537196484789927</v>
      </c>
      <c r="T1070">
        <f t="shared" si="1029"/>
        <v>3.9537196484789924E-3</v>
      </c>
    </row>
    <row r="1071" spans="1:20" x14ac:dyDescent="0.25">
      <c r="A1071" s="5">
        <v>43522</v>
      </c>
      <c r="B1071">
        <v>3828.44</v>
      </c>
      <c r="C1071">
        <v>3841.51</v>
      </c>
      <c r="D1071">
        <v>3777</v>
      </c>
      <c r="E1071">
        <v>3809.23</v>
      </c>
      <c r="F1071">
        <v>28838.748036000001</v>
      </c>
      <c r="G1071">
        <v>-0.5</v>
      </c>
      <c r="L1071" t="s">
        <v>7</v>
      </c>
      <c r="M1071" t="s">
        <v>8</v>
      </c>
      <c r="N1071" t="s">
        <v>7</v>
      </c>
      <c r="P1071">
        <f t="shared" si="1025"/>
        <v>-7.7507363199785665E-4</v>
      </c>
      <c r="Q1071">
        <f t="shared" si="1026"/>
        <v>-22.352153182533577</v>
      </c>
      <c r="R1071">
        <f t="shared" si="1027"/>
        <v>371968.33066076459</v>
      </c>
      <c r="S1071">
        <f t="shared" si="1028"/>
        <v>3.7196833066076458</v>
      </c>
      <c r="T1071">
        <f t="shared" si="1029"/>
        <v>3.7196833066076456E-3</v>
      </c>
    </row>
    <row r="1072" spans="1:20" x14ac:dyDescent="0.25">
      <c r="A1072" s="5">
        <v>43521</v>
      </c>
      <c r="B1072">
        <v>3743.56</v>
      </c>
      <c r="C1072">
        <v>3872.66</v>
      </c>
      <c r="D1072">
        <v>3740</v>
      </c>
      <c r="E1072">
        <v>3827.92</v>
      </c>
      <c r="F1072">
        <v>38102.966245000003</v>
      </c>
      <c r="G1072">
        <v>2.25</v>
      </c>
      <c r="L1072" t="s">
        <v>7</v>
      </c>
      <c r="M1072" t="s">
        <v>8</v>
      </c>
      <c r="N1072" t="s">
        <v>7</v>
      </c>
      <c r="P1072">
        <f t="shared" si="1025"/>
        <v>0.32549374340419374</v>
      </c>
      <c r="Q1072">
        <f t="shared" si="1026"/>
        <v>12402.277117888687</v>
      </c>
      <c r="R1072">
        <f t="shared" si="1027"/>
        <v>371990.68281394715</v>
      </c>
      <c r="S1072">
        <f t="shared" si="1028"/>
        <v>3.7199068281394716</v>
      </c>
      <c r="T1072">
        <f t="shared" si="1029"/>
        <v>3.7199068281394717E-3</v>
      </c>
    </row>
    <row r="1073" spans="1:20" x14ac:dyDescent="0.25">
      <c r="A1073" s="5">
        <v>43520</v>
      </c>
      <c r="B1073">
        <v>4118</v>
      </c>
      <c r="C1073">
        <v>4198</v>
      </c>
      <c r="D1073">
        <v>3712.66</v>
      </c>
      <c r="E1073">
        <v>3743.56</v>
      </c>
      <c r="F1073">
        <v>62224.186889999997</v>
      </c>
      <c r="G1073">
        <v>-9.09</v>
      </c>
      <c r="L1073" t="s">
        <v>8</v>
      </c>
      <c r="M1073" t="s">
        <v>8</v>
      </c>
      <c r="N1073" t="s">
        <v>7</v>
      </c>
      <c r="P1073">
        <f t="shared" si="1025"/>
        <v>-0.87266658425021604</v>
      </c>
      <c r="Q1073">
        <f t="shared" si="1026"/>
        <v>-54300.968631043368</v>
      </c>
      <c r="R1073">
        <f t="shared" si="1027"/>
        <v>359588.40569605847</v>
      </c>
      <c r="S1073">
        <f t="shared" si="1028"/>
        <v>3.5958840569605846</v>
      </c>
      <c r="T1073">
        <f t="shared" si="1029"/>
        <v>3.5958840569605844E-3</v>
      </c>
    </row>
    <row r="1074" spans="1:20" x14ac:dyDescent="0.25">
      <c r="A1074" s="5">
        <v>43519</v>
      </c>
      <c r="B1074">
        <v>3962</v>
      </c>
      <c r="C1074">
        <v>4162.0200000000004</v>
      </c>
      <c r="D1074">
        <v>3933.15</v>
      </c>
      <c r="E1074">
        <v>4117.76</v>
      </c>
      <c r="F1074">
        <v>33657.942883000003</v>
      </c>
      <c r="G1074">
        <v>3.93</v>
      </c>
      <c r="L1074" t="s">
        <v>8</v>
      </c>
      <c r="M1074" t="s">
        <v>8</v>
      </c>
      <c r="N1074" t="s">
        <v>7</v>
      </c>
      <c r="P1074">
        <f t="shared" si="1025"/>
        <v>0.61323021802769995</v>
      </c>
      <c r="Q1074">
        <f t="shared" si="1026"/>
        <v>20640.067652505964</v>
      </c>
      <c r="R1074">
        <f t="shared" si="1027"/>
        <v>413889.37432710186</v>
      </c>
      <c r="S1074">
        <f t="shared" si="1028"/>
        <v>4.1388937432710184</v>
      </c>
      <c r="T1074">
        <f t="shared" si="1029"/>
        <v>4.1388937432710188E-3</v>
      </c>
    </row>
    <row r="1075" spans="1:20" x14ac:dyDescent="0.25">
      <c r="A1075" s="5">
        <v>43518</v>
      </c>
      <c r="B1075">
        <v>3937.31</v>
      </c>
      <c r="C1075">
        <v>3988</v>
      </c>
      <c r="D1075">
        <v>3926.65</v>
      </c>
      <c r="E1075">
        <v>3962</v>
      </c>
      <c r="F1075">
        <v>23943.16375</v>
      </c>
      <c r="G1075">
        <v>0.63</v>
      </c>
      <c r="L1075" t="s">
        <v>8</v>
      </c>
      <c r="M1075" t="s">
        <v>8</v>
      </c>
      <c r="N1075" t="s">
        <v>7</v>
      </c>
      <c r="P1075">
        <f t="shared" si="1025"/>
        <v>0.15240423797880884</v>
      </c>
      <c r="Q1075">
        <f t="shared" si="1026"/>
        <v>3649.0396261205888</v>
      </c>
      <c r="R1075">
        <f t="shared" si="1027"/>
        <v>393249.30667459592</v>
      </c>
      <c r="S1075">
        <f t="shared" si="1028"/>
        <v>3.9324930667459594</v>
      </c>
      <c r="T1075">
        <f t="shared" si="1029"/>
        <v>3.932493066745959E-3</v>
      </c>
    </row>
    <row r="1076" spans="1:20" x14ac:dyDescent="0.25">
      <c r="A1076" s="5">
        <v>43517</v>
      </c>
      <c r="B1076">
        <v>3969.74</v>
      </c>
      <c r="C1076">
        <v>4016.48</v>
      </c>
      <c r="D1076">
        <v>3901.03</v>
      </c>
      <c r="E1076">
        <v>3937.31</v>
      </c>
      <c r="F1076">
        <v>31103.884728000001</v>
      </c>
      <c r="G1076">
        <v>-0.82</v>
      </c>
      <c r="L1076" t="s">
        <v>8</v>
      </c>
      <c r="M1076" t="s">
        <v>8</v>
      </c>
      <c r="N1076" t="s">
        <v>7</v>
      </c>
      <c r="P1076">
        <f t="shared" si="1025"/>
        <v>-0.37150281507146293</v>
      </c>
      <c r="Q1076">
        <f t="shared" si="1026"/>
        <v>-11555.180736110284</v>
      </c>
      <c r="R1076">
        <f t="shared" si="1027"/>
        <v>389600.26704847533</v>
      </c>
      <c r="S1076">
        <f t="shared" si="1028"/>
        <v>3.8960026704847532</v>
      </c>
      <c r="T1076">
        <f t="shared" si="1029"/>
        <v>3.8960026704847532E-3</v>
      </c>
    </row>
    <row r="1077" spans="1:20" x14ac:dyDescent="0.25">
      <c r="A1077" s="5">
        <v>43516</v>
      </c>
      <c r="B1077">
        <v>3907.35</v>
      </c>
      <c r="C1077">
        <v>3986.98</v>
      </c>
      <c r="D1077">
        <v>3870.66</v>
      </c>
      <c r="E1077">
        <v>3969.74</v>
      </c>
      <c r="F1077">
        <v>36205.140850000003</v>
      </c>
      <c r="G1077">
        <v>1.6</v>
      </c>
      <c r="L1077" t="s">
        <v>8</v>
      </c>
      <c r="M1077" t="s">
        <v>7</v>
      </c>
      <c r="N1077" t="s">
        <v>7</v>
      </c>
      <c r="P1077">
        <f t="shared" si="1025"/>
        <v>0.70357634112791934</v>
      </c>
      <c r="Q1077">
        <f t="shared" si="1026"/>
        <v>25473.080529263971</v>
      </c>
      <c r="R1077">
        <f t="shared" si="1027"/>
        <v>401155.44778458565</v>
      </c>
      <c r="S1077">
        <f t="shared" si="1028"/>
        <v>4.0115544778458565</v>
      </c>
      <c r="T1077">
        <f t="shared" si="1029"/>
        <v>4.0115544778458563E-3</v>
      </c>
    </row>
    <row r="1078" spans="1:20" x14ac:dyDescent="0.25">
      <c r="A1078" s="5">
        <v>43515</v>
      </c>
      <c r="B1078">
        <v>3897.35</v>
      </c>
      <c r="C1078">
        <v>3994.52</v>
      </c>
      <c r="D1078">
        <v>3856</v>
      </c>
      <c r="E1078">
        <v>3907.79</v>
      </c>
      <c r="F1078">
        <v>50207.172666999999</v>
      </c>
      <c r="G1078">
        <v>0.27</v>
      </c>
      <c r="L1078" t="s">
        <v>8</v>
      </c>
      <c r="M1078" t="s">
        <v>7</v>
      </c>
      <c r="N1078" t="s">
        <v>7</v>
      </c>
      <c r="P1078">
        <f t="shared" si="1025"/>
        <v>-0.25223794397920918</v>
      </c>
      <c r="Q1078">
        <f t="shared" si="1026"/>
        <v>-12664.154006533228</v>
      </c>
      <c r="R1078">
        <f t="shared" si="1027"/>
        <v>375682.36725532165</v>
      </c>
      <c r="S1078">
        <f t="shared" si="1028"/>
        <v>3.7568236725532165</v>
      </c>
      <c r="T1078">
        <f t="shared" si="1029"/>
        <v>3.7568236725532165E-3</v>
      </c>
    </row>
    <row r="1079" spans="1:20" x14ac:dyDescent="0.25">
      <c r="A1079" s="5">
        <v>43514</v>
      </c>
      <c r="B1079">
        <v>3667.62</v>
      </c>
      <c r="C1079">
        <v>3925</v>
      </c>
      <c r="D1079">
        <v>3655</v>
      </c>
      <c r="E1079">
        <v>3898.6</v>
      </c>
      <c r="F1079">
        <v>64042.730492000002</v>
      </c>
      <c r="G1079">
        <v>6.3</v>
      </c>
      <c r="L1079" t="s">
        <v>8</v>
      </c>
      <c r="M1079" t="s">
        <v>7</v>
      </c>
      <c r="N1079" t="s">
        <v>7</v>
      </c>
      <c r="P1079">
        <f t="shared" si="1025"/>
        <v>0.80444444444444374</v>
      </c>
      <c r="Q1079">
        <f t="shared" si="1026"/>
        <v>51518.81875134218</v>
      </c>
      <c r="R1079">
        <f t="shared" si="1027"/>
        <v>388346.52126185485</v>
      </c>
      <c r="S1079">
        <f t="shared" si="1028"/>
        <v>3.8834652126185487</v>
      </c>
      <c r="T1079">
        <f t="shared" si="1029"/>
        <v>3.8834652126185486E-3</v>
      </c>
    </row>
    <row r="1080" spans="1:20" x14ac:dyDescent="0.25">
      <c r="A1080" s="5">
        <v>43513</v>
      </c>
      <c r="B1080">
        <v>3617.22</v>
      </c>
      <c r="C1080">
        <v>3700.11</v>
      </c>
      <c r="D1080">
        <v>3604.4</v>
      </c>
      <c r="E1080">
        <v>3667.58</v>
      </c>
      <c r="F1080">
        <v>25690.227779000001</v>
      </c>
      <c r="G1080">
        <v>1.39</v>
      </c>
      <c r="L1080" t="s">
        <v>8</v>
      </c>
      <c r="M1080" t="s">
        <v>7</v>
      </c>
      <c r="N1080" t="s">
        <v>7</v>
      </c>
      <c r="P1080">
        <f t="shared" si="1025"/>
        <v>0.32023821962177018</v>
      </c>
      <c r="Q1080">
        <f t="shared" si="1026"/>
        <v>8226.9928056247027</v>
      </c>
      <c r="R1080">
        <f t="shared" si="1027"/>
        <v>336827.70251051267</v>
      </c>
      <c r="S1080">
        <f t="shared" si="1028"/>
        <v>3.3682770251051268</v>
      </c>
      <c r="T1080">
        <f t="shared" si="1029"/>
        <v>3.368277025105127E-3</v>
      </c>
    </row>
    <row r="1081" spans="1:20" x14ac:dyDescent="0.25">
      <c r="A1081" s="5">
        <v>43512</v>
      </c>
      <c r="B1081">
        <v>3602.49</v>
      </c>
      <c r="C1081">
        <v>3648.2</v>
      </c>
      <c r="D1081">
        <v>3597.91</v>
      </c>
      <c r="E1081">
        <v>3618.41</v>
      </c>
      <c r="F1081">
        <v>19565.992751000002</v>
      </c>
      <c r="G1081">
        <v>0.44</v>
      </c>
      <c r="L1081" t="s">
        <v>8</v>
      </c>
      <c r="M1081" t="s">
        <v>7</v>
      </c>
      <c r="N1081" t="s">
        <v>7</v>
      </c>
      <c r="P1081">
        <f t="shared" si="1025"/>
        <v>-0.18472857426923783</v>
      </c>
      <c r="Q1081">
        <f t="shared" si="1026"/>
        <v>-3614.397945054473</v>
      </c>
      <c r="R1081">
        <f t="shared" si="1027"/>
        <v>328600.70970488794</v>
      </c>
      <c r="S1081">
        <f t="shared" si="1028"/>
        <v>3.2860070970488793</v>
      </c>
      <c r="T1081">
        <f t="shared" si="1029"/>
        <v>3.2860070970488794E-3</v>
      </c>
    </row>
    <row r="1082" spans="1:20" x14ac:dyDescent="0.25">
      <c r="A1082" s="5">
        <v>43511</v>
      </c>
      <c r="B1082">
        <v>3590.57</v>
      </c>
      <c r="C1082">
        <v>3653.23</v>
      </c>
      <c r="D1082">
        <v>3573.45</v>
      </c>
      <c r="E1082">
        <v>3602.47</v>
      </c>
      <c r="F1082">
        <v>20777.872899000002</v>
      </c>
      <c r="G1082">
        <v>0.33</v>
      </c>
      <c r="L1082" t="s">
        <v>8</v>
      </c>
      <c r="M1082" t="s">
        <v>7</v>
      </c>
      <c r="N1082" t="s">
        <v>7</v>
      </c>
      <c r="P1082">
        <f t="shared" si="1025"/>
        <v>-0.27249937327651269</v>
      </c>
      <c r="Q1082">
        <f t="shared" si="1026"/>
        <v>-5661.9573429965385</v>
      </c>
      <c r="R1082">
        <f t="shared" si="1027"/>
        <v>332215.10764994239</v>
      </c>
      <c r="S1082">
        <f t="shared" si="1028"/>
        <v>3.322151076499424</v>
      </c>
      <c r="T1082">
        <f t="shared" si="1029"/>
        <v>3.3221510764994242E-3</v>
      </c>
    </row>
    <row r="1083" spans="1:20" x14ac:dyDescent="0.25">
      <c r="A1083" s="5">
        <v>43510</v>
      </c>
      <c r="B1083">
        <v>3608.34</v>
      </c>
      <c r="C1083">
        <v>3626.4</v>
      </c>
      <c r="D1083">
        <v>3568.11</v>
      </c>
      <c r="E1083">
        <v>3590.56</v>
      </c>
      <c r="F1083">
        <v>21753.501261000001</v>
      </c>
      <c r="G1083">
        <v>-0.49</v>
      </c>
      <c r="L1083" t="s">
        <v>8</v>
      </c>
      <c r="M1083" t="s">
        <v>7</v>
      </c>
      <c r="N1083" t="s">
        <v>7</v>
      </c>
      <c r="P1083">
        <f t="shared" si="1025"/>
        <v>-0.22971350145823188</v>
      </c>
      <c r="Q1083">
        <f t="shared" si="1026"/>
        <v>-4997.0729436403726</v>
      </c>
      <c r="R1083">
        <f t="shared" si="1027"/>
        <v>337877.06499293895</v>
      </c>
      <c r="S1083">
        <f t="shared" si="1028"/>
        <v>3.3787706499293897</v>
      </c>
      <c r="T1083">
        <f t="shared" si="1029"/>
        <v>3.3787706499293895E-3</v>
      </c>
    </row>
    <row r="1084" spans="1:20" x14ac:dyDescent="0.25">
      <c r="A1084" s="5">
        <v>43509</v>
      </c>
      <c r="B1084">
        <v>3631.51</v>
      </c>
      <c r="C1084">
        <v>3670</v>
      </c>
      <c r="D1084">
        <v>3591.75</v>
      </c>
      <c r="E1084">
        <v>3609.4</v>
      </c>
      <c r="F1084">
        <v>25773.997648</v>
      </c>
      <c r="G1084">
        <v>-0.61</v>
      </c>
      <c r="L1084" t="s">
        <v>8</v>
      </c>
      <c r="M1084" t="s">
        <v>7</v>
      </c>
      <c r="N1084" t="s">
        <v>7</v>
      </c>
      <c r="P1084">
        <f t="shared" si="1025"/>
        <v>-0.54888178913737784</v>
      </c>
      <c r="Q1084">
        <f t="shared" si="1026"/>
        <v>-14146.87794225681</v>
      </c>
      <c r="R1084">
        <f t="shared" si="1027"/>
        <v>342874.1379365793</v>
      </c>
      <c r="S1084">
        <f t="shared" si="1028"/>
        <v>3.428741379365793</v>
      </c>
      <c r="T1084">
        <f t="shared" si="1029"/>
        <v>3.428741379365793E-3</v>
      </c>
    </row>
    <row r="1085" spans="1:20" x14ac:dyDescent="0.25">
      <c r="A1085" s="5">
        <v>43508</v>
      </c>
      <c r="B1085">
        <v>3631.05</v>
      </c>
      <c r="C1085">
        <v>3667.6</v>
      </c>
      <c r="D1085">
        <v>3582.34</v>
      </c>
      <c r="E1085">
        <v>3631.46</v>
      </c>
      <c r="F1085">
        <v>29479.59823</v>
      </c>
      <c r="G1085">
        <v>0.01</v>
      </c>
      <c r="L1085" t="s">
        <v>8</v>
      </c>
      <c r="M1085" t="s">
        <v>7</v>
      </c>
      <c r="N1085" t="s">
        <v>7</v>
      </c>
      <c r="P1085">
        <f t="shared" si="1025"/>
        <v>0.15224020642739919</v>
      </c>
      <c r="Q1085">
        <f t="shared" si="1026"/>
        <v>4487.9801199319918</v>
      </c>
      <c r="R1085">
        <f t="shared" si="1027"/>
        <v>357021.0158788361</v>
      </c>
      <c r="S1085">
        <f t="shared" si="1028"/>
        <v>3.570210158788361</v>
      </c>
      <c r="T1085">
        <f t="shared" si="1029"/>
        <v>3.5702101587883608E-3</v>
      </c>
    </row>
    <row r="1086" spans="1:20" x14ac:dyDescent="0.25">
      <c r="A1086" s="5">
        <v>43507</v>
      </c>
      <c r="B1086">
        <v>3679.75</v>
      </c>
      <c r="C1086">
        <v>3684.9</v>
      </c>
      <c r="D1086">
        <v>3615.53</v>
      </c>
      <c r="E1086">
        <v>3631.05</v>
      </c>
      <c r="F1086">
        <v>24954.614570999998</v>
      </c>
      <c r="G1086">
        <v>-1.32</v>
      </c>
      <c r="L1086" t="s">
        <v>8</v>
      </c>
      <c r="M1086" t="s">
        <v>7</v>
      </c>
      <c r="N1086" t="s">
        <v>7</v>
      </c>
      <c r="P1086">
        <f t="shared" si="1025"/>
        <v>-0.55254432751910032</v>
      </c>
      <c r="Q1086">
        <f t="shared" si="1026"/>
        <v>-13788.530726631536</v>
      </c>
      <c r="R1086">
        <f t="shared" si="1027"/>
        <v>352533.03575890412</v>
      </c>
      <c r="S1086">
        <f t="shared" si="1028"/>
        <v>3.5253303575890413</v>
      </c>
      <c r="T1086">
        <f t="shared" si="1029"/>
        <v>3.5253303575890414E-3</v>
      </c>
    </row>
    <row r="1087" spans="1:20" x14ac:dyDescent="0.25">
      <c r="A1087" s="5">
        <v>43506</v>
      </c>
      <c r="B1087">
        <v>3665.18</v>
      </c>
      <c r="C1087">
        <v>3684.99</v>
      </c>
      <c r="D1087">
        <v>3609.76</v>
      </c>
      <c r="E1087">
        <v>3680.06</v>
      </c>
      <c r="F1087">
        <v>23250.602633999999</v>
      </c>
      <c r="G1087">
        <v>0.41</v>
      </c>
      <c r="L1087" t="s">
        <v>8</v>
      </c>
      <c r="M1087" t="s">
        <v>7</v>
      </c>
      <c r="N1087" t="s">
        <v>7</v>
      </c>
      <c r="P1087">
        <f t="shared" ref="P1087:P1150" si="1030">IF(C1087=D1087,0,((E1087-D1087)-(C1087-E1087))/(C1087-D1087))</f>
        <v>0.86893526518676423</v>
      </c>
      <c r="Q1087">
        <f t="shared" ref="Q1087:Q1150" si="1031">F1087*P1087</f>
        <v>20203.268565526869</v>
      </c>
      <c r="R1087">
        <f t="shared" ref="R1087:R1150" si="1032">R1088+Q1087</f>
        <v>366321.56648553564</v>
      </c>
      <c r="S1087">
        <f t="shared" ref="S1087:S1150" si="1033">R1087/100000</f>
        <v>3.6632156648553567</v>
      </c>
      <c r="T1087">
        <f t="shared" ref="T1087:T1150" si="1034">S1087/1000</f>
        <v>3.6632156648553566E-3</v>
      </c>
    </row>
    <row r="1088" spans="1:20" x14ac:dyDescent="0.25">
      <c r="A1088" s="5">
        <v>43505</v>
      </c>
      <c r="B1088">
        <v>3660.27</v>
      </c>
      <c r="C1088">
        <v>3680.02</v>
      </c>
      <c r="D1088">
        <v>3625.13</v>
      </c>
      <c r="E1088">
        <v>3665.18</v>
      </c>
      <c r="F1088">
        <v>24759.833718999998</v>
      </c>
      <c r="G1088">
        <v>0.13</v>
      </c>
      <c r="L1088" t="s">
        <v>8</v>
      </c>
      <c r="M1088" t="s">
        <v>7</v>
      </c>
      <c r="N1088" t="s">
        <v>7</v>
      </c>
      <c r="P1088">
        <f t="shared" si="1030"/>
        <v>0.45928220076516013</v>
      </c>
      <c r="Q1088">
        <f t="shared" si="1031"/>
        <v>11371.750921041739</v>
      </c>
      <c r="R1088">
        <f t="shared" si="1032"/>
        <v>346118.29792000877</v>
      </c>
      <c r="S1088">
        <f t="shared" si="1033"/>
        <v>3.4611829792000877</v>
      </c>
      <c r="T1088">
        <f t="shared" si="1034"/>
        <v>3.4611829792000875E-3</v>
      </c>
    </row>
    <row r="1089" spans="1:20" x14ac:dyDescent="0.25">
      <c r="A1089" s="5">
        <v>43504</v>
      </c>
      <c r="B1089">
        <v>3398.4</v>
      </c>
      <c r="C1089">
        <v>3733.58</v>
      </c>
      <c r="D1089">
        <v>3373.1</v>
      </c>
      <c r="E1089">
        <v>3659.04</v>
      </c>
      <c r="F1089">
        <v>47968.058013000002</v>
      </c>
      <c r="G1089">
        <v>7.67</v>
      </c>
      <c r="L1089" t="s">
        <v>8</v>
      </c>
      <c r="M1089" t="s">
        <v>7</v>
      </c>
      <c r="N1089" t="s">
        <v>7</v>
      </c>
      <c r="P1089">
        <f t="shared" si="1030"/>
        <v>0.58644030181979601</v>
      </c>
      <c r="Q1089">
        <f t="shared" si="1031"/>
        <v>28130.402418853206</v>
      </c>
      <c r="R1089">
        <f t="shared" si="1032"/>
        <v>334746.54699896701</v>
      </c>
      <c r="S1089">
        <f t="shared" si="1033"/>
        <v>3.34746546998967</v>
      </c>
      <c r="T1089">
        <f t="shared" si="1034"/>
        <v>3.34746546998967E-3</v>
      </c>
    </row>
    <row r="1090" spans="1:20" x14ac:dyDescent="0.25">
      <c r="A1090" s="5">
        <v>43503</v>
      </c>
      <c r="B1090">
        <v>3407</v>
      </c>
      <c r="C1090">
        <v>3426.45</v>
      </c>
      <c r="D1090">
        <v>3390</v>
      </c>
      <c r="E1090">
        <v>3398.4</v>
      </c>
      <c r="F1090">
        <v>18665.538638000002</v>
      </c>
      <c r="G1090">
        <v>-0.25</v>
      </c>
      <c r="L1090" t="s">
        <v>7</v>
      </c>
      <c r="M1090" t="s">
        <v>7</v>
      </c>
      <c r="N1090" t="s">
        <v>7</v>
      </c>
      <c r="P1090">
        <f t="shared" si="1030"/>
        <v>-0.53909465020575398</v>
      </c>
      <c r="Q1090">
        <f t="shared" si="1031"/>
        <v>-10062.492022954597</v>
      </c>
      <c r="R1090">
        <f t="shared" si="1032"/>
        <v>306616.14458011382</v>
      </c>
      <c r="S1090">
        <f t="shared" si="1033"/>
        <v>3.0661614458011384</v>
      </c>
      <c r="T1090">
        <f t="shared" si="1034"/>
        <v>3.0661614458011382E-3</v>
      </c>
    </row>
    <row r="1091" spans="1:20" x14ac:dyDescent="0.25">
      <c r="A1091" s="5">
        <v>43502</v>
      </c>
      <c r="B1091">
        <v>3471.57</v>
      </c>
      <c r="C1091">
        <v>3482.72</v>
      </c>
      <c r="D1091">
        <v>3380</v>
      </c>
      <c r="E1091">
        <v>3405.37</v>
      </c>
      <c r="F1091">
        <v>35310.244846000001</v>
      </c>
      <c r="G1091">
        <v>-1.91</v>
      </c>
      <c r="L1091" t="s">
        <v>7</v>
      </c>
      <c r="M1091" t="s">
        <v>7</v>
      </c>
      <c r="N1091" t="s">
        <v>7</v>
      </c>
      <c r="P1091">
        <f t="shared" si="1030"/>
        <v>-0.50603582554517246</v>
      </c>
      <c r="Q1091">
        <f t="shared" si="1031"/>
        <v>-17868.248900847782</v>
      </c>
      <c r="R1091">
        <f t="shared" si="1032"/>
        <v>316678.63660306844</v>
      </c>
      <c r="S1091">
        <f t="shared" si="1033"/>
        <v>3.1667863660306845</v>
      </c>
      <c r="T1091">
        <f t="shared" si="1034"/>
        <v>3.1667863660306845E-3</v>
      </c>
    </row>
    <row r="1092" spans="1:20" x14ac:dyDescent="0.25">
      <c r="A1092" s="5">
        <v>43501</v>
      </c>
      <c r="B1092">
        <v>3463.22</v>
      </c>
      <c r="C1092">
        <v>3478.97</v>
      </c>
      <c r="D1092">
        <v>3448.43</v>
      </c>
      <c r="E1092">
        <v>3471.59</v>
      </c>
      <c r="F1092">
        <v>25264.41503</v>
      </c>
      <c r="G1092">
        <v>0.24</v>
      </c>
      <c r="L1092" t="s">
        <v>7</v>
      </c>
      <c r="M1092" t="s">
        <v>7</v>
      </c>
      <c r="N1092" t="s">
        <v>7</v>
      </c>
      <c r="P1092">
        <f t="shared" si="1030"/>
        <v>0.51669941060905944</v>
      </c>
      <c r="Q1092">
        <f t="shared" si="1031"/>
        <v>13054.108355383663</v>
      </c>
      <c r="R1092">
        <f t="shared" si="1032"/>
        <v>334546.88550391624</v>
      </c>
      <c r="S1092">
        <f t="shared" si="1033"/>
        <v>3.3454688550391625</v>
      </c>
      <c r="T1092">
        <f t="shared" si="1034"/>
        <v>3.3454688550391626E-3</v>
      </c>
    </row>
    <row r="1093" spans="1:20" x14ac:dyDescent="0.25">
      <c r="A1093" s="5">
        <v>43500</v>
      </c>
      <c r="B1093">
        <v>3458.11</v>
      </c>
      <c r="C1093">
        <v>3484.88</v>
      </c>
      <c r="D1093">
        <v>3433.31</v>
      </c>
      <c r="E1093">
        <v>3463.22</v>
      </c>
      <c r="F1093">
        <v>23131.981108</v>
      </c>
      <c r="G1093">
        <v>0.15</v>
      </c>
      <c r="L1093" t="s">
        <v>7</v>
      </c>
      <c r="M1093" t="s">
        <v>7</v>
      </c>
      <c r="N1093" t="s">
        <v>7</v>
      </c>
      <c r="P1093">
        <f t="shared" si="1030"/>
        <v>0.1599767306573496</v>
      </c>
      <c r="Q1093">
        <f t="shared" si="1031"/>
        <v>3700.5787112854155</v>
      </c>
      <c r="R1093">
        <f t="shared" si="1032"/>
        <v>321492.77714853256</v>
      </c>
      <c r="S1093">
        <f t="shared" si="1033"/>
        <v>3.2149277714853257</v>
      </c>
      <c r="T1093">
        <f t="shared" si="1034"/>
        <v>3.2149277714853255E-3</v>
      </c>
    </row>
    <row r="1094" spans="1:20" x14ac:dyDescent="0.25">
      <c r="A1094" s="5">
        <v>43499</v>
      </c>
      <c r="B1094">
        <v>3504.06</v>
      </c>
      <c r="C1094">
        <v>3511.09</v>
      </c>
      <c r="D1094">
        <v>3426</v>
      </c>
      <c r="E1094">
        <v>3458.11</v>
      </c>
      <c r="F1094">
        <v>19867.33639</v>
      </c>
      <c r="G1094">
        <v>-1.31</v>
      </c>
      <c r="L1094" t="s">
        <v>7</v>
      </c>
      <c r="M1094" t="s">
        <v>7</v>
      </c>
      <c r="N1094" t="s">
        <v>7</v>
      </c>
      <c r="P1094">
        <f t="shared" si="1030"/>
        <v>-0.24526971442002415</v>
      </c>
      <c r="Q1094">
        <f t="shared" si="1031"/>
        <v>-4872.8559226618536</v>
      </c>
      <c r="R1094">
        <f t="shared" si="1032"/>
        <v>317792.19843724713</v>
      </c>
      <c r="S1094">
        <f t="shared" si="1033"/>
        <v>3.1779219843724715</v>
      </c>
      <c r="T1094">
        <f t="shared" si="1034"/>
        <v>3.1779219843724713E-3</v>
      </c>
    </row>
    <row r="1095" spans="1:20" x14ac:dyDescent="0.25">
      <c r="A1095" s="5">
        <v>43498</v>
      </c>
      <c r="B1095">
        <v>3462.2</v>
      </c>
      <c r="C1095">
        <v>3526.4</v>
      </c>
      <c r="D1095">
        <v>3440.29</v>
      </c>
      <c r="E1095">
        <v>3504.77</v>
      </c>
      <c r="F1095">
        <v>17920.802</v>
      </c>
      <c r="G1095">
        <v>1.23</v>
      </c>
      <c r="L1095" t="s">
        <v>7</v>
      </c>
      <c r="M1095" t="s">
        <v>7</v>
      </c>
      <c r="N1095" t="s">
        <v>7</v>
      </c>
      <c r="P1095">
        <f t="shared" si="1030"/>
        <v>0.49761932412030946</v>
      </c>
      <c r="Q1095">
        <f t="shared" si="1031"/>
        <v>8917.737378933889</v>
      </c>
      <c r="R1095">
        <f t="shared" si="1032"/>
        <v>322665.05435990897</v>
      </c>
      <c r="S1095">
        <f t="shared" si="1033"/>
        <v>3.2266505435990895</v>
      </c>
      <c r="T1095">
        <f t="shared" si="1034"/>
        <v>3.2266505435990895E-3</v>
      </c>
    </row>
    <row r="1096" spans="1:20" x14ac:dyDescent="0.25">
      <c r="A1096" s="5">
        <v>43497</v>
      </c>
      <c r="B1096">
        <v>3434.1</v>
      </c>
      <c r="C1096">
        <v>3488</v>
      </c>
      <c r="D1096">
        <v>3401.2</v>
      </c>
      <c r="E1096">
        <v>3462.07</v>
      </c>
      <c r="F1096">
        <v>25260.476159000002</v>
      </c>
      <c r="G1096">
        <v>0.81</v>
      </c>
      <c r="L1096" t="s">
        <v>7</v>
      </c>
      <c r="M1096" t="s">
        <v>7</v>
      </c>
      <c r="N1096" t="s">
        <v>7</v>
      </c>
      <c r="P1096">
        <f t="shared" si="1030"/>
        <v>0.40253456221198658</v>
      </c>
      <c r="Q1096">
        <f t="shared" si="1031"/>
        <v>10168.21471192939</v>
      </c>
      <c r="R1096">
        <f t="shared" si="1032"/>
        <v>313747.3169809751</v>
      </c>
      <c r="S1096">
        <f t="shared" si="1033"/>
        <v>3.1374731698097511</v>
      </c>
      <c r="T1096">
        <f t="shared" si="1034"/>
        <v>3.1374731698097509E-3</v>
      </c>
    </row>
    <row r="1097" spans="1:20" x14ac:dyDescent="0.25">
      <c r="A1097" s="5">
        <v>43496</v>
      </c>
      <c r="B1097">
        <v>3457.5</v>
      </c>
      <c r="C1097">
        <v>3489.2</v>
      </c>
      <c r="D1097">
        <v>3418.8</v>
      </c>
      <c r="E1097">
        <v>3434.1</v>
      </c>
      <c r="F1097">
        <v>29607.190253000001</v>
      </c>
      <c r="G1097">
        <v>-0.68</v>
      </c>
      <c r="L1097" t="s">
        <v>7</v>
      </c>
      <c r="M1097" t="s">
        <v>7</v>
      </c>
      <c r="N1097" t="s">
        <v>7</v>
      </c>
      <c r="P1097">
        <f t="shared" si="1030"/>
        <v>-0.56534090909091461</v>
      </c>
      <c r="Q1097">
        <f t="shared" si="1031"/>
        <v>-16738.155853258686</v>
      </c>
      <c r="R1097">
        <f t="shared" si="1032"/>
        <v>303579.10226904572</v>
      </c>
      <c r="S1097">
        <f t="shared" si="1033"/>
        <v>3.0357910226904572</v>
      </c>
      <c r="T1097">
        <f t="shared" si="1034"/>
        <v>3.0357910226904571E-3</v>
      </c>
    </row>
    <row r="1098" spans="1:20" x14ac:dyDescent="0.25">
      <c r="A1098" s="5">
        <v>43495</v>
      </c>
      <c r="B1098">
        <v>3410.04</v>
      </c>
      <c r="C1098">
        <v>3478</v>
      </c>
      <c r="D1098">
        <v>3387.1</v>
      </c>
      <c r="E1098">
        <v>3458.18</v>
      </c>
      <c r="F1098">
        <v>23968.260243000001</v>
      </c>
      <c r="G1098">
        <v>1.41</v>
      </c>
      <c r="L1098" t="s">
        <v>7</v>
      </c>
      <c r="M1098" t="s">
        <v>7</v>
      </c>
      <c r="N1098" t="s">
        <v>7</v>
      </c>
      <c r="P1098">
        <f t="shared" si="1030"/>
        <v>0.56391639163916074</v>
      </c>
      <c r="Q1098">
        <f t="shared" si="1031"/>
        <v>13516.094830100914</v>
      </c>
      <c r="R1098">
        <f t="shared" si="1032"/>
        <v>320317.2581223044</v>
      </c>
      <c r="S1098">
        <f t="shared" si="1033"/>
        <v>3.2031725812230438</v>
      </c>
      <c r="T1098">
        <f t="shared" si="1034"/>
        <v>3.2031725812230439E-3</v>
      </c>
    </row>
    <row r="1099" spans="1:20" x14ac:dyDescent="0.25">
      <c r="A1099" s="5">
        <v>43494</v>
      </c>
      <c r="B1099">
        <v>3434</v>
      </c>
      <c r="C1099">
        <v>3443.45</v>
      </c>
      <c r="D1099">
        <v>3349.92</v>
      </c>
      <c r="E1099">
        <v>3411.04</v>
      </c>
      <c r="F1099">
        <v>29544.928977</v>
      </c>
      <c r="G1099">
        <v>-0.67</v>
      </c>
      <c r="L1099" t="s">
        <v>7</v>
      </c>
      <c r="M1099" t="s">
        <v>7</v>
      </c>
      <c r="N1099" t="s">
        <v>7</v>
      </c>
      <c r="P1099">
        <f t="shared" si="1030"/>
        <v>0.30696033358280889</v>
      </c>
      <c r="Q1099">
        <f t="shared" si="1031"/>
        <v>9069.1212544603168</v>
      </c>
      <c r="R1099">
        <f t="shared" si="1032"/>
        <v>306801.16329220351</v>
      </c>
      <c r="S1099">
        <f t="shared" si="1033"/>
        <v>3.068011632922035</v>
      </c>
      <c r="T1099">
        <f t="shared" si="1034"/>
        <v>3.0680116329220349E-3</v>
      </c>
    </row>
    <row r="1100" spans="1:20" x14ac:dyDescent="0.25">
      <c r="A1100" s="5">
        <v>43493</v>
      </c>
      <c r="B1100">
        <v>3550.05</v>
      </c>
      <c r="C1100">
        <v>3557.75</v>
      </c>
      <c r="D1100">
        <v>3380.27</v>
      </c>
      <c r="E1100">
        <v>3434.15</v>
      </c>
      <c r="F1100">
        <v>40405.111401000002</v>
      </c>
      <c r="G1100">
        <v>-3.26</v>
      </c>
      <c r="L1100" t="s">
        <v>7</v>
      </c>
      <c r="M1100" t="s">
        <v>7</v>
      </c>
      <c r="N1100" t="s">
        <v>7</v>
      </c>
      <c r="P1100">
        <f t="shared" si="1030"/>
        <v>-0.39283299526707116</v>
      </c>
      <c r="Q1100">
        <f t="shared" si="1031"/>
        <v>-15872.460935754516</v>
      </c>
      <c r="R1100">
        <f t="shared" si="1032"/>
        <v>297732.0420377432</v>
      </c>
      <c r="S1100">
        <f t="shared" si="1033"/>
        <v>2.9773204203774322</v>
      </c>
      <c r="T1100">
        <f t="shared" si="1034"/>
        <v>2.977320420377432E-3</v>
      </c>
    </row>
    <row r="1101" spans="1:20" x14ac:dyDescent="0.25">
      <c r="A1101" s="5">
        <v>43492</v>
      </c>
      <c r="B1101">
        <v>3565.62</v>
      </c>
      <c r="C1101">
        <v>3579</v>
      </c>
      <c r="D1101">
        <v>3486</v>
      </c>
      <c r="E1101">
        <v>3550.84</v>
      </c>
      <c r="F1101">
        <v>22735.598161999998</v>
      </c>
      <c r="G1101">
        <v>-0.41</v>
      </c>
      <c r="L1101" t="s">
        <v>7</v>
      </c>
      <c r="M1101" t="s">
        <v>7</v>
      </c>
      <c r="N1101" t="s">
        <v>7</v>
      </c>
      <c r="P1101">
        <f t="shared" si="1030"/>
        <v>0.39440860215054074</v>
      </c>
      <c r="Q1101">
        <f t="shared" si="1031"/>
        <v>8967.1154901308219</v>
      </c>
      <c r="R1101">
        <f t="shared" si="1032"/>
        <v>313604.50297349773</v>
      </c>
      <c r="S1101">
        <f t="shared" si="1033"/>
        <v>3.1360450297349773</v>
      </c>
      <c r="T1101">
        <f t="shared" si="1034"/>
        <v>3.1360450297349771E-3</v>
      </c>
    </row>
    <row r="1102" spans="1:20" x14ac:dyDescent="0.25">
      <c r="A1102" s="5">
        <v>43491</v>
      </c>
      <c r="B1102">
        <v>3566.69</v>
      </c>
      <c r="C1102">
        <v>3662.94</v>
      </c>
      <c r="D1102">
        <v>3545</v>
      </c>
      <c r="E1102">
        <v>3565.25</v>
      </c>
      <c r="F1102">
        <v>19476.532343999999</v>
      </c>
      <c r="G1102">
        <v>-0.04</v>
      </c>
      <c r="L1102" t="s">
        <v>7</v>
      </c>
      <c r="M1102" t="s">
        <v>7</v>
      </c>
      <c r="N1102" t="s">
        <v>7</v>
      </c>
      <c r="P1102">
        <f t="shared" si="1030"/>
        <v>-0.65660505341699182</v>
      </c>
      <c r="Q1102">
        <f t="shared" si="1031"/>
        <v>-12788.389560109888</v>
      </c>
      <c r="R1102">
        <f t="shared" si="1032"/>
        <v>304637.38748336688</v>
      </c>
      <c r="S1102">
        <f t="shared" si="1033"/>
        <v>3.0463738748336686</v>
      </c>
      <c r="T1102">
        <f t="shared" si="1034"/>
        <v>3.0463738748336684E-3</v>
      </c>
    </row>
    <row r="1103" spans="1:20" x14ac:dyDescent="0.25">
      <c r="A1103" s="5">
        <v>43490</v>
      </c>
      <c r="B1103">
        <v>3569.07</v>
      </c>
      <c r="C1103">
        <v>3587.15</v>
      </c>
      <c r="D1103">
        <v>3522.51</v>
      </c>
      <c r="E1103">
        <v>3565.29</v>
      </c>
      <c r="F1103">
        <v>17608.346670999999</v>
      </c>
      <c r="G1103">
        <v>-0.11</v>
      </c>
      <c r="L1103" t="s">
        <v>7</v>
      </c>
      <c r="M1103" t="s">
        <v>7</v>
      </c>
      <c r="N1103" t="s">
        <v>7</v>
      </c>
      <c r="P1103">
        <f t="shared" si="1030"/>
        <v>0.32363861386138087</v>
      </c>
      <c r="Q1103">
        <f t="shared" si="1031"/>
        <v>5698.7409089930998</v>
      </c>
      <c r="R1103">
        <f t="shared" si="1032"/>
        <v>317425.77704347676</v>
      </c>
      <c r="S1103">
        <f t="shared" si="1033"/>
        <v>3.1742577704347674</v>
      </c>
      <c r="T1103">
        <f t="shared" si="1034"/>
        <v>3.1742577704347674E-3</v>
      </c>
    </row>
    <row r="1104" spans="1:20" x14ac:dyDescent="0.25">
      <c r="A1104" s="5">
        <v>43489</v>
      </c>
      <c r="B1104">
        <v>3552.97</v>
      </c>
      <c r="C1104">
        <v>3589</v>
      </c>
      <c r="D1104">
        <v>3529.22</v>
      </c>
      <c r="E1104">
        <v>3569.62</v>
      </c>
      <c r="F1104">
        <v>20826.251179999999</v>
      </c>
      <c r="G1104">
        <v>0.47</v>
      </c>
      <c r="L1104" t="s">
        <v>7</v>
      </c>
      <c r="M1104" t="s">
        <v>7</v>
      </c>
      <c r="N1104" t="s">
        <v>7</v>
      </c>
      <c r="P1104">
        <f t="shared" si="1030"/>
        <v>0.3516226162596171</v>
      </c>
      <c r="Q1104">
        <f t="shared" si="1031"/>
        <v>7322.980926791538</v>
      </c>
      <c r="R1104">
        <f t="shared" si="1032"/>
        <v>311727.03613448364</v>
      </c>
      <c r="S1104">
        <f t="shared" si="1033"/>
        <v>3.1172703613448363</v>
      </c>
      <c r="T1104">
        <f t="shared" si="1034"/>
        <v>3.1172703613448361E-3</v>
      </c>
    </row>
    <row r="1105" spans="1:20" x14ac:dyDescent="0.25">
      <c r="A1105" s="5">
        <v>43488</v>
      </c>
      <c r="B1105">
        <v>3570.41</v>
      </c>
      <c r="C1105">
        <v>3607.98</v>
      </c>
      <c r="D1105">
        <v>3514.5</v>
      </c>
      <c r="E1105">
        <v>3552.82</v>
      </c>
      <c r="F1105">
        <v>24938.842698</v>
      </c>
      <c r="G1105">
        <v>-0.49</v>
      </c>
      <c r="L1105" t="s">
        <v>7</v>
      </c>
      <c r="M1105" t="s">
        <v>7</v>
      </c>
      <c r="N1105" t="s">
        <v>7</v>
      </c>
      <c r="P1105">
        <f t="shared" si="1030"/>
        <v>-0.18014548566537963</v>
      </c>
      <c r="Q1105">
        <f t="shared" si="1031"/>
        <v>-4492.6199297637168</v>
      </c>
      <c r="R1105">
        <f t="shared" si="1032"/>
        <v>304404.05520769209</v>
      </c>
      <c r="S1105">
        <f t="shared" si="1033"/>
        <v>3.0440405520769209</v>
      </c>
      <c r="T1105">
        <f t="shared" si="1034"/>
        <v>3.0440405520769211E-3</v>
      </c>
    </row>
    <row r="1106" spans="1:20" x14ac:dyDescent="0.25">
      <c r="A1106" s="5">
        <v>43487</v>
      </c>
      <c r="B1106">
        <v>3526.88</v>
      </c>
      <c r="C1106">
        <v>3608.5</v>
      </c>
      <c r="D1106">
        <v>3434.85</v>
      </c>
      <c r="E1106">
        <v>3570.93</v>
      </c>
      <c r="F1106">
        <v>29336.442966999999</v>
      </c>
      <c r="G1106">
        <v>1.25</v>
      </c>
      <c r="L1106" t="s">
        <v>7</v>
      </c>
      <c r="M1106" t="s">
        <v>7</v>
      </c>
      <c r="N1106" t="s">
        <v>7</v>
      </c>
      <c r="P1106">
        <f t="shared" si="1030"/>
        <v>0.5672905269219678</v>
      </c>
      <c r="Q1106">
        <f t="shared" si="1031"/>
        <v>16642.286188765687</v>
      </c>
      <c r="R1106">
        <f t="shared" si="1032"/>
        <v>308896.67513745581</v>
      </c>
      <c r="S1106">
        <f t="shared" si="1033"/>
        <v>3.0889667513745582</v>
      </c>
      <c r="T1106">
        <f t="shared" si="1034"/>
        <v>3.0889667513745583E-3</v>
      </c>
    </row>
    <row r="1107" spans="1:20" x14ac:dyDescent="0.25">
      <c r="A1107" s="5">
        <v>43486</v>
      </c>
      <c r="B1107">
        <v>3539.26</v>
      </c>
      <c r="C1107">
        <v>3559.51</v>
      </c>
      <c r="D1107">
        <v>3475.5</v>
      </c>
      <c r="E1107">
        <v>3526.9</v>
      </c>
      <c r="F1107">
        <v>19644.436839000002</v>
      </c>
      <c r="G1107">
        <v>-0.35</v>
      </c>
      <c r="L1107" t="s">
        <v>7</v>
      </c>
      <c r="M1107" t="s">
        <v>7</v>
      </c>
      <c r="N1107" t="s">
        <v>7</v>
      </c>
      <c r="P1107">
        <f t="shared" si="1030"/>
        <v>0.22366384954172022</v>
      </c>
      <c r="Q1107">
        <f t="shared" si="1031"/>
        <v>4393.7503654899228</v>
      </c>
      <c r="R1107">
        <f t="shared" si="1032"/>
        <v>292254.38894869015</v>
      </c>
      <c r="S1107">
        <f t="shared" si="1033"/>
        <v>2.9225438894869016</v>
      </c>
      <c r="T1107">
        <f t="shared" si="1034"/>
        <v>2.9225438894869018E-3</v>
      </c>
    </row>
    <row r="1108" spans="1:20" x14ac:dyDescent="0.25">
      <c r="A1108" s="5">
        <v>43485</v>
      </c>
      <c r="B1108">
        <v>3665.75</v>
      </c>
      <c r="C1108">
        <v>3693.73</v>
      </c>
      <c r="D1108">
        <v>3475</v>
      </c>
      <c r="E1108">
        <v>3539.28</v>
      </c>
      <c r="F1108">
        <v>27901.938598000001</v>
      </c>
      <c r="G1108">
        <v>-3.45</v>
      </c>
      <c r="L1108" t="s">
        <v>7</v>
      </c>
      <c r="M1108" t="s">
        <v>7</v>
      </c>
      <c r="N1108" t="s">
        <v>7</v>
      </c>
      <c r="P1108">
        <f t="shared" si="1030"/>
        <v>-0.41224340511132268</v>
      </c>
      <c r="Q1108">
        <f t="shared" si="1031"/>
        <v>-11502.390176846566</v>
      </c>
      <c r="R1108">
        <f t="shared" si="1032"/>
        <v>287860.63858320023</v>
      </c>
      <c r="S1108">
        <f t="shared" si="1033"/>
        <v>2.8786063858320023</v>
      </c>
      <c r="T1108">
        <f t="shared" si="1034"/>
        <v>2.8786063858320023E-3</v>
      </c>
    </row>
    <row r="1109" spans="1:20" x14ac:dyDescent="0.25">
      <c r="A1109" s="5">
        <v>43484</v>
      </c>
      <c r="B1109">
        <v>3594.87</v>
      </c>
      <c r="C1109">
        <v>3720</v>
      </c>
      <c r="D1109">
        <v>3594.23</v>
      </c>
      <c r="E1109">
        <v>3665.3</v>
      </c>
      <c r="F1109">
        <v>22171.578122999999</v>
      </c>
      <c r="G1109">
        <v>1.96</v>
      </c>
      <c r="L1109" t="s">
        <v>8</v>
      </c>
      <c r="M1109" t="s">
        <v>7</v>
      </c>
      <c r="N1109" t="s">
        <v>7</v>
      </c>
      <c r="P1109">
        <f t="shared" si="1030"/>
        <v>0.13015822533195792</v>
      </c>
      <c r="Q1109">
        <f t="shared" si="1031"/>
        <v>2885.8132612985428</v>
      </c>
      <c r="R1109">
        <f t="shared" si="1032"/>
        <v>299363.02876004681</v>
      </c>
      <c r="S1109">
        <f t="shared" si="1033"/>
        <v>2.9936302876004683</v>
      </c>
      <c r="T1109">
        <f t="shared" si="1034"/>
        <v>2.9936302876004683E-3</v>
      </c>
    </row>
    <row r="1110" spans="1:20" x14ac:dyDescent="0.25">
      <c r="A1110" s="5">
        <v>43483</v>
      </c>
      <c r="B1110">
        <v>3613.32</v>
      </c>
      <c r="C1110">
        <v>3620</v>
      </c>
      <c r="D1110">
        <v>3565.75</v>
      </c>
      <c r="E1110">
        <v>3594.87</v>
      </c>
      <c r="F1110">
        <v>22713.446755000001</v>
      </c>
      <c r="G1110">
        <v>-0.51</v>
      </c>
      <c r="L1110" t="s">
        <v>7</v>
      </c>
      <c r="M1110" t="s">
        <v>7</v>
      </c>
      <c r="N1110" t="s">
        <v>7</v>
      </c>
      <c r="P1110">
        <f t="shared" si="1030"/>
        <v>7.3548387096770168E-2</v>
      </c>
      <c r="Q1110">
        <f t="shared" si="1031"/>
        <v>1670.5373742386182</v>
      </c>
      <c r="R1110">
        <f t="shared" si="1032"/>
        <v>296477.21549874829</v>
      </c>
      <c r="S1110">
        <f t="shared" si="1033"/>
        <v>2.9647721549874828</v>
      </c>
      <c r="T1110">
        <f t="shared" si="1034"/>
        <v>2.964772154987483E-3</v>
      </c>
    </row>
    <row r="1111" spans="1:20" x14ac:dyDescent="0.25">
      <c r="A1111" s="5">
        <v>43482</v>
      </c>
      <c r="B1111">
        <v>3591.84</v>
      </c>
      <c r="C1111">
        <v>3634.7</v>
      </c>
      <c r="D1111">
        <v>3530.39</v>
      </c>
      <c r="E1111">
        <v>3616.21</v>
      </c>
      <c r="F1111">
        <v>29755.440837999999</v>
      </c>
      <c r="G1111">
        <v>0.68</v>
      </c>
      <c r="L1111" t="s">
        <v>7</v>
      </c>
      <c r="M1111" t="s">
        <v>7</v>
      </c>
      <c r="N1111" t="s">
        <v>7</v>
      </c>
      <c r="P1111">
        <f t="shared" si="1030"/>
        <v>0.64547981976800328</v>
      </c>
      <c r="Q1111">
        <f t="shared" si="1031"/>
        <v>19206.536589229723</v>
      </c>
      <c r="R1111">
        <f t="shared" si="1032"/>
        <v>294806.67812450969</v>
      </c>
      <c r="S1111">
        <f t="shared" si="1033"/>
        <v>2.9480667812450969</v>
      </c>
      <c r="T1111">
        <f t="shared" si="1034"/>
        <v>2.9480667812450969E-3</v>
      </c>
    </row>
    <row r="1112" spans="1:20" x14ac:dyDescent="0.25">
      <c r="A1112" s="5">
        <v>43481</v>
      </c>
      <c r="B1112">
        <v>3553.06</v>
      </c>
      <c r="C1112">
        <v>3645</v>
      </c>
      <c r="D1112">
        <v>3543.51</v>
      </c>
      <c r="E1112">
        <v>3591.84</v>
      </c>
      <c r="F1112">
        <v>27480.179977</v>
      </c>
      <c r="G1112">
        <v>1.0900000000000001</v>
      </c>
      <c r="L1112" t="s">
        <v>7</v>
      </c>
      <c r="M1112" t="s">
        <v>7</v>
      </c>
      <c r="N1112" t="s">
        <v>7</v>
      </c>
      <c r="P1112">
        <f t="shared" si="1030"/>
        <v>-4.7590895654743698E-2</v>
      </c>
      <c r="Q1112">
        <f t="shared" si="1031"/>
        <v>-1307.806377858984</v>
      </c>
      <c r="R1112">
        <f t="shared" si="1032"/>
        <v>275600.14153527998</v>
      </c>
      <c r="S1112">
        <f t="shared" si="1033"/>
        <v>2.7560014153527996</v>
      </c>
      <c r="T1112">
        <f t="shared" si="1034"/>
        <v>2.7560014153527996E-3</v>
      </c>
    </row>
    <row r="1113" spans="1:20" x14ac:dyDescent="0.25">
      <c r="A1113" s="5">
        <v>43480</v>
      </c>
      <c r="B1113">
        <v>3626.08</v>
      </c>
      <c r="C1113">
        <v>3648.42</v>
      </c>
      <c r="D1113">
        <v>3516.62</v>
      </c>
      <c r="E1113">
        <v>3553.06</v>
      </c>
      <c r="F1113">
        <v>34137.997458999998</v>
      </c>
      <c r="G1113">
        <v>-2.0099999999999998</v>
      </c>
      <c r="L1113" t="s">
        <v>7</v>
      </c>
      <c r="M1113" t="s">
        <v>7</v>
      </c>
      <c r="N1113" t="s">
        <v>7</v>
      </c>
      <c r="P1113">
        <f t="shared" si="1030"/>
        <v>-0.44704097116843694</v>
      </c>
      <c r="Q1113">
        <f t="shared" si="1031"/>
        <v>-15261.083537816992</v>
      </c>
      <c r="R1113">
        <f t="shared" si="1032"/>
        <v>276907.94791313895</v>
      </c>
      <c r="S1113">
        <f t="shared" si="1033"/>
        <v>2.7690794791313897</v>
      </c>
      <c r="T1113">
        <f t="shared" si="1034"/>
        <v>2.7690794791313898E-3</v>
      </c>
    </row>
    <row r="1114" spans="1:20" x14ac:dyDescent="0.25">
      <c r="A1114" s="5">
        <v>43479</v>
      </c>
      <c r="B1114">
        <v>3477.56</v>
      </c>
      <c r="C1114">
        <v>3671.87</v>
      </c>
      <c r="D1114">
        <v>3467.02</v>
      </c>
      <c r="E1114">
        <v>3626.09</v>
      </c>
      <c r="F1114">
        <v>35235.211215000003</v>
      </c>
      <c r="G1114">
        <v>4.2699999999999996</v>
      </c>
      <c r="L1114" t="s">
        <v>7</v>
      </c>
      <c r="M1114" t="s">
        <v>7</v>
      </c>
      <c r="N1114" t="s">
        <v>7</v>
      </c>
      <c r="P1114">
        <f t="shared" si="1030"/>
        <v>0.55303880888455192</v>
      </c>
      <c r="Q1114">
        <f t="shared" si="1031"/>
        <v>19486.439241139207</v>
      </c>
      <c r="R1114">
        <f t="shared" si="1032"/>
        <v>292169.03145095595</v>
      </c>
      <c r="S1114">
        <f t="shared" si="1033"/>
        <v>2.9216903145095596</v>
      </c>
      <c r="T1114">
        <f t="shared" si="1034"/>
        <v>2.9216903145095597E-3</v>
      </c>
    </row>
    <row r="1115" spans="1:20" x14ac:dyDescent="0.25">
      <c r="A1115" s="5">
        <v>43478</v>
      </c>
      <c r="B1115">
        <v>3584.1</v>
      </c>
      <c r="C1115">
        <v>3611.1</v>
      </c>
      <c r="D1115">
        <v>3441.3</v>
      </c>
      <c r="E1115">
        <v>3476.81</v>
      </c>
      <c r="F1115">
        <v>26385.757453999999</v>
      </c>
      <c r="G1115">
        <v>-2.99</v>
      </c>
      <c r="L1115" t="s">
        <v>7</v>
      </c>
      <c r="M1115" t="s">
        <v>7</v>
      </c>
      <c r="N1115" t="s">
        <v>7</v>
      </c>
      <c r="P1115">
        <f t="shared" si="1030"/>
        <v>-0.58174322732626826</v>
      </c>
      <c r="Q1115">
        <f t="shared" si="1031"/>
        <v>-15349.735696738098</v>
      </c>
      <c r="R1115">
        <f t="shared" si="1032"/>
        <v>272682.59220981674</v>
      </c>
      <c r="S1115">
        <f t="shared" si="1033"/>
        <v>2.7268259220981674</v>
      </c>
      <c r="T1115">
        <f t="shared" si="1034"/>
        <v>2.7268259220981673E-3</v>
      </c>
    </row>
    <row r="1116" spans="1:20" x14ac:dyDescent="0.25">
      <c r="A1116" s="5">
        <v>43477</v>
      </c>
      <c r="B1116">
        <v>3601.31</v>
      </c>
      <c r="C1116">
        <v>3618.19</v>
      </c>
      <c r="D1116">
        <v>3530</v>
      </c>
      <c r="E1116">
        <v>3583.13</v>
      </c>
      <c r="F1116">
        <v>21999.928354</v>
      </c>
      <c r="G1116">
        <v>-0.5</v>
      </c>
      <c r="L1116" t="s">
        <v>7</v>
      </c>
      <c r="M1116" t="s">
        <v>8</v>
      </c>
      <c r="N1116" t="s">
        <v>7</v>
      </c>
      <c r="P1116">
        <f t="shared" si="1030"/>
        <v>0.20489851457081476</v>
      </c>
      <c r="Q1116">
        <f t="shared" si="1031"/>
        <v>4507.7526403989496</v>
      </c>
      <c r="R1116">
        <f t="shared" si="1032"/>
        <v>288032.32790655486</v>
      </c>
      <c r="S1116">
        <f t="shared" si="1033"/>
        <v>2.8803232790655486</v>
      </c>
      <c r="T1116">
        <f t="shared" si="1034"/>
        <v>2.8803232790655486E-3</v>
      </c>
    </row>
    <row r="1117" spans="1:20" x14ac:dyDescent="0.25">
      <c r="A1117" s="5">
        <v>43476</v>
      </c>
      <c r="B1117">
        <v>3585.88</v>
      </c>
      <c r="C1117">
        <v>3658</v>
      </c>
      <c r="D1117">
        <v>3465</v>
      </c>
      <c r="E1117">
        <v>3601.31</v>
      </c>
      <c r="F1117">
        <v>38338.654733000003</v>
      </c>
      <c r="G1117">
        <v>0.43</v>
      </c>
      <c r="L1117" t="s">
        <v>7</v>
      </c>
      <c r="M1117" t="s">
        <v>8</v>
      </c>
      <c r="N1117" t="s">
        <v>7</v>
      </c>
      <c r="P1117">
        <f t="shared" si="1030"/>
        <v>0.41253886010362639</v>
      </c>
      <c r="Q1117">
        <f t="shared" si="1031"/>
        <v>15816.184921458322</v>
      </c>
      <c r="R1117">
        <f t="shared" si="1032"/>
        <v>283524.57526615588</v>
      </c>
      <c r="S1117">
        <f t="shared" si="1033"/>
        <v>2.8352457526615589</v>
      </c>
      <c r="T1117">
        <f t="shared" si="1034"/>
        <v>2.8352457526615591E-3</v>
      </c>
    </row>
    <row r="1118" spans="1:20" x14ac:dyDescent="0.25">
      <c r="A1118" s="5">
        <v>43475</v>
      </c>
      <c r="B1118">
        <v>3966.06</v>
      </c>
      <c r="C1118">
        <v>3996.01</v>
      </c>
      <c r="D1118">
        <v>3540</v>
      </c>
      <c r="E1118">
        <v>3585.88</v>
      </c>
      <c r="F1118">
        <v>59402.228510000001</v>
      </c>
      <c r="G1118">
        <v>-9.59</v>
      </c>
      <c r="L1118" t="s">
        <v>7</v>
      </c>
      <c r="M1118" t="s">
        <v>8</v>
      </c>
      <c r="N1118" t="s">
        <v>7</v>
      </c>
      <c r="P1118">
        <f t="shared" si="1030"/>
        <v>-0.79877634262406483</v>
      </c>
      <c r="Q1118">
        <f t="shared" si="1031"/>
        <v>-47449.094832936753</v>
      </c>
      <c r="R1118">
        <f t="shared" si="1032"/>
        <v>267708.39034469757</v>
      </c>
      <c r="S1118">
        <f t="shared" si="1033"/>
        <v>2.6770839034469756</v>
      </c>
      <c r="T1118">
        <f t="shared" si="1034"/>
        <v>2.6770839034469755E-3</v>
      </c>
    </row>
    <row r="1119" spans="1:20" x14ac:dyDescent="0.25">
      <c r="A1119" s="5">
        <v>43474</v>
      </c>
      <c r="B1119">
        <v>3955.45</v>
      </c>
      <c r="C1119">
        <v>4006.81</v>
      </c>
      <c r="D1119">
        <v>3930.04</v>
      </c>
      <c r="E1119">
        <v>3966.65</v>
      </c>
      <c r="F1119">
        <v>28989.439511</v>
      </c>
      <c r="G1119">
        <v>0.28000000000000003</v>
      </c>
      <c r="L1119" t="s">
        <v>8</v>
      </c>
      <c r="M1119" t="s">
        <v>8</v>
      </c>
      <c r="N1119" t="s">
        <v>7</v>
      </c>
      <c r="P1119">
        <f t="shared" si="1030"/>
        <v>-4.6242021623026285E-2</v>
      </c>
      <c r="Q1119">
        <f t="shared" si="1031"/>
        <v>-1340.5302887070745</v>
      </c>
      <c r="R1119">
        <f t="shared" si="1032"/>
        <v>315157.48517763434</v>
      </c>
      <c r="S1119">
        <f t="shared" si="1033"/>
        <v>3.1515748517763433</v>
      </c>
      <c r="T1119">
        <f t="shared" si="1034"/>
        <v>3.1515748517763433E-3</v>
      </c>
    </row>
    <row r="1120" spans="1:20" x14ac:dyDescent="0.25">
      <c r="A1120" s="5">
        <v>43473</v>
      </c>
      <c r="B1120">
        <v>3976.76</v>
      </c>
      <c r="C1120">
        <v>4069.8</v>
      </c>
      <c r="D1120">
        <v>3903</v>
      </c>
      <c r="E1120">
        <v>3955.13</v>
      </c>
      <c r="F1120">
        <v>38901.423122</v>
      </c>
      <c r="G1120">
        <v>-0.54</v>
      </c>
      <c r="L1120" t="s">
        <v>8</v>
      </c>
      <c r="M1120" t="s">
        <v>8</v>
      </c>
      <c r="N1120" t="s">
        <v>7</v>
      </c>
      <c r="P1120">
        <f t="shared" si="1030"/>
        <v>-0.37494004796163005</v>
      </c>
      <c r="Q1120">
        <f t="shared" si="1031"/>
        <v>-14585.701451138344</v>
      </c>
      <c r="R1120">
        <f t="shared" si="1032"/>
        <v>316498.0154663414</v>
      </c>
      <c r="S1120">
        <f t="shared" si="1033"/>
        <v>3.164980154663414</v>
      </c>
      <c r="T1120">
        <f t="shared" si="1034"/>
        <v>3.164980154663414E-3</v>
      </c>
    </row>
    <row r="1121" spans="1:20" x14ac:dyDescent="0.25">
      <c r="A1121" s="5">
        <v>43472</v>
      </c>
      <c r="B1121">
        <v>3987.62</v>
      </c>
      <c r="C1121">
        <v>4017.9</v>
      </c>
      <c r="D1121">
        <v>3921.53</v>
      </c>
      <c r="E1121">
        <v>3975.45</v>
      </c>
      <c r="F1121">
        <v>31869.846264</v>
      </c>
      <c r="G1121">
        <v>-0.31</v>
      </c>
      <c r="L1121" t="s">
        <v>8</v>
      </c>
      <c r="M1121" t="s">
        <v>8</v>
      </c>
      <c r="N1121" t="s">
        <v>7</v>
      </c>
      <c r="P1121">
        <f t="shared" si="1030"/>
        <v>0.11902044204627331</v>
      </c>
      <c r="Q1121">
        <f t="shared" si="1031"/>
        <v>3793.1631902880517</v>
      </c>
      <c r="R1121">
        <f t="shared" si="1032"/>
        <v>331083.71691747976</v>
      </c>
      <c r="S1121">
        <f t="shared" si="1033"/>
        <v>3.3108371691747975</v>
      </c>
      <c r="T1121">
        <f t="shared" si="1034"/>
        <v>3.3108371691747975E-3</v>
      </c>
    </row>
    <row r="1122" spans="1:20" x14ac:dyDescent="0.25">
      <c r="A1122" s="5">
        <v>43471</v>
      </c>
      <c r="B1122">
        <v>3771.12</v>
      </c>
      <c r="C1122">
        <v>4027.71</v>
      </c>
      <c r="D1122">
        <v>3740</v>
      </c>
      <c r="E1122">
        <v>3987.6</v>
      </c>
      <c r="F1122">
        <v>36553.806708999997</v>
      </c>
      <c r="G1122">
        <v>5.74</v>
      </c>
      <c r="L1122" t="s">
        <v>8</v>
      </c>
      <c r="M1122" t="s">
        <v>8</v>
      </c>
      <c r="N1122" t="s">
        <v>7</v>
      </c>
      <c r="P1122">
        <f t="shared" si="1030"/>
        <v>0.72117757464113086</v>
      </c>
      <c r="Q1122">
        <f t="shared" si="1031"/>
        <v>26361.785666297314</v>
      </c>
      <c r="R1122">
        <f t="shared" si="1032"/>
        <v>327290.5537271917</v>
      </c>
      <c r="S1122">
        <f t="shared" si="1033"/>
        <v>3.2729055372719169</v>
      </c>
      <c r="T1122">
        <f t="shared" si="1034"/>
        <v>3.2729055372719171E-3</v>
      </c>
    </row>
    <row r="1123" spans="1:20" x14ac:dyDescent="0.25">
      <c r="A1123" s="5">
        <v>43470</v>
      </c>
      <c r="B1123">
        <v>3790.09</v>
      </c>
      <c r="C1123">
        <v>3840.99</v>
      </c>
      <c r="D1123">
        <v>3751</v>
      </c>
      <c r="E1123">
        <v>3770.96</v>
      </c>
      <c r="F1123">
        <v>30490.667751000001</v>
      </c>
      <c r="G1123">
        <v>-0.5</v>
      </c>
      <c r="L1123" t="s">
        <v>8</v>
      </c>
      <c r="M1123" t="s">
        <v>8</v>
      </c>
      <c r="N1123" t="s">
        <v>7</v>
      </c>
      <c r="P1123">
        <f t="shared" si="1030"/>
        <v>-0.55639515501722225</v>
      </c>
      <c r="Q1123">
        <f t="shared" si="1031"/>
        <v>-16964.859809896265</v>
      </c>
      <c r="R1123">
        <f t="shared" si="1032"/>
        <v>300928.76806089439</v>
      </c>
      <c r="S1123">
        <f t="shared" si="1033"/>
        <v>3.0092876806089439</v>
      </c>
      <c r="T1123">
        <f t="shared" si="1034"/>
        <v>3.009287680608944E-3</v>
      </c>
    </row>
    <row r="1124" spans="1:20" x14ac:dyDescent="0.25">
      <c r="A1124" s="5">
        <v>43469</v>
      </c>
      <c r="B1124">
        <v>3767.2</v>
      </c>
      <c r="C1124">
        <v>3823.64</v>
      </c>
      <c r="D1124">
        <v>3703.57</v>
      </c>
      <c r="E1124">
        <v>3792.01</v>
      </c>
      <c r="F1124">
        <v>29519.554671000002</v>
      </c>
      <c r="G1124">
        <v>0.66</v>
      </c>
      <c r="L1124" t="s">
        <v>8</v>
      </c>
      <c r="M1124" t="s">
        <v>8</v>
      </c>
      <c r="N1124" t="s">
        <v>7</v>
      </c>
      <c r="P1124">
        <f t="shared" si="1030"/>
        <v>0.47314066794370396</v>
      </c>
      <c r="Q1124">
        <f t="shared" si="1031"/>
        <v>13966.901814437628</v>
      </c>
      <c r="R1124">
        <f t="shared" si="1032"/>
        <v>317893.62787079066</v>
      </c>
      <c r="S1124">
        <f t="shared" si="1033"/>
        <v>3.1789362787079067</v>
      </c>
      <c r="T1124">
        <f t="shared" si="1034"/>
        <v>3.1789362787079068E-3</v>
      </c>
    </row>
    <row r="1125" spans="1:20" x14ac:dyDescent="0.25">
      <c r="A1125" s="5">
        <v>43468</v>
      </c>
      <c r="B1125">
        <v>3857.57</v>
      </c>
      <c r="C1125">
        <v>3862.74</v>
      </c>
      <c r="D1125">
        <v>3730</v>
      </c>
      <c r="E1125">
        <v>3766.78</v>
      </c>
      <c r="F1125">
        <v>29406.948359000002</v>
      </c>
      <c r="G1125">
        <v>-2.35</v>
      </c>
      <c r="L1125" t="s">
        <v>8</v>
      </c>
      <c r="M1125" t="s">
        <v>8</v>
      </c>
      <c r="N1125" t="s">
        <v>7</v>
      </c>
      <c r="P1125">
        <f t="shared" si="1030"/>
        <v>-0.44583396112701129</v>
      </c>
      <c r="Q1125">
        <f t="shared" si="1031"/>
        <v>-13110.616271550436</v>
      </c>
      <c r="R1125">
        <f t="shared" si="1032"/>
        <v>303926.72605635301</v>
      </c>
      <c r="S1125">
        <f t="shared" si="1033"/>
        <v>3.03926726056353</v>
      </c>
      <c r="T1125">
        <f t="shared" si="1034"/>
        <v>3.03926726056353E-3</v>
      </c>
    </row>
    <row r="1126" spans="1:20" x14ac:dyDescent="0.25">
      <c r="A1126" s="5">
        <v>43467</v>
      </c>
      <c r="B1126">
        <v>3796.45</v>
      </c>
      <c r="C1126">
        <v>3882.14</v>
      </c>
      <c r="D1126">
        <v>3750.45</v>
      </c>
      <c r="E1126">
        <v>3858.56</v>
      </c>
      <c r="F1126">
        <v>35156.463368999997</v>
      </c>
      <c r="G1126">
        <v>1.64</v>
      </c>
      <c r="L1126" t="s">
        <v>8</v>
      </c>
      <c r="M1126" t="s">
        <v>8</v>
      </c>
      <c r="N1126" t="s">
        <v>7</v>
      </c>
      <c r="P1126">
        <f t="shared" si="1030"/>
        <v>0.64188624800668359</v>
      </c>
      <c r="Q1126">
        <f t="shared" si="1031"/>
        <v>22566.450365111818</v>
      </c>
      <c r="R1126">
        <f t="shared" si="1032"/>
        <v>317037.34232790343</v>
      </c>
      <c r="S1126">
        <f t="shared" si="1033"/>
        <v>3.1703734232790342</v>
      </c>
      <c r="T1126">
        <f t="shared" si="1034"/>
        <v>3.170373423279034E-3</v>
      </c>
    </row>
    <row r="1127" spans="1:20" x14ac:dyDescent="0.25">
      <c r="A1127" s="5">
        <v>43466</v>
      </c>
      <c r="B1127">
        <v>3701.23</v>
      </c>
      <c r="C1127">
        <v>3810.16</v>
      </c>
      <c r="D1127">
        <v>3642</v>
      </c>
      <c r="E1127">
        <v>3797.14</v>
      </c>
      <c r="F1127">
        <v>23741.687032999998</v>
      </c>
      <c r="G1127">
        <v>2.59</v>
      </c>
      <c r="L1127" t="s">
        <v>7</v>
      </c>
      <c r="M1127" t="s">
        <v>8</v>
      </c>
      <c r="N1127" t="s">
        <v>7</v>
      </c>
      <c r="P1127">
        <f t="shared" si="1030"/>
        <v>0.84514747859181738</v>
      </c>
      <c r="Q1127">
        <f t="shared" si="1031"/>
        <v>20065.226933455993</v>
      </c>
      <c r="R1127">
        <f t="shared" si="1032"/>
        <v>294470.89196279162</v>
      </c>
      <c r="S1127">
        <f t="shared" si="1033"/>
        <v>2.9447089196279164</v>
      </c>
      <c r="T1127">
        <f t="shared" si="1034"/>
        <v>2.9447089196279162E-3</v>
      </c>
    </row>
    <row r="1128" spans="1:20" x14ac:dyDescent="0.25">
      <c r="A1128" s="5">
        <v>43465</v>
      </c>
      <c r="B1128">
        <v>3803.12</v>
      </c>
      <c r="C1128">
        <v>3810</v>
      </c>
      <c r="D1128">
        <v>3630.33</v>
      </c>
      <c r="E1128">
        <v>3702.9</v>
      </c>
      <c r="F1128">
        <v>29991.778350000001</v>
      </c>
      <c r="G1128">
        <v>-2.64</v>
      </c>
      <c r="L1128" t="s">
        <v>7</v>
      </c>
      <c r="M1128" t="s">
        <v>8</v>
      </c>
      <c r="N1128" t="s">
        <v>7</v>
      </c>
      <c r="P1128">
        <f t="shared" si="1030"/>
        <v>-0.19218567373517967</v>
      </c>
      <c r="Q1128">
        <f t="shared" si="1031"/>
        <v>-5763.9901287109251</v>
      </c>
      <c r="R1128">
        <f t="shared" si="1032"/>
        <v>274405.66502933565</v>
      </c>
      <c r="S1128">
        <f t="shared" si="1033"/>
        <v>2.7440566502933565</v>
      </c>
      <c r="T1128">
        <f t="shared" si="1034"/>
        <v>2.7440566502933564E-3</v>
      </c>
    </row>
    <row r="1129" spans="1:20" x14ac:dyDescent="0.25">
      <c r="A1129" s="5">
        <v>43464</v>
      </c>
      <c r="B1129">
        <v>3696.71</v>
      </c>
      <c r="C1129">
        <v>3903.5</v>
      </c>
      <c r="D1129">
        <v>3657.9</v>
      </c>
      <c r="E1129">
        <v>3801.91</v>
      </c>
      <c r="F1129">
        <v>33222.369262</v>
      </c>
      <c r="G1129">
        <v>2.85</v>
      </c>
      <c r="L1129" t="s">
        <v>8</v>
      </c>
      <c r="M1129" t="s">
        <v>8</v>
      </c>
      <c r="N1129" t="s">
        <v>7</v>
      </c>
      <c r="P1129">
        <f t="shared" si="1030"/>
        <v>0.17271986970683889</v>
      </c>
      <c r="Q1129">
        <f t="shared" si="1031"/>
        <v>5738.1632902851297</v>
      </c>
      <c r="R1129">
        <f t="shared" si="1032"/>
        <v>280169.65515804657</v>
      </c>
      <c r="S1129">
        <f t="shared" si="1033"/>
        <v>2.8016965515804659</v>
      </c>
      <c r="T1129">
        <f t="shared" si="1034"/>
        <v>2.801696551580466E-3</v>
      </c>
    </row>
    <row r="1130" spans="1:20" x14ac:dyDescent="0.25">
      <c r="A1130" s="5">
        <v>43463</v>
      </c>
      <c r="B1130">
        <v>3839</v>
      </c>
      <c r="C1130">
        <v>3892</v>
      </c>
      <c r="D1130">
        <v>3670</v>
      </c>
      <c r="E1130">
        <v>3695.32</v>
      </c>
      <c r="F1130">
        <v>38874.373903</v>
      </c>
      <c r="G1130">
        <v>-3.74</v>
      </c>
      <c r="L1130" t="s">
        <v>8</v>
      </c>
      <c r="M1130" t="s">
        <v>8</v>
      </c>
      <c r="N1130" t="s">
        <v>7</v>
      </c>
      <c r="P1130">
        <f t="shared" si="1030"/>
        <v>-0.77189189189189045</v>
      </c>
      <c r="Q1130">
        <f t="shared" si="1031"/>
        <v>-30006.814018099401</v>
      </c>
      <c r="R1130">
        <f t="shared" si="1032"/>
        <v>274431.49186776142</v>
      </c>
      <c r="S1130">
        <f t="shared" si="1033"/>
        <v>2.7443149186776141</v>
      </c>
      <c r="T1130">
        <f t="shared" si="1034"/>
        <v>2.7443149186776143E-3</v>
      </c>
    </row>
    <row r="1131" spans="1:20" x14ac:dyDescent="0.25">
      <c r="A1131" s="5">
        <v>43462</v>
      </c>
      <c r="B1131">
        <v>3567.89</v>
      </c>
      <c r="C1131">
        <v>3887.25</v>
      </c>
      <c r="D1131">
        <v>3540.04</v>
      </c>
      <c r="E1131">
        <v>3839.26</v>
      </c>
      <c r="F1131">
        <v>45964.304987000003</v>
      </c>
      <c r="G1131">
        <v>7.61</v>
      </c>
      <c r="L1131" t="s">
        <v>8</v>
      </c>
      <c r="M1131" t="s">
        <v>8</v>
      </c>
      <c r="N1131" t="s">
        <v>7</v>
      </c>
      <c r="P1131">
        <f t="shared" si="1030"/>
        <v>0.72356786958901087</v>
      </c>
      <c r="Q1131">
        <f t="shared" si="1031"/>
        <v>33258.29423658314</v>
      </c>
      <c r="R1131">
        <f t="shared" si="1032"/>
        <v>304438.30588586081</v>
      </c>
      <c r="S1131">
        <f t="shared" si="1033"/>
        <v>3.044383058858608</v>
      </c>
      <c r="T1131">
        <f t="shared" si="1034"/>
        <v>3.044383058858608E-3</v>
      </c>
    </row>
    <row r="1132" spans="1:20" x14ac:dyDescent="0.25">
      <c r="A1132" s="5">
        <v>43461</v>
      </c>
      <c r="B1132">
        <v>3777.74</v>
      </c>
      <c r="C1132">
        <v>3813.98</v>
      </c>
      <c r="D1132">
        <v>3535</v>
      </c>
      <c r="E1132">
        <v>3567.91</v>
      </c>
      <c r="F1132">
        <v>44097.392912000003</v>
      </c>
      <c r="G1132">
        <v>-5.55</v>
      </c>
      <c r="L1132" t="s">
        <v>7</v>
      </c>
      <c r="M1132" t="s">
        <v>8</v>
      </c>
      <c r="N1132" t="s">
        <v>7</v>
      </c>
      <c r="P1132">
        <f t="shared" si="1030"/>
        <v>-0.76406910889669621</v>
      </c>
      <c r="Q1132">
        <f t="shared" si="1031"/>
        <v>-33693.455706939327</v>
      </c>
      <c r="R1132">
        <f t="shared" si="1032"/>
        <v>271180.01164927764</v>
      </c>
      <c r="S1132">
        <f t="shared" si="1033"/>
        <v>2.7118001164927765</v>
      </c>
      <c r="T1132">
        <f t="shared" si="1034"/>
        <v>2.7118001164927767E-3</v>
      </c>
    </row>
    <row r="1133" spans="1:20" x14ac:dyDescent="0.25">
      <c r="A1133" s="5">
        <v>43460</v>
      </c>
      <c r="B1133">
        <v>3745.56</v>
      </c>
      <c r="C1133">
        <v>3837.15</v>
      </c>
      <c r="D1133">
        <v>3656.74</v>
      </c>
      <c r="E1133">
        <v>3777.74</v>
      </c>
      <c r="F1133">
        <v>42629.375817</v>
      </c>
      <c r="G1133">
        <v>0.86</v>
      </c>
      <c r="L1133" t="s">
        <v>7</v>
      </c>
      <c r="M1133" t="s">
        <v>8</v>
      </c>
      <c r="N1133" t="s">
        <v>7</v>
      </c>
      <c r="P1133">
        <f t="shared" si="1030"/>
        <v>0.34138905825619192</v>
      </c>
      <c r="Q1133">
        <f t="shared" si="1031"/>
        <v>14553.202464214912</v>
      </c>
      <c r="R1133">
        <f t="shared" si="1032"/>
        <v>304873.46735621698</v>
      </c>
      <c r="S1133">
        <f t="shared" si="1033"/>
        <v>3.0487346735621697</v>
      </c>
      <c r="T1133">
        <f t="shared" si="1034"/>
        <v>3.0487346735621696E-3</v>
      </c>
    </row>
    <row r="1134" spans="1:20" x14ac:dyDescent="0.25">
      <c r="A1134" s="5">
        <v>43459</v>
      </c>
      <c r="B1134">
        <v>4010.11</v>
      </c>
      <c r="C1134">
        <v>4020</v>
      </c>
      <c r="D1134">
        <v>3646.41</v>
      </c>
      <c r="E1134">
        <v>3745.79</v>
      </c>
      <c r="F1134">
        <v>62725.629432000002</v>
      </c>
      <c r="G1134">
        <v>-6.59</v>
      </c>
      <c r="L1134" t="s">
        <v>7</v>
      </c>
      <c r="M1134" t="s">
        <v>8</v>
      </c>
      <c r="N1134" t="s">
        <v>7</v>
      </c>
      <c r="P1134">
        <f t="shared" si="1030"/>
        <v>-0.46797291148049963</v>
      </c>
      <c r="Q1134">
        <f t="shared" si="1031"/>
        <v>-29353.895429739958</v>
      </c>
      <c r="R1134">
        <f t="shared" si="1032"/>
        <v>290320.26489200204</v>
      </c>
      <c r="S1134">
        <f t="shared" si="1033"/>
        <v>2.9032026489200202</v>
      </c>
      <c r="T1134">
        <f t="shared" si="1034"/>
        <v>2.9032026489200203E-3</v>
      </c>
    </row>
    <row r="1135" spans="1:20" x14ac:dyDescent="0.25">
      <c r="A1135" s="5">
        <v>43458</v>
      </c>
      <c r="B1135">
        <v>3929.71</v>
      </c>
      <c r="C1135">
        <v>4198</v>
      </c>
      <c r="D1135">
        <v>3924.83</v>
      </c>
      <c r="E1135">
        <v>4008.01</v>
      </c>
      <c r="F1135">
        <v>64647.809129000001</v>
      </c>
      <c r="G1135">
        <v>1.99</v>
      </c>
      <c r="L1135" t="s">
        <v>8</v>
      </c>
      <c r="M1135" t="s">
        <v>8</v>
      </c>
      <c r="N1135" t="s">
        <v>7</v>
      </c>
      <c r="P1135">
        <f t="shared" si="1030"/>
        <v>-0.39100194018376638</v>
      </c>
      <c r="Q1135">
        <f t="shared" si="1031"/>
        <v>-25277.418798068804</v>
      </c>
      <c r="R1135">
        <f t="shared" si="1032"/>
        <v>319674.16032174201</v>
      </c>
      <c r="S1135">
        <f t="shared" si="1033"/>
        <v>3.1967416032174198</v>
      </c>
      <c r="T1135">
        <f t="shared" si="1034"/>
        <v>3.1967416032174199E-3</v>
      </c>
    </row>
    <row r="1136" spans="1:20" x14ac:dyDescent="0.25">
      <c r="A1136" s="5">
        <v>43457</v>
      </c>
      <c r="B1136">
        <v>3948.91</v>
      </c>
      <c r="C1136">
        <v>4021.53</v>
      </c>
      <c r="D1136">
        <v>3870</v>
      </c>
      <c r="E1136">
        <v>3929.71</v>
      </c>
      <c r="F1136">
        <v>40117.531529</v>
      </c>
      <c r="G1136">
        <v>-0.49</v>
      </c>
      <c r="L1136" t="s">
        <v>8</v>
      </c>
      <c r="M1136" t="s">
        <v>8</v>
      </c>
      <c r="N1136" t="s">
        <v>7</v>
      </c>
      <c r="P1136">
        <f t="shared" si="1030"/>
        <v>-0.21190523328713842</v>
      </c>
      <c r="Q1136">
        <f t="shared" si="1031"/>
        <v>-8501.1148775568763</v>
      </c>
      <c r="R1136">
        <f t="shared" si="1032"/>
        <v>344951.57911981083</v>
      </c>
      <c r="S1136">
        <f t="shared" si="1033"/>
        <v>3.4495157911981082</v>
      </c>
      <c r="T1136">
        <f t="shared" si="1034"/>
        <v>3.4495157911981081E-3</v>
      </c>
    </row>
    <row r="1137" spans="1:20" x14ac:dyDescent="0.25">
      <c r="A1137" s="5">
        <v>43456</v>
      </c>
      <c r="B1137">
        <v>3840.25</v>
      </c>
      <c r="C1137">
        <v>3979</v>
      </c>
      <c r="D1137">
        <v>3785</v>
      </c>
      <c r="E1137">
        <v>3948.91</v>
      </c>
      <c r="F1137">
        <v>42822.350872000003</v>
      </c>
      <c r="G1137">
        <v>2.83</v>
      </c>
      <c r="L1137" t="s">
        <v>7</v>
      </c>
      <c r="M1137" t="s">
        <v>8</v>
      </c>
      <c r="N1137" t="s">
        <v>7</v>
      </c>
      <c r="P1137">
        <f t="shared" si="1030"/>
        <v>0.68979381443298815</v>
      </c>
      <c r="Q1137">
        <f t="shared" si="1031"/>
        <v>29538.592750984677</v>
      </c>
      <c r="R1137">
        <f t="shared" si="1032"/>
        <v>353452.69399736769</v>
      </c>
      <c r="S1137">
        <f t="shared" si="1033"/>
        <v>3.5345269399736767</v>
      </c>
      <c r="T1137">
        <f t="shared" si="1034"/>
        <v>3.5345269399736767E-3</v>
      </c>
    </row>
    <row r="1138" spans="1:20" x14ac:dyDescent="0.25">
      <c r="A1138" s="5">
        <v>43455</v>
      </c>
      <c r="B1138">
        <v>4051.86</v>
      </c>
      <c r="C1138">
        <v>4139.99</v>
      </c>
      <c r="D1138">
        <v>3764</v>
      </c>
      <c r="E1138">
        <v>3838.66</v>
      </c>
      <c r="F1138">
        <v>82343.850112</v>
      </c>
      <c r="G1138">
        <v>-5.26</v>
      </c>
      <c r="L1138" t="s">
        <v>7</v>
      </c>
      <c r="M1138" t="s">
        <v>8</v>
      </c>
      <c r="N1138" t="s">
        <v>7</v>
      </c>
      <c r="P1138">
        <f t="shared" si="1030"/>
        <v>-0.60286177823878351</v>
      </c>
      <c r="Q1138">
        <f t="shared" si="1031"/>
        <v>-49641.959905548174</v>
      </c>
      <c r="R1138">
        <f t="shared" si="1032"/>
        <v>323914.10124638304</v>
      </c>
      <c r="S1138">
        <f t="shared" si="1033"/>
        <v>3.2391410124638305</v>
      </c>
      <c r="T1138">
        <f t="shared" si="1034"/>
        <v>3.2391410124638304E-3</v>
      </c>
    </row>
    <row r="1139" spans="1:20" x14ac:dyDescent="0.25">
      <c r="A1139" s="5">
        <v>43454</v>
      </c>
      <c r="B1139">
        <v>3660.01</v>
      </c>
      <c r="C1139">
        <v>4120</v>
      </c>
      <c r="D1139">
        <v>3635</v>
      </c>
      <c r="E1139">
        <v>4049.62</v>
      </c>
      <c r="F1139">
        <v>101543.83598600001</v>
      </c>
      <c r="G1139">
        <v>10.65</v>
      </c>
      <c r="L1139" t="s">
        <v>8</v>
      </c>
      <c r="M1139" t="s">
        <v>8</v>
      </c>
      <c r="N1139" t="s">
        <v>7</v>
      </c>
      <c r="P1139">
        <f t="shared" si="1030"/>
        <v>0.70977319587628818</v>
      </c>
      <c r="Q1139">
        <f t="shared" si="1031"/>
        <v>72073.092989320867</v>
      </c>
      <c r="R1139">
        <f t="shared" si="1032"/>
        <v>373556.06115193124</v>
      </c>
      <c r="S1139">
        <f t="shared" si="1033"/>
        <v>3.7355606115193125</v>
      </c>
      <c r="T1139">
        <f t="shared" si="1034"/>
        <v>3.7355606115193124E-3</v>
      </c>
    </row>
    <row r="1140" spans="1:20" x14ac:dyDescent="0.25">
      <c r="A1140" s="5">
        <v>43453</v>
      </c>
      <c r="B1140">
        <v>3653</v>
      </c>
      <c r="C1140">
        <v>3912.73</v>
      </c>
      <c r="D1140">
        <v>3622.55</v>
      </c>
      <c r="E1140">
        <v>3662.22</v>
      </c>
      <c r="F1140">
        <v>94137.341014000005</v>
      </c>
      <c r="G1140">
        <v>0.25</v>
      </c>
      <c r="L1140" t="s">
        <v>8</v>
      </c>
      <c r="M1140" t="s">
        <v>8</v>
      </c>
      <c r="N1140" t="s">
        <v>7</v>
      </c>
      <c r="P1140">
        <f t="shared" si="1030"/>
        <v>-0.72658349989661841</v>
      </c>
      <c r="Q1140">
        <f t="shared" si="1031"/>
        <v>-68398.63870491361</v>
      </c>
      <c r="R1140">
        <f t="shared" si="1032"/>
        <v>301482.96816261037</v>
      </c>
      <c r="S1140">
        <f t="shared" si="1033"/>
        <v>3.0148296816261038</v>
      </c>
      <c r="T1140">
        <f t="shared" si="1034"/>
        <v>3.0148296816261038E-3</v>
      </c>
    </row>
    <row r="1141" spans="1:20" x14ac:dyDescent="0.25">
      <c r="A1141" s="5">
        <v>43452</v>
      </c>
      <c r="B1141">
        <v>3509.03</v>
      </c>
      <c r="C1141">
        <v>3678.59</v>
      </c>
      <c r="D1141">
        <v>3424.47</v>
      </c>
      <c r="E1141">
        <v>3652.98</v>
      </c>
      <c r="F1141">
        <v>61369.615256999998</v>
      </c>
      <c r="G1141">
        <v>4.0999999999999996</v>
      </c>
      <c r="L1141" t="s">
        <v>8</v>
      </c>
      <c r="M1141" t="s">
        <v>7</v>
      </c>
      <c r="N1141" t="s">
        <v>7</v>
      </c>
      <c r="P1141">
        <f t="shared" si="1030"/>
        <v>0.7984416810955447</v>
      </c>
      <c r="Q1141">
        <f t="shared" si="1031"/>
        <v>49000.058773985867</v>
      </c>
      <c r="R1141">
        <f t="shared" si="1032"/>
        <v>369881.60686752398</v>
      </c>
      <c r="S1141">
        <f t="shared" si="1033"/>
        <v>3.6988160686752396</v>
      </c>
      <c r="T1141">
        <f t="shared" si="1034"/>
        <v>3.6988160686752397E-3</v>
      </c>
    </row>
    <row r="1142" spans="1:20" x14ac:dyDescent="0.25">
      <c r="A1142" s="5">
        <v>43451</v>
      </c>
      <c r="B1142">
        <v>3229.22</v>
      </c>
      <c r="C1142">
        <v>3585</v>
      </c>
      <c r="D1142">
        <v>3216</v>
      </c>
      <c r="E1142">
        <v>3509.08</v>
      </c>
      <c r="F1142">
        <v>66761.751697</v>
      </c>
      <c r="G1142">
        <v>8.67</v>
      </c>
      <c r="L1142" t="s">
        <v>8</v>
      </c>
      <c r="M1142" t="s">
        <v>7</v>
      </c>
      <c r="N1142" t="s">
        <v>7</v>
      </c>
      <c r="P1142">
        <f t="shared" si="1030"/>
        <v>0.58850948509485057</v>
      </c>
      <c r="Q1142">
        <f t="shared" si="1031"/>
        <v>39289.924115231734</v>
      </c>
      <c r="R1142">
        <f t="shared" si="1032"/>
        <v>320881.54809353809</v>
      </c>
      <c r="S1142">
        <f t="shared" si="1033"/>
        <v>3.2088154809353808</v>
      </c>
      <c r="T1142">
        <f t="shared" si="1034"/>
        <v>3.2088154809353808E-3</v>
      </c>
    </row>
    <row r="1143" spans="1:20" x14ac:dyDescent="0.25">
      <c r="A1143" s="5">
        <v>43450</v>
      </c>
      <c r="B1143">
        <v>3211.71</v>
      </c>
      <c r="C1143">
        <v>3294</v>
      </c>
      <c r="D1143">
        <v>3186</v>
      </c>
      <c r="E1143">
        <v>3228.67</v>
      </c>
      <c r="F1143">
        <v>24628.808538000001</v>
      </c>
      <c r="G1143">
        <v>0.53</v>
      </c>
      <c r="L1143" t="s">
        <v>7</v>
      </c>
      <c r="M1143" t="s">
        <v>7</v>
      </c>
      <c r="N1143" t="s">
        <v>7</v>
      </c>
      <c r="P1143">
        <f t="shared" si="1030"/>
        <v>-0.20981481481481346</v>
      </c>
      <c r="Q1143">
        <f t="shared" si="1031"/>
        <v>-5167.4889025099665</v>
      </c>
      <c r="R1143">
        <f t="shared" si="1032"/>
        <v>281591.62397830636</v>
      </c>
      <c r="S1143">
        <f t="shared" si="1033"/>
        <v>2.8159162397830637</v>
      </c>
      <c r="T1143">
        <f t="shared" si="1034"/>
        <v>2.8159162397830635E-3</v>
      </c>
    </row>
    <row r="1144" spans="1:20" x14ac:dyDescent="0.25">
      <c r="A1144" s="5">
        <v>43449</v>
      </c>
      <c r="B1144">
        <v>3225.19</v>
      </c>
      <c r="C1144">
        <v>3276.5</v>
      </c>
      <c r="D1144">
        <v>3156.26</v>
      </c>
      <c r="E1144">
        <v>3211.72</v>
      </c>
      <c r="F1144">
        <v>29796.041436</v>
      </c>
      <c r="G1144">
        <v>-0.42</v>
      </c>
      <c r="L1144" t="s">
        <v>7</v>
      </c>
      <c r="M1144" t="s">
        <v>7</v>
      </c>
      <c r="N1144" t="s">
        <v>7</v>
      </c>
      <c r="P1144">
        <f t="shared" si="1030"/>
        <v>-7.7511643379912135E-2</v>
      </c>
      <c r="Q1144">
        <f t="shared" si="1031"/>
        <v>-2309.5401379203172</v>
      </c>
      <c r="R1144">
        <f t="shared" si="1032"/>
        <v>286759.11288081633</v>
      </c>
      <c r="S1144">
        <f t="shared" si="1033"/>
        <v>2.8675911288081632</v>
      </c>
      <c r="T1144">
        <f t="shared" si="1034"/>
        <v>2.8675911288081634E-3</v>
      </c>
    </row>
    <row r="1145" spans="1:20" x14ac:dyDescent="0.25">
      <c r="A1145" s="5">
        <v>43448</v>
      </c>
      <c r="B1145">
        <v>3302.06</v>
      </c>
      <c r="C1145">
        <v>3335.39</v>
      </c>
      <c r="D1145">
        <v>3177</v>
      </c>
      <c r="E1145">
        <v>3224.17</v>
      </c>
      <c r="F1145">
        <v>44492.983806999997</v>
      </c>
      <c r="G1145">
        <v>-2.36</v>
      </c>
      <c r="L1145" t="s">
        <v>7</v>
      </c>
      <c r="M1145" t="s">
        <v>7</v>
      </c>
      <c r="N1145" t="s">
        <v>7</v>
      </c>
      <c r="P1145">
        <f t="shared" si="1030"/>
        <v>-0.40438158974682603</v>
      </c>
      <c r="Q1145">
        <f t="shared" si="1031"/>
        <v>-17992.143524454448</v>
      </c>
      <c r="R1145">
        <f t="shared" si="1032"/>
        <v>289068.65301873663</v>
      </c>
      <c r="S1145">
        <f t="shared" si="1033"/>
        <v>2.8906865301873661</v>
      </c>
      <c r="T1145">
        <f t="shared" si="1034"/>
        <v>2.8906865301873662E-3</v>
      </c>
    </row>
    <row r="1146" spans="1:20" x14ac:dyDescent="0.25">
      <c r="A1146" s="5">
        <v>43447</v>
      </c>
      <c r="B1146">
        <v>3446.38</v>
      </c>
      <c r="C1146">
        <v>3460</v>
      </c>
      <c r="D1146">
        <v>3255.5</v>
      </c>
      <c r="E1146">
        <v>3302.06</v>
      </c>
      <c r="F1146">
        <v>40040.917012999998</v>
      </c>
      <c r="G1146">
        <v>-4.1900000000000004</v>
      </c>
      <c r="L1146" t="s">
        <v>7</v>
      </c>
      <c r="M1146" t="s">
        <v>7</v>
      </c>
      <c r="N1146" t="s">
        <v>7</v>
      </c>
      <c r="P1146">
        <f t="shared" si="1030"/>
        <v>-0.54464547677261665</v>
      </c>
      <c r="Q1146">
        <f t="shared" si="1031"/>
        <v>-21808.10433695816</v>
      </c>
      <c r="R1146">
        <f t="shared" si="1032"/>
        <v>307060.79654319107</v>
      </c>
      <c r="S1146">
        <f t="shared" si="1033"/>
        <v>3.0706079654319107</v>
      </c>
      <c r="T1146">
        <f t="shared" si="1034"/>
        <v>3.0706079654319106E-3</v>
      </c>
    </row>
    <row r="1147" spans="1:20" x14ac:dyDescent="0.25">
      <c r="A1147" s="5">
        <v>43446</v>
      </c>
      <c r="B1147">
        <v>3379.23</v>
      </c>
      <c r="C1147">
        <v>3492</v>
      </c>
      <c r="D1147">
        <v>3350</v>
      </c>
      <c r="E1147">
        <v>3445</v>
      </c>
      <c r="F1147">
        <v>33922.931285999999</v>
      </c>
      <c r="G1147">
        <v>1.95</v>
      </c>
      <c r="L1147" t="s">
        <v>7</v>
      </c>
      <c r="M1147" t="s">
        <v>7</v>
      </c>
      <c r="N1147" t="s">
        <v>7</v>
      </c>
      <c r="P1147">
        <f t="shared" si="1030"/>
        <v>0.3380281690140845</v>
      </c>
      <c r="Q1147">
        <f t="shared" si="1031"/>
        <v>11466.906350197183</v>
      </c>
      <c r="R1147">
        <f t="shared" si="1032"/>
        <v>328868.90088014922</v>
      </c>
      <c r="S1147">
        <f t="shared" si="1033"/>
        <v>3.2886890088014922</v>
      </c>
      <c r="T1147">
        <f t="shared" si="1034"/>
        <v>3.2886890088014921E-3</v>
      </c>
    </row>
    <row r="1148" spans="1:20" x14ac:dyDescent="0.25">
      <c r="A1148" s="5">
        <v>43445</v>
      </c>
      <c r="B1148">
        <v>3434.01</v>
      </c>
      <c r="C1148">
        <v>3480</v>
      </c>
      <c r="D1148">
        <v>3324.32</v>
      </c>
      <c r="E1148">
        <v>3380.39</v>
      </c>
      <c r="F1148">
        <v>35920.864154000003</v>
      </c>
      <c r="G1148">
        <v>-1.56</v>
      </c>
      <c r="L1148" t="s">
        <v>7</v>
      </c>
      <c r="M1148" t="s">
        <v>7</v>
      </c>
      <c r="N1148" t="s">
        <v>7</v>
      </c>
      <c r="P1148">
        <f t="shared" si="1030"/>
        <v>-0.27967625899280874</v>
      </c>
      <c r="Q1148">
        <f t="shared" si="1031"/>
        <v>-10046.212906379604</v>
      </c>
      <c r="R1148">
        <f t="shared" si="1032"/>
        <v>317401.99452995206</v>
      </c>
      <c r="S1148">
        <f t="shared" si="1033"/>
        <v>3.1740199452995208</v>
      </c>
      <c r="T1148">
        <f t="shared" si="1034"/>
        <v>3.1740199452995207E-3</v>
      </c>
    </row>
    <row r="1149" spans="1:20" x14ac:dyDescent="0.25">
      <c r="A1149" s="5">
        <v>43444</v>
      </c>
      <c r="B1149">
        <v>3548.49</v>
      </c>
      <c r="C1149">
        <v>3610</v>
      </c>
      <c r="D1149">
        <v>3370.11</v>
      </c>
      <c r="E1149">
        <v>3432.88</v>
      </c>
      <c r="F1149">
        <v>40989.244552999997</v>
      </c>
      <c r="G1149">
        <v>-3.26</v>
      </c>
      <c r="L1149" t="s">
        <v>7</v>
      </c>
      <c r="M1149" t="s">
        <v>7</v>
      </c>
      <c r="N1149" t="s">
        <v>7</v>
      </c>
      <c r="P1149">
        <f t="shared" si="1030"/>
        <v>-0.476676810204677</v>
      </c>
      <c r="Q1149">
        <f t="shared" si="1031"/>
        <v>-19538.62234622347</v>
      </c>
      <c r="R1149">
        <f t="shared" si="1032"/>
        <v>327448.20743633166</v>
      </c>
      <c r="S1149">
        <f t="shared" si="1033"/>
        <v>3.2744820743633167</v>
      </c>
      <c r="T1149">
        <f t="shared" si="1034"/>
        <v>3.2744820743633167E-3</v>
      </c>
    </row>
    <row r="1150" spans="1:20" x14ac:dyDescent="0.25">
      <c r="A1150" s="5">
        <v>43443</v>
      </c>
      <c r="B1150">
        <v>3411.36</v>
      </c>
      <c r="C1150">
        <v>3658</v>
      </c>
      <c r="D1150">
        <v>3394.04</v>
      </c>
      <c r="E1150">
        <v>3545.37</v>
      </c>
      <c r="F1150">
        <v>45956.893296000002</v>
      </c>
      <c r="G1150">
        <v>3.93</v>
      </c>
      <c r="L1150" t="s">
        <v>8</v>
      </c>
      <c r="M1150" t="s">
        <v>7</v>
      </c>
      <c r="N1150" t="s">
        <v>7</v>
      </c>
      <c r="P1150">
        <f t="shared" si="1030"/>
        <v>0.14661312320048422</v>
      </c>
      <c r="Q1150">
        <f t="shared" si="1031"/>
        <v>6737.8836587179558</v>
      </c>
      <c r="R1150">
        <f t="shared" si="1032"/>
        <v>346986.82978255511</v>
      </c>
      <c r="S1150">
        <f t="shared" si="1033"/>
        <v>3.4698682978255513</v>
      </c>
      <c r="T1150">
        <f t="shared" si="1034"/>
        <v>3.4698682978255512E-3</v>
      </c>
    </row>
    <row r="1151" spans="1:20" x14ac:dyDescent="0.25">
      <c r="A1151" s="5">
        <v>43442</v>
      </c>
      <c r="B1151">
        <v>3403.57</v>
      </c>
      <c r="C1151">
        <v>3495</v>
      </c>
      <c r="D1151">
        <v>3222</v>
      </c>
      <c r="E1151">
        <v>3410.93</v>
      </c>
      <c r="F1151">
        <v>55365.949949000002</v>
      </c>
      <c r="G1151">
        <v>0.22</v>
      </c>
      <c r="L1151" t="s">
        <v>8</v>
      </c>
      <c r="M1151" t="s">
        <v>7</v>
      </c>
      <c r="N1151" t="s">
        <v>7</v>
      </c>
      <c r="P1151">
        <f t="shared" ref="P1151:P1214" si="1035">IF(C1151=D1151,0,((E1151-D1151)-(C1151-E1151))/(C1151-D1151))</f>
        <v>0.38410256410256288</v>
      </c>
      <c r="Q1151">
        <f t="shared" ref="Q1151:Q1214" si="1036">F1151*P1151</f>
        <v>21266.203339385062</v>
      </c>
      <c r="R1151">
        <f t="shared" ref="R1151:R1214" si="1037">R1152+Q1151</f>
        <v>340248.94612383714</v>
      </c>
      <c r="S1151">
        <f t="shared" ref="S1151:S1214" si="1038">R1151/100000</f>
        <v>3.4024894612383716</v>
      </c>
      <c r="T1151">
        <f t="shared" ref="T1151:T1214" si="1039">S1151/1000</f>
        <v>3.4024894612383716E-3</v>
      </c>
    </row>
    <row r="1152" spans="1:20" x14ac:dyDescent="0.25">
      <c r="A1152" s="5">
        <v>43441</v>
      </c>
      <c r="B1152">
        <v>3508.75</v>
      </c>
      <c r="C1152">
        <v>3549.99</v>
      </c>
      <c r="D1152">
        <v>3224.6</v>
      </c>
      <c r="E1152">
        <v>3403.55</v>
      </c>
      <c r="F1152">
        <v>95145.457441999999</v>
      </c>
      <c r="G1152">
        <v>-3</v>
      </c>
      <c r="L1152" t="s">
        <v>7</v>
      </c>
      <c r="M1152" t="s">
        <v>7</v>
      </c>
      <c r="N1152" t="s">
        <v>7</v>
      </c>
      <c r="P1152">
        <f t="shared" si="1035"/>
        <v>9.9910876179356109E-2</v>
      </c>
      <c r="Q1152">
        <f t="shared" si="1036"/>
        <v>9506.0660175158573</v>
      </c>
      <c r="R1152">
        <f t="shared" si="1037"/>
        <v>318982.7427844521</v>
      </c>
      <c r="S1152">
        <f t="shared" si="1038"/>
        <v>3.1898274278445209</v>
      </c>
      <c r="T1152">
        <f t="shared" si="1039"/>
        <v>3.1898274278445208E-3</v>
      </c>
    </row>
    <row r="1153" spans="1:20" x14ac:dyDescent="0.25">
      <c r="A1153" s="5">
        <v>43440</v>
      </c>
      <c r="B1153">
        <v>3768.44</v>
      </c>
      <c r="C1153">
        <v>3899.99</v>
      </c>
      <c r="D1153">
        <v>3500</v>
      </c>
      <c r="E1153">
        <v>3508.75</v>
      </c>
      <c r="F1153">
        <v>68378.796942999994</v>
      </c>
      <c r="G1153">
        <v>-6.89</v>
      </c>
      <c r="L1153" t="s">
        <v>7</v>
      </c>
      <c r="M1153" t="s">
        <v>7</v>
      </c>
      <c r="N1153" t="s">
        <v>7</v>
      </c>
      <c r="P1153">
        <f t="shared" si="1035"/>
        <v>-0.95624890622265557</v>
      </c>
      <c r="Q1153">
        <f t="shared" si="1036"/>
        <v>-65387.149785564812</v>
      </c>
      <c r="R1153">
        <f t="shared" si="1037"/>
        <v>309476.67676693626</v>
      </c>
      <c r="S1153">
        <f t="shared" si="1038"/>
        <v>3.0947667676693627</v>
      </c>
      <c r="T1153">
        <f t="shared" si="1039"/>
        <v>3.0947667676693626E-3</v>
      </c>
    </row>
    <row r="1154" spans="1:20" x14ac:dyDescent="0.25">
      <c r="A1154" s="5">
        <v>43439</v>
      </c>
      <c r="B1154">
        <v>3950.98</v>
      </c>
      <c r="C1154">
        <v>3970</v>
      </c>
      <c r="D1154">
        <v>3745</v>
      </c>
      <c r="E1154">
        <v>3769.84</v>
      </c>
      <c r="F1154">
        <v>44004.799447999998</v>
      </c>
      <c r="G1154">
        <v>-4.58</v>
      </c>
      <c r="L1154" t="s">
        <v>7</v>
      </c>
      <c r="M1154" t="s">
        <v>7</v>
      </c>
      <c r="N1154" t="s">
        <v>7</v>
      </c>
      <c r="P1154">
        <f t="shared" si="1035"/>
        <v>-0.77919999999999867</v>
      </c>
      <c r="Q1154">
        <f t="shared" si="1036"/>
        <v>-34288.539729881537</v>
      </c>
      <c r="R1154">
        <f t="shared" si="1037"/>
        <v>374863.82655250106</v>
      </c>
      <c r="S1154">
        <f t="shared" si="1038"/>
        <v>3.7486382655250106</v>
      </c>
      <c r="T1154">
        <f t="shared" si="1039"/>
        <v>3.7486382655250107E-3</v>
      </c>
    </row>
    <row r="1155" spans="1:20" x14ac:dyDescent="0.25">
      <c r="A1155" s="5">
        <v>43438</v>
      </c>
      <c r="B1155">
        <v>3884.76</v>
      </c>
      <c r="C1155">
        <v>4085</v>
      </c>
      <c r="D1155">
        <v>3781</v>
      </c>
      <c r="E1155">
        <v>3951.64</v>
      </c>
      <c r="F1155">
        <v>48489.551613000003</v>
      </c>
      <c r="G1155">
        <v>1.72</v>
      </c>
      <c r="L1155" t="s">
        <v>7</v>
      </c>
      <c r="M1155" t="s">
        <v>7</v>
      </c>
      <c r="N1155" t="s">
        <v>7</v>
      </c>
      <c r="P1155">
        <f t="shared" si="1035"/>
        <v>0.12263157894736758</v>
      </c>
      <c r="Q1155">
        <f t="shared" si="1036"/>
        <v>5946.3502767520649</v>
      </c>
      <c r="R1155">
        <f t="shared" si="1037"/>
        <v>409152.36628238257</v>
      </c>
      <c r="S1155">
        <f t="shared" si="1038"/>
        <v>4.0915236628238256</v>
      </c>
      <c r="T1155">
        <f t="shared" si="1039"/>
        <v>4.0915236628238259E-3</v>
      </c>
    </row>
    <row r="1156" spans="1:20" x14ac:dyDescent="0.25">
      <c r="A1156" s="5">
        <v>43437</v>
      </c>
      <c r="B1156">
        <v>4160.55</v>
      </c>
      <c r="C1156">
        <v>4179</v>
      </c>
      <c r="D1156">
        <v>3827</v>
      </c>
      <c r="E1156">
        <v>3884.01</v>
      </c>
      <c r="F1156">
        <v>49094.369163000003</v>
      </c>
      <c r="G1156">
        <v>-6.65</v>
      </c>
      <c r="L1156" t="s">
        <v>7</v>
      </c>
      <c r="M1156" t="s">
        <v>8</v>
      </c>
      <c r="N1156" t="s">
        <v>7</v>
      </c>
      <c r="P1156">
        <f t="shared" si="1035"/>
        <v>-0.67607954545454418</v>
      </c>
      <c r="Q1156">
        <f t="shared" si="1036"/>
        <v>-33191.698788098634</v>
      </c>
      <c r="R1156">
        <f t="shared" si="1037"/>
        <v>403206.01600563049</v>
      </c>
      <c r="S1156">
        <f t="shared" si="1038"/>
        <v>4.0320601600563046</v>
      </c>
      <c r="T1156">
        <f t="shared" si="1039"/>
        <v>4.0320601600563047E-3</v>
      </c>
    </row>
    <row r="1157" spans="1:20" x14ac:dyDescent="0.25">
      <c r="A1157" s="5">
        <v>43436</v>
      </c>
      <c r="B1157">
        <v>4190.9799999999996</v>
      </c>
      <c r="C1157">
        <v>4312.99</v>
      </c>
      <c r="D1157">
        <v>4103.04</v>
      </c>
      <c r="E1157">
        <v>4161.01</v>
      </c>
      <c r="F1157">
        <v>38912.154790000001</v>
      </c>
      <c r="G1157">
        <v>-0.72</v>
      </c>
      <c r="L1157" t="s">
        <v>8</v>
      </c>
      <c r="M1157" t="s">
        <v>8</v>
      </c>
      <c r="N1157" t="s">
        <v>7</v>
      </c>
      <c r="P1157">
        <f t="shared" si="1035"/>
        <v>-0.44777327935222383</v>
      </c>
      <c r="Q1157">
        <f t="shared" si="1036"/>
        <v>-17423.823156979644</v>
      </c>
      <c r="R1157">
        <f t="shared" si="1037"/>
        <v>436397.71479372913</v>
      </c>
      <c r="S1157">
        <f t="shared" si="1038"/>
        <v>4.3639771479372911</v>
      </c>
      <c r="T1157">
        <f t="shared" si="1039"/>
        <v>4.3639771479372907E-3</v>
      </c>
    </row>
    <row r="1158" spans="1:20" x14ac:dyDescent="0.25">
      <c r="A1158" s="5">
        <v>43435</v>
      </c>
      <c r="B1158">
        <v>4041.27</v>
      </c>
      <c r="C1158">
        <v>4299.99</v>
      </c>
      <c r="D1158">
        <v>3963.01</v>
      </c>
      <c r="E1158">
        <v>4190.0200000000004</v>
      </c>
      <c r="F1158">
        <v>44840.073480999999</v>
      </c>
      <c r="G1158">
        <v>3.68</v>
      </c>
      <c r="L1158" t="s">
        <v>8</v>
      </c>
      <c r="M1158" t="s">
        <v>8</v>
      </c>
      <c r="N1158" t="s">
        <v>7</v>
      </c>
      <c r="P1158">
        <f t="shared" si="1035"/>
        <v>0.34732031574574462</v>
      </c>
      <c r="Q1158">
        <f t="shared" si="1036"/>
        <v>15573.86847948331</v>
      </c>
      <c r="R1158">
        <f t="shared" si="1037"/>
        <v>453821.53795070876</v>
      </c>
      <c r="S1158">
        <f t="shared" si="1038"/>
        <v>4.5382153795070872</v>
      </c>
      <c r="T1158">
        <f t="shared" si="1039"/>
        <v>4.5382153795070872E-3</v>
      </c>
    </row>
    <row r="1159" spans="1:20" x14ac:dyDescent="0.25">
      <c r="A1159" s="5">
        <v>43434</v>
      </c>
      <c r="B1159">
        <v>4295.72</v>
      </c>
      <c r="C1159">
        <v>4341.3599999999997</v>
      </c>
      <c r="D1159">
        <v>3943</v>
      </c>
      <c r="E1159">
        <v>4041.32</v>
      </c>
      <c r="F1159">
        <v>67758.446282999997</v>
      </c>
      <c r="G1159">
        <v>-5.92</v>
      </c>
      <c r="L1159" t="s">
        <v>7</v>
      </c>
      <c r="M1159" t="s">
        <v>8</v>
      </c>
      <c r="N1159" t="s">
        <v>7</v>
      </c>
      <c r="P1159">
        <f t="shared" si="1035"/>
        <v>-0.50637614218294891</v>
      </c>
      <c r="Q1159">
        <f t="shared" si="1036"/>
        <v>-34311.260629096112</v>
      </c>
      <c r="R1159">
        <f t="shared" si="1037"/>
        <v>438247.66947122547</v>
      </c>
      <c r="S1159">
        <f t="shared" si="1038"/>
        <v>4.3824766947122544</v>
      </c>
      <c r="T1159">
        <f t="shared" si="1039"/>
        <v>4.3824766947122545E-3</v>
      </c>
    </row>
    <row r="1160" spans="1:20" x14ac:dyDescent="0.25">
      <c r="A1160" s="5">
        <v>43433</v>
      </c>
      <c r="B1160">
        <v>4262.0600000000004</v>
      </c>
      <c r="C1160">
        <v>4450.38</v>
      </c>
      <c r="D1160">
        <v>4125.6499999999996</v>
      </c>
      <c r="E1160">
        <v>4295.84</v>
      </c>
      <c r="F1160">
        <v>73980.198669000005</v>
      </c>
      <c r="G1160">
        <v>0.79</v>
      </c>
      <c r="L1160" t="s">
        <v>8</v>
      </c>
      <c r="M1160" t="s">
        <v>8</v>
      </c>
      <c r="N1160" t="s">
        <v>7</v>
      </c>
      <c r="P1160">
        <f t="shared" si="1035"/>
        <v>4.8193884149910764E-2</v>
      </c>
      <c r="Q1160">
        <f t="shared" si="1036"/>
        <v>3565.3931240411689</v>
      </c>
      <c r="R1160">
        <f t="shared" si="1037"/>
        <v>472558.9301003216</v>
      </c>
      <c r="S1160">
        <f t="shared" si="1038"/>
        <v>4.7255893010032164</v>
      </c>
      <c r="T1160">
        <f t="shared" si="1039"/>
        <v>4.7255893010032168E-3</v>
      </c>
    </row>
    <row r="1161" spans="1:20" x14ac:dyDescent="0.25">
      <c r="A1161" s="5">
        <v>43432</v>
      </c>
      <c r="B1161">
        <v>3875.63</v>
      </c>
      <c r="C1161">
        <v>4394.47</v>
      </c>
      <c r="D1161">
        <v>3874.27</v>
      </c>
      <c r="E1161">
        <v>4264.8500000000004</v>
      </c>
      <c r="F1161">
        <v>91983.567949000004</v>
      </c>
      <c r="G1161">
        <v>10.039999999999999</v>
      </c>
      <c r="L1161" t="s">
        <v>8</v>
      </c>
      <c r="M1161" t="s">
        <v>7</v>
      </c>
      <c r="N1161" t="s">
        <v>7</v>
      </c>
      <c r="P1161">
        <f t="shared" si="1035"/>
        <v>0.50165321030373</v>
      </c>
      <c r="Q1161">
        <f t="shared" si="1036"/>
        <v>46143.852156807137</v>
      </c>
      <c r="R1161">
        <f t="shared" si="1037"/>
        <v>468993.53697628045</v>
      </c>
      <c r="S1161">
        <f t="shared" si="1038"/>
        <v>4.6899353697628046</v>
      </c>
      <c r="T1161">
        <f t="shared" si="1039"/>
        <v>4.6899353697628047E-3</v>
      </c>
    </row>
    <row r="1162" spans="1:20" x14ac:dyDescent="0.25">
      <c r="A1162" s="5">
        <v>43431</v>
      </c>
      <c r="B1162">
        <v>3864.45</v>
      </c>
      <c r="C1162">
        <v>3940</v>
      </c>
      <c r="D1162">
        <v>3689.12</v>
      </c>
      <c r="E1162">
        <v>3875.21</v>
      </c>
      <c r="F1162">
        <v>67480.607212000003</v>
      </c>
      <c r="G1162">
        <v>0.28000000000000003</v>
      </c>
      <c r="L1162" t="s">
        <v>7</v>
      </c>
      <c r="M1162" t="s">
        <v>7</v>
      </c>
      <c r="N1162" t="s">
        <v>7</v>
      </c>
      <c r="P1162">
        <f t="shared" si="1035"/>
        <v>0.48349808673469441</v>
      </c>
      <c r="Q1162">
        <f t="shared" si="1036"/>
        <v>32626.744478697423</v>
      </c>
      <c r="R1162">
        <f t="shared" si="1037"/>
        <v>422849.6848194733</v>
      </c>
      <c r="S1162">
        <f t="shared" si="1038"/>
        <v>4.2284968481947329</v>
      </c>
      <c r="T1162">
        <f t="shared" si="1039"/>
        <v>4.2284968481947332E-3</v>
      </c>
    </row>
    <row r="1163" spans="1:20" x14ac:dyDescent="0.25">
      <c r="A1163" s="5">
        <v>43430</v>
      </c>
      <c r="B1163">
        <v>4088.69</v>
      </c>
      <c r="C1163">
        <v>4206</v>
      </c>
      <c r="D1163">
        <v>3701</v>
      </c>
      <c r="E1163">
        <v>3862.2</v>
      </c>
      <c r="F1163">
        <v>94503.750767000005</v>
      </c>
      <c r="G1163">
        <v>-5.54</v>
      </c>
      <c r="L1163" t="s">
        <v>8</v>
      </c>
      <c r="M1163" t="s">
        <v>7</v>
      </c>
      <c r="N1163" t="s">
        <v>7</v>
      </c>
      <c r="P1163">
        <f t="shared" si="1035"/>
        <v>-0.36158415841584229</v>
      </c>
      <c r="Q1163">
        <f t="shared" si="1036"/>
        <v>-34171.059188226209</v>
      </c>
      <c r="R1163">
        <f t="shared" si="1037"/>
        <v>390222.94034077588</v>
      </c>
      <c r="S1163">
        <f t="shared" si="1038"/>
        <v>3.9022294034077589</v>
      </c>
      <c r="T1163">
        <f t="shared" si="1039"/>
        <v>3.9022294034077591E-3</v>
      </c>
    </row>
    <row r="1164" spans="1:20" x14ac:dyDescent="0.25">
      <c r="A1164" s="5">
        <v>43429</v>
      </c>
      <c r="B1164">
        <v>3933.68</v>
      </c>
      <c r="C1164">
        <v>4233</v>
      </c>
      <c r="D1164">
        <v>3652.66</v>
      </c>
      <c r="E1164">
        <v>4085.78</v>
      </c>
      <c r="F1164">
        <v>101693.975588</v>
      </c>
      <c r="G1164">
        <v>3.87</v>
      </c>
      <c r="L1164" t="s">
        <v>7</v>
      </c>
      <c r="M1164" t="s">
        <v>7</v>
      </c>
      <c r="N1164" t="s">
        <v>7</v>
      </c>
      <c r="P1164">
        <f t="shared" si="1035"/>
        <v>0.49264224420167568</v>
      </c>
      <c r="Q1164">
        <f t="shared" si="1036"/>
        <v>50098.74835546274</v>
      </c>
      <c r="R1164">
        <f t="shared" si="1037"/>
        <v>424393.99952900206</v>
      </c>
      <c r="S1164">
        <f t="shared" si="1038"/>
        <v>4.2439399952900203</v>
      </c>
      <c r="T1164">
        <f t="shared" si="1039"/>
        <v>4.2439399952900201E-3</v>
      </c>
    </row>
    <row r="1165" spans="1:20" x14ac:dyDescent="0.25">
      <c r="A1165" s="5">
        <v>43428</v>
      </c>
      <c r="B1165">
        <v>4415.63</v>
      </c>
      <c r="C1165">
        <v>4527</v>
      </c>
      <c r="D1165">
        <v>3824.69</v>
      </c>
      <c r="E1165">
        <v>3932.44</v>
      </c>
      <c r="F1165">
        <v>61693.111005999999</v>
      </c>
      <c r="G1165">
        <v>-10.94</v>
      </c>
      <c r="L1165" t="s">
        <v>7</v>
      </c>
      <c r="M1165" t="s">
        <v>7</v>
      </c>
      <c r="N1165" t="s">
        <v>7</v>
      </c>
      <c r="P1165">
        <f t="shared" si="1035"/>
        <v>-0.69315544417707275</v>
      </c>
      <c r="Q1165">
        <f t="shared" si="1036"/>
        <v>-42762.915762029384</v>
      </c>
      <c r="R1165">
        <f t="shared" si="1037"/>
        <v>374295.25117353932</v>
      </c>
      <c r="S1165">
        <f t="shared" si="1038"/>
        <v>3.742952511735393</v>
      </c>
      <c r="T1165">
        <f t="shared" si="1039"/>
        <v>3.7429525117353931E-3</v>
      </c>
    </row>
    <row r="1166" spans="1:20" x14ac:dyDescent="0.25">
      <c r="A1166" s="5">
        <v>43427</v>
      </c>
      <c r="B1166">
        <v>4370.8999999999996</v>
      </c>
      <c r="C1166">
        <v>4484</v>
      </c>
      <c r="D1166">
        <v>4222.9399999999996</v>
      </c>
      <c r="E1166">
        <v>4420.6099999999997</v>
      </c>
      <c r="F1166">
        <v>49371.920321999998</v>
      </c>
      <c r="G1166">
        <v>1.1399999999999999</v>
      </c>
      <c r="L1166" t="s">
        <v>7</v>
      </c>
      <c r="M1166" t="s">
        <v>7</v>
      </c>
      <c r="N1166" t="s">
        <v>7</v>
      </c>
      <c r="P1166">
        <f t="shared" si="1035"/>
        <v>0.51436451390484772</v>
      </c>
      <c r="Q1166">
        <f t="shared" si="1036"/>
        <v>25395.163796974401</v>
      </c>
      <c r="R1166">
        <f t="shared" si="1037"/>
        <v>417058.16693556868</v>
      </c>
      <c r="S1166">
        <f t="shared" si="1038"/>
        <v>4.1705816693556867</v>
      </c>
      <c r="T1166">
        <f t="shared" si="1039"/>
        <v>4.1705816693556868E-3</v>
      </c>
    </row>
    <row r="1167" spans="1:20" x14ac:dyDescent="0.25">
      <c r="A1167" s="5">
        <v>43426</v>
      </c>
      <c r="B1167">
        <v>4661.08</v>
      </c>
      <c r="C1167">
        <v>4721.7700000000004</v>
      </c>
      <c r="D1167">
        <v>4335</v>
      </c>
      <c r="E1167">
        <v>4370</v>
      </c>
      <c r="F1167">
        <v>34531.119143000004</v>
      </c>
      <c r="G1167">
        <v>-6.24</v>
      </c>
      <c r="L1167" t="s">
        <v>7</v>
      </c>
      <c r="M1167" t="s">
        <v>7</v>
      </c>
      <c r="N1167" t="s">
        <v>7</v>
      </c>
      <c r="P1167">
        <f t="shared" si="1035"/>
        <v>-0.8190138842205964</v>
      </c>
      <c r="Q1167">
        <f t="shared" si="1036"/>
        <v>-28281.466015792626</v>
      </c>
      <c r="R1167">
        <f t="shared" si="1037"/>
        <v>391663.00313859427</v>
      </c>
      <c r="S1167">
        <f t="shared" si="1038"/>
        <v>3.9166300313859428</v>
      </c>
      <c r="T1167">
        <f t="shared" si="1039"/>
        <v>3.9166300313859424E-3</v>
      </c>
    </row>
    <row r="1168" spans="1:20" x14ac:dyDescent="0.25">
      <c r="A1168" s="5">
        <v>43425</v>
      </c>
      <c r="B1168">
        <v>4559.91</v>
      </c>
      <c r="C1168">
        <v>4787.2</v>
      </c>
      <c r="D1168">
        <v>4413.8500000000004</v>
      </c>
      <c r="E1168">
        <v>4661.07</v>
      </c>
      <c r="F1168">
        <v>61071.829474999999</v>
      </c>
      <c r="G1168">
        <v>2.2200000000000002</v>
      </c>
      <c r="L1168" t="s">
        <v>8</v>
      </c>
      <c r="M1168" t="s">
        <v>7</v>
      </c>
      <c r="N1168" t="s">
        <v>7</v>
      </c>
      <c r="P1168">
        <f t="shared" si="1035"/>
        <v>0.32433373510110997</v>
      </c>
      <c r="Q1168">
        <f t="shared" si="1036"/>
        <v>19807.654563084809</v>
      </c>
      <c r="R1168">
        <f t="shared" si="1037"/>
        <v>419944.4691543869</v>
      </c>
      <c r="S1168">
        <f t="shared" si="1038"/>
        <v>4.199444691543869</v>
      </c>
      <c r="T1168">
        <f t="shared" si="1039"/>
        <v>4.1994446915438691E-3</v>
      </c>
    </row>
    <row r="1169" spans="1:20" x14ac:dyDescent="0.25">
      <c r="A1169" s="5">
        <v>43424</v>
      </c>
      <c r="B1169">
        <v>4913.3999999999996</v>
      </c>
      <c r="C1169">
        <v>5048.24</v>
      </c>
      <c r="D1169">
        <v>4326</v>
      </c>
      <c r="E1169">
        <v>4558.8599999999997</v>
      </c>
      <c r="F1169">
        <v>117380.95159</v>
      </c>
      <c r="G1169">
        <v>-7.22</v>
      </c>
      <c r="L1169" t="s">
        <v>7</v>
      </c>
      <c r="M1169" t="s">
        <v>7</v>
      </c>
      <c r="N1169" t="s">
        <v>7</v>
      </c>
      <c r="P1169">
        <f t="shared" si="1035"/>
        <v>-0.35517279574656696</v>
      </c>
      <c r="Q1169">
        <f t="shared" si="1036"/>
        <v>-41690.520743612731</v>
      </c>
      <c r="R1169">
        <f t="shared" si="1037"/>
        <v>400136.81459130207</v>
      </c>
      <c r="S1169">
        <f t="shared" si="1038"/>
        <v>4.0013681459130206</v>
      </c>
      <c r="T1169">
        <f t="shared" si="1039"/>
        <v>4.0013681459130203E-3</v>
      </c>
    </row>
    <row r="1170" spans="1:20" x14ac:dyDescent="0.25">
      <c r="A1170" s="5">
        <v>43423</v>
      </c>
      <c r="B1170">
        <v>5661.94</v>
      </c>
      <c r="C1170">
        <v>5664</v>
      </c>
      <c r="D1170">
        <v>4855</v>
      </c>
      <c r="E1170">
        <v>4910.03</v>
      </c>
      <c r="F1170">
        <v>70580.892856000006</v>
      </c>
      <c r="G1170">
        <v>-13.28</v>
      </c>
      <c r="L1170" t="s">
        <v>7</v>
      </c>
      <c r="M1170" t="s">
        <v>7</v>
      </c>
      <c r="N1170" t="s">
        <v>7</v>
      </c>
      <c r="P1170">
        <f t="shared" si="1035"/>
        <v>-0.8639555006180476</v>
      </c>
      <c r="Q1170">
        <f t="shared" si="1036"/>
        <v>-60978.750621474268</v>
      </c>
      <c r="R1170">
        <f t="shared" si="1037"/>
        <v>441827.33533491479</v>
      </c>
      <c r="S1170">
        <f t="shared" si="1038"/>
        <v>4.4182733533491483</v>
      </c>
      <c r="T1170">
        <f t="shared" si="1039"/>
        <v>4.418273353349148E-3</v>
      </c>
    </row>
    <row r="1171" spans="1:20" x14ac:dyDescent="0.25">
      <c r="A1171" s="5">
        <v>43422</v>
      </c>
      <c r="B1171">
        <v>5630.49</v>
      </c>
      <c r="C1171">
        <v>5738.17</v>
      </c>
      <c r="D1171">
        <v>5617</v>
      </c>
      <c r="E1171">
        <v>5662</v>
      </c>
      <c r="F1171">
        <v>23844.999347000001</v>
      </c>
      <c r="G1171">
        <v>0.56000000000000005</v>
      </c>
      <c r="L1171" t="s">
        <v>7</v>
      </c>
      <c r="M1171" t="s">
        <v>7</v>
      </c>
      <c r="N1171" t="s">
        <v>7</v>
      </c>
      <c r="P1171">
        <f t="shared" si="1035"/>
        <v>-0.25724189155731664</v>
      </c>
      <c r="Q1171">
        <f t="shared" si="1036"/>
        <v>-6133.93273620526</v>
      </c>
      <c r="R1171">
        <f t="shared" si="1037"/>
        <v>502806.08595638908</v>
      </c>
      <c r="S1171">
        <f t="shared" si="1038"/>
        <v>5.0280608595638911</v>
      </c>
      <c r="T1171">
        <f t="shared" si="1039"/>
        <v>5.0280608595638914E-3</v>
      </c>
    </row>
    <row r="1172" spans="1:20" x14ac:dyDescent="0.25">
      <c r="A1172" s="5">
        <v>43421</v>
      </c>
      <c r="B1172">
        <v>5650.57</v>
      </c>
      <c r="C1172">
        <v>5656.6</v>
      </c>
      <c r="D1172">
        <v>5565.43</v>
      </c>
      <c r="E1172">
        <v>5628.29</v>
      </c>
      <c r="F1172">
        <v>26411.241413</v>
      </c>
      <c r="G1172">
        <v>-0.39</v>
      </c>
      <c r="L1172" t="s">
        <v>7</v>
      </c>
      <c r="M1172" t="s">
        <v>7</v>
      </c>
      <c r="N1172" t="s">
        <v>7</v>
      </c>
      <c r="P1172">
        <f t="shared" si="1035"/>
        <v>0.37896237797520288</v>
      </c>
      <c r="Q1172">
        <f t="shared" si="1036"/>
        <v>10008.866851147637</v>
      </c>
      <c r="R1172">
        <f t="shared" si="1037"/>
        <v>508940.01869259437</v>
      </c>
      <c r="S1172">
        <f t="shared" si="1038"/>
        <v>5.0894001869259435</v>
      </c>
      <c r="T1172">
        <f t="shared" si="1039"/>
        <v>5.0894001869259435E-3</v>
      </c>
    </row>
    <row r="1173" spans="1:20" x14ac:dyDescent="0.25">
      <c r="A1173" s="5">
        <v>43420</v>
      </c>
      <c r="B1173">
        <v>5757.09</v>
      </c>
      <c r="C1173">
        <v>5782.89</v>
      </c>
      <c r="D1173">
        <v>5549.25</v>
      </c>
      <c r="E1173">
        <v>5655.94</v>
      </c>
      <c r="F1173">
        <v>38721.802274000001</v>
      </c>
      <c r="G1173">
        <v>-1.76</v>
      </c>
      <c r="L1173" t="s">
        <v>7</v>
      </c>
      <c r="M1173" t="s">
        <v>7</v>
      </c>
      <c r="N1173" t="s">
        <v>7</v>
      </c>
      <c r="P1173">
        <f t="shared" si="1035"/>
        <v>-8.6714603663760909E-2</v>
      </c>
      <c r="Q1173">
        <f t="shared" si="1036"/>
        <v>-3357.7457373364259</v>
      </c>
      <c r="R1173">
        <f t="shared" si="1037"/>
        <v>498931.15184144676</v>
      </c>
      <c r="S1173">
        <f t="shared" si="1038"/>
        <v>4.9893115184144676</v>
      </c>
      <c r="T1173">
        <f t="shared" si="1039"/>
        <v>4.9893115184144674E-3</v>
      </c>
    </row>
    <row r="1174" spans="1:20" x14ac:dyDescent="0.25">
      <c r="A1174" s="5">
        <v>43419</v>
      </c>
      <c r="B1174">
        <v>5917.2</v>
      </c>
      <c r="C1174">
        <v>5939.54</v>
      </c>
      <c r="D1174">
        <v>5403.42</v>
      </c>
      <c r="E1174">
        <v>5753.4</v>
      </c>
      <c r="F1174">
        <v>47700.829401000003</v>
      </c>
      <c r="G1174">
        <v>-2.77</v>
      </c>
      <c r="L1174" t="s">
        <v>7</v>
      </c>
      <c r="M1174" t="s">
        <v>7</v>
      </c>
      <c r="N1174" t="s">
        <v>7</v>
      </c>
      <c r="P1174">
        <f t="shared" si="1035"/>
        <v>0.30560322315899291</v>
      </c>
      <c r="Q1174">
        <f t="shared" si="1036"/>
        <v>14577.527212302854</v>
      </c>
      <c r="R1174">
        <f t="shared" si="1037"/>
        <v>502288.89757878316</v>
      </c>
      <c r="S1174">
        <f t="shared" si="1038"/>
        <v>5.0228889757878319</v>
      </c>
      <c r="T1174">
        <f t="shared" si="1039"/>
        <v>5.0228889757878321E-3</v>
      </c>
    </row>
    <row r="1175" spans="1:20" x14ac:dyDescent="0.25">
      <c r="A1175" s="5">
        <v>43418</v>
      </c>
      <c r="B1175">
        <v>6458.98</v>
      </c>
      <c r="C1175">
        <v>6482.84</v>
      </c>
      <c r="D1175">
        <v>5656.87</v>
      </c>
      <c r="E1175">
        <v>5922.41</v>
      </c>
      <c r="F1175">
        <v>46478.964003000001</v>
      </c>
      <c r="G1175">
        <v>-8.31</v>
      </c>
      <c r="L1175" t="s">
        <v>7</v>
      </c>
      <c r="M1175" t="s">
        <v>7</v>
      </c>
      <c r="N1175" t="s">
        <v>7</v>
      </c>
      <c r="P1175">
        <f t="shared" si="1035"/>
        <v>-0.3570226521544369</v>
      </c>
      <c r="Q1175">
        <f t="shared" si="1036"/>
        <v>-16594.042997741664</v>
      </c>
      <c r="R1175">
        <f t="shared" si="1037"/>
        <v>487711.37036648032</v>
      </c>
      <c r="S1175">
        <f t="shared" si="1038"/>
        <v>4.8771137036648033</v>
      </c>
      <c r="T1175">
        <f t="shared" si="1039"/>
        <v>4.8771137036648033E-3</v>
      </c>
    </row>
    <row r="1176" spans="1:20" x14ac:dyDescent="0.25">
      <c r="A1176" s="5">
        <v>43417</v>
      </c>
      <c r="B1176">
        <v>6451.68</v>
      </c>
      <c r="C1176">
        <v>6498</v>
      </c>
      <c r="D1176">
        <v>6391.15</v>
      </c>
      <c r="E1176">
        <v>6457.66</v>
      </c>
      <c r="F1176">
        <v>11790.564933</v>
      </c>
      <c r="G1176">
        <v>0.09</v>
      </c>
      <c r="L1176" t="s">
        <v>7</v>
      </c>
      <c r="M1176" t="s">
        <v>7</v>
      </c>
      <c r="N1176" t="s">
        <v>8</v>
      </c>
      <c r="P1176">
        <f t="shared" si="1035"/>
        <v>0.2449227889564809</v>
      </c>
      <c r="Q1176">
        <f t="shared" si="1036"/>
        <v>2887.7780467628431</v>
      </c>
      <c r="R1176">
        <f t="shared" si="1037"/>
        <v>504305.41336422198</v>
      </c>
      <c r="S1176">
        <f t="shared" si="1038"/>
        <v>5.0430541336422197</v>
      </c>
      <c r="T1176">
        <f t="shared" si="1039"/>
        <v>5.0430541336422196E-3</v>
      </c>
    </row>
    <row r="1177" spans="1:20" x14ac:dyDescent="0.25">
      <c r="A1177" s="5">
        <v>43416</v>
      </c>
      <c r="B1177">
        <v>6450.71</v>
      </c>
      <c r="C1177">
        <v>6497</v>
      </c>
      <c r="D1177">
        <v>6421</v>
      </c>
      <c r="E1177">
        <v>6453.07</v>
      </c>
      <c r="F1177">
        <v>10132.782567</v>
      </c>
      <c r="G1177">
        <v>0.04</v>
      </c>
      <c r="L1177" t="s">
        <v>7</v>
      </c>
      <c r="M1177" t="s">
        <v>7</v>
      </c>
      <c r="N1177" t="s">
        <v>8</v>
      </c>
      <c r="P1177">
        <f t="shared" si="1035"/>
        <v>-0.15605263157895502</v>
      </c>
      <c r="Q1177">
        <f t="shared" si="1036"/>
        <v>-1581.2473847977092</v>
      </c>
      <c r="R1177">
        <f t="shared" si="1037"/>
        <v>501417.63531745912</v>
      </c>
      <c r="S1177">
        <f t="shared" si="1038"/>
        <v>5.0141763531745909</v>
      </c>
      <c r="T1177">
        <f t="shared" si="1039"/>
        <v>5.0141763531745907E-3</v>
      </c>
    </row>
    <row r="1178" spans="1:20" x14ac:dyDescent="0.25">
      <c r="A1178" s="5">
        <v>43415</v>
      </c>
      <c r="B1178">
        <v>6435.16</v>
      </c>
      <c r="C1178">
        <v>6462.14</v>
      </c>
      <c r="D1178">
        <v>6355</v>
      </c>
      <c r="E1178">
        <v>6449.81</v>
      </c>
      <c r="F1178">
        <v>8213.5071169999992</v>
      </c>
      <c r="G1178">
        <v>0.23</v>
      </c>
      <c r="L1178" t="s">
        <v>7</v>
      </c>
      <c r="M1178" t="s">
        <v>7</v>
      </c>
      <c r="N1178" t="s">
        <v>8</v>
      </c>
      <c r="P1178">
        <f t="shared" si="1035"/>
        <v>0.76983386223632833</v>
      </c>
      <c r="Q1178">
        <f t="shared" si="1036"/>
        <v>6323.0359063856795</v>
      </c>
      <c r="R1178">
        <f t="shared" si="1037"/>
        <v>502998.88270225684</v>
      </c>
      <c r="S1178">
        <f t="shared" si="1038"/>
        <v>5.0299888270225681</v>
      </c>
      <c r="T1178">
        <f t="shared" si="1039"/>
        <v>5.0299888270225685E-3</v>
      </c>
    </row>
    <row r="1179" spans="1:20" x14ac:dyDescent="0.25">
      <c r="A1179" s="5">
        <v>43414</v>
      </c>
      <c r="B1179">
        <v>6419.99</v>
      </c>
      <c r="C1179">
        <v>6475.55</v>
      </c>
      <c r="D1179">
        <v>6411</v>
      </c>
      <c r="E1179">
        <v>6433.05</v>
      </c>
      <c r="F1179">
        <v>7714.8299260000003</v>
      </c>
      <c r="G1179">
        <v>0.2</v>
      </c>
      <c r="L1179" t="s">
        <v>7</v>
      </c>
      <c r="M1179" t="s">
        <v>7</v>
      </c>
      <c r="N1179" t="s">
        <v>8</v>
      </c>
      <c r="P1179">
        <f t="shared" si="1035"/>
        <v>-0.31680867544538743</v>
      </c>
      <c r="Q1179">
        <f t="shared" si="1036"/>
        <v>-2444.1250501424965</v>
      </c>
      <c r="R1179">
        <f t="shared" si="1037"/>
        <v>496675.84679587116</v>
      </c>
      <c r="S1179">
        <f t="shared" si="1038"/>
        <v>4.9667584679587113</v>
      </c>
      <c r="T1179">
        <f t="shared" si="1039"/>
        <v>4.9667584679587116E-3</v>
      </c>
    </row>
    <row r="1180" spans="1:20" x14ac:dyDescent="0.25">
      <c r="A1180" s="5">
        <v>43413</v>
      </c>
      <c r="B1180">
        <v>6479.84</v>
      </c>
      <c r="C1180">
        <v>6511.53</v>
      </c>
      <c r="D1180">
        <v>6391.01</v>
      </c>
      <c r="E1180">
        <v>6419.99</v>
      </c>
      <c r="F1180">
        <v>11787.616583000001</v>
      </c>
      <c r="G1180">
        <v>-0.92</v>
      </c>
      <c r="L1180" t="s">
        <v>7</v>
      </c>
      <c r="M1180" t="s">
        <v>7</v>
      </c>
      <c r="N1180" t="s">
        <v>8</v>
      </c>
      <c r="P1180">
        <f t="shared" si="1035"/>
        <v>-0.51908396946565416</v>
      </c>
      <c r="Q1180">
        <f t="shared" si="1036"/>
        <v>-6118.7628064428109</v>
      </c>
      <c r="R1180">
        <f t="shared" si="1037"/>
        <v>499119.97184601368</v>
      </c>
      <c r="S1180">
        <f t="shared" si="1038"/>
        <v>4.9911997184601367</v>
      </c>
      <c r="T1180">
        <f t="shared" si="1039"/>
        <v>4.9911997184601369E-3</v>
      </c>
    </row>
    <row r="1181" spans="1:20" x14ac:dyDescent="0.25">
      <c r="A1181" s="5">
        <v>43412</v>
      </c>
      <c r="B1181">
        <v>6578.46</v>
      </c>
      <c r="C1181">
        <v>6594</v>
      </c>
      <c r="D1181">
        <v>6468.22</v>
      </c>
      <c r="E1181">
        <v>6479.84</v>
      </c>
      <c r="F1181">
        <v>13259.789282</v>
      </c>
      <c r="G1181">
        <v>-1.5</v>
      </c>
      <c r="L1181" t="s">
        <v>7</v>
      </c>
      <c r="M1181" t="s">
        <v>7</v>
      </c>
      <c r="N1181" t="s">
        <v>8</v>
      </c>
      <c r="P1181">
        <f t="shared" si="1035"/>
        <v>-0.81523294641437571</v>
      </c>
      <c r="Q1181">
        <f t="shared" si="1036"/>
        <v>-10809.81708519862</v>
      </c>
      <c r="R1181">
        <f t="shared" si="1037"/>
        <v>505238.73465245648</v>
      </c>
      <c r="S1181">
        <f t="shared" si="1038"/>
        <v>5.052387346524565</v>
      </c>
      <c r="T1181">
        <f t="shared" si="1039"/>
        <v>5.0523873465245653E-3</v>
      </c>
    </row>
    <row r="1182" spans="1:20" x14ac:dyDescent="0.25">
      <c r="A1182" s="5">
        <v>43411</v>
      </c>
      <c r="B1182">
        <v>6522.73</v>
      </c>
      <c r="C1182">
        <v>6615.15</v>
      </c>
      <c r="D1182">
        <v>6509</v>
      </c>
      <c r="E1182">
        <v>6578.46</v>
      </c>
      <c r="F1182">
        <v>14271.591117</v>
      </c>
      <c r="G1182">
        <v>0.85</v>
      </c>
      <c r="L1182" t="s">
        <v>7</v>
      </c>
      <c r="M1182" t="s">
        <v>7</v>
      </c>
      <c r="N1182" t="s">
        <v>8</v>
      </c>
      <c r="P1182">
        <f t="shared" si="1035"/>
        <v>0.3087140838436227</v>
      </c>
      <c r="Q1182">
        <f t="shared" si="1036"/>
        <v>4405.8411766754389</v>
      </c>
      <c r="R1182">
        <f t="shared" si="1037"/>
        <v>516048.55173765507</v>
      </c>
      <c r="S1182">
        <f t="shared" si="1038"/>
        <v>5.1604855173765509</v>
      </c>
      <c r="T1182">
        <f t="shared" si="1039"/>
        <v>5.1604855173765507E-3</v>
      </c>
    </row>
    <row r="1183" spans="1:20" x14ac:dyDescent="0.25">
      <c r="A1183" s="5">
        <v>43410</v>
      </c>
      <c r="B1183">
        <v>6468.99</v>
      </c>
      <c r="C1183">
        <v>6531.31</v>
      </c>
      <c r="D1183">
        <v>6445.18</v>
      </c>
      <c r="E1183">
        <v>6519.11</v>
      </c>
      <c r="F1183">
        <v>11926.565699000001</v>
      </c>
      <c r="G1183">
        <v>0.77</v>
      </c>
      <c r="L1183" t="s">
        <v>7</v>
      </c>
      <c r="M1183" t="s">
        <v>7</v>
      </c>
      <c r="N1183" t="s">
        <v>8</v>
      </c>
      <c r="P1183">
        <f t="shared" si="1035"/>
        <v>0.71670730291418294</v>
      </c>
      <c r="Q1183">
        <f t="shared" si="1036"/>
        <v>8547.8567351590973</v>
      </c>
      <c r="R1183">
        <f t="shared" si="1037"/>
        <v>511642.71056097961</v>
      </c>
      <c r="S1183">
        <f t="shared" si="1038"/>
        <v>5.1164271056097963</v>
      </c>
      <c r="T1183">
        <f t="shared" si="1039"/>
        <v>5.1164271056097967E-3</v>
      </c>
    </row>
    <row r="1184" spans="1:20" x14ac:dyDescent="0.25">
      <c r="A1184" s="5">
        <v>43409</v>
      </c>
      <c r="B1184">
        <v>6485.85</v>
      </c>
      <c r="C1184">
        <v>6504.39</v>
      </c>
      <c r="D1184">
        <v>6431.02</v>
      </c>
      <c r="E1184">
        <v>6468.99</v>
      </c>
      <c r="F1184">
        <v>8987.8821559999997</v>
      </c>
      <c r="G1184">
        <v>-0.26</v>
      </c>
      <c r="L1184" t="s">
        <v>7</v>
      </c>
      <c r="M1184" t="s">
        <v>7</v>
      </c>
      <c r="N1184" t="s">
        <v>8</v>
      </c>
      <c r="P1184">
        <f t="shared" si="1035"/>
        <v>3.502794057515065E-2</v>
      </c>
      <c r="Q1184">
        <f t="shared" si="1036"/>
        <v>314.82700205682488</v>
      </c>
      <c r="R1184">
        <f t="shared" si="1037"/>
        <v>503094.85382582049</v>
      </c>
      <c r="S1184">
        <f t="shared" si="1038"/>
        <v>5.0309485382582046</v>
      </c>
      <c r="T1184">
        <f t="shared" si="1039"/>
        <v>5.0309485382582049E-3</v>
      </c>
    </row>
    <row r="1185" spans="1:20" x14ac:dyDescent="0.25">
      <c r="A1185" s="5">
        <v>43408</v>
      </c>
      <c r="B1185">
        <v>6388</v>
      </c>
      <c r="C1185">
        <v>6525</v>
      </c>
      <c r="D1185">
        <v>6359</v>
      </c>
      <c r="E1185">
        <v>6485.85</v>
      </c>
      <c r="F1185">
        <v>10592.394942999999</v>
      </c>
      <c r="G1185">
        <v>1.53</v>
      </c>
      <c r="L1185" t="s">
        <v>7</v>
      </c>
      <c r="M1185" t="s">
        <v>7</v>
      </c>
      <c r="N1185" t="s">
        <v>8</v>
      </c>
      <c r="P1185">
        <f t="shared" si="1035"/>
        <v>0.52831325301205256</v>
      </c>
      <c r="Q1185">
        <f t="shared" si="1036"/>
        <v>5596.1026295247448</v>
      </c>
      <c r="R1185">
        <f t="shared" si="1037"/>
        <v>502780.02682376368</v>
      </c>
      <c r="S1185">
        <f t="shared" si="1038"/>
        <v>5.0278002682376366</v>
      </c>
      <c r="T1185">
        <f t="shared" si="1039"/>
        <v>5.0278002682376368E-3</v>
      </c>
    </row>
    <row r="1186" spans="1:20" x14ac:dyDescent="0.25">
      <c r="A1186" s="5">
        <v>43407</v>
      </c>
      <c r="B1186">
        <v>6432.8</v>
      </c>
      <c r="C1186">
        <v>6439.97</v>
      </c>
      <c r="D1186">
        <v>6345</v>
      </c>
      <c r="E1186">
        <v>6387.09</v>
      </c>
      <c r="F1186">
        <v>7661.2414760000001</v>
      </c>
      <c r="G1186">
        <v>-0.71</v>
      </c>
      <c r="L1186" t="s">
        <v>7</v>
      </c>
      <c r="M1186" t="s">
        <v>7</v>
      </c>
      <c r="N1186" t="s">
        <v>8</v>
      </c>
      <c r="P1186">
        <f t="shared" si="1035"/>
        <v>-0.11361482573444177</v>
      </c>
      <c r="Q1186">
        <f t="shared" si="1036"/>
        <v>-870.43061520521746</v>
      </c>
      <c r="R1186">
        <f t="shared" si="1037"/>
        <v>497183.92419423891</v>
      </c>
      <c r="S1186">
        <f t="shared" si="1038"/>
        <v>4.9718392419423889</v>
      </c>
      <c r="T1186">
        <f t="shared" si="1039"/>
        <v>4.9718392419423893E-3</v>
      </c>
    </row>
    <row r="1187" spans="1:20" x14ac:dyDescent="0.25">
      <c r="A1187" s="5">
        <v>43406</v>
      </c>
      <c r="B1187">
        <v>6410</v>
      </c>
      <c r="C1187">
        <v>6460.34</v>
      </c>
      <c r="D1187">
        <v>6388.2</v>
      </c>
      <c r="E1187">
        <v>6433.98</v>
      </c>
      <c r="F1187">
        <v>9739.4406789999994</v>
      </c>
      <c r="G1187">
        <v>0.37</v>
      </c>
      <c r="L1187" t="s">
        <v>7</v>
      </c>
      <c r="M1187" t="s">
        <v>7</v>
      </c>
      <c r="N1187" t="s">
        <v>8</v>
      </c>
      <c r="P1187">
        <f t="shared" si="1035"/>
        <v>0.26919878014969606</v>
      </c>
      <c r="Q1187">
        <f t="shared" si="1036"/>
        <v>2621.8455501271274</v>
      </c>
      <c r="R1187">
        <f t="shared" si="1037"/>
        <v>498054.35480944411</v>
      </c>
      <c r="S1187">
        <f t="shared" si="1038"/>
        <v>4.9805435480944409</v>
      </c>
      <c r="T1187">
        <f t="shared" si="1039"/>
        <v>4.980543548094441E-3</v>
      </c>
    </row>
    <row r="1188" spans="1:20" x14ac:dyDescent="0.25">
      <c r="A1188" s="5">
        <v>43405</v>
      </c>
      <c r="B1188">
        <v>6369.52</v>
      </c>
      <c r="C1188">
        <v>6442.65</v>
      </c>
      <c r="D1188">
        <v>6348.66</v>
      </c>
      <c r="E1188">
        <v>6410</v>
      </c>
      <c r="F1188">
        <v>9099.0358410000008</v>
      </c>
      <c r="G1188">
        <v>0.64</v>
      </c>
      <c r="L1188" t="s">
        <v>7</v>
      </c>
      <c r="M1188" t="s">
        <v>7</v>
      </c>
      <c r="N1188" t="s">
        <v>8</v>
      </c>
      <c r="P1188">
        <f t="shared" si="1035"/>
        <v>0.30524523885520349</v>
      </c>
      <c r="Q1188">
        <f t="shared" si="1036"/>
        <v>2777.4373686381027</v>
      </c>
      <c r="R1188">
        <f t="shared" si="1037"/>
        <v>495432.50925931695</v>
      </c>
      <c r="S1188">
        <f t="shared" si="1038"/>
        <v>4.9543250925931694</v>
      </c>
      <c r="T1188">
        <f t="shared" si="1039"/>
        <v>4.9543250925931691E-3</v>
      </c>
    </row>
    <row r="1189" spans="1:20" x14ac:dyDescent="0.25">
      <c r="A1189" s="5">
        <v>43404</v>
      </c>
      <c r="B1189">
        <v>6330.01</v>
      </c>
      <c r="C1189">
        <v>6428</v>
      </c>
      <c r="D1189">
        <v>6245.02</v>
      </c>
      <c r="E1189">
        <v>6371.93</v>
      </c>
      <c r="F1189">
        <v>12148.888215999999</v>
      </c>
      <c r="G1189">
        <v>0.66</v>
      </c>
      <c r="L1189" t="s">
        <v>7</v>
      </c>
      <c r="M1189" t="s">
        <v>7</v>
      </c>
      <c r="N1189" t="s">
        <v>8</v>
      </c>
      <c r="P1189">
        <f t="shared" si="1035"/>
        <v>0.38714613618974925</v>
      </c>
      <c r="Q1189">
        <f t="shared" si="1036"/>
        <v>4703.3951318255758</v>
      </c>
      <c r="R1189">
        <f t="shared" si="1037"/>
        <v>492655.07189067884</v>
      </c>
      <c r="S1189">
        <f t="shared" si="1038"/>
        <v>4.9265507189067881</v>
      </c>
      <c r="T1189">
        <f t="shared" si="1039"/>
        <v>4.9265507189067883E-3</v>
      </c>
    </row>
    <row r="1190" spans="1:20" x14ac:dyDescent="0.25">
      <c r="A1190" s="5">
        <v>43403</v>
      </c>
      <c r="B1190">
        <v>6344.5</v>
      </c>
      <c r="C1190">
        <v>6395</v>
      </c>
      <c r="D1190">
        <v>6317.01</v>
      </c>
      <c r="E1190">
        <v>6330.87</v>
      </c>
      <c r="F1190">
        <v>8877.1753850000005</v>
      </c>
      <c r="G1190">
        <v>-0.21</v>
      </c>
      <c r="L1190" t="s">
        <v>7</v>
      </c>
      <c r="M1190" t="s">
        <v>7</v>
      </c>
      <c r="N1190" t="s">
        <v>8</v>
      </c>
      <c r="P1190">
        <f t="shared" si="1035"/>
        <v>-0.64456981664316682</v>
      </c>
      <c r="Q1190">
        <f t="shared" si="1036"/>
        <v>-5721.9593102186836</v>
      </c>
      <c r="R1190">
        <f t="shared" si="1037"/>
        <v>487951.67675885325</v>
      </c>
      <c r="S1190">
        <f t="shared" si="1038"/>
        <v>4.8795167675885329</v>
      </c>
      <c r="T1190">
        <f t="shared" si="1039"/>
        <v>4.8795167675885331E-3</v>
      </c>
    </row>
    <row r="1191" spans="1:20" x14ac:dyDescent="0.25">
      <c r="A1191" s="5">
        <v>43402</v>
      </c>
      <c r="B1191">
        <v>6489.93</v>
      </c>
      <c r="C1191">
        <v>6505.01</v>
      </c>
      <c r="D1191">
        <v>6315</v>
      </c>
      <c r="E1191">
        <v>6344.5</v>
      </c>
      <c r="F1191">
        <v>13827.224066999999</v>
      </c>
      <c r="G1191">
        <v>-2.2400000000000002</v>
      </c>
      <c r="L1191" t="s">
        <v>7</v>
      </c>
      <c r="M1191" t="s">
        <v>7</v>
      </c>
      <c r="N1191" t="s">
        <v>8</v>
      </c>
      <c r="P1191">
        <f t="shared" si="1035"/>
        <v>-0.68949002684069294</v>
      </c>
      <c r="Q1191">
        <f t="shared" si="1036"/>
        <v>-9533.7330930881053</v>
      </c>
      <c r="R1191">
        <f t="shared" si="1037"/>
        <v>493673.63606907194</v>
      </c>
      <c r="S1191">
        <f t="shared" si="1038"/>
        <v>4.9367363606907197</v>
      </c>
      <c r="T1191">
        <f t="shared" si="1039"/>
        <v>4.9367363606907201E-3</v>
      </c>
    </row>
    <row r="1192" spans="1:20" x14ac:dyDescent="0.25">
      <c r="A1192" s="5">
        <v>43401</v>
      </c>
      <c r="B1192">
        <v>6505.6</v>
      </c>
      <c r="C1192">
        <v>6514.17</v>
      </c>
      <c r="D1192">
        <v>6453</v>
      </c>
      <c r="E1192">
        <v>6489.93</v>
      </c>
      <c r="F1192">
        <v>5743.933728</v>
      </c>
      <c r="G1192">
        <v>-0.24</v>
      </c>
      <c r="L1192" t="s">
        <v>7</v>
      </c>
      <c r="M1192" t="s">
        <v>7</v>
      </c>
      <c r="N1192" t="s">
        <v>8</v>
      </c>
      <c r="P1192">
        <f t="shared" si="1035"/>
        <v>0.20745463462482416</v>
      </c>
      <c r="Q1192">
        <f t="shared" si="1036"/>
        <v>1191.6056728514441</v>
      </c>
      <c r="R1192">
        <f t="shared" si="1037"/>
        <v>503207.36916216003</v>
      </c>
      <c r="S1192">
        <f t="shared" si="1038"/>
        <v>5.0320736916216005</v>
      </c>
      <c r="T1192">
        <f t="shared" si="1039"/>
        <v>5.0320736916216E-3</v>
      </c>
    </row>
    <row r="1193" spans="1:20" x14ac:dyDescent="0.25">
      <c r="A1193" s="5">
        <v>43400</v>
      </c>
      <c r="B1193">
        <v>6538.63</v>
      </c>
      <c r="C1193">
        <v>6558.35</v>
      </c>
      <c r="D1193">
        <v>6463.04</v>
      </c>
      <c r="E1193">
        <v>6505.6</v>
      </c>
      <c r="F1193">
        <v>7776.9078639999998</v>
      </c>
      <c r="G1193">
        <v>-0.51</v>
      </c>
      <c r="L1193" t="s">
        <v>7</v>
      </c>
      <c r="M1193" t="s">
        <v>7</v>
      </c>
      <c r="N1193" t="s">
        <v>8</v>
      </c>
      <c r="P1193">
        <f t="shared" si="1035"/>
        <v>-0.10691427971880765</v>
      </c>
      <c r="Q1193">
        <f t="shared" si="1036"/>
        <v>-831.46250271909093</v>
      </c>
      <c r="R1193">
        <f t="shared" si="1037"/>
        <v>502015.76348930859</v>
      </c>
      <c r="S1193">
        <f t="shared" si="1038"/>
        <v>5.0201576348930859</v>
      </c>
      <c r="T1193">
        <f t="shared" si="1039"/>
        <v>5.0201576348930859E-3</v>
      </c>
    </row>
    <row r="1194" spans="1:20" x14ac:dyDescent="0.25">
      <c r="A1194" s="5">
        <v>43399</v>
      </c>
      <c r="B1194">
        <v>6528.13</v>
      </c>
      <c r="C1194">
        <v>6600</v>
      </c>
      <c r="D1194">
        <v>6515.01</v>
      </c>
      <c r="E1194">
        <v>6538.63</v>
      </c>
      <c r="F1194">
        <v>9443.5041560000009</v>
      </c>
      <c r="G1194">
        <v>0.16</v>
      </c>
      <c r="L1194" t="s">
        <v>7</v>
      </c>
      <c r="M1194" t="s">
        <v>7</v>
      </c>
      <c r="N1194" t="s">
        <v>8</v>
      </c>
      <c r="P1194">
        <f t="shared" si="1035"/>
        <v>-0.44416990234145309</v>
      </c>
      <c r="Q1194">
        <f t="shared" si="1036"/>
        <v>-4194.5203187316265</v>
      </c>
      <c r="R1194">
        <f t="shared" si="1037"/>
        <v>502847.22599202767</v>
      </c>
      <c r="S1194">
        <f t="shared" si="1038"/>
        <v>5.0284722599202771</v>
      </c>
      <c r="T1194">
        <f t="shared" si="1039"/>
        <v>5.0284722599202771E-3</v>
      </c>
    </row>
    <row r="1195" spans="1:20" x14ac:dyDescent="0.25">
      <c r="A1195" s="5">
        <v>43398</v>
      </c>
      <c r="B1195">
        <v>6566.81</v>
      </c>
      <c r="C1195">
        <v>6575.09</v>
      </c>
      <c r="D1195">
        <v>6502.8</v>
      </c>
      <c r="E1195">
        <v>6528.09</v>
      </c>
      <c r="F1195">
        <v>10342.701244</v>
      </c>
      <c r="G1195">
        <v>-0.59</v>
      </c>
      <c r="L1195" t="s">
        <v>7</v>
      </c>
      <c r="M1195" t="s">
        <v>7</v>
      </c>
      <c r="N1195" t="s">
        <v>8</v>
      </c>
      <c r="P1195">
        <f t="shared" si="1035"/>
        <v>-0.30031816295476615</v>
      </c>
      <c r="Q1195">
        <f t="shared" si="1036"/>
        <v>-3106.1010375880546</v>
      </c>
      <c r="R1195">
        <f t="shared" si="1037"/>
        <v>507041.74631075928</v>
      </c>
      <c r="S1195">
        <f t="shared" si="1038"/>
        <v>5.0704174631075931</v>
      </c>
      <c r="T1195">
        <f t="shared" si="1039"/>
        <v>5.0704174631075929E-3</v>
      </c>
    </row>
    <row r="1196" spans="1:20" x14ac:dyDescent="0.25">
      <c r="A1196" s="5">
        <v>43397</v>
      </c>
      <c r="B1196">
        <v>6553.51</v>
      </c>
      <c r="C1196">
        <v>6630</v>
      </c>
      <c r="D1196">
        <v>6547.53</v>
      </c>
      <c r="E1196">
        <v>6565.5</v>
      </c>
      <c r="F1196">
        <v>11951.543976999999</v>
      </c>
      <c r="G1196">
        <v>0.18</v>
      </c>
      <c r="L1196" t="s">
        <v>7</v>
      </c>
      <c r="M1196" t="s">
        <v>7</v>
      </c>
      <c r="N1196" t="s">
        <v>8</v>
      </c>
      <c r="P1196">
        <f t="shared" si="1035"/>
        <v>-0.56420516551472777</v>
      </c>
      <c r="Q1196">
        <f t="shared" si="1036"/>
        <v>-6743.1228476998322</v>
      </c>
      <c r="R1196">
        <f t="shared" si="1037"/>
        <v>510147.84734834731</v>
      </c>
      <c r="S1196">
        <f t="shared" si="1038"/>
        <v>5.1014784734834731</v>
      </c>
      <c r="T1196">
        <f t="shared" si="1039"/>
        <v>5.1014784734834734E-3</v>
      </c>
    </row>
    <row r="1197" spans="1:20" x14ac:dyDescent="0.25">
      <c r="A1197" s="5">
        <v>43396</v>
      </c>
      <c r="B1197">
        <v>6581.2</v>
      </c>
      <c r="C1197">
        <v>6595</v>
      </c>
      <c r="D1197">
        <v>6515.45</v>
      </c>
      <c r="E1197">
        <v>6553.51</v>
      </c>
      <c r="F1197">
        <v>13856.601756</v>
      </c>
      <c r="G1197">
        <v>-0.42</v>
      </c>
      <c r="L1197" t="s">
        <v>7</v>
      </c>
      <c r="M1197" t="s">
        <v>7</v>
      </c>
      <c r="N1197" t="s">
        <v>8</v>
      </c>
      <c r="P1197">
        <f t="shared" si="1035"/>
        <v>-4.3117536140784084E-2</v>
      </c>
      <c r="Q1197">
        <f t="shared" si="1036"/>
        <v>-597.46252700278217</v>
      </c>
      <c r="R1197">
        <f t="shared" si="1037"/>
        <v>516890.97019604716</v>
      </c>
      <c r="S1197">
        <f t="shared" si="1038"/>
        <v>5.1689097019604713</v>
      </c>
      <c r="T1197">
        <f t="shared" si="1039"/>
        <v>5.1689097019604717E-3</v>
      </c>
    </row>
    <row r="1198" spans="1:20" x14ac:dyDescent="0.25">
      <c r="A1198" s="5">
        <v>43395</v>
      </c>
      <c r="B1198">
        <v>6590.12</v>
      </c>
      <c r="C1198">
        <v>6639</v>
      </c>
      <c r="D1198">
        <v>6535.27</v>
      </c>
      <c r="E1198">
        <v>6581.2</v>
      </c>
      <c r="F1198">
        <v>16213.692660000001</v>
      </c>
      <c r="G1198">
        <v>-0.14000000000000001</v>
      </c>
      <c r="L1198" t="s">
        <v>7</v>
      </c>
      <c r="M1198" t="s">
        <v>7</v>
      </c>
      <c r="N1198" t="s">
        <v>8</v>
      </c>
      <c r="P1198">
        <f t="shared" si="1035"/>
        <v>-0.11443169767666876</v>
      </c>
      <c r="Q1198">
        <f t="shared" si="1036"/>
        <v>-1855.3603766915435</v>
      </c>
      <c r="R1198">
        <f t="shared" si="1037"/>
        <v>517488.43272304995</v>
      </c>
      <c r="S1198">
        <f t="shared" si="1038"/>
        <v>5.1748843272304992</v>
      </c>
      <c r="T1198">
        <f t="shared" si="1039"/>
        <v>5.174884327230499E-3</v>
      </c>
    </row>
    <row r="1199" spans="1:20" x14ac:dyDescent="0.25">
      <c r="A1199" s="5">
        <v>43394</v>
      </c>
      <c r="B1199">
        <v>6585.72</v>
      </c>
      <c r="C1199">
        <v>6663.9</v>
      </c>
      <c r="D1199">
        <v>6580</v>
      </c>
      <c r="E1199">
        <v>6590.11</v>
      </c>
      <c r="F1199">
        <v>6515.3577919999998</v>
      </c>
      <c r="G1199">
        <v>7.0000000000000007E-2</v>
      </c>
      <c r="L1199" t="s">
        <v>7</v>
      </c>
      <c r="M1199" t="s">
        <v>7</v>
      </c>
      <c r="N1199" t="s">
        <v>8</v>
      </c>
      <c r="P1199">
        <f t="shared" si="1035"/>
        <v>-0.75899880810489351</v>
      </c>
      <c r="Q1199">
        <f t="shared" si="1036"/>
        <v>-4945.1487985049307</v>
      </c>
      <c r="R1199">
        <f t="shared" si="1037"/>
        <v>519343.79309974151</v>
      </c>
      <c r="S1199">
        <f t="shared" si="1038"/>
        <v>5.1934379309974155</v>
      </c>
      <c r="T1199">
        <f t="shared" si="1039"/>
        <v>5.1934379309974158E-3</v>
      </c>
    </row>
    <row r="1200" spans="1:20" x14ac:dyDescent="0.25">
      <c r="A1200" s="5">
        <v>43393</v>
      </c>
      <c r="B1200">
        <v>6528.88</v>
      </c>
      <c r="C1200">
        <v>6617.65</v>
      </c>
      <c r="D1200">
        <v>6505.55</v>
      </c>
      <c r="E1200">
        <v>6588.4</v>
      </c>
      <c r="F1200">
        <v>19240.722247000002</v>
      </c>
      <c r="G1200">
        <v>0.91</v>
      </c>
      <c r="L1200" t="s">
        <v>7</v>
      </c>
      <c r="M1200" t="s">
        <v>7</v>
      </c>
      <c r="N1200" t="s">
        <v>8</v>
      </c>
      <c r="P1200">
        <f t="shared" si="1035"/>
        <v>0.47814451382693768</v>
      </c>
      <c r="Q1200">
        <f t="shared" si="1036"/>
        <v>9199.8457844709592</v>
      </c>
      <c r="R1200">
        <f t="shared" si="1037"/>
        <v>524288.94189824641</v>
      </c>
      <c r="S1200">
        <f t="shared" si="1038"/>
        <v>5.2428894189824637</v>
      </c>
      <c r="T1200">
        <f t="shared" si="1039"/>
        <v>5.2428894189824639E-3</v>
      </c>
    </row>
    <row r="1201" spans="1:20" x14ac:dyDescent="0.25">
      <c r="A1201" s="5">
        <v>43392</v>
      </c>
      <c r="B1201">
        <v>6618.96</v>
      </c>
      <c r="C1201">
        <v>6648.14</v>
      </c>
      <c r="D1201">
        <v>6523</v>
      </c>
      <c r="E1201">
        <v>6528.88</v>
      </c>
      <c r="F1201">
        <v>20772.600770000001</v>
      </c>
      <c r="G1201">
        <v>-1.36</v>
      </c>
      <c r="L1201" t="s">
        <v>7</v>
      </c>
      <c r="M1201" t="s">
        <v>8</v>
      </c>
      <c r="N1201" t="s">
        <v>8</v>
      </c>
      <c r="P1201">
        <f t="shared" si="1035"/>
        <v>-0.90602525171807424</v>
      </c>
      <c r="Q1201">
        <f t="shared" si="1036"/>
        <v>-18820.500841478315</v>
      </c>
      <c r="R1201">
        <f t="shared" si="1037"/>
        <v>515089.09611377545</v>
      </c>
      <c r="S1201">
        <f t="shared" si="1038"/>
        <v>5.1508909611377547</v>
      </c>
      <c r="T1201">
        <f t="shared" si="1039"/>
        <v>5.1508909611377544E-3</v>
      </c>
    </row>
    <row r="1202" spans="1:20" x14ac:dyDescent="0.25">
      <c r="A1202" s="5">
        <v>43391</v>
      </c>
      <c r="B1202">
        <v>6739.01</v>
      </c>
      <c r="C1202">
        <v>6796</v>
      </c>
      <c r="D1202">
        <v>6567</v>
      </c>
      <c r="E1202">
        <v>6618.96</v>
      </c>
      <c r="F1202">
        <v>20116.521940999999</v>
      </c>
      <c r="G1202">
        <v>-1.78</v>
      </c>
      <c r="L1202" t="s">
        <v>7</v>
      </c>
      <c r="M1202" t="s">
        <v>8</v>
      </c>
      <c r="N1202" t="s">
        <v>8</v>
      </c>
      <c r="P1202">
        <f t="shared" si="1035"/>
        <v>-0.54620087336244505</v>
      </c>
      <c r="Q1202">
        <f t="shared" si="1036"/>
        <v>-10987.661853188987</v>
      </c>
      <c r="R1202">
        <f t="shared" si="1037"/>
        <v>533909.59695525374</v>
      </c>
      <c r="S1202">
        <f t="shared" si="1038"/>
        <v>5.3390959695525373</v>
      </c>
      <c r="T1202">
        <f t="shared" si="1039"/>
        <v>5.3390959695525375E-3</v>
      </c>
    </row>
    <row r="1203" spans="1:20" x14ac:dyDescent="0.25">
      <c r="A1203" s="5">
        <v>43390</v>
      </c>
      <c r="B1203">
        <v>6762.76</v>
      </c>
      <c r="C1203">
        <v>6811.12</v>
      </c>
      <c r="D1203">
        <v>6676.01</v>
      </c>
      <c r="E1203">
        <v>6740.89</v>
      </c>
      <c r="F1203">
        <v>26641.431379000001</v>
      </c>
      <c r="G1203">
        <v>-0.32</v>
      </c>
      <c r="L1203" t="s">
        <v>7</v>
      </c>
      <c r="M1203" t="s">
        <v>8</v>
      </c>
      <c r="N1203" t="s">
        <v>8</v>
      </c>
      <c r="P1203">
        <f t="shared" si="1035"/>
        <v>-3.9597365109906503E-2</v>
      </c>
      <c r="Q1203">
        <f t="shared" si="1036"/>
        <v>-1054.930485364783</v>
      </c>
      <c r="R1203">
        <f t="shared" si="1037"/>
        <v>544897.25880844274</v>
      </c>
      <c r="S1203">
        <f t="shared" si="1038"/>
        <v>5.4489725880844277</v>
      </c>
      <c r="T1203">
        <f t="shared" si="1039"/>
        <v>5.4489725880844274E-3</v>
      </c>
    </row>
    <row r="1204" spans="1:20" x14ac:dyDescent="0.25">
      <c r="A1204" s="5">
        <v>43389</v>
      </c>
      <c r="B1204">
        <v>6752.5</v>
      </c>
      <c r="C1204">
        <v>6900</v>
      </c>
      <c r="D1204">
        <v>6670</v>
      </c>
      <c r="E1204">
        <v>6759.27</v>
      </c>
      <c r="F1204">
        <v>27557.957763999999</v>
      </c>
      <c r="G1204">
        <v>0.1</v>
      </c>
      <c r="L1204" t="s">
        <v>7</v>
      </c>
      <c r="M1204" t="s">
        <v>8</v>
      </c>
      <c r="N1204" t="s">
        <v>8</v>
      </c>
      <c r="P1204">
        <f t="shared" si="1035"/>
        <v>-0.2237391304347788</v>
      </c>
      <c r="Q1204">
        <f t="shared" si="1036"/>
        <v>-6165.7935066757209</v>
      </c>
      <c r="R1204">
        <f t="shared" si="1037"/>
        <v>545952.18929380749</v>
      </c>
      <c r="S1204">
        <f t="shared" si="1038"/>
        <v>5.4595218929380751</v>
      </c>
      <c r="T1204">
        <f t="shared" si="1039"/>
        <v>5.4595218929380752E-3</v>
      </c>
    </row>
    <row r="1205" spans="1:20" x14ac:dyDescent="0.25">
      <c r="A1205" s="5">
        <v>43388</v>
      </c>
      <c r="B1205">
        <v>6339.34</v>
      </c>
      <c r="C1205">
        <v>7680</v>
      </c>
      <c r="D1205">
        <v>6300</v>
      </c>
      <c r="E1205">
        <v>6752.5</v>
      </c>
      <c r="F1205">
        <v>90748.031245999999</v>
      </c>
      <c r="G1205">
        <v>6.52</v>
      </c>
      <c r="L1205" t="s">
        <v>8</v>
      </c>
      <c r="M1205" t="s">
        <v>8</v>
      </c>
      <c r="N1205" t="s">
        <v>8</v>
      </c>
      <c r="P1205">
        <f t="shared" si="1035"/>
        <v>-0.34420289855072461</v>
      </c>
      <c r="Q1205">
        <f t="shared" si="1036"/>
        <v>-31235.735392644925</v>
      </c>
      <c r="R1205">
        <f t="shared" si="1037"/>
        <v>552117.98280048324</v>
      </c>
      <c r="S1205">
        <f t="shared" si="1038"/>
        <v>5.5211798280048328</v>
      </c>
      <c r="T1205">
        <f t="shared" si="1039"/>
        <v>5.5211798280048324E-3</v>
      </c>
    </row>
    <row r="1206" spans="1:20" x14ac:dyDescent="0.25">
      <c r="A1206" s="5">
        <v>43387</v>
      </c>
      <c r="B1206">
        <v>6332.92</v>
      </c>
      <c r="C1206">
        <v>6416</v>
      </c>
      <c r="D1206">
        <v>6308</v>
      </c>
      <c r="E1206">
        <v>6339.34</v>
      </c>
      <c r="F1206">
        <v>15627.411314000001</v>
      </c>
      <c r="G1206">
        <v>0.1</v>
      </c>
      <c r="L1206" t="s">
        <v>7</v>
      </c>
      <c r="M1206" t="s">
        <v>7</v>
      </c>
      <c r="N1206" t="s">
        <v>8</v>
      </c>
      <c r="P1206">
        <f t="shared" si="1035"/>
        <v>-0.41962962962962691</v>
      </c>
      <c r="Q1206">
        <f t="shared" si="1036"/>
        <v>-6557.7248217636616</v>
      </c>
      <c r="R1206">
        <f t="shared" si="1037"/>
        <v>583353.71819312812</v>
      </c>
      <c r="S1206">
        <f t="shared" si="1038"/>
        <v>5.8335371819312813</v>
      </c>
      <c r="T1206">
        <f t="shared" si="1039"/>
        <v>5.8335371819312814E-3</v>
      </c>
    </row>
    <row r="1207" spans="1:20" x14ac:dyDescent="0.25">
      <c r="A1207" s="5">
        <v>43386</v>
      </c>
      <c r="B1207">
        <v>6298</v>
      </c>
      <c r="C1207">
        <v>6345</v>
      </c>
      <c r="D1207">
        <v>6285.07</v>
      </c>
      <c r="E1207">
        <v>6332.93</v>
      </c>
      <c r="F1207">
        <v>19098.070025000001</v>
      </c>
      <c r="G1207">
        <v>0.55000000000000004</v>
      </c>
      <c r="L1207" t="s">
        <v>7</v>
      </c>
      <c r="M1207" t="s">
        <v>7</v>
      </c>
      <c r="N1207" t="s">
        <v>8</v>
      </c>
      <c r="P1207">
        <f t="shared" si="1035"/>
        <v>0.59719672951778235</v>
      </c>
      <c r="Q1207">
        <f t="shared" si="1036"/>
        <v>11405.304959031593</v>
      </c>
      <c r="R1207">
        <f t="shared" si="1037"/>
        <v>589911.44301489182</v>
      </c>
      <c r="S1207">
        <f t="shared" si="1038"/>
        <v>5.8991144301489182</v>
      </c>
      <c r="T1207">
        <f t="shared" si="1039"/>
        <v>5.8991144301489187E-3</v>
      </c>
    </row>
    <row r="1208" spans="1:20" x14ac:dyDescent="0.25">
      <c r="A1208" s="5">
        <v>43385</v>
      </c>
      <c r="B1208">
        <v>6252.71</v>
      </c>
      <c r="C1208">
        <v>6360</v>
      </c>
      <c r="D1208">
        <v>6209</v>
      </c>
      <c r="E1208">
        <v>6298.01</v>
      </c>
      <c r="F1208">
        <v>29004.071419</v>
      </c>
      <c r="G1208">
        <v>0.72</v>
      </c>
      <c r="L1208" t="s">
        <v>7</v>
      </c>
      <c r="M1208" t="s">
        <v>7</v>
      </c>
      <c r="N1208" t="s">
        <v>8</v>
      </c>
      <c r="P1208">
        <f t="shared" si="1035"/>
        <v>0.17894039735099626</v>
      </c>
      <c r="Q1208">
        <f t="shared" si="1036"/>
        <v>5190.0000645125338</v>
      </c>
      <c r="R1208">
        <f t="shared" si="1037"/>
        <v>578506.13805586018</v>
      </c>
      <c r="S1208">
        <f t="shared" si="1038"/>
        <v>5.7850613805586022</v>
      </c>
      <c r="T1208">
        <f t="shared" si="1039"/>
        <v>5.7850613805586022E-3</v>
      </c>
    </row>
    <row r="1209" spans="1:20" x14ac:dyDescent="0.25">
      <c r="A1209" s="5">
        <v>43384</v>
      </c>
      <c r="B1209">
        <v>6630.21</v>
      </c>
      <c r="C1209">
        <v>6633.92</v>
      </c>
      <c r="D1209">
        <v>6205</v>
      </c>
      <c r="E1209">
        <v>6252.68</v>
      </c>
      <c r="F1209">
        <v>48712.400331999997</v>
      </c>
      <c r="G1209">
        <v>-5.69</v>
      </c>
      <c r="L1209" t="s">
        <v>7</v>
      </c>
      <c r="M1209" t="s">
        <v>7</v>
      </c>
      <c r="N1209" t="s">
        <v>8</v>
      </c>
      <c r="P1209">
        <f t="shared" si="1035"/>
        <v>-0.77767415835120635</v>
      </c>
      <c r="Q1209">
        <f t="shared" si="1036"/>
        <v>-37882.374929455123</v>
      </c>
      <c r="R1209">
        <f t="shared" si="1037"/>
        <v>573316.1379913477</v>
      </c>
      <c r="S1209">
        <f t="shared" si="1038"/>
        <v>5.7331613799134766</v>
      </c>
      <c r="T1209">
        <f t="shared" si="1039"/>
        <v>5.7331613799134771E-3</v>
      </c>
    </row>
    <row r="1210" spans="1:20" x14ac:dyDescent="0.25">
      <c r="A1210" s="5">
        <v>43383</v>
      </c>
      <c r="B1210">
        <v>6656.67</v>
      </c>
      <c r="C1210">
        <v>6659.95</v>
      </c>
      <c r="D1210">
        <v>6530</v>
      </c>
      <c r="E1210">
        <v>6631</v>
      </c>
      <c r="F1210">
        <v>15390.661443999999</v>
      </c>
      <c r="G1210">
        <v>-0.39</v>
      </c>
      <c r="L1210" t="s">
        <v>8</v>
      </c>
      <c r="M1210" t="s">
        <v>7</v>
      </c>
      <c r="N1210" t="s">
        <v>8</v>
      </c>
      <c r="P1210">
        <f t="shared" si="1035"/>
        <v>0.55444401692959044</v>
      </c>
      <c r="Q1210">
        <f t="shared" si="1036"/>
        <v>8533.2601542147313</v>
      </c>
      <c r="R1210">
        <f t="shared" si="1037"/>
        <v>611198.51292080281</v>
      </c>
      <c r="S1210">
        <f t="shared" si="1038"/>
        <v>6.1119851292080281</v>
      </c>
      <c r="T1210">
        <f t="shared" si="1039"/>
        <v>6.1119851292080283E-3</v>
      </c>
    </row>
    <row r="1211" spans="1:20" x14ac:dyDescent="0.25">
      <c r="A1211" s="5">
        <v>43382</v>
      </c>
      <c r="B1211">
        <v>6673.01</v>
      </c>
      <c r="C1211">
        <v>6685.38</v>
      </c>
      <c r="D1211">
        <v>6607</v>
      </c>
      <c r="E1211">
        <v>6656.61</v>
      </c>
      <c r="F1211">
        <v>15354.779468999999</v>
      </c>
      <c r="G1211">
        <v>-0.25</v>
      </c>
      <c r="L1211" t="s">
        <v>8</v>
      </c>
      <c r="M1211" t="s">
        <v>7</v>
      </c>
      <c r="N1211" t="s">
        <v>8</v>
      </c>
      <c r="P1211">
        <f t="shared" si="1035"/>
        <v>0.26588415412093913</v>
      </c>
      <c r="Q1211">
        <f t="shared" si="1036"/>
        <v>4082.5925508286277</v>
      </c>
      <c r="R1211">
        <f t="shared" si="1037"/>
        <v>602665.25276658812</v>
      </c>
      <c r="S1211">
        <f t="shared" si="1038"/>
        <v>6.0266525276658811</v>
      </c>
      <c r="T1211">
        <f t="shared" si="1039"/>
        <v>6.026652527665881E-3</v>
      </c>
    </row>
    <row r="1212" spans="1:20" x14ac:dyDescent="0.25">
      <c r="A1212" s="5">
        <v>43381</v>
      </c>
      <c r="B1212">
        <v>6615.26</v>
      </c>
      <c r="C1212">
        <v>6715.6</v>
      </c>
      <c r="D1212">
        <v>6587</v>
      </c>
      <c r="E1212">
        <v>6673.01</v>
      </c>
      <c r="F1212">
        <v>23123.419540999999</v>
      </c>
      <c r="G1212">
        <v>0.87</v>
      </c>
      <c r="L1212" t="s">
        <v>8</v>
      </c>
      <c r="M1212" t="s">
        <v>7</v>
      </c>
      <c r="N1212" t="s">
        <v>8</v>
      </c>
      <c r="P1212">
        <f t="shared" si="1035"/>
        <v>0.33763608087091718</v>
      </c>
      <c r="Q1212">
        <f t="shared" si="1036"/>
        <v>7807.300750157222</v>
      </c>
      <c r="R1212">
        <f t="shared" si="1037"/>
        <v>598582.66021575953</v>
      </c>
      <c r="S1212">
        <f t="shared" si="1038"/>
        <v>5.9858266021575952</v>
      </c>
      <c r="T1212">
        <f t="shared" si="1039"/>
        <v>5.9858266021575951E-3</v>
      </c>
    </row>
    <row r="1213" spans="1:20" x14ac:dyDescent="0.25">
      <c r="A1213" s="5">
        <v>43380</v>
      </c>
      <c r="B1213">
        <v>6596.44</v>
      </c>
      <c r="C1213">
        <v>6640</v>
      </c>
      <c r="D1213">
        <v>6525</v>
      </c>
      <c r="E1213">
        <v>6615.26</v>
      </c>
      <c r="F1213">
        <v>17406.831762000002</v>
      </c>
      <c r="G1213">
        <v>0.28999999999999998</v>
      </c>
      <c r="L1213" t="s">
        <v>8</v>
      </c>
      <c r="M1213" t="s">
        <v>7</v>
      </c>
      <c r="N1213" t="s">
        <v>8</v>
      </c>
      <c r="P1213">
        <f t="shared" si="1035"/>
        <v>0.56973913043478641</v>
      </c>
      <c r="Q1213">
        <f t="shared" si="1036"/>
        <v>9917.3531917065011</v>
      </c>
      <c r="R1213">
        <f t="shared" si="1037"/>
        <v>590775.35946560232</v>
      </c>
      <c r="S1213">
        <f t="shared" si="1038"/>
        <v>5.9077535946560236</v>
      </c>
      <c r="T1213">
        <f t="shared" si="1039"/>
        <v>5.9077535946560232E-3</v>
      </c>
    </row>
    <row r="1214" spans="1:20" x14ac:dyDescent="0.25">
      <c r="A1214" s="5">
        <v>43379</v>
      </c>
      <c r="B1214">
        <v>6635.65</v>
      </c>
      <c r="C1214">
        <v>6651</v>
      </c>
      <c r="D1214">
        <v>6566.77</v>
      </c>
      <c r="E1214">
        <v>6594.27</v>
      </c>
      <c r="F1214">
        <v>10939.505391000001</v>
      </c>
      <c r="G1214">
        <v>-0.62</v>
      </c>
      <c r="L1214" t="s">
        <v>8</v>
      </c>
      <c r="M1214" t="s">
        <v>7</v>
      </c>
      <c r="N1214" t="s">
        <v>8</v>
      </c>
      <c r="P1214">
        <f t="shared" si="1035"/>
        <v>-0.34702600023744173</v>
      </c>
      <c r="Q1214">
        <f t="shared" si="1036"/>
        <v>-3796.2928004146615</v>
      </c>
      <c r="R1214">
        <f t="shared" si="1037"/>
        <v>580858.00627389585</v>
      </c>
      <c r="S1214">
        <f t="shared" si="1038"/>
        <v>5.8085800627389581</v>
      </c>
      <c r="T1214">
        <f t="shared" si="1039"/>
        <v>5.8085800627389579E-3</v>
      </c>
    </row>
    <row r="1215" spans="1:20" x14ac:dyDescent="0.25">
      <c r="A1215" s="5">
        <v>43378</v>
      </c>
      <c r="B1215">
        <v>6591.69</v>
      </c>
      <c r="C1215">
        <v>6697</v>
      </c>
      <c r="D1215">
        <v>6543.08</v>
      </c>
      <c r="E1215">
        <v>6635.65</v>
      </c>
      <c r="F1215">
        <v>16096.552392</v>
      </c>
      <c r="G1215">
        <v>0.67</v>
      </c>
      <c r="L1215" t="s">
        <v>8</v>
      </c>
      <c r="M1215" t="s">
        <v>7</v>
      </c>
      <c r="N1215" t="s">
        <v>8</v>
      </c>
      <c r="P1215">
        <f t="shared" ref="P1215:P1278" si="1040">IF(C1215=D1215,0,((E1215-D1215)-(C1215-E1215))/(C1215-D1215))</f>
        <v>0.20283264033263598</v>
      </c>
      <c r="Q1215">
        <f t="shared" ref="Q1215:Q1278" si="1041">F1215*P1215</f>
        <v>3264.9062219219672</v>
      </c>
      <c r="R1215">
        <f t="shared" ref="R1215:R1278" si="1042">R1216+Q1215</f>
        <v>584654.29907431046</v>
      </c>
      <c r="S1215">
        <f t="shared" ref="S1215:S1278" si="1043">R1215/100000</f>
        <v>5.8465429907431048</v>
      </c>
      <c r="T1215">
        <f t="shared" ref="T1215:T1278" si="1044">S1215/1000</f>
        <v>5.8465429907431045E-3</v>
      </c>
    </row>
    <row r="1216" spans="1:20" x14ac:dyDescent="0.25">
      <c r="A1216" s="5">
        <v>43377</v>
      </c>
      <c r="B1216">
        <v>6510.01</v>
      </c>
      <c r="C1216">
        <v>6643.46</v>
      </c>
      <c r="D1216">
        <v>6505.09</v>
      </c>
      <c r="E1216">
        <v>6593.79</v>
      </c>
      <c r="F1216">
        <v>20074.300818</v>
      </c>
      <c r="G1216">
        <v>1.29</v>
      </c>
      <c r="L1216" t="s">
        <v>8</v>
      </c>
      <c r="M1216" t="s">
        <v>7</v>
      </c>
      <c r="N1216" t="s">
        <v>8</v>
      </c>
      <c r="P1216">
        <f t="shared" si="1040"/>
        <v>0.28206981282069649</v>
      </c>
      <c r="Q1216">
        <f t="shared" si="1041"/>
        <v>5662.3542742396139</v>
      </c>
      <c r="R1216">
        <f t="shared" si="1042"/>
        <v>581389.39285238844</v>
      </c>
      <c r="S1216">
        <f t="shared" si="1043"/>
        <v>5.8138939285238846</v>
      </c>
      <c r="T1216">
        <f t="shared" si="1044"/>
        <v>5.813893928523885E-3</v>
      </c>
    </row>
    <row r="1217" spans="1:20" x14ac:dyDescent="0.25">
      <c r="A1217" s="5">
        <v>43376</v>
      </c>
      <c r="B1217">
        <v>6525.79</v>
      </c>
      <c r="C1217">
        <v>6549</v>
      </c>
      <c r="D1217">
        <v>6430</v>
      </c>
      <c r="E1217">
        <v>6510</v>
      </c>
      <c r="F1217">
        <v>28451.969138</v>
      </c>
      <c r="G1217">
        <v>-0.24</v>
      </c>
      <c r="L1217" t="s">
        <v>8</v>
      </c>
      <c r="M1217" t="s">
        <v>7</v>
      </c>
      <c r="N1217" t="s">
        <v>8</v>
      </c>
      <c r="P1217">
        <f t="shared" si="1040"/>
        <v>0.34453781512605042</v>
      </c>
      <c r="Q1217">
        <f t="shared" si="1041"/>
        <v>9802.7792828403362</v>
      </c>
      <c r="R1217">
        <f t="shared" si="1042"/>
        <v>575727.03857814881</v>
      </c>
      <c r="S1217">
        <f t="shared" si="1043"/>
        <v>5.7572703857814878</v>
      </c>
      <c r="T1217">
        <f t="shared" si="1044"/>
        <v>5.7572703857814876E-3</v>
      </c>
    </row>
    <row r="1218" spans="1:20" x14ac:dyDescent="0.25">
      <c r="A1218" s="5">
        <v>43375</v>
      </c>
      <c r="B1218">
        <v>6610</v>
      </c>
      <c r="C1218">
        <v>6640</v>
      </c>
      <c r="D1218">
        <v>6494</v>
      </c>
      <c r="E1218">
        <v>6525.79</v>
      </c>
      <c r="F1218">
        <v>28245.810087999998</v>
      </c>
      <c r="G1218">
        <v>-1.27</v>
      </c>
      <c r="L1218" t="s">
        <v>8</v>
      </c>
      <c r="M1218" t="s">
        <v>7</v>
      </c>
      <c r="N1218" t="s">
        <v>8</v>
      </c>
      <c r="P1218">
        <f t="shared" si="1040"/>
        <v>-0.56452054794520601</v>
      </c>
      <c r="Q1218">
        <f t="shared" si="1041"/>
        <v>-15945.340188033986</v>
      </c>
      <c r="R1218">
        <f t="shared" si="1042"/>
        <v>565924.2592953085</v>
      </c>
      <c r="S1218">
        <f t="shared" si="1043"/>
        <v>5.6592425929530847</v>
      </c>
      <c r="T1218">
        <f t="shared" si="1044"/>
        <v>5.6592425929530852E-3</v>
      </c>
    </row>
    <row r="1219" spans="1:20" x14ac:dyDescent="0.25">
      <c r="A1219" s="5">
        <v>43374</v>
      </c>
      <c r="B1219">
        <v>6626.57</v>
      </c>
      <c r="C1219">
        <v>6667.09</v>
      </c>
      <c r="D1219">
        <v>6510</v>
      </c>
      <c r="E1219">
        <v>6611.61</v>
      </c>
      <c r="F1219">
        <v>20621.506893999998</v>
      </c>
      <c r="G1219">
        <v>-0.23</v>
      </c>
      <c r="L1219" t="s">
        <v>8</v>
      </c>
      <c r="M1219" t="s">
        <v>7</v>
      </c>
      <c r="N1219" t="s">
        <v>8</v>
      </c>
      <c r="P1219">
        <f t="shared" si="1040"/>
        <v>0.29365331975300246</v>
      </c>
      <c r="Q1219">
        <f t="shared" si="1041"/>
        <v>6055.5739577325257</v>
      </c>
      <c r="R1219">
        <f t="shared" si="1042"/>
        <v>581869.59948334249</v>
      </c>
      <c r="S1219">
        <f t="shared" si="1043"/>
        <v>5.8186959948334245</v>
      </c>
      <c r="T1219">
        <f t="shared" si="1044"/>
        <v>5.8186959948334244E-3</v>
      </c>
    </row>
    <row r="1220" spans="1:20" x14ac:dyDescent="0.25">
      <c r="A1220" s="5">
        <v>43373</v>
      </c>
      <c r="B1220">
        <v>6597.66</v>
      </c>
      <c r="C1220">
        <v>6662</v>
      </c>
      <c r="D1220">
        <v>6533</v>
      </c>
      <c r="E1220">
        <v>6626.57</v>
      </c>
      <c r="F1220">
        <v>27764.724518999999</v>
      </c>
      <c r="G1220">
        <v>0.44</v>
      </c>
      <c r="L1220" t="s">
        <v>8</v>
      </c>
      <c r="M1220" t="s">
        <v>7</v>
      </c>
      <c r="N1220" t="s">
        <v>8</v>
      </c>
      <c r="P1220">
        <f t="shared" si="1040"/>
        <v>0.45069767441860015</v>
      </c>
      <c r="Q1220">
        <f t="shared" si="1041"/>
        <v>12513.496771586386</v>
      </c>
      <c r="R1220">
        <f t="shared" si="1042"/>
        <v>575814.02552560996</v>
      </c>
      <c r="S1220">
        <f t="shared" si="1043"/>
        <v>5.7581402552560998</v>
      </c>
      <c r="T1220">
        <f t="shared" si="1044"/>
        <v>5.7581402552561002E-3</v>
      </c>
    </row>
    <row r="1221" spans="1:20" x14ac:dyDescent="0.25">
      <c r="A1221" s="5">
        <v>43372</v>
      </c>
      <c r="B1221">
        <v>6634.58</v>
      </c>
      <c r="C1221">
        <v>6636</v>
      </c>
      <c r="D1221">
        <v>6464.57</v>
      </c>
      <c r="E1221">
        <v>6596.38</v>
      </c>
      <c r="F1221">
        <v>30255.959699999999</v>
      </c>
      <c r="G1221">
        <v>-0.57999999999999996</v>
      </c>
      <c r="L1221" t="s">
        <v>8</v>
      </c>
      <c r="M1221" t="s">
        <v>7</v>
      </c>
      <c r="N1221" t="s">
        <v>8</v>
      </c>
      <c r="P1221">
        <f t="shared" si="1040"/>
        <v>0.53777051857901392</v>
      </c>
      <c r="Q1221">
        <f t="shared" si="1041"/>
        <v>16270.763137974745</v>
      </c>
      <c r="R1221">
        <f t="shared" si="1042"/>
        <v>563300.5287540236</v>
      </c>
      <c r="S1221">
        <f t="shared" si="1043"/>
        <v>5.6330052875402359</v>
      </c>
      <c r="T1221">
        <f t="shared" si="1044"/>
        <v>5.6330052875402355E-3</v>
      </c>
    </row>
    <row r="1222" spans="1:20" x14ac:dyDescent="0.25">
      <c r="A1222" s="5">
        <v>43371</v>
      </c>
      <c r="B1222">
        <v>6689.12</v>
      </c>
      <c r="C1222">
        <v>6814.8</v>
      </c>
      <c r="D1222">
        <v>6540.88</v>
      </c>
      <c r="E1222">
        <v>6634.58</v>
      </c>
      <c r="F1222">
        <v>42399.448522999999</v>
      </c>
      <c r="G1222">
        <v>-0.82</v>
      </c>
      <c r="L1222" t="s">
        <v>8</v>
      </c>
      <c r="M1222" t="s">
        <v>7</v>
      </c>
      <c r="N1222" t="s">
        <v>8</v>
      </c>
      <c r="P1222">
        <f t="shared" si="1040"/>
        <v>-0.31585864485981457</v>
      </c>
      <c r="Q1222">
        <f t="shared" si="1041"/>
        <v>-13392.232353278247</v>
      </c>
      <c r="R1222">
        <f t="shared" si="1042"/>
        <v>547029.76561604883</v>
      </c>
      <c r="S1222">
        <f t="shared" si="1043"/>
        <v>5.4702976561604881</v>
      </c>
      <c r="T1222">
        <f t="shared" si="1044"/>
        <v>5.4702976561604878E-3</v>
      </c>
    </row>
    <row r="1223" spans="1:20" x14ac:dyDescent="0.25">
      <c r="A1223" s="5">
        <v>43370</v>
      </c>
      <c r="B1223">
        <v>6467.84</v>
      </c>
      <c r="C1223">
        <v>6750</v>
      </c>
      <c r="D1223">
        <v>6434</v>
      </c>
      <c r="E1223">
        <v>6689.13</v>
      </c>
      <c r="F1223">
        <v>33087.428296999999</v>
      </c>
      <c r="G1223">
        <v>3.42</v>
      </c>
      <c r="L1223" t="s">
        <v>8</v>
      </c>
      <c r="M1223" t="s">
        <v>7</v>
      </c>
      <c r="N1223" t="s">
        <v>8</v>
      </c>
      <c r="P1223">
        <f t="shared" si="1040"/>
        <v>0.61474683544303865</v>
      </c>
      <c r="Q1223">
        <f t="shared" si="1041"/>
        <v>20340.391838529198</v>
      </c>
      <c r="R1223">
        <f t="shared" si="1042"/>
        <v>560421.99796932703</v>
      </c>
      <c r="S1223">
        <f t="shared" si="1043"/>
        <v>5.6042199796932701</v>
      </c>
      <c r="T1223">
        <f t="shared" si="1044"/>
        <v>5.6042199796932698E-3</v>
      </c>
    </row>
    <row r="1224" spans="1:20" x14ac:dyDescent="0.25">
      <c r="A1224" s="5">
        <v>43369</v>
      </c>
      <c r="B1224">
        <v>6445.11</v>
      </c>
      <c r="C1224">
        <v>6557.99</v>
      </c>
      <c r="D1224">
        <v>6379.7</v>
      </c>
      <c r="E1224">
        <v>6465.12</v>
      </c>
      <c r="F1224">
        <v>33484.542070000003</v>
      </c>
      <c r="G1224">
        <v>0.31</v>
      </c>
      <c r="L1224" t="s">
        <v>7</v>
      </c>
      <c r="M1224" t="s">
        <v>7</v>
      </c>
      <c r="N1224" t="s">
        <v>8</v>
      </c>
      <c r="P1224">
        <f t="shared" si="1040"/>
        <v>-4.1785854506701553E-2</v>
      </c>
      <c r="Q1224">
        <f t="shared" si="1041"/>
        <v>-1399.1802031605473</v>
      </c>
      <c r="R1224">
        <f t="shared" si="1042"/>
        <v>540081.60613079788</v>
      </c>
      <c r="S1224">
        <f t="shared" si="1043"/>
        <v>5.400816061307979</v>
      </c>
      <c r="T1224">
        <f t="shared" si="1044"/>
        <v>5.4008160613079788E-3</v>
      </c>
    </row>
    <row r="1225" spans="1:20" x14ac:dyDescent="0.25">
      <c r="A1225" s="5">
        <v>43368</v>
      </c>
      <c r="B1225">
        <v>6581.42</v>
      </c>
      <c r="C1225">
        <v>6584.01</v>
      </c>
      <c r="D1225">
        <v>6325.02</v>
      </c>
      <c r="E1225">
        <v>6447.54</v>
      </c>
      <c r="F1225">
        <v>40301.029452000002</v>
      </c>
      <c r="G1225">
        <v>-2.0299999999999998</v>
      </c>
      <c r="L1225" t="s">
        <v>7</v>
      </c>
      <c r="M1225" t="s">
        <v>7</v>
      </c>
      <c r="N1225" t="s">
        <v>8</v>
      </c>
      <c r="P1225">
        <f t="shared" si="1040"/>
        <v>-5.3863083516740955E-2</v>
      </c>
      <c r="Q1225">
        <f t="shared" si="1041"/>
        <v>-2170.7377151837131</v>
      </c>
      <c r="R1225">
        <f t="shared" si="1042"/>
        <v>541480.78633395839</v>
      </c>
      <c r="S1225">
        <f t="shared" si="1043"/>
        <v>5.4148078633395835</v>
      </c>
      <c r="T1225">
        <f t="shared" si="1044"/>
        <v>5.4148078633395836E-3</v>
      </c>
    </row>
    <row r="1226" spans="1:20" x14ac:dyDescent="0.25">
      <c r="A1226" s="5">
        <v>43367</v>
      </c>
      <c r="B1226">
        <v>6706.81</v>
      </c>
      <c r="C1226">
        <v>6730</v>
      </c>
      <c r="D1226">
        <v>6557</v>
      </c>
      <c r="E1226">
        <v>6581.39</v>
      </c>
      <c r="F1226">
        <v>35305.739909999997</v>
      </c>
      <c r="G1226">
        <v>-1.87</v>
      </c>
      <c r="L1226" t="s">
        <v>8</v>
      </c>
      <c r="M1226" t="s">
        <v>7</v>
      </c>
      <c r="N1226" t="s">
        <v>8</v>
      </c>
      <c r="P1226">
        <f t="shared" si="1040"/>
        <v>-0.71803468208092103</v>
      </c>
      <c r="Q1226">
        <f t="shared" si="1041"/>
        <v>-25350.745731908533</v>
      </c>
      <c r="R1226">
        <f t="shared" si="1042"/>
        <v>543651.52404914214</v>
      </c>
      <c r="S1226">
        <f t="shared" si="1043"/>
        <v>5.4365152404914214</v>
      </c>
      <c r="T1226">
        <f t="shared" si="1044"/>
        <v>5.4365152404914213E-3</v>
      </c>
    </row>
    <row r="1227" spans="1:20" x14ac:dyDescent="0.25">
      <c r="A1227" s="5">
        <v>43366</v>
      </c>
      <c r="B1227">
        <v>6723.05</v>
      </c>
      <c r="C1227">
        <v>6788.23</v>
      </c>
      <c r="D1227">
        <v>6661.75</v>
      </c>
      <c r="E1227">
        <v>6708</v>
      </c>
      <c r="F1227">
        <v>30286.229772999999</v>
      </c>
      <c r="G1227">
        <v>-0.22</v>
      </c>
      <c r="L1227" t="s">
        <v>8</v>
      </c>
      <c r="M1227" t="s">
        <v>7</v>
      </c>
      <c r="N1227" t="s">
        <v>8</v>
      </c>
      <c r="P1227">
        <f t="shared" si="1040"/>
        <v>-0.2686590765338368</v>
      </c>
      <c r="Q1227">
        <f t="shared" si="1041"/>
        <v>-8136.670522505774</v>
      </c>
      <c r="R1227">
        <f t="shared" si="1042"/>
        <v>569002.26978105062</v>
      </c>
      <c r="S1227">
        <f t="shared" si="1043"/>
        <v>5.6900226978105062</v>
      </c>
      <c r="T1227">
        <f t="shared" si="1044"/>
        <v>5.6900226978105059E-3</v>
      </c>
    </row>
    <row r="1228" spans="1:20" x14ac:dyDescent="0.25">
      <c r="A1228" s="5">
        <v>43365</v>
      </c>
      <c r="B1228">
        <v>6759.01</v>
      </c>
      <c r="C1228">
        <v>6839.03</v>
      </c>
      <c r="D1228">
        <v>6627</v>
      </c>
      <c r="E1228">
        <v>6723.05</v>
      </c>
      <c r="F1228">
        <v>29349.690666999999</v>
      </c>
      <c r="G1228">
        <v>-0.53</v>
      </c>
      <c r="L1228" t="s">
        <v>8</v>
      </c>
      <c r="M1228" t="s">
        <v>7</v>
      </c>
      <c r="N1228" t="s">
        <v>8</v>
      </c>
      <c r="P1228">
        <f t="shared" si="1040"/>
        <v>-9.3996132622739259E-2</v>
      </c>
      <c r="Q1228">
        <f t="shared" si="1041"/>
        <v>-2758.7574163717045</v>
      </c>
      <c r="R1228">
        <f t="shared" si="1042"/>
        <v>577138.94030355639</v>
      </c>
      <c r="S1228">
        <f t="shared" si="1043"/>
        <v>5.7713894030355641</v>
      </c>
      <c r="T1228">
        <f t="shared" si="1044"/>
        <v>5.7713894030355642E-3</v>
      </c>
    </row>
    <row r="1229" spans="1:20" x14ac:dyDescent="0.25">
      <c r="A1229" s="5">
        <v>43364</v>
      </c>
      <c r="B1229">
        <v>6492</v>
      </c>
      <c r="C1229">
        <v>6784.86</v>
      </c>
      <c r="D1229">
        <v>6491</v>
      </c>
      <c r="E1229">
        <v>6759.02</v>
      </c>
      <c r="F1229">
        <v>51779.343462999997</v>
      </c>
      <c r="G1229">
        <v>4.1100000000000003</v>
      </c>
      <c r="L1229" t="s">
        <v>8</v>
      </c>
      <c r="M1229" t="s">
        <v>7</v>
      </c>
      <c r="N1229" t="s">
        <v>8</v>
      </c>
      <c r="P1229">
        <f t="shared" si="1040"/>
        <v>0.82413394133261242</v>
      </c>
      <c r="Q1229">
        <f t="shared" si="1041"/>
        <v>42673.114407777226</v>
      </c>
      <c r="R1229">
        <f t="shared" si="1042"/>
        <v>579897.69771992811</v>
      </c>
      <c r="S1229">
        <f t="shared" si="1043"/>
        <v>5.7989769771992812</v>
      </c>
      <c r="T1229">
        <f t="shared" si="1044"/>
        <v>5.7989769771992815E-3</v>
      </c>
    </row>
    <row r="1230" spans="1:20" x14ac:dyDescent="0.25">
      <c r="A1230" s="5">
        <v>43363</v>
      </c>
      <c r="B1230">
        <v>6392</v>
      </c>
      <c r="C1230">
        <v>6540</v>
      </c>
      <c r="D1230">
        <v>6325</v>
      </c>
      <c r="E1230">
        <v>6492</v>
      </c>
      <c r="F1230">
        <v>25189.024728</v>
      </c>
      <c r="G1230">
        <v>1.56</v>
      </c>
      <c r="L1230" t="s">
        <v>7</v>
      </c>
      <c r="M1230" t="s">
        <v>7</v>
      </c>
      <c r="N1230" t="s">
        <v>8</v>
      </c>
      <c r="P1230">
        <f t="shared" si="1040"/>
        <v>0.55348837209302326</v>
      </c>
      <c r="Q1230">
        <f t="shared" si="1041"/>
        <v>13941.832291311628</v>
      </c>
      <c r="R1230">
        <f t="shared" si="1042"/>
        <v>537224.58331215091</v>
      </c>
      <c r="S1230">
        <f t="shared" si="1043"/>
        <v>5.3722458331215091</v>
      </c>
      <c r="T1230">
        <f t="shared" si="1044"/>
        <v>5.3722458331215087E-3</v>
      </c>
    </row>
    <row r="1231" spans="1:20" x14ac:dyDescent="0.25">
      <c r="A1231" s="5">
        <v>43362</v>
      </c>
      <c r="B1231">
        <v>6336.39</v>
      </c>
      <c r="C1231">
        <v>6517.7</v>
      </c>
      <c r="D1231">
        <v>6123</v>
      </c>
      <c r="E1231">
        <v>6391.89</v>
      </c>
      <c r="F1231">
        <v>39044.080082</v>
      </c>
      <c r="G1231">
        <v>0.88</v>
      </c>
      <c r="L1231" t="s">
        <v>7</v>
      </c>
      <c r="M1231" t="s">
        <v>7</v>
      </c>
      <c r="N1231" t="s">
        <v>8</v>
      </c>
      <c r="P1231">
        <f t="shared" si="1040"/>
        <v>0.3625031669622521</v>
      </c>
      <c r="Q1231">
        <f t="shared" si="1041"/>
        <v>14153.602680852788</v>
      </c>
      <c r="R1231">
        <f t="shared" si="1042"/>
        <v>523282.75102083926</v>
      </c>
      <c r="S1231">
        <f t="shared" si="1043"/>
        <v>5.2328275102083923</v>
      </c>
      <c r="T1231">
        <f t="shared" si="1044"/>
        <v>5.2328275102083927E-3</v>
      </c>
    </row>
    <row r="1232" spans="1:20" x14ac:dyDescent="0.25">
      <c r="A1232" s="5">
        <v>43361</v>
      </c>
      <c r="B1232">
        <v>6248.69</v>
      </c>
      <c r="C1232">
        <v>6390</v>
      </c>
      <c r="D1232">
        <v>6224.98</v>
      </c>
      <c r="E1232">
        <v>6336.45</v>
      </c>
      <c r="F1232">
        <v>32620.866669999999</v>
      </c>
      <c r="G1232">
        <v>1.4</v>
      </c>
      <c r="L1232" t="s">
        <v>7</v>
      </c>
      <c r="M1232" t="s">
        <v>7</v>
      </c>
      <c r="N1232" t="s">
        <v>8</v>
      </c>
      <c r="P1232">
        <f t="shared" si="1040"/>
        <v>0.35098775905950746</v>
      </c>
      <c r="Q1232">
        <f t="shared" si="1041"/>
        <v>11449.524891082277</v>
      </c>
      <c r="R1232">
        <f t="shared" si="1042"/>
        <v>509129.14833998645</v>
      </c>
      <c r="S1232">
        <f t="shared" si="1043"/>
        <v>5.0912914833998641</v>
      </c>
      <c r="T1232">
        <f t="shared" si="1044"/>
        <v>5.0912914833998639E-3</v>
      </c>
    </row>
    <row r="1233" spans="1:20" x14ac:dyDescent="0.25">
      <c r="A1233" s="5">
        <v>43360</v>
      </c>
      <c r="B1233">
        <v>6500.08</v>
      </c>
      <c r="C1233">
        <v>6533.84</v>
      </c>
      <c r="D1233">
        <v>6201</v>
      </c>
      <c r="E1233">
        <v>6248.69</v>
      </c>
      <c r="F1233">
        <v>35987.254738000003</v>
      </c>
      <c r="G1233">
        <v>-3.87</v>
      </c>
      <c r="L1233" t="s">
        <v>7</v>
      </c>
      <c r="M1233" t="s">
        <v>7</v>
      </c>
      <c r="N1233" t="s">
        <v>8</v>
      </c>
      <c r="P1233">
        <f t="shared" si="1040"/>
        <v>-0.71343588510996525</v>
      </c>
      <c r="Q1233">
        <f t="shared" si="1041"/>
        <v>-25674.598936682822</v>
      </c>
      <c r="R1233">
        <f t="shared" si="1042"/>
        <v>497679.6234489042</v>
      </c>
      <c r="S1233">
        <f t="shared" si="1043"/>
        <v>4.9767962344890417</v>
      </c>
      <c r="T1233">
        <f t="shared" si="1044"/>
        <v>4.9767962344890414E-3</v>
      </c>
    </row>
    <row r="1234" spans="1:20" x14ac:dyDescent="0.25">
      <c r="A1234" s="5">
        <v>43359</v>
      </c>
      <c r="B1234">
        <v>6514.96</v>
      </c>
      <c r="C1234">
        <v>6524.62</v>
      </c>
      <c r="D1234">
        <v>6370</v>
      </c>
      <c r="E1234">
        <v>6505</v>
      </c>
      <c r="F1234">
        <v>27568.132897</v>
      </c>
      <c r="G1234">
        <v>-0.15</v>
      </c>
      <c r="L1234" t="s">
        <v>8</v>
      </c>
      <c r="M1234" t="s">
        <v>7</v>
      </c>
      <c r="N1234" t="s">
        <v>8</v>
      </c>
      <c r="P1234">
        <f t="shared" si="1040"/>
        <v>0.74621653084982664</v>
      </c>
      <c r="Q1234">
        <f t="shared" si="1041"/>
        <v>20571.79649240632</v>
      </c>
      <c r="R1234">
        <f t="shared" si="1042"/>
        <v>523354.222385587</v>
      </c>
      <c r="S1234">
        <f t="shared" si="1043"/>
        <v>5.2335422238558698</v>
      </c>
      <c r="T1234">
        <f t="shared" si="1044"/>
        <v>5.2335422238558695E-3</v>
      </c>
    </row>
    <row r="1235" spans="1:20" x14ac:dyDescent="0.25">
      <c r="A1235" s="5">
        <v>43358</v>
      </c>
      <c r="B1235">
        <v>6476.63</v>
      </c>
      <c r="C1235">
        <v>6565.45</v>
      </c>
      <c r="D1235">
        <v>6466.13</v>
      </c>
      <c r="E1235">
        <v>6514.96</v>
      </c>
      <c r="F1235">
        <v>25243.656611999999</v>
      </c>
      <c r="G1235">
        <v>0.59</v>
      </c>
      <c r="L1235" t="s">
        <v>8</v>
      </c>
      <c r="M1235" t="s">
        <v>7</v>
      </c>
      <c r="N1235" t="s">
        <v>8</v>
      </c>
      <c r="P1235">
        <f t="shared" si="1040"/>
        <v>-1.6713652839305874E-2</v>
      </c>
      <c r="Q1235">
        <f t="shared" si="1041"/>
        <v>-421.91371300761625</v>
      </c>
      <c r="R1235">
        <f t="shared" si="1042"/>
        <v>502782.42589318065</v>
      </c>
      <c r="S1235">
        <f t="shared" si="1043"/>
        <v>5.0278242589318065</v>
      </c>
      <c r="T1235">
        <f t="shared" si="1044"/>
        <v>5.0278242589318067E-3</v>
      </c>
    </row>
    <row r="1236" spans="1:20" x14ac:dyDescent="0.25">
      <c r="A1236" s="5">
        <v>43357</v>
      </c>
      <c r="B1236">
        <v>6487.39</v>
      </c>
      <c r="C1236">
        <v>6584.99</v>
      </c>
      <c r="D1236">
        <v>6385.62</v>
      </c>
      <c r="E1236">
        <v>6476.63</v>
      </c>
      <c r="F1236">
        <v>37173.339276999999</v>
      </c>
      <c r="G1236">
        <v>-0.17</v>
      </c>
      <c r="L1236" t="s">
        <v>8</v>
      </c>
      <c r="M1236" t="s">
        <v>7</v>
      </c>
      <c r="N1236" t="s">
        <v>8</v>
      </c>
      <c r="P1236">
        <f t="shared" si="1040"/>
        <v>-8.7024125996887511E-2</v>
      </c>
      <c r="Q1236">
        <f t="shared" si="1041"/>
        <v>-3234.9773609666954</v>
      </c>
      <c r="R1236">
        <f t="shared" si="1042"/>
        <v>503204.3396061883</v>
      </c>
      <c r="S1236">
        <f t="shared" si="1043"/>
        <v>5.0320433960618827</v>
      </c>
      <c r="T1236">
        <f t="shared" si="1044"/>
        <v>5.0320433960618829E-3</v>
      </c>
    </row>
    <row r="1237" spans="1:20" x14ac:dyDescent="0.25">
      <c r="A1237" s="5">
        <v>43356</v>
      </c>
      <c r="B1237">
        <v>6338.62</v>
      </c>
      <c r="C1237">
        <v>6535</v>
      </c>
      <c r="D1237">
        <v>6337.4</v>
      </c>
      <c r="E1237">
        <v>6487.38</v>
      </c>
      <c r="F1237">
        <v>40465.063107000002</v>
      </c>
      <c r="G1237">
        <v>2.35</v>
      </c>
      <c r="L1237" t="s">
        <v>7</v>
      </c>
      <c r="M1237" t="s">
        <v>7</v>
      </c>
      <c r="N1237" t="s">
        <v>8</v>
      </c>
      <c r="P1237">
        <f t="shared" si="1040"/>
        <v>0.51801619433198576</v>
      </c>
      <c r="Q1237">
        <f t="shared" si="1041"/>
        <v>20961.557994091781</v>
      </c>
      <c r="R1237">
        <f t="shared" si="1042"/>
        <v>506439.31696715497</v>
      </c>
      <c r="S1237">
        <f t="shared" si="1043"/>
        <v>5.0643931696715496</v>
      </c>
      <c r="T1237">
        <f t="shared" si="1044"/>
        <v>5.0643931696715497E-3</v>
      </c>
    </row>
    <row r="1238" spans="1:20" x14ac:dyDescent="0.25">
      <c r="A1238" s="5">
        <v>43355</v>
      </c>
      <c r="B1238">
        <v>6293</v>
      </c>
      <c r="C1238">
        <v>6360</v>
      </c>
      <c r="D1238">
        <v>6192.37</v>
      </c>
      <c r="E1238">
        <v>6338.62</v>
      </c>
      <c r="F1238">
        <v>31433.645939000002</v>
      </c>
      <c r="G1238">
        <v>0.72</v>
      </c>
      <c r="L1238" t="s">
        <v>7</v>
      </c>
      <c r="M1238" t="s">
        <v>7</v>
      </c>
      <c r="N1238" t="s">
        <v>8</v>
      </c>
      <c r="P1238">
        <f t="shared" si="1040"/>
        <v>0.74491439479806598</v>
      </c>
      <c r="Q1238">
        <f t="shared" si="1041"/>
        <v>23415.37534094687</v>
      </c>
      <c r="R1238">
        <f t="shared" si="1042"/>
        <v>485477.7589730632</v>
      </c>
      <c r="S1238">
        <f t="shared" si="1043"/>
        <v>4.8547775897306318</v>
      </c>
      <c r="T1238">
        <f t="shared" si="1044"/>
        <v>4.8547775897306317E-3</v>
      </c>
    </row>
    <row r="1239" spans="1:20" x14ac:dyDescent="0.25">
      <c r="A1239" s="5">
        <v>43354</v>
      </c>
      <c r="B1239">
        <v>6311.99</v>
      </c>
      <c r="C1239">
        <v>6404</v>
      </c>
      <c r="D1239">
        <v>6169.68</v>
      </c>
      <c r="E1239">
        <v>6294.91</v>
      </c>
      <c r="F1239">
        <v>33104.888590000002</v>
      </c>
      <c r="G1239">
        <v>-0.27</v>
      </c>
      <c r="L1239" t="s">
        <v>7</v>
      </c>
      <c r="M1239" t="s">
        <v>7</v>
      </c>
      <c r="N1239" t="s">
        <v>8</v>
      </c>
      <c r="P1239">
        <f t="shared" si="1040"/>
        <v>6.8880163878454415E-2</v>
      </c>
      <c r="Q1239">
        <f t="shared" si="1041"/>
        <v>2280.2701512571757</v>
      </c>
      <c r="R1239">
        <f t="shared" si="1042"/>
        <v>462062.38363211631</v>
      </c>
      <c r="S1239">
        <f t="shared" si="1043"/>
        <v>4.6206238363211627</v>
      </c>
      <c r="T1239">
        <f t="shared" si="1044"/>
        <v>4.6206238363211624E-3</v>
      </c>
    </row>
    <row r="1240" spans="1:20" x14ac:dyDescent="0.25">
      <c r="A1240" s="5">
        <v>43353</v>
      </c>
      <c r="B1240">
        <v>6252.26</v>
      </c>
      <c r="C1240">
        <v>6373.98</v>
      </c>
      <c r="D1240">
        <v>6221</v>
      </c>
      <c r="E1240">
        <v>6312</v>
      </c>
      <c r="F1240">
        <v>32439.456431999999</v>
      </c>
      <c r="G1240">
        <v>0.96</v>
      </c>
      <c r="L1240" t="s">
        <v>7</v>
      </c>
      <c r="M1240" t="s">
        <v>7</v>
      </c>
      <c r="N1240" t="s">
        <v>8</v>
      </c>
      <c r="P1240">
        <f t="shared" si="1040"/>
        <v>0.1896979997385313</v>
      </c>
      <c r="Q1240">
        <f t="shared" si="1041"/>
        <v>6153.6999977556334</v>
      </c>
      <c r="R1240">
        <f t="shared" si="1042"/>
        <v>459782.11348085915</v>
      </c>
      <c r="S1240">
        <f t="shared" si="1043"/>
        <v>4.5978211348085916</v>
      </c>
      <c r="T1240">
        <f t="shared" si="1044"/>
        <v>4.5978211348085916E-3</v>
      </c>
    </row>
    <row r="1241" spans="1:20" x14ac:dyDescent="0.25">
      <c r="A1241" s="5">
        <v>43352</v>
      </c>
      <c r="B1241">
        <v>6185.06</v>
      </c>
      <c r="C1241">
        <v>6441</v>
      </c>
      <c r="D1241">
        <v>6141.53</v>
      </c>
      <c r="E1241">
        <v>6250.81</v>
      </c>
      <c r="F1241">
        <v>37053.923820000004</v>
      </c>
      <c r="G1241">
        <v>1.06</v>
      </c>
      <c r="L1241" t="s">
        <v>7</v>
      </c>
      <c r="M1241" t="s">
        <v>7</v>
      </c>
      <c r="N1241" t="s">
        <v>8</v>
      </c>
      <c r="P1241">
        <f t="shared" si="1040"/>
        <v>-0.2701773132534106</v>
      </c>
      <c r="Q1241">
        <f t="shared" si="1041"/>
        <v>-10011.129583184154</v>
      </c>
      <c r="R1241">
        <f t="shared" si="1042"/>
        <v>453628.4134831035</v>
      </c>
      <c r="S1241">
        <f t="shared" si="1043"/>
        <v>4.5362841348310354</v>
      </c>
      <c r="T1241">
        <f t="shared" si="1044"/>
        <v>4.536284134831035E-3</v>
      </c>
    </row>
    <row r="1242" spans="1:20" x14ac:dyDescent="0.25">
      <c r="A1242" s="5">
        <v>43351</v>
      </c>
      <c r="B1242">
        <v>6395.54</v>
      </c>
      <c r="C1242">
        <v>6478</v>
      </c>
      <c r="D1242">
        <v>6111</v>
      </c>
      <c r="E1242">
        <v>6185.05</v>
      </c>
      <c r="F1242">
        <v>38215.032170999999</v>
      </c>
      <c r="G1242">
        <v>-3.29</v>
      </c>
      <c r="L1242" t="s">
        <v>7</v>
      </c>
      <c r="M1242" t="s">
        <v>7</v>
      </c>
      <c r="N1242" t="s">
        <v>8</v>
      </c>
      <c r="P1242">
        <f t="shared" si="1040"/>
        <v>-0.59645776566757391</v>
      </c>
      <c r="Q1242">
        <f t="shared" si="1041"/>
        <v>-22793.652703629115</v>
      </c>
      <c r="R1242">
        <f t="shared" si="1042"/>
        <v>463639.54306628765</v>
      </c>
      <c r="S1242">
        <f t="shared" si="1043"/>
        <v>4.6363954306628763</v>
      </c>
      <c r="T1242">
        <f t="shared" si="1044"/>
        <v>4.6363954306628766E-3</v>
      </c>
    </row>
    <row r="1243" spans="1:20" x14ac:dyDescent="0.25">
      <c r="A1243" s="5">
        <v>43350</v>
      </c>
      <c r="B1243">
        <v>6516.84</v>
      </c>
      <c r="C1243">
        <v>6544</v>
      </c>
      <c r="D1243">
        <v>6320</v>
      </c>
      <c r="E1243">
        <v>6395.54</v>
      </c>
      <c r="F1243">
        <v>38906.288050000003</v>
      </c>
      <c r="G1243">
        <v>-1.86</v>
      </c>
      <c r="L1243" t="s">
        <v>7</v>
      </c>
      <c r="M1243" t="s">
        <v>8</v>
      </c>
      <c r="N1243" t="s">
        <v>8</v>
      </c>
      <c r="P1243">
        <f t="shared" si="1040"/>
        <v>-0.32553571428571459</v>
      </c>
      <c r="Q1243">
        <f t="shared" si="1041"/>
        <v>-12665.386270562512</v>
      </c>
      <c r="R1243">
        <f t="shared" si="1042"/>
        <v>486433.19576991675</v>
      </c>
      <c r="S1243">
        <f t="shared" si="1043"/>
        <v>4.8643319576991679</v>
      </c>
      <c r="T1243">
        <f t="shared" si="1044"/>
        <v>4.8643319576991677E-3</v>
      </c>
    </row>
    <row r="1244" spans="1:20" x14ac:dyDescent="0.25">
      <c r="A1244" s="5">
        <v>43349</v>
      </c>
      <c r="B1244">
        <v>6697.27</v>
      </c>
      <c r="C1244">
        <v>6725</v>
      </c>
      <c r="D1244">
        <v>6265</v>
      </c>
      <c r="E1244">
        <v>6516.01</v>
      </c>
      <c r="F1244">
        <v>60644.464226999997</v>
      </c>
      <c r="G1244">
        <v>-2.71</v>
      </c>
      <c r="L1244" t="s">
        <v>7</v>
      </c>
      <c r="M1244" t="s">
        <v>8</v>
      </c>
      <c r="N1244" t="s">
        <v>8</v>
      </c>
      <c r="P1244">
        <f t="shared" si="1040"/>
        <v>9.1347826086957476E-2</v>
      </c>
      <c r="Q1244">
        <f t="shared" si="1041"/>
        <v>5539.7399713447094</v>
      </c>
      <c r="R1244">
        <f t="shared" si="1042"/>
        <v>499098.58204047929</v>
      </c>
      <c r="S1244">
        <f t="shared" si="1043"/>
        <v>4.9909858204047932</v>
      </c>
      <c r="T1244">
        <f t="shared" si="1044"/>
        <v>4.9909858204047934E-3</v>
      </c>
    </row>
    <row r="1245" spans="1:20" x14ac:dyDescent="0.25">
      <c r="A1245" s="5">
        <v>43348</v>
      </c>
      <c r="B1245">
        <v>7359.05</v>
      </c>
      <c r="C1245">
        <v>7397.3</v>
      </c>
      <c r="D1245">
        <v>6682</v>
      </c>
      <c r="E1245">
        <v>6700</v>
      </c>
      <c r="F1245">
        <v>63715.256266999997</v>
      </c>
      <c r="G1245">
        <v>-8.9600000000000009</v>
      </c>
      <c r="L1245" t="s">
        <v>7</v>
      </c>
      <c r="M1245" t="s">
        <v>8</v>
      </c>
      <c r="N1245" t="s">
        <v>8</v>
      </c>
      <c r="P1245">
        <f t="shared" si="1040"/>
        <v>-0.94967146651754508</v>
      </c>
      <c r="Q1245">
        <f t="shared" si="1041"/>
        <v>-60508.560858623096</v>
      </c>
      <c r="R1245">
        <f t="shared" si="1042"/>
        <v>493558.84206913458</v>
      </c>
      <c r="S1245">
        <f t="shared" si="1043"/>
        <v>4.9355884206913458</v>
      </c>
      <c r="T1245">
        <f t="shared" si="1044"/>
        <v>4.9355884206913458E-3</v>
      </c>
    </row>
    <row r="1246" spans="1:20" x14ac:dyDescent="0.25">
      <c r="A1246" s="5">
        <v>43347</v>
      </c>
      <c r="B1246">
        <v>7263</v>
      </c>
      <c r="C1246">
        <v>7410</v>
      </c>
      <c r="D1246">
        <v>7227.17</v>
      </c>
      <c r="E1246">
        <v>7359.06</v>
      </c>
      <c r="F1246">
        <v>35300.640518</v>
      </c>
      <c r="G1246">
        <v>1.32</v>
      </c>
      <c r="L1246" t="s">
        <v>8</v>
      </c>
      <c r="M1246" t="s">
        <v>8</v>
      </c>
      <c r="N1246" t="s">
        <v>8</v>
      </c>
      <c r="P1246">
        <f t="shared" si="1040"/>
        <v>0.4427610348411134</v>
      </c>
      <c r="Q1246">
        <f t="shared" si="1041"/>
        <v>15629.748126303817</v>
      </c>
      <c r="R1246">
        <f t="shared" si="1042"/>
        <v>554067.40292775771</v>
      </c>
      <c r="S1246">
        <f t="shared" si="1043"/>
        <v>5.5406740292775769</v>
      </c>
      <c r="T1246">
        <f t="shared" si="1044"/>
        <v>5.5406740292775767E-3</v>
      </c>
    </row>
    <row r="1247" spans="1:20" x14ac:dyDescent="0.25">
      <c r="A1247" s="5">
        <v>43346</v>
      </c>
      <c r="B1247">
        <v>7302</v>
      </c>
      <c r="C1247">
        <v>7338.28</v>
      </c>
      <c r="D1247">
        <v>7191.63</v>
      </c>
      <c r="E1247">
        <v>7263.02</v>
      </c>
      <c r="F1247">
        <v>32396.018370999998</v>
      </c>
      <c r="G1247">
        <v>-0.53</v>
      </c>
      <c r="L1247" t="s">
        <v>8</v>
      </c>
      <c r="M1247" t="s">
        <v>8</v>
      </c>
      <c r="N1247" t="s">
        <v>8</v>
      </c>
      <c r="P1247">
        <f t="shared" si="1040"/>
        <v>-2.6389362427541703E-2</v>
      </c>
      <c r="Q1247">
        <f t="shared" si="1041"/>
        <v>-854.91027000161807</v>
      </c>
      <c r="R1247">
        <f t="shared" si="1042"/>
        <v>538437.65480145393</v>
      </c>
      <c r="S1247">
        <f t="shared" si="1043"/>
        <v>5.3843765480145391</v>
      </c>
      <c r="T1247">
        <f t="shared" si="1044"/>
        <v>5.3843765480145389E-3</v>
      </c>
    </row>
    <row r="1248" spans="1:20" x14ac:dyDescent="0.25">
      <c r="A1248" s="5">
        <v>43345</v>
      </c>
      <c r="B1248">
        <v>7201.57</v>
      </c>
      <c r="C1248">
        <v>7345.45</v>
      </c>
      <c r="D1248">
        <v>7127</v>
      </c>
      <c r="E1248">
        <v>7302.01</v>
      </c>
      <c r="F1248">
        <v>39814.840351999999</v>
      </c>
      <c r="G1248">
        <v>1.39</v>
      </c>
      <c r="L1248" t="s">
        <v>8</v>
      </c>
      <c r="M1248" t="s">
        <v>8</v>
      </c>
      <c r="N1248" t="s">
        <v>8</v>
      </c>
      <c r="P1248">
        <f t="shared" si="1040"/>
        <v>0.60228885328450776</v>
      </c>
      <c r="Q1248">
        <f t="shared" si="1041"/>
        <v>23980.034539311826</v>
      </c>
      <c r="R1248">
        <f t="shared" si="1042"/>
        <v>539292.56507145555</v>
      </c>
      <c r="S1248">
        <f t="shared" si="1043"/>
        <v>5.3929256507145551</v>
      </c>
      <c r="T1248">
        <f t="shared" si="1044"/>
        <v>5.392925650714555E-3</v>
      </c>
    </row>
    <row r="1249" spans="1:20" x14ac:dyDescent="0.25">
      <c r="A1249" s="5">
        <v>43344</v>
      </c>
      <c r="B1249">
        <v>7011.21</v>
      </c>
      <c r="C1249">
        <v>7275</v>
      </c>
      <c r="D1249">
        <v>7008.74</v>
      </c>
      <c r="E1249">
        <v>7200.01</v>
      </c>
      <c r="F1249">
        <v>40323.414092999999</v>
      </c>
      <c r="G1249">
        <v>2.69</v>
      </c>
      <c r="L1249" t="s">
        <v>8</v>
      </c>
      <c r="M1249" t="s">
        <v>8</v>
      </c>
      <c r="N1249" t="s">
        <v>8</v>
      </c>
      <c r="P1249">
        <f t="shared" si="1040"/>
        <v>0.43671599188763072</v>
      </c>
      <c r="Q1249">
        <f t="shared" si="1041"/>
        <v>17609.879781920161</v>
      </c>
      <c r="R1249">
        <f t="shared" si="1042"/>
        <v>515312.53053214372</v>
      </c>
      <c r="S1249">
        <f t="shared" si="1043"/>
        <v>5.1531253053214368</v>
      </c>
      <c r="T1249">
        <f t="shared" si="1044"/>
        <v>5.1531253053214371E-3</v>
      </c>
    </row>
    <row r="1250" spans="1:20" x14ac:dyDescent="0.25">
      <c r="A1250" s="5">
        <v>43343</v>
      </c>
      <c r="B1250">
        <v>6984.84</v>
      </c>
      <c r="C1250">
        <v>7089</v>
      </c>
      <c r="D1250">
        <v>6888</v>
      </c>
      <c r="E1250">
        <v>7011.21</v>
      </c>
      <c r="F1250">
        <v>40467.400637999999</v>
      </c>
      <c r="G1250">
        <v>0.38</v>
      </c>
      <c r="L1250" t="s">
        <v>8</v>
      </c>
      <c r="M1250" t="s">
        <v>8</v>
      </c>
      <c r="N1250" t="s">
        <v>8</v>
      </c>
      <c r="P1250">
        <f t="shared" si="1040"/>
        <v>0.22597014925373171</v>
      </c>
      <c r="Q1250">
        <f t="shared" si="1041"/>
        <v>9144.4245620794172</v>
      </c>
      <c r="R1250">
        <f t="shared" si="1042"/>
        <v>497702.65075022355</v>
      </c>
      <c r="S1250">
        <f t="shared" si="1043"/>
        <v>4.9770265075022353</v>
      </c>
      <c r="T1250">
        <f t="shared" si="1044"/>
        <v>4.9770265075022354E-3</v>
      </c>
    </row>
    <row r="1251" spans="1:20" x14ac:dyDescent="0.25">
      <c r="A1251" s="5">
        <v>43342</v>
      </c>
      <c r="B1251">
        <v>7033.21</v>
      </c>
      <c r="C1251">
        <v>7063.63</v>
      </c>
      <c r="D1251">
        <v>6784.81</v>
      </c>
      <c r="E1251">
        <v>6984.84</v>
      </c>
      <c r="F1251">
        <v>44716.774619999997</v>
      </c>
      <c r="G1251">
        <v>-0.69</v>
      </c>
      <c r="L1251" t="s">
        <v>8</v>
      </c>
      <c r="M1251" t="s">
        <v>8</v>
      </c>
      <c r="N1251" t="s">
        <v>8</v>
      </c>
      <c r="P1251">
        <f t="shared" si="1040"/>
        <v>0.4348325084283764</v>
      </c>
      <c r="Q1251">
        <f t="shared" si="1041"/>
        <v>19444.307276840955</v>
      </c>
      <c r="R1251">
        <f t="shared" si="1042"/>
        <v>488558.22618814412</v>
      </c>
      <c r="S1251">
        <f t="shared" si="1043"/>
        <v>4.8855822618814413</v>
      </c>
      <c r="T1251">
        <f t="shared" si="1044"/>
        <v>4.8855822618814413E-3</v>
      </c>
    </row>
    <row r="1252" spans="1:20" x14ac:dyDescent="0.25">
      <c r="A1252" s="5">
        <v>43341</v>
      </c>
      <c r="B1252">
        <v>7077</v>
      </c>
      <c r="C1252">
        <v>7133.81</v>
      </c>
      <c r="D1252">
        <v>6912.34</v>
      </c>
      <c r="E1252">
        <v>7031.22</v>
      </c>
      <c r="F1252">
        <v>43252.487392000003</v>
      </c>
      <c r="G1252">
        <v>-0.65</v>
      </c>
      <c r="L1252" t="s">
        <v>8</v>
      </c>
      <c r="M1252" t="s">
        <v>8</v>
      </c>
      <c r="N1252" t="s">
        <v>8</v>
      </c>
      <c r="P1252">
        <f t="shared" si="1040"/>
        <v>7.3553980223054788E-2</v>
      </c>
      <c r="Q1252">
        <f t="shared" si="1041"/>
        <v>3181.3926022290948</v>
      </c>
      <c r="R1252">
        <f t="shared" si="1042"/>
        <v>469113.91891130316</v>
      </c>
      <c r="S1252">
        <f t="shared" si="1043"/>
        <v>4.6911391891130316</v>
      </c>
      <c r="T1252">
        <f t="shared" si="1044"/>
        <v>4.6911391891130312E-3</v>
      </c>
    </row>
    <row r="1253" spans="1:20" x14ac:dyDescent="0.25">
      <c r="A1253" s="5">
        <v>43340</v>
      </c>
      <c r="B1253">
        <v>6907.26</v>
      </c>
      <c r="C1253">
        <v>7135</v>
      </c>
      <c r="D1253">
        <v>6860</v>
      </c>
      <c r="E1253">
        <v>7076.11</v>
      </c>
      <c r="F1253">
        <v>48352.917162999998</v>
      </c>
      <c r="G1253">
        <v>2.44</v>
      </c>
      <c r="L1253" t="s">
        <v>8</v>
      </c>
      <c r="M1253" t="s">
        <v>8</v>
      </c>
      <c r="N1253" t="s">
        <v>8</v>
      </c>
      <c r="P1253">
        <f t="shared" si="1040"/>
        <v>0.5717090909090885</v>
      </c>
      <c r="Q1253">
        <f t="shared" si="1041"/>
        <v>27643.802314061191</v>
      </c>
      <c r="R1253">
        <f t="shared" si="1042"/>
        <v>465932.52630907408</v>
      </c>
      <c r="S1253">
        <f t="shared" si="1043"/>
        <v>4.6593252630907411</v>
      </c>
      <c r="T1253">
        <f t="shared" si="1044"/>
        <v>4.6593252630907408E-3</v>
      </c>
    </row>
    <row r="1254" spans="1:20" x14ac:dyDescent="0.25">
      <c r="A1254" s="5">
        <v>43339</v>
      </c>
      <c r="B1254">
        <v>6700</v>
      </c>
      <c r="C1254">
        <v>6940.51</v>
      </c>
      <c r="D1254">
        <v>6646.5</v>
      </c>
      <c r="E1254">
        <v>6908.64</v>
      </c>
      <c r="F1254">
        <v>37747.078747</v>
      </c>
      <c r="G1254">
        <v>3.11</v>
      </c>
      <c r="L1254" t="s">
        <v>8</v>
      </c>
      <c r="M1254" t="s">
        <v>8</v>
      </c>
      <c r="N1254" t="s">
        <v>8</v>
      </c>
      <c r="P1254">
        <f t="shared" si="1040"/>
        <v>0.78320465290296337</v>
      </c>
      <c r="Q1254">
        <f t="shared" si="1041"/>
        <v>29563.68770814496</v>
      </c>
      <c r="R1254">
        <f t="shared" si="1042"/>
        <v>438288.72399501287</v>
      </c>
      <c r="S1254">
        <f t="shared" si="1043"/>
        <v>4.3828872399501284</v>
      </c>
      <c r="T1254">
        <f t="shared" si="1044"/>
        <v>4.3828872399501286E-3</v>
      </c>
    </row>
    <row r="1255" spans="1:20" x14ac:dyDescent="0.25">
      <c r="A1255" s="5">
        <v>43338</v>
      </c>
      <c r="B1255">
        <v>6733.64</v>
      </c>
      <c r="C1255">
        <v>6775.27</v>
      </c>
      <c r="D1255">
        <v>6568</v>
      </c>
      <c r="E1255">
        <v>6700</v>
      </c>
      <c r="F1255">
        <v>20107.297208</v>
      </c>
      <c r="G1255">
        <v>-0.5</v>
      </c>
      <c r="L1255" t="s">
        <v>7</v>
      </c>
      <c r="M1255" t="s">
        <v>8</v>
      </c>
      <c r="N1255" t="s">
        <v>8</v>
      </c>
      <c r="P1255">
        <f t="shared" si="1040"/>
        <v>0.27370096974959929</v>
      </c>
      <c r="Q1255">
        <f t="shared" si="1041"/>
        <v>5503.3867448730098</v>
      </c>
      <c r="R1255">
        <f t="shared" si="1042"/>
        <v>408725.03628686792</v>
      </c>
      <c r="S1255">
        <f t="shared" si="1043"/>
        <v>4.0872503628686792</v>
      </c>
      <c r="T1255">
        <f t="shared" si="1044"/>
        <v>4.0872503628686793E-3</v>
      </c>
    </row>
    <row r="1256" spans="1:20" x14ac:dyDescent="0.25">
      <c r="A1256" s="5">
        <v>43337</v>
      </c>
      <c r="B1256">
        <v>6686.98</v>
      </c>
      <c r="C1256">
        <v>6789</v>
      </c>
      <c r="D1256">
        <v>6650.61</v>
      </c>
      <c r="E1256">
        <v>6733.64</v>
      </c>
      <c r="F1256">
        <v>19220.505928999999</v>
      </c>
      <c r="G1256">
        <v>0.7</v>
      </c>
      <c r="L1256" t="s">
        <v>7</v>
      </c>
      <c r="M1256" t="s">
        <v>8</v>
      </c>
      <c r="N1256" t="s">
        <v>8</v>
      </c>
      <c r="P1256">
        <f t="shared" si="1040"/>
        <v>0.19994219235494556</v>
      </c>
      <c r="Q1256">
        <f t="shared" si="1041"/>
        <v>3842.9900936154895</v>
      </c>
      <c r="R1256">
        <f t="shared" si="1042"/>
        <v>403221.64954199491</v>
      </c>
      <c r="S1256">
        <f t="shared" si="1043"/>
        <v>4.0322164954199486</v>
      </c>
      <c r="T1256">
        <f t="shared" si="1044"/>
        <v>4.0322164954199489E-3</v>
      </c>
    </row>
    <row r="1257" spans="1:20" x14ac:dyDescent="0.25">
      <c r="A1257" s="5">
        <v>43336</v>
      </c>
      <c r="B1257">
        <v>6525</v>
      </c>
      <c r="C1257">
        <v>6725</v>
      </c>
      <c r="D1257">
        <v>6440.5</v>
      </c>
      <c r="E1257">
        <v>6681.64</v>
      </c>
      <c r="F1257">
        <v>38305.675322000003</v>
      </c>
      <c r="G1257">
        <v>2.4</v>
      </c>
      <c r="L1257" t="s">
        <v>7</v>
      </c>
      <c r="M1257" t="s">
        <v>8</v>
      </c>
      <c r="N1257" t="s">
        <v>8</v>
      </c>
      <c r="P1257">
        <f t="shared" si="1040"/>
        <v>0.69518453427065252</v>
      </c>
      <c r="Q1257">
        <f t="shared" si="1041"/>
        <v>26629.513058647401</v>
      </c>
      <c r="R1257">
        <f t="shared" si="1042"/>
        <v>399378.65944837942</v>
      </c>
      <c r="S1257">
        <f t="shared" si="1043"/>
        <v>3.9937865944837943</v>
      </c>
      <c r="T1257">
        <f t="shared" si="1044"/>
        <v>3.9937865944837938E-3</v>
      </c>
    </row>
    <row r="1258" spans="1:20" x14ac:dyDescent="0.25">
      <c r="A1258" s="5">
        <v>43335</v>
      </c>
      <c r="B1258">
        <v>6362.57</v>
      </c>
      <c r="C1258">
        <v>6576.99</v>
      </c>
      <c r="D1258">
        <v>6342.28</v>
      </c>
      <c r="E1258">
        <v>6525.01</v>
      </c>
      <c r="F1258">
        <v>40358.166825</v>
      </c>
      <c r="G1258">
        <v>2.5499999999999998</v>
      </c>
      <c r="L1258" t="s">
        <v>7</v>
      </c>
      <c r="M1258" t="s">
        <v>8</v>
      </c>
      <c r="N1258" t="s">
        <v>8</v>
      </c>
      <c r="P1258">
        <f t="shared" si="1040"/>
        <v>0.55707042733586509</v>
      </c>
      <c r="Q1258">
        <f t="shared" si="1041"/>
        <v>22482.341239694884</v>
      </c>
      <c r="R1258">
        <f t="shared" si="1042"/>
        <v>372749.14638973202</v>
      </c>
      <c r="S1258">
        <f t="shared" si="1043"/>
        <v>3.7274914638973202</v>
      </c>
      <c r="T1258">
        <f t="shared" si="1044"/>
        <v>3.7274914638973202E-3</v>
      </c>
    </row>
    <row r="1259" spans="1:20" x14ac:dyDescent="0.25">
      <c r="A1259" s="5">
        <v>43334</v>
      </c>
      <c r="B1259">
        <v>6479.98</v>
      </c>
      <c r="C1259">
        <v>6882.54</v>
      </c>
      <c r="D1259">
        <v>6251.2</v>
      </c>
      <c r="E1259">
        <v>6360.89</v>
      </c>
      <c r="F1259">
        <v>77909.391359000001</v>
      </c>
      <c r="G1259">
        <v>-1.84</v>
      </c>
      <c r="L1259" t="s">
        <v>8</v>
      </c>
      <c r="M1259" t="s">
        <v>8</v>
      </c>
      <c r="N1259" t="s">
        <v>8</v>
      </c>
      <c r="P1259">
        <f t="shared" si="1040"/>
        <v>-0.65251686888205884</v>
      </c>
      <c r="Q1259">
        <f t="shared" si="1041"/>
        <v>-50837.192106081609</v>
      </c>
      <c r="R1259">
        <f t="shared" si="1042"/>
        <v>350266.80515003717</v>
      </c>
      <c r="S1259">
        <f t="shared" si="1043"/>
        <v>3.5026680515003719</v>
      </c>
      <c r="T1259">
        <f t="shared" si="1044"/>
        <v>3.5026680515003717E-3</v>
      </c>
    </row>
    <row r="1260" spans="1:20" x14ac:dyDescent="0.25">
      <c r="A1260" s="5">
        <v>43333</v>
      </c>
      <c r="B1260">
        <v>6251</v>
      </c>
      <c r="C1260">
        <v>6500</v>
      </c>
      <c r="D1260">
        <v>6235.08</v>
      </c>
      <c r="E1260">
        <v>6480</v>
      </c>
      <c r="F1260">
        <v>41569.947408</v>
      </c>
      <c r="G1260">
        <v>3.66</v>
      </c>
      <c r="L1260" t="s">
        <v>8</v>
      </c>
      <c r="M1260" t="s">
        <v>7</v>
      </c>
      <c r="N1260" t="s">
        <v>8</v>
      </c>
      <c r="P1260">
        <f t="shared" si="1040"/>
        <v>0.84901102219537983</v>
      </c>
      <c r="Q1260">
        <f t="shared" si="1041"/>
        <v>35293.343541474263</v>
      </c>
      <c r="R1260">
        <f t="shared" si="1042"/>
        <v>401103.9972561188</v>
      </c>
      <c r="S1260">
        <f t="shared" si="1043"/>
        <v>4.0110399725611883</v>
      </c>
      <c r="T1260">
        <f t="shared" si="1044"/>
        <v>4.0110399725611879E-3</v>
      </c>
    </row>
    <row r="1261" spans="1:20" x14ac:dyDescent="0.25">
      <c r="A1261" s="5">
        <v>43332</v>
      </c>
      <c r="B1261">
        <v>6477.53</v>
      </c>
      <c r="C1261">
        <v>6530</v>
      </c>
      <c r="D1261">
        <v>6220</v>
      </c>
      <c r="E1261">
        <v>6254.84</v>
      </c>
      <c r="F1261">
        <v>49435.555260000001</v>
      </c>
      <c r="G1261">
        <v>-3.44</v>
      </c>
      <c r="L1261" t="s">
        <v>8</v>
      </c>
      <c r="M1261" t="s">
        <v>7</v>
      </c>
      <c r="N1261" t="s">
        <v>8</v>
      </c>
      <c r="P1261">
        <f t="shared" si="1040"/>
        <v>-0.77522580645161199</v>
      </c>
      <c r="Q1261">
        <f t="shared" si="1041"/>
        <v>-38323.718193816727</v>
      </c>
      <c r="R1261">
        <f t="shared" si="1042"/>
        <v>365810.65371464455</v>
      </c>
      <c r="S1261">
        <f t="shared" si="1043"/>
        <v>3.6581065371464456</v>
      </c>
      <c r="T1261">
        <f t="shared" si="1044"/>
        <v>3.6581065371464458E-3</v>
      </c>
    </row>
    <row r="1262" spans="1:20" x14ac:dyDescent="0.25">
      <c r="A1262" s="5">
        <v>43331</v>
      </c>
      <c r="B1262">
        <v>6387.96</v>
      </c>
      <c r="C1262">
        <v>6541</v>
      </c>
      <c r="D1262">
        <v>6300</v>
      </c>
      <c r="E1262">
        <v>6477.53</v>
      </c>
      <c r="F1262">
        <v>45190.847994000003</v>
      </c>
      <c r="G1262">
        <v>1.4</v>
      </c>
      <c r="L1262" t="s">
        <v>8</v>
      </c>
      <c r="M1262" t="s">
        <v>7</v>
      </c>
      <c r="N1262" t="s">
        <v>8</v>
      </c>
      <c r="P1262">
        <f t="shared" si="1040"/>
        <v>0.47327800829875305</v>
      </c>
      <c r="Q1262">
        <f t="shared" si="1041"/>
        <v>21387.834531932021</v>
      </c>
      <c r="R1262">
        <f t="shared" si="1042"/>
        <v>404134.37190846127</v>
      </c>
      <c r="S1262">
        <f t="shared" si="1043"/>
        <v>4.0413437190846127</v>
      </c>
      <c r="T1262">
        <f t="shared" si="1044"/>
        <v>4.0413437190846124E-3</v>
      </c>
    </row>
    <row r="1263" spans="1:20" x14ac:dyDescent="0.25">
      <c r="A1263" s="5">
        <v>43330</v>
      </c>
      <c r="B1263">
        <v>6579.04</v>
      </c>
      <c r="C1263">
        <v>6620</v>
      </c>
      <c r="D1263">
        <v>6288</v>
      </c>
      <c r="E1263">
        <v>6387.96</v>
      </c>
      <c r="F1263">
        <v>53742.322172</v>
      </c>
      <c r="G1263">
        <v>-2.9</v>
      </c>
      <c r="L1263" t="s">
        <v>8</v>
      </c>
      <c r="M1263" t="s">
        <v>7</v>
      </c>
      <c r="N1263" t="s">
        <v>8</v>
      </c>
      <c r="P1263">
        <f t="shared" si="1040"/>
        <v>-0.39783132530120457</v>
      </c>
      <c r="Q1263">
        <f t="shared" si="1041"/>
        <v>-21380.379254451072</v>
      </c>
      <c r="R1263">
        <f t="shared" si="1042"/>
        <v>382746.53737652925</v>
      </c>
      <c r="S1263">
        <f t="shared" si="1043"/>
        <v>3.8274653737652926</v>
      </c>
      <c r="T1263">
        <f t="shared" si="1044"/>
        <v>3.8274653737652925E-3</v>
      </c>
    </row>
    <row r="1264" spans="1:20" x14ac:dyDescent="0.25">
      <c r="A1264" s="5">
        <v>43329</v>
      </c>
      <c r="B1264">
        <v>6316</v>
      </c>
      <c r="C1264">
        <v>6585</v>
      </c>
      <c r="D1264">
        <v>6285.4</v>
      </c>
      <c r="E1264">
        <v>6584.49</v>
      </c>
      <c r="F1264">
        <v>57851.610803000003</v>
      </c>
      <c r="G1264">
        <v>4.25</v>
      </c>
      <c r="L1264" t="s">
        <v>8</v>
      </c>
      <c r="M1264" t="s">
        <v>7</v>
      </c>
      <c r="N1264" t="s">
        <v>8</v>
      </c>
      <c r="P1264">
        <f t="shared" si="1040"/>
        <v>0.99659546061415072</v>
      </c>
      <c r="Q1264">
        <f t="shared" si="1041"/>
        <v>57654.652715486365</v>
      </c>
      <c r="R1264">
        <f t="shared" si="1042"/>
        <v>404126.91663098033</v>
      </c>
      <c r="S1264">
        <f t="shared" si="1043"/>
        <v>4.041269166309803</v>
      </c>
      <c r="T1264">
        <f t="shared" si="1044"/>
        <v>4.0412691663098028E-3</v>
      </c>
    </row>
    <row r="1265" spans="1:20" x14ac:dyDescent="0.25">
      <c r="A1265" s="5">
        <v>43328</v>
      </c>
      <c r="B1265">
        <v>6265.27</v>
      </c>
      <c r="C1265">
        <v>6480</v>
      </c>
      <c r="D1265">
        <v>6205.6</v>
      </c>
      <c r="E1265">
        <v>6311.75</v>
      </c>
      <c r="F1265">
        <v>48515.254617999999</v>
      </c>
      <c r="G1265">
        <v>0.74</v>
      </c>
      <c r="L1265" t="s">
        <v>8</v>
      </c>
      <c r="M1265" t="s">
        <v>7</v>
      </c>
      <c r="N1265" t="s">
        <v>8</v>
      </c>
      <c r="P1265">
        <f t="shared" si="1040"/>
        <v>-0.22631195335277129</v>
      </c>
      <c r="Q1265">
        <f t="shared" si="1041"/>
        <v>-10979.582040006639</v>
      </c>
      <c r="R1265">
        <f t="shared" si="1042"/>
        <v>346472.26391549397</v>
      </c>
      <c r="S1265">
        <f t="shared" si="1043"/>
        <v>3.4647226391549397</v>
      </c>
      <c r="T1265">
        <f t="shared" si="1044"/>
        <v>3.4647226391549399E-3</v>
      </c>
    </row>
    <row r="1266" spans="1:20" x14ac:dyDescent="0.25">
      <c r="A1266" s="5">
        <v>43327</v>
      </c>
      <c r="B1266">
        <v>6188.08</v>
      </c>
      <c r="C1266">
        <v>6609</v>
      </c>
      <c r="D1266">
        <v>6172.11</v>
      </c>
      <c r="E1266">
        <v>6267.16</v>
      </c>
      <c r="F1266">
        <v>68806.687026</v>
      </c>
      <c r="G1266">
        <v>1.28</v>
      </c>
      <c r="L1266" t="s">
        <v>8</v>
      </c>
      <c r="M1266" t="s">
        <v>7</v>
      </c>
      <c r="N1266" t="s">
        <v>8</v>
      </c>
      <c r="P1266">
        <f t="shared" si="1040"/>
        <v>-0.56487903133511819</v>
      </c>
      <c r="Q1266">
        <f t="shared" si="1041"/>
        <v>-38867.454716625522</v>
      </c>
      <c r="R1266">
        <f t="shared" si="1042"/>
        <v>357451.84595550061</v>
      </c>
      <c r="S1266">
        <f t="shared" si="1043"/>
        <v>3.5745184595550059</v>
      </c>
      <c r="T1266">
        <f t="shared" si="1044"/>
        <v>3.5745184595550061E-3</v>
      </c>
    </row>
    <row r="1267" spans="1:20" x14ac:dyDescent="0.25">
      <c r="A1267" s="5">
        <v>43326</v>
      </c>
      <c r="B1267">
        <v>6248.25</v>
      </c>
      <c r="C1267">
        <v>6250.33</v>
      </c>
      <c r="D1267">
        <v>5880</v>
      </c>
      <c r="E1267">
        <v>6188.08</v>
      </c>
      <c r="F1267">
        <v>50186.745090999997</v>
      </c>
      <c r="G1267">
        <v>-0.96</v>
      </c>
      <c r="L1267" t="s">
        <v>7</v>
      </c>
      <c r="M1267" t="s">
        <v>7</v>
      </c>
      <c r="N1267" t="s">
        <v>8</v>
      </c>
      <c r="P1267">
        <f t="shared" si="1040"/>
        <v>0.66381335565576638</v>
      </c>
      <c r="Q1267">
        <f t="shared" si="1041"/>
        <v>33314.631668297268</v>
      </c>
      <c r="R1267">
        <f t="shared" si="1042"/>
        <v>396319.30067212612</v>
      </c>
      <c r="S1267">
        <f t="shared" si="1043"/>
        <v>3.9631930067212613</v>
      </c>
      <c r="T1267">
        <f t="shared" si="1044"/>
        <v>3.963193006721261E-3</v>
      </c>
    </row>
    <row r="1268" spans="1:20" x14ac:dyDescent="0.25">
      <c r="A1268" s="5">
        <v>43325</v>
      </c>
      <c r="B1268">
        <v>6308.56</v>
      </c>
      <c r="C1268">
        <v>6545</v>
      </c>
      <c r="D1268">
        <v>6145.04</v>
      </c>
      <c r="E1268">
        <v>6246.35</v>
      </c>
      <c r="F1268">
        <v>53895.828782999997</v>
      </c>
      <c r="G1268">
        <v>-0.99</v>
      </c>
      <c r="L1268" t="s">
        <v>8</v>
      </c>
      <c r="M1268" t="s">
        <v>7</v>
      </c>
      <c r="N1268" t="s">
        <v>8</v>
      </c>
      <c r="P1268">
        <f t="shared" si="1040"/>
        <v>-0.49339933993399143</v>
      </c>
      <c r="Q1268">
        <f t="shared" si="1041"/>
        <v>-26592.166346727616</v>
      </c>
      <c r="R1268">
        <f t="shared" si="1042"/>
        <v>363004.66900382884</v>
      </c>
      <c r="S1268">
        <f t="shared" si="1043"/>
        <v>3.6300466900382884</v>
      </c>
      <c r="T1268">
        <f t="shared" si="1044"/>
        <v>3.6300466900382883E-3</v>
      </c>
    </row>
    <row r="1269" spans="1:20" x14ac:dyDescent="0.25">
      <c r="A1269" s="5">
        <v>43324</v>
      </c>
      <c r="B1269">
        <v>6222.55</v>
      </c>
      <c r="C1269">
        <v>6472.3</v>
      </c>
      <c r="D1269">
        <v>6130</v>
      </c>
      <c r="E1269">
        <v>6308.33</v>
      </c>
      <c r="F1269">
        <v>38567.770711999998</v>
      </c>
      <c r="G1269">
        <v>1.38</v>
      </c>
      <c r="L1269" t="s">
        <v>8</v>
      </c>
      <c r="M1269" t="s">
        <v>7</v>
      </c>
      <c r="N1269" t="s">
        <v>8</v>
      </c>
      <c r="P1269">
        <f t="shared" si="1040"/>
        <v>4.1951504528190665E-2</v>
      </c>
      <c r="Q1269">
        <f t="shared" si="1041"/>
        <v>1617.9760076666873</v>
      </c>
      <c r="R1269">
        <f t="shared" si="1042"/>
        <v>389596.83535055647</v>
      </c>
      <c r="S1269">
        <f t="shared" si="1043"/>
        <v>3.8959683535055647</v>
      </c>
      <c r="T1269">
        <f t="shared" si="1044"/>
        <v>3.8959683535055648E-3</v>
      </c>
    </row>
    <row r="1270" spans="1:20" x14ac:dyDescent="0.25">
      <c r="A1270" s="5">
        <v>43323</v>
      </c>
      <c r="B1270">
        <v>6148.13</v>
      </c>
      <c r="C1270">
        <v>6488</v>
      </c>
      <c r="D1270">
        <v>5971</v>
      </c>
      <c r="E1270">
        <v>6232.35</v>
      </c>
      <c r="F1270">
        <v>47133.418554999997</v>
      </c>
      <c r="G1270">
        <v>1.37</v>
      </c>
      <c r="L1270" t="s">
        <v>8</v>
      </c>
      <c r="M1270" t="s">
        <v>7</v>
      </c>
      <c r="N1270" t="s">
        <v>8</v>
      </c>
      <c r="P1270">
        <f t="shared" si="1040"/>
        <v>1.1025145067699667E-2</v>
      </c>
      <c r="Q1270">
        <f t="shared" si="1041"/>
        <v>519.65277710548219</v>
      </c>
      <c r="R1270">
        <f t="shared" si="1042"/>
        <v>387978.8593428898</v>
      </c>
      <c r="S1270">
        <f t="shared" si="1043"/>
        <v>3.879788593428898</v>
      </c>
      <c r="T1270">
        <f t="shared" si="1044"/>
        <v>3.8797885934288979E-3</v>
      </c>
    </row>
    <row r="1271" spans="1:20" x14ac:dyDescent="0.25">
      <c r="A1271" s="5">
        <v>43322</v>
      </c>
      <c r="B1271">
        <v>6529.79</v>
      </c>
      <c r="C1271">
        <v>6575.88</v>
      </c>
      <c r="D1271">
        <v>6026.39</v>
      </c>
      <c r="E1271">
        <v>6144.01</v>
      </c>
      <c r="F1271">
        <v>59034.974902000002</v>
      </c>
      <c r="G1271">
        <v>-5.91</v>
      </c>
      <c r="L1271" t="s">
        <v>7</v>
      </c>
      <c r="M1271" t="s">
        <v>7</v>
      </c>
      <c r="N1271" t="s">
        <v>8</v>
      </c>
      <c r="P1271">
        <f t="shared" si="1040"/>
        <v>-0.57189393801525068</v>
      </c>
      <c r="Q1271">
        <f t="shared" si="1041"/>
        <v>-33761.744277336271</v>
      </c>
      <c r="R1271">
        <f t="shared" si="1042"/>
        <v>387459.20656578435</v>
      </c>
      <c r="S1271">
        <f t="shared" si="1043"/>
        <v>3.8745920656578434</v>
      </c>
      <c r="T1271">
        <f t="shared" si="1044"/>
        <v>3.8745920656578434E-3</v>
      </c>
    </row>
    <row r="1272" spans="1:20" x14ac:dyDescent="0.25">
      <c r="A1272" s="5">
        <v>43321</v>
      </c>
      <c r="B1272">
        <v>6283.27</v>
      </c>
      <c r="C1272">
        <v>6622.81</v>
      </c>
      <c r="D1272">
        <v>6178.6</v>
      </c>
      <c r="E1272">
        <v>6529.79</v>
      </c>
      <c r="F1272">
        <v>51941.185110999999</v>
      </c>
      <c r="G1272">
        <v>3.92</v>
      </c>
      <c r="L1272" t="s">
        <v>8</v>
      </c>
      <c r="M1272" t="s">
        <v>7</v>
      </c>
      <c r="N1272" t="s">
        <v>8</v>
      </c>
      <c r="P1272">
        <f t="shared" si="1040"/>
        <v>0.5811890772382412</v>
      </c>
      <c r="Q1272">
        <f t="shared" si="1041"/>
        <v>30187.649445322761</v>
      </c>
      <c r="R1272">
        <f t="shared" si="1042"/>
        <v>421220.95084312063</v>
      </c>
      <c r="S1272">
        <f t="shared" si="1043"/>
        <v>4.2122095084312061</v>
      </c>
      <c r="T1272">
        <f t="shared" si="1044"/>
        <v>4.2122095084312057E-3</v>
      </c>
    </row>
    <row r="1273" spans="1:20" x14ac:dyDescent="0.25">
      <c r="A1273" s="5">
        <v>43320</v>
      </c>
      <c r="B1273">
        <v>6720.63</v>
      </c>
      <c r="C1273">
        <v>6721.54</v>
      </c>
      <c r="D1273">
        <v>6123</v>
      </c>
      <c r="E1273">
        <v>6285</v>
      </c>
      <c r="F1273">
        <v>59550.536318999999</v>
      </c>
      <c r="G1273">
        <v>-6.48</v>
      </c>
      <c r="L1273" t="s">
        <v>7</v>
      </c>
      <c r="M1273" t="s">
        <v>7</v>
      </c>
      <c r="N1273" t="s">
        <v>8</v>
      </c>
      <c r="P1273">
        <f t="shared" si="1040"/>
        <v>-0.45868279480068164</v>
      </c>
      <c r="Q1273">
        <f t="shared" si="1041"/>
        <v>-27314.806430678414</v>
      </c>
      <c r="R1273">
        <f t="shared" si="1042"/>
        <v>391033.30139779788</v>
      </c>
      <c r="S1273">
        <f t="shared" si="1043"/>
        <v>3.9103330139779788</v>
      </c>
      <c r="T1273">
        <f t="shared" si="1044"/>
        <v>3.9103330139779787E-3</v>
      </c>
    </row>
    <row r="1274" spans="1:20" x14ac:dyDescent="0.25">
      <c r="A1274" s="5">
        <v>43319</v>
      </c>
      <c r="B1274">
        <v>6935</v>
      </c>
      <c r="C1274">
        <v>7150.46</v>
      </c>
      <c r="D1274">
        <v>6670</v>
      </c>
      <c r="E1274">
        <v>6720.06</v>
      </c>
      <c r="F1274">
        <v>45438.473501</v>
      </c>
      <c r="G1274">
        <v>-3.1</v>
      </c>
      <c r="L1274" t="s">
        <v>7</v>
      </c>
      <c r="M1274" t="s">
        <v>7</v>
      </c>
      <c r="N1274" t="s">
        <v>8</v>
      </c>
      <c r="P1274">
        <f t="shared" si="1040"/>
        <v>-0.79161636764766929</v>
      </c>
      <c r="Q1274">
        <f t="shared" si="1041"/>
        <v>-35969.839344316497</v>
      </c>
      <c r="R1274">
        <f t="shared" si="1042"/>
        <v>418348.10782847629</v>
      </c>
      <c r="S1274">
        <f t="shared" si="1043"/>
        <v>4.1834810782847631</v>
      </c>
      <c r="T1274">
        <f t="shared" si="1044"/>
        <v>4.1834810782847634E-3</v>
      </c>
    </row>
    <row r="1275" spans="1:20" x14ac:dyDescent="0.25">
      <c r="A1275" s="5">
        <v>43318</v>
      </c>
      <c r="B1275">
        <v>7024.19</v>
      </c>
      <c r="C1275">
        <v>7160</v>
      </c>
      <c r="D1275">
        <v>6821</v>
      </c>
      <c r="E1275">
        <v>6934.82</v>
      </c>
      <c r="F1275">
        <v>32760.191642999998</v>
      </c>
      <c r="G1275">
        <v>-1.27</v>
      </c>
      <c r="L1275" t="s">
        <v>7</v>
      </c>
      <c r="M1275" t="s">
        <v>7</v>
      </c>
      <c r="N1275" t="s">
        <v>8</v>
      </c>
      <c r="P1275">
        <f t="shared" si="1040"/>
        <v>-0.32849557522124068</v>
      </c>
      <c r="Q1275">
        <f t="shared" si="1041"/>
        <v>-10761.577998125365</v>
      </c>
      <c r="R1275">
        <f t="shared" si="1042"/>
        <v>454317.9471727928</v>
      </c>
      <c r="S1275">
        <f t="shared" si="1043"/>
        <v>4.5431794717279281</v>
      </c>
      <c r="T1275">
        <f t="shared" si="1044"/>
        <v>4.543179471727928E-3</v>
      </c>
    </row>
    <row r="1276" spans="1:20" x14ac:dyDescent="0.25">
      <c r="A1276" s="5">
        <v>43317</v>
      </c>
      <c r="B1276">
        <v>7009.84</v>
      </c>
      <c r="C1276">
        <v>7089.87</v>
      </c>
      <c r="D1276">
        <v>6882.29</v>
      </c>
      <c r="E1276">
        <v>7024.19</v>
      </c>
      <c r="F1276">
        <v>32894.849781999998</v>
      </c>
      <c r="G1276">
        <v>0.2</v>
      </c>
      <c r="L1276" t="s">
        <v>7</v>
      </c>
      <c r="M1276" t="s">
        <v>7</v>
      </c>
      <c r="N1276" t="s">
        <v>8</v>
      </c>
      <c r="P1276">
        <f t="shared" si="1040"/>
        <v>0.36718373639078605</v>
      </c>
      <c r="Q1276">
        <f t="shared" si="1041"/>
        <v>12078.453850968393</v>
      </c>
      <c r="R1276">
        <f t="shared" si="1042"/>
        <v>465079.52517091815</v>
      </c>
      <c r="S1276">
        <f t="shared" si="1043"/>
        <v>4.6507952517091811</v>
      </c>
      <c r="T1276">
        <f t="shared" si="1044"/>
        <v>4.6507952517091814E-3</v>
      </c>
    </row>
    <row r="1277" spans="1:20" x14ac:dyDescent="0.25">
      <c r="A1277" s="5">
        <v>43316</v>
      </c>
      <c r="B1277">
        <v>7412.27</v>
      </c>
      <c r="C1277">
        <v>7494.81</v>
      </c>
      <c r="D1277">
        <v>6926</v>
      </c>
      <c r="E1277">
        <v>7009.84</v>
      </c>
      <c r="F1277">
        <v>36288.426010000003</v>
      </c>
      <c r="G1277">
        <v>-5.43</v>
      </c>
      <c r="L1277" t="s">
        <v>7</v>
      </c>
      <c r="M1277" t="s">
        <v>7</v>
      </c>
      <c r="N1277" t="s">
        <v>8</v>
      </c>
      <c r="P1277">
        <f t="shared" si="1040"/>
        <v>-0.70520912079604758</v>
      </c>
      <c r="Q1277">
        <f t="shared" si="1041"/>
        <v>-25590.929001584525</v>
      </c>
      <c r="R1277">
        <f t="shared" si="1042"/>
        <v>453001.07131994975</v>
      </c>
      <c r="S1277">
        <f t="shared" si="1043"/>
        <v>4.5300107131994976</v>
      </c>
      <c r="T1277">
        <f t="shared" si="1044"/>
        <v>4.5300107131994978E-3</v>
      </c>
    </row>
    <row r="1278" spans="1:20" x14ac:dyDescent="0.25">
      <c r="A1278" s="5">
        <v>43315</v>
      </c>
      <c r="B1278">
        <v>7525.71</v>
      </c>
      <c r="C1278">
        <v>7540</v>
      </c>
      <c r="D1278">
        <v>7282.44</v>
      </c>
      <c r="E1278">
        <v>7418.78</v>
      </c>
      <c r="F1278">
        <v>44669.486046999999</v>
      </c>
      <c r="G1278">
        <v>-1.42</v>
      </c>
      <c r="L1278" t="s">
        <v>7</v>
      </c>
      <c r="M1278" t="s">
        <v>8</v>
      </c>
      <c r="N1278" t="s">
        <v>8</v>
      </c>
      <c r="P1278">
        <f t="shared" si="1040"/>
        <v>5.8704767821089715E-2</v>
      </c>
      <c r="Q1278">
        <f t="shared" si="1041"/>
        <v>2622.3118070765418</v>
      </c>
      <c r="R1278">
        <f t="shared" si="1042"/>
        <v>478592.00032153429</v>
      </c>
      <c r="S1278">
        <f t="shared" si="1043"/>
        <v>4.7859200032153426</v>
      </c>
      <c r="T1278">
        <f t="shared" si="1044"/>
        <v>4.7859200032153429E-3</v>
      </c>
    </row>
    <row r="1279" spans="1:20" x14ac:dyDescent="0.25">
      <c r="A1279" s="5">
        <v>43314</v>
      </c>
      <c r="B1279">
        <v>7600.08</v>
      </c>
      <c r="C1279">
        <v>7709.46</v>
      </c>
      <c r="D1279">
        <v>7455.72</v>
      </c>
      <c r="E1279">
        <v>7525.71</v>
      </c>
      <c r="F1279">
        <v>37665.696684000002</v>
      </c>
      <c r="G1279">
        <v>-0.98</v>
      </c>
      <c r="L1279" t="s">
        <v>7</v>
      </c>
      <c r="M1279" t="s">
        <v>8</v>
      </c>
      <c r="N1279" t="s">
        <v>8</v>
      </c>
      <c r="P1279">
        <f t="shared" ref="P1279:P1342" si="1045">IF(C1279=D1279,0,((E1279-D1279)-(C1279-E1279))/(C1279-D1279))</f>
        <v>-0.44833293922913342</v>
      </c>
      <c r="Q1279">
        <f t="shared" ref="Q1279:Q1342" si="1046">F1279*P1279</f>
        <v>-16886.772502450745</v>
      </c>
      <c r="R1279">
        <f t="shared" ref="R1279:R1342" si="1047">R1280+Q1279</f>
        <v>475969.68851445772</v>
      </c>
      <c r="S1279">
        <f t="shared" ref="S1279:S1342" si="1048">R1279/100000</f>
        <v>4.7596968851445771</v>
      </c>
      <c r="T1279">
        <f t="shared" ref="T1279:T1342" si="1049">S1279/1000</f>
        <v>4.7596968851445773E-3</v>
      </c>
    </row>
    <row r="1280" spans="1:20" x14ac:dyDescent="0.25">
      <c r="A1280" s="5">
        <v>43313</v>
      </c>
      <c r="B1280">
        <v>7735.67</v>
      </c>
      <c r="C1280">
        <v>7750</v>
      </c>
      <c r="D1280">
        <v>7430</v>
      </c>
      <c r="E1280">
        <v>7604.58</v>
      </c>
      <c r="F1280">
        <v>42582.312932000001</v>
      </c>
      <c r="G1280">
        <v>-1.69</v>
      </c>
      <c r="L1280" t="s">
        <v>7</v>
      </c>
      <c r="M1280" t="s">
        <v>8</v>
      </c>
      <c r="N1280" t="s">
        <v>8</v>
      </c>
      <c r="P1280">
        <f t="shared" si="1045"/>
        <v>9.112499999999954E-2</v>
      </c>
      <c r="Q1280">
        <f t="shared" si="1046"/>
        <v>3880.3132659284806</v>
      </c>
      <c r="R1280">
        <f t="shared" si="1047"/>
        <v>492856.46101690846</v>
      </c>
      <c r="S1280">
        <f t="shared" si="1048"/>
        <v>4.9285646101690848</v>
      </c>
      <c r="T1280">
        <f t="shared" si="1049"/>
        <v>4.9285646101690844E-3</v>
      </c>
    </row>
    <row r="1281" spans="1:20" x14ac:dyDescent="0.25">
      <c r="A1281" s="5">
        <v>43312</v>
      </c>
      <c r="B1281">
        <v>8171.4</v>
      </c>
      <c r="C1281">
        <v>8180</v>
      </c>
      <c r="D1281">
        <v>7633</v>
      </c>
      <c r="E1281">
        <v>7730.93</v>
      </c>
      <c r="F1281">
        <v>48296.915587000003</v>
      </c>
      <c r="G1281">
        <v>-5.39</v>
      </c>
      <c r="L1281" t="s">
        <v>7</v>
      </c>
      <c r="M1281" t="s">
        <v>8</v>
      </c>
      <c r="N1281" t="s">
        <v>8</v>
      </c>
      <c r="P1281">
        <f t="shared" si="1045"/>
        <v>-0.6419378427787924</v>
      </c>
      <c r="Q1281">
        <f t="shared" si="1046"/>
        <v>-31003.617804788217</v>
      </c>
      <c r="R1281">
        <f t="shared" si="1047"/>
        <v>488976.14775097999</v>
      </c>
      <c r="S1281">
        <f t="shared" si="1048"/>
        <v>4.8897614775097997</v>
      </c>
      <c r="T1281">
        <f t="shared" si="1049"/>
        <v>4.8897614775097993E-3</v>
      </c>
    </row>
    <row r="1282" spans="1:20" x14ac:dyDescent="0.25">
      <c r="A1282" s="5">
        <v>43311</v>
      </c>
      <c r="B1282">
        <v>8210.99</v>
      </c>
      <c r="C1282">
        <v>8273</v>
      </c>
      <c r="D1282">
        <v>7866</v>
      </c>
      <c r="E1282">
        <v>8173.92</v>
      </c>
      <c r="F1282">
        <v>39692.416541999999</v>
      </c>
      <c r="G1282">
        <v>-0.45</v>
      </c>
      <c r="L1282" t="s">
        <v>7</v>
      </c>
      <c r="M1282" t="s">
        <v>8</v>
      </c>
      <c r="N1282" t="s">
        <v>8</v>
      </c>
      <c r="P1282">
        <f t="shared" si="1045"/>
        <v>0.51312039312039348</v>
      </c>
      <c r="Q1282">
        <f t="shared" si="1046"/>
        <v>20366.988379929448</v>
      </c>
      <c r="R1282">
        <f t="shared" si="1047"/>
        <v>519979.76555576822</v>
      </c>
      <c r="S1282">
        <f t="shared" si="1048"/>
        <v>5.1997976555576821</v>
      </c>
      <c r="T1282">
        <f t="shared" si="1049"/>
        <v>5.1997976555576818E-3</v>
      </c>
    </row>
    <row r="1283" spans="1:20" x14ac:dyDescent="0.25">
      <c r="A1283" s="5">
        <v>43310</v>
      </c>
      <c r="B1283">
        <v>8225.0400000000009</v>
      </c>
      <c r="C1283">
        <v>8294.51</v>
      </c>
      <c r="D1283">
        <v>8115</v>
      </c>
      <c r="E1283">
        <v>8211</v>
      </c>
      <c r="F1283">
        <v>25531.226185</v>
      </c>
      <c r="G1283">
        <v>-0.17</v>
      </c>
      <c r="L1283" t="s">
        <v>7</v>
      </c>
      <c r="M1283" t="s">
        <v>8</v>
      </c>
      <c r="N1283" t="s">
        <v>8</v>
      </c>
      <c r="P1283">
        <f t="shared" si="1045"/>
        <v>6.9578296473732759E-2</v>
      </c>
      <c r="Q1283">
        <f t="shared" si="1046"/>
        <v>1776.419224837859</v>
      </c>
      <c r="R1283">
        <f t="shared" si="1047"/>
        <v>499612.77717583877</v>
      </c>
      <c r="S1283">
        <f t="shared" si="1048"/>
        <v>4.9961277717583874</v>
      </c>
      <c r="T1283">
        <f t="shared" si="1049"/>
        <v>4.9961277717583876E-3</v>
      </c>
    </row>
    <row r="1284" spans="1:20" x14ac:dyDescent="0.25">
      <c r="A1284" s="5">
        <v>43309</v>
      </c>
      <c r="B1284">
        <v>8188.57</v>
      </c>
      <c r="C1284">
        <v>8246.5400000000009</v>
      </c>
      <c r="D1284">
        <v>8067</v>
      </c>
      <c r="E1284">
        <v>8225.0400000000009</v>
      </c>
      <c r="F1284">
        <v>26215.173838999999</v>
      </c>
      <c r="G1284">
        <v>0.45</v>
      </c>
      <c r="L1284" t="s">
        <v>7</v>
      </c>
      <c r="M1284" t="s">
        <v>8</v>
      </c>
      <c r="N1284" t="s">
        <v>8</v>
      </c>
      <c r="P1284">
        <f t="shared" si="1045"/>
        <v>0.76049905313579258</v>
      </c>
      <c r="Q1284">
        <f t="shared" si="1046"/>
        <v>19936.614882349699</v>
      </c>
      <c r="R1284">
        <f t="shared" si="1047"/>
        <v>497836.35795100091</v>
      </c>
      <c r="S1284">
        <f t="shared" si="1048"/>
        <v>4.9783635795100087</v>
      </c>
      <c r="T1284">
        <f t="shared" si="1049"/>
        <v>4.978363579510009E-3</v>
      </c>
    </row>
    <row r="1285" spans="1:20" x14ac:dyDescent="0.25">
      <c r="A1285" s="5">
        <v>43308</v>
      </c>
      <c r="B1285">
        <v>7920</v>
      </c>
      <c r="C1285">
        <v>8285</v>
      </c>
      <c r="D1285">
        <v>7805</v>
      </c>
      <c r="E1285">
        <v>8188.57</v>
      </c>
      <c r="F1285">
        <v>43671.005891000001</v>
      </c>
      <c r="G1285">
        <v>3.39</v>
      </c>
      <c r="L1285" t="s">
        <v>7</v>
      </c>
      <c r="M1285" t="s">
        <v>8</v>
      </c>
      <c r="N1285" t="s">
        <v>8</v>
      </c>
      <c r="P1285">
        <f t="shared" si="1045"/>
        <v>0.59820833333333212</v>
      </c>
      <c r="Q1285">
        <f t="shared" si="1046"/>
        <v>26124.35964904524</v>
      </c>
      <c r="R1285">
        <f t="shared" si="1047"/>
        <v>477899.74306865124</v>
      </c>
      <c r="S1285">
        <f t="shared" si="1048"/>
        <v>4.7789974306865126</v>
      </c>
      <c r="T1285">
        <f t="shared" si="1049"/>
        <v>4.7789974306865126E-3</v>
      </c>
    </row>
    <row r="1286" spans="1:20" x14ac:dyDescent="0.25">
      <c r="A1286" s="5">
        <v>43307</v>
      </c>
      <c r="B1286">
        <v>8175.63</v>
      </c>
      <c r="C1286">
        <v>8315.69</v>
      </c>
      <c r="D1286">
        <v>7850.06</v>
      </c>
      <c r="E1286">
        <v>7920</v>
      </c>
      <c r="F1286">
        <v>43223.481681999998</v>
      </c>
      <c r="G1286">
        <v>-3.13</v>
      </c>
      <c r="L1286" t="s">
        <v>7</v>
      </c>
      <c r="M1286" t="s">
        <v>8</v>
      </c>
      <c r="N1286" t="s">
        <v>8</v>
      </c>
      <c r="P1286">
        <f t="shared" si="1045"/>
        <v>-0.69958980306251928</v>
      </c>
      <c r="Q1286">
        <f t="shared" si="1046"/>
        <v>-30238.707037586788</v>
      </c>
      <c r="R1286">
        <f t="shared" si="1047"/>
        <v>451775.38341960602</v>
      </c>
      <c r="S1286">
        <f t="shared" si="1048"/>
        <v>4.5177538341960606</v>
      </c>
      <c r="T1286">
        <f t="shared" si="1049"/>
        <v>4.5177538341960605E-3</v>
      </c>
    </row>
    <row r="1287" spans="1:20" x14ac:dyDescent="0.25">
      <c r="A1287" s="5">
        <v>43306</v>
      </c>
      <c r="B1287">
        <v>8397.24</v>
      </c>
      <c r="C1287">
        <v>8491.77</v>
      </c>
      <c r="D1287">
        <v>8050</v>
      </c>
      <c r="E1287">
        <v>8175.64</v>
      </c>
      <c r="F1287">
        <v>48257.649124000003</v>
      </c>
      <c r="G1287">
        <v>-2.64</v>
      </c>
      <c r="L1287" t="s">
        <v>8</v>
      </c>
      <c r="M1287" t="s">
        <v>8</v>
      </c>
      <c r="N1287" t="s">
        <v>8</v>
      </c>
      <c r="P1287">
        <f t="shared" si="1045"/>
        <v>-0.43119722932747717</v>
      </c>
      <c r="Q1287">
        <f t="shared" si="1046"/>
        <v>-20808.564596126358</v>
      </c>
      <c r="R1287">
        <f t="shared" si="1047"/>
        <v>482014.0904571928</v>
      </c>
      <c r="S1287">
        <f t="shared" si="1048"/>
        <v>4.8201409045719279</v>
      </c>
      <c r="T1287">
        <f t="shared" si="1049"/>
        <v>4.8201409045719283E-3</v>
      </c>
    </row>
    <row r="1288" spans="1:20" x14ac:dyDescent="0.25">
      <c r="A1288" s="5">
        <v>43305</v>
      </c>
      <c r="B1288">
        <v>7721.65</v>
      </c>
      <c r="C1288">
        <v>8486</v>
      </c>
      <c r="D1288">
        <v>7696</v>
      </c>
      <c r="E1288">
        <v>8397.24</v>
      </c>
      <c r="F1288">
        <v>60121.163748999999</v>
      </c>
      <c r="G1288">
        <v>8.75</v>
      </c>
      <c r="L1288" t="s">
        <v>8</v>
      </c>
      <c r="M1288" t="s">
        <v>8</v>
      </c>
      <c r="N1288" t="s">
        <v>8</v>
      </c>
      <c r="P1288">
        <f t="shared" si="1045"/>
        <v>0.77529113924050574</v>
      </c>
      <c r="Q1288">
        <f t="shared" si="1046"/>
        <v>46611.405535427206</v>
      </c>
      <c r="R1288">
        <f t="shared" si="1047"/>
        <v>502822.65505331918</v>
      </c>
      <c r="S1288">
        <f t="shared" si="1048"/>
        <v>5.0282265505331916</v>
      </c>
      <c r="T1288">
        <f t="shared" si="1049"/>
        <v>5.0282265505331913E-3</v>
      </c>
    </row>
    <row r="1289" spans="1:20" x14ac:dyDescent="0.25">
      <c r="A1289" s="5">
        <v>43304</v>
      </c>
      <c r="B1289">
        <v>7394.78</v>
      </c>
      <c r="C1289">
        <v>7833</v>
      </c>
      <c r="D1289">
        <v>7375</v>
      </c>
      <c r="E1289">
        <v>7721.01</v>
      </c>
      <c r="F1289">
        <v>41646.346670999999</v>
      </c>
      <c r="G1289">
        <v>4.41</v>
      </c>
      <c r="L1289" t="s">
        <v>8</v>
      </c>
      <c r="M1289" t="s">
        <v>8</v>
      </c>
      <c r="N1289" t="s">
        <v>8</v>
      </c>
      <c r="P1289">
        <f t="shared" si="1045"/>
        <v>0.5109606986899573</v>
      </c>
      <c r="Q1289">
        <f t="shared" si="1046"/>
        <v>21279.646392898336</v>
      </c>
      <c r="R1289">
        <f t="shared" si="1047"/>
        <v>456211.24951789196</v>
      </c>
      <c r="S1289">
        <f t="shared" si="1048"/>
        <v>4.56211249517892</v>
      </c>
      <c r="T1289">
        <f t="shared" si="1049"/>
        <v>4.5621124951789197E-3</v>
      </c>
    </row>
    <row r="1290" spans="1:20" x14ac:dyDescent="0.25">
      <c r="A1290" s="5">
        <v>43303</v>
      </c>
      <c r="B1290">
        <v>7399.25</v>
      </c>
      <c r="C1290">
        <v>7582.4</v>
      </c>
      <c r="D1290">
        <v>7335.5</v>
      </c>
      <c r="E1290">
        <v>7394.79</v>
      </c>
      <c r="F1290">
        <v>30270.218440000001</v>
      </c>
      <c r="G1290">
        <v>-0.06</v>
      </c>
      <c r="L1290" t="s">
        <v>8</v>
      </c>
      <c r="M1290" t="s">
        <v>8</v>
      </c>
      <c r="N1290" t="s">
        <v>7</v>
      </c>
      <c r="P1290">
        <f t="shared" si="1045"/>
        <v>-0.51972458485216644</v>
      </c>
      <c r="Q1290">
        <f t="shared" si="1046"/>
        <v>-15732.176712113393</v>
      </c>
      <c r="R1290">
        <f t="shared" si="1047"/>
        <v>434931.60312499362</v>
      </c>
      <c r="S1290">
        <f t="shared" si="1048"/>
        <v>4.3493160312499359</v>
      </c>
      <c r="T1290">
        <f t="shared" si="1049"/>
        <v>4.3493160312499356E-3</v>
      </c>
    </row>
    <row r="1291" spans="1:20" x14ac:dyDescent="0.25">
      <c r="A1291" s="5">
        <v>43302</v>
      </c>
      <c r="B1291">
        <v>7337.47</v>
      </c>
      <c r="C1291">
        <v>7458.47</v>
      </c>
      <c r="D1291">
        <v>7211</v>
      </c>
      <c r="E1291">
        <v>7398.78</v>
      </c>
      <c r="F1291">
        <v>28886.490290999998</v>
      </c>
      <c r="G1291">
        <v>0.84</v>
      </c>
      <c r="L1291" t="s">
        <v>8</v>
      </c>
      <c r="M1291" t="s">
        <v>8</v>
      </c>
      <c r="N1291" t="s">
        <v>7</v>
      </c>
      <c r="P1291">
        <f t="shared" si="1045"/>
        <v>0.5175980926981012</v>
      </c>
      <c r="Q1291">
        <f t="shared" si="1046"/>
        <v>14951.592279363816</v>
      </c>
      <c r="R1291">
        <f t="shared" si="1047"/>
        <v>450663.77983710699</v>
      </c>
      <c r="S1291">
        <f t="shared" si="1048"/>
        <v>4.5066377983710701</v>
      </c>
      <c r="T1291">
        <f t="shared" si="1049"/>
        <v>4.5066377983710697E-3</v>
      </c>
    </row>
    <row r="1292" spans="1:20" x14ac:dyDescent="0.25">
      <c r="A1292" s="5">
        <v>43301</v>
      </c>
      <c r="B1292">
        <v>7468.86</v>
      </c>
      <c r="C1292">
        <v>7700</v>
      </c>
      <c r="D1292">
        <v>7273</v>
      </c>
      <c r="E1292">
        <v>7337.53</v>
      </c>
      <c r="F1292">
        <v>46140.313447</v>
      </c>
      <c r="G1292">
        <v>-1.76</v>
      </c>
      <c r="L1292" t="s">
        <v>8</v>
      </c>
      <c r="M1292" t="s">
        <v>8</v>
      </c>
      <c r="N1292" t="s">
        <v>7</v>
      </c>
      <c r="P1292">
        <f t="shared" si="1045"/>
        <v>-0.6977517564402822</v>
      </c>
      <c r="Q1292">
        <f t="shared" si="1046"/>
        <v>-32194.48475034942</v>
      </c>
      <c r="R1292">
        <f t="shared" si="1047"/>
        <v>435712.18755774316</v>
      </c>
      <c r="S1292">
        <f t="shared" si="1048"/>
        <v>4.3571218755774312</v>
      </c>
      <c r="T1292">
        <f t="shared" si="1049"/>
        <v>4.3571218755774311E-3</v>
      </c>
    </row>
    <row r="1293" spans="1:20" x14ac:dyDescent="0.25">
      <c r="A1293" s="5">
        <v>43300</v>
      </c>
      <c r="B1293">
        <v>7381.88</v>
      </c>
      <c r="C1293">
        <v>7576.28</v>
      </c>
      <c r="D1293">
        <v>7270</v>
      </c>
      <c r="E1293">
        <v>7466.21</v>
      </c>
      <c r="F1293">
        <v>41218.256436999996</v>
      </c>
      <c r="G1293">
        <v>1.1399999999999999</v>
      </c>
      <c r="L1293" t="s">
        <v>8</v>
      </c>
      <c r="M1293" t="s">
        <v>8</v>
      </c>
      <c r="N1293" t="s">
        <v>7</v>
      </c>
      <c r="P1293">
        <f t="shared" si="1045"/>
        <v>0.2812459187671425</v>
      </c>
      <c r="Q1293">
        <f t="shared" si="1046"/>
        <v>11592.46640160375</v>
      </c>
      <c r="R1293">
        <f t="shared" si="1047"/>
        <v>467906.67230809259</v>
      </c>
      <c r="S1293">
        <f t="shared" si="1048"/>
        <v>4.6790667230809255</v>
      </c>
      <c r="T1293">
        <f t="shared" si="1049"/>
        <v>4.6790667230809258E-3</v>
      </c>
    </row>
    <row r="1294" spans="1:20" x14ac:dyDescent="0.25">
      <c r="A1294" s="5">
        <v>43299</v>
      </c>
      <c r="B1294">
        <v>7317.44</v>
      </c>
      <c r="C1294">
        <v>7588.08</v>
      </c>
      <c r="D1294">
        <v>7225.38</v>
      </c>
      <c r="E1294">
        <v>7381.9</v>
      </c>
      <c r="F1294">
        <v>59487.643450000003</v>
      </c>
      <c r="G1294">
        <v>0.88</v>
      </c>
      <c r="L1294" t="s">
        <v>8</v>
      </c>
      <c r="M1294" t="s">
        <v>8</v>
      </c>
      <c r="N1294" t="s">
        <v>7</v>
      </c>
      <c r="P1294">
        <f t="shared" si="1045"/>
        <v>-0.13691756272401651</v>
      </c>
      <c r="Q1294">
        <f t="shared" si="1046"/>
        <v>-8144.9031533693051</v>
      </c>
      <c r="R1294">
        <f t="shared" si="1047"/>
        <v>456314.20590648882</v>
      </c>
      <c r="S1294">
        <f t="shared" si="1048"/>
        <v>4.5631420590648881</v>
      </c>
      <c r="T1294">
        <f t="shared" si="1049"/>
        <v>4.5631420590648885E-3</v>
      </c>
    </row>
    <row r="1295" spans="1:20" x14ac:dyDescent="0.25">
      <c r="A1295" s="5">
        <v>43298</v>
      </c>
      <c r="B1295">
        <v>6723.33</v>
      </c>
      <c r="C1295">
        <v>7468.99</v>
      </c>
      <c r="D1295">
        <v>6652.04</v>
      </c>
      <c r="E1295">
        <v>7317.44</v>
      </c>
      <c r="F1295">
        <v>52105.423458999998</v>
      </c>
      <c r="G1295">
        <v>8.84</v>
      </c>
      <c r="L1295" t="s">
        <v>8</v>
      </c>
      <c r="M1295" t="s">
        <v>8</v>
      </c>
      <c r="N1295" t="s">
        <v>7</v>
      </c>
      <c r="P1295">
        <f t="shared" si="1045"/>
        <v>0.62898586204786044</v>
      </c>
      <c r="Q1295">
        <f t="shared" si="1046"/>
        <v>32773.574691727925</v>
      </c>
      <c r="R1295">
        <f t="shared" si="1047"/>
        <v>464459.10905985814</v>
      </c>
      <c r="S1295">
        <f t="shared" si="1048"/>
        <v>4.6445910905985812</v>
      </c>
      <c r="T1295">
        <f t="shared" si="1049"/>
        <v>4.6445910905985816E-3</v>
      </c>
    </row>
    <row r="1296" spans="1:20" x14ac:dyDescent="0.25">
      <c r="A1296" s="5">
        <v>43297</v>
      </c>
      <c r="B1296">
        <v>6354.15</v>
      </c>
      <c r="C1296">
        <v>6747.3</v>
      </c>
      <c r="D1296">
        <v>6330.4</v>
      </c>
      <c r="E1296">
        <v>6723.35</v>
      </c>
      <c r="F1296">
        <v>36204.877079999998</v>
      </c>
      <c r="G1296">
        <v>5.81</v>
      </c>
      <c r="L1296" t="s">
        <v>8</v>
      </c>
      <c r="M1296" t="s">
        <v>7</v>
      </c>
      <c r="N1296" t="s">
        <v>7</v>
      </c>
      <c r="P1296">
        <f t="shared" si="1045"/>
        <v>0.88510434156872253</v>
      </c>
      <c r="Q1296">
        <f t="shared" si="1046"/>
        <v>32045.093889469932</v>
      </c>
      <c r="R1296">
        <f t="shared" si="1047"/>
        <v>431685.5343681302</v>
      </c>
      <c r="S1296">
        <f t="shared" si="1048"/>
        <v>4.3168553436813024</v>
      </c>
      <c r="T1296">
        <f t="shared" si="1049"/>
        <v>4.3168553436813027E-3</v>
      </c>
    </row>
    <row r="1297" spans="1:20" x14ac:dyDescent="0.25">
      <c r="A1297" s="5">
        <v>43296</v>
      </c>
      <c r="B1297">
        <v>6250.9</v>
      </c>
      <c r="C1297">
        <v>6395</v>
      </c>
      <c r="D1297">
        <v>6225.4</v>
      </c>
      <c r="E1297">
        <v>6353.01</v>
      </c>
      <c r="F1297">
        <v>22979.211508</v>
      </c>
      <c r="G1297">
        <v>1.63</v>
      </c>
      <c r="L1297" t="s">
        <v>7</v>
      </c>
      <c r="M1297" t="s">
        <v>7</v>
      </c>
      <c r="N1297" t="s">
        <v>7</v>
      </c>
      <c r="P1297">
        <f t="shared" si="1045"/>
        <v>0.50483490566038103</v>
      </c>
      <c r="Q1297">
        <f t="shared" si="1046"/>
        <v>11600.708073791122</v>
      </c>
      <c r="R1297">
        <f t="shared" si="1047"/>
        <v>399640.44047866028</v>
      </c>
      <c r="S1297">
        <f t="shared" si="1048"/>
        <v>3.996404404786603</v>
      </c>
      <c r="T1297">
        <f t="shared" si="1049"/>
        <v>3.9964044047866029E-3</v>
      </c>
    </row>
    <row r="1298" spans="1:20" x14ac:dyDescent="0.25">
      <c r="A1298" s="5">
        <v>43295</v>
      </c>
      <c r="B1298">
        <v>6214.57</v>
      </c>
      <c r="C1298">
        <v>6335</v>
      </c>
      <c r="D1298">
        <v>6178</v>
      </c>
      <c r="E1298">
        <v>6251.99</v>
      </c>
      <c r="F1298">
        <v>17783.071999</v>
      </c>
      <c r="G1298">
        <v>0.6</v>
      </c>
      <c r="L1298" t="s">
        <v>7</v>
      </c>
      <c r="M1298" t="s">
        <v>7</v>
      </c>
      <c r="N1298" t="s">
        <v>7</v>
      </c>
      <c r="P1298">
        <f t="shared" si="1045"/>
        <v>-5.7452229299365838E-2</v>
      </c>
      <c r="Q1298">
        <f t="shared" si="1046"/>
        <v>-1021.6771301336801</v>
      </c>
      <c r="R1298">
        <f t="shared" si="1047"/>
        <v>388039.73240486917</v>
      </c>
      <c r="S1298">
        <f t="shared" si="1048"/>
        <v>3.8803973240486918</v>
      </c>
      <c r="T1298">
        <f t="shared" si="1049"/>
        <v>3.8803973240486918E-3</v>
      </c>
    </row>
    <row r="1299" spans="1:20" x14ac:dyDescent="0.25">
      <c r="A1299" s="5">
        <v>43294</v>
      </c>
      <c r="B1299">
        <v>6251.4</v>
      </c>
      <c r="C1299">
        <v>6350</v>
      </c>
      <c r="D1299">
        <v>6110</v>
      </c>
      <c r="E1299">
        <v>6214.57</v>
      </c>
      <c r="F1299">
        <v>26375.325285999999</v>
      </c>
      <c r="G1299">
        <v>-0.59</v>
      </c>
      <c r="L1299" t="s">
        <v>7</v>
      </c>
      <c r="M1299" t="s">
        <v>7</v>
      </c>
      <c r="N1299" t="s">
        <v>7</v>
      </c>
      <c r="P1299">
        <f t="shared" si="1045"/>
        <v>-0.12858333333333577</v>
      </c>
      <c r="Q1299">
        <f t="shared" si="1046"/>
        <v>-3391.4272430248975</v>
      </c>
      <c r="R1299">
        <f t="shared" si="1047"/>
        <v>389061.40953500284</v>
      </c>
      <c r="S1299">
        <f t="shared" si="1048"/>
        <v>3.8906140953500286</v>
      </c>
      <c r="T1299">
        <f t="shared" si="1049"/>
        <v>3.8906140953500284E-3</v>
      </c>
    </row>
    <row r="1300" spans="1:20" x14ac:dyDescent="0.25">
      <c r="A1300" s="5">
        <v>43293</v>
      </c>
      <c r="B1300">
        <v>6378.07</v>
      </c>
      <c r="C1300">
        <v>6380.28</v>
      </c>
      <c r="D1300">
        <v>6070</v>
      </c>
      <c r="E1300">
        <v>6250.57</v>
      </c>
      <c r="F1300">
        <v>31306.663347999998</v>
      </c>
      <c r="G1300">
        <v>-2</v>
      </c>
      <c r="L1300" t="s">
        <v>7</v>
      </c>
      <c r="M1300" t="s">
        <v>7</v>
      </c>
      <c r="N1300" t="s">
        <v>7</v>
      </c>
      <c r="P1300">
        <f t="shared" si="1045"/>
        <v>0.16391646254995396</v>
      </c>
      <c r="Q1300">
        <f t="shared" si="1046"/>
        <v>5131.677510246458</v>
      </c>
      <c r="R1300">
        <f t="shared" si="1047"/>
        <v>392452.83677802776</v>
      </c>
      <c r="S1300">
        <f t="shared" si="1048"/>
        <v>3.9245283677802778</v>
      </c>
      <c r="T1300">
        <f t="shared" si="1049"/>
        <v>3.9245283677802776E-3</v>
      </c>
    </row>
    <row r="1301" spans="1:20" x14ac:dyDescent="0.25">
      <c r="A1301" s="5">
        <v>43292</v>
      </c>
      <c r="B1301">
        <v>6296.91</v>
      </c>
      <c r="C1301">
        <v>6406</v>
      </c>
      <c r="D1301">
        <v>6278.99</v>
      </c>
      <c r="E1301">
        <v>6378.07</v>
      </c>
      <c r="F1301">
        <v>28715.498487000001</v>
      </c>
      <c r="G1301">
        <v>1.29</v>
      </c>
      <c r="L1301" t="s">
        <v>7</v>
      </c>
      <c r="M1301" t="s">
        <v>7</v>
      </c>
      <c r="N1301" t="s">
        <v>7</v>
      </c>
      <c r="P1301">
        <f t="shared" si="1045"/>
        <v>0.56019211085740894</v>
      </c>
      <c r="Q1301">
        <f t="shared" si="1046"/>
        <v>16086.195711755263</v>
      </c>
      <c r="R1301">
        <f t="shared" si="1047"/>
        <v>387321.1592677813</v>
      </c>
      <c r="S1301">
        <f t="shared" si="1048"/>
        <v>3.873211592677813</v>
      </c>
      <c r="T1301">
        <f t="shared" si="1049"/>
        <v>3.8732115926778132E-3</v>
      </c>
    </row>
    <row r="1302" spans="1:20" x14ac:dyDescent="0.25">
      <c r="A1302" s="5">
        <v>43291</v>
      </c>
      <c r="B1302">
        <v>6662.78</v>
      </c>
      <c r="C1302">
        <v>6681</v>
      </c>
      <c r="D1302">
        <v>6263</v>
      </c>
      <c r="E1302">
        <v>6296.91</v>
      </c>
      <c r="F1302">
        <v>38560.672702000003</v>
      </c>
      <c r="G1302">
        <v>-5.49</v>
      </c>
      <c r="L1302" t="s">
        <v>7</v>
      </c>
      <c r="M1302" t="s">
        <v>7</v>
      </c>
      <c r="N1302" t="s">
        <v>7</v>
      </c>
      <c r="P1302">
        <f t="shared" si="1045"/>
        <v>-0.83775119617224947</v>
      </c>
      <c r="Q1302">
        <f t="shared" si="1046"/>
        <v>-32304.249681307108</v>
      </c>
      <c r="R1302">
        <f t="shared" si="1047"/>
        <v>371234.96355602605</v>
      </c>
      <c r="S1302">
        <f t="shared" si="1048"/>
        <v>3.7123496355602605</v>
      </c>
      <c r="T1302">
        <f t="shared" si="1049"/>
        <v>3.7123496355602604E-3</v>
      </c>
    </row>
    <row r="1303" spans="1:20" x14ac:dyDescent="0.25">
      <c r="A1303" s="5">
        <v>43290</v>
      </c>
      <c r="B1303">
        <v>6712.1</v>
      </c>
      <c r="C1303">
        <v>6802.06</v>
      </c>
      <c r="D1303">
        <v>6612.24</v>
      </c>
      <c r="E1303">
        <v>6662.12</v>
      </c>
      <c r="F1303">
        <v>26732.40655</v>
      </c>
      <c r="G1303">
        <v>-0.74</v>
      </c>
      <c r="L1303" t="s">
        <v>8</v>
      </c>
      <c r="M1303" t="s">
        <v>7</v>
      </c>
      <c r="N1303" t="s">
        <v>7</v>
      </c>
      <c r="P1303">
        <f t="shared" si="1045"/>
        <v>-0.47444947845327207</v>
      </c>
      <c r="Q1303">
        <f t="shared" si="1046"/>
        <v>-12683.176345448333</v>
      </c>
      <c r="R1303">
        <f t="shared" si="1047"/>
        <v>403539.21323733317</v>
      </c>
      <c r="S1303">
        <f t="shared" si="1048"/>
        <v>4.0353921323733317</v>
      </c>
      <c r="T1303">
        <f t="shared" si="1049"/>
        <v>4.0353921323733315E-3</v>
      </c>
    </row>
    <row r="1304" spans="1:20" x14ac:dyDescent="0.25">
      <c r="A1304" s="5">
        <v>43289</v>
      </c>
      <c r="B1304">
        <v>6753.48</v>
      </c>
      <c r="C1304">
        <v>6780</v>
      </c>
      <c r="D1304">
        <v>6667.44</v>
      </c>
      <c r="E1304">
        <v>6712.1</v>
      </c>
      <c r="F1304">
        <v>24622.947794</v>
      </c>
      <c r="G1304">
        <v>-0.61</v>
      </c>
      <c r="L1304" t="s">
        <v>8</v>
      </c>
      <c r="M1304" t="s">
        <v>7</v>
      </c>
      <c r="N1304" t="s">
        <v>7</v>
      </c>
      <c r="P1304">
        <f t="shared" si="1045"/>
        <v>-0.20646766169153152</v>
      </c>
      <c r="Q1304">
        <f t="shared" si="1046"/>
        <v>-5083.8424549798347</v>
      </c>
      <c r="R1304">
        <f t="shared" si="1047"/>
        <v>416222.38958278153</v>
      </c>
      <c r="S1304">
        <f t="shared" si="1048"/>
        <v>4.1622238958278155</v>
      </c>
      <c r="T1304">
        <f t="shared" si="1049"/>
        <v>4.1622238958278152E-3</v>
      </c>
    </row>
    <row r="1305" spans="1:20" x14ac:dyDescent="0.25">
      <c r="A1305" s="5">
        <v>43288</v>
      </c>
      <c r="B1305">
        <v>6609.79</v>
      </c>
      <c r="C1305">
        <v>6818.16</v>
      </c>
      <c r="D1305">
        <v>6508.88</v>
      </c>
      <c r="E1305">
        <v>6756.98</v>
      </c>
      <c r="F1305">
        <v>23973.876885999998</v>
      </c>
      <c r="G1305">
        <v>2.23</v>
      </c>
      <c r="L1305" t="s">
        <v>8</v>
      </c>
      <c r="M1305" t="s">
        <v>7</v>
      </c>
      <c r="N1305" t="s">
        <v>7</v>
      </c>
      <c r="P1305">
        <f t="shared" si="1045"/>
        <v>0.60437144335229986</v>
      </c>
      <c r="Q1305">
        <f t="shared" si="1046"/>
        <v>14489.12657634216</v>
      </c>
      <c r="R1305">
        <f t="shared" si="1047"/>
        <v>421306.23203776137</v>
      </c>
      <c r="S1305">
        <f t="shared" si="1048"/>
        <v>4.2130623203776141</v>
      </c>
      <c r="T1305">
        <f t="shared" si="1049"/>
        <v>4.2130623203776143E-3</v>
      </c>
    </row>
    <row r="1306" spans="1:20" x14ac:dyDescent="0.25">
      <c r="A1306" s="5">
        <v>43287</v>
      </c>
      <c r="B1306">
        <v>6529.2</v>
      </c>
      <c r="C1306">
        <v>6648.54</v>
      </c>
      <c r="D1306">
        <v>6425</v>
      </c>
      <c r="E1306">
        <v>6609.78</v>
      </c>
      <c r="F1306">
        <v>29397.094748</v>
      </c>
      <c r="G1306">
        <v>1.23</v>
      </c>
      <c r="L1306" t="s">
        <v>8</v>
      </c>
      <c r="M1306" t="s">
        <v>7</v>
      </c>
      <c r="N1306" t="s">
        <v>7</v>
      </c>
      <c r="P1306">
        <f t="shared" si="1045"/>
        <v>0.65321642659031742</v>
      </c>
      <c r="Q1306">
        <f t="shared" si="1046"/>
        <v>19202.665183425546</v>
      </c>
      <c r="R1306">
        <f t="shared" si="1047"/>
        <v>406817.10546141921</v>
      </c>
      <c r="S1306">
        <f t="shared" si="1048"/>
        <v>4.0681710546141918</v>
      </c>
      <c r="T1306">
        <f t="shared" si="1049"/>
        <v>4.0681710546141914E-3</v>
      </c>
    </row>
    <row r="1307" spans="1:20" x14ac:dyDescent="0.25">
      <c r="A1307" s="5">
        <v>43286</v>
      </c>
      <c r="B1307">
        <v>6585.53</v>
      </c>
      <c r="C1307">
        <v>6712</v>
      </c>
      <c r="D1307">
        <v>6453.33</v>
      </c>
      <c r="E1307">
        <v>6529.2</v>
      </c>
      <c r="F1307">
        <v>35071.972898</v>
      </c>
      <c r="G1307">
        <v>-0.86</v>
      </c>
      <c r="L1307" t="s">
        <v>8</v>
      </c>
      <c r="M1307" t="s">
        <v>7</v>
      </c>
      <c r="N1307" t="s">
        <v>7</v>
      </c>
      <c r="P1307">
        <f t="shared" si="1045"/>
        <v>-0.41338384814628776</v>
      </c>
      <c r="Q1307">
        <f t="shared" si="1046"/>
        <v>-14498.187118657552</v>
      </c>
      <c r="R1307">
        <f t="shared" si="1047"/>
        <v>387614.44027799368</v>
      </c>
      <c r="S1307">
        <f t="shared" si="1048"/>
        <v>3.876144402779937</v>
      </c>
      <c r="T1307">
        <f t="shared" si="1049"/>
        <v>3.8761444027799368E-3</v>
      </c>
    </row>
    <row r="1308" spans="1:20" x14ac:dyDescent="0.25">
      <c r="A1308" s="5">
        <v>43285</v>
      </c>
      <c r="B1308">
        <v>6511.01</v>
      </c>
      <c r="C1308">
        <v>6784.92</v>
      </c>
      <c r="D1308">
        <v>6441.11</v>
      </c>
      <c r="E1308">
        <v>6586.98</v>
      </c>
      <c r="F1308">
        <v>23571.892777000001</v>
      </c>
      <c r="G1308">
        <v>1.17</v>
      </c>
      <c r="L1308" t="s">
        <v>8</v>
      </c>
      <c r="M1308" t="s">
        <v>7</v>
      </c>
      <c r="N1308" t="s">
        <v>7</v>
      </c>
      <c r="P1308">
        <f t="shared" si="1045"/>
        <v>-0.1514499287397125</v>
      </c>
      <c r="Q1308">
        <f t="shared" si="1046"/>
        <v>-3569.9614813367939</v>
      </c>
      <c r="R1308">
        <f t="shared" si="1047"/>
        <v>402112.62739665125</v>
      </c>
      <c r="S1308">
        <f t="shared" si="1048"/>
        <v>4.0211262739665123</v>
      </c>
      <c r="T1308">
        <f t="shared" si="1049"/>
        <v>4.0211262739665125E-3</v>
      </c>
    </row>
    <row r="1309" spans="1:20" x14ac:dyDescent="0.25">
      <c r="A1309" s="5">
        <v>43284</v>
      </c>
      <c r="B1309">
        <v>6615.29</v>
      </c>
      <c r="C1309">
        <v>6679.35</v>
      </c>
      <c r="D1309">
        <v>6463.01</v>
      </c>
      <c r="E1309">
        <v>6513.86</v>
      </c>
      <c r="F1309">
        <v>38657.781690999996</v>
      </c>
      <c r="G1309">
        <v>-1.53</v>
      </c>
      <c r="L1309" t="s">
        <v>8</v>
      </c>
      <c r="M1309" t="s">
        <v>7</v>
      </c>
      <c r="N1309" t="s">
        <v>7</v>
      </c>
      <c r="P1309">
        <f t="shared" si="1045"/>
        <v>-0.52990662845521475</v>
      </c>
      <c r="Q1309">
        <f t="shared" si="1046"/>
        <v>-20485.014759435537</v>
      </c>
      <c r="R1309">
        <f t="shared" si="1047"/>
        <v>405682.58887798805</v>
      </c>
      <c r="S1309">
        <f t="shared" si="1048"/>
        <v>4.0568258887798807</v>
      </c>
      <c r="T1309">
        <f t="shared" si="1049"/>
        <v>4.0568258887798804E-3</v>
      </c>
    </row>
    <row r="1310" spans="1:20" x14ac:dyDescent="0.25">
      <c r="A1310" s="5">
        <v>43283</v>
      </c>
      <c r="B1310">
        <v>6360.82</v>
      </c>
      <c r="C1310">
        <v>6685</v>
      </c>
      <c r="D1310">
        <v>6271.62</v>
      </c>
      <c r="E1310">
        <v>6615.29</v>
      </c>
      <c r="F1310">
        <v>36230.452264</v>
      </c>
      <c r="G1310">
        <v>4</v>
      </c>
      <c r="L1310" t="s">
        <v>8</v>
      </c>
      <c r="M1310" t="s">
        <v>7</v>
      </c>
      <c r="N1310" t="s">
        <v>7</v>
      </c>
      <c r="P1310">
        <f t="shared" si="1045"/>
        <v>0.66273162707436251</v>
      </c>
      <c r="Q1310">
        <f t="shared" si="1046"/>
        <v>24011.066578560742</v>
      </c>
      <c r="R1310">
        <f t="shared" si="1047"/>
        <v>426167.6036374236</v>
      </c>
      <c r="S1310">
        <f t="shared" si="1048"/>
        <v>4.2616760363742356</v>
      </c>
      <c r="T1310">
        <f t="shared" si="1049"/>
        <v>4.2616760363742359E-3</v>
      </c>
    </row>
    <row r="1311" spans="1:20" x14ac:dyDescent="0.25">
      <c r="A1311" s="5">
        <v>43282</v>
      </c>
      <c r="B1311">
        <v>6391.08</v>
      </c>
      <c r="C1311">
        <v>6441.06</v>
      </c>
      <c r="D1311">
        <v>6251</v>
      </c>
      <c r="E1311">
        <v>6356.81</v>
      </c>
      <c r="F1311">
        <v>27562.965973999999</v>
      </c>
      <c r="G1311">
        <v>-0.54</v>
      </c>
      <c r="L1311" t="s">
        <v>8</v>
      </c>
      <c r="M1311" t="s">
        <v>7</v>
      </c>
      <c r="N1311" t="s">
        <v>7</v>
      </c>
      <c r="P1311">
        <f t="shared" si="1045"/>
        <v>0.11343786172787727</v>
      </c>
      <c r="Q1311">
        <f t="shared" si="1046"/>
        <v>3126.683922968798</v>
      </c>
      <c r="R1311">
        <f t="shared" si="1047"/>
        <v>402156.53705886286</v>
      </c>
      <c r="S1311">
        <f t="shared" si="1048"/>
        <v>4.021565370588629</v>
      </c>
      <c r="T1311">
        <f t="shared" si="1049"/>
        <v>4.0215653705886287E-3</v>
      </c>
    </row>
    <row r="1312" spans="1:20" x14ac:dyDescent="0.25">
      <c r="A1312" s="5">
        <v>43281</v>
      </c>
      <c r="B1312">
        <v>6197.92</v>
      </c>
      <c r="C1312">
        <v>6528.99</v>
      </c>
      <c r="D1312">
        <v>6186.03</v>
      </c>
      <c r="E1312">
        <v>6390.07</v>
      </c>
      <c r="F1312">
        <v>37919.612840000002</v>
      </c>
      <c r="G1312">
        <v>3.1</v>
      </c>
      <c r="L1312" t="s">
        <v>8</v>
      </c>
      <c r="M1312" t="s">
        <v>7</v>
      </c>
      <c r="N1312" t="s">
        <v>7</v>
      </c>
      <c r="P1312">
        <f t="shared" si="1045"/>
        <v>0.18987637042220634</v>
      </c>
      <c r="Q1312">
        <f t="shared" si="1046"/>
        <v>7200.038453874492</v>
      </c>
      <c r="R1312">
        <f t="shared" si="1047"/>
        <v>399029.85313589405</v>
      </c>
      <c r="S1312">
        <f t="shared" si="1048"/>
        <v>3.9902985313589405</v>
      </c>
      <c r="T1312">
        <f t="shared" si="1049"/>
        <v>3.9902985313589401E-3</v>
      </c>
    </row>
    <row r="1313" spans="1:20" x14ac:dyDescent="0.25">
      <c r="A1313" s="5">
        <v>43280</v>
      </c>
      <c r="B1313">
        <v>5851.01</v>
      </c>
      <c r="C1313">
        <v>6300</v>
      </c>
      <c r="D1313">
        <v>5780</v>
      </c>
      <c r="E1313">
        <v>6197.92</v>
      </c>
      <c r="F1313">
        <v>33911.287278000003</v>
      </c>
      <c r="G1313">
        <v>5.93</v>
      </c>
      <c r="L1313" t="s">
        <v>8</v>
      </c>
      <c r="M1313" t="s">
        <v>7</v>
      </c>
      <c r="N1313" t="s">
        <v>7</v>
      </c>
      <c r="P1313">
        <f t="shared" si="1045"/>
        <v>0.60738461538461563</v>
      </c>
      <c r="Q1313">
        <f t="shared" si="1046"/>
        <v>20597.194180545241</v>
      </c>
      <c r="R1313">
        <f t="shared" si="1047"/>
        <v>391829.81468201958</v>
      </c>
      <c r="S1313">
        <f t="shared" si="1048"/>
        <v>3.9182981468201956</v>
      </c>
      <c r="T1313">
        <f t="shared" si="1049"/>
        <v>3.9182981468201955E-3</v>
      </c>
    </row>
    <row r="1314" spans="1:20" x14ac:dyDescent="0.25">
      <c r="A1314" s="5">
        <v>43279</v>
      </c>
      <c r="B1314">
        <v>6134.73</v>
      </c>
      <c r="C1314">
        <v>6173.01</v>
      </c>
      <c r="D1314">
        <v>5827</v>
      </c>
      <c r="E1314">
        <v>5853.98</v>
      </c>
      <c r="F1314">
        <v>30585.266026000001</v>
      </c>
      <c r="G1314">
        <v>-4.58</v>
      </c>
      <c r="L1314" t="s">
        <v>7</v>
      </c>
      <c r="M1314" t="s">
        <v>7</v>
      </c>
      <c r="N1314" t="s">
        <v>7</v>
      </c>
      <c r="P1314">
        <f t="shared" si="1045"/>
        <v>-0.84405074997832696</v>
      </c>
      <c r="Q1314">
        <f t="shared" si="1046"/>
        <v>-25815.516727531944</v>
      </c>
      <c r="R1314">
        <f t="shared" si="1047"/>
        <v>371232.62050147436</v>
      </c>
      <c r="S1314">
        <f t="shared" si="1048"/>
        <v>3.7123262050147434</v>
      </c>
      <c r="T1314">
        <f t="shared" si="1049"/>
        <v>3.7123262050147436E-3</v>
      </c>
    </row>
    <row r="1315" spans="1:20" x14ac:dyDescent="0.25">
      <c r="A1315" s="5">
        <v>43278</v>
      </c>
      <c r="B1315">
        <v>6065.89</v>
      </c>
      <c r="C1315">
        <v>6190.43</v>
      </c>
      <c r="D1315">
        <v>5971</v>
      </c>
      <c r="E1315">
        <v>6133.73</v>
      </c>
      <c r="F1315">
        <v>19225.671097999999</v>
      </c>
      <c r="G1315">
        <v>1.1200000000000001</v>
      </c>
      <c r="L1315" t="s">
        <v>8</v>
      </c>
      <c r="M1315" t="s">
        <v>7</v>
      </c>
      <c r="N1315" t="s">
        <v>7</v>
      </c>
      <c r="P1315">
        <f t="shared" si="1045"/>
        <v>0.48320648954107775</v>
      </c>
      <c r="Q1315">
        <f t="shared" si="1046"/>
        <v>9289.9690403359382</v>
      </c>
      <c r="R1315">
        <f t="shared" si="1047"/>
        <v>397048.13722900633</v>
      </c>
      <c r="S1315">
        <f t="shared" si="1048"/>
        <v>3.9704813722900631</v>
      </c>
      <c r="T1315">
        <f t="shared" si="1049"/>
        <v>3.970481372290063E-3</v>
      </c>
    </row>
    <row r="1316" spans="1:20" x14ac:dyDescent="0.25">
      <c r="A1316" s="5">
        <v>43277</v>
      </c>
      <c r="B1316">
        <v>6252</v>
      </c>
      <c r="C1316">
        <v>6272.54</v>
      </c>
      <c r="D1316">
        <v>6035</v>
      </c>
      <c r="E1316">
        <v>6070.78</v>
      </c>
      <c r="F1316">
        <v>19377.240484000002</v>
      </c>
      <c r="G1316">
        <v>-2.9</v>
      </c>
      <c r="L1316" t="s">
        <v>8</v>
      </c>
      <c r="M1316" t="s">
        <v>7</v>
      </c>
      <c r="N1316" t="s">
        <v>7</v>
      </c>
      <c r="P1316">
        <f t="shared" si="1045"/>
        <v>-0.69874547444641111</v>
      </c>
      <c r="Q1316">
        <f t="shared" si="1046"/>
        <v>-13539.759095454787</v>
      </c>
      <c r="R1316">
        <f t="shared" si="1047"/>
        <v>387758.16818867042</v>
      </c>
      <c r="S1316">
        <f t="shared" si="1048"/>
        <v>3.8775816818867042</v>
      </c>
      <c r="T1316">
        <f t="shared" si="1049"/>
        <v>3.877581681886704E-3</v>
      </c>
    </row>
    <row r="1317" spans="1:20" x14ac:dyDescent="0.25">
      <c r="A1317" s="5">
        <v>43276</v>
      </c>
      <c r="B1317">
        <v>6137.95</v>
      </c>
      <c r="C1317">
        <v>6350</v>
      </c>
      <c r="D1317">
        <v>6061.97</v>
      </c>
      <c r="E1317">
        <v>6252</v>
      </c>
      <c r="F1317">
        <v>39164.515306000001</v>
      </c>
      <c r="G1317">
        <v>1.86</v>
      </c>
      <c r="L1317" t="s">
        <v>8</v>
      </c>
      <c r="M1317" t="s">
        <v>7</v>
      </c>
      <c r="N1317" t="s">
        <v>7</v>
      </c>
      <c r="P1317">
        <f t="shared" si="1045"/>
        <v>0.31951532826441631</v>
      </c>
      <c r="Q1317">
        <f t="shared" si="1046"/>
        <v>12513.662964313347</v>
      </c>
      <c r="R1317">
        <f t="shared" si="1047"/>
        <v>401297.92728412518</v>
      </c>
      <c r="S1317">
        <f t="shared" si="1048"/>
        <v>4.0129792728412514</v>
      </c>
      <c r="T1317">
        <f t="shared" si="1049"/>
        <v>4.0129792728412512E-3</v>
      </c>
    </row>
    <row r="1318" spans="1:20" x14ac:dyDescent="0.25">
      <c r="A1318" s="5">
        <v>43275</v>
      </c>
      <c r="B1318">
        <v>6149.98</v>
      </c>
      <c r="C1318">
        <v>6259.8</v>
      </c>
      <c r="D1318">
        <v>5750</v>
      </c>
      <c r="E1318">
        <v>6136.97</v>
      </c>
      <c r="F1318">
        <v>47445.998955000003</v>
      </c>
      <c r="G1318">
        <v>-0.21</v>
      </c>
      <c r="L1318" t="s">
        <v>7</v>
      </c>
      <c r="M1318" t="s">
        <v>7</v>
      </c>
      <c r="N1318" t="s">
        <v>7</v>
      </c>
      <c r="P1318">
        <f t="shared" si="1045"/>
        <v>0.51812475480580666</v>
      </c>
      <c r="Q1318">
        <f t="shared" si="1046"/>
        <v>24582.946575075937</v>
      </c>
      <c r="R1318">
        <f t="shared" si="1047"/>
        <v>388784.26431981183</v>
      </c>
      <c r="S1318">
        <f t="shared" si="1048"/>
        <v>3.8878426431981183</v>
      </c>
      <c r="T1318">
        <f t="shared" si="1049"/>
        <v>3.8878426431981183E-3</v>
      </c>
    </row>
    <row r="1319" spans="1:20" x14ac:dyDescent="0.25">
      <c r="A1319" s="5">
        <v>43274</v>
      </c>
      <c r="B1319">
        <v>6045.92</v>
      </c>
      <c r="C1319">
        <v>6260</v>
      </c>
      <c r="D1319">
        <v>6008.48</v>
      </c>
      <c r="E1319">
        <v>6149.98</v>
      </c>
      <c r="F1319">
        <v>26622.788589</v>
      </c>
      <c r="G1319">
        <v>1.72</v>
      </c>
      <c r="L1319" t="s">
        <v>7</v>
      </c>
      <c r="M1319" t="s">
        <v>7</v>
      </c>
      <c r="N1319" t="s">
        <v>7</v>
      </c>
      <c r="P1319">
        <f t="shared" si="1045"/>
        <v>0.12515903307887846</v>
      </c>
      <c r="Q1319">
        <f t="shared" si="1046"/>
        <v>3332.0824776626391</v>
      </c>
      <c r="R1319">
        <f t="shared" si="1047"/>
        <v>364201.31774473592</v>
      </c>
      <c r="S1319">
        <f t="shared" si="1048"/>
        <v>3.642013177447359</v>
      </c>
      <c r="T1319">
        <f t="shared" si="1049"/>
        <v>3.6420131774473588E-3</v>
      </c>
    </row>
    <row r="1320" spans="1:20" x14ac:dyDescent="0.25">
      <c r="A1320" s="5">
        <v>43273</v>
      </c>
      <c r="B1320">
        <v>6717.69</v>
      </c>
      <c r="C1320">
        <v>6733.97</v>
      </c>
      <c r="D1320">
        <v>5918.94</v>
      </c>
      <c r="E1320">
        <v>6045</v>
      </c>
      <c r="F1320">
        <v>52157.370833000001</v>
      </c>
      <c r="G1320">
        <v>-10.01</v>
      </c>
      <c r="L1320" t="s">
        <v>7</v>
      </c>
      <c r="M1320" t="s">
        <v>7</v>
      </c>
      <c r="N1320" t="s">
        <v>7</v>
      </c>
      <c r="P1320">
        <f t="shared" si="1045"/>
        <v>-0.69066169343459671</v>
      </c>
      <c r="Q1320">
        <f t="shared" si="1046"/>
        <v>-36023.098064616024</v>
      </c>
      <c r="R1320">
        <f t="shared" si="1047"/>
        <v>360869.23526707327</v>
      </c>
      <c r="S1320">
        <f t="shared" si="1048"/>
        <v>3.6086923526707326</v>
      </c>
      <c r="T1320">
        <f t="shared" si="1049"/>
        <v>3.6086923526707326E-3</v>
      </c>
    </row>
    <row r="1321" spans="1:20" x14ac:dyDescent="0.25">
      <c r="A1321" s="5">
        <v>43272</v>
      </c>
      <c r="B1321">
        <v>6763.21</v>
      </c>
      <c r="C1321">
        <v>6795</v>
      </c>
      <c r="D1321">
        <v>6672.57</v>
      </c>
      <c r="E1321">
        <v>6718.84</v>
      </c>
      <c r="F1321">
        <v>25428.854048000001</v>
      </c>
      <c r="G1321">
        <v>-0.66</v>
      </c>
      <c r="L1321" t="s">
        <v>8</v>
      </c>
      <c r="M1321" t="s">
        <v>7</v>
      </c>
      <c r="N1321" t="s">
        <v>7</v>
      </c>
      <c r="P1321">
        <f t="shared" si="1045"/>
        <v>-0.24413950829044634</v>
      </c>
      <c r="Q1321">
        <f t="shared" si="1046"/>
        <v>-6208.1879236682462</v>
      </c>
      <c r="R1321">
        <f t="shared" si="1047"/>
        <v>396892.3333316893</v>
      </c>
      <c r="S1321">
        <f t="shared" si="1048"/>
        <v>3.968923333316893</v>
      </c>
      <c r="T1321">
        <f t="shared" si="1049"/>
        <v>3.9689233333168933E-3</v>
      </c>
    </row>
    <row r="1322" spans="1:20" x14ac:dyDescent="0.25">
      <c r="A1322" s="5">
        <v>43271</v>
      </c>
      <c r="B1322">
        <v>6740</v>
      </c>
      <c r="C1322">
        <v>6817.23</v>
      </c>
      <c r="D1322">
        <v>6551.81</v>
      </c>
      <c r="E1322">
        <v>6761.51</v>
      </c>
      <c r="F1322">
        <v>26359.752452000001</v>
      </c>
      <c r="G1322">
        <v>0.32</v>
      </c>
      <c r="L1322" t="s">
        <v>8</v>
      </c>
      <c r="M1322" t="s">
        <v>7</v>
      </c>
      <c r="N1322" t="s">
        <v>7</v>
      </c>
      <c r="P1322">
        <f t="shared" si="1045"/>
        <v>0.58013714113480885</v>
      </c>
      <c r="Q1322">
        <f t="shared" si="1046"/>
        <v>15292.271428524547</v>
      </c>
      <c r="R1322">
        <f t="shared" si="1047"/>
        <v>403100.52125535754</v>
      </c>
      <c r="S1322">
        <f t="shared" si="1048"/>
        <v>4.0310052125535751</v>
      </c>
      <c r="T1322">
        <f t="shared" si="1049"/>
        <v>4.0310052125535753E-3</v>
      </c>
    </row>
    <row r="1323" spans="1:20" x14ac:dyDescent="0.25">
      <c r="A1323" s="5">
        <v>43270</v>
      </c>
      <c r="B1323">
        <v>6711.39</v>
      </c>
      <c r="C1323">
        <v>6841.74</v>
      </c>
      <c r="D1323">
        <v>6653</v>
      </c>
      <c r="E1323">
        <v>6741.21</v>
      </c>
      <c r="F1323">
        <v>24311.421143</v>
      </c>
      <c r="G1323">
        <v>0.44</v>
      </c>
      <c r="L1323" t="s">
        <v>8</v>
      </c>
      <c r="M1323" t="s">
        <v>7</v>
      </c>
      <c r="N1323" t="s">
        <v>7</v>
      </c>
      <c r="P1323">
        <f t="shared" si="1045"/>
        <v>-6.5274981455969716E-2</v>
      </c>
      <c r="Q1323">
        <f t="shared" si="1046"/>
        <v>-1586.9275642775951</v>
      </c>
      <c r="R1323">
        <f t="shared" si="1047"/>
        <v>387808.24982683297</v>
      </c>
      <c r="S1323">
        <f t="shared" si="1048"/>
        <v>3.8780824982683297</v>
      </c>
      <c r="T1323">
        <f t="shared" si="1049"/>
        <v>3.87808249826833E-3</v>
      </c>
    </row>
    <row r="1324" spans="1:20" x14ac:dyDescent="0.25">
      <c r="A1324" s="5">
        <v>43269</v>
      </c>
      <c r="B1324">
        <v>6444.06</v>
      </c>
      <c r="C1324">
        <v>6794.38</v>
      </c>
      <c r="D1324">
        <v>6380</v>
      </c>
      <c r="E1324">
        <v>6712.46</v>
      </c>
      <c r="F1324">
        <v>31821.434995</v>
      </c>
      <c r="G1324">
        <v>4.17</v>
      </c>
      <c r="L1324" t="s">
        <v>8</v>
      </c>
      <c r="M1324" t="s">
        <v>7</v>
      </c>
      <c r="N1324" t="s">
        <v>7</v>
      </c>
      <c r="P1324">
        <f t="shared" si="1045"/>
        <v>0.60461412230319966</v>
      </c>
      <c r="Q1324">
        <f t="shared" si="1046"/>
        <v>19239.688989930248</v>
      </c>
      <c r="R1324">
        <f t="shared" si="1047"/>
        <v>389395.17739111057</v>
      </c>
      <c r="S1324">
        <f t="shared" si="1048"/>
        <v>3.8939517739111058</v>
      </c>
      <c r="T1324">
        <f t="shared" si="1049"/>
        <v>3.8939517739111059E-3</v>
      </c>
    </row>
    <row r="1325" spans="1:20" x14ac:dyDescent="0.25">
      <c r="A1325" s="5">
        <v>43268</v>
      </c>
      <c r="B1325">
        <v>6482.5</v>
      </c>
      <c r="C1325">
        <v>6589.03</v>
      </c>
      <c r="D1325">
        <v>6422</v>
      </c>
      <c r="E1325">
        <v>6449.61</v>
      </c>
      <c r="F1325">
        <v>19847.247687999999</v>
      </c>
      <c r="G1325">
        <v>-0.51</v>
      </c>
      <c r="L1325" t="s">
        <v>7</v>
      </c>
      <c r="M1325" t="s">
        <v>7</v>
      </c>
      <c r="N1325" t="s">
        <v>7</v>
      </c>
      <c r="P1325">
        <f t="shared" si="1045"/>
        <v>-0.66940070645992078</v>
      </c>
      <c r="Q1325">
        <f t="shared" si="1046"/>
        <v>-13285.761623632228</v>
      </c>
      <c r="R1325">
        <f t="shared" si="1047"/>
        <v>370155.48840118031</v>
      </c>
      <c r="S1325">
        <f t="shared" si="1048"/>
        <v>3.7015548840118031</v>
      </c>
      <c r="T1325">
        <f t="shared" si="1049"/>
        <v>3.7015548840118031E-3</v>
      </c>
    </row>
    <row r="1326" spans="1:20" x14ac:dyDescent="0.25">
      <c r="A1326" s="5">
        <v>43267</v>
      </c>
      <c r="B1326">
        <v>6380.01</v>
      </c>
      <c r="C1326">
        <v>6560</v>
      </c>
      <c r="D1326">
        <v>6320.86</v>
      </c>
      <c r="E1326">
        <v>6483.98</v>
      </c>
      <c r="F1326">
        <v>22277.241147000001</v>
      </c>
      <c r="G1326">
        <v>1.63</v>
      </c>
      <c r="L1326" t="s">
        <v>7</v>
      </c>
      <c r="M1326" t="s">
        <v>7</v>
      </c>
      <c r="N1326" t="s">
        <v>7</v>
      </c>
      <c r="P1326">
        <f t="shared" si="1045"/>
        <v>0.36422179476457028</v>
      </c>
      <c r="Q1326">
        <f t="shared" si="1046"/>
        <v>8113.8567529634747</v>
      </c>
      <c r="R1326">
        <f t="shared" si="1047"/>
        <v>383441.25002481253</v>
      </c>
      <c r="S1326">
        <f t="shared" si="1048"/>
        <v>3.8344125002481251</v>
      </c>
      <c r="T1326">
        <f t="shared" si="1049"/>
        <v>3.8344125002481252E-3</v>
      </c>
    </row>
    <row r="1327" spans="1:20" x14ac:dyDescent="0.25">
      <c r="A1327" s="5">
        <v>43266</v>
      </c>
      <c r="B1327">
        <v>6638.67</v>
      </c>
      <c r="C1327">
        <v>6666.66</v>
      </c>
      <c r="D1327">
        <v>6362.31</v>
      </c>
      <c r="E1327">
        <v>6388.9</v>
      </c>
      <c r="F1327">
        <v>30018.329904999999</v>
      </c>
      <c r="G1327">
        <v>-3.76</v>
      </c>
      <c r="L1327" t="s">
        <v>8</v>
      </c>
      <c r="M1327" t="s">
        <v>7</v>
      </c>
      <c r="N1327" t="s">
        <v>7</v>
      </c>
      <c r="P1327">
        <f t="shared" si="1045"/>
        <v>-0.82526696237884489</v>
      </c>
      <c r="Q1327">
        <f t="shared" si="1046"/>
        <v>-24773.135936385388</v>
      </c>
      <c r="R1327">
        <f t="shared" si="1047"/>
        <v>375327.39327184903</v>
      </c>
      <c r="S1327">
        <f t="shared" si="1048"/>
        <v>3.7532739327184901</v>
      </c>
      <c r="T1327">
        <f t="shared" si="1049"/>
        <v>3.7532739327184902E-3</v>
      </c>
    </row>
    <row r="1328" spans="1:20" x14ac:dyDescent="0.25">
      <c r="A1328" s="5">
        <v>43265</v>
      </c>
      <c r="B1328">
        <v>6292.78</v>
      </c>
      <c r="C1328">
        <v>6720</v>
      </c>
      <c r="D1328">
        <v>6260</v>
      </c>
      <c r="E1328">
        <v>6635.98</v>
      </c>
      <c r="F1328">
        <v>44478.130836999997</v>
      </c>
      <c r="G1328">
        <v>5.45</v>
      </c>
      <c r="L1328" t="s">
        <v>8</v>
      </c>
      <c r="M1328" t="s">
        <v>7</v>
      </c>
      <c r="N1328" t="s">
        <v>7</v>
      </c>
      <c r="P1328">
        <f t="shared" si="1045"/>
        <v>0.63469565217391111</v>
      </c>
      <c r="Q1328">
        <f t="shared" si="1046"/>
        <v>28230.07625906626</v>
      </c>
      <c r="R1328">
        <f t="shared" si="1047"/>
        <v>400100.52920823439</v>
      </c>
      <c r="S1328">
        <f t="shared" si="1048"/>
        <v>4.0010052920823442</v>
      </c>
      <c r="T1328">
        <f t="shared" si="1049"/>
        <v>4.0010052920823446E-3</v>
      </c>
    </row>
    <row r="1329" spans="1:20" x14ac:dyDescent="0.25">
      <c r="A1329" s="5">
        <v>43264</v>
      </c>
      <c r="B1329">
        <v>6530</v>
      </c>
      <c r="C1329">
        <v>6627.6</v>
      </c>
      <c r="D1329">
        <v>6118.68</v>
      </c>
      <c r="E1329">
        <v>6292.78</v>
      </c>
      <c r="F1329">
        <v>46185.518100000001</v>
      </c>
      <c r="G1329">
        <v>-3.63</v>
      </c>
      <c r="L1329" t="s">
        <v>7</v>
      </c>
      <c r="M1329" t="s">
        <v>7</v>
      </c>
      <c r="N1329" t="s">
        <v>7</v>
      </c>
      <c r="P1329">
        <f t="shared" si="1045"/>
        <v>-0.31580602059262974</v>
      </c>
      <c r="Q1329">
        <f t="shared" si="1046"/>
        <v>-14585.664680169873</v>
      </c>
      <c r="R1329">
        <f t="shared" si="1047"/>
        <v>371870.45294916816</v>
      </c>
      <c r="S1329">
        <f t="shared" si="1048"/>
        <v>3.7187045294916814</v>
      </c>
      <c r="T1329">
        <f t="shared" si="1049"/>
        <v>3.7187045294916816E-3</v>
      </c>
    </row>
    <row r="1330" spans="1:20" x14ac:dyDescent="0.25">
      <c r="A1330" s="5">
        <v>43263</v>
      </c>
      <c r="B1330">
        <v>6872</v>
      </c>
      <c r="C1330">
        <v>6890.51</v>
      </c>
      <c r="D1330">
        <v>6435</v>
      </c>
      <c r="E1330">
        <v>6530</v>
      </c>
      <c r="F1330">
        <v>36722.211191000002</v>
      </c>
      <c r="G1330">
        <v>-4.9800000000000004</v>
      </c>
      <c r="L1330" t="s">
        <v>7</v>
      </c>
      <c r="M1330" t="s">
        <v>7</v>
      </c>
      <c r="N1330" t="s">
        <v>7</v>
      </c>
      <c r="P1330">
        <f t="shared" si="1045"/>
        <v>-0.5828851177800709</v>
      </c>
      <c r="Q1330">
        <f t="shared" si="1046"/>
        <v>-21404.830395210673</v>
      </c>
      <c r="R1330">
        <f t="shared" si="1047"/>
        <v>386456.11762933806</v>
      </c>
      <c r="S1330">
        <f t="shared" si="1048"/>
        <v>3.8645611762933805</v>
      </c>
      <c r="T1330">
        <f t="shared" si="1049"/>
        <v>3.8645611762933804E-3</v>
      </c>
    </row>
    <row r="1331" spans="1:20" x14ac:dyDescent="0.25">
      <c r="A1331" s="5">
        <v>43262</v>
      </c>
      <c r="B1331">
        <v>6765</v>
      </c>
      <c r="C1331">
        <v>6922</v>
      </c>
      <c r="D1331">
        <v>6610</v>
      </c>
      <c r="E1331">
        <v>6872</v>
      </c>
      <c r="F1331">
        <v>34552.162302999997</v>
      </c>
      <c r="G1331">
        <v>1.58</v>
      </c>
      <c r="L1331" t="s">
        <v>7</v>
      </c>
      <c r="M1331" t="s">
        <v>7</v>
      </c>
      <c r="N1331" t="s">
        <v>7</v>
      </c>
      <c r="P1331">
        <f t="shared" si="1045"/>
        <v>0.67948717948717952</v>
      </c>
      <c r="Q1331">
        <f t="shared" si="1046"/>
        <v>23477.751308448718</v>
      </c>
      <c r="R1331">
        <f t="shared" si="1047"/>
        <v>407860.94802454871</v>
      </c>
      <c r="S1331">
        <f t="shared" si="1048"/>
        <v>4.0786094802454871</v>
      </c>
      <c r="T1331">
        <f t="shared" si="1049"/>
        <v>4.078609480245487E-3</v>
      </c>
    </row>
    <row r="1332" spans="1:20" x14ac:dyDescent="0.25">
      <c r="A1332" s="5">
        <v>43261</v>
      </c>
      <c r="B1332">
        <v>7491.73</v>
      </c>
      <c r="C1332">
        <v>7491.73</v>
      </c>
      <c r="D1332">
        <v>6622.81</v>
      </c>
      <c r="E1332">
        <v>6764.99</v>
      </c>
      <c r="F1332">
        <v>52342.020032</v>
      </c>
      <c r="G1332">
        <v>-9.6999999999999993</v>
      </c>
      <c r="L1332" t="s">
        <v>7</v>
      </c>
      <c r="M1332" t="s">
        <v>7</v>
      </c>
      <c r="N1332" t="s">
        <v>7</v>
      </c>
      <c r="P1332">
        <f t="shared" si="1045"/>
        <v>-0.67274317543617479</v>
      </c>
      <c r="Q1332">
        <f t="shared" si="1046"/>
        <v>-35212.736765071553</v>
      </c>
      <c r="R1332">
        <f t="shared" si="1047"/>
        <v>384383.19671609998</v>
      </c>
      <c r="S1332">
        <f t="shared" si="1048"/>
        <v>3.843831967161</v>
      </c>
      <c r="T1332">
        <f t="shared" si="1049"/>
        <v>3.843831967161E-3</v>
      </c>
    </row>
    <row r="1333" spans="1:20" x14ac:dyDescent="0.25">
      <c r="A1333" s="5">
        <v>43260</v>
      </c>
      <c r="B1333">
        <v>7603.44</v>
      </c>
      <c r="C1333">
        <v>7683.98</v>
      </c>
      <c r="D1333">
        <v>7450</v>
      </c>
      <c r="E1333">
        <v>7491.73</v>
      </c>
      <c r="F1333">
        <v>19339.885176</v>
      </c>
      <c r="G1333">
        <v>-1.47</v>
      </c>
      <c r="L1333" t="s">
        <v>8</v>
      </c>
      <c r="M1333" t="s">
        <v>7</v>
      </c>
      <c r="N1333" t="s">
        <v>7</v>
      </c>
      <c r="P1333">
        <f t="shared" si="1045"/>
        <v>-0.64330284639713098</v>
      </c>
      <c r="Q1333">
        <f t="shared" si="1046"/>
        <v>-12441.403182714479</v>
      </c>
      <c r="R1333">
        <f t="shared" si="1047"/>
        <v>419595.93348117155</v>
      </c>
      <c r="S1333">
        <f t="shared" si="1048"/>
        <v>4.1959593348117155</v>
      </c>
      <c r="T1333">
        <f t="shared" si="1049"/>
        <v>4.1959593348117157E-3</v>
      </c>
    </row>
    <row r="1334" spans="1:20" x14ac:dyDescent="0.25">
      <c r="A1334" s="5">
        <v>43259</v>
      </c>
      <c r="B1334">
        <v>7691.08</v>
      </c>
      <c r="C1334">
        <v>7703.5</v>
      </c>
      <c r="D1334">
        <v>7531</v>
      </c>
      <c r="E1334">
        <v>7603.44</v>
      </c>
      <c r="F1334">
        <v>23396.804671000002</v>
      </c>
      <c r="G1334">
        <v>-1.1399999999999999</v>
      </c>
      <c r="L1334" t="s">
        <v>8</v>
      </c>
      <c r="M1334" t="s">
        <v>7</v>
      </c>
      <c r="N1334" t="s">
        <v>7</v>
      </c>
      <c r="P1334">
        <f t="shared" si="1045"/>
        <v>-0.16011594202899015</v>
      </c>
      <c r="Q1334">
        <f t="shared" si="1046"/>
        <v>-3746.2014203654421</v>
      </c>
      <c r="R1334">
        <f t="shared" si="1047"/>
        <v>432037.33666388603</v>
      </c>
      <c r="S1334">
        <f t="shared" si="1048"/>
        <v>4.3203733666388606</v>
      </c>
      <c r="T1334">
        <f t="shared" si="1049"/>
        <v>4.3203733666388605E-3</v>
      </c>
    </row>
    <row r="1335" spans="1:20" x14ac:dyDescent="0.25">
      <c r="A1335" s="5">
        <v>43258</v>
      </c>
      <c r="B1335">
        <v>7658.79</v>
      </c>
      <c r="C1335">
        <v>7765</v>
      </c>
      <c r="D1335">
        <v>7620</v>
      </c>
      <c r="E1335">
        <v>7691.08</v>
      </c>
      <c r="F1335">
        <v>25062.227201999998</v>
      </c>
      <c r="G1335">
        <v>0.42</v>
      </c>
      <c r="L1335" t="s">
        <v>8</v>
      </c>
      <c r="M1335" t="s">
        <v>7</v>
      </c>
      <c r="N1335" t="s">
        <v>7</v>
      </c>
      <c r="P1335">
        <f t="shared" si="1045"/>
        <v>-1.9586206896552726E-2</v>
      </c>
      <c r="Q1335">
        <f t="shared" si="1046"/>
        <v>-490.87396726678372</v>
      </c>
      <c r="R1335">
        <f t="shared" si="1047"/>
        <v>435783.53808425146</v>
      </c>
      <c r="S1335">
        <f t="shared" si="1048"/>
        <v>4.3578353808425145</v>
      </c>
      <c r="T1335">
        <f t="shared" si="1049"/>
        <v>4.3578353808425146E-3</v>
      </c>
    </row>
    <row r="1336" spans="1:20" x14ac:dyDescent="0.25">
      <c r="A1336" s="5">
        <v>43257</v>
      </c>
      <c r="B1336">
        <v>7626.64</v>
      </c>
      <c r="C1336">
        <v>7699</v>
      </c>
      <c r="D1336">
        <v>7467.05</v>
      </c>
      <c r="E1336">
        <v>7658.84</v>
      </c>
      <c r="F1336">
        <v>27229.991898</v>
      </c>
      <c r="G1336">
        <v>0.42</v>
      </c>
      <c r="L1336" t="s">
        <v>8</v>
      </c>
      <c r="M1336" t="s">
        <v>7</v>
      </c>
      <c r="N1336" t="s">
        <v>7</v>
      </c>
      <c r="P1336">
        <f t="shared" si="1045"/>
        <v>0.65371847380901149</v>
      </c>
      <c r="Q1336">
        <f t="shared" si="1046"/>
        <v>17800.74874539231</v>
      </c>
      <c r="R1336">
        <f t="shared" si="1047"/>
        <v>436274.41205151821</v>
      </c>
      <c r="S1336">
        <f t="shared" si="1048"/>
        <v>4.362744120515182</v>
      </c>
      <c r="T1336">
        <f t="shared" si="1049"/>
        <v>4.362744120515182E-3</v>
      </c>
    </row>
    <row r="1337" spans="1:20" x14ac:dyDescent="0.25">
      <c r="A1337" s="5">
        <v>43256</v>
      </c>
      <c r="B1337">
        <v>7487</v>
      </c>
      <c r="C1337">
        <v>7679.49</v>
      </c>
      <c r="D1337">
        <v>7358</v>
      </c>
      <c r="E1337">
        <v>7625</v>
      </c>
      <c r="F1337">
        <v>31722.973384000001</v>
      </c>
      <c r="G1337">
        <v>1.84</v>
      </c>
      <c r="L1337" t="s">
        <v>8</v>
      </c>
      <c r="M1337" t="s">
        <v>7</v>
      </c>
      <c r="N1337" t="s">
        <v>7</v>
      </c>
      <c r="P1337">
        <f t="shared" si="1045"/>
        <v>0.66101589474011746</v>
      </c>
      <c r="Q1337">
        <f t="shared" si="1046"/>
        <v>20969.389635241692</v>
      </c>
      <c r="R1337">
        <f t="shared" si="1047"/>
        <v>418473.66330612591</v>
      </c>
      <c r="S1337">
        <f t="shared" si="1048"/>
        <v>4.1847366330612594</v>
      </c>
      <c r="T1337">
        <f t="shared" si="1049"/>
        <v>4.1847366330612593E-3</v>
      </c>
    </row>
    <row r="1338" spans="1:20" x14ac:dyDescent="0.25">
      <c r="A1338" s="5">
        <v>43255</v>
      </c>
      <c r="B1338">
        <v>7714.26</v>
      </c>
      <c r="C1338">
        <v>7760.52</v>
      </c>
      <c r="D1338">
        <v>7446.5</v>
      </c>
      <c r="E1338">
        <v>7487</v>
      </c>
      <c r="F1338">
        <v>32258.835115000002</v>
      </c>
      <c r="G1338">
        <v>-2.95</v>
      </c>
      <c r="L1338" t="s">
        <v>8</v>
      </c>
      <c r="M1338" t="s">
        <v>7</v>
      </c>
      <c r="N1338" t="s">
        <v>7</v>
      </c>
      <c r="P1338">
        <f t="shared" si="1045"/>
        <v>-0.74205464620087924</v>
      </c>
      <c r="Q1338">
        <f t="shared" si="1046"/>
        <v>-23937.818478113826</v>
      </c>
      <c r="R1338">
        <f t="shared" si="1047"/>
        <v>397504.2736708842</v>
      </c>
      <c r="S1338">
        <f t="shared" si="1048"/>
        <v>3.9750427367088421</v>
      </c>
      <c r="T1338">
        <f t="shared" si="1049"/>
        <v>3.9750427367088422E-3</v>
      </c>
    </row>
    <row r="1339" spans="1:20" x14ac:dyDescent="0.25">
      <c r="A1339" s="5">
        <v>43254</v>
      </c>
      <c r="B1339">
        <v>7636.81</v>
      </c>
      <c r="C1339">
        <v>7786.69</v>
      </c>
      <c r="D1339">
        <v>7600</v>
      </c>
      <c r="E1339">
        <v>7714.26</v>
      </c>
      <c r="F1339">
        <v>27505.158951000001</v>
      </c>
      <c r="G1339">
        <v>1.01</v>
      </c>
      <c r="L1339" t="s">
        <v>8</v>
      </c>
      <c r="M1339" t="s">
        <v>7</v>
      </c>
      <c r="N1339" t="s">
        <v>7</v>
      </c>
      <c r="P1339">
        <f t="shared" si="1045"/>
        <v>0.22406127805453385</v>
      </c>
      <c r="Q1339">
        <f t="shared" si="1046"/>
        <v>6162.8410676541616</v>
      </c>
      <c r="R1339">
        <f t="shared" si="1047"/>
        <v>421442.09214899805</v>
      </c>
      <c r="S1339">
        <f t="shared" si="1048"/>
        <v>4.2144209214899808</v>
      </c>
      <c r="T1339">
        <f t="shared" si="1049"/>
        <v>4.2144209214899806E-3</v>
      </c>
    </row>
    <row r="1340" spans="1:20" x14ac:dyDescent="0.25">
      <c r="A1340" s="5">
        <v>43253</v>
      </c>
      <c r="B1340">
        <v>7521.01</v>
      </c>
      <c r="C1340">
        <v>7697.33</v>
      </c>
      <c r="D1340">
        <v>7437</v>
      </c>
      <c r="E1340">
        <v>7640.03</v>
      </c>
      <c r="F1340">
        <v>26720.690219</v>
      </c>
      <c r="G1340">
        <v>1.58</v>
      </c>
      <c r="L1340" t="s">
        <v>8</v>
      </c>
      <c r="M1340" t="s">
        <v>7</v>
      </c>
      <c r="N1340" t="s">
        <v>7</v>
      </c>
      <c r="P1340">
        <f t="shared" si="1045"/>
        <v>0.5597894979449145</v>
      </c>
      <c r="Q1340">
        <f t="shared" si="1046"/>
        <v>14957.961762435598</v>
      </c>
      <c r="R1340">
        <f t="shared" si="1047"/>
        <v>415279.25108134391</v>
      </c>
      <c r="S1340">
        <f t="shared" si="1048"/>
        <v>4.1527925108134394</v>
      </c>
      <c r="T1340">
        <f t="shared" si="1049"/>
        <v>4.1527925108134391E-3</v>
      </c>
    </row>
    <row r="1341" spans="1:20" x14ac:dyDescent="0.25">
      <c r="A1341" s="5">
        <v>43252</v>
      </c>
      <c r="B1341">
        <v>7485.01</v>
      </c>
      <c r="C1341">
        <v>7608.55</v>
      </c>
      <c r="D1341">
        <v>7355.54</v>
      </c>
      <c r="E1341">
        <v>7521.01</v>
      </c>
      <c r="F1341">
        <v>28259.124078000001</v>
      </c>
      <c r="G1341">
        <v>0.48</v>
      </c>
      <c r="L1341" t="s">
        <v>8</v>
      </c>
      <c r="M1341" t="s">
        <v>7</v>
      </c>
      <c r="N1341" t="s">
        <v>7</v>
      </c>
      <c r="P1341">
        <f t="shared" si="1045"/>
        <v>0.30801154104580936</v>
      </c>
      <c r="Q1341">
        <f t="shared" si="1046"/>
        <v>8704.1363558695175</v>
      </c>
      <c r="R1341">
        <f t="shared" si="1047"/>
        <v>400321.2893189083</v>
      </c>
      <c r="S1341">
        <f t="shared" si="1048"/>
        <v>4.0032128931890831</v>
      </c>
      <c r="T1341">
        <f t="shared" si="1049"/>
        <v>4.0032128931890834E-3</v>
      </c>
    </row>
    <row r="1342" spans="1:20" x14ac:dyDescent="0.25">
      <c r="A1342" s="5">
        <v>43251</v>
      </c>
      <c r="B1342">
        <v>7382.07</v>
      </c>
      <c r="C1342">
        <v>7699</v>
      </c>
      <c r="D1342">
        <v>7327.51</v>
      </c>
      <c r="E1342">
        <v>7485.01</v>
      </c>
      <c r="F1342">
        <v>30776.063102</v>
      </c>
      <c r="G1342">
        <v>1.39</v>
      </c>
      <c r="L1342" t="s">
        <v>8</v>
      </c>
      <c r="M1342" t="s">
        <v>7</v>
      </c>
      <c r="N1342" t="s">
        <v>7</v>
      </c>
      <c r="P1342">
        <f t="shared" si="1045"/>
        <v>-0.1520633126059916</v>
      </c>
      <c r="Q1342">
        <f t="shared" si="1046"/>
        <v>-4679.9101042611492</v>
      </c>
      <c r="R1342">
        <f t="shared" si="1047"/>
        <v>391617.15296303877</v>
      </c>
      <c r="S1342">
        <f t="shared" si="1048"/>
        <v>3.9161715296303878</v>
      </c>
      <c r="T1342">
        <f t="shared" si="1049"/>
        <v>3.9161715296303877E-3</v>
      </c>
    </row>
    <row r="1343" spans="1:20" x14ac:dyDescent="0.25">
      <c r="A1343" s="5">
        <v>43250</v>
      </c>
      <c r="B1343">
        <v>7467.98</v>
      </c>
      <c r="C1343">
        <v>7569</v>
      </c>
      <c r="D1343">
        <v>7260.5</v>
      </c>
      <c r="E1343">
        <v>7375.96</v>
      </c>
      <c r="F1343">
        <v>32041.583622999999</v>
      </c>
      <c r="G1343">
        <v>-1.23</v>
      </c>
      <c r="L1343" t="s">
        <v>8</v>
      </c>
      <c r="M1343" t="s">
        <v>7</v>
      </c>
      <c r="N1343" t="s">
        <v>7</v>
      </c>
      <c r="P1343">
        <f t="shared" ref="P1343:P1406" si="1050">IF(C1343=D1343,0,((E1343-D1343)-(C1343-E1343))/(C1343-D1343))</f>
        <v>-0.25147487844408406</v>
      </c>
      <c r="Q1343">
        <f t="shared" ref="Q1343:Q1406" si="1051">F1343*P1343</f>
        <v>-8057.6533467498793</v>
      </c>
      <c r="R1343">
        <f t="shared" ref="R1343:R1406" si="1052">R1344+Q1343</f>
        <v>396297.0630672999</v>
      </c>
      <c r="S1343">
        <f t="shared" ref="S1343:S1406" si="1053">R1343/100000</f>
        <v>3.962970630672999</v>
      </c>
      <c r="T1343">
        <f t="shared" ref="T1343:T1406" si="1054">S1343/1000</f>
        <v>3.9629706306729988E-3</v>
      </c>
    </row>
    <row r="1344" spans="1:20" x14ac:dyDescent="0.25">
      <c r="A1344" s="5">
        <v>43249</v>
      </c>
      <c r="B1344">
        <v>7099</v>
      </c>
      <c r="C1344">
        <v>7540</v>
      </c>
      <c r="D1344">
        <v>7032.95</v>
      </c>
      <c r="E1344">
        <v>7461.29</v>
      </c>
      <c r="F1344">
        <v>39407.21183</v>
      </c>
      <c r="G1344">
        <v>5.0999999999999996</v>
      </c>
      <c r="L1344" t="s">
        <v>7</v>
      </c>
      <c r="M1344" t="s">
        <v>7</v>
      </c>
      <c r="N1344" t="s">
        <v>7</v>
      </c>
      <c r="P1344">
        <f t="shared" si="1050"/>
        <v>0.68953752095454091</v>
      </c>
      <c r="Q1344">
        <f t="shared" si="1051"/>
        <v>27172.751152988658</v>
      </c>
      <c r="R1344">
        <f t="shared" si="1052"/>
        <v>404354.71641404979</v>
      </c>
      <c r="S1344">
        <f t="shared" si="1053"/>
        <v>4.0435471641404979</v>
      </c>
      <c r="T1344">
        <f t="shared" si="1054"/>
        <v>4.0435471641404978E-3</v>
      </c>
    </row>
    <row r="1345" spans="1:20" x14ac:dyDescent="0.25">
      <c r="A1345" s="5">
        <v>43248</v>
      </c>
      <c r="B1345">
        <v>7338.99</v>
      </c>
      <c r="C1345">
        <v>7437</v>
      </c>
      <c r="D1345">
        <v>7058.02</v>
      </c>
      <c r="E1345">
        <v>7099</v>
      </c>
      <c r="F1345">
        <v>27219.438963000001</v>
      </c>
      <c r="G1345">
        <v>-3.27</v>
      </c>
      <c r="L1345" t="s">
        <v>7</v>
      </c>
      <c r="M1345" t="s">
        <v>7</v>
      </c>
      <c r="N1345" t="s">
        <v>7</v>
      </c>
      <c r="P1345">
        <f t="shared" si="1050"/>
        <v>-0.78373528946118731</v>
      </c>
      <c r="Q1345">
        <f t="shared" si="1051"/>
        <v>-21332.834874637927</v>
      </c>
      <c r="R1345">
        <f t="shared" si="1052"/>
        <v>377181.96526106115</v>
      </c>
      <c r="S1345">
        <f t="shared" si="1053"/>
        <v>3.7718196526106116</v>
      </c>
      <c r="T1345">
        <f t="shared" si="1054"/>
        <v>3.7718196526106114E-3</v>
      </c>
    </row>
    <row r="1346" spans="1:20" x14ac:dyDescent="0.25">
      <c r="A1346" s="5">
        <v>43247</v>
      </c>
      <c r="B1346">
        <v>7334</v>
      </c>
      <c r="C1346">
        <v>7400</v>
      </c>
      <c r="D1346">
        <v>7231.11</v>
      </c>
      <c r="E1346">
        <v>7338.99</v>
      </c>
      <c r="F1346">
        <v>18706.945514999999</v>
      </c>
      <c r="G1346">
        <v>7.0000000000000007E-2</v>
      </c>
      <c r="L1346" t="s">
        <v>7</v>
      </c>
      <c r="M1346" t="s">
        <v>7</v>
      </c>
      <c r="N1346" t="s">
        <v>8</v>
      </c>
      <c r="P1346">
        <f t="shared" si="1050"/>
        <v>0.27751791106637336</v>
      </c>
      <c r="Q1346">
        <f t="shared" si="1051"/>
        <v>5191.5124417552615</v>
      </c>
      <c r="R1346">
        <f t="shared" si="1052"/>
        <v>398514.8001356991</v>
      </c>
      <c r="S1346">
        <f t="shared" si="1053"/>
        <v>3.9851480013569911</v>
      </c>
      <c r="T1346">
        <f t="shared" si="1054"/>
        <v>3.9851480013569909E-3</v>
      </c>
    </row>
    <row r="1347" spans="1:20" x14ac:dyDescent="0.25">
      <c r="A1347" s="5">
        <v>43246</v>
      </c>
      <c r="B1347">
        <v>7456.99</v>
      </c>
      <c r="C1347">
        <v>7620</v>
      </c>
      <c r="D1347">
        <v>7300</v>
      </c>
      <c r="E1347">
        <v>7333.96</v>
      </c>
      <c r="F1347">
        <v>19464.086071000002</v>
      </c>
      <c r="G1347">
        <v>-1.65</v>
      </c>
      <c r="L1347" t="s">
        <v>7</v>
      </c>
      <c r="M1347" t="s">
        <v>7</v>
      </c>
      <c r="N1347" t="s">
        <v>8</v>
      </c>
      <c r="P1347">
        <f t="shared" si="1050"/>
        <v>-0.78774999999999973</v>
      </c>
      <c r="Q1347">
        <f t="shared" si="1051"/>
        <v>-15332.833802430247</v>
      </c>
      <c r="R1347">
        <f t="shared" si="1052"/>
        <v>393323.28769394383</v>
      </c>
      <c r="S1347">
        <f t="shared" si="1053"/>
        <v>3.9332328769394382</v>
      </c>
      <c r="T1347">
        <f t="shared" si="1054"/>
        <v>3.9332328769394386E-3</v>
      </c>
    </row>
    <row r="1348" spans="1:20" x14ac:dyDescent="0.25">
      <c r="A1348" s="5">
        <v>43245</v>
      </c>
      <c r="B1348">
        <v>7578.99</v>
      </c>
      <c r="C1348">
        <v>7649.55</v>
      </c>
      <c r="D1348">
        <v>7308.15</v>
      </c>
      <c r="E1348">
        <v>7457</v>
      </c>
      <c r="F1348">
        <v>26739.95664</v>
      </c>
      <c r="G1348">
        <v>-1.61</v>
      </c>
      <c r="L1348" t="s">
        <v>7</v>
      </c>
      <c r="M1348" t="s">
        <v>7</v>
      </c>
      <c r="N1348" t="s">
        <v>8</v>
      </c>
      <c r="P1348">
        <f t="shared" si="1050"/>
        <v>-0.12800234329232499</v>
      </c>
      <c r="Q1348">
        <f t="shared" si="1051"/>
        <v>-3422.7771094551649</v>
      </c>
      <c r="R1348">
        <f t="shared" si="1052"/>
        <v>408656.12149637408</v>
      </c>
      <c r="S1348">
        <f t="shared" si="1053"/>
        <v>4.0865612149637407</v>
      </c>
      <c r="T1348">
        <f t="shared" si="1054"/>
        <v>4.0865612149637411E-3</v>
      </c>
    </row>
    <row r="1349" spans="1:20" x14ac:dyDescent="0.25">
      <c r="A1349" s="5">
        <v>43244</v>
      </c>
      <c r="B1349">
        <v>7501.95</v>
      </c>
      <c r="C1349">
        <v>7730.73</v>
      </c>
      <c r="D1349">
        <v>7266.99</v>
      </c>
      <c r="E1349">
        <v>7575.01</v>
      </c>
      <c r="F1349">
        <v>37845.446595000001</v>
      </c>
      <c r="G1349">
        <v>0.97</v>
      </c>
      <c r="L1349" t="s">
        <v>7</v>
      </c>
      <c r="M1349" t="s">
        <v>7</v>
      </c>
      <c r="N1349" t="s">
        <v>8</v>
      </c>
      <c r="P1349">
        <f t="shared" si="1050"/>
        <v>0.32841678526760937</v>
      </c>
      <c r="Q1349">
        <f t="shared" si="1051"/>
        <v>12429.079907746893</v>
      </c>
      <c r="R1349">
        <f t="shared" si="1052"/>
        <v>412078.89860582922</v>
      </c>
      <c r="S1349">
        <f t="shared" si="1053"/>
        <v>4.120788986058292</v>
      </c>
      <c r="T1349">
        <f t="shared" si="1054"/>
        <v>4.1207889860582917E-3</v>
      </c>
    </row>
    <row r="1350" spans="1:20" x14ac:dyDescent="0.25">
      <c r="A1350" s="5">
        <v>43243</v>
      </c>
      <c r="B1350">
        <v>7977.12</v>
      </c>
      <c r="C1350">
        <v>8031.9</v>
      </c>
      <c r="D1350">
        <v>7425</v>
      </c>
      <c r="E1350">
        <v>7501.95</v>
      </c>
      <c r="F1350">
        <v>42910.666773999998</v>
      </c>
      <c r="G1350">
        <v>-5.96</v>
      </c>
      <c r="L1350" t="s">
        <v>7</v>
      </c>
      <c r="M1350" t="s">
        <v>7</v>
      </c>
      <c r="N1350" t="s">
        <v>8</v>
      </c>
      <c r="P1350">
        <f t="shared" si="1050"/>
        <v>-0.7464162135442417</v>
      </c>
      <c r="Q1350">
        <f t="shared" si="1051"/>
        <v>-32029.217414107778</v>
      </c>
      <c r="R1350">
        <f t="shared" si="1052"/>
        <v>399649.81869808235</v>
      </c>
      <c r="S1350">
        <f t="shared" si="1053"/>
        <v>3.9964981869808236</v>
      </c>
      <c r="T1350">
        <f t="shared" si="1054"/>
        <v>3.9964981869808234E-3</v>
      </c>
    </row>
    <row r="1351" spans="1:20" x14ac:dyDescent="0.25">
      <c r="A1351" s="5">
        <v>43242</v>
      </c>
      <c r="B1351">
        <v>8386.89</v>
      </c>
      <c r="C1351">
        <v>8400.18</v>
      </c>
      <c r="D1351">
        <v>7935.11</v>
      </c>
      <c r="E1351">
        <v>7977.11</v>
      </c>
      <c r="F1351">
        <v>23710.902858000001</v>
      </c>
      <c r="G1351">
        <v>-4.8899999999999997</v>
      </c>
      <c r="L1351" t="s">
        <v>7</v>
      </c>
      <c r="M1351" t="s">
        <v>7</v>
      </c>
      <c r="N1351" t="s">
        <v>8</v>
      </c>
      <c r="P1351">
        <f t="shared" si="1050"/>
        <v>-0.81938202851183717</v>
      </c>
      <c r="Q1351">
        <f t="shared" si="1051"/>
        <v>-19428.28768163516</v>
      </c>
      <c r="R1351">
        <f t="shared" si="1052"/>
        <v>431679.03611219011</v>
      </c>
      <c r="S1351">
        <f t="shared" si="1053"/>
        <v>4.3167903611219014</v>
      </c>
      <c r="T1351">
        <f t="shared" si="1054"/>
        <v>4.3167903611219015E-3</v>
      </c>
    </row>
    <row r="1352" spans="1:20" x14ac:dyDescent="0.25">
      <c r="A1352" s="5">
        <v>43241</v>
      </c>
      <c r="B1352">
        <v>8526.9699999999993</v>
      </c>
      <c r="C1352">
        <v>8595.31</v>
      </c>
      <c r="D1352">
        <v>8305</v>
      </c>
      <c r="E1352">
        <v>8381.24</v>
      </c>
      <c r="F1352">
        <v>21516.596485999999</v>
      </c>
      <c r="G1352">
        <v>-1.71</v>
      </c>
      <c r="L1352" t="s">
        <v>8</v>
      </c>
      <c r="M1352" t="s">
        <v>7</v>
      </c>
      <c r="N1352" t="s">
        <v>8</v>
      </c>
      <c r="P1352">
        <f t="shared" si="1050"/>
        <v>-0.47476835107299153</v>
      </c>
      <c r="Q1352">
        <f t="shared" si="1051"/>
        <v>-10215.399034361144</v>
      </c>
      <c r="R1352">
        <f t="shared" si="1052"/>
        <v>451107.32379382529</v>
      </c>
      <c r="S1352">
        <f t="shared" si="1053"/>
        <v>4.5110732379382528</v>
      </c>
      <c r="T1352">
        <f t="shared" si="1054"/>
        <v>4.5110732379382524E-3</v>
      </c>
    </row>
    <row r="1353" spans="1:20" x14ac:dyDescent="0.25">
      <c r="A1353" s="5">
        <v>43240</v>
      </c>
      <c r="B1353">
        <v>8233.49</v>
      </c>
      <c r="C1353">
        <v>8609</v>
      </c>
      <c r="D1353">
        <v>8163.9</v>
      </c>
      <c r="E1353">
        <v>8526.98</v>
      </c>
      <c r="F1353">
        <v>19957.057109000001</v>
      </c>
      <c r="G1353">
        <v>3.56</v>
      </c>
      <c r="L1353" t="s">
        <v>8</v>
      </c>
      <c r="M1353" t="s">
        <v>7</v>
      </c>
      <c r="N1353" t="s">
        <v>8</v>
      </c>
      <c r="P1353">
        <f t="shared" si="1050"/>
        <v>0.63145360593124977</v>
      </c>
      <c r="Q1353">
        <f t="shared" si="1051"/>
        <v>12601.955675253934</v>
      </c>
      <c r="R1353">
        <f t="shared" si="1052"/>
        <v>461322.72282818641</v>
      </c>
      <c r="S1353">
        <f t="shared" si="1053"/>
        <v>4.6132272282818638</v>
      </c>
      <c r="T1353">
        <f t="shared" si="1054"/>
        <v>4.613227228281864E-3</v>
      </c>
    </row>
    <row r="1354" spans="1:20" x14ac:dyDescent="0.25">
      <c r="A1354" s="5">
        <v>43239</v>
      </c>
      <c r="B1354">
        <v>8238.01</v>
      </c>
      <c r="C1354">
        <v>8390.7999999999993</v>
      </c>
      <c r="D1354">
        <v>8095.73</v>
      </c>
      <c r="E1354">
        <v>8233.49</v>
      </c>
      <c r="F1354">
        <v>17193.424276000002</v>
      </c>
      <c r="G1354">
        <v>-0.05</v>
      </c>
      <c r="L1354" t="s">
        <v>7</v>
      </c>
      <c r="M1354" t="s">
        <v>7</v>
      </c>
      <c r="N1354" t="s">
        <v>8</v>
      </c>
      <c r="P1354">
        <f t="shared" si="1050"/>
        <v>-6.6255464804959127E-2</v>
      </c>
      <c r="Q1354">
        <f t="shared" si="1051"/>
        <v>-1139.158316995248</v>
      </c>
      <c r="R1354">
        <f t="shared" si="1052"/>
        <v>448720.76715293247</v>
      </c>
      <c r="S1354">
        <f t="shared" si="1053"/>
        <v>4.4872076715293243</v>
      </c>
      <c r="T1354">
        <f t="shared" si="1054"/>
        <v>4.4872076715293243E-3</v>
      </c>
    </row>
    <row r="1355" spans="1:20" x14ac:dyDescent="0.25">
      <c r="A1355" s="5">
        <v>43238</v>
      </c>
      <c r="B1355">
        <v>8038.82</v>
      </c>
      <c r="C1355">
        <v>8273.2099999999991</v>
      </c>
      <c r="D1355">
        <v>7911.9</v>
      </c>
      <c r="E1355">
        <v>8239.81</v>
      </c>
      <c r="F1355">
        <v>23476.158251000001</v>
      </c>
      <c r="G1355">
        <v>2.5</v>
      </c>
      <c r="L1355" t="s">
        <v>7</v>
      </c>
      <c r="M1355" t="s">
        <v>7</v>
      </c>
      <c r="N1355" t="s">
        <v>8</v>
      </c>
      <c r="P1355">
        <f t="shared" si="1050"/>
        <v>0.81511721236611401</v>
      </c>
      <c r="Q1355">
        <f t="shared" si="1051"/>
        <v>19135.820670620866</v>
      </c>
      <c r="R1355">
        <f t="shared" si="1052"/>
        <v>449859.92546992772</v>
      </c>
      <c r="S1355">
        <f t="shared" si="1053"/>
        <v>4.4985992546992772</v>
      </c>
      <c r="T1355">
        <f t="shared" si="1054"/>
        <v>4.4985992546992771E-3</v>
      </c>
    </row>
    <row r="1356" spans="1:20" x14ac:dyDescent="0.25">
      <c r="A1356" s="5">
        <v>43237</v>
      </c>
      <c r="B1356">
        <v>8330</v>
      </c>
      <c r="C1356">
        <v>8464</v>
      </c>
      <c r="D1356">
        <v>7979</v>
      </c>
      <c r="E1356">
        <v>8041.46</v>
      </c>
      <c r="F1356">
        <v>25439.844798999999</v>
      </c>
      <c r="G1356">
        <v>-3.46</v>
      </c>
      <c r="L1356" t="s">
        <v>7</v>
      </c>
      <c r="M1356" t="s">
        <v>7</v>
      </c>
      <c r="N1356" t="s">
        <v>8</v>
      </c>
      <c r="P1356">
        <f t="shared" si="1050"/>
        <v>-0.74243298969072147</v>
      </c>
      <c r="Q1356">
        <f t="shared" si="1051"/>
        <v>-18887.380031389519</v>
      </c>
      <c r="R1356">
        <f t="shared" si="1052"/>
        <v>430724.10479930684</v>
      </c>
      <c r="S1356">
        <f t="shared" si="1053"/>
        <v>4.3072410479930685</v>
      </c>
      <c r="T1356">
        <f t="shared" si="1054"/>
        <v>4.3072410479930686E-3</v>
      </c>
    </row>
    <row r="1357" spans="1:20" x14ac:dyDescent="0.25">
      <c r="A1357" s="5">
        <v>43236</v>
      </c>
      <c r="B1357">
        <v>8462</v>
      </c>
      <c r="C1357">
        <v>8488</v>
      </c>
      <c r="D1357">
        <v>8083.01</v>
      </c>
      <c r="E1357">
        <v>8330</v>
      </c>
      <c r="F1357">
        <v>31130.718907999999</v>
      </c>
      <c r="G1357">
        <v>-1.56</v>
      </c>
      <c r="L1357" t="s">
        <v>7</v>
      </c>
      <c r="M1357" t="s">
        <v>7</v>
      </c>
      <c r="N1357" t="s">
        <v>8</v>
      </c>
      <c r="P1357">
        <f t="shared" si="1050"/>
        <v>0.21973382058816224</v>
      </c>
      <c r="Q1357">
        <f t="shared" si="1051"/>
        <v>6840.4718033109812</v>
      </c>
      <c r="R1357">
        <f t="shared" si="1052"/>
        <v>449611.48483069637</v>
      </c>
      <c r="S1357">
        <f t="shared" si="1053"/>
        <v>4.4961148483069637</v>
      </c>
      <c r="T1357">
        <f t="shared" si="1054"/>
        <v>4.4961148483069636E-3</v>
      </c>
    </row>
    <row r="1358" spans="1:20" x14ac:dyDescent="0.25">
      <c r="A1358" s="5">
        <v>43235</v>
      </c>
      <c r="B1358">
        <v>8663.3700000000008</v>
      </c>
      <c r="C1358">
        <v>8859.99</v>
      </c>
      <c r="D1358">
        <v>8401.2999999999993</v>
      </c>
      <c r="E1358">
        <v>8462</v>
      </c>
      <c r="F1358">
        <v>28126.956136000001</v>
      </c>
      <c r="G1358">
        <v>-2.3199999999999998</v>
      </c>
      <c r="L1358" t="s">
        <v>8</v>
      </c>
      <c r="M1358" t="s">
        <v>7</v>
      </c>
      <c r="N1358" t="s">
        <v>8</v>
      </c>
      <c r="P1358">
        <f t="shared" si="1050"/>
        <v>-0.73533323159432007</v>
      </c>
      <c r="Q1358">
        <f t="shared" si="1051"/>
        <v>-20682.685550396571</v>
      </c>
      <c r="R1358">
        <f t="shared" si="1052"/>
        <v>442771.0130273854</v>
      </c>
      <c r="S1358">
        <f t="shared" si="1053"/>
        <v>4.4277101302738542</v>
      </c>
      <c r="T1358">
        <f t="shared" si="1054"/>
        <v>4.4277101302738538E-3</v>
      </c>
    </row>
    <row r="1359" spans="1:20" x14ac:dyDescent="0.25">
      <c r="A1359" s="5">
        <v>43234</v>
      </c>
      <c r="B1359">
        <v>8679.7099999999991</v>
      </c>
      <c r="C1359">
        <v>8879.99</v>
      </c>
      <c r="D1359">
        <v>8277</v>
      </c>
      <c r="E1359">
        <v>8663.34</v>
      </c>
      <c r="F1359">
        <v>37389.666533000003</v>
      </c>
      <c r="G1359">
        <v>-0.19</v>
      </c>
      <c r="L1359" t="s">
        <v>8</v>
      </c>
      <c r="M1359" t="s">
        <v>7</v>
      </c>
      <c r="N1359" t="s">
        <v>8</v>
      </c>
      <c r="P1359">
        <f t="shared" si="1050"/>
        <v>0.28141428547737207</v>
      </c>
      <c r="Q1359">
        <f t="shared" si="1051"/>
        <v>10521.986291621408</v>
      </c>
      <c r="R1359">
        <f t="shared" si="1052"/>
        <v>463453.69857778196</v>
      </c>
      <c r="S1359">
        <f t="shared" si="1053"/>
        <v>4.63453698577782</v>
      </c>
      <c r="T1359">
        <f t="shared" si="1054"/>
        <v>4.6345369857778203E-3</v>
      </c>
    </row>
    <row r="1360" spans="1:20" x14ac:dyDescent="0.25">
      <c r="A1360" s="5">
        <v>43233</v>
      </c>
      <c r="B1360">
        <v>8475.44</v>
      </c>
      <c r="C1360">
        <v>8763.36</v>
      </c>
      <c r="D1360">
        <v>8298</v>
      </c>
      <c r="E1360">
        <v>8679.7099999999991</v>
      </c>
      <c r="F1360">
        <v>25632.869362000001</v>
      </c>
      <c r="G1360">
        <v>2.41</v>
      </c>
      <c r="L1360" t="s">
        <v>8</v>
      </c>
      <c r="M1360" t="s">
        <v>7</v>
      </c>
      <c r="N1360" t="s">
        <v>8</v>
      </c>
      <c r="P1360">
        <f t="shared" si="1050"/>
        <v>0.64049338146810486</v>
      </c>
      <c r="Q1360">
        <f t="shared" si="1051"/>
        <v>16417.683174397564</v>
      </c>
      <c r="R1360">
        <f t="shared" si="1052"/>
        <v>452931.71228616056</v>
      </c>
      <c r="S1360">
        <f t="shared" si="1053"/>
        <v>4.529317122861606</v>
      </c>
      <c r="T1360">
        <f t="shared" si="1054"/>
        <v>4.529317122861606E-3</v>
      </c>
    </row>
    <row r="1361" spans="1:20" x14ac:dyDescent="0.25">
      <c r="A1361" s="5">
        <v>43232</v>
      </c>
      <c r="B1361">
        <v>8405.94</v>
      </c>
      <c r="C1361">
        <v>8646.8799999999992</v>
      </c>
      <c r="D1361">
        <v>8153</v>
      </c>
      <c r="E1361">
        <v>8465.94</v>
      </c>
      <c r="F1361">
        <v>40241.320809999997</v>
      </c>
      <c r="G1361">
        <v>0.71</v>
      </c>
      <c r="L1361" t="s">
        <v>7</v>
      </c>
      <c r="M1361" t="s">
        <v>7</v>
      </c>
      <c r="N1361" t="s">
        <v>8</v>
      </c>
      <c r="P1361">
        <f t="shared" si="1050"/>
        <v>0.26727140195999438</v>
      </c>
      <c r="Q1361">
        <f t="shared" si="1051"/>
        <v>10755.354229610595</v>
      </c>
      <c r="R1361">
        <f t="shared" si="1052"/>
        <v>436514.029111763</v>
      </c>
      <c r="S1361">
        <f t="shared" si="1053"/>
        <v>4.3651402911176298</v>
      </c>
      <c r="T1361">
        <f t="shared" si="1054"/>
        <v>4.36514029111763E-3</v>
      </c>
    </row>
    <row r="1362" spans="1:20" x14ac:dyDescent="0.25">
      <c r="A1362" s="5">
        <v>43231</v>
      </c>
      <c r="B1362">
        <v>9002.2099999999991</v>
      </c>
      <c r="C1362">
        <v>9016.7999999999993</v>
      </c>
      <c r="D1362">
        <v>8341</v>
      </c>
      <c r="E1362">
        <v>8400</v>
      </c>
      <c r="F1362">
        <v>48227.048061000001</v>
      </c>
      <c r="G1362">
        <v>-6.69</v>
      </c>
      <c r="L1362" t="s">
        <v>7</v>
      </c>
      <c r="M1362" t="s">
        <v>8</v>
      </c>
      <c r="N1362" t="s">
        <v>8</v>
      </c>
      <c r="P1362">
        <f t="shared" si="1050"/>
        <v>-0.82539212784847571</v>
      </c>
      <c r="Q1362">
        <f t="shared" si="1051"/>
        <v>-39806.225818919498</v>
      </c>
      <c r="R1362">
        <f t="shared" si="1052"/>
        <v>425758.67488215241</v>
      </c>
      <c r="S1362">
        <f t="shared" si="1053"/>
        <v>4.2575867488215238</v>
      </c>
      <c r="T1362">
        <f t="shared" si="1054"/>
        <v>4.2575867488215237E-3</v>
      </c>
    </row>
    <row r="1363" spans="1:20" x14ac:dyDescent="0.25">
      <c r="A1363" s="5">
        <v>43230</v>
      </c>
      <c r="B1363">
        <v>9310</v>
      </c>
      <c r="C1363">
        <v>9395.1200000000008</v>
      </c>
      <c r="D1363">
        <v>8970</v>
      </c>
      <c r="E1363">
        <v>9002.2000000000007</v>
      </c>
      <c r="F1363">
        <v>25055.063718000001</v>
      </c>
      <c r="G1363">
        <v>-3.31</v>
      </c>
      <c r="L1363" t="s">
        <v>7</v>
      </c>
      <c r="M1363" t="s">
        <v>8</v>
      </c>
      <c r="N1363" t="s">
        <v>8</v>
      </c>
      <c r="P1363">
        <f t="shared" si="1050"/>
        <v>-0.84851336093338037</v>
      </c>
      <c r="Q1363">
        <f t="shared" si="1051"/>
        <v>-21259.556323760178</v>
      </c>
      <c r="R1363">
        <f t="shared" si="1052"/>
        <v>465564.90070107189</v>
      </c>
      <c r="S1363">
        <f t="shared" si="1053"/>
        <v>4.6556490070107186</v>
      </c>
      <c r="T1363">
        <f t="shared" si="1054"/>
        <v>4.6556490070107188E-3</v>
      </c>
    </row>
    <row r="1364" spans="1:20" x14ac:dyDescent="0.25">
      <c r="A1364" s="5">
        <v>43229</v>
      </c>
      <c r="B1364">
        <v>9178</v>
      </c>
      <c r="C1364">
        <v>9390</v>
      </c>
      <c r="D1364">
        <v>8965</v>
      </c>
      <c r="E1364">
        <v>9310</v>
      </c>
      <c r="F1364">
        <v>25673.524899</v>
      </c>
      <c r="G1364">
        <v>1.44</v>
      </c>
      <c r="L1364" t="s">
        <v>7</v>
      </c>
      <c r="M1364" t="s">
        <v>8</v>
      </c>
      <c r="N1364" t="s">
        <v>8</v>
      </c>
      <c r="P1364">
        <f t="shared" si="1050"/>
        <v>0.62352941176470589</v>
      </c>
      <c r="Q1364">
        <f t="shared" si="1051"/>
        <v>16008.197878200001</v>
      </c>
      <c r="R1364">
        <f t="shared" si="1052"/>
        <v>486824.45702483208</v>
      </c>
      <c r="S1364">
        <f t="shared" si="1053"/>
        <v>4.8682445702483212</v>
      </c>
      <c r="T1364">
        <f t="shared" si="1054"/>
        <v>4.8682445702483215E-3</v>
      </c>
    </row>
    <row r="1365" spans="1:20" x14ac:dyDescent="0.25">
      <c r="A1365" s="5">
        <v>43228</v>
      </c>
      <c r="B1365">
        <v>9365</v>
      </c>
      <c r="C1365">
        <v>9475.7000000000007</v>
      </c>
      <c r="D1365">
        <v>9060.5400000000009</v>
      </c>
      <c r="E1365">
        <v>9187.56</v>
      </c>
      <c r="F1365">
        <v>25533.831889000001</v>
      </c>
      <c r="G1365">
        <v>-1.89</v>
      </c>
      <c r="L1365" t="s">
        <v>7</v>
      </c>
      <c r="M1365" t="s">
        <v>8</v>
      </c>
      <c r="N1365" t="s">
        <v>8</v>
      </c>
      <c r="P1365">
        <f t="shared" si="1050"/>
        <v>-0.3880913382792241</v>
      </c>
      <c r="Q1365">
        <f t="shared" si="1051"/>
        <v>-9909.4589891987398</v>
      </c>
      <c r="R1365">
        <f t="shared" si="1052"/>
        <v>470816.2591466321</v>
      </c>
      <c r="S1365">
        <f t="shared" si="1053"/>
        <v>4.708162591466321</v>
      </c>
      <c r="T1365">
        <f t="shared" si="1054"/>
        <v>4.7081625914663213E-3</v>
      </c>
    </row>
    <row r="1366" spans="1:20" x14ac:dyDescent="0.25">
      <c r="A1366" s="5">
        <v>43227</v>
      </c>
      <c r="B1366">
        <v>9661.02</v>
      </c>
      <c r="C1366">
        <v>9689.67</v>
      </c>
      <c r="D1366">
        <v>9181</v>
      </c>
      <c r="E1366">
        <v>9365</v>
      </c>
      <c r="F1366">
        <v>33787.640012000003</v>
      </c>
      <c r="G1366">
        <v>-3.06</v>
      </c>
      <c r="L1366" t="s">
        <v>7</v>
      </c>
      <c r="M1366" t="s">
        <v>8</v>
      </c>
      <c r="N1366" t="s">
        <v>8</v>
      </c>
      <c r="P1366">
        <f t="shared" si="1050"/>
        <v>-0.27654471464800373</v>
      </c>
      <c r="Q1366">
        <f t="shared" si="1051"/>
        <v>-9343.7932657480142</v>
      </c>
      <c r="R1366">
        <f t="shared" si="1052"/>
        <v>480725.71813583083</v>
      </c>
      <c r="S1366">
        <f t="shared" si="1053"/>
        <v>4.8072571813583087</v>
      </c>
      <c r="T1366">
        <f t="shared" si="1054"/>
        <v>4.8072571813583091E-3</v>
      </c>
    </row>
    <row r="1367" spans="1:20" x14ac:dyDescent="0.25">
      <c r="A1367" s="5">
        <v>43226</v>
      </c>
      <c r="B1367">
        <v>9863.99</v>
      </c>
      <c r="C1367">
        <v>9970</v>
      </c>
      <c r="D1367">
        <v>9417.0300000000007</v>
      </c>
      <c r="E1367">
        <v>9659.01</v>
      </c>
      <c r="F1367">
        <v>27690.351558999999</v>
      </c>
      <c r="G1367">
        <v>-2.08</v>
      </c>
      <c r="L1367" t="s">
        <v>8</v>
      </c>
      <c r="M1367" t="s">
        <v>8</v>
      </c>
      <c r="N1367" t="s">
        <v>8</v>
      </c>
      <c r="P1367">
        <f t="shared" si="1050"/>
        <v>-0.12479881367886196</v>
      </c>
      <c r="Q1367">
        <f t="shared" si="1051"/>
        <v>-3455.7230249138256</v>
      </c>
      <c r="R1367">
        <f t="shared" si="1052"/>
        <v>490069.51140157884</v>
      </c>
      <c r="S1367">
        <f t="shared" si="1053"/>
        <v>4.9006951140157886</v>
      </c>
      <c r="T1367">
        <f t="shared" si="1054"/>
        <v>4.9006951140157882E-3</v>
      </c>
    </row>
    <row r="1368" spans="1:20" x14ac:dyDescent="0.25">
      <c r="A1368" s="5">
        <v>43225</v>
      </c>
      <c r="B1368">
        <v>9714</v>
      </c>
      <c r="C1368">
        <v>10020</v>
      </c>
      <c r="D1368">
        <v>9682</v>
      </c>
      <c r="E1368">
        <v>9864</v>
      </c>
      <c r="F1368">
        <v>24990.018345</v>
      </c>
      <c r="G1368">
        <v>1.54</v>
      </c>
      <c r="L1368" t="s">
        <v>8</v>
      </c>
      <c r="M1368" t="s">
        <v>8</v>
      </c>
      <c r="N1368" t="s">
        <v>8</v>
      </c>
      <c r="P1368">
        <f t="shared" si="1050"/>
        <v>7.6923076923076927E-2</v>
      </c>
      <c r="Q1368">
        <f t="shared" si="1051"/>
        <v>1922.3091034615386</v>
      </c>
      <c r="R1368">
        <f t="shared" si="1052"/>
        <v>493525.23442649265</v>
      </c>
      <c r="S1368">
        <f t="shared" si="1053"/>
        <v>4.9352523442649261</v>
      </c>
      <c r="T1368">
        <f t="shared" si="1054"/>
        <v>4.9352523442649258E-3</v>
      </c>
    </row>
    <row r="1369" spans="1:20" x14ac:dyDescent="0.25">
      <c r="A1369" s="5">
        <v>43224</v>
      </c>
      <c r="B1369">
        <v>9750</v>
      </c>
      <c r="C1369">
        <v>9830.0400000000009</v>
      </c>
      <c r="D1369">
        <v>9520.85</v>
      </c>
      <c r="E1369">
        <v>9713.99</v>
      </c>
      <c r="F1369">
        <v>28681.588878999999</v>
      </c>
      <c r="G1369">
        <v>-0.37</v>
      </c>
      <c r="L1369" t="s">
        <v>8</v>
      </c>
      <c r="M1369" t="s">
        <v>8</v>
      </c>
      <c r="N1369" t="s">
        <v>8</v>
      </c>
      <c r="P1369">
        <f t="shared" si="1050"/>
        <v>0.24932889162003363</v>
      </c>
      <c r="Q1369">
        <f t="shared" si="1051"/>
        <v>7151.1487651025527</v>
      </c>
      <c r="R1369">
        <f t="shared" si="1052"/>
        <v>491602.92532303109</v>
      </c>
      <c r="S1369">
        <f t="shared" si="1053"/>
        <v>4.9160292532303105</v>
      </c>
      <c r="T1369">
        <f t="shared" si="1054"/>
        <v>4.9160292532303106E-3</v>
      </c>
    </row>
    <row r="1370" spans="1:20" x14ac:dyDescent="0.25">
      <c r="A1370" s="5">
        <v>43223</v>
      </c>
      <c r="B1370">
        <v>9247.81</v>
      </c>
      <c r="C1370">
        <v>9844</v>
      </c>
      <c r="D1370">
        <v>9168.4</v>
      </c>
      <c r="E1370">
        <v>9750</v>
      </c>
      <c r="F1370">
        <v>38768.388288000002</v>
      </c>
      <c r="G1370">
        <v>5.43</v>
      </c>
      <c r="L1370" t="s">
        <v>8</v>
      </c>
      <c r="M1370" t="s">
        <v>8</v>
      </c>
      <c r="N1370" t="s">
        <v>8</v>
      </c>
      <c r="P1370">
        <f t="shared" si="1050"/>
        <v>0.72172883362936668</v>
      </c>
      <c r="Q1370">
        <f t="shared" si="1051"/>
        <v>27980.263660788642</v>
      </c>
      <c r="R1370">
        <f t="shared" si="1052"/>
        <v>484451.77655792853</v>
      </c>
      <c r="S1370">
        <f t="shared" si="1053"/>
        <v>4.844517765579285</v>
      </c>
      <c r="T1370">
        <f t="shared" si="1054"/>
        <v>4.8445177655792853E-3</v>
      </c>
    </row>
    <row r="1371" spans="1:20" x14ac:dyDescent="0.25">
      <c r="A1371" s="5">
        <v>43222</v>
      </c>
      <c r="B1371">
        <v>9071.48</v>
      </c>
      <c r="C1371">
        <v>9268</v>
      </c>
      <c r="D1371">
        <v>8970.2000000000007</v>
      </c>
      <c r="E1371">
        <v>9247.84</v>
      </c>
      <c r="F1371">
        <v>26123.543960999999</v>
      </c>
      <c r="G1371">
        <v>1.94</v>
      </c>
      <c r="L1371" t="s">
        <v>7</v>
      </c>
      <c r="M1371" t="s">
        <v>8</v>
      </c>
      <c r="N1371" t="s">
        <v>8</v>
      </c>
      <c r="P1371">
        <f t="shared" si="1050"/>
        <v>0.86460711887172659</v>
      </c>
      <c r="Q1371">
        <f t="shared" si="1051"/>
        <v>22586.602078839103</v>
      </c>
      <c r="R1371">
        <f t="shared" si="1052"/>
        <v>456471.51289713988</v>
      </c>
      <c r="S1371">
        <f t="shared" si="1053"/>
        <v>4.5647151289713985</v>
      </c>
      <c r="T1371">
        <f t="shared" si="1054"/>
        <v>4.5647151289713982E-3</v>
      </c>
    </row>
    <row r="1372" spans="1:20" x14ac:dyDescent="0.25">
      <c r="A1372" s="5">
        <v>43221</v>
      </c>
      <c r="B1372">
        <v>9246.01</v>
      </c>
      <c r="C1372">
        <v>9248.99</v>
      </c>
      <c r="D1372">
        <v>8800.49</v>
      </c>
      <c r="E1372">
        <v>9071.48</v>
      </c>
      <c r="F1372">
        <v>41018.463632999999</v>
      </c>
      <c r="G1372">
        <v>-1.89</v>
      </c>
      <c r="L1372" t="s">
        <v>7</v>
      </c>
      <c r="M1372" t="s">
        <v>8</v>
      </c>
      <c r="N1372" t="s">
        <v>8</v>
      </c>
      <c r="P1372">
        <f t="shared" si="1050"/>
        <v>0.20842809364548398</v>
      </c>
      <c r="Q1372">
        <f t="shared" si="1051"/>
        <v>8549.4001792928029</v>
      </c>
      <c r="R1372">
        <f t="shared" si="1052"/>
        <v>433884.91081830079</v>
      </c>
      <c r="S1372">
        <f t="shared" si="1053"/>
        <v>4.3388491081830081</v>
      </c>
      <c r="T1372">
        <f t="shared" si="1054"/>
        <v>4.3388491081830082E-3</v>
      </c>
    </row>
    <row r="1373" spans="1:20" x14ac:dyDescent="0.25">
      <c r="A1373" s="5">
        <v>43220</v>
      </c>
      <c r="B1373">
        <v>9417.0400000000009</v>
      </c>
      <c r="C1373">
        <v>9458.64</v>
      </c>
      <c r="D1373">
        <v>9124.99</v>
      </c>
      <c r="E1373">
        <v>9246.01</v>
      </c>
      <c r="F1373">
        <v>35002.033875000001</v>
      </c>
      <c r="G1373">
        <v>-1.82</v>
      </c>
      <c r="L1373" t="s">
        <v>8</v>
      </c>
      <c r="M1373" t="s">
        <v>8</v>
      </c>
      <c r="N1373" t="s">
        <v>8</v>
      </c>
      <c r="P1373">
        <f t="shared" si="1050"/>
        <v>-0.27456915929866288</v>
      </c>
      <c r="Q1373">
        <f t="shared" si="1051"/>
        <v>-9610.4790148020693</v>
      </c>
      <c r="R1373">
        <f t="shared" si="1052"/>
        <v>425335.51063900802</v>
      </c>
      <c r="S1373">
        <f t="shared" si="1053"/>
        <v>4.2533551063900799</v>
      </c>
      <c r="T1373">
        <f t="shared" si="1054"/>
        <v>4.2533551063900802E-3</v>
      </c>
    </row>
    <row r="1374" spans="1:20" x14ac:dyDescent="0.25">
      <c r="A1374" s="5">
        <v>43219</v>
      </c>
      <c r="B1374">
        <v>9348</v>
      </c>
      <c r="C1374">
        <v>9570.51</v>
      </c>
      <c r="D1374">
        <v>9163.74</v>
      </c>
      <c r="E1374">
        <v>9419</v>
      </c>
      <c r="F1374">
        <v>38149.850035000003</v>
      </c>
      <c r="G1374">
        <v>0.76</v>
      </c>
      <c r="L1374" t="s">
        <v>8</v>
      </c>
      <c r="M1374" t="s">
        <v>8</v>
      </c>
      <c r="N1374" t="s">
        <v>8</v>
      </c>
      <c r="P1374">
        <f t="shared" si="1050"/>
        <v>0.25505814096418095</v>
      </c>
      <c r="Q1374">
        <f t="shared" si="1051"/>
        <v>9730.4298279893937</v>
      </c>
      <c r="R1374">
        <f t="shared" si="1052"/>
        <v>434945.9896538101</v>
      </c>
      <c r="S1374">
        <f t="shared" si="1053"/>
        <v>4.3494598965381011</v>
      </c>
      <c r="T1374">
        <f t="shared" si="1054"/>
        <v>4.3494598965381007E-3</v>
      </c>
    </row>
    <row r="1375" spans="1:20" x14ac:dyDescent="0.25">
      <c r="A1375" s="5">
        <v>43218</v>
      </c>
      <c r="B1375">
        <v>8915.35</v>
      </c>
      <c r="C1375">
        <v>9427.48</v>
      </c>
      <c r="D1375">
        <v>8870</v>
      </c>
      <c r="E1375">
        <v>9348</v>
      </c>
      <c r="F1375">
        <v>34759.628420000001</v>
      </c>
      <c r="G1375">
        <v>4.8499999999999996</v>
      </c>
      <c r="L1375" t="s">
        <v>8</v>
      </c>
      <c r="M1375" t="s">
        <v>8</v>
      </c>
      <c r="N1375" t="s">
        <v>8</v>
      </c>
      <c r="P1375">
        <f t="shared" si="1050"/>
        <v>0.71485972590945102</v>
      </c>
      <c r="Q1375">
        <f t="shared" si="1051"/>
        <v>24848.258445035564</v>
      </c>
      <c r="R1375">
        <f t="shared" si="1052"/>
        <v>425215.55982582073</v>
      </c>
      <c r="S1375">
        <f t="shared" si="1053"/>
        <v>4.2521555982582075</v>
      </c>
      <c r="T1375">
        <f t="shared" si="1054"/>
        <v>4.2521555982582074E-3</v>
      </c>
    </row>
    <row r="1376" spans="1:20" x14ac:dyDescent="0.25">
      <c r="A1376" s="5">
        <v>43217</v>
      </c>
      <c r="B1376">
        <v>9267.0300000000007</v>
      </c>
      <c r="C1376">
        <v>9395</v>
      </c>
      <c r="D1376">
        <v>8889</v>
      </c>
      <c r="E1376">
        <v>8915.35</v>
      </c>
      <c r="F1376">
        <v>37241.347035999999</v>
      </c>
      <c r="G1376">
        <v>-3.79</v>
      </c>
      <c r="L1376" t="s">
        <v>8</v>
      </c>
      <c r="M1376" t="s">
        <v>8</v>
      </c>
      <c r="N1376" t="s">
        <v>8</v>
      </c>
      <c r="P1376">
        <f t="shared" si="1050"/>
        <v>-0.8958498023715401</v>
      </c>
      <c r="Q1376">
        <f t="shared" si="1051"/>
        <v>-33362.653382250537</v>
      </c>
      <c r="R1376">
        <f t="shared" si="1052"/>
        <v>400367.30138078518</v>
      </c>
      <c r="S1376">
        <f t="shared" si="1053"/>
        <v>4.0036730138078518</v>
      </c>
      <c r="T1376">
        <f t="shared" si="1054"/>
        <v>4.0036730138078517E-3</v>
      </c>
    </row>
    <row r="1377" spans="1:20" x14ac:dyDescent="0.25">
      <c r="A1377" s="5">
        <v>43216</v>
      </c>
      <c r="B1377">
        <v>8869.99</v>
      </c>
      <c r="C1377">
        <v>9307.48</v>
      </c>
      <c r="D1377">
        <v>8651.6200000000008</v>
      </c>
      <c r="E1377">
        <v>9266</v>
      </c>
      <c r="F1377">
        <v>43300.304244999999</v>
      </c>
      <c r="G1377">
        <v>4.46</v>
      </c>
      <c r="L1377" t="s">
        <v>7</v>
      </c>
      <c r="M1377" t="s">
        <v>8</v>
      </c>
      <c r="N1377" t="s">
        <v>8</v>
      </c>
      <c r="P1377">
        <f t="shared" si="1050"/>
        <v>0.87350959046137999</v>
      </c>
      <c r="Q1377">
        <f t="shared" si="1051"/>
        <v>37823.231027903101</v>
      </c>
      <c r="R1377">
        <f t="shared" si="1052"/>
        <v>433729.9547630357</v>
      </c>
      <c r="S1377">
        <f t="shared" si="1053"/>
        <v>4.3372995476303569</v>
      </c>
      <c r="T1377">
        <f t="shared" si="1054"/>
        <v>4.337299547630357E-3</v>
      </c>
    </row>
    <row r="1378" spans="1:20" x14ac:dyDescent="0.25">
      <c r="A1378" s="5">
        <v>43215</v>
      </c>
      <c r="B1378">
        <v>9618.9599999999991</v>
      </c>
      <c r="C1378">
        <v>9759.82</v>
      </c>
      <c r="D1378">
        <v>8730</v>
      </c>
      <c r="E1378">
        <v>8869.99</v>
      </c>
      <c r="F1378">
        <v>81110.037589</v>
      </c>
      <c r="G1378">
        <v>-7.79</v>
      </c>
      <c r="L1378" t="s">
        <v>7</v>
      </c>
      <c r="M1378" t="s">
        <v>8</v>
      </c>
      <c r="N1378" t="s">
        <v>8</v>
      </c>
      <c r="P1378">
        <f t="shared" si="1050"/>
        <v>-0.72812724553805552</v>
      </c>
      <c r="Q1378">
        <f t="shared" si="1051"/>
        <v>-59058.428255166713</v>
      </c>
      <c r="R1378">
        <f t="shared" si="1052"/>
        <v>395906.7237351326</v>
      </c>
      <c r="S1378">
        <f t="shared" si="1053"/>
        <v>3.9590672373513258</v>
      </c>
      <c r="T1378">
        <f t="shared" si="1054"/>
        <v>3.9590672373513262E-3</v>
      </c>
    </row>
    <row r="1379" spans="1:20" x14ac:dyDescent="0.25">
      <c r="A1379" s="5">
        <v>43214</v>
      </c>
      <c r="B1379">
        <v>8934</v>
      </c>
      <c r="C1379">
        <v>9731.01</v>
      </c>
      <c r="D1379">
        <v>8922</v>
      </c>
      <c r="E1379">
        <v>9619.99</v>
      </c>
      <c r="F1379">
        <v>46268.790106</v>
      </c>
      <c r="G1379">
        <v>7.68</v>
      </c>
      <c r="L1379" t="s">
        <v>8</v>
      </c>
      <c r="M1379" t="s">
        <v>8</v>
      </c>
      <c r="N1379" t="s">
        <v>8</v>
      </c>
      <c r="P1379">
        <f t="shared" si="1050"/>
        <v>0.72554109343518525</v>
      </c>
      <c r="Q1379">
        <f t="shared" si="1051"/>
        <v>33569.90856543032</v>
      </c>
      <c r="R1379">
        <f t="shared" si="1052"/>
        <v>454965.15199029929</v>
      </c>
      <c r="S1379">
        <f t="shared" si="1053"/>
        <v>4.5496515199029925</v>
      </c>
      <c r="T1379">
        <f t="shared" si="1054"/>
        <v>4.5496515199029922E-3</v>
      </c>
    </row>
    <row r="1380" spans="1:20" x14ac:dyDescent="0.25">
      <c r="A1380" s="5">
        <v>43213</v>
      </c>
      <c r="B1380">
        <v>8785.7000000000007</v>
      </c>
      <c r="C1380">
        <v>8985</v>
      </c>
      <c r="D1380">
        <v>8745</v>
      </c>
      <c r="E1380">
        <v>8934.01</v>
      </c>
      <c r="F1380">
        <v>25838.114709000001</v>
      </c>
      <c r="G1380">
        <v>1.69</v>
      </c>
      <c r="L1380" t="s">
        <v>8</v>
      </c>
      <c r="M1380" t="s">
        <v>8</v>
      </c>
      <c r="N1380" t="s">
        <v>7</v>
      </c>
      <c r="P1380">
        <f t="shared" si="1050"/>
        <v>0.57508333333333517</v>
      </c>
      <c r="Q1380">
        <f t="shared" si="1051"/>
        <v>14859.069133900799</v>
      </c>
      <c r="R1380">
        <f t="shared" si="1052"/>
        <v>421395.24342486897</v>
      </c>
      <c r="S1380">
        <f t="shared" si="1053"/>
        <v>4.2139524342486894</v>
      </c>
      <c r="T1380">
        <f t="shared" si="1054"/>
        <v>4.2139524342486891E-3</v>
      </c>
    </row>
    <row r="1381" spans="1:20" x14ac:dyDescent="0.25">
      <c r="A1381" s="5">
        <v>43212</v>
      </c>
      <c r="B1381">
        <v>8915.31</v>
      </c>
      <c r="C1381">
        <v>9020.67</v>
      </c>
      <c r="D1381">
        <v>8727.68</v>
      </c>
      <c r="E1381">
        <v>8787.02</v>
      </c>
      <c r="F1381">
        <v>29458.253479999999</v>
      </c>
      <c r="G1381">
        <v>-1.44</v>
      </c>
      <c r="L1381" t="s">
        <v>8</v>
      </c>
      <c r="M1381" t="s">
        <v>8</v>
      </c>
      <c r="N1381" t="s">
        <v>7</v>
      </c>
      <c r="P1381">
        <f t="shared" si="1050"/>
        <v>-0.5949349807160641</v>
      </c>
      <c r="Q1381">
        <f t="shared" si="1051"/>
        <v>-17525.745466052729</v>
      </c>
      <c r="R1381">
        <f t="shared" si="1052"/>
        <v>406536.17429096816</v>
      </c>
      <c r="S1381">
        <f t="shared" si="1053"/>
        <v>4.0653617429096816</v>
      </c>
      <c r="T1381">
        <f t="shared" si="1054"/>
        <v>4.0653617429096817E-3</v>
      </c>
    </row>
    <row r="1382" spans="1:20" x14ac:dyDescent="0.25">
      <c r="A1382" s="5">
        <v>43211</v>
      </c>
      <c r="B1382">
        <v>8852.1200000000008</v>
      </c>
      <c r="C1382">
        <v>9035</v>
      </c>
      <c r="D1382">
        <v>8565</v>
      </c>
      <c r="E1382">
        <v>8915.31</v>
      </c>
      <c r="F1382">
        <v>40872.229909000001</v>
      </c>
      <c r="G1382">
        <v>0.71</v>
      </c>
      <c r="L1382" t="s">
        <v>8</v>
      </c>
      <c r="M1382" t="s">
        <v>8</v>
      </c>
      <c r="N1382" t="s">
        <v>7</v>
      </c>
      <c r="P1382">
        <f t="shared" si="1050"/>
        <v>0.49068085106382764</v>
      </c>
      <c r="Q1382">
        <f t="shared" si="1051"/>
        <v>20055.22055662455</v>
      </c>
      <c r="R1382">
        <f t="shared" si="1052"/>
        <v>424061.91975702089</v>
      </c>
      <c r="S1382">
        <f t="shared" si="1053"/>
        <v>4.2406191975702088</v>
      </c>
      <c r="T1382">
        <f t="shared" si="1054"/>
        <v>4.2406191975702086E-3</v>
      </c>
    </row>
    <row r="1383" spans="1:20" x14ac:dyDescent="0.25">
      <c r="A1383" s="5">
        <v>43210</v>
      </c>
      <c r="B1383">
        <v>8273.84</v>
      </c>
      <c r="C1383">
        <v>8930</v>
      </c>
      <c r="D1383">
        <v>8177.09</v>
      </c>
      <c r="E1383">
        <v>8856.98</v>
      </c>
      <c r="F1383">
        <v>39795.337484999996</v>
      </c>
      <c r="G1383">
        <v>7.05</v>
      </c>
      <c r="L1383" t="s">
        <v>8</v>
      </c>
      <c r="M1383" t="s">
        <v>8</v>
      </c>
      <c r="N1383" t="s">
        <v>7</v>
      </c>
      <c r="P1383">
        <f t="shared" si="1050"/>
        <v>0.8060325935370749</v>
      </c>
      <c r="Q1383">
        <f t="shared" si="1051"/>
        <v>32076.339083717721</v>
      </c>
      <c r="R1383">
        <f t="shared" si="1052"/>
        <v>404006.69920039637</v>
      </c>
      <c r="S1383">
        <f t="shared" si="1053"/>
        <v>4.0400669920039638</v>
      </c>
      <c r="T1383">
        <f t="shared" si="1054"/>
        <v>4.0400669920039635E-3</v>
      </c>
    </row>
    <row r="1384" spans="1:20" x14ac:dyDescent="0.25">
      <c r="A1384" s="5">
        <v>43209</v>
      </c>
      <c r="B1384">
        <v>8173.99</v>
      </c>
      <c r="C1384">
        <v>8296</v>
      </c>
      <c r="D1384">
        <v>8080</v>
      </c>
      <c r="E1384">
        <v>8278</v>
      </c>
      <c r="F1384">
        <v>27113.847463999999</v>
      </c>
      <c r="G1384">
        <v>1.27</v>
      </c>
      <c r="L1384" t="s">
        <v>7</v>
      </c>
      <c r="M1384" t="s">
        <v>8</v>
      </c>
      <c r="N1384" t="s">
        <v>7</v>
      </c>
      <c r="P1384">
        <f t="shared" si="1050"/>
        <v>0.83333333333333337</v>
      </c>
      <c r="Q1384">
        <f t="shared" si="1051"/>
        <v>22594.872886666668</v>
      </c>
      <c r="R1384">
        <f t="shared" si="1052"/>
        <v>371930.36011667864</v>
      </c>
      <c r="S1384">
        <f t="shared" si="1053"/>
        <v>3.7193036011667866</v>
      </c>
      <c r="T1384">
        <f t="shared" si="1054"/>
        <v>3.7193036011667867E-3</v>
      </c>
    </row>
    <row r="1385" spans="1:20" x14ac:dyDescent="0.25">
      <c r="A1385" s="5">
        <v>43208</v>
      </c>
      <c r="B1385">
        <v>7890.96</v>
      </c>
      <c r="C1385">
        <v>8236.43</v>
      </c>
      <c r="D1385">
        <v>7868</v>
      </c>
      <c r="E1385">
        <v>8173</v>
      </c>
      <c r="F1385">
        <v>26969.044569999998</v>
      </c>
      <c r="G1385">
        <v>3.57</v>
      </c>
      <c r="L1385" t="s">
        <v>7</v>
      </c>
      <c r="M1385" t="s">
        <v>8</v>
      </c>
      <c r="N1385" t="s">
        <v>7</v>
      </c>
      <c r="P1385">
        <f t="shared" si="1050"/>
        <v>0.65567407648671261</v>
      </c>
      <c r="Q1385">
        <f t="shared" si="1051"/>
        <v>17682.903392163742</v>
      </c>
      <c r="R1385">
        <f t="shared" si="1052"/>
        <v>349335.48723001196</v>
      </c>
      <c r="S1385">
        <f t="shared" si="1053"/>
        <v>3.4933548723001198</v>
      </c>
      <c r="T1385">
        <f t="shared" si="1054"/>
        <v>3.4933548723001199E-3</v>
      </c>
    </row>
    <row r="1386" spans="1:20" x14ac:dyDescent="0.25">
      <c r="A1386" s="5">
        <v>43207</v>
      </c>
      <c r="B1386">
        <v>8064.92</v>
      </c>
      <c r="C1386">
        <v>8173.7</v>
      </c>
      <c r="D1386">
        <v>7825.4</v>
      </c>
      <c r="E1386">
        <v>7885.02</v>
      </c>
      <c r="F1386">
        <v>32152.603566999998</v>
      </c>
      <c r="G1386">
        <v>-2.23</v>
      </c>
      <c r="L1386" t="s">
        <v>7</v>
      </c>
      <c r="M1386" t="s">
        <v>8</v>
      </c>
      <c r="N1386" t="s">
        <v>7</v>
      </c>
      <c r="P1386">
        <f t="shared" si="1050"/>
        <v>-0.65765144989950752</v>
      </c>
      <c r="Q1386">
        <f t="shared" si="1051"/>
        <v>-21145.206353881626</v>
      </c>
      <c r="R1386">
        <f t="shared" si="1052"/>
        <v>331652.58383784821</v>
      </c>
      <c r="S1386">
        <f t="shared" si="1053"/>
        <v>3.3165258383784821</v>
      </c>
      <c r="T1386">
        <f t="shared" si="1054"/>
        <v>3.3165258383784819E-3</v>
      </c>
    </row>
    <row r="1387" spans="1:20" x14ac:dyDescent="0.25">
      <c r="A1387" s="5">
        <v>43206</v>
      </c>
      <c r="B1387">
        <v>8355.07</v>
      </c>
      <c r="C1387">
        <v>8419</v>
      </c>
      <c r="D1387">
        <v>7867</v>
      </c>
      <c r="E1387">
        <v>8064.92</v>
      </c>
      <c r="F1387">
        <v>36664.069714999998</v>
      </c>
      <c r="G1387">
        <v>-3.47</v>
      </c>
      <c r="L1387" t="s">
        <v>7</v>
      </c>
      <c r="M1387" t="s">
        <v>8</v>
      </c>
      <c r="N1387" t="s">
        <v>7</v>
      </c>
      <c r="P1387">
        <f t="shared" si="1050"/>
        <v>-0.28289855072463743</v>
      </c>
      <c r="Q1387">
        <f t="shared" si="1051"/>
        <v>-10372.21218604057</v>
      </c>
      <c r="R1387">
        <f t="shared" si="1052"/>
        <v>352797.79019172984</v>
      </c>
      <c r="S1387">
        <f t="shared" si="1053"/>
        <v>3.5279779019172985</v>
      </c>
      <c r="T1387">
        <f t="shared" si="1054"/>
        <v>3.5279779019172985E-3</v>
      </c>
    </row>
    <row r="1388" spans="1:20" x14ac:dyDescent="0.25">
      <c r="A1388" s="5">
        <v>43205</v>
      </c>
      <c r="B1388">
        <v>8004</v>
      </c>
      <c r="C1388">
        <v>8429.5400000000009</v>
      </c>
      <c r="D1388">
        <v>7999.02</v>
      </c>
      <c r="E1388">
        <v>8355</v>
      </c>
      <c r="F1388">
        <v>27946.720443999999</v>
      </c>
      <c r="G1388">
        <v>4.3899999999999997</v>
      </c>
      <c r="L1388" t="s">
        <v>8</v>
      </c>
      <c r="M1388" t="s">
        <v>8</v>
      </c>
      <c r="N1388" t="s">
        <v>7</v>
      </c>
      <c r="P1388">
        <f t="shared" si="1050"/>
        <v>0.65372108148285424</v>
      </c>
      <c r="Q1388">
        <f t="shared" si="1051"/>
        <v>18269.360312550671</v>
      </c>
      <c r="R1388">
        <f t="shared" si="1052"/>
        <v>363170.00237777043</v>
      </c>
      <c r="S1388">
        <f t="shared" si="1053"/>
        <v>3.6317000237777042</v>
      </c>
      <c r="T1388">
        <f t="shared" si="1054"/>
        <v>3.6317000237777041E-3</v>
      </c>
    </row>
    <row r="1389" spans="1:20" x14ac:dyDescent="0.25">
      <c r="A1389" s="5">
        <v>43204</v>
      </c>
      <c r="B1389">
        <v>7877.48</v>
      </c>
      <c r="C1389">
        <v>8186</v>
      </c>
      <c r="D1389">
        <v>7810</v>
      </c>
      <c r="E1389">
        <v>7999.01</v>
      </c>
      <c r="F1389">
        <v>31621.286357000001</v>
      </c>
      <c r="G1389">
        <v>1.54</v>
      </c>
      <c r="L1389" t="s">
        <v>8</v>
      </c>
      <c r="M1389" t="s">
        <v>8</v>
      </c>
      <c r="N1389" t="s">
        <v>7</v>
      </c>
      <c r="P1389">
        <f t="shared" si="1050"/>
        <v>5.3723404255330755E-3</v>
      </c>
      <c r="Q1389">
        <f t="shared" si="1051"/>
        <v>169.88031500306863</v>
      </c>
      <c r="R1389">
        <f t="shared" si="1052"/>
        <v>344900.64206521976</v>
      </c>
      <c r="S1389">
        <f t="shared" si="1053"/>
        <v>3.4490064206521978</v>
      </c>
      <c r="T1389">
        <f t="shared" si="1054"/>
        <v>3.4490064206521977E-3</v>
      </c>
    </row>
    <row r="1390" spans="1:20" x14ac:dyDescent="0.25">
      <c r="A1390" s="5">
        <v>43203</v>
      </c>
      <c r="B1390">
        <v>7922.99</v>
      </c>
      <c r="C1390">
        <v>8233.39</v>
      </c>
      <c r="D1390">
        <v>7732</v>
      </c>
      <c r="E1390">
        <v>7877.41</v>
      </c>
      <c r="F1390">
        <v>55044.523148</v>
      </c>
      <c r="G1390">
        <v>-0.57999999999999996</v>
      </c>
      <c r="L1390" t="s">
        <v>8</v>
      </c>
      <c r="M1390" t="s">
        <v>8</v>
      </c>
      <c r="N1390" t="s">
        <v>7</v>
      </c>
      <c r="P1390">
        <f t="shared" si="1050"/>
        <v>-0.41997247651528741</v>
      </c>
      <c r="Q1390">
        <f t="shared" si="1051"/>
        <v>-23117.184705068623</v>
      </c>
      <c r="R1390">
        <f t="shared" si="1052"/>
        <v>344730.76175021671</v>
      </c>
      <c r="S1390">
        <f t="shared" si="1053"/>
        <v>3.4473076175021671</v>
      </c>
      <c r="T1390">
        <f t="shared" si="1054"/>
        <v>3.4473076175021672E-3</v>
      </c>
    </row>
    <row r="1391" spans="1:20" x14ac:dyDescent="0.25">
      <c r="A1391" s="5">
        <v>43202</v>
      </c>
      <c r="B1391">
        <v>6953.78</v>
      </c>
      <c r="C1391">
        <v>8012.23</v>
      </c>
      <c r="D1391">
        <v>6743.2</v>
      </c>
      <c r="E1391">
        <v>7923</v>
      </c>
      <c r="F1391">
        <v>64861.595987000001</v>
      </c>
      <c r="G1391">
        <v>13.94</v>
      </c>
      <c r="L1391" t="s">
        <v>8</v>
      </c>
      <c r="M1391" t="s">
        <v>8</v>
      </c>
      <c r="N1391" t="s">
        <v>7</v>
      </c>
      <c r="P1391">
        <f t="shared" si="1050"/>
        <v>0.85937290686587464</v>
      </c>
      <c r="Q1391">
        <f t="shared" si="1051"/>
        <v>55740.298287308142</v>
      </c>
      <c r="R1391">
        <f t="shared" si="1052"/>
        <v>367847.94645528536</v>
      </c>
      <c r="S1391">
        <f t="shared" si="1053"/>
        <v>3.6784794645528538</v>
      </c>
      <c r="T1391">
        <f t="shared" si="1054"/>
        <v>3.6784794645528538E-3</v>
      </c>
    </row>
    <row r="1392" spans="1:20" x14ac:dyDescent="0.25">
      <c r="A1392" s="5">
        <v>43201</v>
      </c>
      <c r="B1392">
        <v>6839.56</v>
      </c>
      <c r="C1392">
        <v>6990</v>
      </c>
      <c r="D1392">
        <v>6787</v>
      </c>
      <c r="E1392">
        <v>6953.79</v>
      </c>
      <c r="F1392">
        <v>23997.871177000001</v>
      </c>
      <c r="G1392">
        <v>1.67</v>
      </c>
      <c r="L1392" t="s">
        <v>7</v>
      </c>
      <c r="M1392" t="s">
        <v>7</v>
      </c>
      <c r="N1392" t="s">
        <v>7</v>
      </c>
      <c r="P1392">
        <f t="shared" si="1050"/>
        <v>0.64325123152709329</v>
      </c>
      <c r="Q1392">
        <f t="shared" si="1051"/>
        <v>15436.660188633787</v>
      </c>
      <c r="R1392">
        <f t="shared" si="1052"/>
        <v>312107.64816797723</v>
      </c>
      <c r="S1392">
        <f t="shared" si="1053"/>
        <v>3.1210764816797725</v>
      </c>
      <c r="T1392">
        <f t="shared" si="1054"/>
        <v>3.1210764816797724E-3</v>
      </c>
    </row>
    <row r="1393" spans="1:20" x14ac:dyDescent="0.25">
      <c r="A1393" s="5">
        <v>43200</v>
      </c>
      <c r="B1393">
        <v>6781.55</v>
      </c>
      <c r="C1393">
        <v>6890</v>
      </c>
      <c r="D1393">
        <v>6656</v>
      </c>
      <c r="E1393">
        <v>6843.9</v>
      </c>
      <c r="F1393">
        <v>22326.728094999999</v>
      </c>
      <c r="G1393">
        <v>0.92</v>
      </c>
      <c r="L1393" t="s">
        <v>7</v>
      </c>
      <c r="M1393" t="s">
        <v>7</v>
      </c>
      <c r="N1393" t="s">
        <v>7</v>
      </c>
      <c r="P1393">
        <f t="shared" si="1050"/>
        <v>0.60598290598290283</v>
      </c>
      <c r="Q1393">
        <f t="shared" si="1051"/>
        <v>13529.615572098219</v>
      </c>
      <c r="R1393">
        <f t="shared" si="1052"/>
        <v>296670.98797934345</v>
      </c>
      <c r="S1393">
        <f t="shared" si="1053"/>
        <v>2.9667098797934344</v>
      </c>
      <c r="T1393">
        <f t="shared" si="1054"/>
        <v>2.9667098797934344E-3</v>
      </c>
    </row>
    <row r="1394" spans="1:20" x14ac:dyDescent="0.25">
      <c r="A1394" s="5">
        <v>43199</v>
      </c>
      <c r="B1394">
        <v>7011.04</v>
      </c>
      <c r="C1394">
        <v>7185</v>
      </c>
      <c r="D1394">
        <v>6611</v>
      </c>
      <c r="E1394">
        <v>6782.72</v>
      </c>
      <c r="F1394">
        <v>34078.297206000003</v>
      </c>
      <c r="G1394">
        <v>-3.26</v>
      </c>
      <c r="L1394" t="s">
        <v>8</v>
      </c>
      <c r="M1394" t="s">
        <v>7</v>
      </c>
      <c r="N1394" t="s">
        <v>7</v>
      </c>
      <c r="P1394">
        <f t="shared" si="1050"/>
        <v>-0.40167247386759491</v>
      </c>
      <c r="Q1394">
        <f t="shared" si="1051"/>
        <v>-13688.313943929168</v>
      </c>
      <c r="R1394">
        <f t="shared" si="1052"/>
        <v>283141.37240724522</v>
      </c>
      <c r="S1394">
        <f t="shared" si="1053"/>
        <v>2.8314137240724522</v>
      </c>
      <c r="T1394">
        <f t="shared" si="1054"/>
        <v>2.8314137240724522E-3</v>
      </c>
    </row>
    <row r="1395" spans="1:20" x14ac:dyDescent="0.25">
      <c r="A1395" s="5">
        <v>43198</v>
      </c>
      <c r="B1395">
        <v>6895.81</v>
      </c>
      <c r="C1395">
        <v>7109.13</v>
      </c>
      <c r="D1395">
        <v>6880</v>
      </c>
      <c r="E1395">
        <v>7018</v>
      </c>
      <c r="F1395">
        <v>21427.673165</v>
      </c>
      <c r="G1395">
        <v>1.77</v>
      </c>
      <c r="L1395" t="s">
        <v>8</v>
      </c>
      <c r="M1395" t="s">
        <v>7</v>
      </c>
      <c r="N1395" t="s">
        <v>7</v>
      </c>
      <c r="P1395">
        <f t="shared" si="1050"/>
        <v>0.20455636538209693</v>
      </c>
      <c r="Q1395">
        <f t="shared" si="1051"/>
        <v>4383.1669412278934</v>
      </c>
      <c r="R1395">
        <f t="shared" si="1052"/>
        <v>296829.68635117437</v>
      </c>
      <c r="S1395">
        <f t="shared" si="1053"/>
        <v>2.9682968635117439</v>
      </c>
      <c r="T1395">
        <f t="shared" si="1054"/>
        <v>2.9682968635117439E-3</v>
      </c>
    </row>
    <row r="1396" spans="1:20" x14ac:dyDescent="0.25">
      <c r="A1396" s="5">
        <v>43197</v>
      </c>
      <c r="B1396">
        <v>6601.39</v>
      </c>
      <c r="C1396">
        <v>7070</v>
      </c>
      <c r="D1396">
        <v>6586.28</v>
      </c>
      <c r="E1396">
        <v>6895.8</v>
      </c>
      <c r="F1396">
        <v>32269.578267000001</v>
      </c>
      <c r="G1396">
        <v>4.46</v>
      </c>
      <c r="L1396" t="s">
        <v>8</v>
      </c>
      <c r="M1396" t="s">
        <v>7</v>
      </c>
      <c r="N1396" t="s">
        <v>7</v>
      </c>
      <c r="P1396">
        <f t="shared" si="1050"/>
        <v>0.27974861490118363</v>
      </c>
      <c r="Q1396">
        <f t="shared" si="1051"/>
        <v>9027.3698236385881</v>
      </c>
      <c r="R1396">
        <f t="shared" si="1052"/>
        <v>292446.51940994646</v>
      </c>
      <c r="S1396">
        <f t="shared" si="1053"/>
        <v>2.9244651940994646</v>
      </c>
      <c r="T1396">
        <f t="shared" si="1054"/>
        <v>2.9244651940994646E-3</v>
      </c>
    </row>
    <row r="1397" spans="1:20" x14ac:dyDescent="0.25">
      <c r="A1397" s="5">
        <v>43196</v>
      </c>
      <c r="B1397">
        <v>6770</v>
      </c>
      <c r="C1397">
        <v>6850</v>
      </c>
      <c r="D1397">
        <v>6500</v>
      </c>
      <c r="E1397">
        <v>6601.39</v>
      </c>
      <c r="F1397">
        <v>27455.011920000001</v>
      </c>
      <c r="G1397">
        <v>-2.4900000000000002</v>
      </c>
      <c r="L1397" t="s">
        <v>7</v>
      </c>
      <c r="M1397" t="s">
        <v>7</v>
      </c>
      <c r="N1397" t="s">
        <v>7</v>
      </c>
      <c r="P1397">
        <f t="shared" si="1050"/>
        <v>-0.42062857142856958</v>
      </c>
      <c r="Q1397">
        <f t="shared" si="1051"/>
        <v>-11548.362442463949</v>
      </c>
      <c r="R1397">
        <f t="shared" si="1052"/>
        <v>283419.14958630787</v>
      </c>
      <c r="S1397">
        <f t="shared" si="1053"/>
        <v>2.8341914958630787</v>
      </c>
      <c r="T1397">
        <f t="shared" si="1054"/>
        <v>2.8341914958630787E-3</v>
      </c>
    </row>
    <row r="1398" spans="1:20" x14ac:dyDescent="0.25">
      <c r="A1398" s="5">
        <v>43195</v>
      </c>
      <c r="B1398">
        <v>6796.1</v>
      </c>
      <c r="C1398">
        <v>6902</v>
      </c>
      <c r="D1398">
        <v>6566.69</v>
      </c>
      <c r="E1398">
        <v>6770.76</v>
      </c>
      <c r="F1398">
        <v>39029.731460000003</v>
      </c>
      <c r="G1398">
        <v>-0.37</v>
      </c>
      <c r="L1398" t="s">
        <v>7</v>
      </c>
      <c r="M1398" t="s">
        <v>7</v>
      </c>
      <c r="N1398" t="s">
        <v>7</v>
      </c>
      <c r="P1398">
        <f t="shared" si="1050"/>
        <v>0.21720199218633726</v>
      </c>
      <c r="Q1398">
        <f t="shared" si="1051"/>
        <v>8477.3354276097616</v>
      </c>
      <c r="R1398">
        <f t="shared" si="1052"/>
        <v>294967.5120287718</v>
      </c>
      <c r="S1398">
        <f t="shared" si="1053"/>
        <v>2.9496751202877181</v>
      </c>
      <c r="T1398">
        <f t="shared" si="1054"/>
        <v>2.9496751202877178E-3</v>
      </c>
    </row>
    <row r="1399" spans="1:20" x14ac:dyDescent="0.25">
      <c r="A1399" s="5">
        <v>43194</v>
      </c>
      <c r="B1399">
        <v>7405.21</v>
      </c>
      <c r="C1399">
        <v>7427.52</v>
      </c>
      <c r="D1399">
        <v>6707</v>
      </c>
      <c r="E1399">
        <v>6796.1</v>
      </c>
      <c r="F1399">
        <v>42227.183804</v>
      </c>
      <c r="G1399">
        <v>-8.23</v>
      </c>
      <c r="L1399" t="s">
        <v>7</v>
      </c>
      <c r="M1399" t="s">
        <v>7</v>
      </c>
      <c r="N1399" t="s">
        <v>7</v>
      </c>
      <c r="P1399">
        <f t="shared" si="1050"/>
        <v>-0.75267862099594651</v>
      </c>
      <c r="Q1399">
        <f t="shared" si="1051"/>
        <v>-31783.498474137086</v>
      </c>
      <c r="R1399">
        <f t="shared" si="1052"/>
        <v>286490.17660116206</v>
      </c>
      <c r="S1399">
        <f t="shared" si="1053"/>
        <v>2.8649017660116205</v>
      </c>
      <c r="T1399">
        <f t="shared" si="1054"/>
        <v>2.8649017660116204E-3</v>
      </c>
    </row>
    <row r="1400" spans="1:20" x14ac:dyDescent="0.25">
      <c r="A1400" s="5">
        <v>43193</v>
      </c>
      <c r="B1400">
        <v>7063.97</v>
      </c>
      <c r="C1400">
        <v>7520</v>
      </c>
      <c r="D1400">
        <v>7011.01</v>
      </c>
      <c r="E1400">
        <v>7405.21</v>
      </c>
      <c r="F1400">
        <v>37787.331810999996</v>
      </c>
      <c r="G1400">
        <v>4.83</v>
      </c>
      <c r="L1400" t="s">
        <v>8</v>
      </c>
      <c r="M1400" t="s">
        <v>7</v>
      </c>
      <c r="N1400" t="s">
        <v>7</v>
      </c>
      <c r="P1400">
        <f t="shared" si="1050"/>
        <v>0.54894988113715393</v>
      </c>
      <c r="Q1400">
        <f t="shared" si="1051"/>
        <v>20743.351306138644</v>
      </c>
      <c r="R1400">
        <f t="shared" si="1052"/>
        <v>318273.67507529916</v>
      </c>
      <c r="S1400">
        <f t="shared" si="1053"/>
        <v>3.1827367507529916</v>
      </c>
      <c r="T1400">
        <f t="shared" si="1054"/>
        <v>3.1827367507529917E-3</v>
      </c>
    </row>
    <row r="1401" spans="1:20" x14ac:dyDescent="0.25">
      <c r="A1401" s="5">
        <v>43192</v>
      </c>
      <c r="B1401">
        <v>6813.01</v>
      </c>
      <c r="C1401">
        <v>7125</v>
      </c>
      <c r="D1401">
        <v>6765</v>
      </c>
      <c r="E1401">
        <v>7056</v>
      </c>
      <c r="F1401">
        <v>32123.560072</v>
      </c>
      <c r="G1401">
        <v>3.57</v>
      </c>
      <c r="L1401" t="s">
        <v>8</v>
      </c>
      <c r="M1401" t="s">
        <v>7</v>
      </c>
      <c r="N1401" t="s">
        <v>7</v>
      </c>
      <c r="P1401">
        <f t="shared" si="1050"/>
        <v>0.6166666666666667</v>
      </c>
      <c r="Q1401">
        <f t="shared" si="1051"/>
        <v>19809.528711066669</v>
      </c>
      <c r="R1401">
        <f t="shared" si="1052"/>
        <v>297530.32376916055</v>
      </c>
      <c r="S1401">
        <f t="shared" si="1053"/>
        <v>2.9753032376916053</v>
      </c>
      <c r="T1401">
        <f t="shared" si="1054"/>
        <v>2.9753032376916054E-3</v>
      </c>
    </row>
    <row r="1402" spans="1:20" x14ac:dyDescent="0.25">
      <c r="A1402" s="5">
        <v>43191</v>
      </c>
      <c r="B1402">
        <v>6922</v>
      </c>
      <c r="C1402">
        <v>7049.98</v>
      </c>
      <c r="D1402">
        <v>6430</v>
      </c>
      <c r="E1402">
        <v>6813.01</v>
      </c>
      <c r="F1402">
        <v>44071.430462999997</v>
      </c>
      <c r="G1402">
        <v>-1.57</v>
      </c>
      <c r="L1402" t="s">
        <v>7</v>
      </c>
      <c r="M1402" t="s">
        <v>7</v>
      </c>
      <c r="N1402" t="s">
        <v>7</v>
      </c>
      <c r="P1402">
        <f t="shared" si="1050"/>
        <v>0.2355559856769589</v>
      </c>
      <c r="Q1402">
        <f t="shared" si="1051"/>
        <v>10381.289242905517</v>
      </c>
      <c r="R1402">
        <f t="shared" si="1052"/>
        <v>277720.79505809385</v>
      </c>
      <c r="S1402">
        <f t="shared" si="1053"/>
        <v>2.7772079505809386</v>
      </c>
      <c r="T1402">
        <f t="shared" si="1054"/>
        <v>2.7772079505809385E-3</v>
      </c>
    </row>
    <row r="1403" spans="1:20" x14ac:dyDescent="0.25">
      <c r="A1403" s="5">
        <v>43190</v>
      </c>
      <c r="B1403">
        <v>6840.24</v>
      </c>
      <c r="C1403">
        <v>7223.36</v>
      </c>
      <c r="D1403">
        <v>6777</v>
      </c>
      <c r="E1403">
        <v>6923.91</v>
      </c>
      <c r="F1403">
        <v>36868.539086999997</v>
      </c>
      <c r="G1403">
        <v>1.22</v>
      </c>
      <c r="L1403" t="s">
        <v>8</v>
      </c>
      <c r="M1403" t="s">
        <v>7</v>
      </c>
      <c r="N1403" t="s">
        <v>7</v>
      </c>
      <c r="P1403">
        <f t="shared" si="1050"/>
        <v>-0.34174209158526769</v>
      </c>
      <c r="Q1403">
        <f t="shared" si="1051"/>
        <v>-12599.531661284575</v>
      </c>
      <c r="R1403">
        <f t="shared" si="1052"/>
        <v>267339.50581518834</v>
      </c>
      <c r="S1403">
        <f t="shared" si="1053"/>
        <v>2.6733950581518835</v>
      </c>
      <c r="T1403">
        <f t="shared" si="1054"/>
        <v>2.6733950581518833E-3</v>
      </c>
    </row>
    <row r="1404" spans="1:20" x14ac:dyDescent="0.25">
      <c r="A1404" s="5">
        <v>43189</v>
      </c>
      <c r="B1404">
        <v>7090.16</v>
      </c>
      <c r="C1404">
        <v>7292.43</v>
      </c>
      <c r="D1404">
        <v>6600.1</v>
      </c>
      <c r="E1404">
        <v>6840.23</v>
      </c>
      <c r="F1404">
        <v>65306.031975999998</v>
      </c>
      <c r="G1404">
        <v>-3.53</v>
      </c>
      <c r="L1404" t="s">
        <v>7</v>
      </c>
      <c r="M1404" t="s">
        <v>7</v>
      </c>
      <c r="N1404" t="s">
        <v>7</v>
      </c>
      <c r="P1404">
        <f t="shared" si="1050"/>
        <v>-0.30631346323285363</v>
      </c>
      <c r="Q1404">
        <f t="shared" si="1051"/>
        <v>-20004.11682456404</v>
      </c>
      <c r="R1404">
        <f t="shared" si="1052"/>
        <v>279939.03747647291</v>
      </c>
      <c r="S1404">
        <f t="shared" si="1053"/>
        <v>2.7993903747647289</v>
      </c>
      <c r="T1404">
        <f t="shared" si="1054"/>
        <v>2.7993903747647289E-3</v>
      </c>
    </row>
    <row r="1405" spans="1:20" x14ac:dyDescent="0.25">
      <c r="A1405" s="5">
        <v>43188</v>
      </c>
      <c r="B1405">
        <v>7949.3</v>
      </c>
      <c r="C1405">
        <v>7975</v>
      </c>
      <c r="D1405">
        <v>6941.11</v>
      </c>
      <c r="E1405">
        <v>7090.14</v>
      </c>
      <c r="F1405">
        <v>54620.915125</v>
      </c>
      <c r="G1405">
        <v>-10.81</v>
      </c>
      <c r="L1405" t="s">
        <v>7</v>
      </c>
      <c r="M1405" t="s">
        <v>7</v>
      </c>
      <c r="N1405" t="s">
        <v>7</v>
      </c>
      <c r="P1405">
        <f t="shared" si="1050"/>
        <v>-0.71171014324541182</v>
      </c>
      <c r="Q1405">
        <f t="shared" si="1051"/>
        <v>-38874.259327809232</v>
      </c>
      <c r="R1405">
        <f t="shared" si="1052"/>
        <v>299943.15430103696</v>
      </c>
      <c r="S1405">
        <f t="shared" si="1053"/>
        <v>2.9994315430103695</v>
      </c>
      <c r="T1405">
        <f t="shared" si="1054"/>
        <v>2.9994315430103696E-3</v>
      </c>
    </row>
    <row r="1406" spans="1:20" x14ac:dyDescent="0.25">
      <c r="A1406" s="5">
        <v>43187</v>
      </c>
      <c r="B1406">
        <v>7795.51</v>
      </c>
      <c r="C1406">
        <v>8109</v>
      </c>
      <c r="D1406">
        <v>7728</v>
      </c>
      <c r="E1406">
        <v>7949.3</v>
      </c>
      <c r="F1406">
        <v>26401.33167</v>
      </c>
      <c r="G1406">
        <v>1.97</v>
      </c>
      <c r="L1406" t="s">
        <v>7</v>
      </c>
      <c r="M1406" t="s">
        <v>7</v>
      </c>
      <c r="N1406" t="s">
        <v>7</v>
      </c>
      <c r="P1406">
        <f t="shared" si="1050"/>
        <v>0.16167979002624766</v>
      </c>
      <c r="Q1406">
        <f t="shared" si="1051"/>
        <v>4268.5617608189223</v>
      </c>
      <c r="R1406">
        <f t="shared" si="1052"/>
        <v>338817.41362884617</v>
      </c>
      <c r="S1406">
        <f t="shared" si="1053"/>
        <v>3.3881741362884616</v>
      </c>
      <c r="T1406">
        <f t="shared" si="1054"/>
        <v>3.3881741362884617E-3</v>
      </c>
    </row>
    <row r="1407" spans="1:20" x14ac:dyDescent="0.25">
      <c r="A1407" s="5">
        <v>43186</v>
      </c>
      <c r="B1407">
        <v>8134.22</v>
      </c>
      <c r="C1407">
        <v>8215.94</v>
      </c>
      <c r="D1407">
        <v>7730</v>
      </c>
      <c r="E1407">
        <v>7795.51</v>
      </c>
      <c r="F1407">
        <v>37427.648050000003</v>
      </c>
      <c r="G1407">
        <v>-4.16</v>
      </c>
      <c r="L1407" t="s">
        <v>7</v>
      </c>
      <c r="M1407" t="s">
        <v>7</v>
      </c>
      <c r="N1407" t="s">
        <v>7</v>
      </c>
      <c r="P1407">
        <f t="shared" ref="P1407:P1470" si="1055">IF(C1407=D1407,0,((E1407-D1407)-(C1407-E1407))/(C1407-D1407))</f>
        <v>-0.73037823599621288</v>
      </c>
      <c r="Q1407">
        <f t="shared" ref="Q1407:Q1470" si="1056">F1407*P1407</f>
        <v>-27336.339560246099</v>
      </c>
      <c r="R1407">
        <f t="shared" ref="R1407:R1470" si="1057">R1408+Q1407</f>
        <v>334548.85186802724</v>
      </c>
      <c r="S1407">
        <f t="shared" ref="S1407:S1470" si="1058">R1407/100000</f>
        <v>3.3454885186802725</v>
      </c>
      <c r="T1407">
        <f t="shared" ref="T1407:T1470" si="1059">S1407/1000</f>
        <v>3.3454885186802725E-3</v>
      </c>
    </row>
    <row r="1408" spans="1:20" x14ac:dyDescent="0.25">
      <c r="A1408" s="5">
        <v>43185</v>
      </c>
      <c r="B1408">
        <v>8470.14</v>
      </c>
      <c r="C1408">
        <v>8514.89</v>
      </c>
      <c r="D1408">
        <v>7831</v>
      </c>
      <c r="E1408">
        <v>8134.23</v>
      </c>
      <c r="F1408">
        <v>44033.595659999999</v>
      </c>
      <c r="G1408">
        <v>-3.97</v>
      </c>
      <c r="L1408" t="s">
        <v>7</v>
      </c>
      <c r="M1408" t="s">
        <v>7</v>
      </c>
      <c r="N1408" t="s">
        <v>7</v>
      </c>
      <c r="P1408">
        <f t="shared" si="1055"/>
        <v>-0.11321996227463534</v>
      </c>
      <c r="Q1408">
        <f t="shared" si="1056"/>
        <v>-4985.4820394417466</v>
      </c>
      <c r="R1408">
        <f t="shared" si="1057"/>
        <v>361885.19142827333</v>
      </c>
      <c r="S1408">
        <f t="shared" si="1058"/>
        <v>3.6188519142827333</v>
      </c>
      <c r="T1408">
        <f t="shared" si="1059"/>
        <v>3.6188519142827335E-3</v>
      </c>
    </row>
    <row r="1409" spans="1:20" x14ac:dyDescent="0.25">
      <c r="A1409" s="5">
        <v>43184</v>
      </c>
      <c r="B1409">
        <v>8531.25</v>
      </c>
      <c r="C1409">
        <v>8669.85</v>
      </c>
      <c r="D1409">
        <v>8365.77</v>
      </c>
      <c r="E1409">
        <v>8470.15</v>
      </c>
      <c r="F1409">
        <v>29001.769316000002</v>
      </c>
      <c r="G1409">
        <v>-0.72</v>
      </c>
      <c r="L1409" t="s">
        <v>8</v>
      </c>
      <c r="M1409" t="s">
        <v>8</v>
      </c>
      <c r="N1409" t="s">
        <v>7</v>
      </c>
      <c r="P1409">
        <f t="shared" si="1055"/>
        <v>-0.31347013943699537</v>
      </c>
      <c r="Q1409">
        <f t="shared" si="1056"/>
        <v>-9091.1886714060947</v>
      </c>
      <c r="R1409">
        <f t="shared" si="1057"/>
        <v>366870.6734677151</v>
      </c>
      <c r="S1409">
        <f t="shared" si="1058"/>
        <v>3.6687067346771509</v>
      </c>
      <c r="T1409">
        <f t="shared" si="1059"/>
        <v>3.668706734677151E-3</v>
      </c>
    </row>
    <row r="1410" spans="1:20" x14ac:dyDescent="0.25">
      <c r="A1410" s="5">
        <v>43183</v>
      </c>
      <c r="B1410">
        <v>8898.0400000000009</v>
      </c>
      <c r="C1410">
        <v>8999.9500000000007</v>
      </c>
      <c r="D1410">
        <v>8491</v>
      </c>
      <c r="E1410">
        <v>8546.86</v>
      </c>
      <c r="F1410">
        <v>35466.609572000001</v>
      </c>
      <c r="G1410">
        <v>-3.95</v>
      </c>
      <c r="L1410" t="s">
        <v>8</v>
      </c>
      <c r="M1410" t="s">
        <v>8</v>
      </c>
      <c r="N1410" t="s">
        <v>7</v>
      </c>
      <c r="P1410">
        <f t="shared" si="1055"/>
        <v>-0.78048924255820606</v>
      </c>
      <c r="Q1410">
        <f t="shared" si="1056"/>
        <v>-27681.307240957904</v>
      </c>
      <c r="R1410">
        <f t="shared" si="1057"/>
        <v>375961.86213912116</v>
      </c>
      <c r="S1410">
        <f t="shared" si="1058"/>
        <v>3.7596186213912115</v>
      </c>
      <c r="T1410">
        <f t="shared" si="1059"/>
        <v>3.7596186213912117E-3</v>
      </c>
    </row>
    <row r="1411" spans="1:20" x14ac:dyDescent="0.25">
      <c r="A1411" s="5">
        <v>43182</v>
      </c>
      <c r="B1411">
        <v>8720</v>
      </c>
      <c r="C1411">
        <v>8909</v>
      </c>
      <c r="D1411">
        <v>8269</v>
      </c>
      <c r="E1411">
        <v>8898.0300000000007</v>
      </c>
      <c r="F1411">
        <v>39991.007665999998</v>
      </c>
      <c r="G1411">
        <v>2.04</v>
      </c>
      <c r="L1411" t="s">
        <v>7</v>
      </c>
      <c r="M1411" t="s">
        <v>8</v>
      </c>
      <c r="N1411" t="s">
        <v>7</v>
      </c>
      <c r="P1411">
        <f t="shared" si="1055"/>
        <v>0.96571875000000207</v>
      </c>
      <c r="Q1411">
        <f t="shared" si="1056"/>
        <v>38620.065934450016</v>
      </c>
      <c r="R1411">
        <f t="shared" si="1057"/>
        <v>403643.16938007908</v>
      </c>
      <c r="S1411">
        <f t="shared" si="1058"/>
        <v>4.0364316938007905</v>
      </c>
      <c r="T1411">
        <f t="shared" si="1059"/>
        <v>4.0364316938007903E-3</v>
      </c>
    </row>
    <row r="1412" spans="1:20" x14ac:dyDescent="0.25">
      <c r="A1412" s="5">
        <v>43181</v>
      </c>
      <c r="B1412">
        <v>8884.82</v>
      </c>
      <c r="C1412">
        <v>9100</v>
      </c>
      <c r="D1412">
        <v>8465.1</v>
      </c>
      <c r="E1412">
        <v>8722.9</v>
      </c>
      <c r="F1412">
        <v>40617.556809000002</v>
      </c>
      <c r="G1412">
        <v>-1.82</v>
      </c>
      <c r="L1412" t="s">
        <v>7</v>
      </c>
      <c r="M1412" t="s">
        <v>8</v>
      </c>
      <c r="N1412" t="s">
        <v>7</v>
      </c>
      <c r="P1412">
        <f t="shared" si="1055"/>
        <v>-0.18790360686722501</v>
      </c>
      <c r="Q1412">
        <f t="shared" si="1056"/>
        <v>-7632.1854265455149</v>
      </c>
      <c r="R1412">
        <f t="shared" si="1057"/>
        <v>365023.10344562907</v>
      </c>
      <c r="S1412">
        <f t="shared" si="1058"/>
        <v>3.6502310344562905</v>
      </c>
      <c r="T1412">
        <f t="shared" si="1059"/>
        <v>3.6502310344562906E-3</v>
      </c>
    </row>
    <row r="1413" spans="1:20" x14ac:dyDescent="0.25">
      <c r="A1413" s="5">
        <v>43180</v>
      </c>
      <c r="B1413">
        <v>8909.9599999999991</v>
      </c>
      <c r="C1413">
        <v>9177.01</v>
      </c>
      <c r="D1413">
        <v>8750.6</v>
      </c>
      <c r="E1413">
        <v>8885</v>
      </c>
      <c r="F1413">
        <v>39972.405371000001</v>
      </c>
      <c r="G1413">
        <v>-0.28000000000000003</v>
      </c>
      <c r="L1413" t="s">
        <v>8</v>
      </c>
      <c r="M1413" t="s">
        <v>8</v>
      </c>
      <c r="N1413" t="s">
        <v>7</v>
      </c>
      <c r="P1413">
        <f t="shared" si="1055"/>
        <v>-0.36962078750498495</v>
      </c>
      <c r="Q1413">
        <f t="shared" si="1056"/>
        <v>-14774.631951697511</v>
      </c>
      <c r="R1413">
        <f t="shared" si="1057"/>
        <v>372655.28887217457</v>
      </c>
      <c r="S1413">
        <f t="shared" si="1058"/>
        <v>3.7265528887217458</v>
      </c>
      <c r="T1413">
        <f t="shared" si="1059"/>
        <v>3.7265528887217457E-3</v>
      </c>
    </row>
    <row r="1414" spans="1:20" x14ac:dyDescent="0.25">
      <c r="A1414" s="5">
        <v>43179</v>
      </c>
      <c r="B1414">
        <v>8595.01</v>
      </c>
      <c r="C1414">
        <v>9050</v>
      </c>
      <c r="D1414">
        <v>8280</v>
      </c>
      <c r="E1414">
        <v>8909.98</v>
      </c>
      <c r="F1414">
        <v>44865.105835000002</v>
      </c>
      <c r="G1414">
        <v>3.66</v>
      </c>
      <c r="L1414" t="s">
        <v>8</v>
      </c>
      <c r="M1414" t="s">
        <v>8</v>
      </c>
      <c r="N1414" t="s">
        <v>7</v>
      </c>
      <c r="P1414">
        <f t="shared" si="1055"/>
        <v>0.63631168831168716</v>
      </c>
      <c r="Q1414">
        <f t="shared" si="1056"/>
        <v>28548.19124015138</v>
      </c>
      <c r="R1414">
        <f t="shared" si="1057"/>
        <v>387429.92082387209</v>
      </c>
      <c r="S1414">
        <f t="shared" si="1058"/>
        <v>3.8742992082387211</v>
      </c>
      <c r="T1414">
        <f t="shared" si="1059"/>
        <v>3.8742992082387213E-3</v>
      </c>
    </row>
    <row r="1415" spans="1:20" x14ac:dyDescent="0.25">
      <c r="A1415" s="5">
        <v>43178</v>
      </c>
      <c r="B1415">
        <v>8189</v>
      </c>
      <c r="C1415">
        <v>8705.23</v>
      </c>
      <c r="D1415">
        <v>8088.4</v>
      </c>
      <c r="E1415">
        <v>8600</v>
      </c>
      <c r="F1415">
        <v>55297.084942000001</v>
      </c>
      <c r="G1415">
        <v>5.0199999999999996</v>
      </c>
      <c r="L1415" t="s">
        <v>8</v>
      </c>
      <c r="M1415" t="s">
        <v>7</v>
      </c>
      <c r="N1415" t="s">
        <v>7</v>
      </c>
      <c r="P1415">
        <f t="shared" si="1055"/>
        <v>0.65880388437657189</v>
      </c>
      <c r="Q1415">
        <f t="shared" si="1056"/>
        <v>36429.934354490841</v>
      </c>
      <c r="R1415">
        <f t="shared" si="1057"/>
        <v>358881.72958372073</v>
      </c>
      <c r="S1415">
        <f t="shared" si="1058"/>
        <v>3.5888172958372073</v>
      </c>
      <c r="T1415">
        <f t="shared" si="1059"/>
        <v>3.5888172958372074E-3</v>
      </c>
    </row>
    <row r="1416" spans="1:20" x14ac:dyDescent="0.25">
      <c r="A1416" s="5">
        <v>43177</v>
      </c>
      <c r="B1416">
        <v>7824.01</v>
      </c>
      <c r="C1416">
        <v>8317.4</v>
      </c>
      <c r="D1416">
        <v>7322</v>
      </c>
      <c r="E1416">
        <v>8189.99</v>
      </c>
      <c r="F1416">
        <v>59488.231711</v>
      </c>
      <c r="G1416">
        <v>4.68</v>
      </c>
      <c r="L1416" t="s">
        <v>7</v>
      </c>
      <c r="M1416" t="s">
        <v>7</v>
      </c>
      <c r="N1416" t="s">
        <v>7</v>
      </c>
      <c r="P1416">
        <f t="shared" si="1055"/>
        <v>0.74400241109101883</v>
      </c>
      <c r="Q1416">
        <f t="shared" si="1056"/>
        <v>44259.387824525205</v>
      </c>
      <c r="R1416">
        <f t="shared" si="1057"/>
        <v>322451.7952292299</v>
      </c>
      <c r="S1416">
        <f t="shared" si="1058"/>
        <v>3.2245179522922989</v>
      </c>
      <c r="T1416">
        <f t="shared" si="1059"/>
        <v>3.2245179522922989E-3</v>
      </c>
    </row>
    <row r="1417" spans="1:20" x14ac:dyDescent="0.25">
      <c r="A1417" s="5">
        <v>43176</v>
      </c>
      <c r="B1417">
        <v>8260</v>
      </c>
      <c r="C1417">
        <v>8348.6200000000008</v>
      </c>
      <c r="D1417">
        <v>7721.99</v>
      </c>
      <c r="E1417">
        <v>7824.8</v>
      </c>
      <c r="F1417">
        <v>33110.206329000001</v>
      </c>
      <c r="G1417">
        <v>-5.27</v>
      </c>
      <c r="L1417" t="s">
        <v>7</v>
      </c>
      <c r="M1417" t="s">
        <v>7</v>
      </c>
      <c r="N1417" t="s">
        <v>7</v>
      </c>
      <c r="P1417">
        <f t="shared" si="1055"/>
        <v>-0.67186377926367957</v>
      </c>
      <c r="Q1417">
        <f t="shared" si="1056"/>
        <v>-22245.548356402142</v>
      </c>
      <c r="R1417">
        <f t="shared" si="1057"/>
        <v>278192.40740470472</v>
      </c>
      <c r="S1417">
        <f t="shared" si="1058"/>
        <v>2.7819240740470472</v>
      </c>
      <c r="T1417">
        <f t="shared" si="1059"/>
        <v>2.7819240740470474E-3</v>
      </c>
    </row>
    <row r="1418" spans="1:20" x14ac:dyDescent="0.25">
      <c r="A1418" s="5">
        <v>43175</v>
      </c>
      <c r="B1418">
        <v>8240.98</v>
      </c>
      <c r="C1418">
        <v>8611.64</v>
      </c>
      <c r="D1418">
        <v>7900</v>
      </c>
      <c r="E1418">
        <v>8260</v>
      </c>
      <c r="F1418">
        <v>38815.409892999996</v>
      </c>
      <c r="G1418">
        <v>0.23</v>
      </c>
      <c r="L1418" t="s">
        <v>8</v>
      </c>
      <c r="M1418" t="s">
        <v>7</v>
      </c>
      <c r="N1418" t="s">
        <v>7</v>
      </c>
      <c r="P1418">
        <f t="shared" si="1055"/>
        <v>1.1747512787365225E-2</v>
      </c>
      <c r="Q1418">
        <f t="shared" si="1056"/>
        <v>455.98452406484012</v>
      </c>
      <c r="R1418">
        <f t="shared" si="1057"/>
        <v>300437.95576110686</v>
      </c>
      <c r="S1418">
        <f t="shared" si="1058"/>
        <v>3.0043795576110686</v>
      </c>
      <c r="T1418">
        <f t="shared" si="1059"/>
        <v>3.0043795576110686E-3</v>
      </c>
    </row>
    <row r="1419" spans="1:20" x14ac:dyDescent="0.25">
      <c r="A1419" s="5">
        <v>43174</v>
      </c>
      <c r="B1419">
        <v>8184.01</v>
      </c>
      <c r="C1419">
        <v>8430</v>
      </c>
      <c r="D1419">
        <v>7650</v>
      </c>
      <c r="E1419">
        <v>8240.98</v>
      </c>
      <c r="F1419">
        <v>52291.022276999996</v>
      </c>
      <c r="G1419">
        <v>0.7</v>
      </c>
      <c r="L1419" t="s">
        <v>7</v>
      </c>
      <c r="M1419" t="s">
        <v>7</v>
      </c>
      <c r="N1419" t="s">
        <v>7</v>
      </c>
      <c r="P1419">
        <f t="shared" si="1055"/>
        <v>0.5153333333333322</v>
      </c>
      <c r="Q1419">
        <f t="shared" si="1056"/>
        <v>26947.306813413939</v>
      </c>
      <c r="R1419">
        <f t="shared" si="1057"/>
        <v>299981.97123704205</v>
      </c>
      <c r="S1419">
        <f t="shared" si="1058"/>
        <v>2.9998197123704204</v>
      </c>
      <c r="T1419">
        <f t="shared" si="1059"/>
        <v>2.9998197123704204E-3</v>
      </c>
    </row>
    <row r="1420" spans="1:20" x14ac:dyDescent="0.25">
      <c r="A1420" s="5">
        <v>43173</v>
      </c>
      <c r="B1420">
        <v>9151.92</v>
      </c>
      <c r="C1420">
        <v>9333.7800000000007</v>
      </c>
      <c r="D1420">
        <v>7900.28</v>
      </c>
      <c r="E1420">
        <v>8170</v>
      </c>
      <c r="F1420">
        <v>49708.094107999998</v>
      </c>
      <c r="G1420">
        <v>-10.73</v>
      </c>
      <c r="L1420" t="s">
        <v>7</v>
      </c>
      <c r="M1420" t="s">
        <v>7</v>
      </c>
      <c r="N1420" t="s">
        <v>7</v>
      </c>
      <c r="P1420">
        <f t="shared" si="1055"/>
        <v>-0.62369026857342158</v>
      </c>
      <c r="Q1420">
        <f t="shared" si="1056"/>
        <v>-31002.454564491432</v>
      </c>
      <c r="R1420">
        <f t="shared" si="1057"/>
        <v>273034.66442362813</v>
      </c>
      <c r="S1420">
        <f t="shared" si="1058"/>
        <v>2.7303466442362812</v>
      </c>
      <c r="T1420">
        <f t="shared" si="1059"/>
        <v>2.7303466442362813E-3</v>
      </c>
    </row>
    <row r="1421" spans="1:20" x14ac:dyDescent="0.25">
      <c r="A1421" s="5">
        <v>43172</v>
      </c>
      <c r="B1421">
        <v>9131.34</v>
      </c>
      <c r="C1421">
        <v>9474</v>
      </c>
      <c r="D1421">
        <v>8823</v>
      </c>
      <c r="E1421">
        <v>9150</v>
      </c>
      <c r="F1421">
        <v>40191.409357999997</v>
      </c>
      <c r="G1421">
        <v>0.2</v>
      </c>
      <c r="L1421" t="s">
        <v>7</v>
      </c>
      <c r="M1421" t="s">
        <v>7</v>
      </c>
      <c r="N1421" t="s">
        <v>7</v>
      </c>
      <c r="P1421">
        <f t="shared" si="1055"/>
        <v>4.608294930875576E-3</v>
      </c>
      <c r="Q1421">
        <f t="shared" si="1056"/>
        <v>185.21386800921658</v>
      </c>
      <c r="R1421">
        <f t="shared" si="1057"/>
        <v>304037.11898811953</v>
      </c>
      <c r="S1421">
        <f t="shared" si="1058"/>
        <v>3.0403711898811951</v>
      </c>
      <c r="T1421">
        <f t="shared" si="1059"/>
        <v>3.040371189881195E-3</v>
      </c>
    </row>
    <row r="1422" spans="1:20" x14ac:dyDescent="0.25">
      <c r="A1422" s="5">
        <v>43171</v>
      </c>
      <c r="B1422">
        <v>9533.57</v>
      </c>
      <c r="C1422">
        <v>9888.8799999999992</v>
      </c>
      <c r="D1422">
        <v>8780</v>
      </c>
      <c r="E1422">
        <v>9131.34</v>
      </c>
      <c r="F1422">
        <v>42230.777929999997</v>
      </c>
      <c r="G1422">
        <v>-4.22</v>
      </c>
      <c r="L1422" t="s">
        <v>8</v>
      </c>
      <c r="M1422" t="s">
        <v>7</v>
      </c>
      <c r="N1422" t="s">
        <v>7</v>
      </c>
      <c r="P1422">
        <f t="shared" si="1055"/>
        <v>-0.36631556164778806</v>
      </c>
      <c r="Q1422">
        <f t="shared" si="1056"/>
        <v>-15469.79113625096</v>
      </c>
      <c r="R1422">
        <f t="shared" si="1057"/>
        <v>303851.90512011031</v>
      </c>
      <c r="S1422">
        <f t="shared" si="1058"/>
        <v>3.0385190512011033</v>
      </c>
      <c r="T1422">
        <f t="shared" si="1059"/>
        <v>3.0385190512011032E-3</v>
      </c>
    </row>
    <row r="1423" spans="1:20" x14ac:dyDescent="0.25">
      <c r="A1423" s="5">
        <v>43170</v>
      </c>
      <c r="B1423">
        <v>8770.2199999999993</v>
      </c>
      <c r="C1423">
        <v>9740</v>
      </c>
      <c r="D1423">
        <v>8450</v>
      </c>
      <c r="E1423">
        <v>9533.57</v>
      </c>
      <c r="F1423">
        <v>44325.973385999998</v>
      </c>
      <c r="G1423">
        <v>8.6999999999999993</v>
      </c>
      <c r="L1423" t="s">
        <v>8</v>
      </c>
      <c r="M1423" t="s">
        <v>7</v>
      </c>
      <c r="N1423" t="s">
        <v>7</v>
      </c>
      <c r="P1423">
        <f t="shared" si="1055"/>
        <v>0.67995348837209257</v>
      </c>
      <c r="Q1423">
        <f t="shared" si="1056"/>
        <v>30139.600229299234</v>
      </c>
      <c r="R1423">
        <f t="shared" si="1057"/>
        <v>319321.69625636126</v>
      </c>
      <c r="S1423">
        <f t="shared" si="1058"/>
        <v>3.1932169625636124</v>
      </c>
      <c r="T1423">
        <f t="shared" si="1059"/>
        <v>3.1932169625636126E-3</v>
      </c>
    </row>
    <row r="1424" spans="1:20" x14ac:dyDescent="0.25">
      <c r="A1424" s="5">
        <v>43169</v>
      </c>
      <c r="B1424">
        <v>9230</v>
      </c>
      <c r="C1424">
        <v>9490</v>
      </c>
      <c r="D1424">
        <v>8667.07</v>
      </c>
      <c r="E1424">
        <v>8770.2199999999993</v>
      </c>
      <c r="F1424">
        <v>37180.012857000002</v>
      </c>
      <c r="G1424">
        <v>-4.9800000000000004</v>
      </c>
      <c r="L1424" t="s">
        <v>8</v>
      </c>
      <c r="M1424" t="s">
        <v>7</v>
      </c>
      <c r="N1424" t="s">
        <v>7</v>
      </c>
      <c r="P1424">
        <f t="shared" si="1055"/>
        <v>-0.74931039092024931</v>
      </c>
      <c r="Q1424">
        <f t="shared" si="1056"/>
        <v>-27859.369968298568</v>
      </c>
      <c r="R1424">
        <f t="shared" si="1057"/>
        <v>289182.09602706204</v>
      </c>
      <c r="S1424">
        <f t="shared" si="1058"/>
        <v>2.8918209602706204</v>
      </c>
      <c r="T1424">
        <f t="shared" si="1059"/>
        <v>2.8918209602706202E-3</v>
      </c>
    </row>
    <row r="1425" spans="1:20" x14ac:dyDescent="0.25">
      <c r="A1425" s="5">
        <v>43168</v>
      </c>
      <c r="B1425">
        <v>9267.07</v>
      </c>
      <c r="C1425">
        <v>9410</v>
      </c>
      <c r="D1425">
        <v>8329</v>
      </c>
      <c r="E1425">
        <v>9227</v>
      </c>
      <c r="F1425">
        <v>64112.291406999997</v>
      </c>
      <c r="G1425">
        <v>-0.43</v>
      </c>
      <c r="L1425" t="s">
        <v>7</v>
      </c>
      <c r="M1425" t="s">
        <v>7</v>
      </c>
      <c r="N1425" t="s">
        <v>7</v>
      </c>
      <c r="P1425">
        <f t="shared" si="1055"/>
        <v>0.66142460684551341</v>
      </c>
      <c r="Q1425">
        <f t="shared" si="1056"/>
        <v>42405.447137839961</v>
      </c>
      <c r="R1425">
        <f t="shared" si="1057"/>
        <v>317041.46599536063</v>
      </c>
      <c r="S1425">
        <f t="shared" si="1058"/>
        <v>3.1704146599536065</v>
      </c>
      <c r="T1425">
        <f t="shared" si="1059"/>
        <v>3.1704146599536064E-3</v>
      </c>
    </row>
    <row r="1426" spans="1:20" x14ac:dyDescent="0.25">
      <c r="A1426" s="5">
        <v>43167</v>
      </c>
      <c r="B1426">
        <v>9910</v>
      </c>
      <c r="C1426">
        <v>10099</v>
      </c>
      <c r="D1426">
        <v>9060</v>
      </c>
      <c r="E1426">
        <v>9271.64</v>
      </c>
      <c r="F1426">
        <v>41109.473226000002</v>
      </c>
      <c r="G1426">
        <v>-6.44</v>
      </c>
      <c r="L1426" t="s">
        <v>7</v>
      </c>
      <c r="M1426" t="s">
        <v>7</v>
      </c>
      <c r="N1426" t="s">
        <v>8</v>
      </c>
      <c r="P1426">
        <f t="shared" si="1055"/>
        <v>-0.59260827718960651</v>
      </c>
      <c r="Q1426">
        <f t="shared" si="1056"/>
        <v>-24361.814104632118</v>
      </c>
      <c r="R1426">
        <f t="shared" si="1057"/>
        <v>274636.01885752066</v>
      </c>
      <c r="S1426">
        <f t="shared" si="1058"/>
        <v>2.7463601885752067</v>
      </c>
      <c r="T1426">
        <f t="shared" si="1059"/>
        <v>2.7463601885752069E-3</v>
      </c>
    </row>
    <row r="1427" spans="1:20" x14ac:dyDescent="0.25">
      <c r="A1427" s="5">
        <v>43166</v>
      </c>
      <c r="B1427">
        <v>10716.48</v>
      </c>
      <c r="C1427">
        <v>10899</v>
      </c>
      <c r="D1427">
        <v>9389.31</v>
      </c>
      <c r="E1427">
        <v>9910</v>
      </c>
      <c r="F1427">
        <v>50647.67108</v>
      </c>
      <c r="G1427">
        <v>-7.53</v>
      </c>
      <c r="L1427" t="s">
        <v>7</v>
      </c>
      <c r="M1427" t="s">
        <v>7</v>
      </c>
      <c r="N1427" t="s">
        <v>8</v>
      </c>
      <c r="P1427">
        <f t="shared" si="1055"/>
        <v>-0.31020275685736765</v>
      </c>
      <c r="Q1427">
        <f t="shared" si="1056"/>
        <v>-15711.04719742117</v>
      </c>
      <c r="R1427">
        <f t="shared" si="1057"/>
        <v>298997.83296215278</v>
      </c>
      <c r="S1427">
        <f t="shared" si="1058"/>
        <v>2.9899783296215277</v>
      </c>
      <c r="T1427">
        <f t="shared" si="1059"/>
        <v>2.9899783296215275E-3</v>
      </c>
    </row>
    <row r="1428" spans="1:20" x14ac:dyDescent="0.25">
      <c r="A1428" s="5">
        <v>43165</v>
      </c>
      <c r="B1428">
        <v>11455</v>
      </c>
      <c r="C1428">
        <v>11455</v>
      </c>
      <c r="D1428">
        <v>10555.48</v>
      </c>
      <c r="E1428">
        <v>10716.48</v>
      </c>
      <c r="F1428">
        <v>29515.572362999999</v>
      </c>
      <c r="G1428">
        <v>-6.45</v>
      </c>
      <c r="L1428" t="s">
        <v>7</v>
      </c>
      <c r="M1428" t="s">
        <v>8</v>
      </c>
      <c r="N1428" t="s">
        <v>8</v>
      </c>
      <c r="P1428">
        <f t="shared" si="1055"/>
        <v>-0.64203130558520116</v>
      </c>
      <c r="Q1428">
        <f t="shared" si="1056"/>
        <v>-18949.921459311372</v>
      </c>
      <c r="R1428">
        <f t="shared" si="1057"/>
        <v>314708.88015957398</v>
      </c>
      <c r="S1428">
        <f t="shared" si="1058"/>
        <v>3.1470888015957397</v>
      </c>
      <c r="T1428">
        <f t="shared" si="1059"/>
        <v>3.1470888015957396E-3</v>
      </c>
    </row>
    <row r="1429" spans="1:20" x14ac:dyDescent="0.25">
      <c r="A1429" s="5">
        <v>43164</v>
      </c>
      <c r="B1429">
        <v>11515</v>
      </c>
      <c r="C1429">
        <v>11710</v>
      </c>
      <c r="D1429">
        <v>11415.01</v>
      </c>
      <c r="E1429">
        <v>11454</v>
      </c>
      <c r="F1429">
        <v>15144.231062999999</v>
      </c>
      <c r="G1429">
        <v>-0.53</v>
      </c>
      <c r="L1429" t="s">
        <v>8</v>
      </c>
      <c r="M1429" t="s">
        <v>8</v>
      </c>
      <c r="N1429" t="s">
        <v>8</v>
      </c>
      <c r="P1429">
        <f t="shared" si="1055"/>
        <v>-0.73565205600189965</v>
      </c>
      <c r="Q1429">
        <f t="shared" si="1056"/>
        <v>-11140.884718063784</v>
      </c>
      <c r="R1429">
        <f t="shared" si="1057"/>
        <v>333658.80161888537</v>
      </c>
      <c r="S1429">
        <f t="shared" si="1058"/>
        <v>3.3365880161888537</v>
      </c>
      <c r="T1429">
        <f t="shared" si="1059"/>
        <v>3.3365880161888538E-3</v>
      </c>
    </row>
    <row r="1430" spans="1:20" x14ac:dyDescent="0.25">
      <c r="A1430" s="5">
        <v>43163</v>
      </c>
      <c r="B1430">
        <v>11464.47</v>
      </c>
      <c r="C1430">
        <v>11565</v>
      </c>
      <c r="D1430">
        <v>11050.02</v>
      </c>
      <c r="E1430">
        <v>11515</v>
      </c>
      <c r="F1430">
        <v>17295.918653000001</v>
      </c>
      <c r="G1430">
        <v>0.44</v>
      </c>
      <c r="L1430" t="s">
        <v>8</v>
      </c>
      <c r="M1430" t="s">
        <v>8</v>
      </c>
      <c r="N1430" t="s">
        <v>8</v>
      </c>
      <c r="P1430">
        <f t="shared" si="1055"/>
        <v>0.80581770165831668</v>
      </c>
      <c r="Q1430">
        <f t="shared" si="1056"/>
        <v>13937.357417029669</v>
      </c>
      <c r="R1430">
        <f t="shared" si="1057"/>
        <v>344799.68633694918</v>
      </c>
      <c r="S1430">
        <f t="shared" si="1058"/>
        <v>3.4479968633694917</v>
      </c>
      <c r="T1430">
        <f t="shared" si="1059"/>
        <v>3.4479968633694918E-3</v>
      </c>
    </row>
    <row r="1431" spans="1:20" x14ac:dyDescent="0.25">
      <c r="A1431" s="5">
        <v>43162</v>
      </c>
      <c r="B1431">
        <v>11038.99</v>
      </c>
      <c r="C1431">
        <v>11544</v>
      </c>
      <c r="D1431">
        <v>11015.01</v>
      </c>
      <c r="E1431">
        <v>11464.48</v>
      </c>
      <c r="F1431">
        <v>21287.153279999999</v>
      </c>
      <c r="G1431">
        <v>3.85</v>
      </c>
      <c r="L1431" t="s">
        <v>8</v>
      </c>
      <c r="M1431" t="s">
        <v>8</v>
      </c>
      <c r="N1431" t="s">
        <v>8</v>
      </c>
      <c r="P1431">
        <f t="shared" si="1055"/>
        <v>0.69935159454809936</v>
      </c>
      <c r="Q1431">
        <f t="shared" si="1056"/>
        <v>14887.204589757803</v>
      </c>
      <c r="R1431">
        <f t="shared" si="1057"/>
        <v>330862.3289199195</v>
      </c>
      <c r="S1431">
        <f t="shared" si="1058"/>
        <v>3.3086232891991951</v>
      </c>
      <c r="T1431">
        <f t="shared" si="1059"/>
        <v>3.3086232891991951E-3</v>
      </c>
    </row>
    <row r="1432" spans="1:20" x14ac:dyDescent="0.25">
      <c r="A1432" s="5">
        <v>43161</v>
      </c>
      <c r="B1432">
        <v>10923.36</v>
      </c>
      <c r="C1432">
        <v>11200</v>
      </c>
      <c r="D1432">
        <v>10770</v>
      </c>
      <c r="E1432">
        <v>11039</v>
      </c>
      <c r="F1432">
        <v>23910.71009</v>
      </c>
      <c r="G1432">
        <v>1.06</v>
      </c>
      <c r="L1432" t="s">
        <v>8</v>
      </c>
      <c r="M1432" t="s">
        <v>8</v>
      </c>
      <c r="N1432" t="s">
        <v>8</v>
      </c>
      <c r="P1432">
        <f t="shared" si="1055"/>
        <v>0.25116279069767444</v>
      </c>
      <c r="Q1432">
        <f t="shared" si="1056"/>
        <v>6005.4806737674426</v>
      </c>
      <c r="R1432">
        <f t="shared" si="1057"/>
        <v>315975.12433016172</v>
      </c>
      <c r="S1432">
        <f t="shared" si="1058"/>
        <v>3.1597512433016171</v>
      </c>
      <c r="T1432">
        <f t="shared" si="1059"/>
        <v>3.1597512433016168E-3</v>
      </c>
    </row>
    <row r="1433" spans="1:20" x14ac:dyDescent="0.25">
      <c r="A1433" s="5">
        <v>43160</v>
      </c>
      <c r="B1433">
        <v>10325.64</v>
      </c>
      <c r="C1433">
        <v>11060.41</v>
      </c>
      <c r="D1433">
        <v>10240</v>
      </c>
      <c r="E1433">
        <v>10920</v>
      </c>
      <c r="F1433">
        <v>25092.553929999998</v>
      </c>
      <c r="G1433">
        <v>5.76</v>
      </c>
      <c r="L1433" t="s">
        <v>7</v>
      </c>
      <c r="M1433" t="s">
        <v>7</v>
      </c>
      <c r="N1433" t="s">
        <v>8</v>
      </c>
      <c r="P1433">
        <f t="shared" si="1055"/>
        <v>0.65770773150010386</v>
      </c>
      <c r="Q1433">
        <f t="shared" si="1056"/>
        <v>16503.566722844316</v>
      </c>
      <c r="R1433">
        <f t="shared" si="1057"/>
        <v>309969.64365639427</v>
      </c>
      <c r="S1433">
        <f t="shared" si="1058"/>
        <v>3.0996964365639426</v>
      </c>
      <c r="T1433">
        <f t="shared" si="1059"/>
        <v>3.0996964365639424E-3</v>
      </c>
    </row>
    <row r="1434" spans="1:20" x14ac:dyDescent="0.25">
      <c r="A1434" s="5">
        <v>43159</v>
      </c>
      <c r="B1434">
        <v>10584.33</v>
      </c>
      <c r="C1434">
        <v>11098</v>
      </c>
      <c r="D1434">
        <v>10300</v>
      </c>
      <c r="E1434">
        <v>10326.76</v>
      </c>
      <c r="F1434">
        <v>30800.983781999999</v>
      </c>
      <c r="G1434">
        <v>-2.4300000000000002</v>
      </c>
      <c r="L1434" t="s">
        <v>8</v>
      </c>
      <c r="M1434" t="s">
        <v>7</v>
      </c>
      <c r="N1434" t="s">
        <v>8</v>
      </c>
      <c r="P1434">
        <f t="shared" si="1055"/>
        <v>-0.93293233082706717</v>
      </c>
      <c r="Q1434">
        <f t="shared" si="1056"/>
        <v>-28735.233591507953</v>
      </c>
      <c r="R1434">
        <f t="shared" si="1057"/>
        <v>293466.07693354995</v>
      </c>
      <c r="S1434">
        <f t="shared" si="1058"/>
        <v>2.9346607693354994</v>
      </c>
      <c r="T1434">
        <f t="shared" si="1059"/>
        <v>2.9346607693354993E-3</v>
      </c>
    </row>
    <row r="1435" spans="1:20" x14ac:dyDescent="0.25">
      <c r="A1435" s="5">
        <v>43158</v>
      </c>
      <c r="B1435">
        <v>10321</v>
      </c>
      <c r="C1435">
        <v>10870</v>
      </c>
      <c r="D1435">
        <v>10121</v>
      </c>
      <c r="E1435">
        <v>10569.04</v>
      </c>
      <c r="F1435">
        <v>30705.385123</v>
      </c>
      <c r="G1435">
        <v>2.4</v>
      </c>
      <c r="L1435" t="s">
        <v>8</v>
      </c>
      <c r="M1435" t="s">
        <v>7</v>
      </c>
      <c r="N1435" t="s">
        <v>8</v>
      </c>
      <c r="P1435">
        <f t="shared" si="1055"/>
        <v>0.19636849132176468</v>
      </c>
      <c r="Q1435">
        <f t="shared" si="1056"/>
        <v>6029.5701520572675</v>
      </c>
      <c r="R1435">
        <f t="shared" si="1057"/>
        <v>322201.3105250579</v>
      </c>
      <c r="S1435">
        <f t="shared" si="1058"/>
        <v>3.2220131052505789</v>
      </c>
      <c r="T1435">
        <f t="shared" si="1059"/>
        <v>3.2220131052505788E-3</v>
      </c>
    </row>
    <row r="1436" spans="1:20" x14ac:dyDescent="0.25">
      <c r="A1436" s="5">
        <v>43157</v>
      </c>
      <c r="B1436">
        <v>9590</v>
      </c>
      <c r="C1436">
        <v>10444.32</v>
      </c>
      <c r="D1436">
        <v>9350</v>
      </c>
      <c r="E1436">
        <v>10324</v>
      </c>
      <c r="F1436">
        <v>34878.292756000003</v>
      </c>
      <c r="G1436">
        <v>7.65</v>
      </c>
      <c r="L1436" t="s">
        <v>8</v>
      </c>
      <c r="M1436" t="s">
        <v>7</v>
      </c>
      <c r="N1436" t="s">
        <v>8</v>
      </c>
      <c r="P1436">
        <f t="shared" si="1055"/>
        <v>0.78010088456758586</v>
      </c>
      <c r="Q1436">
        <f t="shared" si="1056"/>
        <v>27208.587031162824</v>
      </c>
      <c r="R1436">
        <f t="shared" si="1057"/>
        <v>316171.74037300062</v>
      </c>
      <c r="S1436">
        <f t="shared" si="1058"/>
        <v>3.1617174037300062</v>
      </c>
      <c r="T1436">
        <f t="shared" si="1059"/>
        <v>3.1617174037300061E-3</v>
      </c>
    </row>
    <row r="1437" spans="1:20" x14ac:dyDescent="0.25">
      <c r="A1437" s="5">
        <v>43156</v>
      </c>
      <c r="B1437">
        <v>9694.51</v>
      </c>
      <c r="C1437">
        <v>9847</v>
      </c>
      <c r="D1437">
        <v>9274.7999999999993</v>
      </c>
      <c r="E1437">
        <v>9590</v>
      </c>
      <c r="F1437">
        <v>28373.517586000002</v>
      </c>
      <c r="G1437">
        <v>-1.08</v>
      </c>
      <c r="L1437" t="s">
        <v>7</v>
      </c>
      <c r="M1437" t="s">
        <v>7</v>
      </c>
      <c r="N1437" t="s">
        <v>8</v>
      </c>
      <c r="P1437">
        <f t="shared" si="1055"/>
        <v>0.10171268787137479</v>
      </c>
      <c r="Q1437">
        <f t="shared" si="1056"/>
        <v>2885.9467380377814</v>
      </c>
      <c r="R1437">
        <f t="shared" si="1057"/>
        <v>288963.15334183781</v>
      </c>
      <c r="S1437">
        <f t="shared" si="1058"/>
        <v>2.889631533418378</v>
      </c>
      <c r="T1437">
        <f t="shared" si="1059"/>
        <v>2.8896315334183782E-3</v>
      </c>
    </row>
    <row r="1438" spans="1:20" x14ac:dyDescent="0.25">
      <c r="A1438" s="5">
        <v>43155</v>
      </c>
      <c r="B1438">
        <v>10131.040000000001</v>
      </c>
      <c r="C1438">
        <v>10496.97</v>
      </c>
      <c r="D1438">
        <v>9352</v>
      </c>
      <c r="E1438">
        <v>9694.51</v>
      </c>
      <c r="F1438">
        <v>40888.156299000002</v>
      </c>
      <c r="G1438">
        <v>-4.3099999999999996</v>
      </c>
      <c r="L1438" t="s">
        <v>7</v>
      </c>
      <c r="M1438" t="s">
        <v>7</v>
      </c>
      <c r="N1438" t="s">
        <v>8</v>
      </c>
      <c r="P1438">
        <f t="shared" si="1055"/>
        <v>-0.40171358201524859</v>
      </c>
      <c r="Q1438">
        <f t="shared" si="1056"/>
        <v>-16425.327728870641</v>
      </c>
      <c r="R1438">
        <f t="shared" si="1057"/>
        <v>286077.2066038</v>
      </c>
      <c r="S1438">
        <f t="shared" si="1058"/>
        <v>2.8607720660379998</v>
      </c>
      <c r="T1438">
        <f t="shared" si="1059"/>
        <v>2.8607720660379999E-3</v>
      </c>
    </row>
    <row r="1439" spans="1:20" x14ac:dyDescent="0.25">
      <c r="A1439" s="5">
        <v>43154</v>
      </c>
      <c r="B1439">
        <v>9815.5499999999993</v>
      </c>
      <c r="C1439">
        <v>10435</v>
      </c>
      <c r="D1439">
        <v>9570.19</v>
      </c>
      <c r="E1439">
        <v>10131.040000000001</v>
      </c>
      <c r="F1439">
        <v>57202.702369999999</v>
      </c>
      <c r="G1439">
        <v>3.21</v>
      </c>
      <c r="L1439" t="s">
        <v>7</v>
      </c>
      <c r="M1439" t="s">
        <v>7</v>
      </c>
      <c r="N1439" t="s">
        <v>8</v>
      </c>
      <c r="P1439">
        <f t="shared" si="1055"/>
        <v>0.2970479064765687</v>
      </c>
      <c r="Q1439">
        <f t="shared" si="1056"/>
        <v>16991.942983810754</v>
      </c>
      <c r="R1439">
        <f t="shared" si="1057"/>
        <v>302502.53433267062</v>
      </c>
      <c r="S1439">
        <f t="shared" si="1058"/>
        <v>3.025025343326706</v>
      </c>
      <c r="T1439">
        <f t="shared" si="1059"/>
        <v>3.0250253433267062E-3</v>
      </c>
    </row>
    <row r="1440" spans="1:20" x14ac:dyDescent="0.25">
      <c r="A1440" s="5">
        <v>43153</v>
      </c>
      <c r="B1440">
        <v>10439.02</v>
      </c>
      <c r="C1440">
        <v>10933.44</v>
      </c>
      <c r="D1440">
        <v>9679</v>
      </c>
      <c r="E1440">
        <v>9811.0400000000009</v>
      </c>
      <c r="F1440">
        <v>67060.166482999994</v>
      </c>
      <c r="G1440">
        <v>-6.02</v>
      </c>
      <c r="L1440" t="s">
        <v>7</v>
      </c>
      <c r="M1440" t="s">
        <v>7</v>
      </c>
      <c r="N1440" t="s">
        <v>8</v>
      </c>
      <c r="P1440">
        <f t="shared" si="1055"/>
        <v>-0.78948375370683199</v>
      </c>
      <c r="Q1440">
        <f t="shared" si="1056"/>
        <v>-52942.911959203913</v>
      </c>
      <c r="R1440">
        <f t="shared" si="1057"/>
        <v>285510.59134885989</v>
      </c>
      <c r="S1440">
        <f t="shared" si="1058"/>
        <v>2.855105913488599</v>
      </c>
      <c r="T1440">
        <f t="shared" si="1059"/>
        <v>2.8551059134885991E-3</v>
      </c>
    </row>
    <row r="1441" spans="1:20" x14ac:dyDescent="0.25">
      <c r="A1441" s="5">
        <v>43152</v>
      </c>
      <c r="B1441">
        <v>11195.07</v>
      </c>
      <c r="C1441">
        <v>11304.03</v>
      </c>
      <c r="D1441">
        <v>10200</v>
      </c>
      <c r="E1441">
        <v>10437.6</v>
      </c>
      <c r="F1441">
        <v>68113.818754000007</v>
      </c>
      <c r="G1441">
        <v>-6.77</v>
      </c>
      <c r="L1441" t="s">
        <v>7</v>
      </c>
      <c r="M1441" t="s">
        <v>8</v>
      </c>
      <c r="N1441" t="s">
        <v>8</v>
      </c>
      <c r="P1441">
        <f t="shared" si="1055"/>
        <v>-0.56957691367082375</v>
      </c>
      <c r="Q1441">
        <f t="shared" si="1056"/>
        <v>-38796.0586642372</v>
      </c>
      <c r="R1441">
        <f t="shared" si="1057"/>
        <v>338453.50330806378</v>
      </c>
      <c r="S1441">
        <f t="shared" si="1058"/>
        <v>3.3845350330806379</v>
      </c>
      <c r="T1441">
        <f t="shared" si="1059"/>
        <v>3.3845350330806378E-3</v>
      </c>
    </row>
    <row r="1442" spans="1:20" x14ac:dyDescent="0.25">
      <c r="A1442" s="5">
        <v>43151</v>
      </c>
      <c r="B1442">
        <v>11147.11</v>
      </c>
      <c r="C1442">
        <v>11786.01</v>
      </c>
      <c r="D1442">
        <v>11100.59</v>
      </c>
      <c r="E1442">
        <v>11200.99</v>
      </c>
      <c r="F1442">
        <v>48153.354288000002</v>
      </c>
      <c r="G1442">
        <v>0.48</v>
      </c>
      <c r="L1442" t="s">
        <v>8</v>
      </c>
      <c r="M1442" t="s">
        <v>8</v>
      </c>
      <c r="N1442" t="s">
        <v>8</v>
      </c>
      <c r="P1442">
        <f t="shared" si="1055"/>
        <v>-0.7070409384027323</v>
      </c>
      <c r="Q1442">
        <f t="shared" si="1056"/>
        <v>-34046.392803026756</v>
      </c>
      <c r="R1442">
        <f t="shared" si="1057"/>
        <v>377249.56197230099</v>
      </c>
      <c r="S1442">
        <f t="shared" si="1058"/>
        <v>3.77249561972301</v>
      </c>
      <c r="T1442">
        <f t="shared" si="1059"/>
        <v>3.7724956197230102E-3</v>
      </c>
    </row>
    <row r="1443" spans="1:20" x14ac:dyDescent="0.25">
      <c r="A1443" s="5">
        <v>43150</v>
      </c>
      <c r="B1443">
        <v>10375.01</v>
      </c>
      <c r="C1443">
        <v>11250</v>
      </c>
      <c r="D1443">
        <v>10270.33</v>
      </c>
      <c r="E1443">
        <v>11153</v>
      </c>
      <c r="F1443">
        <v>40831.417131000002</v>
      </c>
      <c r="G1443">
        <v>7.5</v>
      </c>
      <c r="L1443" t="s">
        <v>7</v>
      </c>
      <c r="M1443" t="s">
        <v>8</v>
      </c>
      <c r="N1443" t="s">
        <v>8</v>
      </c>
      <c r="P1443">
        <f t="shared" si="1055"/>
        <v>0.80197413414721286</v>
      </c>
      <c r="Q1443">
        <f t="shared" si="1056"/>
        <v>32745.740399637401</v>
      </c>
      <c r="R1443">
        <f t="shared" si="1057"/>
        <v>411295.95477532776</v>
      </c>
      <c r="S1443">
        <f t="shared" si="1058"/>
        <v>4.1129595477532774</v>
      </c>
      <c r="T1443">
        <f t="shared" si="1059"/>
        <v>4.1129595477532779E-3</v>
      </c>
    </row>
    <row r="1444" spans="1:20" x14ac:dyDescent="0.25">
      <c r="A1444" s="5">
        <v>43149</v>
      </c>
      <c r="B1444">
        <v>11039.55</v>
      </c>
      <c r="C1444">
        <v>11274</v>
      </c>
      <c r="D1444">
        <v>10080</v>
      </c>
      <c r="E1444">
        <v>10383.43</v>
      </c>
      <c r="F1444">
        <v>61137.380727999996</v>
      </c>
      <c r="G1444">
        <v>-5.94</v>
      </c>
      <c r="L1444" t="s">
        <v>8</v>
      </c>
      <c r="M1444" t="s">
        <v>8</v>
      </c>
      <c r="N1444" t="s">
        <v>8</v>
      </c>
      <c r="P1444">
        <f t="shared" si="1055"/>
        <v>-0.4917420435510883</v>
      </c>
      <c r="Q1444">
        <f t="shared" si="1056"/>
        <v>-30063.820536547642</v>
      </c>
      <c r="R1444">
        <f t="shared" si="1057"/>
        <v>378550.21437569038</v>
      </c>
      <c r="S1444">
        <f t="shared" si="1058"/>
        <v>3.7855021437569039</v>
      </c>
      <c r="T1444">
        <f t="shared" si="1059"/>
        <v>3.785502143756904E-3</v>
      </c>
    </row>
    <row r="1445" spans="1:20" x14ac:dyDescent="0.25">
      <c r="A1445" s="5">
        <v>43148</v>
      </c>
      <c r="B1445">
        <v>10156.07</v>
      </c>
      <c r="C1445">
        <v>11075.07</v>
      </c>
      <c r="D1445">
        <v>10050</v>
      </c>
      <c r="E1445">
        <v>11039.55</v>
      </c>
      <c r="F1445">
        <v>41882.108407</v>
      </c>
      <c r="G1445">
        <v>8.6999999999999993</v>
      </c>
      <c r="L1445" t="s">
        <v>8</v>
      </c>
      <c r="M1445" t="s">
        <v>8</v>
      </c>
      <c r="N1445" t="s">
        <v>8</v>
      </c>
      <c r="P1445">
        <f t="shared" si="1055"/>
        <v>0.9306974157862381</v>
      </c>
      <c r="Q1445">
        <f t="shared" si="1056"/>
        <v>38979.570062073974</v>
      </c>
      <c r="R1445">
        <f t="shared" si="1057"/>
        <v>408614.03491223801</v>
      </c>
      <c r="S1445">
        <f t="shared" si="1058"/>
        <v>4.0861403491223802</v>
      </c>
      <c r="T1445">
        <f t="shared" si="1059"/>
        <v>4.0861403491223806E-3</v>
      </c>
    </row>
    <row r="1446" spans="1:20" x14ac:dyDescent="0.25">
      <c r="A1446" s="5">
        <v>43147</v>
      </c>
      <c r="B1446">
        <v>10000.89</v>
      </c>
      <c r="C1446">
        <v>10323.370000000001</v>
      </c>
      <c r="D1446">
        <v>9666</v>
      </c>
      <c r="E1446">
        <v>10159.98</v>
      </c>
      <c r="F1446">
        <v>38161.205973999997</v>
      </c>
      <c r="G1446">
        <v>1.59</v>
      </c>
      <c r="L1446" t="s">
        <v>8</v>
      </c>
      <c r="M1446" t="s">
        <v>8</v>
      </c>
      <c r="N1446" t="s">
        <v>8</v>
      </c>
      <c r="P1446">
        <f t="shared" si="1055"/>
        <v>0.50289791137410889</v>
      </c>
      <c r="Q1446">
        <f t="shared" si="1056"/>
        <v>19191.190779841763</v>
      </c>
      <c r="R1446">
        <f t="shared" si="1057"/>
        <v>369634.46485016402</v>
      </c>
      <c r="S1446">
        <f t="shared" si="1058"/>
        <v>3.6963446485016402</v>
      </c>
      <c r="T1446">
        <f t="shared" si="1059"/>
        <v>3.6963446485016403E-3</v>
      </c>
    </row>
    <row r="1447" spans="1:20" x14ac:dyDescent="0.25">
      <c r="A1447" s="5">
        <v>43146</v>
      </c>
      <c r="B1447">
        <v>9449.98</v>
      </c>
      <c r="C1447">
        <v>10219.5</v>
      </c>
      <c r="D1447">
        <v>9301.5</v>
      </c>
      <c r="E1447">
        <v>10000.09</v>
      </c>
      <c r="F1447">
        <v>52427.596715</v>
      </c>
      <c r="G1447">
        <v>5.82</v>
      </c>
      <c r="L1447" t="s">
        <v>8</v>
      </c>
      <c r="M1447" t="s">
        <v>8</v>
      </c>
      <c r="N1447" t="s">
        <v>8</v>
      </c>
      <c r="P1447">
        <f t="shared" si="1055"/>
        <v>0.52198257080610055</v>
      </c>
      <c r="Q1447">
        <f t="shared" si="1056"/>
        <v>27366.291714481173</v>
      </c>
      <c r="R1447">
        <f t="shared" si="1057"/>
        <v>350443.27407032228</v>
      </c>
      <c r="S1447">
        <f t="shared" si="1058"/>
        <v>3.5044327407032227</v>
      </c>
      <c r="T1447">
        <f t="shared" si="1059"/>
        <v>3.5044327407032227E-3</v>
      </c>
    </row>
    <row r="1448" spans="1:20" x14ac:dyDescent="0.25">
      <c r="A1448" s="5">
        <v>43145</v>
      </c>
      <c r="B1448">
        <v>8535.17</v>
      </c>
      <c r="C1448">
        <v>9489.6</v>
      </c>
      <c r="D1448">
        <v>8533</v>
      </c>
      <c r="E1448">
        <v>9449.99</v>
      </c>
      <c r="F1448">
        <v>40811.952867</v>
      </c>
      <c r="G1448">
        <v>10.72</v>
      </c>
      <c r="L1448" t="s">
        <v>8</v>
      </c>
      <c r="M1448" t="s">
        <v>8</v>
      </c>
      <c r="N1448" t="s">
        <v>8</v>
      </c>
      <c r="P1448">
        <f t="shared" si="1055"/>
        <v>0.9171858666109125</v>
      </c>
      <c r="Q1448">
        <f t="shared" si="1056"/>
        <v>37432.146358403108</v>
      </c>
      <c r="R1448">
        <f t="shared" si="1057"/>
        <v>323076.98235584109</v>
      </c>
      <c r="S1448">
        <f t="shared" si="1058"/>
        <v>3.2307698235584108</v>
      </c>
      <c r="T1448">
        <f t="shared" si="1059"/>
        <v>3.2307698235584108E-3</v>
      </c>
    </row>
    <row r="1449" spans="1:20" x14ac:dyDescent="0.25">
      <c r="A1449" s="5">
        <v>43144</v>
      </c>
      <c r="B1449">
        <v>8903</v>
      </c>
      <c r="C1449">
        <v>8950</v>
      </c>
      <c r="D1449">
        <v>8351</v>
      </c>
      <c r="E1449">
        <v>8539.9</v>
      </c>
      <c r="F1449">
        <v>35454.972955999998</v>
      </c>
      <c r="G1449">
        <v>-4.08</v>
      </c>
      <c r="L1449" t="s">
        <v>8</v>
      </c>
      <c r="M1449" t="s">
        <v>8</v>
      </c>
      <c r="N1449" t="s">
        <v>8</v>
      </c>
      <c r="P1449">
        <f t="shared" si="1055"/>
        <v>-0.36928213689482592</v>
      </c>
      <c r="Q1449">
        <f t="shared" si="1056"/>
        <v>-13092.888176739942</v>
      </c>
      <c r="R1449">
        <f t="shared" si="1057"/>
        <v>285644.835997438</v>
      </c>
      <c r="S1449">
        <f t="shared" si="1058"/>
        <v>2.85644835997438</v>
      </c>
      <c r="T1449">
        <f t="shared" si="1059"/>
        <v>2.8564483599743799E-3</v>
      </c>
    </row>
    <row r="1450" spans="1:20" x14ac:dyDescent="0.25">
      <c r="A1450" s="5">
        <v>43143</v>
      </c>
      <c r="B1450">
        <v>8063.82</v>
      </c>
      <c r="C1450">
        <v>8989</v>
      </c>
      <c r="D1450">
        <v>8053</v>
      </c>
      <c r="E1450">
        <v>8903</v>
      </c>
      <c r="F1450">
        <v>41987.850489999997</v>
      </c>
      <c r="G1450">
        <v>10.41</v>
      </c>
      <c r="L1450" t="s">
        <v>8</v>
      </c>
      <c r="M1450" t="s">
        <v>8</v>
      </c>
      <c r="N1450" t="s">
        <v>8</v>
      </c>
      <c r="P1450">
        <f t="shared" si="1055"/>
        <v>0.81623931623931623</v>
      </c>
      <c r="Q1450">
        <f t="shared" si="1056"/>
        <v>34272.134374316236</v>
      </c>
      <c r="R1450">
        <f t="shared" si="1057"/>
        <v>298737.72417417791</v>
      </c>
      <c r="S1450">
        <f t="shared" si="1058"/>
        <v>2.987377241741779</v>
      </c>
      <c r="T1450">
        <f t="shared" si="1059"/>
        <v>2.9873772417417792E-3</v>
      </c>
    </row>
    <row r="1451" spans="1:20" x14ac:dyDescent="0.25">
      <c r="A1451" s="5">
        <v>43142</v>
      </c>
      <c r="B1451">
        <v>8533.99</v>
      </c>
      <c r="C1451">
        <v>8549</v>
      </c>
      <c r="D1451">
        <v>7726.53</v>
      </c>
      <c r="E1451">
        <v>8063.88</v>
      </c>
      <c r="F1451">
        <v>45025.187952</v>
      </c>
      <c r="G1451">
        <v>-5.51</v>
      </c>
      <c r="L1451" t="s">
        <v>7</v>
      </c>
      <c r="M1451" t="s">
        <v>8</v>
      </c>
      <c r="N1451" t="s">
        <v>8</v>
      </c>
      <c r="P1451">
        <f t="shared" si="1055"/>
        <v>-0.1796661276399133</v>
      </c>
      <c r="Q1451">
        <f t="shared" si="1056"/>
        <v>-8089.5011655951184</v>
      </c>
      <c r="R1451">
        <f t="shared" si="1057"/>
        <v>264465.58979986166</v>
      </c>
      <c r="S1451">
        <f t="shared" si="1058"/>
        <v>2.6446558979986166</v>
      </c>
      <c r="T1451">
        <f t="shared" si="1059"/>
        <v>2.6446558979986165E-3</v>
      </c>
    </row>
    <row r="1452" spans="1:20" x14ac:dyDescent="0.25">
      <c r="A1452" s="5">
        <v>43141</v>
      </c>
      <c r="B1452">
        <v>8683.93</v>
      </c>
      <c r="C1452">
        <v>9065.7800000000007</v>
      </c>
      <c r="D1452">
        <v>8120</v>
      </c>
      <c r="E1452">
        <v>8533.98</v>
      </c>
      <c r="F1452">
        <v>49381.512652999998</v>
      </c>
      <c r="G1452">
        <v>-1.73</v>
      </c>
      <c r="L1452" t="s">
        <v>8</v>
      </c>
      <c r="M1452" t="s">
        <v>8</v>
      </c>
      <c r="N1452" t="s">
        <v>8</v>
      </c>
      <c r="P1452">
        <f t="shared" si="1055"/>
        <v>-0.12457442534204725</v>
      </c>
      <c r="Q1452">
        <f t="shared" si="1056"/>
        <v>-6151.6735612685097</v>
      </c>
      <c r="R1452">
        <f t="shared" si="1057"/>
        <v>272555.09096545679</v>
      </c>
      <c r="S1452">
        <f t="shared" si="1058"/>
        <v>2.7255509096545678</v>
      </c>
      <c r="T1452">
        <f t="shared" si="1059"/>
        <v>2.725550909654568E-3</v>
      </c>
    </row>
    <row r="1453" spans="1:20" x14ac:dyDescent="0.25">
      <c r="A1453" s="5">
        <v>43140</v>
      </c>
      <c r="B1453">
        <v>7789.9</v>
      </c>
      <c r="C1453">
        <v>8738</v>
      </c>
      <c r="D1453">
        <v>7789.9</v>
      </c>
      <c r="E1453">
        <v>8683.92</v>
      </c>
      <c r="F1453">
        <v>20482.910824999999</v>
      </c>
      <c r="G1453">
        <v>11.48</v>
      </c>
      <c r="L1453" t="s">
        <v>8</v>
      </c>
      <c r="M1453" t="s">
        <v>8</v>
      </c>
      <c r="N1453" t="s">
        <v>8</v>
      </c>
      <c r="P1453">
        <f t="shared" si="1055"/>
        <v>0.88591920683472225</v>
      </c>
      <c r="Q1453">
        <f t="shared" si="1056"/>
        <v>18146.204111750347</v>
      </c>
      <c r="R1453">
        <f t="shared" si="1057"/>
        <v>278706.76452672528</v>
      </c>
      <c r="S1453">
        <f t="shared" si="1058"/>
        <v>2.7870676452672529</v>
      </c>
      <c r="T1453">
        <f t="shared" si="1059"/>
        <v>2.7870676452672531E-3</v>
      </c>
    </row>
    <row r="1454" spans="1:20" x14ac:dyDescent="0.25">
      <c r="A1454" s="5">
        <v>43139</v>
      </c>
      <c r="B1454">
        <v>7599</v>
      </c>
      <c r="C1454">
        <v>7844</v>
      </c>
      <c r="D1454">
        <v>7572.09</v>
      </c>
      <c r="E1454">
        <v>7784.02</v>
      </c>
      <c r="F1454">
        <v>1521.5373179999999</v>
      </c>
      <c r="G1454">
        <v>2.4300000000000002</v>
      </c>
      <c r="L1454" t="s">
        <v>7</v>
      </c>
      <c r="M1454" t="s">
        <v>8</v>
      </c>
      <c r="N1454" t="s">
        <v>7</v>
      </c>
      <c r="P1454">
        <f t="shared" si="1055"/>
        <v>0.55882461108455306</v>
      </c>
      <c r="Q1454">
        <f t="shared" si="1056"/>
        <v>850.27249998198386</v>
      </c>
      <c r="R1454">
        <f t="shared" si="1057"/>
        <v>260560.56041497496</v>
      </c>
      <c r="S1454">
        <f t="shared" si="1058"/>
        <v>2.6056056041497495</v>
      </c>
      <c r="T1454">
        <f t="shared" si="1059"/>
        <v>2.6056056041497493E-3</v>
      </c>
    </row>
    <row r="1455" spans="1:20" x14ac:dyDescent="0.25">
      <c r="A1455" s="5">
        <v>43138</v>
      </c>
      <c r="B1455">
        <v>7655.02</v>
      </c>
      <c r="C1455">
        <v>8476</v>
      </c>
      <c r="D1455">
        <v>7150.01</v>
      </c>
      <c r="E1455">
        <v>7599</v>
      </c>
      <c r="F1455">
        <v>60778.460497</v>
      </c>
      <c r="G1455">
        <v>-0.73</v>
      </c>
      <c r="L1455" t="s">
        <v>8</v>
      </c>
      <c r="M1455" t="s">
        <v>8</v>
      </c>
      <c r="N1455" t="s">
        <v>7</v>
      </c>
      <c r="P1455">
        <f t="shared" si="1055"/>
        <v>-0.3227852397076903</v>
      </c>
      <c r="Q1455">
        <f t="shared" si="1056"/>
        <v>-19618.389940588531</v>
      </c>
      <c r="R1455">
        <f t="shared" si="1057"/>
        <v>259710.28791499298</v>
      </c>
      <c r="S1455">
        <f t="shared" si="1058"/>
        <v>2.5971028791499298</v>
      </c>
      <c r="T1455">
        <f t="shared" si="1059"/>
        <v>2.5971028791499299E-3</v>
      </c>
    </row>
    <row r="1456" spans="1:20" x14ac:dyDescent="0.25">
      <c r="A1456" s="5">
        <v>43137</v>
      </c>
      <c r="B1456">
        <v>6939.63</v>
      </c>
      <c r="C1456">
        <v>7878</v>
      </c>
      <c r="D1456">
        <v>6000.01</v>
      </c>
      <c r="E1456">
        <v>7652.14</v>
      </c>
      <c r="F1456">
        <v>100201.50030699999</v>
      </c>
      <c r="G1456">
        <v>10.27</v>
      </c>
      <c r="L1456" t="s">
        <v>7</v>
      </c>
      <c r="M1456" t="s">
        <v>7</v>
      </c>
      <c r="N1456" t="s">
        <v>7</v>
      </c>
      <c r="P1456">
        <f t="shared" si="1055"/>
        <v>0.75946623783939249</v>
      </c>
      <c r="Q1456">
        <f t="shared" si="1056"/>
        <v>76099.656464020023</v>
      </c>
      <c r="R1456">
        <f t="shared" si="1057"/>
        <v>279328.67785558151</v>
      </c>
      <c r="S1456">
        <f t="shared" si="1058"/>
        <v>2.7932867785558151</v>
      </c>
      <c r="T1456">
        <f t="shared" si="1059"/>
        <v>2.7932867785558152E-3</v>
      </c>
    </row>
    <row r="1457" spans="1:20" x14ac:dyDescent="0.25">
      <c r="A1457" s="5">
        <v>43136</v>
      </c>
      <c r="B1457">
        <v>8179.99</v>
      </c>
      <c r="C1457">
        <v>8382.7999999999993</v>
      </c>
      <c r="D1457">
        <v>6625</v>
      </c>
      <c r="E1457">
        <v>6939.99</v>
      </c>
      <c r="F1457">
        <v>63403.182579</v>
      </c>
      <c r="G1457">
        <v>-15.16</v>
      </c>
      <c r="L1457" t="s">
        <v>7</v>
      </c>
      <c r="M1457" t="s">
        <v>7</v>
      </c>
      <c r="N1457" t="s">
        <v>7</v>
      </c>
      <c r="P1457">
        <f t="shared" si="1055"/>
        <v>-0.64160882921834117</v>
      </c>
      <c r="Q1457">
        <f t="shared" si="1056"/>
        <v>-40680.041743228918</v>
      </c>
      <c r="R1457">
        <f t="shared" si="1057"/>
        <v>203229.02139156149</v>
      </c>
      <c r="S1457">
        <f t="shared" si="1058"/>
        <v>2.0322902139156147</v>
      </c>
      <c r="T1457">
        <f t="shared" si="1059"/>
        <v>2.0322902139156148E-3</v>
      </c>
    </row>
    <row r="1458" spans="1:20" x14ac:dyDescent="0.25">
      <c r="A1458" s="5">
        <v>43135</v>
      </c>
      <c r="B1458">
        <v>9199.9599999999991</v>
      </c>
      <c r="C1458">
        <v>9368</v>
      </c>
      <c r="D1458">
        <v>7930</v>
      </c>
      <c r="E1458">
        <v>8184.81</v>
      </c>
      <c r="F1458">
        <v>32014.308449</v>
      </c>
      <c r="G1458">
        <v>-11.03</v>
      </c>
      <c r="L1458" t="s">
        <v>7</v>
      </c>
      <c r="M1458" t="s">
        <v>7</v>
      </c>
      <c r="N1458" t="s">
        <v>7</v>
      </c>
      <c r="P1458">
        <f t="shared" si="1055"/>
        <v>-0.64560500695410239</v>
      </c>
      <c r="Q1458">
        <f t="shared" si="1056"/>
        <v>-20668.597828847425</v>
      </c>
      <c r="R1458">
        <f t="shared" si="1057"/>
        <v>243909.0631347904</v>
      </c>
      <c r="S1458">
        <f t="shared" si="1058"/>
        <v>2.4390906313479039</v>
      </c>
      <c r="T1458">
        <f t="shared" si="1059"/>
        <v>2.4390906313479037E-3</v>
      </c>
    </row>
    <row r="1459" spans="1:20" x14ac:dyDescent="0.25">
      <c r="A1459" s="5">
        <v>43134</v>
      </c>
      <c r="B1459">
        <v>8873.0300000000007</v>
      </c>
      <c r="C1459">
        <v>9473.01</v>
      </c>
      <c r="D1459">
        <v>8229</v>
      </c>
      <c r="E1459">
        <v>9199.9599999999991</v>
      </c>
      <c r="F1459">
        <v>28725.000735000001</v>
      </c>
      <c r="G1459">
        <v>3.68</v>
      </c>
      <c r="L1459" t="s">
        <v>8</v>
      </c>
      <c r="M1459" t="s">
        <v>7</v>
      </c>
      <c r="N1459" t="s">
        <v>7</v>
      </c>
      <c r="P1459">
        <f t="shared" si="1055"/>
        <v>0.56101639054348273</v>
      </c>
      <c r="Q1459">
        <f t="shared" si="1056"/>
        <v>16115.196230708589</v>
      </c>
      <c r="R1459">
        <f t="shared" si="1057"/>
        <v>264577.66096363781</v>
      </c>
      <c r="S1459">
        <f t="shared" si="1058"/>
        <v>2.645776609636378</v>
      </c>
      <c r="T1459">
        <f t="shared" si="1059"/>
        <v>2.6457766096363781E-3</v>
      </c>
    </row>
    <row r="1460" spans="1:20" x14ac:dyDescent="0.25">
      <c r="A1460" s="5">
        <v>43133</v>
      </c>
      <c r="B1460">
        <v>9224.52</v>
      </c>
      <c r="C1460">
        <v>9250</v>
      </c>
      <c r="D1460">
        <v>8010.02</v>
      </c>
      <c r="E1460">
        <v>8873.0300000000007</v>
      </c>
      <c r="F1460">
        <v>49971.626974999999</v>
      </c>
      <c r="G1460">
        <v>-3.81</v>
      </c>
      <c r="L1460" t="s">
        <v>7</v>
      </c>
      <c r="M1460" t="s">
        <v>7</v>
      </c>
      <c r="N1460" t="s">
        <v>7</v>
      </c>
      <c r="P1460">
        <f t="shared" si="1055"/>
        <v>0.39197406409780888</v>
      </c>
      <c r="Q1460">
        <f t="shared" si="1056"/>
        <v>19587.581714970445</v>
      </c>
      <c r="R1460">
        <f t="shared" si="1057"/>
        <v>248462.46473292925</v>
      </c>
      <c r="S1460">
        <f t="shared" si="1058"/>
        <v>2.4846246473292926</v>
      </c>
      <c r="T1460">
        <f t="shared" si="1059"/>
        <v>2.4846246473292925E-3</v>
      </c>
    </row>
    <row r="1461" spans="1:20" x14ac:dyDescent="0.25">
      <c r="A1461" s="5">
        <v>43132</v>
      </c>
      <c r="B1461">
        <v>10285.1</v>
      </c>
      <c r="C1461">
        <v>10335</v>
      </c>
      <c r="D1461">
        <v>8750.99</v>
      </c>
      <c r="E1461">
        <v>9224.52</v>
      </c>
      <c r="F1461">
        <v>33564.764310999999</v>
      </c>
      <c r="G1461">
        <v>-10.31</v>
      </c>
      <c r="L1461" t="s">
        <v>7</v>
      </c>
      <c r="M1461" t="s">
        <v>7</v>
      </c>
      <c r="N1461" t="s">
        <v>7</v>
      </c>
      <c r="P1461">
        <f t="shared" si="1055"/>
        <v>-0.4021123604017644</v>
      </c>
      <c r="Q1461">
        <f t="shared" si="1056"/>
        <v>-13496.806603425111</v>
      </c>
      <c r="R1461">
        <f t="shared" si="1057"/>
        <v>228874.88301795881</v>
      </c>
      <c r="S1461">
        <f t="shared" si="1058"/>
        <v>2.2887488301795882</v>
      </c>
      <c r="T1461">
        <f t="shared" si="1059"/>
        <v>2.288748830179588E-3</v>
      </c>
    </row>
    <row r="1462" spans="1:20" x14ac:dyDescent="0.25">
      <c r="A1462" s="5">
        <v>43131</v>
      </c>
      <c r="B1462">
        <v>10230</v>
      </c>
      <c r="C1462">
        <v>10425.85</v>
      </c>
      <c r="D1462">
        <v>9700</v>
      </c>
      <c r="E1462">
        <v>10285.1</v>
      </c>
      <c r="F1462">
        <v>18015.956805000002</v>
      </c>
      <c r="G1462">
        <v>0.54</v>
      </c>
      <c r="L1462" t="s">
        <v>7</v>
      </c>
      <c r="M1462" t="s">
        <v>7</v>
      </c>
      <c r="N1462" t="s">
        <v>8</v>
      </c>
      <c r="P1462">
        <f t="shared" si="1055"/>
        <v>0.61217882482606623</v>
      </c>
      <c r="Q1462">
        <f t="shared" si="1056"/>
        <v>11028.987265002072</v>
      </c>
      <c r="R1462">
        <f t="shared" si="1057"/>
        <v>242371.68962138394</v>
      </c>
      <c r="S1462">
        <f t="shared" si="1058"/>
        <v>2.4237168962138393</v>
      </c>
      <c r="T1462">
        <f t="shared" si="1059"/>
        <v>2.4237168962138395E-3</v>
      </c>
    </row>
    <row r="1463" spans="1:20" x14ac:dyDescent="0.25">
      <c r="A1463" s="5">
        <v>43130</v>
      </c>
      <c r="B1463">
        <v>11250.11</v>
      </c>
      <c r="C1463">
        <v>11308.42</v>
      </c>
      <c r="D1463">
        <v>9900</v>
      </c>
      <c r="E1463">
        <v>10237.51</v>
      </c>
      <c r="F1463">
        <v>25554.372946</v>
      </c>
      <c r="G1463">
        <v>-9</v>
      </c>
      <c r="L1463" t="s">
        <v>7</v>
      </c>
      <c r="M1463" t="s">
        <v>7</v>
      </c>
      <c r="N1463" t="s">
        <v>8</v>
      </c>
      <c r="P1463">
        <f t="shared" si="1055"/>
        <v>-0.52072535181266921</v>
      </c>
      <c r="Q1463">
        <f t="shared" si="1056"/>
        <v>-13306.809842658005</v>
      </c>
      <c r="R1463">
        <f t="shared" si="1057"/>
        <v>231342.70235638187</v>
      </c>
      <c r="S1463">
        <f t="shared" si="1058"/>
        <v>2.3134270235638188</v>
      </c>
      <c r="T1463">
        <f t="shared" si="1059"/>
        <v>2.3134270235638187E-3</v>
      </c>
    </row>
    <row r="1464" spans="1:20" x14ac:dyDescent="0.25">
      <c r="A1464" s="5">
        <v>43129</v>
      </c>
      <c r="B1464">
        <v>11879.95</v>
      </c>
      <c r="C1464">
        <v>11975.02</v>
      </c>
      <c r="D1464">
        <v>11139.55</v>
      </c>
      <c r="E1464">
        <v>11251</v>
      </c>
      <c r="F1464">
        <v>14170.377538000001</v>
      </c>
      <c r="G1464">
        <v>-5.29</v>
      </c>
      <c r="L1464" t="s">
        <v>7</v>
      </c>
      <c r="M1464" t="s">
        <v>8</v>
      </c>
      <c r="N1464" t="s">
        <v>8</v>
      </c>
      <c r="P1464">
        <f t="shared" si="1055"/>
        <v>-0.73320406477790812</v>
      </c>
      <c r="Q1464">
        <f t="shared" si="1056"/>
        <v>-10389.778410299166</v>
      </c>
      <c r="R1464">
        <f t="shared" si="1057"/>
        <v>244649.51219903986</v>
      </c>
      <c r="S1464">
        <f t="shared" si="1058"/>
        <v>2.4464951219903988</v>
      </c>
      <c r="T1464">
        <f t="shared" si="1059"/>
        <v>2.4464951219903986E-3</v>
      </c>
    </row>
    <row r="1465" spans="1:20" x14ac:dyDescent="0.25">
      <c r="A1465" s="5">
        <v>43128</v>
      </c>
      <c r="B1465">
        <v>11499.98</v>
      </c>
      <c r="C1465">
        <v>12244</v>
      </c>
      <c r="D1465">
        <v>11408</v>
      </c>
      <c r="E1465">
        <v>11879.95</v>
      </c>
      <c r="F1465">
        <v>16887.339523999999</v>
      </c>
      <c r="G1465">
        <v>3.3</v>
      </c>
      <c r="L1465" t="s">
        <v>8</v>
      </c>
      <c r="M1465" t="s">
        <v>8</v>
      </c>
      <c r="N1465" t="s">
        <v>8</v>
      </c>
      <c r="P1465">
        <f t="shared" si="1055"/>
        <v>0.12906698564593475</v>
      </c>
      <c r="Q1465">
        <f t="shared" si="1056"/>
        <v>2179.5980079421342</v>
      </c>
      <c r="R1465">
        <f t="shared" si="1057"/>
        <v>255039.29060933902</v>
      </c>
      <c r="S1465">
        <f t="shared" si="1058"/>
        <v>2.5503929060933901</v>
      </c>
      <c r="T1465">
        <f t="shared" si="1059"/>
        <v>2.5503929060933903E-3</v>
      </c>
    </row>
    <row r="1466" spans="1:20" x14ac:dyDescent="0.25">
      <c r="A1466" s="5">
        <v>43127</v>
      </c>
      <c r="B1466">
        <v>11089</v>
      </c>
      <c r="C1466">
        <v>11650</v>
      </c>
      <c r="D1466">
        <v>10842.69</v>
      </c>
      <c r="E1466">
        <v>11491</v>
      </c>
      <c r="F1466">
        <v>18860.768345</v>
      </c>
      <c r="G1466">
        <v>3.63</v>
      </c>
      <c r="L1466" t="s">
        <v>8</v>
      </c>
      <c r="M1466" t="s">
        <v>8</v>
      </c>
      <c r="N1466" t="s">
        <v>8</v>
      </c>
      <c r="P1466">
        <f t="shared" si="1055"/>
        <v>0.60609926793920521</v>
      </c>
      <c r="Q1466">
        <f t="shared" si="1056"/>
        <v>11431.497886675435</v>
      </c>
      <c r="R1466">
        <f t="shared" si="1057"/>
        <v>252859.69260139688</v>
      </c>
      <c r="S1466">
        <f t="shared" si="1058"/>
        <v>2.5285969260139689</v>
      </c>
      <c r="T1466">
        <f t="shared" si="1059"/>
        <v>2.5285969260139688E-3</v>
      </c>
    </row>
    <row r="1467" spans="1:20" x14ac:dyDescent="0.25">
      <c r="A1467" s="5">
        <v>43126</v>
      </c>
      <c r="B1467">
        <v>11184.7</v>
      </c>
      <c r="C1467">
        <v>11643</v>
      </c>
      <c r="D1467">
        <v>10311.15</v>
      </c>
      <c r="E1467">
        <v>11089</v>
      </c>
      <c r="F1467">
        <v>33056.871959999997</v>
      </c>
      <c r="G1467">
        <v>-0.86</v>
      </c>
      <c r="L1467" t="s">
        <v>7</v>
      </c>
      <c r="M1467" t="s">
        <v>8</v>
      </c>
      <c r="N1467" t="s">
        <v>8</v>
      </c>
      <c r="P1467">
        <f t="shared" si="1055"/>
        <v>0.1680744828621844</v>
      </c>
      <c r="Q1467">
        <f t="shared" si="1056"/>
        <v>5556.0166597184434</v>
      </c>
      <c r="R1467">
        <f t="shared" si="1057"/>
        <v>241428.19471472144</v>
      </c>
      <c r="S1467">
        <f t="shared" si="1058"/>
        <v>2.4142819471472143</v>
      </c>
      <c r="T1467">
        <f t="shared" si="1059"/>
        <v>2.4142819471472143E-3</v>
      </c>
    </row>
    <row r="1468" spans="1:20" x14ac:dyDescent="0.25">
      <c r="A1468" s="5">
        <v>43125</v>
      </c>
      <c r="B1468">
        <v>11349.96</v>
      </c>
      <c r="C1468">
        <v>11794.05</v>
      </c>
      <c r="D1468">
        <v>10950.21</v>
      </c>
      <c r="E1468">
        <v>11175.27</v>
      </c>
      <c r="F1468">
        <v>20839.954183000002</v>
      </c>
      <c r="G1468">
        <v>-1.54</v>
      </c>
      <c r="L1468" t="s">
        <v>8</v>
      </c>
      <c r="M1468" t="s">
        <v>8</v>
      </c>
      <c r="N1468" t="s">
        <v>8</v>
      </c>
      <c r="P1468">
        <f t="shared" si="1055"/>
        <v>-0.46658134243458177</v>
      </c>
      <c r="Q1468">
        <f t="shared" si="1056"/>
        <v>-9723.5337989793188</v>
      </c>
      <c r="R1468">
        <f t="shared" si="1057"/>
        <v>235872.17805500299</v>
      </c>
      <c r="S1468">
        <f t="shared" si="1058"/>
        <v>2.35872178055003</v>
      </c>
      <c r="T1468">
        <f t="shared" si="1059"/>
        <v>2.3587217805500298E-3</v>
      </c>
    </row>
    <row r="1469" spans="1:20" x14ac:dyDescent="0.25">
      <c r="A1469" s="5">
        <v>43124</v>
      </c>
      <c r="B1469">
        <v>10799.14</v>
      </c>
      <c r="C1469">
        <v>11570.48</v>
      </c>
      <c r="D1469">
        <v>10500</v>
      </c>
      <c r="E1469">
        <v>11349.99</v>
      </c>
      <c r="F1469">
        <v>27158.587761999999</v>
      </c>
      <c r="G1469">
        <v>5.0999999999999996</v>
      </c>
      <c r="L1469" t="s">
        <v>8</v>
      </c>
      <c r="M1469" t="s">
        <v>7</v>
      </c>
      <c r="N1469" t="s">
        <v>8</v>
      </c>
      <c r="P1469">
        <f t="shared" si="1055"/>
        <v>0.58805395710335573</v>
      </c>
      <c r="Q1469">
        <f t="shared" si="1056"/>
        <v>15970.71500278287</v>
      </c>
      <c r="R1469">
        <f t="shared" si="1057"/>
        <v>245595.7118539823</v>
      </c>
      <c r="S1469">
        <f t="shared" si="1058"/>
        <v>2.455957118539823</v>
      </c>
      <c r="T1469">
        <f t="shared" si="1059"/>
        <v>2.4559571185398229E-3</v>
      </c>
    </row>
    <row r="1470" spans="1:20" x14ac:dyDescent="0.25">
      <c r="A1470" s="5">
        <v>43123</v>
      </c>
      <c r="B1470">
        <v>10760.05</v>
      </c>
      <c r="C1470">
        <v>11399</v>
      </c>
      <c r="D1470">
        <v>9905</v>
      </c>
      <c r="E1470">
        <v>10799.18</v>
      </c>
      <c r="F1470">
        <v>37473.922552000004</v>
      </c>
      <c r="G1470">
        <v>0.36</v>
      </c>
      <c r="L1470" t="s">
        <v>8</v>
      </c>
      <c r="M1470" t="s">
        <v>7</v>
      </c>
      <c r="N1470" t="s">
        <v>8</v>
      </c>
      <c r="P1470">
        <f t="shared" si="1055"/>
        <v>0.19702811244979959</v>
      </c>
      <c r="Q1470">
        <f t="shared" si="1056"/>
        <v>7383.4162265105379</v>
      </c>
      <c r="R1470">
        <f t="shared" si="1057"/>
        <v>229624.99685119942</v>
      </c>
      <c r="S1470">
        <f t="shared" si="1058"/>
        <v>2.2962499685119941</v>
      </c>
      <c r="T1470">
        <f t="shared" si="1059"/>
        <v>2.2962499685119943E-3</v>
      </c>
    </row>
    <row r="1471" spans="1:20" x14ac:dyDescent="0.25">
      <c r="A1471" s="5">
        <v>43122</v>
      </c>
      <c r="B1471">
        <v>11530</v>
      </c>
      <c r="C1471">
        <v>11926.35</v>
      </c>
      <c r="D1471">
        <v>9900.24</v>
      </c>
      <c r="E1471">
        <v>10760.05</v>
      </c>
      <c r="F1471">
        <v>43752.606790999998</v>
      </c>
      <c r="G1471">
        <v>-6.68</v>
      </c>
      <c r="L1471" t="s">
        <v>7</v>
      </c>
      <c r="M1471" t="s">
        <v>7</v>
      </c>
      <c r="N1471" t="s">
        <v>8</v>
      </c>
      <c r="P1471">
        <f t="shared" ref="P1471:P1534" si="1060">IF(C1471=D1471,0,((E1471-D1471)-(C1471-E1471))/(C1471-D1471))</f>
        <v>-0.15127016795731796</v>
      </c>
      <c r="Q1471">
        <f t="shared" ref="Q1471:Q1534" si="1061">F1471*P1471</f>
        <v>-6618.4641778450605</v>
      </c>
      <c r="R1471">
        <f t="shared" ref="R1471:R1534" si="1062">R1472+Q1471</f>
        <v>222241.58062468888</v>
      </c>
      <c r="S1471">
        <f t="shared" ref="S1471:S1534" si="1063">R1471/100000</f>
        <v>2.2224158062468886</v>
      </c>
      <c r="T1471">
        <f t="shared" ref="T1471:T1534" si="1064">S1471/1000</f>
        <v>2.2224158062468884E-3</v>
      </c>
    </row>
    <row r="1472" spans="1:20" x14ac:dyDescent="0.25">
      <c r="A1472" s="5">
        <v>43121</v>
      </c>
      <c r="B1472">
        <v>12799.8</v>
      </c>
      <c r="C1472">
        <v>12799.8</v>
      </c>
      <c r="D1472">
        <v>10965</v>
      </c>
      <c r="E1472">
        <v>11530</v>
      </c>
      <c r="F1472">
        <v>41379.773426</v>
      </c>
      <c r="G1472">
        <v>-9.92</v>
      </c>
      <c r="L1472" t="s">
        <v>7</v>
      </c>
      <c r="M1472" t="s">
        <v>7</v>
      </c>
      <c r="N1472" t="s">
        <v>8</v>
      </c>
      <c r="P1472">
        <f t="shared" si="1060"/>
        <v>-0.38412906038805295</v>
      </c>
      <c r="Q1472">
        <f t="shared" si="1061"/>
        <v>-15895.173485199903</v>
      </c>
      <c r="R1472">
        <f t="shared" si="1062"/>
        <v>228860.04480253393</v>
      </c>
      <c r="S1472">
        <f t="shared" si="1063"/>
        <v>2.2886004480253392</v>
      </c>
      <c r="T1472">
        <f t="shared" si="1064"/>
        <v>2.2886004480253391E-3</v>
      </c>
    </row>
    <row r="1473" spans="1:20" x14ac:dyDescent="0.25">
      <c r="A1473" s="5">
        <v>43120</v>
      </c>
      <c r="B1473">
        <v>11474.98</v>
      </c>
      <c r="C1473">
        <v>13099</v>
      </c>
      <c r="D1473">
        <v>11412.45</v>
      </c>
      <c r="E1473">
        <v>12799.94</v>
      </c>
      <c r="F1473">
        <v>28768.857827</v>
      </c>
      <c r="G1473">
        <v>11.55</v>
      </c>
      <c r="L1473" t="s">
        <v>8</v>
      </c>
      <c r="M1473" t="s">
        <v>8</v>
      </c>
      <c r="N1473" t="s">
        <v>8</v>
      </c>
      <c r="P1473">
        <f t="shared" si="1060"/>
        <v>0.64535886869645176</v>
      </c>
      <c r="Q1473">
        <f t="shared" si="1061"/>
        <v>18566.237540921782</v>
      </c>
      <c r="R1473">
        <f t="shared" si="1062"/>
        <v>244755.21828773382</v>
      </c>
      <c r="S1473">
        <f t="shared" si="1063"/>
        <v>2.4475521828773381</v>
      </c>
      <c r="T1473">
        <f t="shared" si="1064"/>
        <v>2.4475521828773382E-3</v>
      </c>
    </row>
    <row r="1474" spans="1:20" x14ac:dyDescent="0.25">
      <c r="A1474" s="5">
        <v>43119</v>
      </c>
      <c r="B1474">
        <v>10960</v>
      </c>
      <c r="C1474">
        <v>11795</v>
      </c>
      <c r="D1474">
        <v>10360</v>
      </c>
      <c r="E1474">
        <v>11474.98</v>
      </c>
      <c r="F1474">
        <v>34129.375420999997</v>
      </c>
      <c r="G1474">
        <v>4.7</v>
      </c>
      <c r="L1474" t="s">
        <v>7</v>
      </c>
      <c r="M1474" t="s">
        <v>8</v>
      </c>
      <c r="N1474" t="s">
        <v>7</v>
      </c>
      <c r="P1474">
        <f t="shared" si="1060"/>
        <v>0.55397909407665447</v>
      </c>
      <c r="Q1474">
        <f t="shared" si="1061"/>
        <v>18906.960477127617</v>
      </c>
      <c r="R1474">
        <f t="shared" si="1062"/>
        <v>226188.98074681204</v>
      </c>
      <c r="S1474">
        <f t="shared" si="1063"/>
        <v>2.2618898074681204</v>
      </c>
      <c r="T1474">
        <f t="shared" si="1064"/>
        <v>2.2618898074681206E-3</v>
      </c>
    </row>
    <row r="1475" spans="1:20" x14ac:dyDescent="0.25">
      <c r="A1475" s="5">
        <v>43118</v>
      </c>
      <c r="B1475">
        <v>10972.59</v>
      </c>
      <c r="C1475">
        <v>11878.82</v>
      </c>
      <c r="D1475">
        <v>10435.33</v>
      </c>
      <c r="E1475">
        <v>10961.97</v>
      </c>
      <c r="F1475">
        <v>48464.434936999998</v>
      </c>
      <c r="G1475">
        <v>-0.1</v>
      </c>
      <c r="L1475" t="s">
        <v>8</v>
      </c>
      <c r="M1475" t="s">
        <v>8</v>
      </c>
      <c r="N1475" t="s">
        <v>7</v>
      </c>
      <c r="P1475">
        <f t="shared" si="1060"/>
        <v>-0.27032400640115345</v>
      </c>
      <c r="Q1475">
        <f t="shared" si="1061"/>
        <v>-13101.100220137872</v>
      </c>
      <c r="R1475">
        <f t="shared" si="1062"/>
        <v>207282.02026968444</v>
      </c>
      <c r="S1475">
        <f t="shared" si="1063"/>
        <v>2.0728202026968443</v>
      </c>
      <c r="T1475">
        <f t="shared" si="1064"/>
        <v>2.0728202026968445E-3</v>
      </c>
    </row>
    <row r="1476" spans="1:20" x14ac:dyDescent="0.25">
      <c r="A1476" s="5">
        <v>43117</v>
      </c>
      <c r="B1476">
        <v>10899.99</v>
      </c>
      <c r="C1476">
        <v>11680.99</v>
      </c>
      <c r="D1476">
        <v>9037.94</v>
      </c>
      <c r="E1476">
        <v>10988.79</v>
      </c>
      <c r="F1476">
        <v>72331.796646000003</v>
      </c>
      <c r="G1476">
        <v>0.81</v>
      </c>
      <c r="L1476" t="s">
        <v>8</v>
      </c>
      <c r="M1476" t="s">
        <v>8</v>
      </c>
      <c r="N1476" t="s">
        <v>7</v>
      </c>
      <c r="P1476">
        <f t="shared" si="1060"/>
        <v>0.47621119539925533</v>
      </c>
      <c r="Q1476">
        <f t="shared" si="1061"/>
        <v>34445.211346167511</v>
      </c>
      <c r="R1476">
        <f t="shared" si="1062"/>
        <v>220383.12048982232</v>
      </c>
      <c r="S1476">
        <f t="shared" si="1063"/>
        <v>2.2038312048982234</v>
      </c>
      <c r="T1476">
        <f t="shared" si="1064"/>
        <v>2.2038312048982232E-3</v>
      </c>
    </row>
    <row r="1477" spans="1:20" x14ac:dyDescent="0.25">
      <c r="A1477" s="5">
        <v>43116</v>
      </c>
      <c r="B1477">
        <v>13500</v>
      </c>
      <c r="C1477">
        <v>13542.93</v>
      </c>
      <c r="D1477">
        <v>9035</v>
      </c>
      <c r="E1477">
        <v>10900</v>
      </c>
      <c r="F1477">
        <v>63401.169175000003</v>
      </c>
      <c r="G1477">
        <v>-19.260000000000002</v>
      </c>
      <c r="L1477" t="s">
        <v>7</v>
      </c>
      <c r="M1477" t="s">
        <v>7</v>
      </c>
      <c r="N1477" t="s">
        <v>7</v>
      </c>
      <c r="P1477">
        <f t="shared" si="1060"/>
        <v>-0.17256922800487146</v>
      </c>
      <c r="Q1477">
        <f t="shared" si="1061"/>
        <v>-10941.090819136003</v>
      </c>
      <c r="R1477">
        <f t="shared" si="1062"/>
        <v>185937.9091436548</v>
      </c>
      <c r="S1477">
        <f t="shared" si="1063"/>
        <v>1.859379091436548</v>
      </c>
      <c r="T1477">
        <f t="shared" si="1064"/>
        <v>1.859379091436548E-3</v>
      </c>
    </row>
    <row r="1478" spans="1:20" x14ac:dyDescent="0.25">
      <c r="A1478" s="5">
        <v>43115</v>
      </c>
      <c r="B1478">
        <v>13477.98</v>
      </c>
      <c r="C1478">
        <v>14249.99</v>
      </c>
      <c r="D1478">
        <v>13147.79</v>
      </c>
      <c r="E1478">
        <v>13539.93</v>
      </c>
      <c r="F1478">
        <v>14652.094705</v>
      </c>
      <c r="G1478">
        <v>0.46</v>
      </c>
      <c r="L1478" t="s">
        <v>8</v>
      </c>
      <c r="M1478" t="s">
        <v>8</v>
      </c>
      <c r="N1478" t="s">
        <v>7</v>
      </c>
      <c r="P1478">
        <f t="shared" si="1060"/>
        <v>-0.28844129921974271</v>
      </c>
      <c r="Q1478">
        <f t="shared" si="1061"/>
        <v>-4226.2692330009122</v>
      </c>
      <c r="R1478">
        <f t="shared" si="1062"/>
        <v>196878.99996279081</v>
      </c>
      <c r="S1478">
        <f t="shared" si="1063"/>
        <v>1.9687899996279081</v>
      </c>
      <c r="T1478">
        <f t="shared" si="1064"/>
        <v>1.9687899996279081E-3</v>
      </c>
    </row>
    <row r="1479" spans="1:20" x14ac:dyDescent="0.25">
      <c r="A1479" s="5">
        <v>43114</v>
      </c>
      <c r="B1479">
        <v>14210</v>
      </c>
      <c r="C1479">
        <v>14339.5</v>
      </c>
      <c r="D1479">
        <v>12569.2</v>
      </c>
      <c r="E1479">
        <v>13474.99</v>
      </c>
      <c r="F1479">
        <v>17017.894328999999</v>
      </c>
      <c r="G1479">
        <v>-5.17</v>
      </c>
      <c r="L1479" t="s">
        <v>7</v>
      </c>
      <c r="M1479" t="s">
        <v>8</v>
      </c>
      <c r="N1479" t="s">
        <v>7</v>
      </c>
      <c r="P1479">
        <f t="shared" si="1060"/>
        <v>2.3318081681070357E-2</v>
      </c>
      <c r="Q1479">
        <f t="shared" si="1061"/>
        <v>396.82465000344598</v>
      </c>
      <c r="R1479">
        <f t="shared" si="1062"/>
        <v>201105.26919579171</v>
      </c>
      <c r="S1479">
        <f t="shared" si="1063"/>
        <v>2.011052691957917</v>
      </c>
      <c r="T1479">
        <f t="shared" si="1064"/>
        <v>2.0110526919579169E-3</v>
      </c>
    </row>
    <row r="1480" spans="1:20" x14ac:dyDescent="0.25">
      <c r="A1480" s="5">
        <v>43113</v>
      </c>
      <c r="B1480">
        <v>13749.95</v>
      </c>
      <c r="C1480">
        <v>14580</v>
      </c>
      <c r="D1480">
        <v>13706.15</v>
      </c>
      <c r="E1480">
        <v>14210</v>
      </c>
      <c r="F1480">
        <v>12221.508528</v>
      </c>
      <c r="G1480">
        <v>3.35</v>
      </c>
      <c r="L1480" t="s">
        <v>8</v>
      </c>
      <c r="M1480" t="s">
        <v>8</v>
      </c>
      <c r="N1480" t="s">
        <v>7</v>
      </c>
      <c r="P1480">
        <f t="shared" si="1060"/>
        <v>0.15317274131716005</v>
      </c>
      <c r="Q1480">
        <f t="shared" si="1061"/>
        <v>1872.0019642648094</v>
      </c>
      <c r="R1480">
        <f t="shared" si="1062"/>
        <v>200708.44454578825</v>
      </c>
      <c r="S1480">
        <f t="shared" si="1063"/>
        <v>2.0070844454578824</v>
      </c>
      <c r="T1480">
        <f t="shared" si="1064"/>
        <v>2.0070844454578825E-3</v>
      </c>
    </row>
    <row r="1481" spans="1:20" x14ac:dyDescent="0.25">
      <c r="A1481" s="5">
        <v>43112</v>
      </c>
      <c r="B1481">
        <v>13238.76</v>
      </c>
      <c r="C1481">
        <v>14109.78</v>
      </c>
      <c r="D1481">
        <v>12500</v>
      </c>
      <c r="E1481">
        <v>13740.01</v>
      </c>
      <c r="F1481">
        <v>16417.162136999999</v>
      </c>
      <c r="G1481">
        <v>3.79</v>
      </c>
      <c r="L1481" t="s">
        <v>8</v>
      </c>
      <c r="M1481" t="s">
        <v>8</v>
      </c>
      <c r="N1481" t="s">
        <v>7</v>
      </c>
      <c r="P1481">
        <f t="shared" si="1060"/>
        <v>0.54059560933792161</v>
      </c>
      <c r="Q1481">
        <f t="shared" si="1061"/>
        <v>8875.0457690509702</v>
      </c>
      <c r="R1481">
        <f t="shared" si="1062"/>
        <v>198836.44258152344</v>
      </c>
      <c r="S1481">
        <f t="shared" si="1063"/>
        <v>1.9883644258152344</v>
      </c>
      <c r="T1481">
        <f t="shared" si="1064"/>
        <v>1.9883644258152345E-3</v>
      </c>
    </row>
    <row r="1482" spans="1:20" x14ac:dyDescent="0.25">
      <c r="A1482" s="5">
        <v>43111</v>
      </c>
      <c r="B1482">
        <v>14940</v>
      </c>
      <c r="C1482">
        <v>14968.68</v>
      </c>
      <c r="D1482">
        <v>11400</v>
      </c>
      <c r="E1482">
        <v>13238.78</v>
      </c>
      <c r="F1482">
        <v>33554.723750999998</v>
      </c>
      <c r="G1482">
        <v>-11.39</v>
      </c>
      <c r="L1482" t="s">
        <v>7</v>
      </c>
      <c r="M1482" t="s">
        <v>7</v>
      </c>
      <c r="N1482" t="s">
        <v>7</v>
      </c>
      <c r="P1482">
        <f t="shared" si="1060"/>
        <v>3.0509880403959171E-2</v>
      </c>
      <c r="Q1482">
        <f t="shared" si="1061"/>
        <v>1023.7506086308982</v>
      </c>
      <c r="R1482">
        <f t="shared" si="1062"/>
        <v>189961.39681247246</v>
      </c>
      <c r="S1482">
        <f t="shared" si="1063"/>
        <v>1.8996139681247246</v>
      </c>
      <c r="T1482">
        <f t="shared" si="1064"/>
        <v>1.8996139681247246E-3</v>
      </c>
    </row>
    <row r="1483" spans="1:20" x14ac:dyDescent="0.25">
      <c r="A1483" s="5">
        <v>43110</v>
      </c>
      <c r="B1483">
        <v>14401</v>
      </c>
      <c r="C1483">
        <v>14955.66</v>
      </c>
      <c r="D1483">
        <v>13131.31</v>
      </c>
      <c r="E1483">
        <v>14907.09</v>
      </c>
      <c r="F1483">
        <v>17411.001655</v>
      </c>
      <c r="G1483">
        <v>3.51</v>
      </c>
      <c r="L1483" t="s">
        <v>7</v>
      </c>
      <c r="M1483" t="s">
        <v>8</v>
      </c>
      <c r="N1483" t="s">
        <v>8</v>
      </c>
      <c r="P1483">
        <f t="shared" si="1060"/>
        <v>0.94675363828212822</v>
      </c>
      <c r="Q1483">
        <f t="shared" si="1061"/>
        <v>16483.929163007404</v>
      </c>
      <c r="R1483">
        <f t="shared" si="1062"/>
        <v>188937.64620384158</v>
      </c>
      <c r="S1483">
        <f t="shared" si="1063"/>
        <v>1.8893764620384157</v>
      </c>
      <c r="T1483">
        <f t="shared" si="1064"/>
        <v>1.8893764620384157E-3</v>
      </c>
    </row>
    <row r="1484" spans="1:20" x14ac:dyDescent="0.25">
      <c r="A1484" s="5">
        <v>43109</v>
      </c>
      <c r="B1484">
        <v>14902.54</v>
      </c>
      <c r="C1484">
        <v>15500</v>
      </c>
      <c r="D1484">
        <v>14011.05</v>
      </c>
      <c r="E1484">
        <v>14400</v>
      </c>
      <c r="F1484">
        <v>14315.004252999999</v>
      </c>
      <c r="G1484">
        <v>-3.37</v>
      </c>
      <c r="L1484" t="s">
        <v>8</v>
      </c>
      <c r="M1484" t="s">
        <v>8</v>
      </c>
      <c r="N1484" t="s">
        <v>8</v>
      </c>
      <c r="P1484">
        <f t="shared" si="1060"/>
        <v>-0.47755129453641754</v>
      </c>
      <c r="Q1484">
        <f t="shared" si="1061"/>
        <v>-6836.1488123144727</v>
      </c>
      <c r="R1484">
        <f t="shared" si="1062"/>
        <v>172453.71704083416</v>
      </c>
      <c r="S1484">
        <f t="shared" si="1063"/>
        <v>1.7245371704083416</v>
      </c>
      <c r="T1484">
        <f t="shared" si="1064"/>
        <v>1.7245371704083417E-3</v>
      </c>
    </row>
    <row r="1485" spans="1:20" x14ac:dyDescent="0.25">
      <c r="A1485" s="5">
        <v>43108</v>
      </c>
      <c r="B1485">
        <v>16218.85</v>
      </c>
      <c r="C1485">
        <v>16322.3</v>
      </c>
      <c r="D1485">
        <v>12812</v>
      </c>
      <c r="E1485">
        <v>14902.54</v>
      </c>
      <c r="F1485">
        <v>26600.609912</v>
      </c>
      <c r="G1485">
        <v>-8.1199999999999992</v>
      </c>
      <c r="L1485" t="s">
        <v>7</v>
      </c>
      <c r="M1485" t="s">
        <v>7</v>
      </c>
      <c r="N1485" t="s">
        <v>8</v>
      </c>
      <c r="P1485">
        <f t="shared" si="1060"/>
        <v>0.19108908070535358</v>
      </c>
      <c r="Q1485">
        <f t="shared" si="1061"/>
        <v>5083.0860942857962</v>
      </c>
      <c r="R1485">
        <f t="shared" si="1062"/>
        <v>179289.86585314863</v>
      </c>
      <c r="S1485">
        <f t="shared" si="1063"/>
        <v>1.7928986585314863</v>
      </c>
      <c r="T1485">
        <f t="shared" si="1064"/>
        <v>1.7928986585314863E-3</v>
      </c>
    </row>
    <row r="1486" spans="1:20" x14ac:dyDescent="0.25">
      <c r="A1486" s="5">
        <v>43107</v>
      </c>
      <c r="B1486">
        <v>17069.79</v>
      </c>
      <c r="C1486">
        <v>17099.96</v>
      </c>
      <c r="D1486">
        <v>15610</v>
      </c>
      <c r="E1486">
        <v>16150.03</v>
      </c>
      <c r="F1486">
        <v>12493.125558</v>
      </c>
      <c r="G1486">
        <v>-5.39</v>
      </c>
      <c r="L1486" t="s">
        <v>7</v>
      </c>
      <c r="M1486" t="s">
        <v>8</v>
      </c>
      <c r="N1486" t="s">
        <v>8</v>
      </c>
      <c r="P1486">
        <f t="shared" si="1060"/>
        <v>-0.27510805659212195</v>
      </c>
      <c r="Q1486">
        <f t="shared" si="1061"/>
        <v>-3436.959493022749</v>
      </c>
      <c r="R1486">
        <f t="shared" si="1062"/>
        <v>174206.77975886283</v>
      </c>
      <c r="S1486">
        <f t="shared" si="1063"/>
        <v>1.7420677975886283</v>
      </c>
      <c r="T1486">
        <f t="shared" si="1064"/>
        <v>1.7420677975886283E-3</v>
      </c>
    </row>
    <row r="1487" spans="1:20" x14ac:dyDescent="0.25">
      <c r="A1487" s="5">
        <v>43106</v>
      </c>
      <c r="B1487">
        <v>16960.39</v>
      </c>
      <c r="C1487">
        <v>17143.13</v>
      </c>
      <c r="D1487">
        <v>16011.21</v>
      </c>
      <c r="E1487">
        <v>17069.79</v>
      </c>
      <c r="F1487">
        <v>18571.457508</v>
      </c>
      <c r="G1487">
        <v>0.65</v>
      </c>
      <c r="L1487" t="s">
        <v>7</v>
      </c>
      <c r="M1487" t="s">
        <v>8</v>
      </c>
      <c r="N1487" t="s">
        <v>8</v>
      </c>
      <c r="P1487">
        <f t="shared" si="1060"/>
        <v>0.87041487030885567</v>
      </c>
      <c r="Q1487">
        <f t="shared" si="1061"/>
        <v>16164.872778272244</v>
      </c>
      <c r="R1487">
        <f t="shared" si="1062"/>
        <v>177643.73925188559</v>
      </c>
      <c r="S1487">
        <f t="shared" si="1063"/>
        <v>1.7764373925188559</v>
      </c>
      <c r="T1487">
        <f t="shared" si="1064"/>
        <v>1.7764373925188558E-3</v>
      </c>
    </row>
    <row r="1488" spans="1:20" x14ac:dyDescent="0.25">
      <c r="A1488" s="5">
        <v>43105</v>
      </c>
      <c r="B1488">
        <v>15059.56</v>
      </c>
      <c r="C1488">
        <v>17176.240000000002</v>
      </c>
      <c r="D1488">
        <v>14600</v>
      </c>
      <c r="E1488">
        <v>16960.39</v>
      </c>
      <c r="F1488">
        <v>23251.491125</v>
      </c>
      <c r="G1488">
        <v>12.62</v>
      </c>
      <c r="L1488" t="s">
        <v>8</v>
      </c>
      <c r="M1488" t="s">
        <v>8</v>
      </c>
      <c r="N1488" t="s">
        <v>8</v>
      </c>
      <c r="P1488">
        <f t="shared" si="1060"/>
        <v>0.8324302083656786</v>
      </c>
      <c r="Q1488">
        <f t="shared" si="1061"/>
        <v>19355.243601996477</v>
      </c>
      <c r="R1488">
        <f t="shared" si="1062"/>
        <v>161478.86647361334</v>
      </c>
      <c r="S1488">
        <f t="shared" si="1063"/>
        <v>1.6147886647361334</v>
      </c>
      <c r="T1488">
        <f t="shared" si="1064"/>
        <v>1.6147886647361334E-3</v>
      </c>
    </row>
    <row r="1489" spans="1:20" x14ac:dyDescent="0.25">
      <c r="A1489" s="5">
        <v>43104</v>
      </c>
      <c r="B1489">
        <v>14919.51</v>
      </c>
      <c r="C1489">
        <v>15280</v>
      </c>
      <c r="D1489">
        <v>13918.04</v>
      </c>
      <c r="E1489">
        <v>15059.54</v>
      </c>
      <c r="F1489">
        <v>21329.649573999999</v>
      </c>
      <c r="G1489">
        <v>0.94</v>
      </c>
      <c r="L1489" t="s">
        <v>7</v>
      </c>
      <c r="M1489" t="s">
        <v>8</v>
      </c>
      <c r="N1489" t="s">
        <v>8</v>
      </c>
      <c r="P1489">
        <f t="shared" si="1060"/>
        <v>0.6762606831331327</v>
      </c>
      <c r="Q1489">
        <f t="shared" si="1061"/>
        <v>14424.403391903572</v>
      </c>
      <c r="R1489">
        <f t="shared" si="1062"/>
        <v>142123.62287161686</v>
      </c>
      <c r="S1489">
        <f t="shared" si="1063"/>
        <v>1.4212362287161686</v>
      </c>
      <c r="T1489">
        <f t="shared" si="1064"/>
        <v>1.4212362287161686E-3</v>
      </c>
    </row>
    <row r="1490" spans="1:20" x14ac:dyDescent="0.25">
      <c r="A1490" s="5">
        <v>43103</v>
      </c>
      <c r="B1490">
        <v>14690</v>
      </c>
      <c r="C1490">
        <v>15307.56</v>
      </c>
      <c r="D1490">
        <v>14150</v>
      </c>
      <c r="E1490">
        <v>14919.51</v>
      </c>
      <c r="F1490">
        <v>15905.667638999999</v>
      </c>
      <c r="G1490">
        <v>1.56</v>
      </c>
      <c r="L1490" t="s">
        <v>7</v>
      </c>
      <c r="M1490" t="s">
        <v>8</v>
      </c>
      <c r="N1490" t="s">
        <v>8</v>
      </c>
      <c r="P1490">
        <f t="shared" si="1060"/>
        <v>0.32953799371091014</v>
      </c>
      <c r="Q1490">
        <f t="shared" si="1061"/>
        <v>5241.5218023886091</v>
      </c>
      <c r="R1490">
        <f t="shared" si="1062"/>
        <v>127699.21947971328</v>
      </c>
      <c r="S1490">
        <f t="shared" si="1063"/>
        <v>1.2769921947971328</v>
      </c>
      <c r="T1490">
        <f t="shared" si="1064"/>
        <v>1.2769921947971329E-3</v>
      </c>
    </row>
    <row r="1491" spans="1:20" x14ac:dyDescent="0.25">
      <c r="A1491" s="5">
        <v>43102</v>
      </c>
      <c r="B1491">
        <v>13382.16</v>
      </c>
      <c r="C1491">
        <v>15473.49</v>
      </c>
      <c r="D1491">
        <v>12890.02</v>
      </c>
      <c r="E1491">
        <v>14675.11</v>
      </c>
      <c r="F1491">
        <v>20078.092111000002</v>
      </c>
      <c r="G1491">
        <v>9.66</v>
      </c>
      <c r="L1491" t="s">
        <v>8</v>
      </c>
      <c r="M1491" t="s">
        <v>8</v>
      </c>
      <c r="N1491" t="s">
        <v>8</v>
      </c>
      <c r="P1491">
        <f t="shared" si="1060"/>
        <v>0.38193205262689373</v>
      </c>
      <c r="Q1491">
        <f t="shared" si="1061"/>
        <v>7668.466932786072</v>
      </c>
      <c r="R1491">
        <f t="shared" si="1062"/>
        <v>122457.69767732467</v>
      </c>
      <c r="S1491">
        <f t="shared" si="1063"/>
        <v>1.2245769767732466</v>
      </c>
      <c r="T1491">
        <f t="shared" si="1064"/>
        <v>1.2245769767732467E-3</v>
      </c>
    </row>
    <row r="1492" spans="1:20" x14ac:dyDescent="0.25">
      <c r="A1492" s="5">
        <v>43101</v>
      </c>
      <c r="B1492">
        <v>13715.65</v>
      </c>
      <c r="C1492">
        <v>13818.55</v>
      </c>
      <c r="D1492">
        <v>12750</v>
      </c>
      <c r="E1492">
        <v>13380</v>
      </c>
      <c r="F1492">
        <v>8609.9158439999992</v>
      </c>
      <c r="G1492">
        <v>-2.4500000000000002</v>
      </c>
      <c r="L1492" t="s">
        <v>7</v>
      </c>
      <c r="M1492" t="s">
        <v>7</v>
      </c>
      <c r="N1492" t="s">
        <v>8</v>
      </c>
      <c r="P1492">
        <f t="shared" si="1060"/>
        <v>0.17916803144448165</v>
      </c>
      <c r="Q1492">
        <f t="shared" si="1061"/>
        <v>1542.6216726721327</v>
      </c>
      <c r="R1492">
        <f t="shared" si="1062"/>
        <v>114789.2307445386</v>
      </c>
      <c r="S1492">
        <f t="shared" si="1063"/>
        <v>1.147892307445386</v>
      </c>
      <c r="T1492">
        <f t="shared" si="1064"/>
        <v>1.147892307445386E-3</v>
      </c>
    </row>
    <row r="1493" spans="1:20" x14ac:dyDescent="0.25">
      <c r="A1493" s="5">
        <v>43100</v>
      </c>
      <c r="B1493">
        <v>12345.1</v>
      </c>
      <c r="C1493">
        <v>14050.11</v>
      </c>
      <c r="D1493">
        <v>12149.98</v>
      </c>
      <c r="E1493">
        <v>13716.36</v>
      </c>
      <c r="F1493">
        <v>11768.989718000001</v>
      </c>
      <c r="G1493">
        <v>11.11</v>
      </c>
      <c r="L1493" t="s">
        <v>8</v>
      </c>
      <c r="M1493" t="s">
        <v>7</v>
      </c>
      <c r="N1493" t="s">
        <v>8</v>
      </c>
      <c r="P1493">
        <f t="shared" si="1060"/>
        <v>0.64870824627788648</v>
      </c>
      <c r="Q1493">
        <f t="shared" si="1061"/>
        <v>7634.6406804262579</v>
      </c>
      <c r="R1493">
        <f t="shared" si="1062"/>
        <v>113246.60907186646</v>
      </c>
      <c r="S1493">
        <f t="shared" si="1063"/>
        <v>1.1324660907186646</v>
      </c>
      <c r="T1493">
        <f t="shared" si="1064"/>
        <v>1.1324660907186645E-3</v>
      </c>
    </row>
    <row r="1494" spans="1:20" x14ac:dyDescent="0.25">
      <c r="A1494" s="5">
        <v>43099</v>
      </c>
      <c r="B1494">
        <v>14378.99</v>
      </c>
      <c r="C1494">
        <v>14398.85</v>
      </c>
      <c r="D1494">
        <v>11750</v>
      </c>
      <c r="E1494">
        <v>12440.01</v>
      </c>
      <c r="F1494">
        <v>19221.158039000002</v>
      </c>
      <c r="G1494">
        <v>-13.48</v>
      </c>
      <c r="L1494" t="s">
        <v>7</v>
      </c>
      <c r="M1494" t="s">
        <v>7</v>
      </c>
      <c r="N1494" t="s">
        <v>8</v>
      </c>
      <c r="P1494">
        <f t="shared" si="1060"/>
        <v>-0.47901164656360296</v>
      </c>
      <c r="Q1494">
        <f t="shared" si="1061"/>
        <v>-9207.1585611206247</v>
      </c>
      <c r="R1494">
        <f t="shared" si="1062"/>
        <v>105611.96839144021</v>
      </c>
      <c r="S1494">
        <f t="shared" si="1063"/>
        <v>1.056119683914402</v>
      </c>
      <c r="T1494">
        <f t="shared" si="1064"/>
        <v>1.056119683914402E-3</v>
      </c>
    </row>
    <row r="1495" spans="1:20" x14ac:dyDescent="0.25">
      <c r="A1495" s="5">
        <v>43098</v>
      </c>
      <c r="B1495">
        <v>14199.14</v>
      </c>
      <c r="C1495">
        <v>14981</v>
      </c>
      <c r="D1495">
        <v>13850</v>
      </c>
      <c r="E1495">
        <v>14378.9</v>
      </c>
      <c r="F1495">
        <v>18072.008116000001</v>
      </c>
      <c r="G1495">
        <v>1.27</v>
      </c>
      <c r="L1495" t="s">
        <v>8</v>
      </c>
      <c r="M1495" t="s">
        <v>7</v>
      </c>
      <c r="N1495" t="s">
        <v>8</v>
      </c>
      <c r="P1495">
        <f t="shared" si="1060"/>
        <v>-6.4721485411141227E-2</v>
      </c>
      <c r="Q1495">
        <f t="shared" si="1061"/>
        <v>-1169.64720962972</v>
      </c>
      <c r="R1495">
        <f t="shared" si="1062"/>
        <v>114819.12695256084</v>
      </c>
      <c r="S1495">
        <f t="shared" si="1063"/>
        <v>1.1481912695256085</v>
      </c>
      <c r="T1495">
        <f t="shared" si="1064"/>
        <v>1.1481912695256084E-3</v>
      </c>
    </row>
    <row r="1496" spans="1:20" x14ac:dyDescent="0.25">
      <c r="A1496" s="5">
        <v>43097</v>
      </c>
      <c r="B1496">
        <v>15459.97</v>
      </c>
      <c r="C1496">
        <v>15539.99</v>
      </c>
      <c r="D1496">
        <v>13150</v>
      </c>
      <c r="E1496">
        <v>14182.11</v>
      </c>
      <c r="F1496">
        <v>21717.858014000001</v>
      </c>
      <c r="G1496">
        <v>-8.27</v>
      </c>
      <c r="L1496" t="s">
        <v>7</v>
      </c>
      <c r="M1496" t="s">
        <v>7</v>
      </c>
      <c r="N1496" t="s">
        <v>8</v>
      </c>
      <c r="P1496">
        <f t="shared" si="1060"/>
        <v>-0.13630600964857537</v>
      </c>
      <c r="Q1496">
        <f t="shared" si="1061"/>
        <v>-2960.2745640026742</v>
      </c>
      <c r="R1496">
        <f t="shared" si="1062"/>
        <v>115988.77416219056</v>
      </c>
      <c r="S1496">
        <f t="shared" si="1063"/>
        <v>1.1598877416219056</v>
      </c>
      <c r="T1496">
        <f t="shared" si="1064"/>
        <v>1.1598877416219055E-3</v>
      </c>
    </row>
    <row r="1497" spans="1:20" x14ac:dyDescent="0.25">
      <c r="A1497" s="5">
        <v>43096</v>
      </c>
      <c r="B1497">
        <v>15709.98</v>
      </c>
      <c r="C1497">
        <v>16498.05</v>
      </c>
      <c r="D1497">
        <v>14200.15</v>
      </c>
      <c r="E1497">
        <v>15459.99</v>
      </c>
      <c r="F1497">
        <v>14959.864723000001</v>
      </c>
      <c r="G1497">
        <v>-1.59</v>
      </c>
      <c r="L1497" t="s">
        <v>8</v>
      </c>
      <c r="M1497" t="s">
        <v>8</v>
      </c>
      <c r="N1497" t="s">
        <v>8</v>
      </c>
      <c r="P1497">
        <f t="shared" si="1060"/>
        <v>9.6514208625266842E-2</v>
      </c>
      <c r="Q1497">
        <f t="shared" si="1061"/>
        <v>1443.8395048813918</v>
      </c>
      <c r="R1497">
        <f t="shared" si="1062"/>
        <v>118949.04872619323</v>
      </c>
      <c r="S1497">
        <f t="shared" si="1063"/>
        <v>1.1894904872619323</v>
      </c>
      <c r="T1497">
        <f t="shared" si="1064"/>
        <v>1.1894904872619323E-3</v>
      </c>
    </row>
    <row r="1498" spans="1:20" x14ac:dyDescent="0.25">
      <c r="A1498" s="5">
        <v>43095</v>
      </c>
      <c r="B1498">
        <v>13699.34</v>
      </c>
      <c r="C1498">
        <v>16050</v>
      </c>
      <c r="D1498">
        <v>13533</v>
      </c>
      <c r="E1498">
        <v>15689.01</v>
      </c>
      <c r="F1498">
        <v>15034.668104</v>
      </c>
      <c r="G1498">
        <v>14.52</v>
      </c>
      <c r="L1498" t="s">
        <v>8</v>
      </c>
      <c r="M1498" t="s">
        <v>8</v>
      </c>
      <c r="N1498" t="s">
        <v>8</v>
      </c>
      <c r="P1498">
        <f t="shared" si="1060"/>
        <v>0.71315852205005981</v>
      </c>
      <c r="Q1498">
        <f t="shared" si="1061"/>
        <v>10722.101684561814</v>
      </c>
      <c r="R1498">
        <f t="shared" si="1062"/>
        <v>117505.20922131183</v>
      </c>
      <c r="S1498">
        <f t="shared" si="1063"/>
        <v>1.1750520922131182</v>
      </c>
      <c r="T1498">
        <f t="shared" si="1064"/>
        <v>1.1750520922131182E-3</v>
      </c>
    </row>
    <row r="1499" spans="1:20" x14ac:dyDescent="0.25">
      <c r="A1499" s="5">
        <v>43094</v>
      </c>
      <c r="B1499">
        <v>13500</v>
      </c>
      <c r="C1499">
        <v>14300</v>
      </c>
      <c r="D1499">
        <v>12708</v>
      </c>
      <c r="E1499">
        <v>13699.34</v>
      </c>
      <c r="F1499">
        <v>15748.207607</v>
      </c>
      <c r="G1499">
        <v>1.48</v>
      </c>
      <c r="L1499" t="s">
        <v>8</v>
      </c>
      <c r="M1499" t="s">
        <v>8</v>
      </c>
      <c r="N1499" t="s">
        <v>7</v>
      </c>
      <c r="P1499">
        <f t="shared" si="1060"/>
        <v>0.24540201005025145</v>
      </c>
      <c r="Q1499">
        <f t="shared" si="1061"/>
        <v>3864.6418014464602</v>
      </c>
      <c r="R1499">
        <f t="shared" si="1062"/>
        <v>106783.10753675002</v>
      </c>
      <c r="S1499">
        <f t="shared" si="1063"/>
        <v>1.0678310753675002</v>
      </c>
      <c r="T1499">
        <f t="shared" si="1064"/>
        <v>1.0678310753675002E-3</v>
      </c>
    </row>
    <row r="1500" spans="1:20" x14ac:dyDescent="0.25">
      <c r="A1500" s="5">
        <v>43093</v>
      </c>
      <c r="B1500">
        <v>13300</v>
      </c>
      <c r="C1500">
        <v>13819.99</v>
      </c>
      <c r="D1500">
        <v>11640</v>
      </c>
      <c r="E1500">
        <v>13500</v>
      </c>
      <c r="F1500">
        <v>28557.534987999999</v>
      </c>
      <c r="G1500">
        <v>1.5</v>
      </c>
      <c r="L1500" t="s">
        <v>7</v>
      </c>
      <c r="M1500" t="s">
        <v>7</v>
      </c>
      <c r="N1500" t="s">
        <v>7</v>
      </c>
      <c r="P1500">
        <f t="shared" si="1060"/>
        <v>0.70642984600846814</v>
      </c>
      <c r="Q1500">
        <f t="shared" si="1061"/>
        <v>20173.895043954282</v>
      </c>
      <c r="R1500">
        <f t="shared" si="1062"/>
        <v>102918.46573530356</v>
      </c>
      <c r="S1500">
        <f t="shared" si="1063"/>
        <v>1.0291846573530357</v>
      </c>
      <c r="T1500">
        <f t="shared" si="1064"/>
        <v>1.0291846573530358E-3</v>
      </c>
    </row>
    <row r="1501" spans="1:20" x14ac:dyDescent="0.25">
      <c r="A1501" s="5">
        <v>43092</v>
      </c>
      <c r="B1501">
        <v>13326.61</v>
      </c>
      <c r="C1501">
        <v>14950</v>
      </c>
      <c r="D1501">
        <v>12978.18</v>
      </c>
      <c r="E1501">
        <v>13300</v>
      </c>
      <c r="F1501">
        <v>13141.538875</v>
      </c>
      <c r="G1501">
        <v>-0.2</v>
      </c>
      <c r="L1501" t="s">
        <v>8</v>
      </c>
      <c r="M1501" t="s">
        <v>8</v>
      </c>
      <c r="N1501" t="s">
        <v>7</v>
      </c>
      <c r="P1501">
        <f t="shared" si="1060"/>
        <v>-0.67358075280705165</v>
      </c>
      <c r="Q1501">
        <f t="shared" si="1061"/>
        <v>-8851.8876484656339</v>
      </c>
      <c r="R1501">
        <f t="shared" si="1062"/>
        <v>82744.570691349276</v>
      </c>
      <c r="S1501">
        <f t="shared" si="1063"/>
        <v>0.82744570691349273</v>
      </c>
      <c r="T1501">
        <f t="shared" si="1064"/>
        <v>8.274457069134927E-4</v>
      </c>
    </row>
    <row r="1502" spans="1:20" x14ac:dyDescent="0.25">
      <c r="A1502" s="5">
        <v>43091</v>
      </c>
      <c r="B1502">
        <v>15514.03</v>
      </c>
      <c r="C1502">
        <v>15699.34</v>
      </c>
      <c r="D1502">
        <v>10961</v>
      </c>
      <c r="E1502">
        <v>13326.61</v>
      </c>
      <c r="F1502">
        <v>36076.271175000002</v>
      </c>
      <c r="G1502">
        <v>-14.1</v>
      </c>
      <c r="L1502" t="s">
        <v>7</v>
      </c>
      <c r="M1502" t="s">
        <v>7</v>
      </c>
      <c r="N1502" t="s">
        <v>7</v>
      </c>
      <c r="P1502">
        <f t="shared" si="1060"/>
        <v>-1.5026359442334195E-3</v>
      </c>
      <c r="Q1502">
        <f t="shared" si="1061"/>
        <v>-54.20950180146702</v>
      </c>
      <c r="R1502">
        <f t="shared" si="1062"/>
        <v>91596.458339814912</v>
      </c>
      <c r="S1502">
        <f t="shared" si="1063"/>
        <v>0.91596458339814912</v>
      </c>
      <c r="T1502">
        <f t="shared" si="1064"/>
        <v>9.1596458339814914E-4</v>
      </c>
    </row>
    <row r="1503" spans="1:20" x14ac:dyDescent="0.25">
      <c r="A1503" s="5">
        <v>43090</v>
      </c>
      <c r="B1503">
        <v>16480.52</v>
      </c>
      <c r="C1503">
        <v>17309.5</v>
      </c>
      <c r="D1503">
        <v>14022</v>
      </c>
      <c r="E1503">
        <v>15492.64</v>
      </c>
      <c r="F1503">
        <v>20324.2173</v>
      </c>
      <c r="G1503">
        <v>-5.99</v>
      </c>
      <c r="L1503" t="s">
        <v>7</v>
      </c>
      <c r="M1503" t="s">
        <v>7</v>
      </c>
      <c r="N1503" t="s">
        <v>8</v>
      </c>
      <c r="P1503">
        <f t="shared" si="1060"/>
        <v>-0.10531406844106499</v>
      </c>
      <c r="Q1503">
        <f t="shared" si="1061"/>
        <v>-2140.4260117432773</v>
      </c>
      <c r="R1503">
        <f t="shared" si="1062"/>
        <v>91650.667841616378</v>
      </c>
      <c r="S1503">
        <f t="shared" si="1063"/>
        <v>0.91650667841616373</v>
      </c>
      <c r="T1503">
        <f t="shared" si="1064"/>
        <v>9.1650667841616372E-4</v>
      </c>
    </row>
    <row r="1504" spans="1:20" x14ac:dyDescent="0.25">
      <c r="A1504" s="5">
        <v>43089</v>
      </c>
      <c r="B1504">
        <v>17295.2</v>
      </c>
      <c r="C1504">
        <v>17720.349999999999</v>
      </c>
      <c r="D1504">
        <v>14777.66</v>
      </c>
      <c r="E1504">
        <v>16488.98</v>
      </c>
      <c r="F1504">
        <v>13450.496692999999</v>
      </c>
      <c r="G1504">
        <v>-4.66</v>
      </c>
      <c r="L1504" t="s">
        <v>7</v>
      </c>
      <c r="M1504" t="s">
        <v>7</v>
      </c>
      <c r="N1504" t="s">
        <v>8</v>
      </c>
      <c r="P1504">
        <f t="shared" si="1060"/>
        <v>0.16309906921898024</v>
      </c>
      <c r="Q1504">
        <f t="shared" si="1061"/>
        <v>2193.7634911612718</v>
      </c>
      <c r="R1504">
        <f t="shared" si="1062"/>
        <v>93791.093853359649</v>
      </c>
      <c r="S1504">
        <f t="shared" si="1063"/>
        <v>0.93791093853359653</v>
      </c>
      <c r="T1504">
        <f t="shared" si="1064"/>
        <v>9.3791093853359657E-4</v>
      </c>
    </row>
    <row r="1505" spans="1:20" x14ac:dyDescent="0.25">
      <c r="A1505" s="5">
        <v>43088</v>
      </c>
      <c r="B1505">
        <v>18856.25</v>
      </c>
      <c r="C1505">
        <v>18950</v>
      </c>
      <c r="D1505">
        <v>16300</v>
      </c>
      <c r="E1505">
        <v>17295.2</v>
      </c>
      <c r="F1505">
        <v>13210.748219999999</v>
      </c>
      <c r="G1505">
        <v>-8.2799999999999994</v>
      </c>
      <c r="L1505" t="s">
        <v>7</v>
      </c>
      <c r="M1505" t="s">
        <v>7</v>
      </c>
      <c r="N1505" t="s">
        <v>8</v>
      </c>
      <c r="P1505">
        <f t="shared" si="1060"/>
        <v>-0.24890566037735795</v>
      </c>
      <c r="Q1505">
        <f t="shared" si="1061"/>
        <v>-3288.2300097781058</v>
      </c>
      <c r="R1505">
        <f t="shared" si="1062"/>
        <v>91597.33036219838</v>
      </c>
      <c r="S1505">
        <f t="shared" si="1063"/>
        <v>0.91597330362198381</v>
      </c>
      <c r="T1505">
        <f t="shared" si="1064"/>
        <v>9.1597330362198383E-4</v>
      </c>
    </row>
    <row r="1506" spans="1:20" x14ac:dyDescent="0.25">
      <c r="A1506" s="5">
        <v>43087</v>
      </c>
      <c r="B1506">
        <v>18860.04</v>
      </c>
      <c r="C1506">
        <v>19300</v>
      </c>
      <c r="D1506">
        <v>17029.98</v>
      </c>
      <c r="E1506">
        <v>18856.25</v>
      </c>
      <c r="F1506">
        <v>10624.633071</v>
      </c>
      <c r="G1506">
        <v>-0.02</v>
      </c>
      <c r="L1506" t="s">
        <v>7</v>
      </c>
      <c r="M1506" t="s">
        <v>8</v>
      </c>
      <c r="N1506" t="s">
        <v>8</v>
      </c>
      <c r="P1506">
        <f t="shared" si="1060"/>
        <v>0.60903428163628526</v>
      </c>
      <c r="Q1506">
        <f t="shared" si="1061"/>
        <v>6470.7657700456048</v>
      </c>
      <c r="R1506">
        <f t="shared" si="1062"/>
        <v>94885.560371976491</v>
      </c>
      <c r="S1506">
        <f t="shared" si="1063"/>
        <v>0.94885560371976496</v>
      </c>
      <c r="T1506">
        <f t="shared" si="1064"/>
        <v>9.4885560371976501E-4</v>
      </c>
    </row>
    <row r="1507" spans="1:20" x14ac:dyDescent="0.25">
      <c r="A1507" s="5">
        <v>43086</v>
      </c>
      <c r="B1507">
        <v>19120.189999999999</v>
      </c>
      <c r="C1507">
        <v>19798.68</v>
      </c>
      <c r="D1507">
        <v>18510</v>
      </c>
      <c r="E1507">
        <v>18860.02</v>
      </c>
      <c r="F1507">
        <v>9177.1834340000005</v>
      </c>
      <c r="G1507">
        <v>-1.36</v>
      </c>
      <c r="L1507" t="s">
        <v>8</v>
      </c>
      <c r="M1507" t="s">
        <v>8</v>
      </c>
      <c r="N1507" t="s">
        <v>8</v>
      </c>
      <c r="P1507">
        <f t="shared" si="1060"/>
        <v>-0.45677747772914867</v>
      </c>
      <c r="Q1507">
        <f t="shared" si="1061"/>
        <v>-4191.9307016402472</v>
      </c>
      <c r="R1507">
        <f t="shared" si="1062"/>
        <v>88414.794601930887</v>
      </c>
      <c r="S1507">
        <f t="shared" si="1063"/>
        <v>0.88414794601930891</v>
      </c>
      <c r="T1507">
        <f t="shared" si="1064"/>
        <v>8.8414794601930895E-4</v>
      </c>
    </row>
    <row r="1508" spans="1:20" x14ac:dyDescent="0.25">
      <c r="A1508" s="5">
        <v>43085</v>
      </c>
      <c r="B1508">
        <v>17516.810000000001</v>
      </c>
      <c r="C1508">
        <v>19539</v>
      </c>
      <c r="D1508">
        <v>17190.009999999998</v>
      </c>
      <c r="E1508">
        <v>19102.66</v>
      </c>
      <c r="F1508">
        <v>4202.6287089999996</v>
      </c>
      <c r="G1508">
        <v>9.0500000000000007</v>
      </c>
      <c r="L1508" t="s">
        <v>8</v>
      </c>
      <c r="M1508" t="s">
        <v>8</v>
      </c>
      <c r="N1508" t="s">
        <v>8</v>
      </c>
      <c r="P1508">
        <f t="shared" si="1060"/>
        <v>0.62848713702484915</v>
      </c>
      <c r="Q1508">
        <f t="shared" si="1061"/>
        <v>2641.2980852978476</v>
      </c>
      <c r="R1508">
        <f t="shared" si="1062"/>
        <v>92606.725303571133</v>
      </c>
      <c r="S1508">
        <f t="shared" si="1063"/>
        <v>0.92606725303571136</v>
      </c>
      <c r="T1508">
        <f t="shared" si="1064"/>
        <v>9.2606725303571134E-4</v>
      </c>
    </row>
    <row r="1509" spans="1:20" x14ac:dyDescent="0.25">
      <c r="A1509" s="5">
        <v>43084</v>
      </c>
      <c r="B1509">
        <v>16334.98</v>
      </c>
      <c r="C1509">
        <v>17991</v>
      </c>
      <c r="D1509">
        <v>16298.45</v>
      </c>
      <c r="E1509">
        <v>17539.830000000002</v>
      </c>
      <c r="F1509">
        <v>9181.2739469999997</v>
      </c>
      <c r="G1509">
        <v>7.38</v>
      </c>
      <c r="L1509" t="s">
        <v>8</v>
      </c>
      <c r="M1509" t="s">
        <v>8</v>
      </c>
      <c r="N1509" t="s">
        <v>8</v>
      </c>
      <c r="P1509">
        <f t="shared" si="1060"/>
        <v>0.46687542465510806</v>
      </c>
      <c r="Q1509">
        <f t="shared" si="1061"/>
        <v>4286.511172880505</v>
      </c>
      <c r="R1509">
        <f t="shared" si="1062"/>
        <v>89965.427218273282</v>
      </c>
      <c r="S1509">
        <f t="shared" si="1063"/>
        <v>0.89965427218273286</v>
      </c>
      <c r="T1509">
        <f t="shared" si="1064"/>
        <v>8.996542721827329E-4</v>
      </c>
    </row>
    <row r="1510" spans="1:20" x14ac:dyDescent="0.25">
      <c r="A1510" s="5">
        <v>43083</v>
      </c>
      <c r="B1510">
        <v>16030.34</v>
      </c>
      <c r="C1510">
        <v>16445</v>
      </c>
      <c r="D1510">
        <v>15450</v>
      </c>
      <c r="E1510">
        <v>16334.98</v>
      </c>
      <c r="F1510">
        <v>11616.867151</v>
      </c>
      <c r="G1510">
        <v>1.9</v>
      </c>
      <c r="L1510" t="s">
        <v>8</v>
      </c>
      <c r="M1510" t="s">
        <v>7</v>
      </c>
      <c r="N1510" t="s">
        <v>8</v>
      </c>
      <c r="P1510">
        <f t="shared" si="1060"/>
        <v>0.77885427135678309</v>
      </c>
      <c r="Q1510">
        <f t="shared" si="1061"/>
        <v>9047.8466003406538</v>
      </c>
      <c r="R1510">
        <f t="shared" si="1062"/>
        <v>85678.916045392776</v>
      </c>
      <c r="S1510">
        <f t="shared" si="1063"/>
        <v>0.85678916045392772</v>
      </c>
      <c r="T1510">
        <f t="shared" si="1064"/>
        <v>8.5678916045392776E-4</v>
      </c>
    </row>
    <row r="1511" spans="1:20" x14ac:dyDescent="0.25">
      <c r="A1511" s="5">
        <v>43082</v>
      </c>
      <c r="B1511">
        <v>16349.99</v>
      </c>
      <c r="C1511">
        <v>16546</v>
      </c>
      <c r="D1511">
        <v>14666.56</v>
      </c>
      <c r="E1511">
        <v>16033.29</v>
      </c>
      <c r="F1511">
        <v>12416.328801</v>
      </c>
      <c r="G1511">
        <v>-1.94</v>
      </c>
      <c r="L1511" t="s">
        <v>7</v>
      </c>
      <c r="M1511" t="s">
        <v>7</v>
      </c>
      <c r="N1511" t="s">
        <v>8</v>
      </c>
      <c r="P1511">
        <f t="shared" si="1060"/>
        <v>0.45440131102881814</v>
      </c>
      <c r="Q1511">
        <f t="shared" si="1061"/>
        <v>5641.9960853392731</v>
      </c>
      <c r="R1511">
        <f t="shared" si="1062"/>
        <v>76631.069445052126</v>
      </c>
      <c r="S1511">
        <f t="shared" si="1063"/>
        <v>0.76631069445052125</v>
      </c>
      <c r="T1511">
        <f t="shared" si="1064"/>
        <v>7.6631069445052126E-4</v>
      </c>
    </row>
    <row r="1512" spans="1:20" x14ac:dyDescent="0.25">
      <c r="A1512" s="5">
        <v>43081</v>
      </c>
      <c r="B1512">
        <v>16587.97</v>
      </c>
      <c r="C1512">
        <v>16976.45</v>
      </c>
      <c r="D1512">
        <v>15875</v>
      </c>
      <c r="E1512">
        <v>16349.99</v>
      </c>
      <c r="F1512">
        <v>9436.8024110000006</v>
      </c>
      <c r="G1512">
        <v>-1.43</v>
      </c>
      <c r="L1512" t="s">
        <v>7</v>
      </c>
      <c r="M1512" t="s">
        <v>8</v>
      </c>
      <c r="N1512" t="s">
        <v>8</v>
      </c>
      <c r="P1512">
        <f t="shared" si="1060"/>
        <v>-0.13751872531662904</v>
      </c>
      <c r="Q1512">
        <f t="shared" si="1061"/>
        <v>-1297.7370386256116</v>
      </c>
      <c r="R1512">
        <f t="shared" si="1062"/>
        <v>70989.073359712856</v>
      </c>
      <c r="S1512">
        <f t="shared" si="1063"/>
        <v>0.70989073359712851</v>
      </c>
      <c r="T1512">
        <f t="shared" si="1064"/>
        <v>7.0989073359712849E-4</v>
      </c>
    </row>
    <row r="1513" spans="1:20" x14ac:dyDescent="0.25">
      <c r="A1513" s="5">
        <v>43080</v>
      </c>
      <c r="B1513">
        <v>14946.26</v>
      </c>
      <c r="C1513">
        <v>17470</v>
      </c>
      <c r="D1513">
        <v>14901.08</v>
      </c>
      <c r="E1513">
        <v>16587.97</v>
      </c>
      <c r="F1513">
        <v>11820.401762</v>
      </c>
      <c r="G1513">
        <v>10.98</v>
      </c>
      <c r="L1513" t="s">
        <v>8</v>
      </c>
      <c r="M1513" t="s">
        <v>8</v>
      </c>
      <c r="N1513" t="s">
        <v>8</v>
      </c>
      <c r="P1513">
        <f t="shared" si="1060"/>
        <v>0.31330675926070189</v>
      </c>
      <c r="Q1513">
        <f t="shared" si="1061"/>
        <v>3703.4117692117102</v>
      </c>
      <c r="R1513">
        <f t="shared" si="1062"/>
        <v>72286.810398338464</v>
      </c>
      <c r="S1513">
        <f t="shared" si="1063"/>
        <v>0.72286810398338464</v>
      </c>
      <c r="T1513">
        <f t="shared" si="1064"/>
        <v>7.2286810398338461E-4</v>
      </c>
    </row>
    <row r="1514" spans="1:20" x14ac:dyDescent="0.25">
      <c r="A1514" s="5">
        <v>43079</v>
      </c>
      <c r="B1514">
        <v>14664.01</v>
      </c>
      <c r="C1514">
        <v>15720.12</v>
      </c>
      <c r="D1514">
        <v>12368</v>
      </c>
      <c r="E1514">
        <v>14899.98</v>
      </c>
      <c r="F1514">
        <v>16553.037173000001</v>
      </c>
      <c r="G1514">
        <v>1.61</v>
      </c>
      <c r="L1514" t="s">
        <v>7</v>
      </c>
      <c r="M1514" t="s">
        <v>8</v>
      </c>
      <c r="N1514" t="s">
        <v>7</v>
      </c>
      <c r="P1514">
        <f t="shared" si="1060"/>
        <v>0.51067384222521806</v>
      </c>
      <c r="Q1514">
        <f t="shared" si="1061"/>
        <v>8453.2030936327719</v>
      </c>
      <c r="R1514">
        <f t="shared" si="1062"/>
        <v>68583.39862912675</v>
      </c>
      <c r="S1514">
        <f t="shared" si="1063"/>
        <v>0.68583398629126746</v>
      </c>
      <c r="T1514">
        <f t="shared" si="1064"/>
        <v>6.8583398629126747E-4</v>
      </c>
    </row>
    <row r="1515" spans="1:20" x14ac:dyDescent="0.25">
      <c r="A1515" s="5">
        <v>43078</v>
      </c>
      <c r="B1515">
        <v>15880.01</v>
      </c>
      <c r="C1515">
        <v>16269.3</v>
      </c>
      <c r="D1515">
        <v>12535</v>
      </c>
      <c r="E1515">
        <v>14656.07</v>
      </c>
      <c r="F1515">
        <v>13918.758687</v>
      </c>
      <c r="G1515">
        <v>-7.71</v>
      </c>
      <c r="L1515" t="s">
        <v>7</v>
      </c>
      <c r="M1515" t="s">
        <v>7</v>
      </c>
      <c r="N1515" t="s">
        <v>8</v>
      </c>
      <c r="P1515">
        <f t="shared" si="1060"/>
        <v>0.13599335886243746</v>
      </c>
      <c r="Q1515">
        <f t="shared" si="1061"/>
        <v>1892.8587450408597</v>
      </c>
      <c r="R1515">
        <f t="shared" si="1062"/>
        <v>60130.195535493986</v>
      </c>
      <c r="S1515">
        <f t="shared" si="1063"/>
        <v>0.60130195535493991</v>
      </c>
      <c r="T1515">
        <f t="shared" si="1064"/>
        <v>6.0130195535493995E-4</v>
      </c>
    </row>
    <row r="1516" spans="1:20" x14ac:dyDescent="0.25">
      <c r="A1516" s="5">
        <v>43077</v>
      </c>
      <c r="B1516">
        <v>16599</v>
      </c>
      <c r="C1516">
        <v>17204.990000000002</v>
      </c>
      <c r="D1516">
        <v>14015</v>
      </c>
      <c r="E1516">
        <v>15880</v>
      </c>
      <c r="F1516">
        <v>17589.013136000001</v>
      </c>
      <c r="G1516">
        <v>-4.33</v>
      </c>
      <c r="L1516" t="s">
        <v>8</v>
      </c>
      <c r="M1516" t="s">
        <v>7</v>
      </c>
      <c r="N1516" t="s">
        <v>8</v>
      </c>
      <c r="P1516">
        <f t="shared" si="1060"/>
        <v>0.1692826623280945</v>
      </c>
      <c r="Q1516">
        <f t="shared" si="1061"/>
        <v>2977.5149713859068</v>
      </c>
      <c r="R1516">
        <f t="shared" si="1062"/>
        <v>58237.336790453126</v>
      </c>
      <c r="S1516">
        <f t="shared" si="1063"/>
        <v>0.58237336790453131</v>
      </c>
      <c r="T1516">
        <f t="shared" si="1064"/>
        <v>5.8237336790453135E-4</v>
      </c>
    </row>
    <row r="1517" spans="1:20" x14ac:dyDescent="0.25">
      <c r="A1517" s="5">
        <v>43076</v>
      </c>
      <c r="B1517">
        <v>13541.01</v>
      </c>
      <c r="C1517">
        <v>16649.96</v>
      </c>
      <c r="D1517">
        <v>13050</v>
      </c>
      <c r="E1517">
        <v>16599</v>
      </c>
      <c r="F1517">
        <v>7487.0656950000002</v>
      </c>
      <c r="G1517">
        <v>22.58</v>
      </c>
      <c r="L1517" t="s">
        <v>8</v>
      </c>
      <c r="M1517" t="s">
        <v>8</v>
      </c>
      <c r="N1517" t="s">
        <v>8</v>
      </c>
      <c r="P1517">
        <f t="shared" si="1060"/>
        <v>0.97168857431749289</v>
      </c>
      <c r="Q1517">
        <f t="shared" si="1061"/>
        <v>7275.0961909959597</v>
      </c>
      <c r="R1517">
        <f t="shared" si="1062"/>
        <v>55259.82181906722</v>
      </c>
      <c r="S1517">
        <f t="shared" si="1063"/>
        <v>0.55259821819067223</v>
      </c>
      <c r="T1517">
        <f t="shared" si="1064"/>
        <v>5.5259821819067219E-4</v>
      </c>
    </row>
    <row r="1518" spans="1:20" x14ac:dyDescent="0.25">
      <c r="A1518" s="5">
        <v>43075</v>
      </c>
      <c r="B1518">
        <v>11699.99</v>
      </c>
      <c r="C1518">
        <v>13615.23</v>
      </c>
      <c r="D1518">
        <v>11665.58</v>
      </c>
      <c r="E1518">
        <v>13550.05</v>
      </c>
      <c r="F1518">
        <v>6707.9463189999997</v>
      </c>
      <c r="G1518">
        <v>15.81</v>
      </c>
      <c r="L1518" t="s">
        <v>8</v>
      </c>
      <c r="M1518" t="s">
        <v>8</v>
      </c>
      <c r="N1518" t="s">
        <v>8</v>
      </c>
      <c r="P1518">
        <f t="shared" si="1060"/>
        <v>0.93313671684661315</v>
      </c>
      <c r="Q1518">
        <f t="shared" si="1061"/>
        <v>6259.4310048949837</v>
      </c>
      <c r="R1518">
        <f t="shared" si="1062"/>
        <v>47984.725628071261</v>
      </c>
      <c r="S1518">
        <f t="shared" si="1063"/>
        <v>0.47984725628071262</v>
      </c>
      <c r="T1518">
        <f t="shared" si="1064"/>
        <v>4.7984725628071262E-4</v>
      </c>
    </row>
    <row r="1519" spans="1:20" x14ac:dyDescent="0.25">
      <c r="A1519" s="5">
        <v>43074</v>
      </c>
      <c r="B1519">
        <v>11571.03</v>
      </c>
      <c r="C1519">
        <v>11853</v>
      </c>
      <c r="D1519">
        <v>11447.68</v>
      </c>
      <c r="E1519">
        <v>11699.99</v>
      </c>
      <c r="F1519">
        <v>5550.7320550000004</v>
      </c>
      <c r="G1519">
        <v>1.1100000000000001</v>
      </c>
      <c r="L1519" t="s">
        <v>8</v>
      </c>
      <c r="M1519" t="s">
        <v>8</v>
      </c>
      <c r="N1519" t="s">
        <v>8</v>
      </c>
      <c r="P1519">
        <f t="shared" si="1060"/>
        <v>0.24499161156616833</v>
      </c>
      <c r="Q1519">
        <f t="shared" si="1061"/>
        <v>1359.8827915264394</v>
      </c>
      <c r="R1519">
        <f t="shared" si="1062"/>
        <v>41725.294623176276</v>
      </c>
      <c r="S1519">
        <f t="shared" si="1063"/>
        <v>0.41725294623176279</v>
      </c>
      <c r="T1519">
        <f t="shared" si="1064"/>
        <v>4.1725294623176277E-4</v>
      </c>
    </row>
    <row r="1520" spans="1:20" x14ac:dyDescent="0.25">
      <c r="A1520" s="5">
        <v>43073</v>
      </c>
      <c r="B1520">
        <v>11165.41</v>
      </c>
      <c r="C1520">
        <v>11600</v>
      </c>
      <c r="D1520">
        <v>10802</v>
      </c>
      <c r="E1520">
        <v>11579</v>
      </c>
      <c r="F1520">
        <v>4663.4245620000002</v>
      </c>
      <c r="G1520">
        <v>3.7</v>
      </c>
      <c r="L1520" t="s">
        <v>7</v>
      </c>
      <c r="M1520" t="s">
        <v>8</v>
      </c>
      <c r="N1520" t="s">
        <v>8</v>
      </c>
      <c r="P1520">
        <f t="shared" si="1060"/>
        <v>0.94736842105263153</v>
      </c>
      <c r="Q1520">
        <f t="shared" si="1061"/>
        <v>4417.9811639999998</v>
      </c>
      <c r="R1520">
        <f t="shared" si="1062"/>
        <v>40365.411831649835</v>
      </c>
      <c r="S1520">
        <f t="shared" si="1063"/>
        <v>0.40365411831649833</v>
      </c>
      <c r="T1520">
        <f t="shared" si="1064"/>
        <v>4.0365411831649834E-4</v>
      </c>
    </row>
    <row r="1521" spans="1:20" x14ac:dyDescent="0.25">
      <c r="A1521" s="5">
        <v>43072</v>
      </c>
      <c r="B1521">
        <v>10902.69</v>
      </c>
      <c r="C1521">
        <v>11825</v>
      </c>
      <c r="D1521">
        <v>10500</v>
      </c>
      <c r="E1521">
        <v>11165.41</v>
      </c>
      <c r="F1521">
        <v>5346.6365239999996</v>
      </c>
      <c r="G1521">
        <v>2.41</v>
      </c>
      <c r="L1521" t="s">
        <v>8</v>
      </c>
      <c r="M1521" t="s">
        <v>8</v>
      </c>
      <c r="N1521" t="s">
        <v>8</v>
      </c>
      <c r="P1521">
        <f t="shared" si="1060"/>
        <v>4.3924528301884595E-3</v>
      </c>
      <c r="Q1521">
        <f t="shared" si="1061"/>
        <v>23.484848731832784</v>
      </c>
      <c r="R1521">
        <f t="shared" si="1062"/>
        <v>35947.430667649838</v>
      </c>
      <c r="S1521">
        <f t="shared" si="1063"/>
        <v>0.35947430667649838</v>
      </c>
      <c r="T1521">
        <f t="shared" si="1064"/>
        <v>3.5947430667649836E-4</v>
      </c>
    </row>
    <row r="1522" spans="1:20" x14ac:dyDescent="0.25">
      <c r="A1522" s="5">
        <v>43071</v>
      </c>
      <c r="B1522">
        <v>10775.04</v>
      </c>
      <c r="C1522">
        <v>11190</v>
      </c>
      <c r="D1522">
        <v>10620</v>
      </c>
      <c r="E1522">
        <v>10890.01</v>
      </c>
      <c r="F1522">
        <v>4765.4397570000001</v>
      </c>
      <c r="G1522">
        <v>1.07</v>
      </c>
      <c r="L1522" t="s">
        <v>8</v>
      </c>
      <c r="M1522" t="s">
        <v>8</v>
      </c>
      <c r="N1522" t="s">
        <v>8</v>
      </c>
      <c r="P1522">
        <f t="shared" si="1060"/>
        <v>-5.2596491228069413E-2</v>
      </c>
      <c r="Q1522">
        <f t="shared" si="1061"/>
        <v>-250.64541037694374</v>
      </c>
      <c r="R1522">
        <f t="shared" si="1062"/>
        <v>35923.945818918008</v>
      </c>
      <c r="S1522">
        <f t="shared" si="1063"/>
        <v>0.35923945818918007</v>
      </c>
      <c r="T1522">
        <f t="shared" si="1064"/>
        <v>3.5923945818918009E-4</v>
      </c>
    </row>
    <row r="1523" spans="1:20" x14ac:dyDescent="0.25">
      <c r="A1523" s="5">
        <v>43070</v>
      </c>
      <c r="B1523">
        <v>9837</v>
      </c>
      <c r="C1523">
        <v>10898</v>
      </c>
      <c r="D1523">
        <v>9380</v>
      </c>
      <c r="E1523">
        <v>10782.99</v>
      </c>
      <c r="F1523">
        <v>6134.9236330000003</v>
      </c>
      <c r="G1523">
        <v>9.6199999999999992</v>
      </c>
      <c r="L1523" t="s">
        <v>8</v>
      </c>
      <c r="M1523" t="s">
        <v>8</v>
      </c>
      <c r="N1523" t="s">
        <v>8</v>
      </c>
      <c r="P1523">
        <f t="shared" si="1060"/>
        <v>0.84847167325428163</v>
      </c>
      <c r="Q1523">
        <f t="shared" si="1061"/>
        <v>5205.308920178747</v>
      </c>
      <c r="R1523">
        <f t="shared" si="1062"/>
        <v>36174.591229294951</v>
      </c>
      <c r="S1523">
        <f t="shared" si="1063"/>
        <v>0.3617459122929495</v>
      </c>
      <c r="T1523">
        <f t="shared" si="1064"/>
        <v>3.6174591229294948E-4</v>
      </c>
    </row>
    <row r="1524" spans="1:20" x14ac:dyDescent="0.25">
      <c r="A1524" s="5">
        <v>43069</v>
      </c>
      <c r="B1524">
        <v>9687.8799999999992</v>
      </c>
      <c r="C1524">
        <v>10900</v>
      </c>
      <c r="D1524">
        <v>8850.7999999999993</v>
      </c>
      <c r="E1524">
        <v>9838.9599999999991</v>
      </c>
      <c r="F1524">
        <v>9389.5743289999991</v>
      </c>
      <c r="G1524">
        <v>1.56</v>
      </c>
      <c r="L1524" t="s">
        <v>7</v>
      </c>
      <c r="M1524" t="s">
        <v>7</v>
      </c>
      <c r="N1524" t="s">
        <v>8</v>
      </c>
      <c r="P1524">
        <f t="shared" si="1060"/>
        <v>-3.5565098575054167E-2</v>
      </c>
      <c r="Q1524">
        <f t="shared" si="1061"/>
        <v>-333.94113658868304</v>
      </c>
      <c r="R1524">
        <f t="shared" si="1062"/>
        <v>30969.282309116206</v>
      </c>
      <c r="S1524">
        <f t="shared" si="1063"/>
        <v>0.30969282309116208</v>
      </c>
      <c r="T1524">
        <f t="shared" si="1064"/>
        <v>3.096928230911621E-4</v>
      </c>
    </row>
    <row r="1525" spans="1:20" x14ac:dyDescent="0.25">
      <c r="A1525" s="5">
        <v>43068</v>
      </c>
      <c r="B1525">
        <v>9896.7900000000009</v>
      </c>
      <c r="C1525">
        <v>11300.03</v>
      </c>
      <c r="D1525">
        <v>8520</v>
      </c>
      <c r="E1525">
        <v>9687.8799999999992</v>
      </c>
      <c r="F1525">
        <v>13352.538715000001</v>
      </c>
      <c r="G1525">
        <v>-2.11</v>
      </c>
      <c r="L1525" t="s">
        <v>8</v>
      </c>
      <c r="M1525" t="s">
        <v>8</v>
      </c>
      <c r="N1525" t="s">
        <v>8</v>
      </c>
      <c r="P1525">
        <f t="shared" si="1060"/>
        <v>-0.15980762797523845</v>
      </c>
      <c r="Q1525">
        <f t="shared" si="1061"/>
        <v>-2133.8375394916884</v>
      </c>
      <c r="R1525">
        <f t="shared" si="1062"/>
        <v>31303.223445704891</v>
      </c>
      <c r="S1525">
        <f t="shared" si="1063"/>
        <v>0.31303223445704892</v>
      </c>
      <c r="T1525">
        <f t="shared" si="1064"/>
        <v>3.1303223445704892E-4</v>
      </c>
    </row>
    <row r="1526" spans="1:20" x14ac:dyDescent="0.25">
      <c r="A1526" s="5">
        <v>43067</v>
      </c>
      <c r="B1526">
        <v>9650</v>
      </c>
      <c r="C1526">
        <v>9939</v>
      </c>
      <c r="D1526">
        <v>9570.5</v>
      </c>
      <c r="E1526">
        <v>9896.7999999999993</v>
      </c>
      <c r="F1526">
        <v>4917.2109849999997</v>
      </c>
      <c r="G1526">
        <v>2.56</v>
      </c>
      <c r="L1526" t="s">
        <v>8</v>
      </c>
      <c r="M1526" t="s">
        <v>8</v>
      </c>
      <c r="N1526" t="s">
        <v>8</v>
      </c>
      <c r="P1526">
        <f t="shared" si="1060"/>
        <v>0.77096336499321183</v>
      </c>
      <c r="Q1526">
        <f t="shared" si="1061"/>
        <v>3790.9895273771854</v>
      </c>
      <c r="R1526">
        <f t="shared" si="1062"/>
        <v>33437.060985196578</v>
      </c>
      <c r="S1526">
        <f t="shared" si="1063"/>
        <v>0.33437060985196576</v>
      </c>
      <c r="T1526">
        <f t="shared" si="1064"/>
        <v>3.3437060985196576E-4</v>
      </c>
    </row>
    <row r="1527" spans="1:20" x14ac:dyDescent="0.25">
      <c r="A1527" s="5">
        <v>43066</v>
      </c>
      <c r="B1527">
        <v>9128</v>
      </c>
      <c r="C1527">
        <v>9654.2800000000007</v>
      </c>
      <c r="D1527">
        <v>9112.0400000000009</v>
      </c>
      <c r="E1527">
        <v>9650</v>
      </c>
      <c r="F1527">
        <v>4521.6257070000001</v>
      </c>
      <c r="G1527">
        <v>5.72</v>
      </c>
      <c r="L1527" t="s">
        <v>8</v>
      </c>
      <c r="M1527" t="s">
        <v>8</v>
      </c>
      <c r="N1527" t="s">
        <v>8</v>
      </c>
      <c r="P1527">
        <f t="shared" si="1060"/>
        <v>0.98421363233992087</v>
      </c>
      <c r="Q1527">
        <f t="shared" si="1061"/>
        <v>4450.2456611680327</v>
      </c>
      <c r="R1527">
        <f t="shared" si="1062"/>
        <v>29646.071457819395</v>
      </c>
      <c r="S1527">
        <f t="shared" si="1063"/>
        <v>0.29646071457819395</v>
      </c>
      <c r="T1527">
        <f t="shared" si="1064"/>
        <v>2.9646071457819394E-4</v>
      </c>
    </row>
    <row r="1528" spans="1:20" x14ac:dyDescent="0.25">
      <c r="A1528" s="5">
        <v>43065</v>
      </c>
      <c r="B1528">
        <v>8700.0400000000009</v>
      </c>
      <c r="C1528">
        <v>9350</v>
      </c>
      <c r="D1528">
        <v>8604.7199999999993</v>
      </c>
      <c r="E1528">
        <v>9128.02</v>
      </c>
      <c r="F1528">
        <v>4147.3802370000003</v>
      </c>
      <c r="G1528">
        <v>4.92</v>
      </c>
      <c r="L1528" t="s">
        <v>8</v>
      </c>
      <c r="M1528" t="s">
        <v>8</v>
      </c>
      <c r="N1528" t="s">
        <v>8</v>
      </c>
      <c r="P1528">
        <f t="shared" si="1060"/>
        <v>0.40430442249892828</v>
      </c>
      <c r="Q1528">
        <f t="shared" si="1061"/>
        <v>1676.8041716037535</v>
      </c>
      <c r="R1528">
        <f t="shared" si="1062"/>
        <v>25195.825796651363</v>
      </c>
      <c r="S1528">
        <f t="shared" si="1063"/>
        <v>0.25195825796651361</v>
      </c>
      <c r="T1528">
        <f t="shared" si="1064"/>
        <v>2.5195825796651359E-4</v>
      </c>
    </row>
    <row r="1529" spans="1:20" x14ac:dyDescent="0.25">
      <c r="A1529" s="5">
        <v>43064</v>
      </c>
      <c r="B1529">
        <v>8138.99</v>
      </c>
      <c r="C1529">
        <v>8734.7800000000007</v>
      </c>
      <c r="D1529">
        <v>8090</v>
      </c>
      <c r="E1529">
        <v>8700.01</v>
      </c>
      <c r="F1529">
        <v>4292.6236820000004</v>
      </c>
      <c r="G1529">
        <v>6.89</v>
      </c>
      <c r="L1529" t="s">
        <v>8</v>
      </c>
      <c r="M1529" t="s">
        <v>8</v>
      </c>
      <c r="N1529" t="s">
        <v>8</v>
      </c>
      <c r="P1529">
        <f t="shared" si="1060"/>
        <v>0.89214926021278451</v>
      </c>
      <c r="Q1529">
        <f t="shared" si="1061"/>
        <v>3829.6610422681797</v>
      </c>
      <c r="R1529">
        <f t="shared" si="1062"/>
        <v>23519.021625047608</v>
      </c>
      <c r="S1529">
        <f t="shared" si="1063"/>
        <v>0.23519021625047609</v>
      </c>
      <c r="T1529">
        <f t="shared" si="1064"/>
        <v>2.3519021625047608E-4</v>
      </c>
    </row>
    <row r="1530" spans="1:20" x14ac:dyDescent="0.25">
      <c r="A1530" s="5">
        <v>43063</v>
      </c>
      <c r="B1530">
        <v>8019.97</v>
      </c>
      <c r="C1530">
        <v>8369</v>
      </c>
      <c r="D1530">
        <v>7850</v>
      </c>
      <c r="E1530">
        <v>8138</v>
      </c>
      <c r="F1530">
        <v>4411.7891120000004</v>
      </c>
      <c r="G1530">
        <v>1.47</v>
      </c>
      <c r="L1530" t="s">
        <v>7</v>
      </c>
      <c r="M1530" t="s">
        <v>8</v>
      </c>
      <c r="N1530" t="s">
        <v>8</v>
      </c>
      <c r="P1530">
        <f t="shared" si="1060"/>
        <v>0.10982658959537572</v>
      </c>
      <c r="Q1530">
        <f t="shared" si="1061"/>
        <v>484.53175218497114</v>
      </c>
      <c r="R1530">
        <f t="shared" si="1062"/>
        <v>19689.360582779427</v>
      </c>
      <c r="S1530">
        <f t="shared" si="1063"/>
        <v>0.19689360582779428</v>
      </c>
      <c r="T1530">
        <f t="shared" si="1064"/>
        <v>1.9689360582779428E-4</v>
      </c>
    </row>
    <row r="1531" spans="1:20" x14ac:dyDescent="0.25">
      <c r="A1531" s="5">
        <v>43062</v>
      </c>
      <c r="B1531">
        <v>8233.0300000000007</v>
      </c>
      <c r="C1531">
        <v>8260</v>
      </c>
      <c r="D1531">
        <v>8000</v>
      </c>
      <c r="E1531">
        <v>8019.99</v>
      </c>
      <c r="F1531">
        <v>4093.952687</v>
      </c>
      <c r="G1531">
        <v>-2.59</v>
      </c>
      <c r="L1531" t="s">
        <v>8</v>
      </c>
      <c r="M1531" t="s">
        <v>8</v>
      </c>
      <c r="N1531" t="s">
        <v>8</v>
      </c>
      <c r="P1531">
        <f t="shared" si="1060"/>
        <v>-0.8462307692307709</v>
      </c>
      <c r="Q1531">
        <f t="shared" si="1061"/>
        <v>-3464.4287315143915</v>
      </c>
      <c r="R1531">
        <f t="shared" si="1062"/>
        <v>19204.828830594455</v>
      </c>
      <c r="S1531">
        <f t="shared" si="1063"/>
        <v>0.19204828830594456</v>
      </c>
      <c r="T1531">
        <f t="shared" si="1064"/>
        <v>1.9204828830594455E-4</v>
      </c>
    </row>
    <row r="1532" spans="1:20" x14ac:dyDescent="0.25">
      <c r="A1532" s="5">
        <v>43061</v>
      </c>
      <c r="B1532">
        <v>8091.09</v>
      </c>
      <c r="C1532">
        <v>8322.68</v>
      </c>
      <c r="D1532">
        <v>8091.09</v>
      </c>
      <c r="E1532">
        <v>8205.92</v>
      </c>
      <c r="F1532">
        <v>3545.0057099999999</v>
      </c>
      <c r="G1532">
        <v>1.42</v>
      </c>
      <c r="L1532" t="s">
        <v>8</v>
      </c>
      <c r="M1532" t="s">
        <v>8</v>
      </c>
      <c r="N1532" t="s">
        <v>8</v>
      </c>
      <c r="P1532">
        <f t="shared" si="1060"/>
        <v>-8.3336931646456665E-3</v>
      </c>
      <c r="Q1532">
        <f t="shared" si="1061"/>
        <v>-29.542989854056856</v>
      </c>
      <c r="R1532">
        <f t="shared" si="1062"/>
        <v>22669.257562108847</v>
      </c>
      <c r="S1532">
        <f t="shared" si="1063"/>
        <v>0.22669257562108847</v>
      </c>
      <c r="T1532">
        <f t="shared" si="1064"/>
        <v>2.2669257562108846E-4</v>
      </c>
    </row>
    <row r="1533" spans="1:20" x14ac:dyDescent="0.25">
      <c r="A1533" s="5">
        <v>43060</v>
      </c>
      <c r="B1533">
        <v>8212.49</v>
      </c>
      <c r="C1533">
        <v>8400</v>
      </c>
      <c r="D1533">
        <v>7801</v>
      </c>
      <c r="E1533">
        <v>8119.51</v>
      </c>
      <c r="F1533">
        <v>4544.4740160000001</v>
      </c>
      <c r="G1533">
        <v>-1.1299999999999999</v>
      </c>
      <c r="L1533" t="s">
        <v>8</v>
      </c>
      <c r="M1533" t="s">
        <v>8</v>
      </c>
      <c r="N1533" t="s">
        <v>8</v>
      </c>
      <c r="P1533">
        <f t="shared" si="1060"/>
        <v>6.3472454090150981E-2</v>
      </c>
      <c r="Q1533">
        <f t="shared" si="1061"/>
        <v>288.44891834444405</v>
      </c>
      <c r="R1533">
        <f t="shared" si="1062"/>
        <v>22698.800551962904</v>
      </c>
      <c r="S1533">
        <f t="shared" si="1063"/>
        <v>0.22698800551962905</v>
      </c>
      <c r="T1533">
        <f t="shared" si="1064"/>
        <v>2.2698800551962907E-4</v>
      </c>
    </row>
    <row r="1534" spans="1:20" x14ac:dyDescent="0.25">
      <c r="A1534" s="5">
        <v>43059</v>
      </c>
      <c r="B1534">
        <v>8057.11</v>
      </c>
      <c r="C1534">
        <v>8319.99</v>
      </c>
      <c r="D1534">
        <v>7954</v>
      </c>
      <c r="E1534">
        <v>8212</v>
      </c>
      <c r="F1534">
        <v>3886.634348</v>
      </c>
      <c r="G1534">
        <v>1.92</v>
      </c>
      <c r="L1534" t="s">
        <v>8</v>
      </c>
      <c r="M1534" t="s">
        <v>8</v>
      </c>
      <c r="N1534" t="s">
        <v>8</v>
      </c>
      <c r="P1534">
        <f t="shared" si="1060"/>
        <v>0.40987458673734339</v>
      </c>
      <c r="Q1534">
        <f t="shared" si="1061"/>
        <v>1593.032647185664</v>
      </c>
      <c r="R1534">
        <f t="shared" si="1062"/>
        <v>22410.351633618458</v>
      </c>
      <c r="S1534">
        <f t="shared" si="1063"/>
        <v>0.22410351633618458</v>
      </c>
      <c r="T1534">
        <f t="shared" si="1064"/>
        <v>2.2410351633618458E-4</v>
      </c>
    </row>
    <row r="1535" spans="1:20" x14ac:dyDescent="0.25">
      <c r="A1535" s="5">
        <v>43058</v>
      </c>
      <c r="B1535">
        <v>7761.94</v>
      </c>
      <c r="C1535">
        <v>8123.15</v>
      </c>
      <c r="D1535">
        <v>7650.33</v>
      </c>
      <c r="E1535">
        <v>8038</v>
      </c>
      <c r="F1535">
        <v>3867.3404439999999</v>
      </c>
      <c r="G1535">
        <v>3.56</v>
      </c>
      <c r="L1535" t="s">
        <v>8</v>
      </c>
      <c r="M1535" t="s">
        <v>8</v>
      </c>
      <c r="N1535" t="s">
        <v>8</v>
      </c>
      <c r="P1535">
        <f t="shared" ref="P1535:P1598" si="1065">IF(C1535=D1535,0,((E1535-D1535)-(C1535-E1535))/(C1535-D1535))</f>
        <v>0.63982065056469828</v>
      </c>
      <c r="Q1535">
        <f t="shared" ref="Q1535:Q1598" si="1066">F1535*P1535</f>
        <v>2474.404278835249</v>
      </c>
      <c r="R1535">
        <f t="shared" ref="R1535:R1598" si="1067">R1536+Q1535</f>
        <v>20817.318986432794</v>
      </c>
      <c r="S1535">
        <f t="shared" ref="S1535:S1598" si="1068">R1535/100000</f>
        <v>0.20817318986432795</v>
      </c>
      <c r="T1535">
        <f t="shared" ref="T1535:T1598" si="1069">S1535/1000</f>
        <v>2.0817318986432795E-4</v>
      </c>
    </row>
    <row r="1536" spans="1:20" x14ac:dyDescent="0.25">
      <c r="A1536" s="5">
        <v>43057</v>
      </c>
      <c r="B1536">
        <v>7680.01</v>
      </c>
      <c r="C1536">
        <v>7819.99</v>
      </c>
      <c r="D1536">
        <v>7422</v>
      </c>
      <c r="E1536">
        <v>7761.94</v>
      </c>
      <c r="F1536">
        <v>3954.2664770000001</v>
      </c>
      <c r="G1536">
        <v>1.07</v>
      </c>
      <c r="L1536" t="s">
        <v>8</v>
      </c>
      <c r="M1536" t="s">
        <v>8</v>
      </c>
      <c r="N1536" t="s">
        <v>8</v>
      </c>
      <c r="P1536">
        <f t="shared" si="1065"/>
        <v>0.70828412774190197</v>
      </c>
      <c r="Q1536">
        <f t="shared" si="1066"/>
        <v>2800.7441825209889</v>
      </c>
      <c r="R1536">
        <f t="shared" si="1067"/>
        <v>18342.914707597545</v>
      </c>
      <c r="S1536">
        <f t="shared" si="1068"/>
        <v>0.18342914707597546</v>
      </c>
      <c r="T1536">
        <f t="shared" si="1069"/>
        <v>1.8342914707597546E-4</v>
      </c>
    </row>
    <row r="1537" spans="1:20" x14ac:dyDescent="0.25">
      <c r="A1537" s="5">
        <v>43056</v>
      </c>
      <c r="B1537">
        <v>7876.98</v>
      </c>
      <c r="C1537">
        <v>7989</v>
      </c>
      <c r="D1537">
        <v>7451</v>
      </c>
      <c r="E1537">
        <v>7699.19</v>
      </c>
      <c r="F1537">
        <v>3982.3959249999998</v>
      </c>
      <c r="G1537">
        <v>-2.2599999999999998</v>
      </c>
      <c r="L1537" t="s">
        <v>8</v>
      </c>
      <c r="M1537" t="s">
        <v>8</v>
      </c>
      <c r="N1537" t="s">
        <v>8</v>
      </c>
      <c r="P1537">
        <f t="shared" si="1065"/>
        <v>-7.7360594795540527E-2</v>
      </c>
      <c r="Q1537">
        <f t="shared" si="1066"/>
        <v>-308.08051746933677</v>
      </c>
      <c r="R1537">
        <f t="shared" si="1067"/>
        <v>15542.170525076557</v>
      </c>
      <c r="S1537">
        <f t="shared" si="1068"/>
        <v>0.15542170525076557</v>
      </c>
      <c r="T1537">
        <f t="shared" si="1069"/>
        <v>1.5542170525076557E-4</v>
      </c>
    </row>
    <row r="1538" spans="1:20" x14ac:dyDescent="0.25">
      <c r="A1538" s="5">
        <v>43055</v>
      </c>
      <c r="B1538">
        <v>7240.14</v>
      </c>
      <c r="C1538">
        <v>7940</v>
      </c>
      <c r="D1538">
        <v>7076</v>
      </c>
      <c r="E1538">
        <v>7864.5</v>
      </c>
      <c r="F1538">
        <v>2331.9567499999998</v>
      </c>
      <c r="G1538">
        <v>8.6199999999999992</v>
      </c>
      <c r="L1538" t="s">
        <v>8</v>
      </c>
      <c r="M1538" t="s">
        <v>8</v>
      </c>
      <c r="N1538" t="s">
        <v>8</v>
      </c>
      <c r="P1538">
        <f t="shared" si="1065"/>
        <v>0.82523148148148151</v>
      </c>
      <c r="Q1538">
        <f t="shared" si="1066"/>
        <v>1924.4041235532407</v>
      </c>
      <c r="R1538">
        <f t="shared" si="1067"/>
        <v>15850.251042545893</v>
      </c>
      <c r="S1538">
        <f t="shared" si="1068"/>
        <v>0.15850251042545893</v>
      </c>
      <c r="T1538">
        <f t="shared" si="1069"/>
        <v>1.5850251042545893E-4</v>
      </c>
    </row>
    <row r="1539" spans="1:20" x14ac:dyDescent="0.25">
      <c r="A1539" s="5">
        <v>43054</v>
      </c>
      <c r="B1539">
        <v>6575.99</v>
      </c>
      <c r="C1539">
        <v>7298</v>
      </c>
      <c r="D1539">
        <v>6575.99</v>
      </c>
      <c r="E1539">
        <v>7240.06</v>
      </c>
      <c r="F1539">
        <v>1779.605845</v>
      </c>
      <c r="G1539">
        <v>10.1</v>
      </c>
      <c r="L1539" t="s">
        <v>8</v>
      </c>
      <c r="M1539" t="s">
        <v>8</v>
      </c>
      <c r="N1539" t="s">
        <v>8</v>
      </c>
      <c r="P1539">
        <f t="shared" si="1065"/>
        <v>0.83950360798327006</v>
      </c>
      <c r="Q1539">
        <f t="shared" si="1066"/>
        <v>1493.985527665616</v>
      </c>
      <c r="R1539">
        <f t="shared" si="1067"/>
        <v>13925.846918992653</v>
      </c>
      <c r="S1539">
        <f t="shared" si="1068"/>
        <v>0.13925846918992651</v>
      </c>
      <c r="T1539">
        <f t="shared" si="1069"/>
        <v>1.3925846918992651E-4</v>
      </c>
    </row>
    <row r="1540" spans="1:20" x14ac:dyDescent="0.25">
      <c r="A1540" s="5">
        <v>43053</v>
      </c>
      <c r="B1540">
        <v>6465.99</v>
      </c>
      <c r="C1540">
        <v>6684.98</v>
      </c>
      <c r="D1540">
        <v>6311.07</v>
      </c>
      <c r="E1540">
        <v>6574.99</v>
      </c>
      <c r="F1540">
        <v>1254.2925310000001</v>
      </c>
      <c r="G1540">
        <v>1.69</v>
      </c>
      <c r="L1540" t="s">
        <v>8</v>
      </c>
      <c r="M1540" t="s">
        <v>8</v>
      </c>
      <c r="N1540" t="s">
        <v>8</v>
      </c>
      <c r="P1540">
        <f t="shared" si="1065"/>
        <v>0.41167660667005523</v>
      </c>
      <c r="Q1540">
        <f t="shared" si="1066"/>
        <v>516.36289293367508</v>
      </c>
      <c r="R1540">
        <f t="shared" si="1067"/>
        <v>12431.861391327036</v>
      </c>
      <c r="S1540">
        <f t="shared" si="1068"/>
        <v>0.12431861391327037</v>
      </c>
      <c r="T1540">
        <f t="shared" si="1069"/>
        <v>1.2431861391327037E-4</v>
      </c>
    </row>
    <row r="1541" spans="1:20" x14ac:dyDescent="0.25">
      <c r="A1541" s="5">
        <v>43052</v>
      </c>
      <c r="B1541">
        <v>5839.94</v>
      </c>
      <c r="C1541">
        <v>6697.47</v>
      </c>
      <c r="D1541">
        <v>5699.99</v>
      </c>
      <c r="E1541">
        <v>6465.99</v>
      </c>
      <c r="F1541">
        <v>2621.243039</v>
      </c>
      <c r="G1541">
        <v>10.72</v>
      </c>
      <c r="L1541" t="s">
        <v>8</v>
      </c>
      <c r="M1541" t="s">
        <v>8</v>
      </c>
      <c r="N1541" t="s">
        <v>8</v>
      </c>
      <c r="P1541">
        <f t="shared" si="1065"/>
        <v>0.53587039339134546</v>
      </c>
      <c r="Q1541">
        <f t="shared" si="1066"/>
        <v>1404.6465384832559</v>
      </c>
      <c r="R1541">
        <f t="shared" si="1067"/>
        <v>11915.498498393361</v>
      </c>
      <c r="S1541">
        <f t="shared" si="1068"/>
        <v>0.11915498498393361</v>
      </c>
      <c r="T1541">
        <f t="shared" si="1069"/>
        <v>1.191549849839336E-4</v>
      </c>
    </row>
    <row r="1542" spans="1:20" x14ac:dyDescent="0.25">
      <c r="A1542" s="5">
        <v>43051</v>
      </c>
      <c r="B1542">
        <v>6245.05</v>
      </c>
      <c r="C1542">
        <v>6630</v>
      </c>
      <c r="D1542">
        <v>5325.01</v>
      </c>
      <c r="E1542">
        <v>5811.03</v>
      </c>
      <c r="F1542">
        <v>4968.4830689999999</v>
      </c>
      <c r="G1542">
        <v>-6.95</v>
      </c>
      <c r="L1542" t="s">
        <v>7</v>
      </c>
      <c r="M1542" t="s">
        <v>7</v>
      </c>
      <c r="N1542" t="s">
        <v>8</v>
      </c>
      <c r="P1542">
        <f t="shared" si="1065"/>
        <v>-0.25513605468241196</v>
      </c>
      <c r="Q1542">
        <f t="shared" si="1066"/>
        <v>-1267.639167981022</v>
      </c>
      <c r="R1542">
        <f t="shared" si="1067"/>
        <v>10510.851959910106</v>
      </c>
      <c r="S1542">
        <f t="shared" si="1068"/>
        <v>0.10510851959910106</v>
      </c>
      <c r="T1542">
        <f t="shared" si="1069"/>
        <v>1.0510851959910106E-4</v>
      </c>
    </row>
    <row r="1543" spans="1:20" x14ac:dyDescent="0.25">
      <c r="A1543" s="5">
        <v>43050</v>
      </c>
      <c r="B1543">
        <v>6503</v>
      </c>
      <c r="C1543">
        <v>6797.98</v>
      </c>
      <c r="D1543">
        <v>6100</v>
      </c>
      <c r="E1543">
        <v>6245.05</v>
      </c>
      <c r="F1543">
        <v>2754.1568609999999</v>
      </c>
      <c r="G1543">
        <v>-3.97</v>
      </c>
      <c r="L1543" t="s">
        <v>7</v>
      </c>
      <c r="M1543" t="s">
        <v>7</v>
      </c>
      <c r="N1543" t="s">
        <v>8</v>
      </c>
      <c r="P1543">
        <f t="shared" si="1065"/>
        <v>-0.58437204504426987</v>
      </c>
      <c r="Q1543">
        <f t="shared" si="1066"/>
        <v>-1609.4522772352768</v>
      </c>
      <c r="R1543">
        <f t="shared" si="1067"/>
        <v>11778.491127891128</v>
      </c>
      <c r="S1543">
        <f t="shared" si="1068"/>
        <v>0.11778491127891128</v>
      </c>
      <c r="T1543">
        <f t="shared" si="1069"/>
        <v>1.1778491127891128E-4</v>
      </c>
    </row>
    <row r="1544" spans="1:20" x14ac:dyDescent="0.25">
      <c r="A1544" s="5">
        <v>43049</v>
      </c>
      <c r="B1544">
        <v>7079</v>
      </c>
      <c r="C1544">
        <v>7279.91</v>
      </c>
      <c r="D1544">
        <v>6255.01</v>
      </c>
      <c r="E1544">
        <v>6506.98</v>
      </c>
      <c r="F1544">
        <v>3254.7041049999998</v>
      </c>
      <c r="G1544">
        <v>-8.08</v>
      </c>
      <c r="L1544" t="s">
        <v>7</v>
      </c>
      <c r="M1544" t="s">
        <v>7</v>
      </c>
      <c r="N1544" t="s">
        <v>8</v>
      </c>
      <c r="P1544">
        <f t="shared" si="1065"/>
        <v>-0.50830324909747404</v>
      </c>
      <c r="Q1544">
        <f t="shared" si="1066"/>
        <v>-1654.3766714223862</v>
      </c>
      <c r="R1544">
        <f t="shared" si="1067"/>
        <v>13387.943405126405</v>
      </c>
      <c r="S1544">
        <f t="shared" si="1068"/>
        <v>0.13387943405126404</v>
      </c>
      <c r="T1544">
        <f t="shared" si="1069"/>
        <v>1.3387943405126403E-4</v>
      </c>
    </row>
    <row r="1545" spans="1:20" x14ac:dyDescent="0.25">
      <c r="A1545" s="5">
        <v>43048</v>
      </c>
      <c r="B1545">
        <v>7303.01</v>
      </c>
      <c r="C1545">
        <v>7392</v>
      </c>
      <c r="D1545">
        <v>7015</v>
      </c>
      <c r="E1545">
        <v>7079.99</v>
      </c>
      <c r="F1545">
        <v>1913.398308</v>
      </c>
      <c r="G1545">
        <v>-3.05</v>
      </c>
      <c r="L1545" t="s">
        <v>8</v>
      </c>
      <c r="M1545" t="s">
        <v>8</v>
      </c>
      <c r="N1545" t="s">
        <v>8</v>
      </c>
      <c r="P1545">
        <f t="shared" si="1065"/>
        <v>-0.6552254641909826</v>
      </c>
      <c r="Q1545">
        <f t="shared" si="1066"/>
        <v>-1253.7072945415407</v>
      </c>
      <c r="R1545">
        <f t="shared" si="1067"/>
        <v>15042.320076548791</v>
      </c>
      <c r="S1545">
        <f t="shared" si="1068"/>
        <v>0.1504232007654879</v>
      </c>
      <c r="T1545">
        <f t="shared" si="1069"/>
        <v>1.504232007654879E-4</v>
      </c>
    </row>
    <row r="1546" spans="1:20" x14ac:dyDescent="0.25">
      <c r="A1546" s="5">
        <v>43047</v>
      </c>
      <c r="B1546">
        <v>7070</v>
      </c>
      <c r="C1546">
        <v>7770.02</v>
      </c>
      <c r="D1546">
        <v>6651</v>
      </c>
      <c r="E1546">
        <v>7303</v>
      </c>
      <c r="F1546">
        <v>2822.2988019999998</v>
      </c>
      <c r="G1546">
        <v>3.3</v>
      </c>
      <c r="L1546" t="s">
        <v>7</v>
      </c>
      <c r="M1546" t="s">
        <v>8</v>
      </c>
      <c r="N1546" t="s">
        <v>8</v>
      </c>
      <c r="P1546">
        <f t="shared" si="1065"/>
        <v>0.16530535647262737</v>
      </c>
      <c r="Q1546">
        <f t="shared" si="1066"/>
        <v>466.54110953687916</v>
      </c>
      <c r="R1546">
        <f t="shared" si="1067"/>
        <v>16296.027371090331</v>
      </c>
      <c r="S1546">
        <f t="shared" si="1068"/>
        <v>0.16296027371090333</v>
      </c>
      <c r="T1546">
        <f t="shared" si="1069"/>
        <v>1.6296027371090333E-4</v>
      </c>
    </row>
    <row r="1547" spans="1:20" x14ac:dyDescent="0.25">
      <c r="A1547" s="5">
        <v>43046</v>
      </c>
      <c r="B1547">
        <v>6981.72</v>
      </c>
      <c r="C1547">
        <v>7198.49</v>
      </c>
      <c r="D1547">
        <v>6901</v>
      </c>
      <c r="E1547">
        <v>7064.04</v>
      </c>
      <c r="F1547">
        <v>1440.2594939999999</v>
      </c>
      <c r="G1547">
        <v>1.18</v>
      </c>
      <c r="L1547" t="s">
        <v>7</v>
      </c>
      <c r="M1547" t="s">
        <v>8</v>
      </c>
      <c r="N1547" t="s">
        <v>8</v>
      </c>
      <c r="P1547">
        <f t="shared" si="1065"/>
        <v>9.6104070725066951E-2</v>
      </c>
      <c r="Q1547">
        <f t="shared" si="1066"/>
        <v>138.41480027382514</v>
      </c>
      <c r="R1547">
        <f t="shared" si="1067"/>
        <v>15829.486261553451</v>
      </c>
      <c r="S1547">
        <f t="shared" si="1068"/>
        <v>0.15829486261553452</v>
      </c>
      <c r="T1547">
        <f t="shared" si="1069"/>
        <v>1.5829486261553452E-4</v>
      </c>
    </row>
    <row r="1548" spans="1:20" x14ac:dyDescent="0.25">
      <c r="A1548" s="5">
        <v>43045</v>
      </c>
      <c r="B1548">
        <v>7345.1</v>
      </c>
      <c r="C1548">
        <v>7401</v>
      </c>
      <c r="D1548">
        <v>6906</v>
      </c>
      <c r="E1548">
        <v>6960.12</v>
      </c>
      <c r="F1548">
        <v>1763.0192609999999</v>
      </c>
      <c r="G1548">
        <v>-5.24</v>
      </c>
      <c r="L1548" t="s">
        <v>7</v>
      </c>
      <c r="M1548" t="s">
        <v>8</v>
      </c>
      <c r="N1548" t="s">
        <v>8</v>
      </c>
      <c r="P1548">
        <f t="shared" si="1065"/>
        <v>-0.78133333333333377</v>
      </c>
      <c r="Q1548">
        <f t="shared" si="1066"/>
        <v>-1377.5057159280007</v>
      </c>
      <c r="R1548">
        <f t="shared" si="1067"/>
        <v>15691.071461279626</v>
      </c>
      <c r="S1548">
        <f t="shared" si="1068"/>
        <v>0.15691071461279626</v>
      </c>
      <c r="T1548">
        <f t="shared" si="1069"/>
        <v>1.5691071461279625E-4</v>
      </c>
    </row>
    <row r="1549" spans="1:20" x14ac:dyDescent="0.25">
      <c r="A1549" s="5">
        <v>43044</v>
      </c>
      <c r="B1549">
        <v>7357.27</v>
      </c>
      <c r="C1549">
        <v>7590.25</v>
      </c>
      <c r="D1549">
        <v>7279.02</v>
      </c>
      <c r="E1549">
        <v>7345.01</v>
      </c>
      <c r="F1549">
        <v>1207.83233</v>
      </c>
      <c r="G1549">
        <v>-0.17</v>
      </c>
      <c r="L1549" t="s">
        <v>8</v>
      </c>
      <c r="M1549" t="s">
        <v>8</v>
      </c>
      <c r="N1549" t="s">
        <v>8</v>
      </c>
      <c r="P1549">
        <f t="shared" si="1065"/>
        <v>-0.57594062269061541</v>
      </c>
      <c r="Q1549">
        <f t="shared" si="1066"/>
        <v>-695.63970424605691</v>
      </c>
      <c r="R1549">
        <f t="shared" si="1067"/>
        <v>17068.577177207626</v>
      </c>
      <c r="S1549">
        <f t="shared" si="1068"/>
        <v>0.17068577177207625</v>
      </c>
      <c r="T1549">
        <f t="shared" si="1069"/>
        <v>1.7068577177207624E-4</v>
      </c>
    </row>
    <row r="1550" spans="1:20" x14ac:dyDescent="0.25">
      <c r="A1550" s="5">
        <v>43043</v>
      </c>
      <c r="B1550">
        <v>7115.02</v>
      </c>
      <c r="C1550">
        <v>7480.99</v>
      </c>
      <c r="D1550">
        <v>6901</v>
      </c>
      <c r="E1550">
        <v>7357.09</v>
      </c>
      <c r="F1550">
        <v>1399.191767</v>
      </c>
      <c r="G1550">
        <v>3.4</v>
      </c>
      <c r="L1550" t="s">
        <v>8</v>
      </c>
      <c r="M1550" t="s">
        <v>8</v>
      </c>
      <c r="N1550" t="s">
        <v>8</v>
      </c>
      <c r="P1550">
        <f t="shared" si="1065"/>
        <v>0.57275125433197238</v>
      </c>
      <c r="Q1550">
        <f t="shared" si="1066"/>
        <v>801.38883960021883</v>
      </c>
      <c r="R1550">
        <f t="shared" si="1067"/>
        <v>17764.216881453682</v>
      </c>
      <c r="S1550">
        <f t="shared" si="1068"/>
        <v>0.17764216881453682</v>
      </c>
      <c r="T1550">
        <f t="shared" si="1069"/>
        <v>1.776421688145368E-4</v>
      </c>
    </row>
    <row r="1551" spans="1:20" x14ac:dyDescent="0.25">
      <c r="A1551" s="5">
        <v>43042</v>
      </c>
      <c r="B1551">
        <v>7010.31</v>
      </c>
      <c r="C1551">
        <v>7346.34</v>
      </c>
      <c r="D1551">
        <v>6923</v>
      </c>
      <c r="E1551">
        <v>7115.04</v>
      </c>
      <c r="F1551">
        <v>1891.4975919999999</v>
      </c>
      <c r="G1551">
        <v>1.49</v>
      </c>
      <c r="L1551" t="s">
        <v>8</v>
      </c>
      <c r="M1551" t="s">
        <v>8</v>
      </c>
      <c r="N1551" t="s">
        <v>8</v>
      </c>
      <c r="P1551">
        <f t="shared" si="1065"/>
        <v>-9.2738697028393741E-2</v>
      </c>
      <c r="Q1551">
        <f t="shared" si="1066"/>
        <v>-175.41502211442432</v>
      </c>
      <c r="R1551">
        <f t="shared" si="1067"/>
        <v>16962.828041853463</v>
      </c>
      <c r="S1551">
        <f t="shared" si="1068"/>
        <v>0.16962828041853464</v>
      </c>
      <c r="T1551">
        <f t="shared" si="1069"/>
        <v>1.6962828041853465E-4</v>
      </c>
    </row>
    <row r="1552" spans="1:20" x14ac:dyDescent="0.25">
      <c r="A1552" s="5">
        <v>43041</v>
      </c>
      <c r="B1552">
        <v>6753.98</v>
      </c>
      <c r="C1552">
        <v>7300</v>
      </c>
      <c r="D1552">
        <v>6685.1</v>
      </c>
      <c r="E1552">
        <v>7019.98</v>
      </c>
      <c r="F1552">
        <v>2503.610803</v>
      </c>
      <c r="G1552">
        <v>3.94</v>
      </c>
      <c r="L1552" t="s">
        <v>8</v>
      </c>
      <c r="M1552" t="s">
        <v>8</v>
      </c>
      <c r="N1552" t="s">
        <v>8</v>
      </c>
      <c r="P1552">
        <f t="shared" si="1065"/>
        <v>8.9217758985198889E-2</v>
      </c>
      <c r="Q1552">
        <f t="shared" si="1066"/>
        <v>223.36654521479426</v>
      </c>
      <c r="R1552">
        <f t="shared" si="1067"/>
        <v>17138.243063967886</v>
      </c>
      <c r="S1552">
        <f t="shared" si="1068"/>
        <v>0.17138243063967887</v>
      </c>
      <c r="T1552">
        <f t="shared" si="1069"/>
        <v>1.7138243063967887E-4</v>
      </c>
    </row>
    <row r="1553" spans="1:20" x14ac:dyDescent="0.25">
      <c r="A1553" s="5">
        <v>43040</v>
      </c>
      <c r="B1553">
        <v>6463</v>
      </c>
      <c r="C1553">
        <v>6774.67</v>
      </c>
      <c r="D1553">
        <v>6338.02</v>
      </c>
      <c r="E1553">
        <v>6753.98</v>
      </c>
      <c r="F1553">
        <v>1675.615188</v>
      </c>
      <c r="G1553">
        <v>4.5</v>
      </c>
      <c r="L1553" t="s">
        <v>8</v>
      </c>
      <c r="M1553" t="s">
        <v>8</v>
      </c>
      <c r="N1553" t="s">
        <v>8</v>
      </c>
      <c r="P1553">
        <f t="shared" si="1065"/>
        <v>0.90523302416122509</v>
      </c>
      <c r="Q1553">
        <f t="shared" si="1066"/>
        <v>1516.8222039637196</v>
      </c>
      <c r="R1553">
        <f t="shared" si="1067"/>
        <v>16914.876518753092</v>
      </c>
      <c r="S1553">
        <f t="shared" si="1068"/>
        <v>0.16914876518753091</v>
      </c>
      <c r="T1553">
        <f t="shared" si="1069"/>
        <v>1.6914876518753092E-4</v>
      </c>
    </row>
    <row r="1554" spans="1:20" x14ac:dyDescent="0.25">
      <c r="A1554" s="5">
        <v>43039</v>
      </c>
      <c r="B1554">
        <v>6120.52</v>
      </c>
      <c r="C1554">
        <v>6498.01</v>
      </c>
      <c r="D1554">
        <v>6100</v>
      </c>
      <c r="E1554">
        <v>6463</v>
      </c>
      <c r="F1554">
        <v>1511.7749249999999</v>
      </c>
      <c r="G1554">
        <v>5.6</v>
      </c>
      <c r="L1554" t="s">
        <v>8</v>
      </c>
      <c r="M1554" t="s">
        <v>8</v>
      </c>
      <c r="N1554" t="s">
        <v>8</v>
      </c>
      <c r="P1554">
        <f t="shared" si="1065"/>
        <v>0.82407477199065249</v>
      </c>
      <c r="Q1554">
        <f t="shared" si="1066"/>
        <v>1245.8155766205607</v>
      </c>
      <c r="R1554">
        <f t="shared" si="1067"/>
        <v>15398.054314789371</v>
      </c>
      <c r="S1554">
        <f t="shared" si="1068"/>
        <v>0.15398054314789372</v>
      </c>
      <c r="T1554">
        <f t="shared" si="1069"/>
        <v>1.5398054314789373E-4</v>
      </c>
    </row>
    <row r="1555" spans="1:20" x14ac:dyDescent="0.25">
      <c r="A1555" s="5">
        <v>43038</v>
      </c>
      <c r="B1555">
        <v>6133.01</v>
      </c>
      <c r="C1555">
        <v>6248.68</v>
      </c>
      <c r="D1555">
        <v>6030</v>
      </c>
      <c r="E1555">
        <v>6120.5</v>
      </c>
      <c r="F1555">
        <v>1473.6870429999999</v>
      </c>
      <c r="G1555">
        <v>-0.2</v>
      </c>
      <c r="L1555" t="s">
        <v>8</v>
      </c>
      <c r="M1555" t="s">
        <v>8</v>
      </c>
      <c r="N1555" t="s">
        <v>8</v>
      </c>
      <c r="P1555">
        <f t="shared" si="1065"/>
        <v>-0.17230656667276495</v>
      </c>
      <c r="Q1555">
        <f t="shared" si="1066"/>
        <v>-253.92595472946931</v>
      </c>
      <c r="R1555">
        <f t="shared" si="1067"/>
        <v>14152.238738168811</v>
      </c>
      <c r="S1555">
        <f t="shared" si="1068"/>
        <v>0.14152238738168813</v>
      </c>
      <c r="T1555">
        <f t="shared" si="1069"/>
        <v>1.4152238738168813E-4</v>
      </c>
    </row>
    <row r="1556" spans="1:20" x14ac:dyDescent="0.25">
      <c r="A1556" s="5">
        <v>43037</v>
      </c>
      <c r="B1556">
        <v>5709.98</v>
      </c>
      <c r="C1556">
        <v>6189.88</v>
      </c>
      <c r="D1556">
        <v>5648.01</v>
      </c>
      <c r="E1556">
        <v>6169.98</v>
      </c>
      <c r="F1556">
        <v>1804.7781729999999</v>
      </c>
      <c r="G1556">
        <v>8.06</v>
      </c>
      <c r="L1556" t="s">
        <v>8</v>
      </c>
      <c r="M1556" t="s">
        <v>8</v>
      </c>
      <c r="N1556" t="s">
        <v>8</v>
      </c>
      <c r="P1556">
        <f t="shared" si="1065"/>
        <v>0.9265506486795706</v>
      </c>
      <c r="Q1556">
        <f t="shared" si="1066"/>
        <v>1672.2183869158803</v>
      </c>
      <c r="R1556">
        <f t="shared" si="1067"/>
        <v>14406.164692898281</v>
      </c>
      <c r="S1556">
        <f t="shared" si="1068"/>
        <v>0.14406164692898282</v>
      </c>
      <c r="T1556">
        <f t="shared" si="1069"/>
        <v>1.4406164692898281E-4</v>
      </c>
    </row>
    <row r="1557" spans="1:20" x14ac:dyDescent="0.25">
      <c r="A1557" s="5">
        <v>43036</v>
      </c>
      <c r="B1557">
        <v>5768.79</v>
      </c>
      <c r="C1557">
        <v>5850.02</v>
      </c>
      <c r="D1557">
        <v>5630.03</v>
      </c>
      <c r="E1557">
        <v>5719.64</v>
      </c>
      <c r="F1557">
        <v>1276.754412</v>
      </c>
      <c r="G1557">
        <v>-0.85</v>
      </c>
      <c r="L1557" t="s">
        <v>8</v>
      </c>
      <c r="M1557" t="s">
        <v>8</v>
      </c>
      <c r="N1557" t="s">
        <v>8</v>
      </c>
      <c r="P1557">
        <f t="shared" si="1065"/>
        <v>-0.18532660575480431</v>
      </c>
      <c r="Q1557">
        <f t="shared" si="1066"/>
        <v>-236.61656155843099</v>
      </c>
      <c r="R1557">
        <f t="shared" si="1067"/>
        <v>12733.946305982401</v>
      </c>
      <c r="S1557">
        <f t="shared" si="1068"/>
        <v>0.12733946305982402</v>
      </c>
      <c r="T1557">
        <f t="shared" si="1069"/>
        <v>1.2733946305982401E-4</v>
      </c>
    </row>
    <row r="1558" spans="1:20" x14ac:dyDescent="0.25">
      <c r="A1558" s="5">
        <v>43035</v>
      </c>
      <c r="B1558">
        <v>5861.77</v>
      </c>
      <c r="C1558">
        <v>5980</v>
      </c>
      <c r="D1558">
        <v>5649.24</v>
      </c>
      <c r="E1558">
        <v>5768.83</v>
      </c>
      <c r="F1558">
        <v>1403.706416</v>
      </c>
      <c r="G1558">
        <v>-1.59</v>
      </c>
      <c r="L1558" t="s">
        <v>8</v>
      </c>
      <c r="M1558" t="s">
        <v>8</v>
      </c>
      <c r="N1558" t="s">
        <v>8</v>
      </c>
      <c r="P1558">
        <f t="shared" si="1065"/>
        <v>-0.27687749425565322</v>
      </c>
      <c r="Q1558">
        <f t="shared" si="1066"/>
        <v>-388.65471513266357</v>
      </c>
      <c r="R1558">
        <f t="shared" si="1067"/>
        <v>12970.562867540832</v>
      </c>
      <c r="S1558">
        <f t="shared" si="1068"/>
        <v>0.1297056286754083</v>
      </c>
      <c r="T1558">
        <f t="shared" si="1069"/>
        <v>1.2970562867540831E-4</v>
      </c>
    </row>
    <row r="1559" spans="1:20" x14ac:dyDescent="0.25">
      <c r="A1559" s="5">
        <v>43034</v>
      </c>
      <c r="B1559">
        <v>5670.1</v>
      </c>
      <c r="C1559">
        <v>5939.99</v>
      </c>
      <c r="D1559">
        <v>5650</v>
      </c>
      <c r="E1559">
        <v>5861.77</v>
      </c>
      <c r="F1559">
        <v>1972.965882</v>
      </c>
      <c r="G1559">
        <v>3.38</v>
      </c>
      <c r="L1559" t="s">
        <v>8</v>
      </c>
      <c r="M1559" t="s">
        <v>8</v>
      </c>
      <c r="N1559" t="s">
        <v>8</v>
      </c>
      <c r="P1559">
        <f t="shared" si="1065"/>
        <v>0.4605331218317914</v>
      </c>
      <c r="Q1559">
        <f t="shared" si="1066"/>
        <v>908.61613690507374</v>
      </c>
      <c r="R1559">
        <f t="shared" si="1067"/>
        <v>13359.217582673495</v>
      </c>
      <c r="S1559">
        <f t="shared" si="1068"/>
        <v>0.13359217582673494</v>
      </c>
      <c r="T1559">
        <f t="shared" si="1069"/>
        <v>1.3359217582673493E-4</v>
      </c>
    </row>
    <row r="1560" spans="1:20" x14ac:dyDescent="0.25">
      <c r="A1560" s="5">
        <v>43033</v>
      </c>
      <c r="B1560">
        <v>5506.92</v>
      </c>
      <c r="C1560">
        <v>5704.96</v>
      </c>
      <c r="D1560">
        <v>5286.98</v>
      </c>
      <c r="E1560">
        <v>5689.99</v>
      </c>
      <c r="F1560">
        <v>2282.8132049999999</v>
      </c>
      <c r="G1560">
        <v>3.32</v>
      </c>
      <c r="L1560" t="s">
        <v>7</v>
      </c>
      <c r="M1560" t="s">
        <v>8</v>
      </c>
      <c r="N1560" t="s">
        <v>8</v>
      </c>
      <c r="P1560">
        <f t="shared" si="1065"/>
        <v>0.92836977845829827</v>
      </c>
      <c r="Q1560">
        <f t="shared" si="1066"/>
        <v>2119.2947893875275</v>
      </c>
      <c r="R1560">
        <f t="shared" si="1067"/>
        <v>12450.601445768421</v>
      </c>
      <c r="S1560">
        <f t="shared" si="1068"/>
        <v>0.12450601445768421</v>
      </c>
      <c r="T1560">
        <f t="shared" si="1069"/>
        <v>1.2450601445768421E-4</v>
      </c>
    </row>
    <row r="1561" spans="1:20" x14ac:dyDescent="0.25">
      <c r="A1561" s="5">
        <v>43032</v>
      </c>
      <c r="B1561">
        <v>5909.47</v>
      </c>
      <c r="C1561">
        <v>5925</v>
      </c>
      <c r="D1561">
        <v>5450</v>
      </c>
      <c r="E1561">
        <v>5477.03</v>
      </c>
      <c r="F1561">
        <v>2580.4187670000001</v>
      </c>
      <c r="G1561">
        <v>-7.32</v>
      </c>
      <c r="L1561" t="s">
        <v>7</v>
      </c>
      <c r="M1561" t="s">
        <v>8</v>
      </c>
      <c r="N1561" t="s">
        <v>8</v>
      </c>
      <c r="P1561">
        <f t="shared" si="1065"/>
        <v>-0.88618947368421164</v>
      </c>
      <c r="Q1561">
        <f t="shared" si="1066"/>
        <v>-2286.7399490125927</v>
      </c>
      <c r="R1561">
        <f t="shared" si="1067"/>
        <v>10331.306656380893</v>
      </c>
      <c r="S1561">
        <f t="shared" si="1068"/>
        <v>0.10331306656380894</v>
      </c>
      <c r="T1561">
        <f t="shared" si="1069"/>
        <v>1.0331306656380894E-4</v>
      </c>
    </row>
    <row r="1562" spans="1:20" x14ac:dyDescent="0.25">
      <c r="A1562" s="5">
        <v>43031</v>
      </c>
      <c r="B1562">
        <v>5975</v>
      </c>
      <c r="C1562">
        <v>6080</v>
      </c>
      <c r="D1562">
        <v>5621.03</v>
      </c>
      <c r="E1562">
        <v>5915.93</v>
      </c>
      <c r="F1562">
        <v>1812.5577149999999</v>
      </c>
      <c r="G1562">
        <v>-0.99</v>
      </c>
      <c r="L1562" t="s">
        <v>7</v>
      </c>
      <c r="M1562" t="s">
        <v>8</v>
      </c>
      <c r="N1562" t="s">
        <v>8</v>
      </c>
      <c r="P1562">
        <f t="shared" si="1065"/>
        <v>0.2850513105431744</v>
      </c>
      <c r="Q1562">
        <f t="shared" si="1066"/>
        <v>516.67195209589158</v>
      </c>
      <c r="R1562">
        <f t="shared" si="1067"/>
        <v>12618.046605393487</v>
      </c>
      <c r="S1562">
        <f t="shared" si="1068"/>
        <v>0.12618046605393488</v>
      </c>
      <c r="T1562">
        <f t="shared" si="1069"/>
        <v>1.2618046605393488E-4</v>
      </c>
    </row>
    <row r="1563" spans="1:20" x14ac:dyDescent="0.25">
      <c r="A1563" s="5">
        <v>43030</v>
      </c>
      <c r="B1563">
        <v>6003.27</v>
      </c>
      <c r="C1563">
        <v>6060</v>
      </c>
      <c r="D1563">
        <v>5720.03</v>
      </c>
      <c r="E1563">
        <v>5950.02</v>
      </c>
      <c r="F1563">
        <v>1362.092216</v>
      </c>
      <c r="G1563">
        <v>-0.89</v>
      </c>
      <c r="L1563" t="s">
        <v>7</v>
      </c>
      <c r="M1563" t="s">
        <v>8</v>
      </c>
      <c r="N1563" t="s">
        <v>8</v>
      </c>
      <c r="P1563">
        <f t="shared" si="1065"/>
        <v>0.35300173544724839</v>
      </c>
      <c r="Q1563">
        <f t="shared" si="1066"/>
        <v>480.82091608718832</v>
      </c>
      <c r="R1563">
        <f t="shared" si="1067"/>
        <v>12101.374653297595</v>
      </c>
      <c r="S1563">
        <f t="shared" si="1068"/>
        <v>0.12101374653297595</v>
      </c>
      <c r="T1563">
        <f t="shared" si="1069"/>
        <v>1.2101374653297594E-4</v>
      </c>
    </row>
    <row r="1564" spans="1:20" x14ac:dyDescent="0.25">
      <c r="A1564" s="5">
        <v>43029</v>
      </c>
      <c r="B1564">
        <v>6013.72</v>
      </c>
      <c r="C1564">
        <v>6171</v>
      </c>
      <c r="D1564">
        <v>5850.03</v>
      </c>
      <c r="E1564">
        <v>6024.97</v>
      </c>
      <c r="F1564">
        <v>1664.307693</v>
      </c>
      <c r="G1564">
        <v>0.19</v>
      </c>
      <c r="L1564" t="s">
        <v>8</v>
      </c>
      <c r="M1564" t="s">
        <v>8</v>
      </c>
      <c r="N1564" t="s">
        <v>8</v>
      </c>
      <c r="P1564">
        <f t="shared" si="1065"/>
        <v>9.0070723120543164E-2</v>
      </c>
      <c r="Q1564">
        <f t="shared" si="1066"/>
        <v>149.90539740359296</v>
      </c>
      <c r="R1564">
        <f t="shared" si="1067"/>
        <v>11620.553737210406</v>
      </c>
      <c r="S1564">
        <f t="shared" si="1068"/>
        <v>0.11620553737210407</v>
      </c>
      <c r="T1564">
        <f t="shared" si="1069"/>
        <v>1.1620553737210407E-4</v>
      </c>
    </row>
    <row r="1565" spans="1:20" x14ac:dyDescent="0.25">
      <c r="A1565" s="5">
        <v>43028</v>
      </c>
      <c r="B1565">
        <v>5683.31</v>
      </c>
      <c r="C1565">
        <v>6110</v>
      </c>
      <c r="D1565">
        <v>5600</v>
      </c>
      <c r="E1565">
        <v>6010.01</v>
      </c>
      <c r="F1565">
        <v>1972.97722</v>
      </c>
      <c r="G1565">
        <v>5.75</v>
      </c>
      <c r="L1565" t="s">
        <v>8</v>
      </c>
      <c r="M1565" t="s">
        <v>8</v>
      </c>
      <c r="N1565" t="s">
        <v>8</v>
      </c>
      <c r="P1565">
        <f t="shared" si="1065"/>
        <v>0.60788235294117732</v>
      </c>
      <c r="Q1565">
        <f t="shared" si="1066"/>
        <v>1199.3380347929428</v>
      </c>
      <c r="R1565">
        <f t="shared" si="1067"/>
        <v>11470.648339806814</v>
      </c>
      <c r="S1565">
        <f t="shared" si="1068"/>
        <v>0.11470648339806815</v>
      </c>
      <c r="T1565">
        <f t="shared" si="1069"/>
        <v>1.1470648339806815E-4</v>
      </c>
    </row>
    <row r="1566" spans="1:20" x14ac:dyDescent="0.25">
      <c r="A1566" s="5">
        <v>43027</v>
      </c>
      <c r="B1566">
        <v>5513</v>
      </c>
      <c r="C1566">
        <v>5710</v>
      </c>
      <c r="D1566">
        <v>5490.26</v>
      </c>
      <c r="E1566">
        <v>5683.9</v>
      </c>
      <c r="F1566">
        <v>1881.7221070000001</v>
      </c>
      <c r="G1566">
        <v>3.1</v>
      </c>
      <c r="L1566" t="s">
        <v>8</v>
      </c>
      <c r="M1566" t="s">
        <v>7</v>
      </c>
      <c r="N1566" t="s">
        <v>8</v>
      </c>
      <c r="P1566">
        <f t="shared" si="1065"/>
        <v>0.76244652771456822</v>
      </c>
      <c r="Q1566">
        <f t="shared" si="1066"/>
        <v>1434.7124866058912</v>
      </c>
      <c r="R1566">
        <f t="shared" si="1067"/>
        <v>10271.310305013871</v>
      </c>
      <c r="S1566">
        <f t="shared" si="1068"/>
        <v>0.10271310305013871</v>
      </c>
      <c r="T1566">
        <f t="shared" si="1069"/>
        <v>1.0271310305013871E-4</v>
      </c>
    </row>
    <row r="1567" spans="1:20" x14ac:dyDescent="0.25">
      <c r="A1567" s="5">
        <v>43026</v>
      </c>
      <c r="B1567">
        <v>5595</v>
      </c>
      <c r="C1567">
        <v>5596</v>
      </c>
      <c r="D1567">
        <v>5037.95</v>
      </c>
      <c r="E1567">
        <v>5512.06</v>
      </c>
      <c r="F1567">
        <v>2317.8043729999999</v>
      </c>
      <c r="G1567">
        <v>-1.48</v>
      </c>
      <c r="L1567" t="s">
        <v>7</v>
      </c>
      <c r="M1567" t="s">
        <v>7</v>
      </c>
      <c r="N1567" t="s">
        <v>8</v>
      </c>
      <c r="P1567">
        <f t="shared" si="1065"/>
        <v>0.69916674133142342</v>
      </c>
      <c r="Q1567">
        <f t="shared" si="1066"/>
        <v>1620.531730514133</v>
      </c>
      <c r="R1567">
        <f t="shared" si="1067"/>
        <v>8836.5978184079795</v>
      </c>
      <c r="S1567">
        <f t="shared" si="1068"/>
        <v>8.8365978184079791E-2</v>
      </c>
      <c r="T1567">
        <f t="shared" si="1069"/>
        <v>8.8365978184079796E-5</v>
      </c>
    </row>
    <row r="1568" spans="1:20" x14ac:dyDescent="0.25">
      <c r="A1568" s="5">
        <v>43025</v>
      </c>
      <c r="B1568">
        <v>5760</v>
      </c>
      <c r="C1568">
        <v>5774.98</v>
      </c>
      <c r="D1568">
        <v>5508.63</v>
      </c>
      <c r="E1568">
        <v>5595</v>
      </c>
      <c r="F1568">
        <v>1429.8693760000001</v>
      </c>
      <c r="G1568">
        <v>-2.86</v>
      </c>
      <c r="L1568" t="s">
        <v>8</v>
      </c>
      <c r="M1568" t="s">
        <v>8</v>
      </c>
      <c r="N1568" t="s">
        <v>8</v>
      </c>
      <c r="P1568">
        <f t="shared" si="1065"/>
        <v>-0.35145485263750653</v>
      </c>
      <c r="Q1568">
        <f t="shared" si="1066"/>
        <v>-502.53453083296347</v>
      </c>
      <c r="R1568">
        <f t="shared" si="1067"/>
        <v>7216.066087893847</v>
      </c>
      <c r="S1568">
        <f t="shared" si="1068"/>
        <v>7.2160660878938465E-2</v>
      </c>
      <c r="T1568">
        <f t="shared" si="1069"/>
        <v>7.2160660878938462E-5</v>
      </c>
    </row>
    <row r="1569" spans="1:20" x14ac:dyDescent="0.25">
      <c r="A1569" s="5">
        <v>43024</v>
      </c>
      <c r="B1569">
        <v>5710</v>
      </c>
      <c r="C1569">
        <v>5788.91</v>
      </c>
      <c r="D1569">
        <v>5585.19</v>
      </c>
      <c r="E1569">
        <v>5760.02</v>
      </c>
      <c r="F1569">
        <v>1528.9964620000001</v>
      </c>
      <c r="G1569">
        <v>0.88</v>
      </c>
      <c r="L1569" t="s">
        <v>8</v>
      </c>
      <c r="M1569" t="s">
        <v>8</v>
      </c>
      <c r="N1569" t="s">
        <v>8</v>
      </c>
      <c r="P1569">
        <f t="shared" si="1065"/>
        <v>0.71637541723935416</v>
      </c>
      <c r="Q1569">
        <f t="shared" si="1066"/>
        <v>1095.3354784227463</v>
      </c>
      <c r="R1569">
        <f t="shared" si="1067"/>
        <v>7718.6006187268104</v>
      </c>
      <c r="S1569">
        <f t="shared" si="1068"/>
        <v>7.7186006187268105E-2</v>
      </c>
      <c r="T1569">
        <f t="shared" si="1069"/>
        <v>7.7186006187268108E-5</v>
      </c>
    </row>
    <row r="1570" spans="1:20" x14ac:dyDescent="0.25">
      <c r="A1570" s="5">
        <v>43023</v>
      </c>
      <c r="B1570">
        <v>5855.03</v>
      </c>
      <c r="C1570">
        <v>5922.3</v>
      </c>
      <c r="D1570">
        <v>5400.01</v>
      </c>
      <c r="E1570">
        <v>5709.99</v>
      </c>
      <c r="F1570">
        <v>1343.523375</v>
      </c>
      <c r="G1570">
        <v>-2.48</v>
      </c>
      <c r="L1570" t="s">
        <v>7</v>
      </c>
      <c r="M1570" t="s">
        <v>8</v>
      </c>
      <c r="N1570" t="s">
        <v>8</v>
      </c>
      <c r="P1570">
        <f t="shared" si="1065"/>
        <v>0.18700338892186175</v>
      </c>
      <c r="Q1570">
        <f t="shared" si="1066"/>
        <v>251.2434242207373</v>
      </c>
      <c r="R1570">
        <f t="shared" si="1067"/>
        <v>6623.2651403040636</v>
      </c>
      <c r="S1570">
        <f t="shared" si="1068"/>
        <v>6.6232651403040632E-2</v>
      </c>
      <c r="T1570">
        <f t="shared" si="1069"/>
        <v>6.6232651403040638E-5</v>
      </c>
    </row>
    <row r="1571" spans="1:20" x14ac:dyDescent="0.25">
      <c r="A1571" s="5">
        <v>43022</v>
      </c>
      <c r="B1571">
        <v>5650</v>
      </c>
      <c r="C1571">
        <v>5900</v>
      </c>
      <c r="D1571">
        <v>5580.01</v>
      </c>
      <c r="E1571">
        <v>5869.99</v>
      </c>
      <c r="F1571">
        <v>970.75904600000001</v>
      </c>
      <c r="G1571">
        <v>3.89</v>
      </c>
      <c r="L1571" t="s">
        <v>8</v>
      </c>
      <c r="M1571" t="s">
        <v>8</v>
      </c>
      <c r="N1571" t="s">
        <v>8</v>
      </c>
      <c r="P1571">
        <f t="shared" si="1065"/>
        <v>0.81243163848870126</v>
      </c>
      <c r="Q1571">
        <f t="shared" si="1066"/>
        <v>788.67536231950851</v>
      </c>
      <c r="R1571">
        <f t="shared" si="1067"/>
        <v>6372.0217160833263</v>
      </c>
      <c r="S1571">
        <f t="shared" si="1068"/>
        <v>6.3720217160833259E-2</v>
      </c>
      <c r="T1571">
        <f t="shared" si="1069"/>
        <v>6.3720217160833254E-5</v>
      </c>
    </row>
    <row r="1572" spans="1:20" x14ac:dyDescent="0.25">
      <c r="A1572" s="5">
        <v>43021</v>
      </c>
      <c r="B1572">
        <v>5439.99</v>
      </c>
      <c r="C1572">
        <v>5846.17</v>
      </c>
      <c r="D1572">
        <v>5379.84</v>
      </c>
      <c r="E1572">
        <v>5649.98</v>
      </c>
      <c r="F1572">
        <v>1879.82762</v>
      </c>
      <c r="G1572">
        <v>3.86</v>
      </c>
      <c r="L1572" t="s">
        <v>8</v>
      </c>
      <c r="M1572" t="s">
        <v>8</v>
      </c>
      <c r="N1572" t="s">
        <v>8</v>
      </c>
      <c r="P1572">
        <f t="shared" si="1065"/>
        <v>0.15857868891128368</v>
      </c>
      <c r="Q1572">
        <f t="shared" si="1066"/>
        <v>298.10059935881878</v>
      </c>
      <c r="R1572">
        <f t="shared" si="1067"/>
        <v>5583.3463537638181</v>
      </c>
      <c r="S1572">
        <f t="shared" si="1068"/>
        <v>5.5833463537638184E-2</v>
      </c>
      <c r="T1572">
        <f t="shared" si="1069"/>
        <v>5.5833463537638184E-5</v>
      </c>
    </row>
    <row r="1573" spans="1:20" x14ac:dyDescent="0.25">
      <c r="A1573" s="5">
        <v>43020</v>
      </c>
      <c r="B1573">
        <v>4821.43</v>
      </c>
      <c r="C1573">
        <v>5439.99</v>
      </c>
      <c r="D1573">
        <v>4810.16</v>
      </c>
      <c r="E1573">
        <v>5430</v>
      </c>
      <c r="F1573">
        <v>1276.7014819999999</v>
      </c>
      <c r="G1573">
        <v>12.62</v>
      </c>
      <c r="L1573" t="s">
        <v>8</v>
      </c>
      <c r="M1573" t="s">
        <v>8</v>
      </c>
      <c r="N1573" t="s">
        <v>8</v>
      </c>
      <c r="P1573">
        <f t="shared" si="1065"/>
        <v>0.96827715415270854</v>
      </c>
      <c r="Q1573">
        <f t="shared" si="1066"/>
        <v>1236.2008776935054</v>
      </c>
      <c r="R1573">
        <f t="shared" si="1067"/>
        <v>5285.2457544049994</v>
      </c>
      <c r="S1573">
        <f t="shared" si="1068"/>
        <v>5.2852457544049991E-2</v>
      </c>
      <c r="T1573">
        <f t="shared" si="1069"/>
        <v>5.2852457544049992E-5</v>
      </c>
    </row>
    <row r="1574" spans="1:20" x14ac:dyDescent="0.25">
      <c r="A1574" s="5">
        <v>43019</v>
      </c>
      <c r="B1574">
        <v>4783.0600000000004</v>
      </c>
      <c r="C1574">
        <v>4881.6099999999997</v>
      </c>
      <c r="D1574">
        <v>4710</v>
      </c>
      <c r="E1574">
        <v>4821.43</v>
      </c>
      <c r="F1574">
        <v>753.429396</v>
      </c>
      <c r="G1574">
        <v>0.8</v>
      </c>
      <c r="L1574" t="s">
        <v>8</v>
      </c>
      <c r="M1574" t="s">
        <v>8</v>
      </c>
      <c r="N1574" t="s">
        <v>8</v>
      </c>
      <c r="P1574">
        <f t="shared" si="1065"/>
        <v>0.29864227026397649</v>
      </c>
      <c r="Q1574">
        <f t="shared" si="1066"/>
        <v>225.00586530505657</v>
      </c>
      <c r="R1574">
        <f t="shared" si="1067"/>
        <v>4049.0448767114935</v>
      </c>
      <c r="S1574">
        <f t="shared" si="1068"/>
        <v>4.0490448767114932E-2</v>
      </c>
      <c r="T1574">
        <f t="shared" si="1069"/>
        <v>4.0490448767114934E-5</v>
      </c>
    </row>
    <row r="1575" spans="1:20" x14ac:dyDescent="0.25">
      <c r="A1575" s="5">
        <v>43018</v>
      </c>
      <c r="B1575">
        <v>4786.95</v>
      </c>
      <c r="C1575">
        <v>4960</v>
      </c>
      <c r="D1575">
        <v>4680.59</v>
      </c>
      <c r="E1575">
        <v>4783.0600000000004</v>
      </c>
      <c r="F1575">
        <v>1043.221773</v>
      </c>
      <c r="G1575">
        <v>-0.08</v>
      </c>
      <c r="L1575" t="s">
        <v>8</v>
      </c>
      <c r="M1575" t="s">
        <v>8</v>
      </c>
      <c r="N1575" t="s">
        <v>8</v>
      </c>
      <c r="P1575">
        <f t="shared" si="1065"/>
        <v>-0.26652589384774839</v>
      </c>
      <c r="Q1575">
        <f t="shared" si="1066"/>
        <v>-278.04561553025786</v>
      </c>
      <c r="R1575">
        <f t="shared" si="1067"/>
        <v>3824.0390114064371</v>
      </c>
      <c r="S1575">
        <f t="shared" si="1068"/>
        <v>3.8240390114064368E-2</v>
      </c>
      <c r="T1575">
        <f t="shared" si="1069"/>
        <v>3.824039011406437E-5</v>
      </c>
    </row>
    <row r="1576" spans="1:20" x14ac:dyDescent="0.25">
      <c r="A1576" s="5">
        <v>43017</v>
      </c>
      <c r="B1576">
        <v>4640</v>
      </c>
      <c r="C1576">
        <v>4889.9799999999996</v>
      </c>
      <c r="D1576">
        <v>4550</v>
      </c>
      <c r="E1576">
        <v>4786.95</v>
      </c>
      <c r="F1576">
        <v>646.46314500000005</v>
      </c>
      <c r="G1576">
        <v>3.17</v>
      </c>
      <c r="L1576" t="s">
        <v>8</v>
      </c>
      <c r="M1576" t="s">
        <v>8</v>
      </c>
      <c r="N1576" t="s">
        <v>8</v>
      </c>
      <c r="P1576">
        <f t="shared" si="1065"/>
        <v>0.39390552385434507</v>
      </c>
      <c r="Q1576">
        <f t="shared" si="1066"/>
        <v>254.64540378375247</v>
      </c>
      <c r="R1576">
        <f t="shared" si="1067"/>
        <v>4102.0846269366948</v>
      </c>
      <c r="S1576">
        <f t="shared" si="1068"/>
        <v>4.1020846269366945E-2</v>
      </c>
      <c r="T1576">
        <f t="shared" si="1069"/>
        <v>4.1020846269366944E-5</v>
      </c>
    </row>
    <row r="1577" spans="1:20" x14ac:dyDescent="0.25">
      <c r="A1577" s="5">
        <v>43016</v>
      </c>
      <c r="B1577">
        <v>4425</v>
      </c>
      <c r="C1577">
        <v>4658</v>
      </c>
      <c r="D1577">
        <v>4425</v>
      </c>
      <c r="E1577">
        <v>4640</v>
      </c>
      <c r="F1577">
        <v>518.46200399999998</v>
      </c>
      <c r="G1577">
        <v>4.8600000000000003</v>
      </c>
      <c r="L1577" t="s">
        <v>8</v>
      </c>
      <c r="M1577" t="s">
        <v>8</v>
      </c>
      <c r="N1577" t="s">
        <v>8</v>
      </c>
      <c r="P1577">
        <f t="shared" si="1065"/>
        <v>0.84549356223175964</v>
      </c>
      <c r="Q1577">
        <f t="shared" si="1066"/>
        <v>438.3562866437768</v>
      </c>
      <c r="R1577">
        <f t="shared" si="1067"/>
        <v>3847.4392231529428</v>
      </c>
      <c r="S1577">
        <f t="shared" si="1068"/>
        <v>3.8474392231529431E-2</v>
      </c>
      <c r="T1577">
        <f t="shared" si="1069"/>
        <v>3.8474392231529433E-5</v>
      </c>
    </row>
    <row r="1578" spans="1:20" x14ac:dyDescent="0.25">
      <c r="A1578" s="5">
        <v>43015</v>
      </c>
      <c r="B1578">
        <v>4369</v>
      </c>
      <c r="C1578">
        <v>4479.5</v>
      </c>
      <c r="D1578">
        <v>4312.5600000000004</v>
      </c>
      <c r="E1578">
        <v>4423</v>
      </c>
      <c r="F1578">
        <v>297.59750000000003</v>
      </c>
      <c r="G1578">
        <v>1.24</v>
      </c>
      <c r="L1578" t="s">
        <v>8</v>
      </c>
      <c r="M1578" t="s">
        <v>8</v>
      </c>
      <c r="N1578" t="s">
        <v>8</v>
      </c>
      <c r="P1578">
        <f t="shared" si="1065"/>
        <v>0.32311009943692182</v>
      </c>
      <c r="Q1578">
        <f t="shared" si="1066"/>
        <v>96.156757817179354</v>
      </c>
      <c r="R1578">
        <f t="shared" si="1067"/>
        <v>3409.0829365091658</v>
      </c>
      <c r="S1578">
        <f t="shared" si="1068"/>
        <v>3.4090829365091661E-2</v>
      </c>
      <c r="T1578">
        <f t="shared" si="1069"/>
        <v>3.4090829365091659E-5</v>
      </c>
    </row>
    <row r="1579" spans="1:20" x14ac:dyDescent="0.25">
      <c r="A1579" s="5">
        <v>43014</v>
      </c>
      <c r="B1579">
        <v>4318.99</v>
      </c>
      <c r="C1579">
        <v>4417</v>
      </c>
      <c r="D1579">
        <v>4292</v>
      </c>
      <c r="E1579">
        <v>4369</v>
      </c>
      <c r="F1579">
        <v>506.52917600000001</v>
      </c>
      <c r="G1579">
        <v>1.1599999999999999</v>
      </c>
      <c r="L1579" t="s">
        <v>7</v>
      </c>
      <c r="M1579" t="s">
        <v>8</v>
      </c>
      <c r="N1579" t="s">
        <v>8</v>
      </c>
      <c r="P1579">
        <f t="shared" si="1065"/>
        <v>0.23200000000000001</v>
      </c>
      <c r="Q1579">
        <f t="shared" si="1066"/>
        <v>117.514768832</v>
      </c>
      <c r="R1579">
        <f t="shared" si="1067"/>
        <v>3312.9261786919865</v>
      </c>
      <c r="S1579">
        <f t="shared" si="1068"/>
        <v>3.3129261786919863E-2</v>
      </c>
      <c r="T1579">
        <f t="shared" si="1069"/>
        <v>3.3129261786919861E-5</v>
      </c>
    </row>
    <row r="1580" spans="1:20" x14ac:dyDescent="0.25">
      <c r="A1580" s="5">
        <v>43013</v>
      </c>
      <c r="B1580">
        <v>4208.59</v>
      </c>
      <c r="C1580">
        <v>4355</v>
      </c>
      <c r="D1580">
        <v>4110</v>
      </c>
      <c r="E1580">
        <v>4292.43</v>
      </c>
      <c r="F1580">
        <v>779.13863800000001</v>
      </c>
      <c r="G1580">
        <v>1.99</v>
      </c>
      <c r="L1580" t="s">
        <v>7</v>
      </c>
      <c r="M1580" t="s">
        <v>8</v>
      </c>
      <c r="N1580" t="s">
        <v>8</v>
      </c>
      <c r="P1580">
        <f t="shared" si="1065"/>
        <v>0.48922448979592076</v>
      </c>
      <c r="Q1580">
        <f t="shared" si="1066"/>
        <v>381.17370265583861</v>
      </c>
      <c r="R1580">
        <f t="shared" si="1067"/>
        <v>3195.4114098599866</v>
      </c>
      <c r="S1580">
        <f t="shared" si="1068"/>
        <v>3.1954114098599863E-2</v>
      </c>
      <c r="T1580">
        <f t="shared" si="1069"/>
        <v>3.1954114098599864E-5</v>
      </c>
    </row>
    <row r="1581" spans="1:20" x14ac:dyDescent="0.25">
      <c r="A1581" s="5">
        <v>43012</v>
      </c>
      <c r="B1581">
        <v>4314.8999999999996</v>
      </c>
      <c r="C1581">
        <v>4373</v>
      </c>
      <c r="D1581">
        <v>4142</v>
      </c>
      <c r="E1581">
        <v>4208.59</v>
      </c>
      <c r="F1581">
        <v>868.465101</v>
      </c>
      <c r="G1581">
        <v>-2.46</v>
      </c>
      <c r="L1581" t="s">
        <v>7</v>
      </c>
      <c r="M1581" t="s">
        <v>8</v>
      </c>
      <c r="N1581" t="s">
        <v>8</v>
      </c>
      <c r="P1581">
        <f t="shared" si="1065"/>
        <v>-0.42346320346320221</v>
      </c>
      <c r="Q1581">
        <f t="shared" si="1066"/>
        <v>-367.76301376545348</v>
      </c>
      <c r="R1581">
        <f t="shared" si="1067"/>
        <v>2814.2377072041481</v>
      </c>
      <c r="S1581">
        <f t="shared" si="1068"/>
        <v>2.814237707204148E-2</v>
      </c>
      <c r="T1581">
        <f t="shared" si="1069"/>
        <v>2.8142377072041481E-5</v>
      </c>
    </row>
    <row r="1582" spans="1:20" x14ac:dyDescent="0.25">
      <c r="A1582" s="5">
        <v>43011</v>
      </c>
      <c r="B1582">
        <v>4380</v>
      </c>
      <c r="C1582">
        <v>4467.33</v>
      </c>
      <c r="D1582">
        <v>4180.8</v>
      </c>
      <c r="E1582">
        <v>4310</v>
      </c>
      <c r="F1582">
        <v>1082.3235629999999</v>
      </c>
      <c r="G1582">
        <v>-1.6</v>
      </c>
      <c r="L1582" t="s">
        <v>7</v>
      </c>
      <c r="M1582" t="s">
        <v>8</v>
      </c>
      <c r="N1582" t="s">
        <v>8</v>
      </c>
      <c r="P1582">
        <f t="shared" si="1065"/>
        <v>-9.8174711199525824E-2</v>
      </c>
      <c r="Q1582">
        <f t="shared" si="1066"/>
        <v>-106.25680322196679</v>
      </c>
      <c r="R1582">
        <f t="shared" si="1067"/>
        <v>3182.0007209696014</v>
      </c>
      <c r="S1582">
        <f t="shared" si="1068"/>
        <v>3.1820007209696015E-2</v>
      </c>
      <c r="T1582">
        <f t="shared" si="1069"/>
        <v>3.1820007209696013E-5</v>
      </c>
    </row>
    <row r="1583" spans="1:20" x14ac:dyDescent="0.25">
      <c r="A1583" s="5">
        <v>43010</v>
      </c>
      <c r="B1583">
        <v>4400</v>
      </c>
      <c r="C1583">
        <v>4561.63</v>
      </c>
      <c r="D1583">
        <v>4360</v>
      </c>
      <c r="E1583">
        <v>4380</v>
      </c>
      <c r="F1583">
        <v>655.75697400000001</v>
      </c>
      <c r="G1583">
        <v>-0.45</v>
      </c>
      <c r="L1583" t="s">
        <v>8</v>
      </c>
      <c r="M1583" t="s">
        <v>8</v>
      </c>
      <c r="N1583" t="s">
        <v>8</v>
      </c>
      <c r="P1583">
        <f t="shared" si="1065"/>
        <v>-0.80161682289341873</v>
      </c>
      <c r="Q1583">
        <f t="shared" si="1066"/>
        <v>-525.66582208808222</v>
      </c>
      <c r="R1583">
        <f t="shared" si="1067"/>
        <v>3288.2575241915683</v>
      </c>
      <c r="S1583">
        <f t="shared" si="1068"/>
        <v>3.2882575241915686E-2</v>
      </c>
      <c r="T1583">
        <f t="shared" si="1069"/>
        <v>3.2882575241915687E-5</v>
      </c>
    </row>
    <row r="1584" spans="1:20" x14ac:dyDescent="0.25">
      <c r="A1584" s="5">
        <v>43009</v>
      </c>
      <c r="B1584">
        <v>4378.49</v>
      </c>
      <c r="C1584">
        <v>4406.5200000000004</v>
      </c>
      <c r="D1584">
        <v>4240.04</v>
      </c>
      <c r="E1584">
        <v>4378.4799999999996</v>
      </c>
      <c r="F1584">
        <v>726.96368500000005</v>
      </c>
      <c r="G1584">
        <v>0</v>
      </c>
      <c r="L1584" t="s">
        <v>8</v>
      </c>
      <c r="M1584" t="s">
        <v>8</v>
      </c>
      <c r="N1584" t="s">
        <v>8</v>
      </c>
      <c r="P1584">
        <f t="shared" si="1065"/>
        <v>0.6631427198462182</v>
      </c>
      <c r="Q1584">
        <f t="shared" si="1066"/>
        <v>482.08067530032946</v>
      </c>
      <c r="R1584">
        <f t="shared" si="1067"/>
        <v>3813.9233462796506</v>
      </c>
      <c r="S1584">
        <f t="shared" si="1068"/>
        <v>3.8139233462796504E-2</v>
      </c>
      <c r="T1584">
        <f t="shared" si="1069"/>
        <v>3.8139233462796501E-5</v>
      </c>
    </row>
    <row r="1585" spans="1:20" x14ac:dyDescent="0.25">
      <c r="A1585" s="5">
        <v>43008</v>
      </c>
      <c r="B1585">
        <v>4175</v>
      </c>
      <c r="C1585">
        <v>4380</v>
      </c>
      <c r="D1585">
        <v>4138.1000000000004</v>
      </c>
      <c r="E1585">
        <v>4378.51</v>
      </c>
      <c r="F1585">
        <v>720.35318299999994</v>
      </c>
      <c r="G1585">
        <v>4.87</v>
      </c>
      <c r="L1585" t="s">
        <v>8</v>
      </c>
      <c r="M1585" t="s">
        <v>8</v>
      </c>
      <c r="N1585" t="s">
        <v>8</v>
      </c>
      <c r="P1585">
        <f t="shared" si="1065"/>
        <v>0.98768085985944787</v>
      </c>
      <c r="Q1585">
        <f t="shared" si="1066"/>
        <v>711.47905118793017</v>
      </c>
      <c r="R1585">
        <f t="shared" si="1067"/>
        <v>3331.8426709793212</v>
      </c>
      <c r="S1585">
        <f t="shared" si="1068"/>
        <v>3.3318426709793209E-2</v>
      </c>
      <c r="T1585">
        <f t="shared" si="1069"/>
        <v>3.3318426709793207E-5</v>
      </c>
    </row>
    <row r="1586" spans="1:20" x14ac:dyDescent="0.25">
      <c r="A1586" s="5">
        <v>43007</v>
      </c>
      <c r="B1586">
        <v>4178.9799999999996</v>
      </c>
      <c r="C1586">
        <v>4263.8599999999997</v>
      </c>
      <c r="D1586">
        <v>3952.01</v>
      </c>
      <c r="E1586">
        <v>4174.6899999999996</v>
      </c>
      <c r="F1586">
        <v>1602.309565</v>
      </c>
      <c r="G1586">
        <v>-0.1</v>
      </c>
      <c r="L1586" t="s">
        <v>7</v>
      </c>
      <c r="M1586" t="s">
        <v>8</v>
      </c>
      <c r="N1586" t="s">
        <v>8</v>
      </c>
      <c r="P1586">
        <f t="shared" si="1065"/>
        <v>0.42812249478915998</v>
      </c>
      <c r="Q1586">
        <f t="shared" si="1066"/>
        <v>685.98476839233365</v>
      </c>
      <c r="R1586">
        <f t="shared" si="1067"/>
        <v>2620.3636197913911</v>
      </c>
      <c r="S1586">
        <f t="shared" si="1068"/>
        <v>2.620363619791391E-2</v>
      </c>
      <c r="T1586">
        <f t="shared" si="1069"/>
        <v>2.620363619791391E-5</v>
      </c>
    </row>
    <row r="1587" spans="1:20" x14ac:dyDescent="0.25">
      <c r="A1587" s="5">
        <v>43006</v>
      </c>
      <c r="B1587">
        <v>4192.1099999999997</v>
      </c>
      <c r="C1587">
        <v>4300</v>
      </c>
      <c r="D1587">
        <v>4101</v>
      </c>
      <c r="E1587">
        <v>4174.5</v>
      </c>
      <c r="F1587">
        <v>849.78532499999994</v>
      </c>
      <c r="G1587">
        <v>-0.42</v>
      </c>
      <c r="L1587" t="s">
        <v>8</v>
      </c>
      <c r="M1587" t="s">
        <v>8</v>
      </c>
      <c r="N1587" t="s">
        <v>8</v>
      </c>
      <c r="P1587">
        <f t="shared" si="1065"/>
        <v>-0.2613065326633166</v>
      </c>
      <c r="Q1587">
        <f t="shared" si="1066"/>
        <v>-222.05445678391959</v>
      </c>
      <c r="R1587">
        <f t="shared" si="1067"/>
        <v>1934.3788513990576</v>
      </c>
      <c r="S1587">
        <f t="shared" si="1068"/>
        <v>1.9343788513990576E-2</v>
      </c>
      <c r="T1587">
        <f t="shared" si="1069"/>
        <v>1.9343788513990577E-5</v>
      </c>
    </row>
    <row r="1588" spans="1:20" x14ac:dyDescent="0.25">
      <c r="A1588" s="5">
        <v>43005</v>
      </c>
      <c r="B1588">
        <v>3882.36</v>
      </c>
      <c r="C1588">
        <v>4249.9399999999996</v>
      </c>
      <c r="D1588">
        <v>3872.81</v>
      </c>
      <c r="E1588">
        <v>4193</v>
      </c>
      <c r="F1588">
        <v>628.17096600000002</v>
      </c>
      <c r="G1588">
        <v>8</v>
      </c>
      <c r="L1588" t="s">
        <v>8</v>
      </c>
      <c r="M1588" t="s">
        <v>8</v>
      </c>
      <c r="N1588" t="s">
        <v>8</v>
      </c>
      <c r="P1588">
        <f t="shared" si="1065"/>
        <v>0.69803516028955714</v>
      </c>
      <c r="Q1588">
        <f t="shared" si="1066"/>
        <v>438.48542094105596</v>
      </c>
      <c r="R1588">
        <f t="shared" si="1067"/>
        <v>2156.4333081829773</v>
      </c>
      <c r="S1588">
        <f t="shared" si="1068"/>
        <v>2.1564333081829774E-2</v>
      </c>
      <c r="T1588">
        <f t="shared" si="1069"/>
        <v>2.1564333081829773E-5</v>
      </c>
    </row>
    <row r="1589" spans="1:20" x14ac:dyDescent="0.25">
      <c r="A1589" s="5">
        <v>43004</v>
      </c>
      <c r="B1589">
        <v>3928</v>
      </c>
      <c r="C1589">
        <v>3976.99</v>
      </c>
      <c r="D1589">
        <v>3850.05</v>
      </c>
      <c r="E1589">
        <v>3882.35</v>
      </c>
      <c r="F1589">
        <v>526.72798699999998</v>
      </c>
      <c r="G1589">
        <v>-1.1599999999999999</v>
      </c>
      <c r="L1589" t="s">
        <v>8</v>
      </c>
      <c r="M1589" t="s">
        <v>8</v>
      </c>
      <c r="N1589" t="s">
        <v>8</v>
      </c>
      <c r="P1589">
        <f t="shared" si="1065"/>
        <v>-0.49109815660942446</v>
      </c>
      <c r="Q1589">
        <f t="shared" si="1066"/>
        <v>-258.67514345029286</v>
      </c>
      <c r="R1589">
        <f t="shared" si="1067"/>
        <v>1717.9478872419215</v>
      </c>
      <c r="S1589">
        <f t="shared" si="1068"/>
        <v>1.7179478872419215E-2</v>
      </c>
      <c r="T1589">
        <f t="shared" si="1069"/>
        <v>1.7179478872419216E-5</v>
      </c>
    </row>
    <row r="1590" spans="1:20" x14ac:dyDescent="0.25">
      <c r="A1590" s="5">
        <v>43003</v>
      </c>
      <c r="B1590">
        <v>3660.02</v>
      </c>
      <c r="C1590">
        <v>3979.87</v>
      </c>
      <c r="D1590">
        <v>3653.69</v>
      </c>
      <c r="E1590">
        <v>3920.75</v>
      </c>
      <c r="F1590">
        <v>727.99471300000005</v>
      </c>
      <c r="G1590">
        <v>7.12</v>
      </c>
      <c r="L1590" t="s">
        <v>8</v>
      </c>
      <c r="M1590" t="s">
        <v>8</v>
      </c>
      <c r="N1590" t="s">
        <v>8</v>
      </c>
      <c r="P1590">
        <f t="shared" si="1065"/>
        <v>0.63750076644797404</v>
      </c>
      <c r="Q1590">
        <f t="shared" si="1066"/>
        <v>464.09718750757293</v>
      </c>
      <c r="R1590">
        <f t="shared" si="1067"/>
        <v>1976.6230306922143</v>
      </c>
      <c r="S1590">
        <f t="shared" si="1068"/>
        <v>1.9766230306922143E-2</v>
      </c>
      <c r="T1590">
        <f t="shared" si="1069"/>
        <v>1.9766230306922144E-5</v>
      </c>
    </row>
    <row r="1591" spans="1:20" x14ac:dyDescent="0.25">
      <c r="A1591" s="5">
        <v>43002</v>
      </c>
      <c r="B1591">
        <v>3779.54</v>
      </c>
      <c r="C1591">
        <v>3789.99</v>
      </c>
      <c r="D1591">
        <v>3622.76</v>
      </c>
      <c r="E1591">
        <v>3660.02</v>
      </c>
      <c r="F1591">
        <v>661.63639000000001</v>
      </c>
      <c r="G1591">
        <v>-3.16</v>
      </c>
      <c r="L1591" t="s">
        <v>8</v>
      </c>
      <c r="M1591" t="s">
        <v>8</v>
      </c>
      <c r="N1591" t="s">
        <v>8</v>
      </c>
      <c r="P1591">
        <f t="shared" si="1065"/>
        <v>-0.5543861747294162</v>
      </c>
      <c r="Q1591">
        <f t="shared" si="1066"/>
        <v>-366.80206731388017</v>
      </c>
      <c r="R1591">
        <f t="shared" si="1067"/>
        <v>1512.5258431846414</v>
      </c>
      <c r="S1591">
        <f t="shared" si="1068"/>
        <v>1.5125258431846414E-2</v>
      </c>
      <c r="T1591">
        <f t="shared" si="1069"/>
        <v>1.5125258431846413E-5</v>
      </c>
    </row>
    <row r="1592" spans="1:20" x14ac:dyDescent="0.25">
      <c r="A1592" s="5">
        <v>43001</v>
      </c>
      <c r="B1592">
        <v>3595.88</v>
      </c>
      <c r="C1592">
        <v>3817.19</v>
      </c>
      <c r="D1592">
        <v>3542.91</v>
      </c>
      <c r="E1592">
        <v>3780</v>
      </c>
      <c r="F1592">
        <v>752.79279099999997</v>
      </c>
      <c r="G1592">
        <v>5.12</v>
      </c>
      <c r="L1592" t="s">
        <v>8</v>
      </c>
      <c r="M1592" t="s">
        <v>8</v>
      </c>
      <c r="N1592" t="s">
        <v>8</v>
      </c>
      <c r="P1592">
        <f t="shared" si="1065"/>
        <v>0.72881726702639615</v>
      </c>
      <c r="Q1592">
        <f t="shared" si="1066"/>
        <v>548.64838457379301</v>
      </c>
      <c r="R1592">
        <f t="shared" si="1067"/>
        <v>1879.3279104985215</v>
      </c>
      <c r="S1592">
        <f t="shared" si="1068"/>
        <v>1.8793279104985215E-2</v>
      </c>
      <c r="T1592">
        <f t="shared" si="1069"/>
        <v>1.8793279104985215E-5</v>
      </c>
    </row>
    <row r="1593" spans="1:20" x14ac:dyDescent="0.25">
      <c r="A1593" s="5">
        <v>43000</v>
      </c>
      <c r="B1593">
        <v>3592.84</v>
      </c>
      <c r="C1593">
        <v>3750</v>
      </c>
      <c r="D1593">
        <v>3505.55</v>
      </c>
      <c r="E1593">
        <v>3595.87</v>
      </c>
      <c r="F1593">
        <v>838.96642499999996</v>
      </c>
      <c r="G1593">
        <v>0.08</v>
      </c>
      <c r="L1593" t="s">
        <v>7</v>
      </c>
      <c r="M1593" t="s">
        <v>8</v>
      </c>
      <c r="N1593" t="s">
        <v>8</v>
      </c>
      <c r="P1593">
        <f t="shared" si="1065"/>
        <v>-0.26103497647780916</v>
      </c>
      <c r="Q1593">
        <f t="shared" si="1066"/>
        <v>-218.99958101554662</v>
      </c>
      <c r="R1593">
        <f t="shared" si="1067"/>
        <v>1330.6795259247285</v>
      </c>
      <c r="S1593">
        <f t="shared" si="1068"/>
        <v>1.3306795259247285E-2</v>
      </c>
      <c r="T1593">
        <f t="shared" si="1069"/>
        <v>1.3306795259247285E-5</v>
      </c>
    </row>
    <row r="1594" spans="1:20" x14ac:dyDescent="0.25">
      <c r="A1594" s="5">
        <v>42999</v>
      </c>
      <c r="B1594">
        <v>3889.99</v>
      </c>
      <c r="C1594">
        <v>3910</v>
      </c>
      <c r="D1594">
        <v>3567</v>
      </c>
      <c r="E1594">
        <v>3609.99</v>
      </c>
      <c r="F1594">
        <v>1001.654084</v>
      </c>
      <c r="G1594">
        <v>-7.2</v>
      </c>
      <c r="L1594" t="s">
        <v>7</v>
      </c>
      <c r="M1594" t="s">
        <v>8</v>
      </c>
      <c r="N1594" t="s">
        <v>8</v>
      </c>
      <c r="P1594">
        <f t="shared" si="1065"/>
        <v>-0.7493294460641412</v>
      </c>
      <c r="Q1594">
        <f t="shared" si="1066"/>
        <v>-750.56889991160472</v>
      </c>
      <c r="R1594">
        <f t="shared" si="1067"/>
        <v>1549.6791069402752</v>
      </c>
      <c r="S1594">
        <f t="shared" si="1068"/>
        <v>1.5496791069402752E-2</v>
      </c>
      <c r="T1594">
        <f t="shared" si="1069"/>
        <v>1.5496791069402752E-5</v>
      </c>
    </row>
    <row r="1595" spans="1:20" x14ac:dyDescent="0.25">
      <c r="A1595" s="5">
        <v>42998</v>
      </c>
      <c r="B1595">
        <v>3910.04</v>
      </c>
      <c r="C1595">
        <v>4046.08</v>
      </c>
      <c r="D1595">
        <v>3820</v>
      </c>
      <c r="E1595">
        <v>3900</v>
      </c>
      <c r="F1595">
        <v>720.93507599999998</v>
      </c>
      <c r="G1595">
        <v>-0.26</v>
      </c>
      <c r="L1595" t="s">
        <v>7</v>
      </c>
      <c r="M1595" t="s">
        <v>8</v>
      </c>
      <c r="N1595" t="s">
        <v>8</v>
      </c>
      <c r="P1595">
        <f t="shared" si="1065"/>
        <v>-0.2922859164897379</v>
      </c>
      <c r="Q1595">
        <f t="shared" si="1066"/>
        <v>-210.71916941825884</v>
      </c>
      <c r="R1595">
        <f t="shared" si="1067"/>
        <v>2300.2480068518798</v>
      </c>
      <c r="S1595">
        <f t="shared" si="1068"/>
        <v>2.3002480068518797E-2</v>
      </c>
      <c r="T1595">
        <f t="shared" si="1069"/>
        <v>2.3002480068518796E-5</v>
      </c>
    </row>
    <row r="1596" spans="1:20" x14ac:dyDescent="0.25">
      <c r="A1596" s="5">
        <v>42997</v>
      </c>
      <c r="B1596">
        <v>4060</v>
      </c>
      <c r="C1596">
        <v>4089.97</v>
      </c>
      <c r="D1596">
        <v>3830.91</v>
      </c>
      <c r="E1596">
        <v>3910.04</v>
      </c>
      <c r="F1596">
        <v>902.33212900000001</v>
      </c>
      <c r="G1596">
        <v>-3.69</v>
      </c>
      <c r="L1596" t="s">
        <v>7</v>
      </c>
      <c r="M1596" t="s">
        <v>8</v>
      </c>
      <c r="N1596" t="s">
        <v>8</v>
      </c>
      <c r="P1596">
        <f t="shared" si="1065"/>
        <v>-0.38909905041303078</v>
      </c>
      <c r="Q1596">
        <f t="shared" si="1066"/>
        <v>-351.09657455106839</v>
      </c>
      <c r="R1596">
        <f t="shared" si="1067"/>
        <v>2510.9671762701387</v>
      </c>
      <c r="S1596">
        <f t="shared" si="1068"/>
        <v>2.5109671762701388E-2</v>
      </c>
      <c r="T1596">
        <f t="shared" si="1069"/>
        <v>2.5109671762701387E-5</v>
      </c>
    </row>
    <row r="1597" spans="1:20" x14ac:dyDescent="0.25">
      <c r="A1597" s="5">
        <v>42996</v>
      </c>
      <c r="B1597">
        <v>3690</v>
      </c>
      <c r="C1597">
        <v>4123.2</v>
      </c>
      <c r="D1597">
        <v>3690</v>
      </c>
      <c r="E1597">
        <v>4035.01</v>
      </c>
      <c r="F1597">
        <v>1030.006455</v>
      </c>
      <c r="G1597">
        <v>9.35</v>
      </c>
      <c r="L1597" t="s">
        <v>8</v>
      </c>
      <c r="M1597" t="s">
        <v>8</v>
      </c>
      <c r="N1597" t="s">
        <v>8</v>
      </c>
      <c r="P1597">
        <f t="shared" si="1065"/>
        <v>0.59284395198522788</v>
      </c>
      <c r="Q1597">
        <f t="shared" si="1066"/>
        <v>610.6330973524947</v>
      </c>
      <c r="R1597">
        <f t="shared" si="1067"/>
        <v>2862.0637508212071</v>
      </c>
      <c r="S1597">
        <f t="shared" si="1068"/>
        <v>2.8620637508212071E-2</v>
      </c>
      <c r="T1597">
        <f t="shared" si="1069"/>
        <v>2.862063750821207E-5</v>
      </c>
    </row>
    <row r="1598" spans="1:20" x14ac:dyDescent="0.25">
      <c r="A1598" s="5">
        <v>42995</v>
      </c>
      <c r="B1598">
        <v>3685.23</v>
      </c>
      <c r="C1598">
        <v>3748.21</v>
      </c>
      <c r="D1598">
        <v>3499.02</v>
      </c>
      <c r="E1598">
        <v>3699.99</v>
      </c>
      <c r="F1598">
        <v>682.17120999999997</v>
      </c>
      <c r="G1598">
        <v>0.4</v>
      </c>
      <c r="L1598" t="s">
        <v>7</v>
      </c>
      <c r="M1598" t="s">
        <v>8</v>
      </c>
      <c r="N1598" t="s">
        <v>7</v>
      </c>
      <c r="P1598">
        <f t="shared" si="1065"/>
        <v>0.61298607488261769</v>
      </c>
      <c r="Q1598">
        <f t="shared" si="1066"/>
        <v>418.16145241582592</v>
      </c>
      <c r="R1598">
        <f t="shared" si="1067"/>
        <v>2251.4306534687125</v>
      </c>
      <c r="S1598">
        <f t="shared" si="1068"/>
        <v>2.2514306534687126E-2</v>
      </c>
      <c r="T1598">
        <f t="shared" si="1069"/>
        <v>2.2514306534687124E-5</v>
      </c>
    </row>
    <row r="1599" spans="1:20" x14ac:dyDescent="0.25">
      <c r="A1599" s="5">
        <v>42994</v>
      </c>
      <c r="B1599">
        <v>3674.01</v>
      </c>
      <c r="C1599">
        <v>3950</v>
      </c>
      <c r="D1599">
        <v>3470.66</v>
      </c>
      <c r="E1599">
        <v>3714.95</v>
      </c>
      <c r="F1599">
        <v>1297.5639530000001</v>
      </c>
      <c r="G1599">
        <v>1.1100000000000001</v>
      </c>
      <c r="L1599" t="s">
        <v>8</v>
      </c>
      <c r="M1599" t="s">
        <v>8</v>
      </c>
      <c r="N1599" t="s">
        <v>7</v>
      </c>
      <c r="P1599">
        <f t="shared" ref="P1599:P1629" si="1070">IF(C1599=D1599,0,((E1599-D1599)-(C1599-E1599))/(C1599-D1599))</f>
        <v>1.9276505194642173E-2</v>
      </c>
      <c r="Q1599">
        <f t="shared" ref="Q1599:Q1629" si="1071">F1599*P1599</f>
        <v>25.012498280384936</v>
      </c>
      <c r="R1599">
        <f t="shared" ref="R1599:R1629" si="1072">R1600+Q1599</f>
        <v>1833.2692010528865</v>
      </c>
      <c r="S1599">
        <f t="shared" ref="S1599:S1629" si="1073">R1599/100000</f>
        <v>1.8332692010528864E-2</v>
      </c>
      <c r="T1599">
        <f t="shared" ref="T1599:T1629" si="1074">S1599/1000</f>
        <v>1.8332692010528863E-5</v>
      </c>
    </row>
    <row r="1600" spans="1:20" x14ac:dyDescent="0.25">
      <c r="A1600" s="5">
        <v>42993</v>
      </c>
      <c r="B1600">
        <v>3188.01</v>
      </c>
      <c r="C1600">
        <v>3856</v>
      </c>
      <c r="D1600">
        <v>2817</v>
      </c>
      <c r="E1600">
        <v>3700</v>
      </c>
      <c r="F1600">
        <v>1968.8664920000001</v>
      </c>
      <c r="G1600">
        <v>16.059999999999999</v>
      </c>
      <c r="L1600" t="s">
        <v>7</v>
      </c>
      <c r="M1600" t="s">
        <v>7</v>
      </c>
      <c r="N1600" t="s">
        <v>7</v>
      </c>
      <c r="P1600">
        <f t="shared" si="1070"/>
        <v>0.69971126082771895</v>
      </c>
      <c r="Q1600">
        <f t="shared" si="1071"/>
        <v>1377.6380555187682</v>
      </c>
      <c r="R1600">
        <f t="shared" si="1072"/>
        <v>1808.2567027725015</v>
      </c>
      <c r="S1600">
        <f t="shared" si="1073"/>
        <v>1.8082567027725014E-2</v>
      </c>
      <c r="T1600">
        <f t="shared" si="1074"/>
        <v>1.8082567027725013E-5</v>
      </c>
    </row>
    <row r="1601" spans="1:20" x14ac:dyDescent="0.25">
      <c r="A1601" s="5">
        <v>42992</v>
      </c>
      <c r="B1601">
        <v>3944</v>
      </c>
      <c r="C1601">
        <v>3993</v>
      </c>
      <c r="D1601">
        <v>3165.13</v>
      </c>
      <c r="E1601">
        <v>3189.02</v>
      </c>
      <c r="F1601">
        <v>1665.0215430000001</v>
      </c>
      <c r="G1601">
        <v>-19.14</v>
      </c>
      <c r="L1601" t="s">
        <v>7</v>
      </c>
      <c r="M1601" t="s">
        <v>7</v>
      </c>
      <c r="N1601" t="s">
        <v>7</v>
      </c>
      <c r="P1601">
        <f t="shared" si="1070"/>
        <v>-0.94228562455458009</v>
      </c>
      <c r="Q1601">
        <f t="shared" si="1071"/>
        <v>-1568.9258645425857</v>
      </c>
      <c r="R1601">
        <f t="shared" si="1072"/>
        <v>430.61864725373334</v>
      </c>
      <c r="S1601">
        <f t="shared" si="1073"/>
        <v>4.3061864725373331E-3</v>
      </c>
      <c r="T1601">
        <f t="shared" si="1074"/>
        <v>4.3061864725373327E-6</v>
      </c>
    </row>
    <row r="1602" spans="1:20" x14ac:dyDescent="0.25">
      <c r="A1602" s="5">
        <v>42991</v>
      </c>
      <c r="B1602">
        <v>4159.72</v>
      </c>
      <c r="C1602">
        <v>4165.38</v>
      </c>
      <c r="D1602">
        <v>3760</v>
      </c>
      <c r="E1602">
        <v>3944.69</v>
      </c>
      <c r="F1602">
        <v>913.46254499999998</v>
      </c>
      <c r="G1602">
        <v>-5.17</v>
      </c>
      <c r="L1602" t="s">
        <v>7</v>
      </c>
      <c r="M1602" t="s">
        <v>7</v>
      </c>
      <c r="N1602" t="s">
        <v>7</v>
      </c>
      <c r="P1602">
        <f t="shared" si="1070"/>
        <v>-8.8805565148749294E-2</v>
      </c>
      <c r="Q1602">
        <f t="shared" si="1071"/>
        <v>-81.120557550939836</v>
      </c>
      <c r="R1602">
        <f t="shared" si="1072"/>
        <v>1999.5445117963191</v>
      </c>
      <c r="S1602">
        <f t="shared" si="1073"/>
        <v>1.9995445117963192E-2</v>
      </c>
      <c r="T1602">
        <f t="shared" si="1074"/>
        <v>1.9995445117963193E-5</v>
      </c>
    </row>
    <row r="1603" spans="1:20" x14ac:dyDescent="0.25">
      <c r="A1603" s="5">
        <v>42990</v>
      </c>
      <c r="B1603">
        <v>4208.6000000000004</v>
      </c>
      <c r="C1603">
        <v>4394.59</v>
      </c>
      <c r="D1603">
        <v>4040.8</v>
      </c>
      <c r="E1603">
        <v>4163.72</v>
      </c>
      <c r="F1603">
        <v>879.63031899999999</v>
      </c>
      <c r="G1603">
        <v>-1.07</v>
      </c>
      <c r="L1603" t="s">
        <v>8</v>
      </c>
      <c r="M1603" t="s">
        <v>7</v>
      </c>
      <c r="N1603" t="s">
        <v>7</v>
      </c>
      <c r="P1603">
        <f t="shared" si="1070"/>
        <v>-0.30512450888945369</v>
      </c>
      <c r="Q1603">
        <f t="shared" si="1071"/>
        <v>-268.39676908914851</v>
      </c>
      <c r="R1603">
        <f t="shared" si="1072"/>
        <v>2080.6650693472589</v>
      </c>
      <c r="S1603">
        <f t="shared" si="1073"/>
        <v>2.0806650693472588E-2</v>
      </c>
      <c r="T1603">
        <f t="shared" si="1074"/>
        <v>2.0806650693472588E-5</v>
      </c>
    </row>
    <row r="1604" spans="1:20" x14ac:dyDescent="0.25">
      <c r="A1604" s="5">
        <v>42989</v>
      </c>
      <c r="B1604">
        <v>4153.62</v>
      </c>
      <c r="C1604">
        <v>4334.43</v>
      </c>
      <c r="D1604">
        <v>4098.91</v>
      </c>
      <c r="E1604">
        <v>4208.47</v>
      </c>
      <c r="F1604">
        <v>699.98906499999998</v>
      </c>
      <c r="G1604">
        <v>1.32</v>
      </c>
      <c r="L1604" t="s">
        <v>8</v>
      </c>
      <c r="M1604" t="s">
        <v>7</v>
      </c>
      <c r="N1604" t="s">
        <v>7</v>
      </c>
      <c r="P1604">
        <f t="shared" si="1070"/>
        <v>-6.9633152173911375E-2</v>
      </c>
      <c r="Q1604">
        <f t="shared" si="1071"/>
        <v>-48.742445083218939</v>
      </c>
      <c r="R1604">
        <f t="shared" si="1072"/>
        <v>2349.0618384364075</v>
      </c>
      <c r="S1604">
        <f t="shared" si="1073"/>
        <v>2.3490618384364073E-2</v>
      </c>
      <c r="T1604">
        <f t="shared" si="1074"/>
        <v>2.3490618384364074E-5</v>
      </c>
    </row>
    <row r="1605" spans="1:20" x14ac:dyDescent="0.25">
      <c r="A1605" s="5">
        <v>42988</v>
      </c>
      <c r="B1605">
        <v>4258.8100000000004</v>
      </c>
      <c r="C1605">
        <v>4283</v>
      </c>
      <c r="D1605">
        <v>3801</v>
      </c>
      <c r="E1605">
        <v>4130.37</v>
      </c>
      <c r="F1605">
        <v>660.37327500000004</v>
      </c>
      <c r="G1605">
        <v>-3.02</v>
      </c>
      <c r="L1605" t="s">
        <v>7</v>
      </c>
      <c r="M1605" t="s">
        <v>7</v>
      </c>
      <c r="N1605" t="s">
        <v>7</v>
      </c>
      <c r="P1605">
        <f t="shared" si="1070"/>
        <v>0.36668049792531077</v>
      </c>
      <c r="Q1605">
        <f t="shared" si="1071"/>
        <v>242.14600129356819</v>
      </c>
      <c r="R1605">
        <f t="shared" si="1072"/>
        <v>2397.8042835196266</v>
      </c>
      <c r="S1605">
        <f t="shared" si="1073"/>
        <v>2.3978042835196264E-2</v>
      </c>
      <c r="T1605">
        <f t="shared" si="1074"/>
        <v>2.3978042835196263E-5</v>
      </c>
    </row>
    <row r="1606" spans="1:20" x14ac:dyDescent="0.25">
      <c r="A1606" s="5">
        <v>42987</v>
      </c>
      <c r="B1606">
        <v>4282.8</v>
      </c>
      <c r="C1606">
        <v>4426.62</v>
      </c>
      <c r="D1606">
        <v>4150.0600000000004</v>
      </c>
      <c r="E1606">
        <v>4258.8100000000004</v>
      </c>
      <c r="F1606">
        <v>658.78295200000002</v>
      </c>
      <c r="G1606">
        <v>-0.56000000000000005</v>
      </c>
      <c r="L1606" t="s">
        <v>8</v>
      </c>
      <c r="M1606" t="s">
        <v>8</v>
      </c>
      <c r="N1606" t="s">
        <v>7</v>
      </c>
      <c r="P1606">
        <f t="shared" si="1070"/>
        <v>-0.21355221290135812</v>
      </c>
      <c r="Q1606">
        <f t="shared" si="1071"/>
        <v>-140.6845572212892</v>
      </c>
      <c r="R1606">
        <f t="shared" si="1072"/>
        <v>2155.6582822260584</v>
      </c>
      <c r="S1606">
        <f t="shared" si="1073"/>
        <v>2.1556582822260584E-2</v>
      </c>
      <c r="T1606">
        <f t="shared" si="1074"/>
        <v>2.1556582822260585E-5</v>
      </c>
    </row>
    <row r="1607" spans="1:20" x14ac:dyDescent="0.25">
      <c r="A1607" s="5">
        <v>42986</v>
      </c>
      <c r="B1607">
        <v>4691.66</v>
      </c>
      <c r="C1607">
        <v>4735.3900000000003</v>
      </c>
      <c r="D1607">
        <v>4028.93</v>
      </c>
      <c r="E1607">
        <v>4282.8</v>
      </c>
      <c r="F1607">
        <v>1132.255046</v>
      </c>
      <c r="G1607">
        <v>-8.7100000000000009</v>
      </c>
      <c r="L1607" t="s">
        <v>7</v>
      </c>
      <c r="M1607" t="s">
        <v>8</v>
      </c>
      <c r="N1607" t="s">
        <v>7</v>
      </c>
      <c r="P1607">
        <f t="shared" si="1070"/>
        <v>-0.28128981117119112</v>
      </c>
      <c r="Q1607">
        <f t="shared" si="1071"/>
        <v>-318.49180808696832</v>
      </c>
      <c r="R1607">
        <f t="shared" si="1072"/>
        <v>2296.3428394473476</v>
      </c>
      <c r="S1607">
        <f t="shared" si="1073"/>
        <v>2.2963428394473476E-2</v>
      </c>
      <c r="T1607">
        <f t="shared" si="1074"/>
        <v>2.2963428394473477E-5</v>
      </c>
    </row>
    <row r="1608" spans="1:20" x14ac:dyDescent="0.25">
      <c r="A1608" s="5">
        <v>42985</v>
      </c>
      <c r="B1608">
        <v>4619.7700000000004</v>
      </c>
      <c r="C1608">
        <v>4788.59</v>
      </c>
      <c r="D1608">
        <v>4438.1899999999996</v>
      </c>
      <c r="E1608">
        <v>4691.6099999999997</v>
      </c>
      <c r="F1608">
        <v>500.42997500000001</v>
      </c>
      <c r="G1608">
        <v>1.56</v>
      </c>
      <c r="L1608" t="s">
        <v>8</v>
      </c>
      <c r="M1608" t="s">
        <v>8</v>
      </c>
      <c r="N1608" t="s">
        <v>7</v>
      </c>
      <c r="P1608">
        <f t="shared" si="1070"/>
        <v>0.44646118721461003</v>
      </c>
      <c r="Q1608">
        <f t="shared" si="1071"/>
        <v>223.42256075627762</v>
      </c>
      <c r="R1608">
        <f t="shared" si="1072"/>
        <v>2614.834647534316</v>
      </c>
      <c r="S1608">
        <f t="shared" si="1073"/>
        <v>2.614834647534316E-2</v>
      </c>
      <c r="T1608">
        <f t="shared" si="1074"/>
        <v>2.6148346475343161E-5</v>
      </c>
    </row>
    <row r="1609" spans="1:20" x14ac:dyDescent="0.25">
      <c r="A1609" s="5">
        <v>42984</v>
      </c>
      <c r="B1609">
        <v>4366.49</v>
      </c>
      <c r="C1609">
        <v>4662.87</v>
      </c>
      <c r="D1609">
        <v>4335.26</v>
      </c>
      <c r="E1609">
        <v>4619.7700000000004</v>
      </c>
      <c r="F1609">
        <v>807.36372600000004</v>
      </c>
      <c r="G1609">
        <v>5.8</v>
      </c>
      <c r="L1609" t="s">
        <v>8</v>
      </c>
      <c r="M1609" t="s">
        <v>8</v>
      </c>
      <c r="N1609" t="s">
        <v>7</v>
      </c>
      <c r="P1609">
        <f t="shared" si="1070"/>
        <v>0.73688226855102412</v>
      </c>
      <c r="Q1609">
        <f t="shared" si="1071"/>
        <v>594.93201396068753</v>
      </c>
      <c r="R1609">
        <f t="shared" si="1072"/>
        <v>2391.4120867780384</v>
      </c>
      <c r="S1609">
        <f t="shared" si="1073"/>
        <v>2.3914120867780383E-2</v>
      </c>
      <c r="T1609">
        <f t="shared" si="1074"/>
        <v>2.3914120867780382E-5</v>
      </c>
    </row>
    <row r="1610" spans="1:20" x14ac:dyDescent="0.25">
      <c r="A1610" s="5">
        <v>42983</v>
      </c>
      <c r="B1610">
        <v>4106.97</v>
      </c>
      <c r="C1610">
        <v>4484.99</v>
      </c>
      <c r="D1610">
        <v>3603</v>
      </c>
      <c r="E1610">
        <v>4366.47</v>
      </c>
      <c r="F1610">
        <v>1228.938157</v>
      </c>
      <c r="G1610">
        <v>6.32</v>
      </c>
      <c r="L1610" t="s">
        <v>7</v>
      </c>
      <c r="M1610" t="s">
        <v>7</v>
      </c>
      <c r="N1610" t="s">
        <v>7</v>
      </c>
      <c r="P1610">
        <f t="shared" si="1070"/>
        <v>0.73124411841404202</v>
      </c>
      <c r="Q1610">
        <f t="shared" si="1071"/>
        <v>898.65379920084263</v>
      </c>
      <c r="R1610">
        <f t="shared" si="1072"/>
        <v>1796.4800728173509</v>
      </c>
      <c r="S1610">
        <f t="shared" si="1073"/>
        <v>1.7964800728173511E-2</v>
      </c>
      <c r="T1610">
        <f t="shared" si="1074"/>
        <v>1.7964800728173511E-5</v>
      </c>
    </row>
    <row r="1611" spans="1:20" x14ac:dyDescent="0.25">
      <c r="A1611" s="5">
        <v>42982</v>
      </c>
      <c r="B1611">
        <v>4505</v>
      </c>
      <c r="C1611">
        <v>4527.49</v>
      </c>
      <c r="D1611">
        <v>3972.51</v>
      </c>
      <c r="E1611">
        <v>4100.1099999999997</v>
      </c>
      <c r="F1611">
        <v>1394.644614</v>
      </c>
      <c r="G1611">
        <v>-8.99</v>
      </c>
      <c r="L1611" t="s">
        <v>7</v>
      </c>
      <c r="M1611" t="s">
        <v>7</v>
      </c>
      <c r="N1611" t="s">
        <v>8</v>
      </c>
      <c r="P1611">
        <f t="shared" si="1070"/>
        <v>-0.54016360949944298</v>
      </c>
      <c r="Q1611">
        <f t="shared" si="1071"/>
        <v>-753.33626866719737</v>
      </c>
      <c r="R1611">
        <f t="shared" si="1072"/>
        <v>897.82627361650816</v>
      </c>
      <c r="S1611">
        <f t="shared" si="1073"/>
        <v>8.978262736165081E-3</v>
      </c>
      <c r="T1611">
        <f t="shared" si="1074"/>
        <v>8.9782627361650804E-6</v>
      </c>
    </row>
    <row r="1612" spans="1:20" x14ac:dyDescent="0.25">
      <c r="A1612" s="5">
        <v>42981</v>
      </c>
      <c r="B1612">
        <v>4508.5</v>
      </c>
      <c r="C1612">
        <v>4714.76</v>
      </c>
      <c r="D1612">
        <v>4298.33</v>
      </c>
      <c r="E1612">
        <v>4509.08</v>
      </c>
      <c r="F1612">
        <v>691.21619799999996</v>
      </c>
      <c r="G1612">
        <v>0.01</v>
      </c>
      <c r="L1612" t="s">
        <v>7</v>
      </c>
      <c r="M1612" t="s">
        <v>8</v>
      </c>
      <c r="N1612" t="s">
        <v>8</v>
      </c>
      <c r="P1612">
        <f t="shared" si="1070"/>
        <v>1.2174915351919183E-2</v>
      </c>
      <c r="Q1612">
        <f t="shared" si="1071"/>
        <v>8.4154987005254096</v>
      </c>
      <c r="R1612">
        <f t="shared" si="1072"/>
        <v>1651.1625422837055</v>
      </c>
      <c r="S1612">
        <f t="shared" si="1073"/>
        <v>1.6511625422837056E-2</v>
      </c>
      <c r="T1612">
        <f t="shared" si="1074"/>
        <v>1.6511625422837056E-5</v>
      </c>
    </row>
    <row r="1613" spans="1:20" x14ac:dyDescent="0.25">
      <c r="A1613" s="5">
        <v>42980</v>
      </c>
      <c r="B1613">
        <v>4796.16</v>
      </c>
      <c r="C1613">
        <v>4939.1899999999996</v>
      </c>
      <c r="D1613">
        <v>4286.87</v>
      </c>
      <c r="E1613">
        <v>4472.1400000000003</v>
      </c>
      <c r="F1613">
        <v>929.148595</v>
      </c>
      <c r="G1613">
        <v>-6.76</v>
      </c>
      <c r="L1613" t="s">
        <v>8</v>
      </c>
      <c r="M1613" t="s">
        <v>8</v>
      </c>
      <c r="N1613" t="s">
        <v>8</v>
      </c>
      <c r="P1613">
        <f t="shared" si="1070"/>
        <v>-0.43196590630365306</v>
      </c>
      <c r="Q1613">
        <f t="shared" si="1071"/>
        <v>-401.3605149299409</v>
      </c>
      <c r="R1613">
        <f t="shared" si="1072"/>
        <v>1642.7470435831801</v>
      </c>
      <c r="S1613">
        <f t="shared" si="1073"/>
        <v>1.6427470435831801E-2</v>
      </c>
      <c r="T1613">
        <f t="shared" si="1074"/>
        <v>1.64274704358318E-5</v>
      </c>
    </row>
    <row r="1614" spans="1:20" x14ac:dyDescent="0.25">
      <c r="A1614" s="5">
        <v>42979</v>
      </c>
      <c r="B1614">
        <v>4689.8900000000003</v>
      </c>
      <c r="C1614">
        <v>4885.55</v>
      </c>
      <c r="D1614">
        <v>4654.88</v>
      </c>
      <c r="E1614">
        <v>4834.91</v>
      </c>
      <c r="F1614">
        <v>560.66636600000004</v>
      </c>
      <c r="G1614">
        <v>3.09</v>
      </c>
      <c r="L1614" t="s">
        <v>8</v>
      </c>
      <c r="M1614" t="s">
        <v>8</v>
      </c>
      <c r="N1614" t="s">
        <v>8</v>
      </c>
      <c r="P1614">
        <f t="shared" si="1070"/>
        <v>0.56093120041617628</v>
      </c>
      <c r="Q1614">
        <f t="shared" si="1071"/>
        <v>314.49525771335527</v>
      </c>
      <c r="R1614">
        <f t="shared" si="1072"/>
        <v>2044.1075585131211</v>
      </c>
      <c r="S1614">
        <f t="shared" si="1073"/>
        <v>2.044107558513121E-2</v>
      </c>
      <c r="T1614">
        <f t="shared" si="1074"/>
        <v>2.0441075585131212E-5</v>
      </c>
    </row>
    <row r="1615" spans="1:20" x14ac:dyDescent="0.25">
      <c r="A1615" s="5">
        <v>42978</v>
      </c>
      <c r="B1615">
        <v>4555.1400000000003</v>
      </c>
      <c r="C1615">
        <v>4745.42</v>
      </c>
      <c r="D1615">
        <v>4555.1400000000003</v>
      </c>
      <c r="E1615">
        <v>4724.8900000000003</v>
      </c>
      <c r="F1615">
        <v>556.95680200000004</v>
      </c>
      <c r="G1615">
        <v>3.73</v>
      </c>
      <c r="L1615" t="s">
        <v>8</v>
      </c>
      <c r="M1615" t="s">
        <v>8</v>
      </c>
      <c r="N1615" t="s">
        <v>8</v>
      </c>
      <c r="P1615">
        <f t="shared" si="1070"/>
        <v>0.7842127391212973</v>
      </c>
      <c r="Q1615">
        <f t="shared" si="1071"/>
        <v>436.77261926865805</v>
      </c>
      <c r="R1615">
        <f t="shared" si="1072"/>
        <v>1729.6123007997658</v>
      </c>
      <c r="S1615">
        <f t="shared" si="1073"/>
        <v>1.7296123007997658E-2</v>
      </c>
      <c r="T1615">
        <f t="shared" si="1074"/>
        <v>1.729612300799766E-5</v>
      </c>
    </row>
    <row r="1616" spans="1:20" x14ac:dyDescent="0.25">
      <c r="A1616" s="5">
        <v>42977</v>
      </c>
      <c r="B1616">
        <v>4564.5200000000004</v>
      </c>
      <c r="C1616">
        <v>4647.51</v>
      </c>
      <c r="D1616">
        <v>4416.01</v>
      </c>
      <c r="E1616">
        <v>4555.1400000000003</v>
      </c>
      <c r="F1616">
        <v>808.46877099999995</v>
      </c>
      <c r="G1616">
        <v>-0.21</v>
      </c>
      <c r="L1616" t="s">
        <v>8</v>
      </c>
      <c r="M1616" t="s">
        <v>8</v>
      </c>
      <c r="N1616" t="s">
        <v>8</v>
      </c>
      <c r="P1616">
        <f t="shared" si="1070"/>
        <v>0.201987041036718</v>
      </c>
      <c r="Q1616">
        <f t="shared" si="1071"/>
        <v>163.30021482488195</v>
      </c>
      <c r="R1616">
        <f t="shared" si="1072"/>
        <v>1292.8396815311078</v>
      </c>
      <c r="S1616">
        <f t="shared" si="1073"/>
        <v>1.2928396815311077E-2</v>
      </c>
      <c r="T1616">
        <f t="shared" si="1074"/>
        <v>1.2928396815311078E-5</v>
      </c>
    </row>
    <row r="1617" spans="1:20" x14ac:dyDescent="0.25">
      <c r="A1617" s="5">
        <v>42976</v>
      </c>
      <c r="B1617">
        <v>4353.6499999999996</v>
      </c>
      <c r="C1617">
        <v>4625.8500000000004</v>
      </c>
      <c r="D1617">
        <v>4313.55</v>
      </c>
      <c r="E1617">
        <v>4587.4799999999996</v>
      </c>
      <c r="F1617">
        <v>603.545028</v>
      </c>
      <c r="G1617">
        <v>5.37</v>
      </c>
      <c r="L1617" t="s">
        <v>8</v>
      </c>
      <c r="M1617" t="s">
        <v>8</v>
      </c>
      <c r="N1617" t="s">
        <v>8</v>
      </c>
      <c r="P1617">
        <f t="shared" si="1070"/>
        <v>0.75427473583092686</v>
      </c>
      <c r="Q1617">
        <f t="shared" si="1071"/>
        <v>455.23876655676935</v>
      </c>
      <c r="R1617">
        <f t="shared" si="1072"/>
        <v>1129.5394667062258</v>
      </c>
      <c r="S1617">
        <f t="shared" si="1073"/>
        <v>1.1295394667062258E-2</v>
      </c>
      <c r="T1617">
        <f t="shared" si="1074"/>
        <v>1.1295394667062258E-5</v>
      </c>
    </row>
    <row r="1618" spans="1:20" x14ac:dyDescent="0.25">
      <c r="A1618" s="5">
        <v>42975</v>
      </c>
      <c r="B1618">
        <v>4310.01</v>
      </c>
      <c r="C1618">
        <v>4399.82</v>
      </c>
      <c r="D1618">
        <v>4124.54</v>
      </c>
      <c r="E1618">
        <v>4386.6899999999996</v>
      </c>
      <c r="F1618">
        <v>603.84161600000004</v>
      </c>
      <c r="G1618">
        <v>1.78</v>
      </c>
      <c r="L1618" t="s">
        <v>7</v>
      </c>
      <c r="M1618" t="s">
        <v>8</v>
      </c>
      <c r="N1618" t="s">
        <v>8</v>
      </c>
      <c r="P1618">
        <f t="shared" si="1070"/>
        <v>0.90460621912234729</v>
      </c>
      <c r="Q1618">
        <f t="shared" si="1071"/>
        <v>546.23888119848834</v>
      </c>
      <c r="R1618">
        <f t="shared" si="1072"/>
        <v>674.30070014945647</v>
      </c>
      <c r="S1618">
        <f t="shared" si="1073"/>
        <v>6.7430070014945645E-3</v>
      </c>
      <c r="T1618">
        <f t="shared" si="1074"/>
        <v>6.7430070014945647E-6</v>
      </c>
    </row>
    <row r="1619" spans="1:20" x14ac:dyDescent="0.25">
      <c r="A1619" s="5">
        <v>42974</v>
      </c>
      <c r="B1619">
        <v>4332.51</v>
      </c>
      <c r="C1619">
        <v>4400</v>
      </c>
      <c r="D1619">
        <v>4285.54</v>
      </c>
      <c r="E1619">
        <v>4310.01</v>
      </c>
      <c r="F1619">
        <v>350.69258500000001</v>
      </c>
      <c r="G1619">
        <v>-0.52</v>
      </c>
      <c r="L1619" t="s">
        <v>8</v>
      </c>
      <c r="M1619" t="s">
        <v>8</v>
      </c>
      <c r="N1619" t="s">
        <v>8</v>
      </c>
      <c r="P1619">
        <f t="shared" si="1070"/>
        <v>-0.57242704875065098</v>
      </c>
      <c r="Q1619">
        <f t="shared" si="1071"/>
        <v>-200.74592145028683</v>
      </c>
      <c r="R1619">
        <f t="shared" si="1072"/>
        <v>128.06181895096816</v>
      </c>
      <c r="S1619">
        <f t="shared" si="1073"/>
        <v>1.2806181895096817E-3</v>
      </c>
      <c r="T1619">
        <f t="shared" si="1074"/>
        <v>1.2806181895096816E-6</v>
      </c>
    </row>
    <row r="1620" spans="1:20" x14ac:dyDescent="0.25">
      <c r="A1620" s="5">
        <v>42973</v>
      </c>
      <c r="B1620">
        <v>4280.71</v>
      </c>
      <c r="C1620">
        <v>4367</v>
      </c>
      <c r="D1620">
        <v>4212.41</v>
      </c>
      <c r="E1620">
        <v>4337.4399999999996</v>
      </c>
      <c r="F1620">
        <v>228.108068</v>
      </c>
      <c r="G1620">
        <v>1.33</v>
      </c>
      <c r="L1620" t="s">
        <v>8</v>
      </c>
      <c r="M1620" t="s">
        <v>8</v>
      </c>
      <c r="N1620" t="s">
        <v>8</v>
      </c>
      <c r="P1620">
        <f t="shared" si="1070"/>
        <v>0.61756905362571479</v>
      </c>
      <c r="Q1620">
        <f t="shared" si="1071"/>
        <v>140.87248367915021</v>
      </c>
      <c r="R1620">
        <f t="shared" si="1072"/>
        <v>328.80774040125499</v>
      </c>
      <c r="S1620">
        <f t="shared" si="1073"/>
        <v>3.2880774040125499E-3</v>
      </c>
      <c r="T1620">
        <f t="shared" si="1074"/>
        <v>3.2880774040125497E-6</v>
      </c>
    </row>
    <row r="1621" spans="1:20" x14ac:dyDescent="0.25">
      <c r="A1621" s="5">
        <v>42972</v>
      </c>
      <c r="B1621">
        <v>4316.01</v>
      </c>
      <c r="C1621">
        <v>4453.91</v>
      </c>
      <c r="D1621">
        <v>4247.4799999999996</v>
      </c>
      <c r="E1621">
        <v>4280.68</v>
      </c>
      <c r="F1621">
        <v>573.61274000000003</v>
      </c>
      <c r="G1621">
        <v>-0.82</v>
      </c>
      <c r="L1621" t="s">
        <v>8</v>
      </c>
      <c r="M1621" t="s">
        <v>8</v>
      </c>
      <c r="N1621" t="s">
        <v>8</v>
      </c>
      <c r="P1621">
        <f t="shared" si="1070"/>
        <v>-0.67834132635759647</v>
      </c>
      <c r="Q1621">
        <f t="shared" si="1071"/>
        <v>-389.10522686721515</v>
      </c>
      <c r="R1621">
        <f t="shared" si="1072"/>
        <v>187.93525672210478</v>
      </c>
      <c r="S1621">
        <f t="shared" si="1073"/>
        <v>1.8793525672210478E-3</v>
      </c>
      <c r="T1621">
        <f t="shared" si="1074"/>
        <v>1.8793525672210478E-6</v>
      </c>
    </row>
    <row r="1622" spans="1:20" x14ac:dyDescent="0.25">
      <c r="A1622" s="5">
        <v>42971</v>
      </c>
      <c r="B1622">
        <v>4147</v>
      </c>
      <c r="C1622">
        <v>4371.68</v>
      </c>
      <c r="D1622">
        <v>4085.01</v>
      </c>
      <c r="E1622">
        <v>4316.01</v>
      </c>
      <c r="F1622">
        <v>787.41875300000004</v>
      </c>
      <c r="G1622">
        <v>4.08</v>
      </c>
      <c r="L1622" t="s">
        <v>8</v>
      </c>
      <c r="M1622" t="s">
        <v>8</v>
      </c>
      <c r="N1622" t="s">
        <v>8</v>
      </c>
      <c r="P1622">
        <f t="shared" si="1070"/>
        <v>0.61160916733526316</v>
      </c>
      <c r="Q1622">
        <f t="shared" si="1071"/>
        <v>481.59252786650126</v>
      </c>
      <c r="R1622">
        <f t="shared" si="1072"/>
        <v>577.04048358931993</v>
      </c>
      <c r="S1622">
        <f t="shared" si="1073"/>
        <v>5.7704048358931991E-3</v>
      </c>
      <c r="T1622">
        <f t="shared" si="1074"/>
        <v>5.7704048358931993E-6</v>
      </c>
    </row>
    <row r="1623" spans="1:20" x14ac:dyDescent="0.25">
      <c r="A1623" s="5">
        <v>42970</v>
      </c>
      <c r="B1623">
        <v>4040</v>
      </c>
      <c r="C1623">
        <v>4265.8</v>
      </c>
      <c r="D1623">
        <v>4013.89</v>
      </c>
      <c r="E1623">
        <v>4114.01</v>
      </c>
      <c r="F1623">
        <v>1001.136565</v>
      </c>
      <c r="G1623">
        <v>1.83</v>
      </c>
      <c r="L1623" t="s">
        <v>8</v>
      </c>
      <c r="M1623" t="s">
        <v>8</v>
      </c>
      <c r="N1623" t="s">
        <v>8</v>
      </c>
      <c r="P1623">
        <f t="shared" si="1070"/>
        <v>-0.2051129371600951</v>
      </c>
      <c r="Q1623">
        <f t="shared" si="1071"/>
        <v>-205.34606134551848</v>
      </c>
      <c r="R1623">
        <f t="shared" si="1072"/>
        <v>95.447955722818676</v>
      </c>
      <c r="S1623">
        <f t="shared" si="1073"/>
        <v>9.5447955722818682E-4</v>
      </c>
      <c r="T1623">
        <f t="shared" si="1074"/>
        <v>9.5447955722818685E-7</v>
      </c>
    </row>
    <row r="1624" spans="1:20" x14ac:dyDescent="0.25">
      <c r="A1624" s="5">
        <v>42969</v>
      </c>
      <c r="B1624">
        <v>4016</v>
      </c>
      <c r="C1624">
        <v>4104.82</v>
      </c>
      <c r="D1624">
        <v>3400</v>
      </c>
      <c r="E1624">
        <v>4040</v>
      </c>
      <c r="F1624">
        <v>966.68485799999996</v>
      </c>
      <c r="G1624">
        <v>0.6</v>
      </c>
      <c r="L1624" t="s">
        <v>7</v>
      </c>
      <c r="M1624" t="s">
        <v>7</v>
      </c>
      <c r="N1624" t="s">
        <v>8</v>
      </c>
      <c r="P1624">
        <f t="shared" si="1070"/>
        <v>0.8160665134360553</v>
      </c>
      <c r="Q1624">
        <f t="shared" si="1071"/>
        <v>788.87914165948814</v>
      </c>
      <c r="R1624">
        <f t="shared" si="1072"/>
        <v>300.79401706833715</v>
      </c>
      <c r="S1624">
        <f t="shared" si="1073"/>
        <v>3.0079401706833717E-3</v>
      </c>
      <c r="T1624">
        <f t="shared" si="1074"/>
        <v>3.0079401706833716E-6</v>
      </c>
    </row>
    <row r="1625" spans="1:20" x14ac:dyDescent="0.25">
      <c r="A1625" s="5">
        <v>42968</v>
      </c>
      <c r="B1625">
        <v>4069.13</v>
      </c>
      <c r="C1625">
        <v>4119.62</v>
      </c>
      <c r="D1625">
        <v>3911.79</v>
      </c>
      <c r="E1625">
        <v>4016</v>
      </c>
      <c r="F1625">
        <v>691.74306000000001</v>
      </c>
      <c r="G1625">
        <v>-1.31</v>
      </c>
      <c r="L1625" t="s">
        <v>7</v>
      </c>
      <c r="M1625" t="s">
        <v>8</v>
      </c>
      <c r="N1625" t="s">
        <v>8</v>
      </c>
      <c r="P1625">
        <f t="shared" si="1070"/>
        <v>2.8388586825778073E-3</v>
      </c>
      <c r="Q1625">
        <f t="shared" si="1071"/>
        <v>1.963760791993941</v>
      </c>
      <c r="R1625">
        <f t="shared" si="1072"/>
        <v>-488.08512459115099</v>
      </c>
      <c r="S1625">
        <f t="shared" si="1073"/>
        <v>-4.8808512459115102E-3</v>
      </c>
      <c r="T1625">
        <f t="shared" si="1074"/>
        <v>-4.8808512459115102E-6</v>
      </c>
    </row>
    <row r="1626" spans="1:20" x14ac:dyDescent="0.25">
      <c r="A1626" s="5">
        <v>42967</v>
      </c>
      <c r="B1626">
        <v>4120.9799999999996</v>
      </c>
      <c r="C1626">
        <v>4211.08</v>
      </c>
      <c r="D1626">
        <v>4032.62</v>
      </c>
      <c r="E1626">
        <v>4086.29</v>
      </c>
      <c r="F1626">
        <v>467.08302200000003</v>
      </c>
      <c r="G1626">
        <v>-0.84</v>
      </c>
      <c r="L1626" t="s">
        <v>8</v>
      </c>
      <c r="M1626" t="s">
        <v>8</v>
      </c>
      <c r="N1626" t="s">
        <v>8</v>
      </c>
      <c r="P1626">
        <f t="shared" si="1070"/>
        <v>-0.39852067690238641</v>
      </c>
      <c r="Q1626">
        <f t="shared" si="1071"/>
        <v>-186.14224209705225</v>
      </c>
      <c r="R1626">
        <f t="shared" si="1072"/>
        <v>-490.04888538314492</v>
      </c>
      <c r="S1626">
        <f t="shared" si="1073"/>
        <v>-4.9004888538314488E-3</v>
      </c>
      <c r="T1626">
        <f t="shared" si="1074"/>
        <v>-4.9004888538314484E-6</v>
      </c>
    </row>
    <row r="1627" spans="1:20" x14ac:dyDescent="0.25">
      <c r="A1627" s="5">
        <v>42966</v>
      </c>
      <c r="B1627">
        <v>4108.37</v>
      </c>
      <c r="C1627">
        <v>4184.6899999999996</v>
      </c>
      <c r="D1627">
        <v>3850</v>
      </c>
      <c r="E1627">
        <v>4139.9799999999996</v>
      </c>
      <c r="F1627">
        <v>381.30976299999998</v>
      </c>
      <c r="G1627">
        <v>0.77</v>
      </c>
      <c r="L1627" t="s">
        <v>7</v>
      </c>
      <c r="M1627" t="s">
        <v>8</v>
      </c>
      <c r="N1627" t="s">
        <v>8</v>
      </c>
      <c r="P1627">
        <f t="shared" si="1070"/>
        <v>0.73282739251247364</v>
      </c>
      <c r="Q1627">
        <f t="shared" si="1071"/>
        <v>279.43423935883931</v>
      </c>
      <c r="R1627">
        <f t="shared" si="1072"/>
        <v>-303.90664328609267</v>
      </c>
      <c r="S1627">
        <f t="shared" si="1073"/>
        <v>-3.0390664328609268E-3</v>
      </c>
      <c r="T1627">
        <f t="shared" si="1074"/>
        <v>-3.0390664328609269E-6</v>
      </c>
    </row>
    <row r="1628" spans="1:20" x14ac:dyDescent="0.25">
      <c r="A1628" s="5">
        <v>42965</v>
      </c>
      <c r="B1628">
        <v>4285.08</v>
      </c>
      <c r="C1628">
        <v>4371.5200000000004</v>
      </c>
      <c r="D1628">
        <v>3938.77</v>
      </c>
      <c r="E1628">
        <v>4108.37</v>
      </c>
      <c r="F1628">
        <v>1199.8882639999999</v>
      </c>
      <c r="G1628">
        <v>-4.12</v>
      </c>
      <c r="L1628" t="s">
        <v>8</v>
      </c>
      <c r="M1628" t="s">
        <v>8</v>
      </c>
      <c r="N1628" t="s">
        <v>8</v>
      </c>
      <c r="P1628">
        <f t="shared" si="1070"/>
        <v>-0.21617562102830859</v>
      </c>
      <c r="Q1628">
        <f t="shared" si="1071"/>
        <v>-259.38659063477905</v>
      </c>
      <c r="R1628">
        <f t="shared" si="1072"/>
        <v>-583.34088264493198</v>
      </c>
      <c r="S1628">
        <f t="shared" si="1073"/>
        <v>-5.8334088264493196E-3</v>
      </c>
      <c r="T1628">
        <f t="shared" si="1074"/>
        <v>-5.8334088264493192E-6</v>
      </c>
    </row>
    <row r="1629" spans="1:20" x14ac:dyDescent="0.25">
      <c r="A1629" s="5">
        <v>42964</v>
      </c>
      <c r="B1629">
        <v>4261.4799999999996</v>
      </c>
      <c r="C1629">
        <v>4485.3900000000003</v>
      </c>
      <c r="D1629">
        <v>4200.74</v>
      </c>
      <c r="E1629">
        <v>4285.08</v>
      </c>
      <c r="F1629">
        <v>795.15037700000005</v>
      </c>
      <c r="G1629">
        <v>0.55000000000000004</v>
      </c>
      <c r="P1629">
        <f t="shared" si="1070"/>
        <v>-0.4074126119796242</v>
      </c>
      <c r="Q1629">
        <f t="shared" si="1071"/>
        <v>-323.95429201015293</v>
      </c>
      <c r="R1629">
        <f t="shared" si="1072"/>
        <v>-323.95429201015293</v>
      </c>
      <c r="S1629">
        <f t="shared" si="1073"/>
        <v>-3.2395429201015295E-3</v>
      </c>
      <c r="T1629">
        <f t="shared" si="1074"/>
        <v>-3.2395429201015295E-6</v>
      </c>
    </row>
    <row r="1630" spans="1:20" x14ac:dyDescent="0.25">
      <c r="A1630" s="5"/>
      <c r="C1630"/>
      <c r="D1630"/>
    </row>
    <row r="1631" spans="1:20" x14ac:dyDescent="0.25">
      <c r="A1631" s="5"/>
      <c r="C1631"/>
      <c r="D1631"/>
    </row>
    <row r="1632" spans="1:20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77" priority="193" operator="lessThan">
      <formula>$A$2</formula>
    </cfRule>
  </conditionalFormatting>
  <conditionalFormatting sqref="C196">
    <cfRule type="cellIs" dxfId="276" priority="192" operator="equal">
      <formula>0</formula>
    </cfRule>
  </conditionalFormatting>
  <conditionalFormatting sqref="C195">
    <cfRule type="cellIs" dxfId="275" priority="191" operator="equal">
      <formula>0</formula>
    </cfRule>
  </conditionalFormatting>
  <conditionalFormatting sqref="C194">
    <cfRule type="cellIs" dxfId="274" priority="190" operator="equal">
      <formula>0</formula>
    </cfRule>
  </conditionalFormatting>
  <conditionalFormatting sqref="C193">
    <cfRule type="cellIs" dxfId="273" priority="189" operator="equal">
      <formula>0</formula>
    </cfRule>
  </conditionalFormatting>
  <conditionalFormatting sqref="C192">
    <cfRule type="cellIs" dxfId="272" priority="188" operator="equal">
      <formula>0</formula>
    </cfRule>
  </conditionalFormatting>
  <conditionalFormatting sqref="C191">
    <cfRule type="cellIs" dxfId="271" priority="187" operator="equal">
      <formula>0</formula>
    </cfRule>
  </conditionalFormatting>
  <conditionalFormatting sqref="C190">
    <cfRule type="cellIs" dxfId="270" priority="186" operator="equal">
      <formula>0</formula>
    </cfRule>
  </conditionalFormatting>
  <conditionalFormatting sqref="C189">
    <cfRule type="cellIs" dxfId="269" priority="185" operator="equal">
      <formula>0</formula>
    </cfRule>
  </conditionalFormatting>
  <conditionalFormatting sqref="C188">
    <cfRule type="cellIs" dxfId="268" priority="184" operator="equal">
      <formula>0</formula>
    </cfRule>
  </conditionalFormatting>
  <conditionalFormatting sqref="C187">
    <cfRule type="cellIs" dxfId="267" priority="183" operator="equal">
      <formula>0</formula>
    </cfRule>
  </conditionalFormatting>
  <conditionalFormatting sqref="C186">
    <cfRule type="cellIs" dxfId="266" priority="182" operator="equal">
      <formula>0</formula>
    </cfRule>
  </conditionalFormatting>
  <conditionalFormatting sqref="C185">
    <cfRule type="cellIs" dxfId="265" priority="181" operator="equal">
      <formula>0</formula>
    </cfRule>
  </conditionalFormatting>
  <conditionalFormatting sqref="C184">
    <cfRule type="cellIs" dxfId="264" priority="180" operator="equal">
      <formula>0</formula>
    </cfRule>
  </conditionalFormatting>
  <conditionalFormatting sqref="C183">
    <cfRule type="cellIs" dxfId="263" priority="179" operator="equal">
      <formula>0</formula>
    </cfRule>
  </conditionalFormatting>
  <conditionalFormatting sqref="C182">
    <cfRule type="cellIs" dxfId="262" priority="178" operator="equal">
      <formula>0</formula>
    </cfRule>
  </conditionalFormatting>
  <conditionalFormatting sqref="C181">
    <cfRule type="cellIs" dxfId="261" priority="177" operator="equal">
      <formula>0</formula>
    </cfRule>
  </conditionalFormatting>
  <conditionalFormatting sqref="C180">
    <cfRule type="cellIs" dxfId="260" priority="176" operator="equal">
      <formula>0</formula>
    </cfRule>
  </conditionalFormatting>
  <conditionalFormatting sqref="C179">
    <cfRule type="cellIs" dxfId="259" priority="175" operator="equal">
      <formula>0</formula>
    </cfRule>
  </conditionalFormatting>
  <conditionalFormatting sqref="C178">
    <cfRule type="cellIs" dxfId="258" priority="174" operator="equal">
      <formula>0</formula>
    </cfRule>
  </conditionalFormatting>
  <conditionalFormatting sqref="C177">
    <cfRule type="cellIs" dxfId="257" priority="173" operator="equal">
      <formula>0</formula>
    </cfRule>
  </conditionalFormatting>
  <conditionalFormatting sqref="C176">
    <cfRule type="cellIs" dxfId="256" priority="172" operator="equal">
      <formula>0</formula>
    </cfRule>
  </conditionalFormatting>
  <conditionalFormatting sqref="C175">
    <cfRule type="cellIs" dxfId="255" priority="171" operator="equal">
      <formula>0</formula>
    </cfRule>
  </conditionalFormatting>
  <conditionalFormatting sqref="C174">
    <cfRule type="cellIs" dxfId="254" priority="170" operator="equal">
      <formula>0</formula>
    </cfRule>
  </conditionalFormatting>
  <conditionalFormatting sqref="C173">
    <cfRule type="cellIs" dxfId="253" priority="169" operator="equal">
      <formula>0</formula>
    </cfRule>
  </conditionalFormatting>
  <conditionalFormatting sqref="C172">
    <cfRule type="cellIs" dxfId="252" priority="168" operator="equal">
      <formula>0</formula>
    </cfRule>
  </conditionalFormatting>
  <conditionalFormatting sqref="C171">
    <cfRule type="cellIs" dxfId="251" priority="167" operator="equal">
      <formula>0</formula>
    </cfRule>
  </conditionalFormatting>
  <conditionalFormatting sqref="C170">
    <cfRule type="cellIs" dxfId="250" priority="166" operator="equal">
      <formula>0</formula>
    </cfRule>
  </conditionalFormatting>
  <conditionalFormatting sqref="C169">
    <cfRule type="cellIs" dxfId="249" priority="165" operator="equal">
      <formula>0</formula>
    </cfRule>
  </conditionalFormatting>
  <conditionalFormatting sqref="C168">
    <cfRule type="cellIs" dxfId="248" priority="164" operator="equal">
      <formula>0</formula>
    </cfRule>
  </conditionalFormatting>
  <conditionalFormatting sqref="C167">
    <cfRule type="cellIs" dxfId="247" priority="163" operator="equal">
      <formula>0</formula>
    </cfRule>
  </conditionalFormatting>
  <conditionalFormatting sqref="C166">
    <cfRule type="cellIs" dxfId="246" priority="162" operator="equal">
      <formula>0</formula>
    </cfRule>
  </conditionalFormatting>
  <conditionalFormatting sqref="C165">
    <cfRule type="cellIs" dxfId="245" priority="161" operator="equal">
      <formula>0</formula>
    </cfRule>
  </conditionalFormatting>
  <conditionalFormatting sqref="C164">
    <cfRule type="cellIs" dxfId="244" priority="160" operator="equal">
      <formula>0</formula>
    </cfRule>
  </conditionalFormatting>
  <conditionalFormatting sqref="C163">
    <cfRule type="cellIs" dxfId="243" priority="159" operator="equal">
      <formula>0</formula>
    </cfRule>
  </conditionalFormatting>
  <conditionalFormatting sqref="C162">
    <cfRule type="cellIs" dxfId="242" priority="158" operator="equal">
      <formula>0</formula>
    </cfRule>
  </conditionalFormatting>
  <conditionalFormatting sqref="C161">
    <cfRule type="cellIs" dxfId="241" priority="157" operator="equal">
      <formula>0</formula>
    </cfRule>
  </conditionalFormatting>
  <conditionalFormatting sqref="C160">
    <cfRule type="cellIs" dxfId="240" priority="156" operator="equal">
      <formula>0</formula>
    </cfRule>
  </conditionalFormatting>
  <conditionalFormatting sqref="C159">
    <cfRule type="cellIs" dxfId="239" priority="155" operator="equal">
      <formula>0</formula>
    </cfRule>
  </conditionalFormatting>
  <conditionalFormatting sqref="C158">
    <cfRule type="cellIs" dxfId="238" priority="154" operator="equal">
      <formula>0</formula>
    </cfRule>
  </conditionalFormatting>
  <conditionalFormatting sqref="C157">
    <cfRule type="cellIs" dxfId="237" priority="153" operator="equal">
      <formula>0</formula>
    </cfRule>
  </conditionalFormatting>
  <conditionalFormatting sqref="C156">
    <cfRule type="cellIs" dxfId="236" priority="152" operator="equal">
      <formula>0</formula>
    </cfRule>
  </conditionalFormatting>
  <conditionalFormatting sqref="C155">
    <cfRule type="cellIs" dxfId="235" priority="151" operator="equal">
      <formula>0</formula>
    </cfRule>
  </conditionalFormatting>
  <conditionalFormatting sqref="C154">
    <cfRule type="cellIs" dxfId="234" priority="150" operator="equal">
      <formula>0</formula>
    </cfRule>
  </conditionalFormatting>
  <conditionalFormatting sqref="C153">
    <cfRule type="cellIs" dxfId="233" priority="149" operator="equal">
      <formula>0</formula>
    </cfRule>
  </conditionalFormatting>
  <conditionalFormatting sqref="C152">
    <cfRule type="cellIs" dxfId="232" priority="148" operator="equal">
      <formula>0</formula>
    </cfRule>
  </conditionalFormatting>
  <conditionalFormatting sqref="C151">
    <cfRule type="cellIs" dxfId="231" priority="147" operator="equal">
      <formula>0</formula>
    </cfRule>
  </conditionalFormatting>
  <conditionalFormatting sqref="C150">
    <cfRule type="cellIs" dxfId="230" priority="146" operator="equal">
      <formula>0</formula>
    </cfRule>
  </conditionalFormatting>
  <conditionalFormatting sqref="C149">
    <cfRule type="cellIs" dxfId="229" priority="145" operator="equal">
      <formula>0</formula>
    </cfRule>
  </conditionalFormatting>
  <conditionalFormatting sqref="C148">
    <cfRule type="cellIs" dxfId="228" priority="144" operator="equal">
      <formula>0</formula>
    </cfRule>
  </conditionalFormatting>
  <conditionalFormatting sqref="C147">
    <cfRule type="cellIs" dxfId="227" priority="143" operator="equal">
      <formula>0</formula>
    </cfRule>
  </conditionalFormatting>
  <conditionalFormatting sqref="C146">
    <cfRule type="cellIs" dxfId="226" priority="142" operator="equal">
      <formula>0</formula>
    </cfRule>
  </conditionalFormatting>
  <conditionalFormatting sqref="C145">
    <cfRule type="cellIs" dxfId="225" priority="141" operator="equal">
      <formula>0</formula>
    </cfRule>
  </conditionalFormatting>
  <conditionalFormatting sqref="C144">
    <cfRule type="cellIs" dxfId="224" priority="140" operator="equal">
      <formula>0</formula>
    </cfRule>
  </conditionalFormatting>
  <conditionalFormatting sqref="C143">
    <cfRule type="cellIs" dxfId="223" priority="139" operator="equal">
      <formula>0</formula>
    </cfRule>
  </conditionalFormatting>
  <conditionalFormatting sqref="C142">
    <cfRule type="cellIs" dxfId="222" priority="138" operator="equal">
      <formula>0</formula>
    </cfRule>
  </conditionalFormatting>
  <conditionalFormatting sqref="C141">
    <cfRule type="cellIs" dxfId="221" priority="137" operator="equal">
      <formula>0</formula>
    </cfRule>
  </conditionalFormatting>
  <conditionalFormatting sqref="C140">
    <cfRule type="cellIs" dxfId="220" priority="136" operator="equal">
      <formula>0</formula>
    </cfRule>
  </conditionalFormatting>
  <conditionalFormatting sqref="C139">
    <cfRule type="cellIs" dxfId="219" priority="135" operator="equal">
      <formula>0</formula>
    </cfRule>
  </conditionalFormatting>
  <conditionalFormatting sqref="C138">
    <cfRule type="cellIs" dxfId="218" priority="134" operator="equal">
      <formula>0</formula>
    </cfRule>
  </conditionalFormatting>
  <conditionalFormatting sqref="C137">
    <cfRule type="cellIs" dxfId="217" priority="133" operator="equal">
      <formula>0</formula>
    </cfRule>
  </conditionalFormatting>
  <conditionalFormatting sqref="C136">
    <cfRule type="cellIs" dxfId="216" priority="132" operator="equal">
      <formula>0</formula>
    </cfRule>
  </conditionalFormatting>
  <conditionalFormatting sqref="C135">
    <cfRule type="cellIs" dxfId="215" priority="131" operator="equal">
      <formula>0</formula>
    </cfRule>
  </conditionalFormatting>
  <conditionalFormatting sqref="C134">
    <cfRule type="cellIs" dxfId="214" priority="130" operator="equal">
      <formula>0</formula>
    </cfRule>
  </conditionalFormatting>
  <conditionalFormatting sqref="C133">
    <cfRule type="cellIs" dxfId="213" priority="129" operator="equal">
      <formula>0</formula>
    </cfRule>
  </conditionalFormatting>
  <conditionalFormatting sqref="C132">
    <cfRule type="cellIs" dxfId="212" priority="128" operator="equal">
      <formula>0</formula>
    </cfRule>
  </conditionalFormatting>
  <conditionalFormatting sqref="C131">
    <cfRule type="cellIs" dxfId="211" priority="127" operator="equal">
      <formula>0</formula>
    </cfRule>
  </conditionalFormatting>
  <conditionalFormatting sqref="C130">
    <cfRule type="cellIs" dxfId="210" priority="126" operator="equal">
      <formula>0</formula>
    </cfRule>
  </conditionalFormatting>
  <conditionalFormatting sqref="C129">
    <cfRule type="cellIs" dxfId="209" priority="125" operator="equal">
      <formula>0</formula>
    </cfRule>
  </conditionalFormatting>
  <conditionalFormatting sqref="C128">
    <cfRule type="cellIs" dxfId="208" priority="124" operator="equal">
      <formula>0</formula>
    </cfRule>
  </conditionalFormatting>
  <conditionalFormatting sqref="C127">
    <cfRule type="cellIs" dxfId="207" priority="123" operator="equal">
      <formula>0</formula>
    </cfRule>
  </conditionalFormatting>
  <conditionalFormatting sqref="C126">
    <cfRule type="cellIs" dxfId="206" priority="122" operator="equal">
      <formula>0</formula>
    </cfRule>
  </conditionalFormatting>
  <conditionalFormatting sqref="C125">
    <cfRule type="cellIs" dxfId="205" priority="121" operator="equal">
      <formula>0</formula>
    </cfRule>
  </conditionalFormatting>
  <conditionalFormatting sqref="C124">
    <cfRule type="cellIs" dxfId="204" priority="120" operator="equal">
      <formula>0</formula>
    </cfRule>
  </conditionalFormatting>
  <conditionalFormatting sqref="C123">
    <cfRule type="cellIs" dxfId="203" priority="119" operator="equal">
      <formula>0</formula>
    </cfRule>
  </conditionalFormatting>
  <conditionalFormatting sqref="C122">
    <cfRule type="cellIs" dxfId="202" priority="118" operator="equal">
      <formula>0</formula>
    </cfRule>
  </conditionalFormatting>
  <conditionalFormatting sqref="C121">
    <cfRule type="cellIs" dxfId="201" priority="117" operator="equal">
      <formula>0</formula>
    </cfRule>
  </conditionalFormatting>
  <conditionalFormatting sqref="C120">
    <cfRule type="cellIs" dxfId="200" priority="116" operator="equal">
      <formula>0</formula>
    </cfRule>
  </conditionalFormatting>
  <conditionalFormatting sqref="C119">
    <cfRule type="cellIs" dxfId="199" priority="115" operator="equal">
      <formula>0</formula>
    </cfRule>
  </conditionalFormatting>
  <conditionalFormatting sqref="C118">
    <cfRule type="cellIs" dxfId="198" priority="114" operator="equal">
      <formula>0</formula>
    </cfRule>
  </conditionalFormatting>
  <conditionalFormatting sqref="C117">
    <cfRule type="cellIs" dxfId="197" priority="113" operator="equal">
      <formula>0</formula>
    </cfRule>
  </conditionalFormatting>
  <conditionalFormatting sqref="C116">
    <cfRule type="cellIs" dxfId="196" priority="112" operator="equal">
      <formula>0</formula>
    </cfRule>
  </conditionalFormatting>
  <conditionalFormatting sqref="C115">
    <cfRule type="cellIs" dxfId="195" priority="111" operator="equal">
      <formula>0</formula>
    </cfRule>
  </conditionalFormatting>
  <conditionalFormatting sqref="C114">
    <cfRule type="cellIs" dxfId="194" priority="110" operator="equal">
      <formula>0</formula>
    </cfRule>
  </conditionalFormatting>
  <conditionalFormatting sqref="C113">
    <cfRule type="cellIs" dxfId="193" priority="109" operator="equal">
      <formula>0</formula>
    </cfRule>
  </conditionalFormatting>
  <conditionalFormatting sqref="C112">
    <cfRule type="cellIs" dxfId="192" priority="108" operator="equal">
      <formula>0</formula>
    </cfRule>
  </conditionalFormatting>
  <conditionalFormatting sqref="C111">
    <cfRule type="cellIs" dxfId="191" priority="107" operator="equal">
      <formula>0</formula>
    </cfRule>
  </conditionalFormatting>
  <conditionalFormatting sqref="C110">
    <cfRule type="cellIs" dxfId="190" priority="106" operator="equal">
      <formula>0</formula>
    </cfRule>
  </conditionalFormatting>
  <conditionalFormatting sqref="C109">
    <cfRule type="cellIs" dxfId="189" priority="105" operator="equal">
      <formula>0</formula>
    </cfRule>
  </conditionalFormatting>
  <conditionalFormatting sqref="C108">
    <cfRule type="cellIs" dxfId="188" priority="104" operator="equal">
      <formula>0</formula>
    </cfRule>
  </conditionalFormatting>
  <conditionalFormatting sqref="C107">
    <cfRule type="cellIs" dxfId="187" priority="103" operator="equal">
      <formula>0</formula>
    </cfRule>
  </conditionalFormatting>
  <conditionalFormatting sqref="C106">
    <cfRule type="cellIs" dxfId="186" priority="102" operator="equal">
      <formula>0</formula>
    </cfRule>
  </conditionalFormatting>
  <conditionalFormatting sqref="C105">
    <cfRule type="cellIs" dxfId="185" priority="101" operator="equal">
      <formula>0</formula>
    </cfRule>
  </conditionalFormatting>
  <conditionalFormatting sqref="C104">
    <cfRule type="cellIs" dxfId="184" priority="100" operator="equal">
      <formula>0</formula>
    </cfRule>
  </conditionalFormatting>
  <conditionalFormatting sqref="C103">
    <cfRule type="cellIs" dxfId="183" priority="99" operator="equal">
      <formula>0</formula>
    </cfRule>
  </conditionalFormatting>
  <conditionalFormatting sqref="C102">
    <cfRule type="cellIs" dxfId="182" priority="98" operator="equal">
      <formula>0</formula>
    </cfRule>
  </conditionalFormatting>
  <conditionalFormatting sqref="C101">
    <cfRule type="cellIs" dxfId="181" priority="97" operator="equal">
      <formula>0</formula>
    </cfRule>
  </conditionalFormatting>
  <conditionalFormatting sqref="C100">
    <cfRule type="cellIs" dxfId="180" priority="96" operator="equal">
      <formula>0</formula>
    </cfRule>
  </conditionalFormatting>
  <conditionalFormatting sqref="C99">
    <cfRule type="cellIs" dxfId="179" priority="95" operator="equal">
      <formula>0</formula>
    </cfRule>
  </conditionalFormatting>
  <conditionalFormatting sqref="C98">
    <cfRule type="cellIs" dxfId="178" priority="94" operator="equal">
      <formula>0</formula>
    </cfRule>
  </conditionalFormatting>
  <conditionalFormatting sqref="C97">
    <cfRule type="cellIs" dxfId="177" priority="93" operator="equal">
      <formula>0</formula>
    </cfRule>
  </conditionalFormatting>
  <conditionalFormatting sqref="C96">
    <cfRule type="cellIs" dxfId="176" priority="92" operator="equal">
      <formula>0</formula>
    </cfRule>
  </conditionalFormatting>
  <conditionalFormatting sqref="C95">
    <cfRule type="cellIs" dxfId="175" priority="91" operator="equal">
      <formula>0</formula>
    </cfRule>
  </conditionalFormatting>
  <conditionalFormatting sqref="C94">
    <cfRule type="cellIs" dxfId="174" priority="90" operator="equal">
      <formula>0</formula>
    </cfRule>
  </conditionalFormatting>
  <conditionalFormatting sqref="C93">
    <cfRule type="cellIs" dxfId="173" priority="89" operator="equal">
      <formula>0</formula>
    </cfRule>
  </conditionalFormatting>
  <conditionalFormatting sqref="C92">
    <cfRule type="cellIs" dxfId="172" priority="88" operator="equal">
      <formula>0</formula>
    </cfRule>
  </conditionalFormatting>
  <conditionalFormatting sqref="C91">
    <cfRule type="cellIs" dxfId="171" priority="87" operator="equal">
      <formula>0</formula>
    </cfRule>
  </conditionalFormatting>
  <conditionalFormatting sqref="C90">
    <cfRule type="cellIs" dxfId="170" priority="86" operator="equal">
      <formula>0</formula>
    </cfRule>
  </conditionalFormatting>
  <conditionalFormatting sqref="C89">
    <cfRule type="cellIs" dxfId="169" priority="85" operator="equal">
      <formula>0</formula>
    </cfRule>
  </conditionalFormatting>
  <conditionalFormatting sqref="C88">
    <cfRule type="cellIs" dxfId="168" priority="84" operator="equal">
      <formula>0</formula>
    </cfRule>
  </conditionalFormatting>
  <conditionalFormatting sqref="C87">
    <cfRule type="cellIs" dxfId="167" priority="83" operator="equal">
      <formula>0</formula>
    </cfRule>
  </conditionalFormatting>
  <conditionalFormatting sqref="C86">
    <cfRule type="cellIs" dxfId="166" priority="82" operator="equal">
      <formula>0</formula>
    </cfRule>
  </conditionalFormatting>
  <conditionalFormatting sqref="C85">
    <cfRule type="cellIs" dxfId="165" priority="81" operator="equal">
      <formula>0</formula>
    </cfRule>
  </conditionalFormatting>
  <conditionalFormatting sqref="C84">
    <cfRule type="cellIs" dxfId="164" priority="80" operator="equal">
      <formula>0</formula>
    </cfRule>
  </conditionalFormatting>
  <conditionalFormatting sqref="C83">
    <cfRule type="cellIs" dxfId="163" priority="79" operator="equal">
      <formula>0</formula>
    </cfRule>
  </conditionalFormatting>
  <conditionalFormatting sqref="C82">
    <cfRule type="cellIs" dxfId="162" priority="78" operator="equal">
      <formula>0</formula>
    </cfRule>
  </conditionalFormatting>
  <conditionalFormatting sqref="C81">
    <cfRule type="cellIs" dxfId="161" priority="77" operator="equal">
      <formula>0</formula>
    </cfRule>
  </conditionalFormatting>
  <conditionalFormatting sqref="C80">
    <cfRule type="cellIs" dxfId="160" priority="76" operator="equal">
      <formula>0</formula>
    </cfRule>
  </conditionalFormatting>
  <conditionalFormatting sqref="C79">
    <cfRule type="cellIs" dxfId="159" priority="75" operator="equal">
      <formula>0</formula>
    </cfRule>
  </conditionalFormatting>
  <conditionalFormatting sqref="C78">
    <cfRule type="cellIs" dxfId="158" priority="74" operator="equal">
      <formula>0</formula>
    </cfRule>
  </conditionalFormatting>
  <conditionalFormatting sqref="C77">
    <cfRule type="cellIs" dxfId="157" priority="73" operator="equal">
      <formula>0</formula>
    </cfRule>
  </conditionalFormatting>
  <conditionalFormatting sqref="C76">
    <cfRule type="cellIs" dxfId="156" priority="72" operator="equal">
      <formula>0</formula>
    </cfRule>
  </conditionalFormatting>
  <conditionalFormatting sqref="C75">
    <cfRule type="cellIs" dxfId="155" priority="71" operator="equal">
      <formula>0</formula>
    </cfRule>
  </conditionalFormatting>
  <conditionalFormatting sqref="C74">
    <cfRule type="cellIs" dxfId="154" priority="70" operator="equal">
      <formula>0</formula>
    </cfRule>
  </conditionalFormatting>
  <conditionalFormatting sqref="C73">
    <cfRule type="cellIs" dxfId="153" priority="69" operator="equal">
      <formula>0</formula>
    </cfRule>
  </conditionalFormatting>
  <conditionalFormatting sqref="C72">
    <cfRule type="cellIs" dxfId="152" priority="68" operator="equal">
      <formula>0</formula>
    </cfRule>
  </conditionalFormatting>
  <conditionalFormatting sqref="C71">
    <cfRule type="cellIs" dxfId="151" priority="67" operator="equal">
      <formula>0</formula>
    </cfRule>
  </conditionalFormatting>
  <conditionalFormatting sqref="C70">
    <cfRule type="cellIs" dxfId="150" priority="66" operator="equal">
      <formula>0</formula>
    </cfRule>
  </conditionalFormatting>
  <conditionalFormatting sqref="C69">
    <cfRule type="cellIs" dxfId="149" priority="65" operator="equal">
      <formula>0</formula>
    </cfRule>
  </conditionalFormatting>
  <conditionalFormatting sqref="C68">
    <cfRule type="cellIs" dxfId="148" priority="64" operator="equal">
      <formula>0</formula>
    </cfRule>
  </conditionalFormatting>
  <conditionalFormatting sqref="C67">
    <cfRule type="cellIs" dxfId="147" priority="63" operator="equal">
      <formula>0</formula>
    </cfRule>
  </conditionalFormatting>
  <conditionalFormatting sqref="C66">
    <cfRule type="cellIs" dxfId="146" priority="62" operator="equal">
      <formula>0</formula>
    </cfRule>
  </conditionalFormatting>
  <conditionalFormatting sqref="C65">
    <cfRule type="cellIs" dxfId="145" priority="61" operator="equal">
      <formula>0</formula>
    </cfRule>
  </conditionalFormatting>
  <conditionalFormatting sqref="C64">
    <cfRule type="cellIs" dxfId="144" priority="60" operator="equal">
      <formula>0</formula>
    </cfRule>
  </conditionalFormatting>
  <conditionalFormatting sqref="C63">
    <cfRule type="cellIs" dxfId="143" priority="59" operator="equal">
      <formula>0</formula>
    </cfRule>
  </conditionalFormatting>
  <conditionalFormatting sqref="C62">
    <cfRule type="cellIs" dxfId="142" priority="58" operator="equal">
      <formula>0</formula>
    </cfRule>
  </conditionalFormatting>
  <conditionalFormatting sqref="C61">
    <cfRule type="cellIs" dxfId="141" priority="57" operator="equal">
      <formula>0</formula>
    </cfRule>
  </conditionalFormatting>
  <conditionalFormatting sqref="C60">
    <cfRule type="cellIs" dxfId="140" priority="56" operator="equal">
      <formula>0</formula>
    </cfRule>
  </conditionalFormatting>
  <conditionalFormatting sqref="C59">
    <cfRule type="cellIs" dxfId="139" priority="55" operator="equal">
      <formula>0</formula>
    </cfRule>
  </conditionalFormatting>
  <conditionalFormatting sqref="C58">
    <cfRule type="cellIs" dxfId="138" priority="54" operator="equal">
      <formula>0</formula>
    </cfRule>
  </conditionalFormatting>
  <conditionalFormatting sqref="C57">
    <cfRule type="cellIs" dxfId="137" priority="53" operator="equal">
      <formula>0</formula>
    </cfRule>
  </conditionalFormatting>
  <conditionalFormatting sqref="C56">
    <cfRule type="cellIs" dxfId="136" priority="52" operator="equal">
      <formula>0</formula>
    </cfRule>
  </conditionalFormatting>
  <conditionalFormatting sqref="C55">
    <cfRule type="cellIs" dxfId="135" priority="51" operator="equal">
      <formula>0</formula>
    </cfRule>
  </conditionalFormatting>
  <conditionalFormatting sqref="C54">
    <cfRule type="cellIs" dxfId="134" priority="50" operator="equal">
      <formula>0</formula>
    </cfRule>
  </conditionalFormatting>
  <conditionalFormatting sqref="C53">
    <cfRule type="cellIs" dxfId="133" priority="49" operator="equal">
      <formula>0</formula>
    </cfRule>
  </conditionalFormatting>
  <conditionalFormatting sqref="C52">
    <cfRule type="cellIs" dxfId="132" priority="48" operator="equal">
      <formula>0</formula>
    </cfRule>
  </conditionalFormatting>
  <conditionalFormatting sqref="C51">
    <cfRule type="cellIs" dxfId="131" priority="47" operator="equal">
      <formula>0</formula>
    </cfRule>
  </conditionalFormatting>
  <conditionalFormatting sqref="C50">
    <cfRule type="cellIs" dxfId="130" priority="46" operator="equal">
      <formula>0</formula>
    </cfRule>
  </conditionalFormatting>
  <conditionalFormatting sqref="C49">
    <cfRule type="cellIs" dxfId="129" priority="45" operator="equal">
      <formula>0</formula>
    </cfRule>
  </conditionalFormatting>
  <conditionalFormatting sqref="C48">
    <cfRule type="cellIs" dxfId="128" priority="44" operator="equal">
      <formula>0</formula>
    </cfRule>
  </conditionalFormatting>
  <conditionalFormatting sqref="C47">
    <cfRule type="cellIs" dxfId="127" priority="43" operator="equal">
      <formula>0</formula>
    </cfRule>
  </conditionalFormatting>
  <conditionalFormatting sqref="C46">
    <cfRule type="cellIs" dxfId="126" priority="42" operator="equal">
      <formula>0</formula>
    </cfRule>
  </conditionalFormatting>
  <conditionalFormatting sqref="C45">
    <cfRule type="cellIs" dxfId="125" priority="41" operator="equal">
      <formula>0</formula>
    </cfRule>
  </conditionalFormatting>
  <conditionalFormatting sqref="C44">
    <cfRule type="cellIs" dxfId="124" priority="40" operator="equal">
      <formula>0</formula>
    </cfRule>
  </conditionalFormatting>
  <conditionalFormatting sqref="C43">
    <cfRule type="cellIs" dxfId="123" priority="39" operator="equal">
      <formula>0</formula>
    </cfRule>
  </conditionalFormatting>
  <conditionalFormatting sqref="C42">
    <cfRule type="cellIs" dxfId="122" priority="38" operator="equal">
      <formula>0</formula>
    </cfRule>
  </conditionalFormatting>
  <conditionalFormatting sqref="C41">
    <cfRule type="cellIs" dxfId="121" priority="37" operator="equal">
      <formula>0</formula>
    </cfRule>
  </conditionalFormatting>
  <conditionalFormatting sqref="C40">
    <cfRule type="cellIs" dxfId="120" priority="36" operator="equal">
      <formula>0</formula>
    </cfRule>
  </conditionalFormatting>
  <conditionalFormatting sqref="C39">
    <cfRule type="cellIs" dxfId="119" priority="35" operator="equal">
      <formula>0</formula>
    </cfRule>
  </conditionalFormatting>
  <conditionalFormatting sqref="C38">
    <cfRule type="cellIs" dxfId="118" priority="34" operator="equal">
      <formula>0</formula>
    </cfRule>
  </conditionalFormatting>
  <conditionalFormatting sqref="C37">
    <cfRule type="cellIs" dxfId="117" priority="33" operator="equal">
      <formula>0</formula>
    </cfRule>
  </conditionalFormatting>
  <conditionalFormatting sqref="C36">
    <cfRule type="cellIs" dxfId="116" priority="32" operator="equal">
      <formula>0</formula>
    </cfRule>
  </conditionalFormatting>
  <conditionalFormatting sqref="C35">
    <cfRule type="cellIs" dxfId="115" priority="31" operator="equal">
      <formula>0</formula>
    </cfRule>
  </conditionalFormatting>
  <conditionalFormatting sqref="C34">
    <cfRule type="cellIs" dxfId="114" priority="30" operator="equal">
      <formula>0</formula>
    </cfRule>
  </conditionalFormatting>
  <conditionalFormatting sqref="C33">
    <cfRule type="cellIs" dxfId="113" priority="29" operator="equal">
      <formula>0</formula>
    </cfRule>
  </conditionalFormatting>
  <conditionalFormatting sqref="C32">
    <cfRule type="cellIs" dxfId="112" priority="28" operator="equal">
      <formula>0</formula>
    </cfRule>
  </conditionalFormatting>
  <conditionalFormatting sqref="C31">
    <cfRule type="cellIs" dxfId="111" priority="27" operator="equal">
      <formula>0</formula>
    </cfRule>
  </conditionalFormatting>
  <conditionalFormatting sqref="C30">
    <cfRule type="cellIs" dxfId="110" priority="26" operator="equal">
      <formula>0</formula>
    </cfRule>
  </conditionalFormatting>
  <conditionalFormatting sqref="C29">
    <cfRule type="cellIs" dxfId="109" priority="25" operator="equal">
      <formula>0</formula>
    </cfRule>
  </conditionalFormatting>
  <conditionalFormatting sqref="C28">
    <cfRule type="cellIs" dxfId="108" priority="24" operator="equal">
      <formula>0</formula>
    </cfRule>
  </conditionalFormatting>
  <conditionalFormatting sqref="C27">
    <cfRule type="cellIs" dxfId="107" priority="23" operator="equal">
      <formula>0</formula>
    </cfRule>
  </conditionalFormatting>
  <conditionalFormatting sqref="C26">
    <cfRule type="cellIs" dxfId="106" priority="22" operator="equal">
      <formula>0</formula>
    </cfRule>
  </conditionalFormatting>
  <conditionalFormatting sqref="C25">
    <cfRule type="cellIs" dxfId="105" priority="21" operator="equal">
      <formula>0</formula>
    </cfRule>
  </conditionalFormatting>
  <conditionalFormatting sqref="C24">
    <cfRule type="cellIs" dxfId="104" priority="20" operator="equal">
      <formula>0</formula>
    </cfRule>
  </conditionalFormatting>
  <conditionalFormatting sqref="C23">
    <cfRule type="cellIs" dxfId="103" priority="19" operator="equal">
      <formula>0</formula>
    </cfRule>
  </conditionalFormatting>
  <conditionalFormatting sqref="C22">
    <cfRule type="cellIs" dxfId="102" priority="18" operator="equal">
      <formula>0</formula>
    </cfRule>
  </conditionalFormatting>
  <conditionalFormatting sqref="C21">
    <cfRule type="cellIs" dxfId="101" priority="17" operator="equal">
      <formula>0</formula>
    </cfRule>
  </conditionalFormatting>
  <conditionalFormatting sqref="C20">
    <cfRule type="cellIs" dxfId="100" priority="16" operator="equal">
      <formula>0</formula>
    </cfRule>
  </conditionalFormatting>
  <conditionalFormatting sqref="C19">
    <cfRule type="cellIs" dxfId="99" priority="15" operator="equal">
      <formula>0</formula>
    </cfRule>
  </conditionalFormatting>
  <conditionalFormatting sqref="C18">
    <cfRule type="cellIs" dxfId="98" priority="14" operator="equal">
      <formula>0</formula>
    </cfRule>
  </conditionalFormatting>
  <conditionalFormatting sqref="C17">
    <cfRule type="cellIs" dxfId="97" priority="13" operator="equal">
      <formula>0</formula>
    </cfRule>
  </conditionalFormatting>
  <conditionalFormatting sqref="C16">
    <cfRule type="cellIs" dxfId="96" priority="12" operator="equal">
      <formula>0</formula>
    </cfRule>
  </conditionalFormatting>
  <conditionalFormatting sqref="C15">
    <cfRule type="cellIs" dxfId="95" priority="11" operator="equal">
      <formula>0</formula>
    </cfRule>
  </conditionalFormatting>
  <conditionalFormatting sqref="C14">
    <cfRule type="cellIs" dxfId="94" priority="10" operator="equal">
      <formula>0</formula>
    </cfRule>
  </conditionalFormatting>
  <conditionalFormatting sqref="C13">
    <cfRule type="cellIs" dxfId="93" priority="9" operator="equal">
      <formula>0</formula>
    </cfRule>
  </conditionalFormatting>
  <conditionalFormatting sqref="C12">
    <cfRule type="cellIs" dxfId="92" priority="8" operator="equal">
      <formula>0</formula>
    </cfRule>
  </conditionalFormatting>
  <conditionalFormatting sqref="C11">
    <cfRule type="cellIs" dxfId="91" priority="7" operator="equal">
      <formula>0</formula>
    </cfRule>
  </conditionalFormatting>
  <conditionalFormatting sqref="C10">
    <cfRule type="cellIs" dxfId="90" priority="6" operator="equal">
      <formula>0</formula>
    </cfRule>
  </conditionalFormatting>
  <conditionalFormatting sqref="C9">
    <cfRule type="cellIs" dxfId="89" priority="5" operator="equal">
      <formula>0</formula>
    </cfRule>
  </conditionalFormatting>
  <conditionalFormatting sqref="C8">
    <cfRule type="cellIs" dxfId="88" priority="4" operator="equal">
      <formula>0</formula>
    </cfRule>
  </conditionalFormatting>
  <conditionalFormatting sqref="C7">
    <cfRule type="cellIs" dxfId="87" priority="3" operator="equal">
      <formula>0</formula>
    </cfRule>
  </conditionalFormatting>
  <conditionalFormatting sqref="C6">
    <cfRule type="cellIs" dxfId="86" priority="2" operator="equal">
      <formula>0</formula>
    </cfRule>
  </conditionalFormatting>
  <conditionalFormatting sqref="C5">
    <cfRule type="cellIs" dxfId="85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84" priority="3" operator="equal">
      <formula>$U$1</formula>
    </cfRule>
    <cfRule type="cellIs" dxfId="83" priority="4" operator="equal">
      <formula>$S$1</formula>
    </cfRule>
  </conditionalFormatting>
  <conditionalFormatting sqref="D136">
    <cfRule type="cellIs" dxfId="82" priority="1" operator="equal">
      <formula>$S$1</formula>
    </cfRule>
    <cfRule type="cellIs" dxfId="8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26" zoomScale="85" zoomScaleNormal="85" workbookViewId="0">
      <pane xSplit="4" topLeftCell="MU1" activePane="topRight" state="frozen"/>
      <selection activeCell="A109" sqref="A109"/>
      <selection pane="topRight" activeCell="OX57" sqref="OX57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402" x14ac:dyDescent="0.25">
      <c r="A17" s="7">
        <v>79817.460185546501</v>
      </c>
      <c r="C17" s="1" t="s">
        <v>15</v>
      </c>
      <c r="E17"/>
    </row>
    <row r="18" spans="1:402" x14ac:dyDescent="0.25">
      <c r="A18" s="7">
        <v>78252.411946614215</v>
      </c>
      <c r="C18" s="7">
        <v>0.41019680250993112</v>
      </c>
      <c r="D18"/>
      <c r="E18"/>
    </row>
    <row r="19" spans="1:402" x14ac:dyDescent="0.25">
      <c r="A19" s="7">
        <v>76718.050928053155</v>
      </c>
      <c r="E19"/>
    </row>
    <row r="20" spans="1:402" x14ac:dyDescent="0.25">
      <c r="A20" s="7">
        <v>75213.775419659956</v>
      </c>
      <c r="C20" s="1" t="s">
        <v>11</v>
      </c>
      <c r="D20" s="1" t="s">
        <v>12</v>
      </c>
      <c r="E20"/>
    </row>
    <row r="21" spans="1:402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402" x14ac:dyDescent="0.25">
      <c r="A22" s="7">
        <v>72293.132852422103</v>
      </c>
      <c r="E22"/>
    </row>
    <row r="23" spans="1:402" x14ac:dyDescent="0.25">
      <c r="A23" s="7">
        <v>70875.620443551074</v>
      </c>
      <c r="C23" s="1" t="s">
        <v>13</v>
      </c>
      <c r="E23"/>
    </row>
    <row r="24" spans="1:402" x14ac:dyDescent="0.25">
      <c r="A24" s="7">
        <v>69485.902395638303</v>
      </c>
      <c r="C24" s="1" t="s">
        <v>8</v>
      </c>
      <c r="E24"/>
    </row>
    <row r="25" spans="1:402" x14ac:dyDescent="0.25">
      <c r="A25" s="7">
        <v>68123.433721214024</v>
      </c>
      <c r="E25"/>
      <c r="OE25" s="31" t="s">
        <v>8</v>
      </c>
    </row>
    <row r="26" spans="1:402" x14ac:dyDescent="0.25">
      <c r="A26" s="7">
        <v>66787.680118837277</v>
      </c>
      <c r="C26" s="1" t="s">
        <v>14</v>
      </c>
      <c r="E26"/>
      <c r="OA26" s="27" t="s">
        <v>8</v>
      </c>
      <c r="OE26" s="27" t="s">
        <v>8</v>
      </c>
      <c r="OF26" s="31" t="s">
        <v>7</v>
      </c>
    </row>
    <row r="27" spans="1:402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  <c r="OA27" s="27" t="s">
        <v>8</v>
      </c>
      <c r="OB27" s="27" t="s">
        <v>7</v>
      </c>
      <c r="OE27" s="27" t="s">
        <v>8</v>
      </c>
      <c r="OF27" s="27" t="s">
        <v>7</v>
      </c>
      <c r="OG27" s="31"/>
    </row>
    <row r="28" spans="1:402" x14ac:dyDescent="0.25">
      <c r="A28" s="7">
        <v>64194.233101535254</v>
      </c>
      <c r="E28"/>
      <c r="LU28" s="27" t="s">
        <v>8</v>
      </c>
      <c r="OA28" s="27" t="s">
        <v>8</v>
      </c>
      <c r="OB28" s="27" t="s">
        <v>7</v>
      </c>
      <c r="OC28" s="27" t="s">
        <v>8</v>
      </c>
      <c r="OE28" s="27" t="s">
        <v>8</v>
      </c>
      <c r="OF28" s="27" t="s">
        <v>7</v>
      </c>
      <c r="OH28" s="31"/>
    </row>
    <row r="29" spans="1:402" x14ac:dyDescent="0.25">
      <c r="A29" s="7">
        <v>62935.522648563972</v>
      </c>
      <c r="E29"/>
      <c r="LU29" s="27" t="s">
        <v>8</v>
      </c>
      <c r="LV29" s="27" t="s">
        <v>7</v>
      </c>
      <c r="OA29" s="27" t="s">
        <v>8</v>
      </c>
      <c r="OB29" s="27" t="s">
        <v>7</v>
      </c>
      <c r="OC29" s="27" t="s">
        <v>8</v>
      </c>
      <c r="OD29" s="27" t="s">
        <v>7</v>
      </c>
      <c r="OE29" s="27" t="s">
        <v>8</v>
      </c>
      <c r="OF29" s="27" t="s">
        <v>7</v>
      </c>
      <c r="OI29" s="31"/>
    </row>
    <row r="30" spans="1:402" x14ac:dyDescent="0.25">
      <c r="A30" s="7">
        <v>61701.492792709774</v>
      </c>
      <c r="E30"/>
      <c r="LO30" s="27" t="s">
        <v>8</v>
      </c>
      <c r="LU30" s="27" t="s">
        <v>8</v>
      </c>
      <c r="LV30" s="27" t="s">
        <v>7</v>
      </c>
      <c r="OA30" s="27" t="s">
        <v>8</v>
      </c>
      <c r="OB30" s="27" t="s">
        <v>7</v>
      </c>
      <c r="OC30" s="27" t="s">
        <v>8</v>
      </c>
      <c r="OD30" s="27" t="s">
        <v>7</v>
      </c>
      <c r="OE30" s="27" t="s">
        <v>8</v>
      </c>
      <c r="OF30" s="27" t="s">
        <v>7</v>
      </c>
      <c r="OJ30" s="31"/>
    </row>
    <row r="31" spans="1:402" x14ac:dyDescent="0.25">
      <c r="A31" s="7">
        <v>60491.659600695857</v>
      </c>
      <c r="E31"/>
      <c r="LO31" s="27" t="s">
        <v>8</v>
      </c>
      <c r="LP31" s="27" t="s">
        <v>7</v>
      </c>
      <c r="LU31" s="27" t="s">
        <v>8</v>
      </c>
      <c r="LV31" s="27" t="s">
        <v>7</v>
      </c>
      <c r="OA31" s="27" t="s">
        <v>8</v>
      </c>
      <c r="OB31" s="27" t="s">
        <v>7</v>
      </c>
      <c r="OC31" s="27" t="s">
        <v>8</v>
      </c>
      <c r="OD31" s="27" t="s">
        <v>7</v>
      </c>
      <c r="OF31" s="27" t="s">
        <v>7</v>
      </c>
      <c r="OK31" s="31"/>
    </row>
    <row r="32" spans="1:402" x14ac:dyDescent="0.25">
      <c r="A32" s="7">
        <v>59305.548628133191</v>
      </c>
      <c r="E32"/>
      <c r="LO32" s="27" t="s">
        <v>8</v>
      </c>
      <c r="LP32" s="27" t="s">
        <v>7</v>
      </c>
      <c r="LQ32" s="27" t="s">
        <v>8</v>
      </c>
      <c r="LS32" s="27" t="s">
        <v>8</v>
      </c>
      <c r="LU32" s="27" t="s">
        <v>8</v>
      </c>
      <c r="LV32" s="27" t="s">
        <v>7</v>
      </c>
      <c r="ME32" s="31" t="s">
        <v>8</v>
      </c>
      <c r="OA32" s="27" t="s">
        <v>8</v>
      </c>
      <c r="OB32" s="27" t="s">
        <v>7</v>
      </c>
      <c r="OC32" s="27" t="s">
        <v>8</v>
      </c>
      <c r="OF32" s="34" t="s">
        <v>7</v>
      </c>
      <c r="OG32" s="32" t="s">
        <v>8</v>
      </c>
      <c r="OI32" s="32" t="s">
        <v>8</v>
      </c>
      <c r="OL32" s="31"/>
    </row>
    <row r="33" spans="1:414" x14ac:dyDescent="0.25">
      <c r="A33" s="7">
        <v>58142.694733463912</v>
      </c>
      <c r="E33"/>
      <c r="LG33" s="27" t="s">
        <v>8</v>
      </c>
      <c r="LO33" s="27" t="s">
        <v>8</v>
      </c>
      <c r="LP33" s="27" t="s">
        <v>7</v>
      </c>
      <c r="LQ33" s="27" t="s">
        <v>8</v>
      </c>
      <c r="LR33" s="27" t="s">
        <v>7</v>
      </c>
      <c r="LS33" s="27" t="s">
        <v>8</v>
      </c>
      <c r="LT33" s="27" t="s">
        <v>7</v>
      </c>
      <c r="LU33" s="27" t="s">
        <v>8</v>
      </c>
      <c r="LV33" s="27" t="s">
        <v>7</v>
      </c>
      <c r="MC33" s="27" t="s">
        <v>8</v>
      </c>
      <c r="ME33" s="27" t="s">
        <v>8</v>
      </c>
      <c r="MF33" s="31" t="s">
        <v>7</v>
      </c>
      <c r="OA33" s="27" t="s">
        <v>8</v>
      </c>
      <c r="OB33" s="27" t="s">
        <v>7</v>
      </c>
      <c r="OF33" s="27" t="s">
        <v>7</v>
      </c>
      <c r="OG33" s="27" t="s">
        <v>8</v>
      </c>
      <c r="OH33" s="27" t="s">
        <v>7</v>
      </c>
      <c r="OI33" s="27" t="s">
        <v>8</v>
      </c>
      <c r="OJ33" s="27" t="s">
        <v>7</v>
      </c>
      <c r="OK33" s="27" t="s">
        <v>8</v>
      </c>
      <c r="OM33" s="31"/>
    </row>
    <row r="34" spans="1:414" x14ac:dyDescent="0.25">
      <c r="A34" s="7">
        <v>57002.641895552857</v>
      </c>
      <c r="E34"/>
      <c r="LG34" s="27" t="s">
        <v>8</v>
      </c>
      <c r="LH34" s="27" t="s">
        <v>7</v>
      </c>
      <c r="LO34" s="27" t="s">
        <v>8</v>
      </c>
      <c r="LP34" s="27" t="s">
        <v>7</v>
      </c>
      <c r="LQ34" s="27" t="s">
        <v>8</v>
      </c>
      <c r="LR34" s="27" t="s">
        <v>7</v>
      </c>
      <c r="LS34" s="27" t="s">
        <v>8</v>
      </c>
      <c r="LT34" s="27" t="s">
        <v>7</v>
      </c>
      <c r="LU34" s="27" t="s">
        <v>8</v>
      </c>
      <c r="LV34" s="27" t="s">
        <v>7</v>
      </c>
      <c r="LW34" s="27" t="s">
        <v>8</v>
      </c>
      <c r="MC34" s="27" t="s">
        <v>8</v>
      </c>
      <c r="MD34" s="27" t="s">
        <v>7</v>
      </c>
      <c r="ME34" s="27" t="s">
        <v>8</v>
      </c>
      <c r="MF34" s="27" t="s">
        <v>7</v>
      </c>
      <c r="MG34" s="31"/>
      <c r="OA34" s="27" t="s">
        <v>8</v>
      </c>
      <c r="OF34" s="27" t="s">
        <v>7</v>
      </c>
      <c r="OG34" s="27" t="s">
        <v>8</v>
      </c>
      <c r="OH34" s="27" t="s">
        <v>7</v>
      </c>
      <c r="OI34" s="27" t="s">
        <v>8</v>
      </c>
      <c r="OJ34" s="27" t="s">
        <v>7</v>
      </c>
      <c r="OK34" s="27" t="s">
        <v>8</v>
      </c>
      <c r="OL34" s="27" t="s">
        <v>7</v>
      </c>
      <c r="ON34" s="31"/>
    </row>
    <row r="35" spans="1:414" x14ac:dyDescent="0.25">
      <c r="A35" s="7">
        <v>55884.943034855743</v>
      </c>
      <c r="E35"/>
      <c r="LG35" s="27" t="s">
        <v>8</v>
      </c>
      <c r="LH35" s="27" t="s">
        <v>7</v>
      </c>
      <c r="LO35" s="27" t="s">
        <v>8</v>
      </c>
      <c r="LP35" s="27" t="s">
        <v>7</v>
      </c>
      <c r="LQ35" s="27" t="s">
        <v>8</v>
      </c>
      <c r="LR35" s="27" t="s">
        <v>7</v>
      </c>
      <c r="LS35" s="27" t="s">
        <v>8</v>
      </c>
      <c r="LT35" s="27" t="s">
        <v>7</v>
      </c>
      <c r="LV35" s="27" t="s">
        <v>7</v>
      </c>
      <c r="LW35" s="27" t="s">
        <v>8</v>
      </c>
      <c r="LX35" s="27" t="s">
        <v>7</v>
      </c>
      <c r="MA35" s="27" t="s">
        <v>8</v>
      </c>
      <c r="MC35" s="27" t="s">
        <v>8</v>
      </c>
      <c r="MD35" s="27" t="s">
        <v>7</v>
      </c>
      <c r="ME35" s="27" t="s">
        <v>8</v>
      </c>
      <c r="MF35" s="27" t="s">
        <v>7</v>
      </c>
      <c r="MH35" s="31"/>
      <c r="OA35" s="27" t="s">
        <v>8</v>
      </c>
      <c r="OF35" s="32" t="s">
        <v>7</v>
      </c>
      <c r="OH35" s="32" t="s">
        <v>7</v>
      </c>
      <c r="OJ35" s="27" t="s">
        <v>7</v>
      </c>
      <c r="OK35" s="27" t="s">
        <v>8</v>
      </c>
      <c r="OL35" s="27" t="s">
        <v>7</v>
      </c>
      <c r="OO35" s="31"/>
    </row>
    <row r="36" spans="1:414" x14ac:dyDescent="0.25">
      <c r="A36" s="7">
        <v>54789.159838093867</v>
      </c>
      <c r="E36"/>
      <c r="LG36" s="27" t="s">
        <v>8</v>
      </c>
      <c r="LH36" s="27" t="s">
        <v>7</v>
      </c>
      <c r="LO36" s="27" t="s">
        <v>8</v>
      </c>
      <c r="LP36" s="27" t="s">
        <v>7</v>
      </c>
      <c r="LQ36" s="27" t="s">
        <v>8</v>
      </c>
      <c r="LR36" s="27" t="s">
        <v>7</v>
      </c>
      <c r="LS36" s="27" t="s">
        <v>8</v>
      </c>
      <c r="LV36" s="27" t="s">
        <v>7</v>
      </c>
      <c r="LW36" s="27" t="s">
        <v>8</v>
      </c>
      <c r="LX36" s="27" t="s">
        <v>7</v>
      </c>
      <c r="MA36" s="27" t="s">
        <v>8</v>
      </c>
      <c r="MB36" s="27" t="s">
        <v>7</v>
      </c>
      <c r="MC36" s="27" t="s">
        <v>8</v>
      </c>
      <c r="MD36" s="27" t="s">
        <v>7</v>
      </c>
      <c r="ME36" s="27" t="s">
        <v>8</v>
      </c>
      <c r="MF36" s="27" t="s">
        <v>7</v>
      </c>
      <c r="MI36" s="31"/>
      <c r="OA36" s="27" t="s">
        <v>8</v>
      </c>
      <c r="OJ36" s="27" t="s">
        <v>7</v>
      </c>
      <c r="OK36" s="27" t="s">
        <v>8</v>
      </c>
      <c r="OL36" s="27" t="s">
        <v>7</v>
      </c>
      <c r="OP36" s="31"/>
    </row>
    <row r="37" spans="1:414" x14ac:dyDescent="0.25">
      <c r="A37" s="7">
        <v>53714.862586366537</v>
      </c>
      <c r="E37"/>
      <c r="LG37" s="27" t="s">
        <v>8</v>
      </c>
      <c r="LH37" s="27" t="s">
        <v>7</v>
      </c>
      <c r="LO37" s="27" t="s">
        <v>8</v>
      </c>
      <c r="LP37" s="27" t="s">
        <v>7</v>
      </c>
      <c r="LR37" s="27" t="s">
        <v>7</v>
      </c>
      <c r="LS37" s="27" t="s">
        <v>8</v>
      </c>
      <c r="LV37" s="27" t="s">
        <v>7</v>
      </c>
      <c r="LW37" s="27" t="s">
        <v>8</v>
      </c>
      <c r="LX37" s="27" t="s">
        <v>7</v>
      </c>
      <c r="MA37" s="27" t="s">
        <v>8</v>
      </c>
      <c r="MB37" s="27" t="s">
        <v>7</v>
      </c>
      <c r="MC37" s="27" t="s">
        <v>8</v>
      </c>
      <c r="MD37" s="27" t="s">
        <v>7</v>
      </c>
      <c r="MF37" s="27" t="s">
        <v>7</v>
      </c>
      <c r="MJ37" s="31"/>
      <c r="OA37" s="27" t="s">
        <v>8</v>
      </c>
      <c r="OJ37" s="27" t="s">
        <v>7</v>
      </c>
      <c r="OL37" s="27" t="s">
        <v>7</v>
      </c>
      <c r="OM37" s="31"/>
      <c r="OQ37" s="31"/>
    </row>
    <row r="38" spans="1:414" x14ac:dyDescent="0.25">
      <c r="A38" s="7">
        <v>52661.62998663386</v>
      </c>
      <c r="E38"/>
      <c r="LG38" s="27" t="s">
        <v>8</v>
      </c>
      <c r="LH38" s="27" t="s">
        <v>7</v>
      </c>
      <c r="LO38" s="27" t="s">
        <v>8</v>
      </c>
      <c r="LR38" s="27" t="s">
        <v>7</v>
      </c>
      <c r="LS38" s="27" t="s">
        <v>8</v>
      </c>
      <c r="LV38" s="27" t="s">
        <v>7</v>
      </c>
      <c r="LW38" s="27" t="s">
        <v>8</v>
      </c>
      <c r="LX38" s="27" t="s">
        <v>7</v>
      </c>
      <c r="MA38" s="27" t="s">
        <v>8</v>
      </c>
      <c r="MB38" s="27" t="s">
        <v>7</v>
      </c>
      <c r="MF38" s="27" t="s">
        <v>7</v>
      </c>
      <c r="MK38" s="31"/>
      <c r="NQ38" s="31" t="s">
        <v>8</v>
      </c>
      <c r="OA38" s="27" t="s">
        <v>8</v>
      </c>
      <c r="OL38" s="31" t="s">
        <v>7</v>
      </c>
      <c r="OR38" s="31"/>
    </row>
    <row r="39" spans="1:414" x14ac:dyDescent="0.25">
      <c r="A39" s="7">
        <v>51629.049006503781</v>
      </c>
      <c r="E39"/>
      <c r="LG39" s="27" t="s">
        <v>8</v>
      </c>
      <c r="LH39" s="27" t="s">
        <v>7</v>
      </c>
      <c r="LI39" s="27" t="s">
        <v>8</v>
      </c>
      <c r="LM39" s="27" t="s">
        <v>8</v>
      </c>
      <c r="LO39" s="27" t="s">
        <v>8</v>
      </c>
      <c r="LR39" s="27" t="s">
        <v>7</v>
      </c>
      <c r="LS39" s="27" t="s">
        <v>8</v>
      </c>
      <c r="LV39" s="27" t="s">
        <v>7</v>
      </c>
      <c r="LX39" s="27" t="s">
        <v>7</v>
      </c>
      <c r="MA39" s="27" t="s">
        <v>8</v>
      </c>
      <c r="MF39" s="27" t="s">
        <v>7</v>
      </c>
      <c r="ML39" s="31"/>
      <c r="NQ39" s="27" t="s">
        <v>8</v>
      </c>
      <c r="NR39" s="31" t="s">
        <v>7</v>
      </c>
      <c r="OA39" s="27" t="s">
        <v>8</v>
      </c>
      <c r="OK39" s="31"/>
      <c r="OL39" s="27" t="s">
        <v>7</v>
      </c>
      <c r="OM39" s="27" t="s">
        <v>8</v>
      </c>
      <c r="OS39" s="31" t="s">
        <v>8</v>
      </c>
    </row>
    <row r="40" spans="1:414" x14ac:dyDescent="0.25">
      <c r="A40" s="7">
        <v>50616.71471225861</v>
      </c>
      <c r="E40"/>
      <c r="LG40" s="27" t="s">
        <v>8</v>
      </c>
      <c r="LH40" s="27" t="s">
        <v>7</v>
      </c>
      <c r="LI40" s="27" t="s">
        <v>8</v>
      </c>
      <c r="LJ40" s="27" t="s">
        <v>7</v>
      </c>
      <c r="LM40" s="27" t="s">
        <v>8</v>
      </c>
      <c r="LN40" s="27" t="s">
        <v>7</v>
      </c>
      <c r="LO40" s="27" t="s">
        <v>8</v>
      </c>
      <c r="LR40" s="27" t="s">
        <v>7</v>
      </c>
      <c r="LX40" s="27" t="s">
        <v>7</v>
      </c>
      <c r="LY40" s="27" t="s">
        <v>8</v>
      </c>
      <c r="MA40" s="27" t="s">
        <v>8</v>
      </c>
      <c r="MF40" s="27" t="s">
        <v>7</v>
      </c>
      <c r="MG40" s="27" t="s">
        <v>8</v>
      </c>
      <c r="MM40" s="31"/>
      <c r="NQ40" s="27" t="s">
        <v>8</v>
      </c>
      <c r="NR40" s="27" t="s">
        <v>7</v>
      </c>
      <c r="NS40" s="31"/>
      <c r="OA40" s="27" t="s">
        <v>8</v>
      </c>
      <c r="OJ40" s="31"/>
      <c r="OL40" s="27" t="s">
        <v>7</v>
      </c>
      <c r="OM40" s="27" t="s">
        <v>8</v>
      </c>
      <c r="ON40" s="27" t="s">
        <v>7</v>
      </c>
      <c r="OO40" s="27" t="s">
        <v>8</v>
      </c>
      <c r="OS40" s="27" t="s">
        <v>8</v>
      </c>
      <c r="OT40" s="31" t="s">
        <v>7</v>
      </c>
    </row>
    <row r="41" spans="1:414" x14ac:dyDescent="0.25">
      <c r="A41" s="7">
        <v>49624.230110057462</v>
      </c>
      <c r="E41"/>
      <c r="LE41" s="27" t="s">
        <v>8</v>
      </c>
      <c r="LG41" s="27" t="s">
        <v>8</v>
      </c>
      <c r="LH41" s="27" t="s">
        <v>7</v>
      </c>
      <c r="LI41" s="27" t="s">
        <v>8</v>
      </c>
      <c r="LJ41" s="27" t="s">
        <v>7</v>
      </c>
      <c r="LM41" s="27" t="s">
        <v>8</v>
      </c>
      <c r="LN41" s="27" t="s">
        <v>7</v>
      </c>
      <c r="LO41" s="27" t="s">
        <v>8</v>
      </c>
      <c r="LX41" s="27" t="s">
        <v>7</v>
      </c>
      <c r="LY41" s="27" t="s">
        <v>8</v>
      </c>
      <c r="LZ41" s="27" t="s">
        <v>7</v>
      </c>
      <c r="MA41" s="27" t="s">
        <v>8</v>
      </c>
      <c r="MF41" s="27" t="s">
        <v>7</v>
      </c>
      <c r="MG41" s="27" t="s">
        <v>8</v>
      </c>
      <c r="MH41" s="27" t="s">
        <v>7</v>
      </c>
      <c r="MN41" s="31"/>
      <c r="NM41" s="32" t="s">
        <v>8</v>
      </c>
      <c r="NO41" s="32" t="s">
        <v>8</v>
      </c>
      <c r="NQ41" s="27" t="s">
        <v>8</v>
      </c>
      <c r="NR41" s="27" t="s">
        <v>7</v>
      </c>
      <c r="NT41" s="31"/>
      <c r="OA41" s="27" t="s">
        <v>8</v>
      </c>
      <c r="OI41" s="31"/>
      <c r="OL41" s="27" t="s">
        <v>7</v>
      </c>
      <c r="OM41" s="27" t="s">
        <v>8</v>
      </c>
      <c r="ON41" s="27" t="s">
        <v>7</v>
      </c>
      <c r="OO41" s="27" t="s">
        <v>8</v>
      </c>
      <c r="OP41" s="27" t="s">
        <v>7</v>
      </c>
      <c r="OS41" s="27" t="s">
        <v>8</v>
      </c>
      <c r="OT41" s="27" t="s">
        <v>7</v>
      </c>
      <c r="OU41" s="31"/>
    </row>
    <row r="42" spans="1:414" x14ac:dyDescent="0.25">
      <c r="A42" s="7">
        <v>48651.205990252412</v>
      </c>
      <c r="E42"/>
      <c r="LE42" s="27" t="s">
        <v>8</v>
      </c>
      <c r="LF42" s="27" t="s">
        <v>7</v>
      </c>
      <c r="LG42" s="27" t="s">
        <v>8</v>
      </c>
      <c r="LH42" s="27" t="s">
        <v>7</v>
      </c>
      <c r="LI42" s="27" t="s">
        <v>8</v>
      </c>
      <c r="LJ42" s="27" t="s">
        <v>7</v>
      </c>
      <c r="LM42" s="27" t="s">
        <v>8</v>
      </c>
      <c r="LN42" s="27" t="s">
        <v>7</v>
      </c>
      <c r="LO42" s="27" t="s">
        <v>8</v>
      </c>
      <c r="LX42" s="27" t="s">
        <v>7</v>
      </c>
      <c r="LY42" s="27" t="s">
        <v>8</v>
      </c>
      <c r="LZ42" s="27" t="s">
        <v>7</v>
      </c>
      <c r="MA42" s="27" t="s">
        <v>8</v>
      </c>
      <c r="MF42" s="27" t="s">
        <v>7</v>
      </c>
      <c r="MG42" s="27" t="s">
        <v>8</v>
      </c>
      <c r="MH42" s="27" t="s">
        <v>7</v>
      </c>
      <c r="MO42" s="31"/>
      <c r="NM42" s="27" t="s">
        <v>8</v>
      </c>
      <c r="NN42" s="27" t="s">
        <v>7</v>
      </c>
      <c r="NO42" s="27" t="s">
        <v>8</v>
      </c>
      <c r="NP42" s="27" t="s">
        <v>7</v>
      </c>
      <c r="NQ42" s="27" t="s">
        <v>8</v>
      </c>
      <c r="NR42" s="27" t="s">
        <v>7</v>
      </c>
      <c r="NU42" s="31" t="s">
        <v>8</v>
      </c>
      <c r="OA42" s="27" t="s">
        <v>8</v>
      </c>
      <c r="OH42" s="31"/>
      <c r="OL42" s="27" t="s">
        <v>7</v>
      </c>
      <c r="OM42" s="27" t="s">
        <v>8</v>
      </c>
      <c r="ON42" s="27" t="s">
        <v>7</v>
      </c>
      <c r="OO42" s="27" t="s">
        <v>8</v>
      </c>
      <c r="OP42" s="27" t="s">
        <v>7</v>
      </c>
      <c r="OQ42" s="27" t="s">
        <v>8</v>
      </c>
      <c r="OS42" s="27" t="s">
        <v>8</v>
      </c>
      <c r="OT42" s="27" t="s">
        <v>7</v>
      </c>
      <c r="OV42" s="31"/>
    </row>
    <row r="43" spans="1:414" x14ac:dyDescent="0.25">
      <c r="A43" s="7">
        <v>47697.260774757269</v>
      </c>
      <c r="E43"/>
      <c r="LC43" s="27" t="s">
        <v>8</v>
      </c>
      <c r="LE43" s="27" t="s">
        <v>8</v>
      </c>
      <c r="LF43" s="27" t="s">
        <v>7</v>
      </c>
      <c r="LG43" s="27" t="s">
        <v>8</v>
      </c>
      <c r="LH43" s="27" t="s">
        <v>7</v>
      </c>
      <c r="LI43" s="27" t="s">
        <v>8</v>
      </c>
      <c r="LJ43" s="27" t="s">
        <v>7</v>
      </c>
      <c r="LK43" s="27" t="s">
        <v>8</v>
      </c>
      <c r="LM43" s="27" t="s">
        <v>8</v>
      </c>
      <c r="LN43" s="27" t="s">
        <v>7</v>
      </c>
      <c r="LO43" s="27" t="s">
        <v>8</v>
      </c>
      <c r="LX43" s="27" t="s">
        <v>7</v>
      </c>
      <c r="LZ43" s="27" t="s">
        <v>7</v>
      </c>
      <c r="MF43" s="27" t="s">
        <v>7</v>
      </c>
      <c r="MG43" s="27" t="s">
        <v>8</v>
      </c>
      <c r="MH43" s="27" t="s">
        <v>7</v>
      </c>
      <c r="MP43" s="31"/>
      <c r="NK43" s="27" t="s">
        <v>8</v>
      </c>
      <c r="NM43" s="27" t="s">
        <v>8</v>
      </c>
      <c r="NN43" s="27" t="s">
        <v>7</v>
      </c>
      <c r="NO43" s="27" t="s">
        <v>8</v>
      </c>
      <c r="NP43" s="27" t="s">
        <v>7</v>
      </c>
      <c r="NQ43" s="27" t="s">
        <v>8</v>
      </c>
      <c r="NR43" s="27" t="s">
        <v>7</v>
      </c>
      <c r="NU43" s="33" t="s">
        <v>8</v>
      </c>
      <c r="NV43" s="31" t="s">
        <v>7</v>
      </c>
      <c r="OA43" s="27" t="s">
        <v>8</v>
      </c>
      <c r="OG43" s="31"/>
      <c r="OL43" s="27" t="s">
        <v>7</v>
      </c>
      <c r="OM43" s="27" t="s">
        <v>8</v>
      </c>
      <c r="ON43" s="27" t="s">
        <v>7</v>
      </c>
      <c r="OO43" s="27" t="s">
        <v>8</v>
      </c>
      <c r="OP43" s="27" t="s">
        <v>7</v>
      </c>
      <c r="OQ43" s="27" t="s">
        <v>8</v>
      </c>
      <c r="OR43" s="27" t="s">
        <v>7</v>
      </c>
      <c r="OS43" s="27" t="s">
        <v>8</v>
      </c>
      <c r="OT43" s="27" t="s">
        <v>7</v>
      </c>
      <c r="OW43" s="31"/>
    </row>
    <row r="44" spans="1:414" x14ac:dyDescent="0.25">
      <c r="A44" s="7">
        <v>46762.020367409088</v>
      </c>
      <c r="E44"/>
      <c r="LC44" s="27" t="s">
        <v>8</v>
      </c>
      <c r="LD44" s="27" t="s">
        <v>7</v>
      </c>
      <c r="LE44" s="27" t="s">
        <v>8</v>
      </c>
      <c r="LF44" s="27" t="s">
        <v>7</v>
      </c>
      <c r="LG44" s="27" t="s">
        <v>8</v>
      </c>
      <c r="LH44" s="27" t="s">
        <v>7</v>
      </c>
      <c r="LI44" s="27" t="s">
        <v>8</v>
      </c>
      <c r="LJ44" s="27" t="s">
        <v>7</v>
      </c>
      <c r="LK44" s="27" t="s">
        <v>8</v>
      </c>
      <c r="LL44" s="27" t="s">
        <v>7</v>
      </c>
      <c r="LM44" s="27" t="s">
        <v>8</v>
      </c>
      <c r="LN44" s="27" t="s">
        <v>7</v>
      </c>
      <c r="MF44" s="27" t="s">
        <v>7</v>
      </c>
      <c r="MH44" s="27" t="s">
        <v>7</v>
      </c>
      <c r="MQ44" s="31"/>
      <c r="NK44" s="27" t="s">
        <v>8</v>
      </c>
      <c r="NL44" s="27" t="s">
        <v>7</v>
      </c>
      <c r="NM44" s="27" t="s">
        <v>8</v>
      </c>
      <c r="NN44" s="32" t="s">
        <v>7</v>
      </c>
      <c r="NP44" s="32" t="s">
        <v>7</v>
      </c>
      <c r="NR44" s="27" t="s">
        <v>7</v>
      </c>
      <c r="NS44" s="27" t="s">
        <v>8</v>
      </c>
      <c r="NU44" s="27" t="s">
        <v>8</v>
      </c>
      <c r="NV44" s="27" t="s">
        <v>7</v>
      </c>
      <c r="NW44" s="31"/>
      <c r="OA44" s="27" t="s">
        <v>8</v>
      </c>
      <c r="OF44" s="31"/>
      <c r="OL44" s="27" t="s">
        <v>7</v>
      </c>
      <c r="OM44" s="27" t="s">
        <v>8</v>
      </c>
      <c r="ON44" s="27" t="s">
        <v>7</v>
      </c>
      <c r="OP44" s="27" t="s">
        <v>7</v>
      </c>
      <c r="OQ44" s="27" t="s">
        <v>8</v>
      </c>
      <c r="OR44" s="27" t="s">
        <v>7</v>
      </c>
      <c r="OS44" s="27" t="s">
        <v>8</v>
      </c>
      <c r="OT44" s="27" t="s">
        <v>7</v>
      </c>
      <c r="OX44" s="31"/>
    </row>
    <row r="45" spans="1:414" x14ac:dyDescent="0.25">
      <c r="A45" s="7">
        <v>45845.118007263809</v>
      </c>
      <c r="C45" s="1" t="s">
        <v>15</v>
      </c>
      <c r="E45"/>
      <c r="LC45" s="27" t="s">
        <v>8</v>
      </c>
      <c r="LD45" s="27" t="s">
        <v>7</v>
      </c>
      <c r="LE45" s="27" t="s">
        <v>8</v>
      </c>
      <c r="LF45" s="27" t="s">
        <v>7</v>
      </c>
      <c r="LH45" s="27" t="s">
        <v>7</v>
      </c>
      <c r="LI45" s="27" t="s">
        <v>8</v>
      </c>
      <c r="LJ45" s="27" t="s">
        <v>7</v>
      </c>
      <c r="LK45" s="27" t="s">
        <v>8</v>
      </c>
      <c r="LL45" s="27" t="s">
        <v>7</v>
      </c>
      <c r="LM45" s="27" t="s">
        <v>8</v>
      </c>
      <c r="MH45" s="27" t="s">
        <v>7</v>
      </c>
      <c r="MR45" s="31"/>
      <c r="NK45" s="27" t="s">
        <v>8</v>
      </c>
      <c r="NL45" s="27" t="s">
        <v>7</v>
      </c>
      <c r="NM45" s="27" t="s">
        <v>8</v>
      </c>
      <c r="NR45" s="34" t="s">
        <v>7</v>
      </c>
      <c r="NS45" s="27" t="s">
        <v>8</v>
      </c>
      <c r="NT45" s="27" t="s">
        <v>7</v>
      </c>
      <c r="NU45" s="27" t="s">
        <v>8</v>
      </c>
      <c r="NV45" s="27" t="s">
        <v>7</v>
      </c>
      <c r="NX45" s="31"/>
      <c r="OA45" s="27" t="s">
        <v>8</v>
      </c>
      <c r="OE45" s="31"/>
      <c r="OL45" s="27" t="s">
        <v>7</v>
      </c>
      <c r="OM45" s="27" t="s">
        <v>8</v>
      </c>
      <c r="OP45" s="27" t="s">
        <v>7</v>
      </c>
      <c r="OR45" s="27" t="s">
        <v>7</v>
      </c>
      <c r="OT45" s="27" t="s">
        <v>7</v>
      </c>
    </row>
    <row r="46" spans="1:414" x14ac:dyDescent="0.25">
      <c r="A46" s="7">
        <v>44946.194124768437</v>
      </c>
      <c r="C46" s="7">
        <v>0.16172762090481685</v>
      </c>
      <c r="D46"/>
      <c r="E46"/>
      <c r="LC46" s="27" t="s">
        <v>8</v>
      </c>
      <c r="LD46" s="27" t="s">
        <v>7</v>
      </c>
      <c r="LE46" s="27" t="s">
        <v>8</v>
      </c>
      <c r="LH46" s="27" t="s">
        <v>7</v>
      </c>
      <c r="LJ46" s="27" t="s">
        <v>7</v>
      </c>
      <c r="LL46" s="27" t="s">
        <v>7</v>
      </c>
      <c r="LM46" s="27" t="s">
        <v>8</v>
      </c>
      <c r="MH46" s="27" t="s">
        <v>7</v>
      </c>
      <c r="MI46" s="27" t="s">
        <v>8</v>
      </c>
      <c r="MS46" s="31"/>
      <c r="NK46" s="27" t="s">
        <v>8</v>
      </c>
      <c r="NL46" s="27" t="s">
        <v>7</v>
      </c>
      <c r="NM46" s="27" t="s">
        <v>8</v>
      </c>
      <c r="NR46" s="27" t="s">
        <v>7</v>
      </c>
      <c r="NS46" s="27" t="s">
        <v>8</v>
      </c>
      <c r="NT46" s="27" t="s">
        <v>7</v>
      </c>
      <c r="NU46" s="27" t="s">
        <v>8</v>
      </c>
      <c r="NV46" s="27" t="s">
        <v>7</v>
      </c>
      <c r="NW46" s="27" t="s">
        <v>8</v>
      </c>
      <c r="NY46" s="31"/>
      <c r="OA46" s="33" t="s">
        <v>8</v>
      </c>
      <c r="OD46" s="31"/>
      <c r="OL46" s="27" t="s">
        <v>7</v>
      </c>
      <c r="OM46" s="27" t="s">
        <v>8</v>
      </c>
      <c r="OT46" s="27" t="s">
        <v>7</v>
      </c>
    </row>
    <row r="47" spans="1:414" x14ac:dyDescent="0.25">
      <c r="A47" s="7">
        <v>44064.89620075337</v>
      </c>
      <c r="E47"/>
      <c r="LC47" s="27" t="s">
        <v>8</v>
      </c>
      <c r="LD47" s="27" t="s">
        <v>7</v>
      </c>
      <c r="LL47" s="27" t="s">
        <v>7</v>
      </c>
      <c r="LM47" s="27" t="s">
        <v>8</v>
      </c>
      <c r="MH47" s="27" t="s">
        <v>7</v>
      </c>
      <c r="MI47" s="27" t="s">
        <v>8</v>
      </c>
      <c r="MJ47" s="27" t="s">
        <v>7</v>
      </c>
      <c r="MT47" s="31"/>
      <c r="NK47" s="27" t="s">
        <v>8</v>
      </c>
      <c r="NL47" s="27" t="s">
        <v>7</v>
      </c>
      <c r="NR47" s="27" t="s">
        <v>7</v>
      </c>
      <c r="NS47" s="27" t="s">
        <v>8</v>
      </c>
      <c r="NT47" s="27" t="s">
        <v>7</v>
      </c>
      <c r="NV47" s="27" t="s">
        <v>7</v>
      </c>
      <c r="NW47" s="27" t="s">
        <v>8</v>
      </c>
      <c r="NX47" s="27" t="s">
        <v>7</v>
      </c>
      <c r="NY47" s="27" t="s">
        <v>8</v>
      </c>
      <c r="NZ47" s="31"/>
      <c r="OA47" s="27" t="s">
        <v>8</v>
      </c>
      <c r="OC47" s="31"/>
      <c r="OL47" s="27" t="s">
        <v>7</v>
      </c>
      <c r="OM47" s="27" t="s">
        <v>8</v>
      </c>
      <c r="OT47" s="27" t="s">
        <v>7</v>
      </c>
      <c r="OU47" s="27" t="s">
        <v>8</v>
      </c>
    </row>
    <row r="48" spans="1:414" x14ac:dyDescent="0.25">
      <c r="A48" s="7">
        <v>43200.878628189581</v>
      </c>
      <c r="C48" s="1" t="s">
        <v>11</v>
      </c>
      <c r="D48" s="1" t="s">
        <v>12</v>
      </c>
      <c r="E48"/>
      <c r="LC48" s="27" t="s">
        <v>8</v>
      </c>
      <c r="LL48" s="27" t="s">
        <v>7</v>
      </c>
      <c r="MH48" s="27" t="s">
        <v>7</v>
      </c>
      <c r="MI48" s="27" t="s">
        <v>8</v>
      </c>
      <c r="MJ48" s="27" t="s">
        <v>7</v>
      </c>
      <c r="MU48" s="31"/>
      <c r="NK48" s="27" t="s">
        <v>8</v>
      </c>
      <c r="NR48" s="27" t="s">
        <v>7</v>
      </c>
      <c r="NV48" s="34" t="s">
        <v>7</v>
      </c>
      <c r="NW48" s="27" t="s">
        <v>8</v>
      </c>
      <c r="NX48" s="27" t="s">
        <v>7</v>
      </c>
      <c r="NY48" s="27" t="s">
        <v>8</v>
      </c>
      <c r="NZ48" s="27" t="s">
        <v>7</v>
      </c>
      <c r="OA48" s="27" t="s">
        <v>8</v>
      </c>
      <c r="OB48" s="31"/>
      <c r="OL48" s="27" t="s">
        <v>7</v>
      </c>
      <c r="OM48" s="27" t="s">
        <v>8</v>
      </c>
      <c r="OT48" s="27" t="s">
        <v>7</v>
      </c>
      <c r="OU48" s="27" t="s">
        <v>8</v>
      </c>
      <c r="OV48" s="27" t="s">
        <v>7</v>
      </c>
    </row>
    <row r="49" spans="1:414" x14ac:dyDescent="0.25">
      <c r="A49" s="7">
        <v>42353.802576656453</v>
      </c>
      <c r="C49">
        <v>0.11</v>
      </c>
      <c r="D49">
        <v>0.1</v>
      </c>
      <c r="E49"/>
      <c r="LC49" s="27" t="s">
        <v>8</v>
      </c>
      <c r="MH49" s="27" t="s">
        <v>7</v>
      </c>
      <c r="MJ49" s="27" t="s">
        <v>7</v>
      </c>
      <c r="MK49" s="27" t="s">
        <v>8</v>
      </c>
      <c r="MV49" s="31"/>
      <c r="NI49" s="27" t="s">
        <v>8</v>
      </c>
      <c r="NK49" s="27" t="s">
        <v>8</v>
      </c>
      <c r="NV49" s="27" t="s">
        <v>7</v>
      </c>
      <c r="NW49" s="27" t="s">
        <v>8</v>
      </c>
      <c r="NX49" s="27" t="s">
        <v>7</v>
      </c>
      <c r="NY49" s="27" t="s">
        <v>8</v>
      </c>
      <c r="NZ49" s="27" t="s">
        <v>7</v>
      </c>
      <c r="OA49" s="31" t="s">
        <v>8</v>
      </c>
      <c r="OL49" s="27" t="s">
        <v>7</v>
      </c>
      <c r="OT49" s="27" t="s">
        <v>7</v>
      </c>
      <c r="OU49" s="27" t="s">
        <v>8</v>
      </c>
      <c r="OV49" s="27" t="s">
        <v>7</v>
      </c>
    </row>
    <row r="50" spans="1:414" x14ac:dyDescent="0.25">
      <c r="A50" s="7">
        <v>41523.335859467108</v>
      </c>
      <c r="E50"/>
      <c r="KM50" s="27" t="s">
        <v>8</v>
      </c>
      <c r="LC50" s="27" t="s">
        <v>8</v>
      </c>
      <c r="MJ50" s="27" t="s">
        <v>7</v>
      </c>
      <c r="MK50" s="27" t="s">
        <v>8</v>
      </c>
      <c r="ML50" s="27" t="s">
        <v>7</v>
      </c>
      <c r="MW50" s="31"/>
      <c r="NI50" s="27" t="s">
        <v>8</v>
      </c>
      <c r="NJ50" s="27" t="s">
        <v>7</v>
      </c>
      <c r="NK50" s="27" t="s">
        <v>8</v>
      </c>
      <c r="NV50" s="27" t="s">
        <v>7</v>
      </c>
      <c r="NW50" s="27" t="s">
        <v>8</v>
      </c>
      <c r="NX50" s="27" t="s">
        <v>7</v>
      </c>
      <c r="NY50" s="27" t="s">
        <v>8</v>
      </c>
      <c r="NZ50" s="31" t="s">
        <v>7</v>
      </c>
      <c r="OT50" s="27" t="s">
        <v>7</v>
      </c>
      <c r="OU50" s="27" t="s">
        <v>8</v>
      </c>
      <c r="OV50" s="27" t="s">
        <v>7</v>
      </c>
    </row>
    <row r="51" spans="1:414" x14ac:dyDescent="0.25">
      <c r="A51" s="7">
        <v>40709.152803399127</v>
      </c>
      <c r="C51" s="1" t="s">
        <v>13</v>
      </c>
      <c r="E51"/>
      <c r="KM51" s="27" t="s">
        <v>8</v>
      </c>
      <c r="KN51" s="27" t="s">
        <v>7</v>
      </c>
      <c r="LA51" s="27" t="s">
        <v>8</v>
      </c>
      <c r="LC51" s="27" t="s">
        <v>8</v>
      </c>
      <c r="MJ51" s="27" t="s">
        <v>7</v>
      </c>
      <c r="MK51" s="27" t="s">
        <v>8</v>
      </c>
      <c r="ML51" s="27" t="s">
        <v>7</v>
      </c>
      <c r="MQ51" s="27" t="s">
        <v>8</v>
      </c>
      <c r="MW51" s="27" t="s">
        <v>8</v>
      </c>
      <c r="MX51" s="31"/>
      <c r="NI51" s="27" t="s">
        <v>8</v>
      </c>
      <c r="NJ51" s="27" t="s">
        <v>7</v>
      </c>
      <c r="NK51" s="27" t="s">
        <v>8</v>
      </c>
      <c r="NV51" s="31" t="s">
        <v>7</v>
      </c>
      <c r="NW51" s="27" t="s">
        <v>8</v>
      </c>
      <c r="NX51" s="27" t="s">
        <v>7</v>
      </c>
      <c r="OT51" s="27" t="s">
        <v>7</v>
      </c>
      <c r="OU51" s="27" t="s">
        <v>8</v>
      </c>
      <c r="OV51" s="27" t="s">
        <v>7</v>
      </c>
    </row>
    <row r="52" spans="1:414" x14ac:dyDescent="0.25">
      <c r="A52" s="7">
        <v>39910.934120979538</v>
      </c>
      <c r="C52" s="1" t="s">
        <v>8</v>
      </c>
      <c r="E52"/>
      <c r="KM52" s="27" t="s">
        <v>8</v>
      </c>
      <c r="KN52" s="27" t="s">
        <v>7</v>
      </c>
      <c r="KO52" s="27" t="s">
        <v>8</v>
      </c>
      <c r="LA52" s="27" t="s">
        <v>8</v>
      </c>
      <c r="LB52" s="27" t="s">
        <v>7</v>
      </c>
      <c r="LC52" s="27" t="s">
        <v>8</v>
      </c>
      <c r="MJ52" s="27" t="s">
        <v>7</v>
      </c>
      <c r="MK52" s="27" t="s">
        <v>8</v>
      </c>
      <c r="ML52" s="27" t="s">
        <v>7</v>
      </c>
      <c r="MO52" s="27" t="s">
        <v>8</v>
      </c>
      <c r="MQ52" s="27" t="s">
        <v>8</v>
      </c>
      <c r="MR52" s="27" t="s">
        <v>7</v>
      </c>
      <c r="MW52" s="27" t="s">
        <v>8</v>
      </c>
      <c r="MX52" s="27" t="s">
        <v>7</v>
      </c>
      <c r="MY52" s="31"/>
      <c r="NG52" s="27" t="s">
        <v>8</v>
      </c>
      <c r="NI52" s="27" t="s">
        <v>8</v>
      </c>
      <c r="NJ52" s="27" t="s">
        <v>7</v>
      </c>
      <c r="NK52" s="27" t="s">
        <v>8</v>
      </c>
      <c r="NU52" s="31"/>
      <c r="NV52" s="27" t="s">
        <v>7</v>
      </c>
      <c r="OT52" s="27" t="s">
        <v>7</v>
      </c>
      <c r="OV52" s="27" t="s">
        <v>7</v>
      </c>
    </row>
    <row r="53" spans="1:414" x14ac:dyDescent="0.25">
      <c r="A53" s="7">
        <v>39128.366785274055</v>
      </c>
      <c r="E53"/>
      <c r="KM53" s="27" t="s">
        <v>8</v>
      </c>
      <c r="KN53" s="27" t="s">
        <v>7</v>
      </c>
      <c r="KO53" s="27" t="s">
        <v>8</v>
      </c>
      <c r="KP53" s="27" t="s">
        <v>7</v>
      </c>
      <c r="LA53" s="27" t="s">
        <v>8</v>
      </c>
      <c r="LB53" s="27" t="s">
        <v>7</v>
      </c>
      <c r="LC53" s="27" t="s">
        <v>8</v>
      </c>
      <c r="MJ53" s="27" t="s">
        <v>7</v>
      </c>
      <c r="MK53" s="27" t="s">
        <v>8</v>
      </c>
      <c r="ML53" s="27" t="s">
        <v>7</v>
      </c>
      <c r="MO53" s="27" t="s">
        <v>8</v>
      </c>
      <c r="MP53" s="27" t="s">
        <v>7</v>
      </c>
      <c r="MQ53" s="27" t="s">
        <v>8</v>
      </c>
      <c r="MR53" s="27" t="s">
        <v>7</v>
      </c>
      <c r="MS53" s="27" t="s">
        <v>8</v>
      </c>
      <c r="MW53" s="27" t="s">
        <v>8</v>
      </c>
      <c r="MX53" s="27" t="s">
        <v>7</v>
      </c>
      <c r="MZ53" s="31"/>
      <c r="NG53" s="27" t="s">
        <v>8</v>
      </c>
      <c r="NH53" s="27" t="s">
        <v>7</v>
      </c>
      <c r="NI53" s="27" t="s">
        <v>8</v>
      </c>
      <c r="NJ53" s="27" t="s">
        <v>7</v>
      </c>
      <c r="NK53" s="27" t="s">
        <v>8</v>
      </c>
      <c r="NT53" s="31"/>
      <c r="OV53" s="27" t="s">
        <v>7</v>
      </c>
    </row>
    <row r="54" spans="1:414" x14ac:dyDescent="0.25">
      <c r="A54" s="7">
        <v>38361.143907131423</v>
      </c>
      <c r="C54" s="1" t="s">
        <v>14</v>
      </c>
      <c r="E54"/>
      <c r="KM54" s="27" t="s">
        <v>8</v>
      </c>
      <c r="KN54" s="27" t="s">
        <v>7</v>
      </c>
      <c r="KO54" s="27" t="s">
        <v>8</v>
      </c>
      <c r="KP54" s="27" t="s">
        <v>7</v>
      </c>
      <c r="KY54" s="27" t="s">
        <v>8</v>
      </c>
      <c r="LA54" s="27" t="s">
        <v>8</v>
      </c>
      <c r="LB54" s="27" t="s">
        <v>7</v>
      </c>
      <c r="LC54" s="27" t="s">
        <v>8</v>
      </c>
      <c r="MJ54" s="27" t="s">
        <v>7</v>
      </c>
      <c r="MK54" s="27" t="s">
        <v>8</v>
      </c>
      <c r="ML54" s="27" t="s">
        <v>7</v>
      </c>
      <c r="MM54" s="27" t="s">
        <v>8</v>
      </c>
      <c r="MO54" s="27" t="s">
        <v>8</v>
      </c>
      <c r="MP54" s="27" t="s">
        <v>7</v>
      </c>
      <c r="MQ54" s="27" t="s">
        <v>8</v>
      </c>
      <c r="MR54" s="27" t="s">
        <v>7</v>
      </c>
      <c r="MS54" s="27" t="s">
        <v>8</v>
      </c>
      <c r="MT54" s="27" t="s">
        <v>7</v>
      </c>
      <c r="MU54" s="27" t="s">
        <v>8</v>
      </c>
      <c r="MW54" s="27" t="s">
        <v>8</v>
      </c>
      <c r="MX54" s="27" t="s">
        <v>7</v>
      </c>
      <c r="NA54" s="31"/>
      <c r="NG54" s="27" t="s">
        <v>8</v>
      </c>
      <c r="NH54" s="27" t="s">
        <v>7</v>
      </c>
      <c r="NI54" s="27" t="s">
        <v>8</v>
      </c>
      <c r="NJ54" s="27" t="s">
        <v>7</v>
      </c>
      <c r="NK54" s="27" t="s">
        <v>8</v>
      </c>
      <c r="NS54" s="31"/>
      <c r="OV54" s="27" t="s">
        <v>7</v>
      </c>
      <c r="OW54" s="27" t="s">
        <v>8</v>
      </c>
    </row>
    <row r="55" spans="1:414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  <c r="KM55" s="27" t="s">
        <v>8</v>
      </c>
      <c r="KN55" s="27" t="s">
        <v>7</v>
      </c>
      <c r="KO55" s="27" t="s">
        <v>8</v>
      </c>
      <c r="KP55" s="27" t="s">
        <v>7</v>
      </c>
      <c r="KQ55" s="27" t="s">
        <v>8</v>
      </c>
      <c r="KS55" s="27" t="s">
        <v>8</v>
      </c>
      <c r="KY55" s="27" t="s">
        <v>8</v>
      </c>
      <c r="KZ55" s="27" t="s">
        <v>7</v>
      </c>
      <c r="LA55" s="27" t="s">
        <v>8</v>
      </c>
      <c r="LB55" s="27" t="s">
        <v>7</v>
      </c>
      <c r="MJ55" s="27" t="s">
        <v>7</v>
      </c>
      <c r="MK55" s="27" t="s">
        <v>8</v>
      </c>
      <c r="ML55" s="27" t="s">
        <v>7</v>
      </c>
      <c r="MM55" s="27" t="s">
        <v>8</v>
      </c>
      <c r="MN55" s="27" t="s">
        <v>7</v>
      </c>
      <c r="MO55" s="27" t="s">
        <v>8</v>
      </c>
      <c r="MP55" s="27" t="s">
        <v>7</v>
      </c>
      <c r="MQ55" s="27" t="s">
        <v>8</v>
      </c>
      <c r="MR55" s="27" t="s">
        <v>7</v>
      </c>
      <c r="MS55" s="27" t="s">
        <v>8</v>
      </c>
      <c r="MT55" s="27" t="s">
        <v>7</v>
      </c>
      <c r="MU55" s="27" t="s">
        <v>8</v>
      </c>
      <c r="MV55" s="27" t="s">
        <v>7</v>
      </c>
      <c r="MW55" s="27" t="s">
        <v>8</v>
      </c>
      <c r="MX55" s="27" t="s">
        <v>7</v>
      </c>
      <c r="NB55" s="31"/>
      <c r="NG55" s="27" t="s">
        <v>8</v>
      </c>
      <c r="NH55" s="27" t="s">
        <v>7</v>
      </c>
      <c r="NI55" s="27" t="s">
        <v>8</v>
      </c>
      <c r="NJ55" s="27" t="s">
        <v>7</v>
      </c>
      <c r="NR55" s="31"/>
      <c r="OV55" s="27" t="s">
        <v>7</v>
      </c>
      <c r="OW55" s="27" t="s">
        <v>8</v>
      </c>
      <c r="OX55" s="27" t="s">
        <v>7</v>
      </c>
    </row>
    <row r="56" spans="1:414" x14ac:dyDescent="0.25">
      <c r="A56" s="7">
        <v>36871.533936112479</v>
      </c>
      <c r="E56"/>
      <c r="KM56" s="27" t="s">
        <v>8</v>
      </c>
      <c r="KN56" s="27" t="s">
        <v>7</v>
      </c>
      <c r="KO56" s="27" t="s">
        <v>8</v>
      </c>
      <c r="KP56" s="27" t="s">
        <v>7</v>
      </c>
      <c r="KQ56" s="27" t="s">
        <v>8</v>
      </c>
      <c r="KR56" s="27" t="s">
        <v>7</v>
      </c>
      <c r="KS56" s="27" t="s">
        <v>8</v>
      </c>
      <c r="KT56" s="27" t="s">
        <v>7</v>
      </c>
      <c r="KY56" s="27" t="s">
        <v>8</v>
      </c>
      <c r="KZ56" s="27" t="s">
        <v>7</v>
      </c>
      <c r="LA56" s="27" t="s">
        <v>8</v>
      </c>
      <c r="MJ56" s="27" t="s">
        <v>7</v>
      </c>
      <c r="MK56" s="27" t="s">
        <v>8</v>
      </c>
      <c r="ML56" s="27" t="s">
        <v>7</v>
      </c>
      <c r="MM56" s="27" t="s">
        <v>8</v>
      </c>
      <c r="MN56" s="27" t="s">
        <v>7</v>
      </c>
      <c r="MO56" s="27" t="s">
        <v>8</v>
      </c>
      <c r="MP56" s="27" t="s">
        <v>7</v>
      </c>
      <c r="MR56" s="27" t="s">
        <v>7</v>
      </c>
      <c r="MS56" s="27" t="s">
        <v>8</v>
      </c>
      <c r="MT56" s="27" t="s">
        <v>7</v>
      </c>
      <c r="MU56" s="27" t="s">
        <v>8</v>
      </c>
      <c r="MV56" s="27" t="s">
        <v>7</v>
      </c>
      <c r="MW56" s="27" t="s">
        <v>8</v>
      </c>
      <c r="MX56" s="27" t="s">
        <v>7</v>
      </c>
      <c r="NC56" s="31"/>
      <c r="NG56" s="27" t="s">
        <v>8</v>
      </c>
      <c r="NH56" s="27" t="s">
        <v>7</v>
      </c>
      <c r="NQ56" s="31"/>
      <c r="OV56" s="27" t="s">
        <v>7</v>
      </c>
      <c r="OW56" s="27" t="s">
        <v>8</v>
      </c>
      <c r="OX56" s="27" t="s">
        <v>7</v>
      </c>
    </row>
    <row r="57" spans="1:414" x14ac:dyDescent="0.25">
      <c r="A57" s="7">
        <v>36148.562682463213</v>
      </c>
      <c r="E57"/>
      <c r="KM57" s="27" t="s">
        <v>8</v>
      </c>
      <c r="KN57" s="27" t="s">
        <v>7</v>
      </c>
      <c r="KO57" s="27" t="s">
        <v>8</v>
      </c>
      <c r="KP57" s="27" t="s">
        <v>7</v>
      </c>
      <c r="KQ57" s="27" t="s">
        <v>8</v>
      </c>
      <c r="KR57" s="27" t="s">
        <v>7</v>
      </c>
      <c r="KS57" s="27" t="s">
        <v>8</v>
      </c>
      <c r="KT57" s="27" t="s">
        <v>7</v>
      </c>
      <c r="KY57" s="27" t="s">
        <v>8</v>
      </c>
      <c r="KZ57" s="27" t="s">
        <v>7</v>
      </c>
      <c r="LA57" s="27" t="s">
        <v>8</v>
      </c>
      <c r="MJ57" s="27" t="s">
        <v>7</v>
      </c>
      <c r="MK57" s="27" t="s">
        <v>8</v>
      </c>
      <c r="ML57" s="27" t="s">
        <v>7</v>
      </c>
      <c r="MM57" s="27" t="s">
        <v>8</v>
      </c>
      <c r="MN57" s="27" t="s">
        <v>7</v>
      </c>
      <c r="MO57" s="27" t="s">
        <v>8</v>
      </c>
      <c r="MR57" s="27" t="s">
        <v>7</v>
      </c>
      <c r="MS57" s="27" t="s">
        <v>8</v>
      </c>
      <c r="MT57" s="27" t="s">
        <v>7</v>
      </c>
      <c r="MU57" s="27" t="s">
        <v>8</v>
      </c>
      <c r="MV57" s="27" t="s">
        <v>7</v>
      </c>
      <c r="MW57" s="27" t="s">
        <v>8</v>
      </c>
      <c r="MX57" s="27" t="s">
        <v>7</v>
      </c>
      <c r="NA57" s="27" t="s">
        <v>8</v>
      </c>
      <c r="ND57" s="31"/>
      <c r="NG57" s="27" t="s">
        <v>8</v>
      </c>
      <c r="NP57" s="31"/>
      <c r="OV57" s="27" t="s">
        <v>7</v>
      </c>
      <c r="OW57" s="27" t="s">
        <v>8</v>
      </c>
      <c r="OX57" s="27" t="s">
        <v>7</v>
      </c>
    </row>
    <row r="58" spans="1:414" x14ac:dyDescent="0.25">
      <c r="A58" s="7">
        <v>35439.767335748249</v>
      </c>
      <c r="E58"/>
      <c r="KM58" s="27" t="s">
        <v>8</v>
      </c>
      <c r="KN58" s="27" t="s">
        <v>7</v>
      </c>
      <c r="KO58" s="27" t="s">
        <v>8</v>
      </c>
      <c r="KP58" s="27" t="s">
        <v>7</v>
      </c>
      <c r="KQ58" s="27" t="s">
        <v>8</v>
      </c>
      <c r="KR58" s="27" t="s">
        <v>7</v>
      </c>
      <c r="KS58" s="27" t="s">
        <v>8</v>
      </c>
      <c r="KT58" s="27" t="s">
        <v>7</v>
      </c>
      <c r="KY58" s="27" t="s">
        <v>8</v>
      </c>
      <c r="KZ58" s="27" t="s">
        <v>7</v>
      </c>
      <c r="LA58" s="27" t="s">
        <v>8</v>
      </c>
      <c r="MJ58" s="27" t="s">
        <v>7</v>
      </c>
      <c r="MK58" s="27" t="s">
        <v>8</v>
      </c>
      <c r="ML58" s="27" t="s">
        <v>7</v>
      </c>
      <c r="MM58" s="27" t="s">
        <v>8</v>
      </c>
      <c r="MN58" s="27" t="s">
        <v>7</v>
      </c>
      <c r="MO58" s="27" t="s">
        <v>8</v>
      </c>
      <c r="MR58" s="27" t="s">
        <v>7</v>
      </c>
      <c r="MS58" s="27" t="s">
        <v>8</v>
      </c>
      <c r="MT58" s="27" t="s">
        <v>7</v>
      </c>
      <c r="MU58" s="27" t="s">
        <v>8</v>
      </c>
      <c r="MV58" s="27" t="s">
        <v>7</v>
      </c>
      <c r="MW58" s="27" t="s">
        <v>8</v>
      </c>
      <c r="MX58" s="27" t="s">
        <v>7</v>
      </c>
      <c r="NA58" s="33" t="s">
        <v>8</v>
      </c>
      <c r="NB58" s="27" t="s">
        <v>7</v>
      </c>
      <c r="NC58" s="27" t="s">
        <v>8</v>
      </c>
      <c r="NE58" s="31"/>
      <c r="NG58" s="27" t="s">
        <v>8</v>
      </c>
      <c r="NO58" s="31"/>
      <c r="OV58" s="27" t="s">
        <v>7</v>
      </c>
      <c r="OW58" s="27" t="s">
        <v>8</v>
      </c>
    </row>
    <row r="59" spans="1:414" x14ac:dyDescent="0.25">
      <c r="A59" s="7">
        <v>34744.869937008087</v>
      </c>
      <c r="E59"/>
      <c r="KK59" s="27" t="s">
        <v>8</v>
      </c>
      <c r="KM59" s="27" t="s">
        <v>8</v>
      </c>
      <c r="KN59" s="27" t="s">
        <v>7</v>
      </c>
      <c r="KO59" s="27" t="s">
        <v>8</v>
      </c>
      <c r="KP59" s="27" t="s">
        <v>7</v>
      </c>
      <c r="KR59" s="27" t="s">
        <v>7</v>
      </c>
      <c r="KS59" s="27" t="s">
        <v>8</v>
      </c>
      <c r="KT59" s="27" t="s">
        <v>7</v>
      </c>
      <c r="KW59" s="27" t="s">
        <v>8</v>
      </c>
      <c r="KY59" s="27" t="s">
        <v>8</v>
      </c>
      <c r="KZ59" s="27" t="s">
        <v>7</v>
      </c>
      <c r="LA59" s="27" t="s">
        <v>8</v>
      </c>
      <c r="MJ59" s="27" t="s">
        <v>7</v>
      </c>
      <c r="MK59" s="27" t="s">
        <v>8</v>
      </c>
      <c r="ML59" s="27" t="s">
        <v>7</v>
      </c>
      <c r="MM59" s="27" t="s">
        <v>8</v>
      </c>
      <c r="MN59" s="27" t="s">
        <v>7</v>
      </c>
      <c r="MO59" s="27" t="s">
        <v>8</v>
      </c>
      <c r="MR59" s="27" t="s">
        <v>7</v>
      </c>
      <c r="MS59" s="27" t="s">
        <v>8</v>
      </c>
      <c r="MT59" s="27" t="s">
        <v>7</v>
      </c>
      <c r="MU59" s="27" t="s">
        <v>8</v>
      </c>
      <c r="MV59" s="27" t="s">
        <v>7</v>
      </c>
      <c r="MX59" s="27" t="s">
        <v>7</v>
      </c>
      <c r="MY59" s="27" t="s">
        <v>8</v>
      </c>
      <c r="NA59" s="27" t="s">
        <v>8</v>
      </c>
      <c r="NB59" s="27" t="s">
        <v>7</v>
      </c>
      <c r="NC59" s="27" t="s">
        <v>8</v>
      </c>
      <c r="ND59" s="27" t="s">
        <v>7</v>
      </c>
      <c r="NF59" s="31"/>
      <c r="NG59" s="33" t="s">
        <v>8</v>
      </c>
      <c r="NN59" s="31"/>
      <c r="OV59" s="27" t="s">
        <v>7</v>
      </c>
      <c r="OW59" s="27" t="s">
        <v>8</v>
      </c>
    </row>
    <row r="60" spans="1:414" x14ac:dyDescent="0.25">
      <c r="A60" s="7">
        <v>34063.597977458907</v>
      </c>
      <c r="E60"/>
      <c r="KK60" s="27" t="s">
        <v>8</v>
      </c>
      <c r="KL60" s="27" t="s">
        <v>7</v>
      </c>
      <c r="KM60" s="27" t="s">
        <v>8</v>
      </c>
      <c r="KN60" s="27" t="s">
        <v>7</v>
      </c>
      <c r="KO60" s="27" t="s">
        <v>8</v>
      </c>
      <c r="KR60" s="27" t="s">
        <v>7</v>
      </c>
      <c r="KT60" s="27" t="s">
        <v>7</v>
      </c>
      <c r="KW60" s="27" t="s">
        <v>8</v>
      </c>
      <c r="KX60" s="27" t="s">
        <v>7</v>
      </c>
      <c r="KY60" s="27" t="s">
        <v>8</v>
      </c>
      <c r="KZ60" s="27" t="s">
        <v>7</v>
      </c>
      <c r="LA60" s="27" t="s">
        <v>8</v>
      </c>
      <c r="MJ60" s="27" t="s">
        <v>7</v>
      </c>
      <c r="MK60" s="27" t="s">
        <v>8</v>
      </c>
      <c r="ML60" s="27" t="s">
        <v>7</v>
      </c>
      <c r="MN60" s="27" t="s">
        <v>7</v>
      </c>
      <c r="MO60" s="27" t="s">
        <v>8</v>
      </c>
      <c r="MR60" s="27" t="s">
        <v>7</v>
      </c>
      <c r="MS60" s="27" t="s">
        <v>8</v>
      </c>
      <c r="MT60" s="27" t="s">
        <v>7</v>
      </c>
      <c r="MU60" s="27" t="s">
        <v>8</v>
      </c>
      <c r="MX60" s="27" t="s">
        <v>7</v>
      </c>
      <c r="MY60" s="27" t="s">
        <v>8</v>
      </c>
      <c r="MZ60" s="27" t="s">
        <v>7</v>
      </c>
      <c r="NA60" s="27" t="s">
        <v>8</v>
      </c>
      <c r="NB60" s="27" t="s">
        <v>7</v>
      </c>
      <c r="NC60" s="27" t="s">
        <v>8</v>
      </c>
      <c r="ND60" s="27" t="s">
        <v>7</v>
      </c>
      <c r="NE60" s="27" t="s">
        <v>8</v>
      </c>
      <c r="NG60" s="31" t="s">
        <v>8</v>
      </c>
      <c r="NM60" s="31"/>
      <c r="OV60" s="27" t="s">
        <v>7</v>
      </c>
    </row>
    <row r="61" spans="1:414" x14ac:dyDescent="0.25">
      <c r="A61" s="7">
        <v>33395.684291626378</v>
      </c>
      <c r="E61"/>
      <c r="KK61" s="27" t="s">
        <v>8</v>
      </c>
      <c r="KL61" s="27" t="s">
        <v>7</v>
      </c>
      <c r="KM61" s="27" t="s">
        <v>8</v>
      </c>
      <c r="KN61" s="27" t="s">
        <v>7</v>
      </c>
      <c r="KO61" s="27" t="s">
        <v>8</v>
      </c>
      <c r="KT61" s="27" t="s">
        <v>7</v>
      </c>
      <c r="KU61" s="27" t="s">
        <v>8</v>
      </c>
      <c r="KW61" s="27" t="s">
        <v>8</v>
      </c>
      <c r="KX61" s="27" t="s">
        <v>7</v>
      </c>
      <c r="KY61" s="27" t="s">
        <v>8</v>
      </c>
      <c r="KZ61" s="27" t="s">
        <v>7</v>
      </c>
      <c r="LA61" s="27" t="s">
        <v>8</v>
      </c>
      <c r="MJ61" s="27" t="s">
        <v>7</v>
      </c>
      <c r="MK61" s="27" t="s">
        <v>8</v>
      </c>
      <c r="MN61" s="27" t="s">
        <v>7</v>
      </c>
      <c r="MO61" s="27" t="s">
        <v>8</v>
      </c>
      <c r="MR61" s="27" t="s">
        <v>7</v>
      </c>
      <c r="MT61" s="27" t="s">
        <v>7</v>
      </c>
      <c r="MU61" s="27" t="s">
        <v>8</v>
      </c>
      <c r="MX61" s="27" t="s">
        <v>7</v>
      </c>
      <c r="MY61" s="27" t="s">
        <v>8</v>
      </c>
      <c r="MZ61" s="27" t="s">
        <v>7</v>
      </c>
      <c r="NA61" s="27" t="s">
        <v>8</v>
      </c>
      <c r="NB61" s="27" t="s">
        <v>7</v>
      </c>
      <c r="NC61" s="27" t="s">
        <v>8</v>
      </c>
      <c r="ND61" s="27" t="s">
        <v>7</v>
      </c>
      <c r="NE61" s="27" t="s">
        <v>8</v>
      </c>
      <c r="NF61" s="27" t="s">
        <v>7</v>
      </c>
      <c r="NG61" s="27" t="s">
        <v>8</v>
      </c>
      <c r="NL61" s="31"/>
    </row>
    <row r="62" spans="1:414" x14ac:dyDescent="0.25">
      <c r="A62" s="7">
        <v>32740.866952574877</v>
      </c>
      <c r="E62"/>
      <c r="KK62" s="27" t="s">
        <v>8</v>
      </c>
      <c r="KL62" s="27" t="s">
        <v>7</v>
      </c>
      <c r="KM62" s="27" t="s">
        <v>8</v>
      </c>
      <c r="KN62" s="27" t="s">
        <v>7</v>
      </c>
      <c r="KO62" s="27" t="s">
        <v>8</v>
      </c>
      <c r="KT62" s="27" t="s">
        <v>7</v>
      </c>
      <c r="KU62" s="27" t="s">
        <v>8</v>
      </c>
      <c r="KV62" s="27" t="s">
        <v>7</v>
      </c>
      <c r="KW62" s="27" t="s">
        <v>8</v>
      </c>
      <c r="KX62" s="27" t="s">
        <v>7</v>
      </c>
      <c r="KY62" s="27" t="s">
        <v>8</v>
      </c>
      <c r="KZ62" s="27" t="s">
        <v>7</v>
      </c>
      <c r="MJ62" s="27" t="s">
        <v>7</v>
      </c>
      <c r="MK62" s="27" t="s">
        <v>8</v>
      </c>
      <c r="MN62" s="27" t="s">
        <v>7</v>
      </c>
      <c r="MO62" s="27" t="s">
        <v>8</v>
      </c>
      <c r="MT62" s="27" t="s">
        <v>7</v>
      </c>
      <c r="MU62" s="27" t="s">
        <v>8</v>
      </c>
      <c r="MX62" s="27" t="s">
        <v>7</v>
      </c>
      <c r="MY62" s="27" t="s">
        <v>8</v>
      </c>
      <c r="MZ62" s="27" t="s">
        <v>7</v>
      </c>
      <c r="NA62" s="27" t="s">
        <v>8</v>
      </c>
      <c r="NB62" s="27" t="s">
        <v>7</v>
      </c>
      <c r="ND62" s="31" t="s">
        <v>7</v>
      </c>
      <c r="NE62" s="27" t="s">
        <v>8</v>
      </c>
      <c r="NF62" s="27" t="s">
        <v>7</v>
      </c>
      <c r="NG62" s="27" t="s">
        <v>8</v>
      </c>
      <c r="NK62" s="31"/>
    </row>
    <row r="63" spans="1:414" x14ac:dyDescent="0.25">
      <c r="A63" s="7">
        <v>32098.889169191054</v>
      </c>
      <c r="E63"/>
      <c r="KK63" s="27" t="s">
        <v>8</v>
      </c>
      <c r="KL63" s="27" t="s">
        <v>7</v>
      </c>
      <c r="KM63" s="27" t="s">
        <v>8</v>
      </c>
      <c r="KN63" s="27" t="s">
        <v>7</v>
      </c>
      <c r="KO63" s="27" t="s">
        <v>8</v>
      </c>
      <c r="KT63" s="27" t="s">
        <v>7</v>
      </c>
      <c r="KU63" s="27" t="s">
        <v>8</v>
      </c>
      <c r="KV63" s="27" t="s">
        <v>7</v>
      </c>
      <c r="KW63" s="27" t="s">
        <v>8</v>
      </c>
      <c r="KX63" s="27" t="s">
        <v>7</v>
      </c>
      <c r="KY63" s="27" t="s">
        <v>8</v>
      </c>
      <c r="MJ63" s="27" t="s">
        <v>7</v>
      </c>
      <c r="MK63" s="27" t="s">
        <v>8</v>
      </c>
      <c r="MN63" s="27" t="s">
        <v>7</v>
      </c>
      <c r="MO63" s="27" t="s">
        <v>8</v>
      </c>
      <c r="MT63" s="27" t="s">
        <v>7</v>
      </c>
      <c r="MU63" s="27" t="s">
        <v>8</v>
      </c>
      <c r="MX63" s="27" t="s">
        <v>7</v>
      </c>
      <c r="MY63" s="27" t="s">
        <v>8</v>
      </c>
      <c r="MZ63" s="27" t="s">
        <v>7</v>
      </c>
      <c r="NA63" s="27" t="s">
        <v>8</v>
      </c>
      <c r="NC63" s="31"/>
      <c r="ND63" s="34" t="s">
        <v>7</v>
      </c>
      <c r="NF63" s="27" t="s">
        <v>7</v>
      </c>
      <c r="NG63" s="27" t="s">
        <v>8</v>
      </c>
      <c r="NJ63" s="31"/>
    </row>
    <row r="64" spans="1:414" x14ac:dyDescent="0.25">
      <c r="A64" s="7">
        <v>31469.499185481425</v>
      </c>
      <c r="E64"/>
      <c r="KK64" s="27" t="s">
        <v>8</v>
      </c>
      <c r="KL64" s="27" t="s">
        <v>7</v>
      </c>
      <c r="KM64" s="27" t="s">
        <v>8</v>
      </c>
      <c r="KN64" s="27" t="s">
        <v>7</v>
      </c>
      <c r="KO64" s="27" t="s">
        <v>8</v>
      </c>
      <c r="KT64" s="27" t="s">
        <v>7</v>
      </c>
      <c r="KU64" s="27" t="s">
        <v>8</v>
      </c>
      <c r="KV64" s="27" t="s">
        <v>7</v>
      </c>
      <c r="KX64" s="27" t="s">
        <v>7</v>
      </c>
      <c r="KY64" s="27" t="s">
        <v>8</v>
      </c>
      <c r="MJ64" s="27" t="s">
        <v>7</v>
      </c>
      <c r="MK64" s="27" t="s">
        <v>8</v>
      </c>
      <c r="MN64" s="27" t="s">
        <v>7</v>
      </c>
      <c r="MT64" s="27" t="s">
        <v>7</v>
      </c>
      <c r="MX64" s="27" t="s">
        <v>7</v>
      </c>
      <c r="MY64" s="27" t="s">
        <v>8</v>
      </c>
      <c r="MZ64" s="27" t="s">
        <v>7</v>
      </c>
      <c r="NA64" s="27" t="s">
        <v>8</v>
      </c>
      <c r="NB64" s="31"/>
      <c r="NF64" s="27" t="s">
        <v>7</v>
      </c>
      <c r="NG64" s="27" t="s">
        <v>8</v>
      </c>
      <c r="NI64" s="31"/>
    </row>
    <row r="65" spans="1:372" x14ac:dyDescent="0.25">
      <c r="A65" s="7">
        <v>30852.450181844535</v>
      </c>
      <c r="E65"/>
      <c r="KK65" s="27" t="s">
        <v>8</v>
      </c>
      <c r="KL65" s="27" t="s">
        <v>7</v>
      </c>
      <c r="KM65" s="27" t="s">
        <v>8</v>
      </c>
      <c r="KN65" s="27" t="s">
        <v>7</v>
      </c>
      <c r="KT65" s="27" t="s">
        <v>7</v>
      </c>
      <c r="KU65" s="27" t="s">
        <v>8</v>
      </c>
      <c r="KX65" s="27" t="s">
        <v>7</v>
      </c>
      <c r="KY65" s="27" t="s">
        <v>8</v>
      </c>
      <c r="MJ65" s="27" t="s">
        <v>7</v>
      </c>
      <c r="MK65" s="27" t="s">
        <v>8</v>
      </c>
      <c r="MX65" s="27" t="s">
        <v>7</v>
      </c>
      <c r="MY65" s="27" t="s">
        <v>8</v>
      </c>
      <c r="MZ65" s="27" t="s">
        <v>7</v>
      </c>
      <c r="NA65" s="31" t="s">
        <v>8</v>
      </c>
      <c r="NF65" s="18" t="s">
        <v>7</v>
      </c>
      <c r="NG65" s="27" t="s">
        <v>8</v>
      </c>
      <c r="NH65" s="31"/>
    </row>
    <row r="66" spans="1:372" x14ac:dyDescent="0.25">
      <c r="A66" s="7">
        <v>30247.500178278955</v>
      </c>
      <c r="E66"/>
      <c r="KK66" s="27" t="s">
        <v>8</v>
      </c>
      <c r="KL66" s="27" t="s">
        <v>7</v>
      </c>
      <c r="KM66" s="27" t="s">
        <v>8</v>
      </c>
      <c r="KT66" s="27" t="s">
        <v>7</v>
      </c>
      <c r="KU66" s="27" t="s">
        <v>8</v>
      </c>
      <c r="KX66" s="27" t="s">
        <v>7</v>
      </c>
      <c r="KY66" s="27" t="s">
        <v>8</v>
      </c>
      <c r="MJ66" s="27" t="s">
        <v>7</v>
      </c>
      <c r="MX66" s="27" t="s">
        <v>7</v>
      </c>
      <c r="MY66" s="27" t="s">
        <v>8</v>
      </c>
      <c r="MZ66" s="31" t="s">
        <v>7</v>
      </c>
      <c r="NF66" s="27" t="s">
        <v>7</v>
      </c>
      <c r="NG66" s="31" t="s">
        <v>8</v>
      </c>
    </row>
    <row r="67" spans="1:372" x14ac:dyDescent="0.25">
      <c r="A67" s="7">
        <v>29654.411939489171</v>
      </c>
      <c r="E67"/>
      <c r="KK67" s="27" t="s">
        <v>8</v>
      </c>
      <c r="KL67" s="27" t="s">
        <v>7</v>
      </c>
      <c r="KM67" s="27" t="s">
        <v>8</v>
      </c>
      <c r="KT67" s="27" t="s">
        <v>7</v>
      </c>
      <c r="KU67" s="27" t="s">
        <v>8</v>
      </c>
      <c r="KX67" s="27" t="s">
        <v>7</v>
      </c>
      <c r="MX67" s="27" t="s">
        <v>7</v>
      </c>
      <c r="MY67" s="31" t="s">
        <v>8</v>
      </c>
      <c r="NF67" s="31" t="s">
        <v>7</v>
      </c>
    </row>
    <row r="68" spans="1:372" x14ac:dyDescent="0.25">
      <c r="A68" s="7">
        <v>29072.952881852128</v>
      </c>
      <c r="E68"/>
      <c r="KK68" s="27" t="s">
        <v>8</v>
      </c>
      <c r="KL68" s="27" t="s">
        <v>7</v>
      </c>
      <c r="KM68" s="27" t="s">
        <v>8</v>
      </c>
      <c r="KT68" s="27" t="s">
        <v>7</v>
      </c>
      <c r="MX68" s="31" t="s">
        <v>7</v>
      </c>
    </row>
    <row r="69" spans="1:372" x14ac:dyDescent="0.25">
      <c r="A69" s="7">
        <v>28502.89498220797</v>
      </c>
      <c r="E69"/>
      <c r="KK69" s="27" t="s">
        <v>8</v>
      </c>
      <c r="KL69" s="27" t="s">
        <v>7</v>
      </c>
    </row>
    <row r="70" spans="1:372" x14ac:dyDescent="0.25">
      <c r="A70" s="7">
        <v>27944.014688439187</v>
      </c>
      <c r="E70"/>
      <c r="KI70" s="27" t="s">
        <v>8</v>
      </c>
      <c r="KK70" s="27" t="s">
        <v>8</v>
      </c>
    </row>
    <row r="71" spans="1:372" x14ac:dyDescent="0.25">
      <c r="A71" s="7">
        <v>27396.092831803126</v>
      </c>
      <c r="E71"/>
      <c r="KI71" s="27" t="s">
        <v>8</v>
      </c>
      <c r="KJ71" s="27" t="s">
        <v>7</v>
      </c>
      <c r="KK71" s="27" t="s">
        <v>8</v>
      </c>
    </row>
    <row r="72" spans="1:372" x14ac:dyDescent="0.25">
      <c r="A72" s="7">
        <v>26858.914540983456</v>
      </c>
      <c r="E72"/>
      <c r="KI72" s="27" t="s">
        <v>8</v>
      </c>
      <c r="KJ72" s="27" t="s">
        <v>7</v>
      </c>
      <c r="KK72" s="27" t="s">
        <v>8</v>
      </c>
    </row>
    <row r="73" spans="1:372" x14ac:dyDescent="0.25">
      <c r="A73" s="7">
        <v>26332.269157826919</v>
      </c>
      <c r="E73"/>
      <c r="KI73" s="27" t="s">
        <v>8</v>
      </c>
      <c r="KJ73" s="27" t="s">
        <v>7</v>
      </c>
    </row>
    <row r="74" spans="1:372" x14ac:dyDescent="0.25">
      <c r="A74" s="7">
        <v>25815.950154732272</v>
      </c>
      <c r="E74"/>
      <c r="KI74" s="27" t="s">
        <v>8</v>
      </c>
    </row>
    <row r="75" spans="1:372" x14ac:dyDescent="0.25">
      <c r="A75" s="7">
        <v>25309.75505365909</v>
      </c>
      <c r="E75"/>
      <c r="KI75" s="27" t="s">
        <v>8</v>
      </c>
    </row>
    <row r="76" spans="1:372" x14ac:dyDescent="0.25">
      <c r="A76" s="7">
        <v>24813.485346724596</v>
      </c>
      <c r="E76"/>
      <c r="KI76" s="27" t="s">
        <v>8</v>
      </c>
    </row>
    <row r="77" spans="1:372" x14ac:dyDescent="0.25">
      <c r="A77" s="7">
        <v>24326.946418357446</v>
      </c>
      <c r="E77"/>
      <c r="KI77" s="27" t="s">
        <v>8</v>
      </c>
    </row>
    <row r="78" spans="1:372" x14ac:dyDescent="0.25">
      <c r="A78" s="7">
        <v>23849.947468977887</v>
      </c>
      <c r="E78"/>
      <c r="KG78" s="27" t="s">
        <v>8</v>
      </c>
      <c r="KI78" s="27" t="s">
        <v>8</v>
      </c>
    </row>
    <row r="79" spans="1:372" x14ac:dyDescent="0.25">
      <c r="A79" s="7">
        <v>23382.3014401744</v>
      </c>
      <c r="C79" s="1" t="s">
        <v>15</v>
      </c>
      <c r="E79"/>
      <c r="KG79" s="27" t="s">
        <v>8</v>
      </c>
      <c r="KH79" s="27" t="s">
        <v>7</v>
      </c>
      <c r="KI79" s="27" t="s">
        <v>8</v>
      </c>
    </row>
    <row r="80" spans="1:372" x14ac:dyDescent="0.25">
      <c r="A80" s="7">
        <v>22923.824941347451</v>
      </c>
      <c r="C80" s="7">
        <v>9.6645076037824032E-2</v>
      </c>
      <c r="D80"/>
      <c r="E80"/>
      <c r="KG80" s="27" t="s">
        <v>8</v>
      </c>
      <c r="KH80" s="27" t="s">
        <v>7</v>
      </c>
      <c r="KI80" s="27" t="s">
        <v>8</v>
      </c>
    </row>
    <row r="81" spans="1:295" x14ac:dyDescent="0.25">
      <c r="A81" s="7">
        <v>22474.338177791618</v>
      </c>
      <c r="E81"/>
      <c r="KG81" s="27" t="s">
        <v>8</v>
      </c>
      <c r="KH81" s="27" t="s">
        <v>7</v>
      </c>
      <c r="KI81" s="27" t="s">
        <v>8</v>
      </c>
    </row>
    <row r="82" spans="1:295" x14ac:dyDescent="0.25">
      <c r="A82" s="7">
        <v>22033.664880187862</v>
      </c>
      <c r="C82" s="1" t="s">
        <v>11</v>
      </c>
      <c r="D82" s="1" t="s">
        <v>12</v>
      </c>
      <c r="E82"/>
      <c r="KG82" s="27" t="s">
        <v>8</v>
      </c>
      <c r="KH82" s="27" t="s">
        <v>7</v>
      </c>
    </row>
    <row r="83" spans="1:295" x14ac:dyDescent="0.25">
      <c r="A83" s="7">
        <v>21601.632235478297</v>
      </c>
      <c r="C83">
        <v>0.11</v>
      </c>
      <c r="D83">
        <v>9.5000000000000001E-2</v>
      </c>
      <c r="E83"/>
      <c r="KG83" s="27" t="s">
        <v>8</v>
      </c>
    </row>
    <row r="84" spans="1:295" x14ac:dyDescent="0.25">
      <c r="A84" s="7">
        <v>21178.070819096371</v>
      </c>
      <c r="E84"/>
      <c r="KG84" s="27" t="s">
        <v>8</v>
      </c>
    </row>
    <row r="85" spans="1:295" x14ac:dyDescent="0.25">
      <c r="A85" s="7">
        <v>20762.814528525854</v>
      </c>
      <c r="C85" s="1" t="s">
        <v>13</v>
      </c>
      <c r="E85"/>
      <c r="KG85" s="27" t="s">
        <v>8</v>
      </c>
    </row>
    <row r="86" spans="1:295" x14ac:dyDescent="0.25">
      <c r="A86" s="7">
        <v>20355.700518162601</v>
      </c>
      <c r="C86" s="1" t="s">
        <v>7</v>
      </c>
      <c r="E86"/>
      <c r="KG86" s="27" t="s">
        <v>8</v>
      </c>
    </row>
    <row r="87" spans="1:295" x14ac:dyDescent="0.25">
      <c r="A87" s="7">
        <v>19956.56913545353</v>
      </c>
      <c r="E87"/>
      <c r="KG87" s="27" t="s">
        <v>8</v>
      </c>
    </row>
    <row r="88" spans="1:295" x14ac:dyDescent="0.25">
      <c r="A88" s="7">
        <v>19565.263858287773</v>
      </c>
      <c r="C88" s="1" t="s">
        <v>14</v>
      </c>
      <c r="E88"/>
      <c r="AU88" s="27" t="s">
        <v>8</v>
      </c>
      <c r="KC88" s="27" t="s">
        <v>8</v>
      </c>
      <c r="KE88" s="27" t="s">
        <v>8</v>
      </c>
      <c r="KG88" s="27" t="s">
        <v>8</v>
      </c>
    </row>
    <row r="89" spans="1:29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  <c r="AU89" s="27" t="s">
        <v>8</v>
      </c>
      <c r="AV89" s="27" t="s">
        <v>7</v>
      </c>
      <c r="KA89" s="27" t="s">
        <v>8</v>
      </c>
      <c r="KC89" s="27" t="s">
        <v>8</v>
      </c>
      <c r="KD89" s="27" t="s">
        <v>7</v>
      </c>
      <c r="KE89" s="27" t="s">
        <v>8</v>
      </c>
      <c r="KF89" s="27" t="s">
        <v>7</v>
      </c>
      <c r="KG89" s="27" t="s">
        <v>8</v>
      </c>
    </row>
    <row r="90" spans="1:295" x14ac:dyDescent="0.25">
      <c r="A90" s="7">
        <v>18805.520817270062</v>
      </c>
      <c r="E90"/>
      <c r="AU90" s="27" t="s">
        <v>8</v>
      </c>
      <c r="AV90" s="27" t="s">
        <v>7</v>
      </c>
      <c r="JY90" s="27" t="s">
        <v>8</v>
      </c>
      <c r="KA90" s="27" t="s">
        <v>8</v>
      </c>
      <c r="KB90" s="27" t="s">
        <v>7</v>
      </c>
      <c r="KC90" s="27" t="s">
        <v>8</v>
      </c>
      <c r="KD90" s="27" t="s">
        <v>7</v>
      </c>
      <c r="KE90" s="27" t="s">
        <v>8</v>
      </c>
      <c r="KF90" s="27" t="s">
        <v>7</v>
      </c>
      <c r="KG90" s="27" t="s">
        <v>8</v>
      </c>
    </row>
    <row r="91" spans="1:295" x14ac:dyDescent="0.25">
      <c r="A91" s="7">
        <v>18436.785114970648</v>
      </c>
      <c r="E91"/>
      <c r="AU91" s="27" t="s">
        <v>8</v>
      </c>
      <c r="AV91" s="27" t="s">
        <v>7</v>
      </c>
      <c r="JW91" s="27" t="s">
        <v>8</v>
      </c>
      <c r="JY91" s="27" t="s">
        <v>8</v>
      </c>
      <c r="JZ91" s="27" t="s">
        <v>7</v>
      </c>
      <c r="KA91" s="27" t="s">
        <v>8</v>
      </c>
      <c r="KB91" s="27" t="s">
        <v>7</v>
      </c>
      <c r="KC91" s="27" t="s">
        <v>8</v>
      </c>
      <c r="KD91" s="27" t="s">
        <v>7</v>
      </c>
      <c r="KE91" s="27" t="s">
        <v>8</v>
      </c>
      <c r="KF91" s="27" t="s">
        <v>7</v>
      </c>
      <c r="KG91" s="27" t="s">
        <v>8</v>
      </c>
    </row>
    <row r="92" spans="1:295" x14ac:dyDescent="0.25">
      <c r="A92" s="7">
        <v>18075.279524481026</v>
      </c>
      <c r="E92"/>
      <c r="AU92" s="27" t="s">
        <v>8</v>
      </c>
      <c r="AV92" s="27" t="s">
        <v>7</v>
      </c>
      <c r="JW92" s="27" t="s">
        <v>8</v>
      </c>
      <c r="JX92" s="27" t="s">
        <v>7</v>
      </c>
      <c r="JY92" s="27" t="s">
        <v>8</v>
      </c>
      <c r="JZ92" s="27" t="s">
        <v>7</v>
      </c>
      <c r="KA92" s="27" t="s">
        <v>8</v>
      </c>
      <c r="KB92" s="27" t="s">
        <v>7</v>
      </c>
      <c r="KC92" s="27" t="s">
        <v>8</v>
      </c>
      <c r="KD92" s="27" t="s">
        <v>7</v>
      </c>
      <c r="KF92" s="27" t="s">
        <v>7</v>
      </c>
      <c r="KG92" s="27" t="s">
        <v>8</v>
      </c>
    </row>
    <row r="93" spans="1:295" x14ac:dyDescent="0.25">
      <c r="A93" s="7">
        <v>17720.862278902965</v>
      </c>
      <c r="E93"/>
      <c r="AU93" s="27" t="s">
        <v>8</v>
      </c>
      <c r="AV93" s="27" t="s">
        <v>7</v>
      </c>
      <c r="JW93" s="27" t="s">
        <v>8</v>
      </c>
      <c r="JX93" s="27" t="s">
        <v>7</v>
      </c>
      <c r="JY93" s="27" t="s">
        <v>8</v>
      </c>
      <c r="JZ93" s="27" t="s">
        <v>7</v>
      </c>
      <c r="KB93" s="27" t="s">
        <v>7</v>
      </c>
      <c r="KC93" s="27" t="s">
        <v>8</v>
      </c>
      <c r="KF93" s="27" t="s">
        <v>7</v>
      </c>
    </row>
    <row r="94" spans="1:295" x14ac:dyDescent="0.25">
      <c r="A94" s="7">
        <v>17373.39439108134</v>
      </c>
      <c r="E94"/>
      <c r="AS94" s="27" t="s">
        <v>8</v>
      </c>
      <c r="AU94" s="27" t="s">
        <v>8</v>
      </c>
      <c r="AV94" s="27" t="s">
        <v>7</v>
      </c>
      <c r="JW94" s="27" t="s">
        <v>8</v>
      </c>
      <c r="JX94" s="27" t="s">
        <v>7</v>
      </c>
      <c r="KB94" s="27" t="s">
        <v>7</v>
      </c>
      <c r="KC94" s="27" t="s">
        <v>8</v>
      </c>
    </row>
    <row r="95" spans="1:295" x14ac:dyDescent="0.25">
      <c r="A95" s="7">
        <v>17032.739599099354</v>
      </c>
      <c r="E95"/>
      <c r="AQ95" s="27" t="s">
        <v>8</v>
      </c>
      <c r="AS95" s="27" t="s">
        <v>8</v>
      </c>
      <c r="AT95" s="27" t="s">
        <v>7</v>
      </c>
      <c r="AU95" s="27" t="s">
        <v>8</v>
      </c>
      <c r="AV95" s="27" t="s">
        <v>7</v>
      </c>
      <c r="BG95" s="27" t="s">
        <v>8</v>
      </c>
      <c r="JW95" s="27" t="s">
        <v>8</v>
      </c>
      <c r="KB95" s="27" t="s">
        <v>7</v>
      </c>
      <c r="KC95" s="27" t="s">
        <v>8</v>
      </c>
    </row>
    <row r="96" spans="1:295" x14ac:dyDescent="0.25">
      <c r="A96" s="7">
        <v>16698.764312842504</v>
      </c>
      <c r="E96"/>
      <c r="AQ96" s="27" t="s">
        <v>8</v>
      </c>
      <c r="AR96" s="27" t="s">
        <v>7</v>
      </c>
      <c r="AS96" s="27" t="s">
        <v>8</v>
      </c>
      <c r="AT96" s="27" t="s">
        <v>7</v>
      </c>
      <c r="AU96" s="27" t="s">
        <v>8</v>
      </c>
      <c r="AV96" s="27" t="s">
        <v>7</v>
      </c>
      <c r="BG96" s="27" t="s">
        <v>8</v>
      </c>
      <c r="BH96" s="27" t="s">
        <v>7</v>
      </c>
      <c r="JW96" s="27" t="s">
        <v>8</v>
      </c>
      <c r="KB96" s="27" t="s">
        <v>7</v>
      </c>
      <c r="KC96" s="27" t="s">
        <v>8</v>
      </c>
    </row>
    <row r="97" spans="1:288" x14ac:dyDescent="0.25">
      <c r="A97" s="7">
        <v>16371.337561610297</v>
      </c>
      <c r="E97"/>
      <c r="AQ97" s="27" t="s">
        <v>8</v>
      </c>
      <c r="AR97" s="27" t="s">
        <v>7</v>
      </c>
      <c r="AS97" s="27" t="s">
        <v>8</v>
      </c>
      <c r="AT97" s="27" t="s">
        <v>7</v>
      </c>
      <c r="AU97" s="27" t="s">
        <v>8</v>
      </c>
      <c r="AV97" s="27" t="s">
        <v>7</v>
      </c>
      <c r="AY97" s="27" t="s">
        <v>8</v>
      </c>
      <c r="BG97" s="27" t="s">
        <v>8</v>
      </c>
      <c r="BH97" s="27" t="s">
        <v>7</v>
      </c>
      <c r="JW97" s="27" t="s">
        <v>8</v>
      </c>
      <c r="KB97" s="27" t="s">
        <v>7</v>
      </c>
    </row>
    <row r="98" spans="1:288" x14ac:dyDescent="0.25">
      <c r="A98" s="7">
        <v>16050.330942755192</v>
      </c>
      <c r="E98"/>
      <c r="AQ98" s="27" t="s">
        <v>8</v>
      </c>
      <c r="AR98" s="27" t="s">
        <v>7</v>
      </c>
      <c r="AS98" s="27" t="s">
        <v>8</v>
      </c>
      <c r="AT98" s="27" t="s">
        <v>7</v>
      </c>
      <c r="AU98" s="27" t="s">
        <v>8</v>
      </c>
      <c r="AV98" s="27" t="s">
        <v>7</v>
      </c>
      <c r="AY98" s="27" t="s">
        <v>8</v>
      </c>
      <c r="AZ98" s="27" t="s">
        <v>7</v>
      </c>
      <c r="BG98" s="27" t="s">
        <v>8</v>
      </c>
      <c r="BH98" s="27" t="s">
        <v>7</v>
      </c>
      <c r="JW98" s="27" t="s">
        <v>8</v>
      </c>
    </row>
    <row r="99" spans="1:288" x14ac:dyDescent="0.25">
      <c r="A99" s="7">
        <v>15735.61857132862</v>
      </c>
      <c r="E99"/>
      <c r="AQ99" s="27" t="s">
        <v>8</v>
      </c>
      <c r="AR99" s="27" t="s">
        <v>7</v>
      </c>
      <c r="AS99" s="27" t="s">
        <v>8</v>
      </c>
      <c r="AT99" s="27" t="s">
        <v>7</v>
      </c>
      <c r="AU99" s="27" t="s">
        <v>8</v>
      </c>
      <c r="AV99" s="27" t="s">
        <v>7</v>
      </c>
      <c r="AY99" s="27" t="s">
        <v>8</v>
      </c>
      <c r="AZ99" s="27" t="s">
        <v>7</v>
      </c>
      <c r="BG99" s="27" t="s">
        <v>8</v>
      </c>
      <c r="BH99" s="27" t="s">
        <v>7</v>
      </c>
      <c r="JU99" s="27" t="s">
        <v>8</v>
      </c>
      <c r="JW99" s="27" t="s">
        <v>8</v>
      </c>
    </row>
    <row r="100" spans="1:288" x14ac:dyDescent="0.25">
      <c r="A100" s="7">
        <v>15427.077030714332</v>
      </c>
      <c r="E100"/>
      <c r="AQ100" s="27" t="s">
        <v>8</v>
      </c>
      <c r="AR100" s="27" t="s">
        <v>7</v>
      </c>
      <c r="AS100" s="27" t="s">
        <v>8</v>
      </c>
      <c r="AT100" s="27" t="s">
        <v>7</v>
      </c>
      <c r="AU100" s="27" t="s">
        <v>8</v>
      </c>
      <c r="AV100" s="27" t="s">
        <v>7</v>
      </c>
      <c r="AY100" s="27" t="s">
        <v>8</v>
      </c>
      <c r="AZ100" s="27" t="s">
        <v>7</v>
      </c>
      <c r="BE100" s="27" t="s">
        <v>8</v>
      </c>
      <c r="BG100" s="27" t="s">
        <v>8</v>
      </c>
      <c r="BH100" s="27" t="s">
        <v>7</v>
      </c>
      <c r="BI100" s="27" t="s">
        <v>8</v>
      </c>
      <c r="JU100" s="27" t="s">
        <v>8</v>
      </c>
      <c r="JV100" s="27" t="s">
        <v>7</v>
      </c>
      <c r="JW100" s="27" t="s">
        <v>8</v>
      </c>
    </row>
    <row r="101" spans="1:288" x14ac:dyDescent="0.25">
      <c r="A101" s="7">
        <v>15124.585324229736</v>
      </c>
      <c r="E101"/>
      <c r="AQ101" s="27" t="s">
        <v>8</v>
      </c>
      <c r="AR101" s="27" t="s">
        <v>7</v>
      </c>
      <c r="AS101" s="27" t="s">
        <v>8</v>
      </c>
      <c r="AT101" s="27" t="s">
        <v>7</v>
      </c>
      <c r="AU101" s="27" t="s">
        <v>8</v>
      </c>
      <c r="AV101" s="27" t="s">
        <v>7</v>
      </c>
      <c r="AY101" s="27" t="s">
        <v>8</v>
      </c>
      <c r="AZ101" s="27" t="s">
        <v>7</v>
      </c>
      <c r="BE101" s="27" t="s">
        <v>8</v>
      </c>
      <c r="BF101" s="27" t="s">
        <v>7</v>
      </c>
      <c r="BG101" s="27" t="s">
        <v>8</v>
      </c>
      <c r="BH101" s="27" t="s">
        <v>7</v>
      </c>
      <c r="BI101" s="27" t="s">
        <v>8</v>
      </c>
      <c r="BJ101" s="27" t="s">
        <v>7</v>
      </c>
      <c r="JU101" s="27" t="s">
        <v>8</v>
      </c>
      <c r="JV101" s="27" t="s">
        <v>7</v>
      </c>
      <c r="JW101" s="27" t="s">
        <v>8</v>
      </c>
    </row>
    <row r="102" spans="1:288" x14ac:dyDescent="0.25">
      <c r="A102" s="7">
        <v>14828.024827676212</v>
      </c>
      <c r="E102"/>
      <c r="AQ102" s="27" t="s">
        <v>8</v>
      </c>
      <c r="AR102" s="27" t="s">
        <v>7</v>
      </c>
      <c r="AS102" s="27" t="s">
        <v>8</v>
      </c>
      <c r="AT102" s="27" t="s">
        <v>7</v>
      </c>
      <c r="AV102" s="27" t="s">
        <v>7</v>
      </c>
      <c r="AW102" s="27" t="s">
        <v>8</v>
      </c>
      <c r="AY102" s="27" t="s">
        <v>8</v>
      </c>
      <c r="AZ102" s="27" t="s">
        <v>7</v>
      </c>
      <c r="BA102" s="27" t="s">
        <v>8</v>
      </c>
      <c r="BE102" s="27" t="s">
        <v>8</v>
      </c>
      <c r="BF102" s="27" t="s">
        <v>7</v>
      </c>
      <c r="BG102" s="27" t="s">
        <v>8</v>
      </c>
      <c r="BH102" s="27" t="s">
        <v>7</v>
      </c>
      <c r="BI102" s="27" t="s">
        <v>8</v>
      </c>
      <c r="BJ102" s="27" t="s">
        <v>7</v>
      </c>
      <c r="JU102" s="27" t="s">
        <v>8</v>
      </c>
      <c r="JV102" s="27" t="s">
        <v>7</v>
      </c>
      <c r="JW102" s="27" t="s">
        <v>8</v>
      </c>
    </row>
    <row r="103" spans="1:288" x14ac:dyDescent="0.25">
      <c r="A103" s="7">
        <v>14537.279242819815</v>
      </c>
      <c r="E103"/>
      <c r="AQ103" s="27" t="s">
        <v>8</v>
      </c>
      <c r="AR103" s="27" t="s">
        <v>7</v>
      </c>
      <c r="AS103" s="27" t="s">
        <v>8</v>
      </c>
      <c r="AV103" s="27" t="s">
        <v>7</v>
      </c>
      <c r="AW103" s="27" t="s">
        <v>8</v>
      </c>
      <c r="AX103" s="27" t="s">
        <v>7</v>
      </c>
      <c r="AY103" s="27" t="s">
        <v>8</v>
      </c>
      <c r="AZ103" s="27" t="s">
        <v>7</v>
      </c>
      <c r="BA103" s="27" t="s">
        <v>8</v>
      </c>
      <c r="BB103" s="27" t="s">
        <v>7</v>
      </c>
      <c r="BE103" s="27" t="s">
        <v>8</v>
      </c>
      <c r="BF103" s="27" t="s">
        <v>7</v>
      </c>
      <c r="BG103" s="27" t="s">
        <v>8</v>
      </c>
      <c r="BH103" s="27" t="s">
        <v>7</v>
      </c>
      <c r="BI103" s="27" t="s">
        <v>8</v>
      </c>
      <c r="BJ103" s="27" t="s">
        <v>7</v>
      </c>
      <c r="BK103" s="27" t="s">
        <v>8</v>
      </c>
      <c r="JU103" s="27" t="s">
        <v>8</v>
      </c>
      <c r="JV103" s="27" t="s">
        <v>7</v>
      </c>
    </row>
    <row r="104" spans="1:288" x14ac:dyDescent="0.25">
      <c r="A104" s="7">
        <v>14252.234551784133</v>
      </c>
      <c r="E104"/>
      <c r="AQ104" s="27" t="s">
        <v>8</v>
      </c>
      <c r="AR104" s="27" t="s">
        <v>7</v>
      </c>
      <c r="AS104" s="27" t="s">
        <v>8</v>
      </c>
      <c r="AV104" s="27" t="s">
        <v>7</v>
      </c>
      <c r="AW104" s="27" t="s">
        <v>8</v>
      </c>
      <c r="AX104" s="27" t="s">
        <v>7</v>
      </c>
      <c r="AY104" s="27" t="s">
        <v>8</v>
      </c>
      <c r="AZ104" s="27" t="s">
        <v>7</v>
      </c>
      <c r="BA104" s="27" t="s">
        <v>8</v>
      </c>
      <c r="BB104" s="27" t="s">
        <v>7</v>
      </c>
      <c r="BE104" s="27" t="s">
        <v>8</v>
      </c>
      <c r="BF104" s="27" t="s">
        <v>7</v>
      </c>
      <c r="BG104" s="27" t="s">
        <v>8</v>
      </c>
      <c r="BH104" s="27" t="s">
        <v>7</v>
      </c>
      <c r="BI104" s="27" t="s">
        <v>8</v>
      </c>
      <c r="BJ104" s="27" t="s">
        <v>7</v>
      </c>
      <c r="BK104" s="27" t="s">
        <v>8</v>
      </c>
      <c r="BL104" s="27" t="s">
        <v>7</v>
      </c>
      <c r="JU104" s="27" t="s">
        <v>8</v>
      </c>
    </row>
    <row r="105" spans="1:288" x14ac:dyDescent="0.25">
      <c r="A105" s="7">
        <v>13972.778972337384</v>
      </c>
      <c r="E105"/>
      <c r="AQ105" s="27" t="s">
        <v>8</v>
      </c>
      <c r="AR105" s="27" t="s">
        <v>7</v>
      </c>
      <c r="AS105" s="27" t="s">
        <v>8</v>
      </c>
      <c r="AV105" s="27" t="s">
        <v>7</v>
      </c>
      <c r="AW105" s="27" t="s">
        <v>8</v>
      </c>
      <c r="AX105" s="27" t="s">
        <v>7</v>
      </c>
      <c r="AY105" s="27" t="s">
        <v>8</v>
      </c>
      <c r="AZ105" s="27" t="s">
        <v>7</v>
      </c>
      <c r="BA105" s="27" t="s">
        <v>8</v>
      </c>
      <c r="BB105" s="27" t="s">
        <v>7</v>
      </c>
      <c r="BC105" s="27" t="s">
        <v>8</v>
      </c>
      <c r="BE105" s="27" t="s">
        <v>8</v>
      </c>
      <c r="BF105" s="27" t="s">
        <v>7</v>
      </c>
      <c r="BH105" s="27" t="s">
        <v>7</v>
      </c>
      <c r="BI105" s="27" t="s">
        <v>8</v>
      </c>
      <c r="BJ105" s="27" t="s">
        <v>7</v>
      </c>
      <c r="BK105" s="27" t="s">
        <v>8</v>
      </c>
      <c r="BL105" s="27" t="s">
        <v>7</v>
      </c>
      <c r="BM105" s="27" t="s">
        <v>8</v>
      </c>
      <c r="JU105" s="27" t="s">
        <v>8</v>
      </c>
    </row>
    <row r="106" spans="1:288" x14ac:dyDescent="0.25">
      <c r="A106" s="7">
        <v>13698.802914056259</v>
      </c>
      <c r="E106"/>
      <c r="AQ106" s="27" t="s">
        <v>8</v>
      </c>
      <c r="AR106" s="27" t="s">
        <v>7</v>
      </c>
      <c r="AS106" s="27" t="s">
        <v>8</v>
      </c>
      <c r="AV106" s="27" t="s">
        <v>7</v>
      </c>
      <c r="AW106" s="27" t="s">
        <v>8</v>
      </c>
      <c r="AX106" s="27" t="s">
        <v>7</v>
      </c>
      <c r="AY106" s="27" t="s">
        <v>8</v>
      </c>
      <c r="AZ106" s="27" t="s">
        <v>7</v>
      </c>
      <c r="BA106" s="27" t="s">
        <v>8</v>
      </c>
      <c r="BB106" s="27" t="s">
        <v>7</v>
      </c>
      <c r="BC106" s="27" t="s">
        <v>8</v>
      </c>
      <c r="BD106" s="27" t="s">
        <v>7</v>
      </c>
      <c r="BE106" s="27" t="s">
        <v>8</v>
      </c>
      <c r="BH106" s="27" t="s">
        <v>7</v>
      </c>
      <c r="BI106" s="27" t="s">
        <v>8</v>
      </c>
      <c r="BJ106" s="27" t="s">
        <v>7</v>
      </c>
      <c r="BK106" s="27" t="s">
        <v>8</v>
      </c>
      <c r="BL106" s="27" t="s">
        <v>7</v>
      </c>
      <c r="BM106" s="27" t="s">
        <v>8</v>
      </c>
      <c r="BN106" s="27" t="s">
        <v>7</v>
      </c>
      <c r="GC106" s="27" t="s">
        <v>8</v>
      </c>
      <c r="JS106" s="27" t="s">
        <v>8</v>
      </c>
      <c r="JU106" s="27" t="s">
        <v>8</v>
      </c>
    </row>
    <row r="107" spans="1:288" x14ac:dyDescent="0.25">
      <c r="A107" s="7">
        <v>13430.198935349274</v>
      </c>
      <c r="E107"/>
      <c r="AQ107" s="27" t="s">
        <v>8</v>
      </c>
      <c r="AR107" s="27" t="s">
        <v>7</v>
      </c>
      <c r="AS107" s="27" t="s">
        <v>8</v>
      </c>
      <c r="AV107" s="27" t="s">
        <v>7</v>
      </c>
      <c r="AW107" s="27" t="s">
        <v>8</v>
      </c>
      <c r="AX107" s="27" t="s">
        <v>7</v>
      </c>
      <c r="AY107" s="27" t="s">
        <v>8</v>
      </c>
      <c r="AZ107" s="27" t="s">
        <v>7</v>
      </c>
      <c r="BA107" s="27" t="s">
        <v>8</v>
      </c>
      <c r="BB107" s="27" t="s">
        <v>7</v>
      </c>
      <c r="BC107" s="27" t="s">
        <v>8</v>
      </c>
      <c r="BD107" s="27" t="s">
        <v>7</v>
      </c>
      <c r="BE107" s="27" t="s">
        <v>8</v>
      </c>
      <c r="BH107" s="27" t="s">
        <v>7</v>
      </c>
      <c r="BI107" s="27" t="s">
        <v>8</v>
      </c>
      <c r="BJ107" s="27" t="s">
        <v>7</v>
      </c>
      <c r="BK107" s="27" t="s">
        <v>8</v>
      </c>
      <c r="BL107" s="27" t="s">
        <v>7</v>
      </c>
      <c r="BM107" s="27" t="s">
        <v>8</v>
      </c>
      <c r="BN107" s="27" t="s">
        <v>7</v>
      </c>
      <c r="GC107" s="27" t="s">
        <v>8</v>
      </c>
      <c r="GD107" s="27" t="s">
        <v>7</v>
      </c>
      <c r="JS107" s="27" t="s">
        <v>8</v>
      </c>
      <c r="JT107" s="27" t="s">
        <v>7</v>
      </c>
      <c r="JU107" s="27" t="s">
        <v>8</v>
      </c>
    </row>
    <row r="108" spans="1:288" x14ac:dyDescent="0.25">
      <c r="A108" s="7">
        <v>13166.861701322818</v>
      </c>
      <c r="E108"/>
      <c r="AQ108" s="27" t="s">
        <v>8</v>
      </c>
      <c r="AR108" s="27" t="s">
        <v>7</v>
      </c>
      <c r="AS108" s="27" t="s">
        <v>8</v>
      </c>
      <c r="AV108" s="27" t="s">
        <v>7</v>
      </c>
      <c r="AW108" s="27" t="s">
        <v>8</v>
      </c>
      <c r="AX108" s="27" t="s">
        <v>7</v>
      </c>
      <c r="AY108" s="27" t="s">
        <v>8</v>
      </c>
      <c r="AZ108" s="27" t="s">
        <v>7</v>
      </c>
      <c r="BB108" s="27" t="s">
        <v>7</v>
      </c>
      <c r="BC108" s="27" t="s">
        <v>8</v>
      </c>
      <c r="BD108" s="27" t="s">
        <v>7</v>
      </c>
      <c r="BE108" s="27" t="s">
        <v>8</v>
      </c>
      <c r="BH108" s="27" t="s">
        <v>7</v>
      </c>
      <c r="BI108" s="27" t="s">
        <v>8</v>
      </c>
      <c r="BJ108" s="27" t="s">
        <v>7</v>
      </c>
      <c r="BK108" s="27" t="s">
        <v>8</v>
      </c>
      <c r="BL108" s="27" t="s">
        <v>7</v>
      </c>
      <c r="BM108" s="27" t="s">
        <v>8</v>
      </c>
      <c r="BN108" s="27" t="s">
        <v>7</v>
      </c>
      <c r="GC108" s="27" t="s">
        <v>8</v>
      </c>
      <c r="GD108" s="27" t="s">
        <v>7</v>
      </c>
      <c r="JS108" s="27" t="s">
        <v>8</v>
      </c>
      <c r="JT108" s="27" t="s">
        <v>7</v>
      </c>
      <c r="JU108" s="27" t="s">
        <v>8</v>
      </c>
    </row>
    <row r="109" spans="1:288" x14ac:dyDescent="0.25">
      <c r="A109" s="7">
        <v>12908.687942473351</v>
      </c>
      <c r="E109"/>
      <c r="AQ109" s="27" t="s">
        <v>8</v>
      </c>
      <c r="AR109" s="27" t="s">
        <v>7</v>
      </c>
      <c r="AS109" s="27" t="s">
        <v>8</v>
      </c>
      <c r="AV109" s="27" t="s">
        <v>7</v>
      </c>
      <c r="AW109" s="27" t="s">
        <v>8</v>
      </c>
      <c r="AX109" s="27" t="s">
        <v>7</v>
      </c>
      <c r="AY109" s="27" t="s">
        <v>8</v>
      </c>
      <c r="BB109" s="27" t="s">
        <v>7</v>
      </c>
      <c r="BC109" s="27" t="s">
        <v>8</v>
      </c>
      <c r="BD109" s="27" t="s">
        <v>7</v>
      </c>
      <c r="BH109" s="27" t="s">
        <v>7</v>
      </c>
      <c r="BJ109" s="27" t="s">
        <v>7</v>
      </c>
      <c r="BK109" s="27" t="s">
        <v>8</v>
      </c>
      <c r="BL109" s="27" t="s">
        <v>7</v>
      </c>
      <c r="BM109" s="27" t="s">
        <v>8</v>
      </c>
      <c r="BN109" s="27" t="s">
        <v>7</v>
      </c>
      <c r="BQ109" s="27" t="s">
        <v>8</v>
      </c>
      <c r="GC109" s="27" t="s">
        <v>8</v>
      </c>
      <c r="GD109" s="27" t="s">
        <v>7</v>
      </c>
      <c r="GI109" s="27" t="s">
        <v>8</v>
      </c>
      <c r="JS109" s="27" t="s">
        <v>8</v>
      </c>
      <c r="JT109" s="27" t="s">
        <v>7</v>
      </c>
    </row>
    <row r="110" spans="1:288" x14ac:dyDescent="0.25">
      <c r="A110" s="7">
        <v>12655.57641418956</v>
      </c>
      <c r="E110"/>
      <c r="AQ110" s="27" t="s">
        <v>8</v>
      </c>
      <c r="AR110" s="27" t="s">
        <v>7</v>
      </c>
      <c r="AS110" s="27" t="s">
        <v>8</v>
      </c>
      <c r="AV110" s="27" t="s">
        <v>7</v>
      </c>
      <c r="AW110" s="27" t="s">
        <v>8</v>
      </c>
      <c r="AX110" s="27" t="s">
        <v>7</v>
      </c>
      <c r="AY110" s="27" t="s">
        <v>8</v>
      </c>
      <c r="BB110" s="27" t="s">
        <v>7</v>
      </c>
      <c r="BC110" s="27" t="s">
        <v>8</v>
      </c>
      <c r="BJ110" s="27" t="s">
        <v>7</v>
      </c>
      <c r="BK110" s="27" t="s">
        <v>8</v>
      </c>
      <c r="BL110" s="27" t="s">
        <v>7</v>
      </c>
      <c r="BN110" s="27" t="s">
        <v>7</v>
      </c>
      <c r="BQ110" s="27" t="s">
        <v>8</v>
      </c>
      <c r="BR110" s="27" t="s">
        <v>7</v>
      </c>
      <c r="GC110" s="27" t="s">
        <v>8</v>
      </c>
      <c r="GD110" s="27" t="s">
        <v>7</v>
      </c>
      <c r="GI110" s="27" t="s">
        <v>8</v>
      </c>
      <c r="GJ110" s="27" t="s">
        <v>7</v>
      </c>
      <c r="JS110" s="27" t="s">
        <v>8</v>
      </c>
    </row>
    <row r="111" spans="1:288" x14ac:dyDescent="0.25">
      <c r="A111" s="7">
        <v>12407.427857048588</v>
      </c>
      <c r="C111" s="1" t="str">
        <f>ADDRESS(C121-1,1,1,1)</f>
        <v>$A$56</v>
      </c>
      <c r="D111" s="1" t="str">
        <f>ADDRESS(C121-1,D121,1,1)</f>
        <v>$OX$56</v>
      </c>
      <c r="E111"/>
      <c r="AQ111" s="27" t="s">
        <v>8</v>
      </c>
      <c r="AR111" s="27" t="s">
        <v>7</v>
      </c>
      <c r="AV111" s="27" t="s">
        <v>7</v>
      </c>
      <c r="AW111" s="27" t="s">
        <v>8</v>
      </c>
      <c r="AX111" s="27" t="s">
        <v>7</v>
      </c>
      <c r="AY111" s="27" t="s">
        <v>8</v>
      </c>
      <c r="BB111" s="27" t="s">
        <v>7</v>
      </c>
      <c r="BC111" s="27" t="s">
        <v>8</v>
      </c>
      <c r="BJ111" s="27" t="s">
        <v>7</v>
      </c>
      <c r="BK111" s="27" t="s">
        <v>8</v>
      </c>
      <c r="BN111" s="27" t="s">
        <v>7</v>
      </c>
      <c r="BQ111" s="27" t="s">
        <v>8</v>
      </c>
      <c r="BR111" s="27" t="s">
        <v>7</v>
      </c>
      <c r="GC111" s="27" t="s">
        <v>8</v>
      </c>
      <c r="GD111" s="27" t="s">
        <v>7</v>
      </c>
      <c r="GE111" s="27" t="s">
        <v>8</v>
      </c>
      <c r="GI111" s="27" t="s">
        <v>8</v>
      </c>
      <c r="GJ111" s="27" t="s">
        <v>7</v>
      </c>
      <c r="JK111" s="27" t="s">
        <v>8</v>
      </c>
      <c r="JS111" s="27" t="s">
        <v>8</v>
      </c>
    </row>
    <row r="112" spans="1:288" x14ac:dyDescent="0.25">
      <c r="A112" s="7">
        <v>12164.144957890772</v>
      </c>
      <c r="C112" s="1" t="str">
        <f>ADDRESS(C121,1,1,1)</f>
        <v>$A$57</v>
      </c>
      <c r="D112" s="1" t="str">
        <f>ADDRESS(C121,D121-1,1,1)</f>
        <v>$OW$57</v>
      </c>
      <c r="E112"/>
      <c r="AQ112" s="27" t="s">
        <v>8</v>
      </c>
      <c r="AV112" s="27" t="s">
        <v>7</v>
      </c>
      <c r="AW112" s="27" t="s">
        <v>8</v>
      </c>
      <c r="AX112" s="27" t="s">
        <v>7</v>
      </c>
      <c r="AY112" s="27" t="s">
        <v>8</v>
      </c>
      <c r="BB112" s="27" t="s">
        <v>7</v>
      </c>
      <c r="BC112" s="27" t="s">
        <v>8</v>
      </c>
      <c r="BJ112" s="27" t="s">
        <v>7</v>
      </c>
      <c r="BK112" s="27" t="s">
        <v>8</v>
      </c>
      <c r="BN112" s="27" t="s">
        <v>7</v>
      </c>
      <c r="BQ112" s="27" t="s">
        <v>8</v>
      </c>
      <c r="BR112" s="27" t="s">
        <v>7</v>
      </c>
      <c r="BU112" s="27" t="s">
        <v>8</v>
      </c>
      <c r="GC112" s="27" t="s">
        <v>8</v>
      </c>
      <c r="GD112" s="27" t="s">
        <v>7</v>
      </c>
      <c r="GE112" s="27" t="s">
        <v>8</v>
      </c>
      <c r="GF112" s="27" t="s">
        <v>7</v>
      </c>
      <c r="GI112" s="27" t="s">
        <v>8</v>
      </c>
      <c r="GJ112" s="27" t="s">
        <v>7</v>
      </c>
      <c r="GO112" s="27" t="s">
        <v>8</v>
      </c>
      <c r="JK112" s="27" t="s">
        <v>8</v>
      </c>
      <c r="JL112" s="27" t="s">
        <v>7</v>
      </c>
      <c r="JS112" s="27" t="s">
        <v>8</v>
      </c>
    </row>
    <row r="113" spans="1:279" x14ac:dyDescent="0.25">
      <c r="A113" s="7">
        <v>11925.63231165762</v>
      </c>
      <c r="C113" s="1" t="str">
        <f>ADDRESS(C121+1,1,1,1)</f>
        <v>$A$58</v>
      </c>
      <c r="D113" s="1" t="str">
        <f>ADDRESS(C121-1,D121+1,1,1)</f>
        <v>$OY$56</v>
      </c>
      <c r="AQ113" s="27" t="s">
        <v>8</v>
      </c>
      <c r="AV113" s="27" t="s">
        <v>7</v>
      </c>
      <c r="AW113" s="27" t="s">
        <v>8</v>
      </c>
      <c r="AX113" s="27" t="s">
        <v>7</v>
      </c>
      <c r="AY113" s="27" t="s">
        <v>8</v>
      </c>
      <c r="BB113" s="27" t="s">
        <v>7</v>
      </c>
      <c r="BJ113" s="27" t="s">
        <v>7</v>
      </c>
      <c r="BK113" s="27" t="s">
        <v>8</v>
      </c>
      <c r="BN113" s="27" t="s">
        <v>7</v>
      </c>
      <c r="BQ113" s="27" t="s">
        <v>8</v>
      </c>
      <c r="BR113" s="27" t="s">
        <v>7</v>
      </c>
      <c r="BU113" s="27" t="s">
        <v>8</v>
      </c>
      <c r="BV113" s="27" t="s">
        <v>7</v>
      </c>
      <c r="GC113" s="27" t="s">
        <v>8</v>
      </c>
      <c r="GD113" s="27" t="s">
        <v>7</v>
      </c>
      <c r="GE113" s="27" t="s">
        <v>8</v>
      </c>
      <c r="GF113" s="27" t="s">
        <v>7</v>
      </c>
      <c r="GG113" s="27" t="s">
        <v>8</v>
      </c>
      <c r="GI113" s="27" t="s">
        <v>8</v>
      </c>
      <c r="GJ113" s="27" t="s">
        <v>7</v>
      </c>
      <c r="GO113" s="27" t="s">
        <v>8</v>
      </c>
      <c r="GP113" s="27" t="s">
        <v>7</v>
      </c>
      <c r="JG113" s="27" t="s">
        <v>8</v>
      </c>
      <c r="JI113" s="27" t="s">
        <v>8</v>
      </c>
      <c r="JK113" s="27" t="s">
        <v>8</v>
      </c>
      <c r="JL113" s="27" t="s">
        <v>7</v>
      </c>
      <c r="JM113" s="27" t="s">
        <v>8</v>
      </c>
      <c r="JS113" s="27" t="s">
        <v>8</v>
      </c>
    </row>
    <row r="114" spans="1:279" x14ac:dyDescent="0.25">
      <c r="A114" s="7">
        <v>11691.796383978059</v>
      </c>
      <c r="C114" s="1" t="str">
        <f>ADDRESS(C121,D121,1,1)</f>
        <v>$OX$57</v>
      </c>
      <c r="D114" s="1" t="str">
        <f>ADDRESS(C121+1,D121+1,1,1)</f>
        <v>$OY$58</v>
      </c>
      <c r="AO114" s="27" t="s">
        <v>8</v>
      </c>
      <c r="AQ114" s="27" t="s">
        <v>8</v>
      </c>
      <c r="AV114" s="27" t="s">
        <v>7</v>
      </c>
      <c r="AW114" s="27" t="s">
        <v>8</v>
      </c>
      <c r="AX114" s="27" t="s">
        <v>7</v>
      </c>
      <c r="BJ114" s="27" t="s">
        <v>7</v>
      </c>
      <c r="BK114" s="27" t="s">
        <v>8</v>
      </c>
      <c r="BN114" s="27" t="s">
        <v>7</v>
      </c>
      <c r="BO114" s="27" t="s">
        <v>8</v>
      </c>
      <c r="BQ114" s="27" t="s">
        <v>8</v>
      </c>
      <c r="BR114" s="27" t="s">
        <v>7</v>
      </c>
      <c r="BS114" s="27" t="s">
        <v>8</v>
      </c>
      <c r="BU114" s="27" t="s">
        <v>8</v>
      </c>
      <c r="BV114" s="27" t="s">
        <v>7</v>
      </c>
      <c r="CE114" s="27" t="s">
        <v>8</v>
      </c>
      <c r="CI114" s="27" t="s">
        <v>8</v>
      </c>
      <c r="GC114" s="27" t="s">
        <v>8</v>
      </c>
      <c r="GD114" s="27" t="s">
        <v>7</v>
      </c>
      <c r="GE114" s="27" t="s">
        <v>8</v>
      </c>
      <c r="GF114" s="27" t="s">
        <v>7</v>
      </c>
      <c r="GG114" s="27" t="s">
        <v>8</v>
      </c>
      <c r="GH114" s="27" t="s">
        <v>7</v>
      </c>
      <c r="GI114" s="27" t="s">
        <v>8</v>
      </c>
      <c r="GJ114" s="27" t="s">
        <v>7</v>
      </c>
      <c r="GK114" s="27" t="s">
        <v>8</v>
      </c>
      <c r="GO114" s="27" t="s">
        <v>8</v>
      </c>
      <c r="GP114" s="27" t="s">
        <v>7</v>
      </c>
      <c r="JG114" s="27" t="s">
        <v>8</v>
      </c>
      <c r="JH114" s="27" t="s">
        <v>7</v>
      </c>
      <c r="JI114" s="27" t="s">
        <v>8</v>
      </c>
      <c r="JJ114" s="27" t="s">
        <v>7</v>
      </c>
      <c r="JK114" s="27" t="s">
        <v>8</v>
      </c>
      <c r="JL114" s="27" t="s">
        <v>7</v>
      </c>
      <c r="JM114" s="27" t="s">
        <v>8</v>
      </c>
      <c r="JN114" s="27" t="s">
        <v>7</v>
      </c>
      <c r="JS114" s="27" t="s">
        <v>8</v>
      </c>
    </row>
    <row r="115" spans="1:279" x14ac:dyDescent="0.25">
      <c r="A115" s="7">
        <v>11462.545474488292</v>
      </c>
      <c r="C115" s="1" t="str">
        <f>ADDRESS(C121+1,D121,1,1)</f>
        <v>$OX$58</v>
      </c>
      <c r="AO115" s="27" t="s">
        <v>8</v>
      </c>
      <c r="AP115" s="27" t="s">
        <v>7</v>
      </c>
      <c r="AQ115" s="27" t="s">
        <v>8</v>
      </c>
      <c r="AV115" s="27" t="s">
        <v>7</v>
      </c>
      <c r="AW115" s="27" t="s">
        <v>8</v>
      </c>
      <c r="BJ115" s="27" t="s">
        <v>7</v>
      </c>
      <c r="BN115" s="27" t="s">
        <v>7</v>
      </c>
      <c r="BO115" s="27" t="s">
        <v>8</v>
      </c>
      <c r="BP115" s="27" t="s">
        <v>7</v>
      </c>
      <c r="BQ115" s="27" t="s">
        <v>8</v>
      </c>
      <c r="BR115" s="27" t="s">
        <v>7</v>
      </c>
      <c r="BS115" s="27" t="s">
        <v>8</v>
      </c>
      <c r="BT115" s="27" t="s">
        <v>7</v>
      </c>
      <c r="BU115" s="27" t="s">
        <v>8</v>
      </c>
      <c r="BV115" s="27" t="s">
        <v>7</v>
      </c>
      <c r="CE115" s="27" t="s">
        <v>8</v>
      </c>
      <c r="CF115" s="27" t="s">
        <v>7</v>
      </c>
      <c r="CI115" s="27" t="s">
        <v>8</v>
      </c>
      <c r="CJ115" s="27" t="s">
        <v>7</v>
      </c>
      <c r="GC115" s="27" t="s">
        <v>8</v>
      </c>
      <c r="GD115" s="27" t="s">
        <v>7</v>
      </c>
      <c r="GE115" s="27" t="s">
        <v>8</v>
      </c>
      <c r="GF115" s="27" t="s">
        <v>7</v>
      </c>
      <c r="GG115" s="27" t="s">
        <v>8</v>
      </c>
      <c r="GH115" s="27" t="s">
        <v>7</v>
      </c>
      <c r="GI115" s="27" t="s">
        <v>8</v>
      </c>
      <c r="GJ115" s="27" t="s">
        <v>7</v>
      </c>
      <c r="GK115" s="27" t="s">
        <v>8</v>
      </c>
      <c r="GL115" s="27" t="s">
        <v>7</v>
      </c>
      <c r="GO115" s="27" t="s">
        <v>8</v>
      </c>
      <c r="GP115" s="27" t="s">
        <v>7</v>
      </c>
      <c r="JG115" s="27" t="s">
        <v>8</v>
      </c>
      <c r="JH115" s="27" t="s">
        <v>7</v>
      </c>
      <c r="JI115" s="27" t="s">
        <v>8</v>
      </c>
      <c r="JJ115" s="27" t="s">
        <v>7</v>
      </c>
      <c r="JK115" s="27" t="s">
        <v>8</v>
      </c>
      <c r="JL115" s="27" t="s">
        <v>7</v>
      </c>
      <c r="JM115" s="27" t="s">
        <v>8</v>
      </c>
      <c r="JN115" s="27" t="s">
        <v>7</v>
      </c>
      <c r="JS115" s="27" t="s">
        <v>8</v>
      </c>
    </row>
    <row r="116" spans="1:279" x14ac:dyDescent="0.25">
      <c r="A116" s="7">
        <v>11237.789680870874</v>
      </c>
      <c r="C116" s="1">
        <f>C117-1</f>
        <v>56</v>
      </c>
      <c r="AM116" s="27" t="s">
        <v>8</v>
      </c>
      <c r="AO116" s="27" t="s">
        <v>8</v>
      </c>
      <c r="AP116" s="27" t="s">
        <v>7</v>
      </c>
      <c r="AQ116" s="27" t="s">
        <v>8</v>
      </c>
      <c r="AV116" s="27" t="s">
        <v>7</v>
      </c>
      <c r="AW116" s="27" t="s">
        <v>8</v>
      </c>
      <c r="BN116" s="27" t="s">
        <v>7</v>
      </c>
      <c r="BO116" s="27" t="s">
        <v>8</v>
      </c>
      <c r="BP116" s="27" t="s">
        <v>7</v>
      </c>
      <c r="BQ116" s="27" t="s">
        <v>8</v>
      </c>
      <c r="BR116" s="27" t="s">
        <v>7</v>
      </c>
      <c r="BS116" s="27" t="s">
        <v>8</v>
      </c>
      <c r="BT116" s="27" t="s">
        <v>7</v>
      </c>
      <c r="BU116" s="27" t="s">
        <v>8</v>
      </c>
      <c r="BV116" s="27" t="s">
        <v>7</v>
      </c>
      <c r="CC116" s="27" t="s">
        <v>8</v>
      </c>
      <c r="CE116" s="27" t="s">
        <v>8</v>
      </c>
      <c r="CF116" s="27" t="s">
        <v>7</v>
      </c>
      <c r="CI116" s="27" t="s">
        <v>8</v>
      </c>
      <c r="CJ116" s="27" t="s">
        <v>7</v>
      </c>
      <c r="GC116" s="27" t="s">
        <v>8</v>
      </c>
      <c r="GD116" s="27" t="s">
        <v>7</v>
      </c>
      <c r="GE116" s="27" t="s">
        <v>8</v>
      </c>
      <c r="GF116" s="27" t="s">
        <v>7</v>
      </c>
      <c r="GG116" s="27" t="s">
        <v>8</v>
      </c>
      <c r="GH116" s="27" t="s">
        <v>7</v>
      </c>
      <c r="GI116" s="27" t="s">
        <v>8</v>
      </c>
      <c r="GJ116" s="27" t="s">
        <v>7</v>
      </c>
      <c r="GK116" s="27" t="s">
        <v>8</v>
      </c>
      <c r="GL116" s="27" t="s">
        <v>7</v>
      </c>
      <c r="GO116" s="27" t="s">
        <v>8</v>
      </c>
      <c r="GP116" s="27" t="s">
        <v>7</v>
      </c>
      <c r="JE116" s="27" t="s">
        <v>8</v>
      </c>
      <c r="JG116" s="27" t="s">
        <v>8</v>
      </c>
      <c r="JH116" s="27" t="s">
        <v>7</v>
      </c>
      <c r="JI116" s="27" t="s">
        <v>8</v>
      </c>
      <c r="JJ116" s="27" t="s">
        <v>7</v>
      </c>
      <c r="JL116" s="27" t="s">
        <v>7</v>
      </c>
      <c r="JN116" s="27" t="s">
        <v>7</v>
      </c>
      <c r="JS116" s="27" t="s">
        <v>8</v>
      </c>
    </row>
    <row r="117" spans="1:279" x14ac:dyDescent="0.25">
      <c r="A117" s="7">
        <v>11017.440863598895</v>
      </c>
      <c r="C117" s="1">
        <f>C121</f>
        <v>57</v>
      </c>
      <c r="D117" s="1">
        <f>D121</f>
        <v>414</v>
      </c>
      <c r="AM117" s="27" t="s">
        <v>8</v>
      </c>
      <c r="AN117" s="27" t="s">
        <v>7</v>
      </c>
      <c r="AO117" s="27" t="s">
        <v>8</v>
      </c>
      <c r="AP117" s="27" t="s">
        <v>7</v>
      </c>
      <c r="AV117" s="27" t="s">
        <v>7</v>
      </c>
      <c r="BN117" s="27" t="s">
        <v>7</v>
      </c>
      <c r="BO117" s="27" t="s">
        <v>8</v>
      </c>
      <c r="BP117" s="27" t="s">
        <v>7</v>
      </c>
      <c r="BQ117" s="27" t="s">
        <v>8</v>
      </c>
      <c r="BR117" s="27" t="s">
        <v>7</v>
      </c>
      <c r="BS117" s="27" t="s">
        <v>8</v>
      </c>
      <c r="BT117" s="27" t="s">
        <v>7</v>
      </c>
      <c r="BU117" s="27" t="s">
        <v>8</v>
      </c>
      <c r="BV117" s="27" t="s">
        <v>7</v>
      </c>
      <c r="CC117" s="27" t="s">
        <v>8</v>
      </c>
      <c r="CD117" s="27" t="s">
        <v>7</v>
      </c>
      <c r="CE117" s="27" t="s">
        <v>8</v>
      </c>
      <c r="CF117" s="27" t="s">
        <v>7</v>
      </c>
      <c r="CG117" s="27" t="s">
        <v>8</v>
      </c>
      <c r="CI117" s="27" t="s">
        <v>8</v>
      </c>
      <c r="CJ117" s="27" t="s">
        <v>7</v>
      </c>
      <c r="GC117" s="27" t="s">
        <v>8</v>
      </c>
      <c r="GD117" s="27" t="s">
        <v>7</v>
      </c>
      <c r="GE117" s="27" t="s">
        <v>8</v>
      </c>
      <c r="GF117" s="27" t="s">
        <v>7</v>
      </c>
      <c r="GG117" s="27" t="s">
        <v>8</v>
      </c>
      <c r="GH117" s="27" t="s">
        <v>7</v>
      </c>
      <c r="GI117" s="27" t="s">
        <v>8</v>
      </c>
      <c r="GJ117" s="27" t="s">
        <v>7</v>
      </c>
      <c r="GL117" s="27" t="s">
        <v>7</v>
      </c>
      <c r="GM117" s="27" t="s">
        <v>8</v>
      </c>
      <c r="GO117" s="27" t="s">
        <v>8</v>
      </c>
      <c r="GP117" s="27" t="s">
        <v>7</v>
      </c>
      <c r="JE117" s="27" t="s">
        <v>8</v>
      </c>
      <c r="JF117" s="27" t="s">
        <v>7</v>
      </c>
      <c r="JG117" s="27" t="s">
        <v>8</v>
      </c>
      <c r="JH117" s="27" t="s">
        <v>7</v>
      </c>
      <c r="JN117" s="27" t="s">
        <v>7</v>
      </c>
      <c r="JQ117" s="27" t="s">
        <v>8</v>
      </c>
      <c r="JS117" s="27" t="s">
        <v>8</v>
      </c>
    </row>
    <row r="118" spans="1:279" x14ac:dyDescent="0.25">
      <c r="A118" s="7">
        <v>10801.412611371465</v>
      </c>
      <c r="C118" s="1">
        <f>C117+1</f>
        <v>58</v>
      </c>
      <c r="D118" s="1">
        <f>D117+1</f>
        <v>415</v>
      </c>
      <c r="AM118" s="27" t="s">
        <v>8</v>
      </c>
      <c r="AN118" s="27" t="s">
        <v>7</v>
      </c>
      <c r="AO118" s="27" t="s">
        <v>8</v>
      </c>
      <c r="BN118" s="27" t="s">
        <v>7</v>
      </c>
      <c r="BO118" s="27" t="s">
        <v>8</v>
      </c>
      <c r="BP118" s="27" t="s">
        <v>7</v>
      </c>
      <c r="BQ118" s="27" t="s">
        <v>8</v>
      </c>
      <c r="BR118" s="27" t="s">
        <v>7</v>
      </c>
      <c r="BS118" s="27" t="s">
        <v>8</v>
      </c>
      <c r="BT118" s="27" t="s">
        <v>7</v>
      </c>
      <c r="BU118" s="27" t="s">
        <v>8</v>
      </c>
      <c r="BV118" s="27" t="s">
        <v>7</v>
      </c>
      <c r="CC118" s="27" t="s">
        <v>8</v>
      </c>
      <c r="CD118" s="27" t="s">
        <v>7</v>
      </c>
      <c r="CE118" s="27" t="s">
        <v>8</v>
      </c>
      <c r="CF118" s="27" t="s">
        <v>7</v>
      </c>
      <c r="CG118" s="27" t="s">
        <v>8</v>
      </c>
      <c r="CH118" s="27" t="s">
        <v>7</v>
      </c>
      <c r="CI118" s="27" t="s">
        <v>8</v>
      </c>
      <c r="CJ118" s="27" t="s">
        <v>7</v>
      </c>
      <c r="GC118" s="27" t="s">
        <v>8</v>
      </c>
      <c r="GD118" s="27" t="s">
        <v>7</v>
      </c>
      <c r="GE118" s="27" t="s">
        <v>8</v>
      </c>
      <c r="GF118" s="27" t="s">
        <v>7</v>
      </c>
      <c r="GG118" s="27" t="s">
        <v>8</v>
      </c>
      <c r="GH118" s="27" t="s">
        <v>7</v>
      </c>
      <c r="GL118" s="27" t="s">
        <v>7</v>
      </c>
      <c r="GM118" s="27" t="s">
        <v>8</v>
      </c>
      <c r="GN118" s="27" t="s">
        <v>7</v>
      </c>
      <c r="GO118" s="27" t="s">
        <v>8</v>
      </c>
      <c r="GP118" s="27" t="s">
        <v>7</v>
      </c>
      <c r="GQ118" s="27" t="s">
        <v>8</v>
      </c>
      <c r="GU118" s="27" t="s">
        <v>8</v>
      </c>
      <c r="JE118" s="27" t="s">
        <v>8</v>
      </c>
      <c r="JF118" s="27" t="s">
        <v>7</v>
      </c>
      <c r="JG118" s="27" t="s">
        <v>8</v>
      </c>
      <c r="JN118" s="27" t="s">
        <v>7</v>
      </c>
      <c r="JQ118" s="27" t="s">
        <v>8</v>
      </c>
      <c r="JR118" s="27" t="s">
        <v>7</v>
      </c>
      <c r="JS118" s="27" t="s">
        <v>8</v>
      </c>
    </row>
    <row r="119" spans="1:279" x14ac:dyDescent="0.25">
      <c r="A119" s="7">
        <v>10589.620207226926</v>
      </c>
      <c r="AM119" s="27" t="s">
        <v>8</v>
      </c>
      <c r="AN119" s="27" t="s">
        <v>7</v>
      </c>
      <c r="AO119" s="27" t="s">
        <v>8</v>
      </c>
      <c r="BN119" s="27" t="s">
        <v>7</v>
      </c>
      <c r="BO119" s="27" t="s">
        <v>8</v>
      </c>
      <c r="BP119" s="27" t="s">
        <v>7</v>
      </c>
      <c r="BQ119" s="27" t="s">
        <v>8</v>
      </c>
      <c r="BR119" s="27" t="s">
        <v>7</v>
      </c>
      <c r="BS119" s="27" t="s">
        <v>8</v>
      </c>
      <c r="BT119" s="27" t="s">
        <v>7</v>
      </c>
      <c r="BU119" s="27" t="s">
        <v>8</v>
      </c>
      <c r="BV119" s="27" t="s">
        <v>7</v>
      </c>
      <c r="CC119" s="27" t="s">
        <v>8</v>
      </c>
      <c r="CD119" s="27" t="s">
        <v>7</v>
      </c>
      <c r="CE119" s="27" t="s">
        <v>8</v>
      </c>
      <c r="CF119" s="27" t="s">
        <v>7</v>
      </c>
      <c r="CG119" s="27" t="s">
        <v>8</v>
      </c>
      <c r="CH119" s="27" t="s">
        <v>7</v>
      </c>
      <c r="CI119" s="27" t="s">
        <v>8</v>
      </c>
      <c r="CJ119" s="27" t="s">
        <v>7</v>
      </c>
      <c r="GC119" s="27" t="s">
        <v>8</v>
      </c>
      <c r="GD119" s="27" t="s">
        <v>7</v>
      </c>
      <c r="GF119" s="27" t="s">
        <v>7</v>
      </c>
      <c r="GG119" s="27" t="s">
        <v>8</v>
      </c>
      <c r="GL119" s="27" t="s">
        <v>7</v>
      </c>
      <c r="GM119" s="27" t="s">
        <v>8</v>
      </c>
      <c r="GN119" s="27" t="s">
        <v>7</v>
      </c>
      <c r="GO119" s="27" t="s">
        <v>8</v>
      </c>
      <c r="GP119" s="27" t="s">
        <v>7</v>
      </c>
      <c r="GQ119" s="27" t="s">
        <v>8</v>
      </c>
      <c r="GR119" s="27" t="s">
        <v>7</v>
      </c>
      <c r="GS119" s="27" t="s">
        <v>8</v>
      </c>
      <c r="GU119" s="27" t="s">
        <v>8</v>
      </c>
      <c r="GV119" s="27" t="s">
        <v>7</v>
      </c>
      <c r="JE119" s="27" t="s">
        <v>8</v>
      </c>
      <c r="JF119" s="27" t="s">
        <v>7</v>
      </c>
      <c r="JN119" s="27" t="s">
        <v>7</v>
      </c>
      <c r="JO119" s="27" t="s">
        <v>8</v>
      </c>
      <c r="JQ119" s="27" t="s">
        <v>8</v>
      </c>
      <c r="JR119" s="27" t="s">
        <v>7</v>
      </c>
      <c r="JS119" s="27" t="s">
        <v>8</v>
      </c>
    </row>
    <row r="120" spans="1:279" x14ac:dyDescent="0.25">
      <c r="A120" s="7">
        <v>10381.980595320516</v>
      </c>
      <c r="C120" s="1" t="s">
        <v>9</v>
      </c>
      <c r="AM120" s="27" t="s">
        <v>8</v>
      </c>
      <c r="AN120" s="27" t="s">
        <v>7</v>
      </c>
      <c r="AO120" s="27" t="s">
        <v>8</v>
      </c>
      <c r="BN120" s="27" t="s">
        <v>7</v>
      </c>
      <c r="BO120" s="27" t="s">
        <v>8</v>
      </c>
      <c r="BP120" s="27" t="s">
        <v>7</v>
      </c>
      <c r="BR120" s="27" t="s">
        <v>7</v>
      </c>
      <c r="BS120" s="27" t="s">
        <v>8</v>
      </c>
      <c r="BT120" s="27" t="s">
        <v>7</v>
      </c>
      <c r="BV120" s="27" t="s">
        <v>7</v>
      </c>
      <c r="CC120" s="27" t="s">
        <v>8</v>
      </c>
      <c r="CD120" s="27" t="s">
        <v>7</v>
      </c>
      <c r="CF120" s="27" t="s">
        <v>7</v>
      </c>
      <c r="CG120" s="27" t="s">
        <v>8</v>
      </c>
      <c r="CH120" s="27" t="s">
        <v>7</v>
      </c>
      <c r="CJ120" s="27" t="s">
        <v>7</v>
      </c>
      <c r="GC120" s="27" t="s">
        <v>8</v>
      </c>
      <c r="GF120" s="27" t="s">
        <v>7</v>
      </c>
      <c r="GG120" s="27" t="s">
        <v>8</v>
      </c>
      <c r="GL120" s="27" t="s">
        <v>7</v>
      </c>
      <c r="GM120" s="27" t="s">
        <v>8</v>
      </c>
      <c r="GN120" s="27" t="s">
        <v>7</v>
      </c>
      <c r="GO120" s="27" t="s">
        <v>8</v>
      </c>
      <c r="GP120" s="27" t="s">
        <v>7</v>
      </c>
      <c r="GQ120" s="27" t="s">
        <v>8</v>
      </c>
      <c r="GR120" s="27" t="s">
        <v>7</v>
      </c>
      <c r="GS120" s="27" t="s">
        <v>8</v>
      </c>
      <c r="GT120" s="27" t="s">
        <v>7</v>
      </c>
      <c r="GU120" s="27" t="s">
        <v>8</v>
      </c>
      <c r="GV120" s="27" t="s">
        <v>7</v>
      </c>
      <c r="HS120" s="27" t="s">
        <v>8</v>
      </c>
      <c r="JE120" s="27" t="s">
        <v>8</v>
      </c>
      <c r="JN120" s="27" t="s">
        <v>7</v>
      </c>
      <c r="JO120" s="27" t="s">
        <v>8</v>
      </c>
      <c r="JP120" s="27" t="s">
        <v>7</v>
      </c>
      <c r="JQ120" s="27" t="s">
        <v>8</v>
      </c>
      <c r="JR120" s="27" t="s">
        <v>7</v>
      </c>
      <c r="JS120" s="27" t="s">
        <v>8</v>
      </c>
    </row>
    <row r="121" spans="1:279" x14ac:dyDescent="0.25">
      <c r="A121" s="7">
        <v>10178.412348353448</v>
      </c>
      <c r="C121" s="18">
        <v>57</v>
      </c>
      <c r="D121" s="19">
        <v>414</v>
      </c>
      <c r="E121" s="19"/>
      <c r="AM121" s="27" t="s">
        <v>8</v>
      </c>
      <c r="AN121" s="27" t="s">
        <v>7</v>
      </c>
      <c r="AO121" s="27" t="s">
        <v>8</v>
      </c>
      <c r="BN121" s="27" t="s">
        <v>7</v>
      </c>
      <c r="BO121" s="27" t="s">
        <v>8</v>
      </c>
      <c r="BR121" s="27" t="s">
        <v>7</v>
      </c>
      <c r="BS121" s="27" t="s">
        <v>8</v>
      </c>
      <c r="BV121" s="27" t="s">
        <v>7</v>
      </c>
      <c r="CC121" s="27" t="s">
        <v>8</v>
      </c>
      <c r="CF121" s="27" t="s">
        <v>7</v>
      </c>
      <c r="CG121" s="27" t="s">
        <v>8</v>
      </c>
      <c r="CJ121" s="27" t="s">
        <v>7</v>
      </c>
      <c r="GC121" s="27" t="s">
        <v>8</v>
      </c>
      <c r="GF121" s="27" t="s">
        <v>7</v>
      </c>
      <c r="GG121" s="27" t="s">
        <v>8</v>
      </c>
      <c r="GL121" s="27" t="s">
        <v>7</v>
      </c>
      <c r="GM121" s="27" t="s">
        <v>8</v>
      </c>
      <c r="GN121" s="27" t="s">
        <v>7</v>
      </c>
      <c r="GO121" s="27" t="s">
        <v>8</v>
      </c>
      <c r="GP121" s="27" t="s">
        <v>7</v>
      </c>
      <c r="GQ121" s="27" t="s">
        <v>8</v>
      </c>
      <c r="GR121" s="27" t="s">
        <v>7</v>
      </c>
      <c r="GS121" s="27" t="s">
        <v>8</v>
      </c>
      <c r="GT121" s="27" t="s">
        <v>7</v>
      </c>
      <c r="GU121" s="27" t="s">
        <v>8</v>
      </c>
      <c r="GV121" s="27" t="s">
        <v>7</v>
      </c>
      <c r="HC121" s="27" t="s">
        <v>8</v>
      </c>
      <c r="HS121" s="27" t="s">
        <v>8</v>
      </c>
      <c r="HT121" s="27" t="s">
        <v>7</v>
      </c>
      <c r="HU121" s="27" t="s">
        <v>8</v>
      </c>
      <c r="IY121" s="27" t="s">
        <v>8</v>
      </c>
      <c r="JE121" s="27" t="s">
        <v>8</v>
      </c>
      <c r="JN121" s="27" t="s">
        <v>7</v>
      </c>
      <c r="JO121" s="27" t="s">
        <v>8</v>
      </c>
      <c r="JP121" s="27" t="s">
        <v>7</v>
      </c>
      <c r="JQ121" s="27" t="s">
        <v>8</v>
      </c>
      <c r="JR121" s="27" t="s">
        <v>7</v>
      </c>
    </row>
    <row r="122" spans="1:279" x14ac:dyDescent="0.25">
      <c r="A122" s="7">
        <v>9978.8356356406348</v>
      </c>
      <c r="C122" s="1" t="str">
        <f>INDEX(1:1048576,C117,D117)</f>
        <v>O</v>
      </c>
      <c r="AM122" s="27" t="s">
        <v>8</v>
      </c>
      <c r="AN122" s="27" t="s">
        <v>7</v>
      </c>
      <c r="AO122" s="27" t="s">
        <v>8</v>
      </c>
      <c r="BN122" s="27" t="s">
        <v>7</v>
      </c>
      <c r="BO122" s="27" t="s">
        <v>8</v>
      </c>
      <c r="BR122" s="27" t="s">
        <v>7</v>
      </c>
      <c r="BV122" s="27" t="s">
        <v>7</v>
      </c>
      <c r="CC122" s="27" t="s">
        <v>8</v>
      </c>
      <c r="CF122" s="27" t="s">
        <v>7</v>
      </c>
      <c r="CG122" s="27" t="s">
        <v>8</v>
      </c>
      <c r="CJ122" s="27" t="s">
        <v>7</v>
      </c>
      <c r="DE122" s="27" t="s">
        <v>8</v>
      </c>
      <c r="GC122" s="27" t="s">
        <v>8</v>
      </c>
      <c r="GF122" s="27" t="s">
        <v>7</v>
      </c>
      <c r="GG122" s="27" t="s">
        <v>8</v>
      </c>
      <c r="GL122" s="27" t="s">
        <v>7</v>
      </c>
      <c r="GM122" s="27" t="s">
        <v>8</v>
      </c>
      <c r="GN122" s="27" t="s">
        <v>7</v>
      </c>
      <c r="GO122" s="27" t="s">
        <v>8</v>
      </c>
      <c r="GP122" s="27" t="s">
        <v>7</v>
      </c>
      <c r="GQ122" s="27" t="s">
        <v>8</v>
      </c>
      <c r="GR122" s="27" t="s">
        <v>7</v>
      </c>
      <c r="GS122" s="27" t="s">
        <v>8</v>
      </c>
      <c r="GT122" s="27" t="s">
        <v>7</v>
      </c>
      <c r="GU122" s="27" t="s">
        <v>8</v>
      </c>
      <c r="GV122" s="27" t="s">
        <v>7</v>
      </c>
      <c r="HC122" s="27" t="s">
        <v>8</v>
      </c>
      <c r="HD122" s="27" t="s">
        <v>7</v>
      </c>
      <c r="HS122" s="27" t="s">
        <v>8</v>
      </c>
      <c r="HT122" s="27" t="s">
        <v>7</v>
      </c>
      <c r="HU122" s="27" t="s">
        <v>8</v>
      </c>
      <c r="HV122" s="27" t="s">
        <v>7</v>
      </c>
      <c r="HW122" s="27" t="s">
        <v>8</v>
      </c>
      <c r="IS122" s="27" t="s">
        <v>8</v>
      </c>
      <c r="IY122" s="27" t="s">
        <v>8</v>
      </c>
      <c r="IZ122" s="27" t="s">
        <v>7</v>
      </c>
      <c r="JA122" s="27" t="s">
        <v>8</v>
      </c>
      <c r="JE122" s="27" t="s">
        <v>8</v>
      </c>
      <c r="JN122" s="27" t="s">
        <v>7</v>
      </c>
      <c r="JP122" s="27" t="s">
        <v>7</v>
      </c>
    </row>
    <row r="123" spans="1:279" x14ac:dyDescent="0.25">
      <c r="A123" s="7">
        <v>9783.1721918045441</v>
      </c>
      <c r="C123" s="1" t="str">
        <f>"R"&amp;C121</f>
        <v>R57</v>
      </c>
      <c r="D123" s="1" t="str">
        <f>"C"&amp;D121</f>
        <v>C414</v>
      </c>
      <c r="AM123" s="27" t="s">
        <v>8</v>
      </c>
      <c r="AN123" s="27" t="s">
        <v>7</v>
      </c>
      <c r="AO123" s="27" t="s">
        <v>8</v>
      </c>
      <c r="BN123" s="27" t="s">
        <v>7</v>
      </c>
      <c r="BO123" s="27" t="s">
        <v>8</v>
      </c>
      <c r="BV123" s="27" t="s">
        <v>7</v>
      </c>
      <c r="CC123" s="27" t="s">
        <v>8</v>
      </c>
      <c r="CF123" s="27" t="s">
        <v>7</v>
      </c>
      <c r="CG123" s="27" t="s">
        <v>8</v>
      </c>
      <c r="CJ123" s="27" t="s">
        <v>7</v>
      </c>
      <c r="CK123" s="27" t="s">
        <v>8</v>
      </c>
      <c r="DE123" s="27" t="s">
        <v>8</v>
      </c>
      <c r="DF123" s="27" t="s">
        <v>7</v>
      </c>
      <c r="GC123" s="27" t="s">
        <v>8</v>
      </c>
      <c r="GF123" s="27" t="s">
        <v>7</v>
      </c>
      <c r="GL123" s="27" t="s">
        <v>7</v>
      </c>
      <c r="GM123" s="27" t="s">
        <v>8</v>
      </c>
      <c r="GN123" s="27" t="s">
        <v>7</v>
      </c>
      <c r="GO123" s="27" t="s">
        <v>8</v>
      </c>
      <c r="GP123" s="27" t="s">
        <v>7</v>
      </c>
      <c r="GR123" s="27" t="s">
        <v>7</v>
      </c>
      <c r="GT123" s="27" t="s">
        <v>7</v>
      </c>
      <c r="GU123" s="27" t="s">
        <v>8</v>
      </c>
      <c r="GV123" s="27" t="s">
        <v>7</v>
      </c>
      <c r="HC123" s="27" t="s">
        <v>8</v>
      </c>
      <c r="HD123" s="27" t="s">
        <v>7</v>
      </c>
      <c r="HE123" s="27" t="s">
        <v>8</v>
      </c>
      <c r="HS123" s="27" t="s">
        <v>8</v>
      </c>
      <c r="HT123" s="27" t="s">
        <v>7</v>
      </c>
      <c r="HU123" s="27" t="s">
        <v>8</v>
      </c>
      <c r="HV123" s="27" t="s">
        <v>7</v>
      </c>
      <c r="HW123" s="27" t="s">
        <v>8</v>
      </c>
      <c r="HX123" s="27" t="s">
        <v>7</v>
      </c>
      <c r="IS123" s="27" t="s">
        <v>8</v>
      </c>
      <c r="IT123" s="27" t="s">
        <v>7</v>
      </c>
      <c r="IU123" s="27" t="s">
        <v>8</v>
      </c>
      <c r="IW123" s="27" t="s">
        <v>8</v>
      </c>
      <c r="IY123" s="27" t="s">
        <v>8</v>
      </c>
      <c r="IZ123" s="27" t="s">
        <v>7</v>
      </c>
      <c r="JA123" s="27" t="s">
        <v>8</v>
      </c>
      <c r="JB123" s="27" t="s">
        <v>7</v>
      </c>
      <c r="JE123" s="27" t="s">
        <v>8</v>
      </c>
    </row>
    <row r="124" spans="1:279" x14ac:dyDescent="0.25">
      <c r="A124" s="7">
        <v>9591.3452860828857</v>
      </c>
      <c r="C124" s="1">
        <f>SUM(C130:D130)</f>
        <v>0</v>
      </c>
      <c r="D124" s="1">
        <f>IF(C124=0,0,1)</f>
        <v>0</v>
      </c>
      <c r="AM124" s="27" t="s">
        <v>8</v>
      </c>
      <c r="AN124" s="27" t="s">
        <v>7</v>
      </c>
      <c r="AO124" s="27" t="s">
        <v>8</v>
      </c>
      <c r="BN124" s="27" t="s">
        <v>7</v>
      </c>
      <c r="BO124" s="27" t="s">
        <v>8</v>
      </c>
      <c r="BV124" s="27" t="s">
        <v>7</v>
      </c>
      <c r="CC124" s="27" t="s">
        <v>8</v>
      </c>
      <c r="CF124" s="27" t="s">
        <v>7</v>
      </c>
      <c r="CG124" s="27" t="s">
        <v>8</v>
      </c>
      <c r="CJ124" s="27" t="s">
        <v>7</v>
      </c>
      <c r="CK124" s="27" t="s">
        <v>8</v>
      </c>
      <c r="CL124" s="27" t="s">
        <v>7</v>
      </c>
      <c r="DA124" s="27" t="s">
        <v>8</v>
      </c>
      <c r="DE124" s="27" t="s">
        <v>8</v>
      </c>
      <c r="DF124" s="27" t="s">
        <v>7</v>
      </c>
      <c r="GC124" s="27" t="s">
        <v>8</v>
      </c>
      <c r="GL124" s="27" t="s">
        <v>7</v>
      </c>
      <c r="GM124" s="27" t="s">
        <v>8</v>
      </c>
      <c r="GN124" s="27" t="s">
        <v>7</v>
      </c>
      <c r="GO124" s="27" t="s">
        <v>8</v>
      </c>
      <c r="GT124" s="27" t="s">
        <v>7</v>
      </c>
      <c r="GU124" s="27" t="s">
        <v>8</v>
      </c>
      <c r="GV124" s="27" t="s">
        <v>7</v>
      </c>
      <c r="HC124" s="27" t="s">
        <v>8</v>
      </c>
      <c r="HD124" s="27" t="s">
        <v>7</v>
      </c>
      <c r="HE124" s="27" t="s">
        <v>8</v>
      </c>
      <c r="HF124" s="27" t="s">
        <v>7</v>
      </c>
      <c r="HS124" s="27" t="s">
        <v>8</v>
      </c>
      <c r="HT124" s="27" t="s">
        <v>7</v>
      </c>
      <c r="HV124" s="27" t="s">
        <v>7</v>
      </c>
      <c r="HW124" s="27" t="s">
        <v>8</v>
      </c>
      <c r="HX124" s="27" t="s">
        <v>7</v>
      </c>
      <c r="IS124" s="27" t="s">
        <v>8</v>
      </c>
      <c r="IT124" s="27" t="s">
        <v>7</v>
      </c>
      <c r="IU124" s="27" t="s">
        <v>8</v>
      </c>
      <c r="IV124" s="27" t="s">
        <v>7</v>
      </c>
      <c r="IW124" s="27" t="s">
        <v>8</v>
      </c>
      <c r="IX124" s="27" t="s">
        <v>7</v>
      </c>
      <c r="IY124" s="27" t="s">
        <v>8</v>
      </c>
      <c r="IZ124" s="27" t="s">
        <v>7</v>
      </c>
      <c r="JA124" s="27" t="s">
        <v>8</v>
      </c>
      <c r="JB124" s="27" t="s">
        <v>7</v>
      </c>
      <c r="JC124" s="27" t="s">
        <v>8</v>
      </c>
      <c r="JE124" s="27" t="s">
        <v>8</v>
      </c>
    </row>
    <row r="125" spans="1:279" x14ac:dyDescent="0.25">
      <c r="A125" s="7">
        <v>9403.2796922381222</v>
      </c>
      <c r="AM125" s="27" t="s">
        <v>8</v>
      </c>
      <c r="AN125" s="27" t="s">
        <v>7</v>
      </c>
      <c r="AO125" s="27" t="s">
        <v>8</v>
      </c>
      <c r="BN125" s="27" t="s">
        <v>7</v>
      </c>
      <c r="BO125" s="27" t="s">
        <v>8</v>
      </c>
      <c r="BV125" s="27" t="s">
        <v>7</v>
      </c>
      <c r="BW125" s="27" t="s">
        <v>8</v>
      </c>
      <c r="CC125" s="27" t="s">
        <v>8</v>
      </c>
      <c r="CF125" s="27" t="s">
        <v>7</v>
      </c>
      <c r="CJ125" s="27" t="s">
        <v>7</v>
      </c>
      <c r="CK125" s="27" t="s">
        <v>8</v>
      </c>
      <c r="CL125" s="27" t="s">
        <v>7</v>
      </c>
      <c r="DA125" s="27" t="s">
        <v>8</v>
      </c>
      <c r="DB125" s="27" t="s">
        <v>7</v>
      </c>
      <c r="DC125" s="27" t="s">
        <v>8</v>
      </c>
      <c r="DE125" s="27" t="s">
        <v>8</v>
      </c>
      <c r="DF125" s="27" t="s">
        <v>7</v>
      </c>
      <c r="GC125" s="27" t="s">
        <v>8</v>
      </c>
      <c r="GL125" s="27" t="s">
        <v>7</v>
      </c>
      <c r="GM125" s="27" t="s">
        <v>8</v>
      </c>
      <c r="GN125" s="27" t="s">
        <v>7</v>
      </c>
      <c r="GO125" s="27" t="s">
        <v>8</v>
      </c>
      <c r="GT125" s="27" t="s">
        <v>7</v>
      </c>
      <c r="GV125" s="27" t="s">
        <v>7</v>
      </c>
      <c r="HC125" s="27" t="s">
        <v>8</v>
      </c>
      <c r="HD125" s="27" t="s">
        <v>7</v>
      </c>
      <c r="HE125" s="27" t="s">
        <v>8</v>
      </c>
      <c r="HF125" s="27" t="s">
        <v>7</v>
      </c>
      <c r="HS125" s="27" t="s">
        <v>8</v>
      </c>
      <c r="HV125" s="27" t="s">
        <v>7</v>
      </c>
      <c r="HX125" s="27" t="s">
        <v>7</v>
      </c>
      <c r="IQ125" s="27" t="s">
        <v>8</v>
      </c>
      <c r="IS125" s="27" t="s">
        <v>8</v>
      </c>
      <c r="IT125" s="27" t="s">
        <v>7</v>
      </c>
      <c r="IU125" s="27" t="s">
        <v>8</v>
      </c>
      <c r="IV125" s="27" t="s">
        <v>7</v>
      </c>
      <c r="IW125" s="27" t="s">
        <v>8</v>
      </c>
      <c r="IX125" s="27" t="s">
        <v>7</v>
      </c>
      <c r="IY125" s="27" t="s">
        <v>8</v>
      </c>
      <c r="IZ125" s="27" t="s">
        <v>7</v>
      </c>
      <c r="JB125" s="27" t="s">
        <v>7</v>
      </c>
      <c r="JC125" s="27" t="s">
        <v>8</v>
      </c>
      <c r="JD125" s="27" t="s">
        <v>7</v>
      </c>
      <c r="JE125" s="27" t="s">
        <v>8</v>
      </c>
    </row>
    <row r="126" spans="1:279" x14ac:dyDescent="0.25">
      <c r="A126" s="7">
        <v>9218.9016590569827</v>
      </c>
      <c r="C126" s="1" t="s">
        <v>10</v>
      </c>
      <c r="AM126" s="27" t="s">
        <v>8</v>
      </c>
      <c r="AN126" s="27" t="s">
        <v>7</v>
      </c>
      <c r="AO126" s="27" t="s">
        <v>8</v>
      </c>
      <c r="BN126" s="27" t="s">
        <v>7</v>
      </c>
      <c r="BO126" s="27" t="s">
        <v>8</v>
      </c>
      <c r="BV126" s="27" t="s">
        <v>7</v>
      </c>
      <c r="BW126" s="27" t="s">
        <v>8</v>
      </c>
      <c r="BX126" s="27" t="s">
        <v>7</v>
      </c>
      <c r="CC126" s="27" t="s">
        <v>8</v>
      </c>
      <c r="CJ126" s="27" t="s">
        <v>7</v>
      </c>
      <c r="CK126" s="27" t="s">
        <v>8</v>
      </c>
      <c r="CL126" s="27" t="s">
        <v>7</v>
      </c>
      <c r="DA126" s="27" t="s">
        <v>8</v>
      </c>
      <c r="DB126" s="27" t="s">
        <v>7</v>
      </c>
      <c r="DC126" s="27" t="s">
        <v>8</v>
      </c>
      <c r="DD126" s="27" t="s">
        <v>7</v>
      </c>
      <c r="DE126" s="27" t="s">
        <v>8</v>
      </c>
      <c r="DF126" s="27" t="s">
        <v>7</v>
      </c>
      <c r="GC126" s="27" t="s">
        <v>8</v>
      </c>
      <c r="GL126" s="27" t="s">
        <v>7</v>
      </c>
      <c r="GN126" s="27" t="s">
        <v>7</v>
      </c>
      <c r="GV126" s="27" t="s">
        <v>7</v>
      </c>
      <c r="HC126" s="27" t="s">
        <v>8</v>
      </c>
      <c r="HD126" s="27" t="s">
        <v>7</v>
      </c>
      <c r="HF126" s="27" t="s">
        <v>7</v>
      </c>
      <c r="HS126" s="27" t="s">
        <v>8</v>
      </c>
      <c r="HX126" s="27" t="s">
        <v>7</v>
      </c>
      <c r="IQ126" s="27" t="s">
        <v>8</v>
      </c>
      <c r="IR126" s="27" t="s">
        <v>7</v>
      </c>
      <c r="IS126" s="27" t="s">
        <v>8</v>
      </c>
      <c r="IT126" s="27" t="s">
        <v>7</v>
      </c>
      <c r="IU126" s="27" t="s">
        <v>8</v>
      </c>
      <c r="IV126" s="27" t="s">
        <v>7</v>
      </c>
      <c r="IX126" s="27" t="s">
        <v>7</v>
      </c>
      <c r="IY126" s="27" t="s">
        <v>8</v>
      </c>
      <c r="JB126" s="27" t="s">
        <v>7</v>
      </c>
      <c r="JC126" s="27" t="s">
        <v>8</v>
      </c>
      <c r="JD126" s="27" t="s">
        <v>7</v>
      </c>
      <c r="JE126" s="27" t="s">
        <v>8</v>
      </c>
    </row>
    <row r="127" spans="1:279" x14ac:dyDescent="0.25">
      <c r="A127" s="7">
        <v>9038.1388814284146</v>
      </c>
      <c r="C127" s="7">
        <v>36148.562682463213</v>
      </c>
      <c r="D127"/>
      <c r="AM127" s="27" t="s">
        <v>8</v>
      </c>
      <c r="AN127" s="27" t="s">
        <v>7</v>
      </c>
      <c r="AO127" s="27" t="s">
        <v>8</v>
      </c>
      <c r="BN127" s="27" t="s">
        <v>7</v>
      </c>
      <c r="BV127" s="27" t="s">
        <v>7</v>
      </c>
      <c r="BW127" s="27" t="s">
        <v>8</v>
      </c>
      <c r="BX127" s="27" t="s">
        <v>7</v>
      </c>
      <c r="CA127" s="27" t="s">
        <v>8</v>
      </c>
      <c r="CC127" s="27" t="s">
        <v>8</v>
      </c>
      <c r="CJ127" s="27" t="s">
        <v>7</v>
      </c>
      <c r="CK127" s="27" t="s">
        <v>8</v>
      </c>
      <c r="CL127" s="27" t="s">
        <v>7</v>
      </c>
      <c r="CO127" s="27" t="s">
        <v>8</v>
      </c>
      <c r="DA127" s="27" t="s">
        <v>8</v>
      </c>
      <c r="DB127" s="27" t="s">
        <v>7</v>
      </c>
      <c r="DC127" s="27" t="s">
        <v>8</v>
      </c>
      <c r="DD127" s="27" t="s">
        <v>7</v>
      </c>
      <c r="DE127" s="27" t="s">
        <v>8</v>
      </c>
      <c r="DF127" s="27" t="s">
        <v>7</v>
      </c>
      <c r="FW127" s="27" t="s">
        <v>8</v>
      </c>
      <c r="GC127" s="27" t="s">
        <v>8</v>
      </c>
      <c r="GV127" s="27" t="s">
        <v>7</v>
      </c>
      <c r="HC127" s="27" t="s">
        <v>8</v>
      </c>
      <c r="HF127" s="27" t="s">
        <v>7</v>
      </c>
      <c r="HQ127" s="27" t="s">
        <v>8</v>
      </c>
      <c r="HS127" s="27" t="s">
        <v>8</v>
      </c>
      <c r="HX127" s="27" t="s">
        <v>7</v>
      </c>
      <c r="HY127" s="27" t="s">
        <v>8</v>
      </c>
      <c r="IQ127" s="27" t="s">
        <v>8</v>
      </c>
      <c r="IR127" s="27" t="s">
        <v>7</v>
      </c>
      <c r="IS127" s="27" t="s">
        <v>8</v>
      </c>
      <c r="IT127" s="27" t="s">
        <v>7</v>
      </c>
      <c r="IU127" s="27" t="s">
        <v>8</v>
      </c>
      <c r="IX127" s="27" t="s">
        <v>7</v>
      </c>
      <c r="IY127" s="27" t="s">
        <v>8</v>
      </c>
      <c r="JB127" s="27" t="s">
        <v>7</v>
      </c>
      <c r="JD127" s="27" t="s">
        <v>7</v>
      </c>
      <c r="JE127" s="27" t="s">
        <v>8</v>
      </c>
    </row>
    <row r="128" spans="1:279" x14ac:dyDescent="0.25">
      <c r="A128" s="7">
        <v>8860.920471988642</v>
      </c>
      <c r="AM128" s="27" t="s">
        <v>8</v>
      </c>
      <c r="AN128" s="27" t="s">
        <v>7</v>
      </c>
      <c r="BV128" s="27" t="s">
        <v>7</v>
      </c>
      <c r="BW128" s="27" t="s">
        <v>8</v>
      </c>
      <c r="BX128" s="27" t="s">
        <v>7</v>
      </c>
      <c r="CA128" s="27" t="s">
        <v>8</v>
      </c>
      <c r="CB128" s="27" t="s">
        <v>7</v>
      </c>
      <c r="CC128" s="27" t="s">
        <v>8</v>
      </c>
      <c r="CJ128" s="27" t="s">
        <v>7</v>
      </c>
      <c r="CK128" s="27" t="s">
        <v>8</v>
      </c>
      <c r="CL128" s="27" t="s">
        <v>7</v>
      </c>
      <c r="CO128" s="27" t="s">
        <v>8</v>
      </c>
      <c r="CP128" s="27" t="s">
        <v>7</v>
      </c>
      <c r="CQ128" s="27" t="s">
        <v>8</v>
      </c>
      <c r="DA128" s="27" t="s">
        <v>8</v>
      </c>
      <c r="DB128" s="27" t="s">
        <v>7</v>
      </c>
      <c r="DC128" s="27" t="s">
        <v>8</v>
      </c>
      <c r="DD128" s="27" t="s">
        <v>7</v>
      </c>
      <c r="DF128" s="27" t="s">
        <v>7</v>
      </c>
      <c r="DG128" s="27" t="s">
        <v>8</v>
      </c>
      <c r="FW128" s="27" t="s">
        <v>8</v>
      </c>
      <c r="FX128" s="27" t="s">
        <v>7</v>
      </c>
      <c r="GC128" s="27" t="s">
        <v>8</v>
      </c>
      <c r="GV128" s="27" t="s">
        <v>7</v>
      </c>
      <c r="HC128" s="27" t="s">
        <v>8</v>
      </c>
      <c r="HF128" s="27" t="s">
        <v>7</v>
      </c>
      <c r="HQ128" s="27" t="s">
        <v>8</v>
      </c>
      <c r="HR128" s="27" t="s">
        <v>7</v>
      </c>
      <c r="HS128" s="27" t="s">
        <v>8</v>
      </c>
      <c r="HX128" s="27" t="s">
        <v>7</v>
      </c>
      <c r="HY128" s="27" t="s">
        <v>8</v>
      </c>
      <c r="HZ128" s="27" t="s">
        <v>7</v>
      </c>
      <c r="IQ128" s="27" t="s">
        <v>8</v>
      </c>
      <c r="IR128" s="27" t="s">
        <v>7</v>
      </c>
      <c r="IS128" s="27" t="s">
        <v>8</v>
      </c>
      <c r="IT128" s="27" t="s">
        <v>7</v>
      </c>
      <c r="IU128" s="27" t="s">
        <v>8</v>
      </c>
      <c r="IX128" s="27" t="s">
        <v>7</v>
      </c>
      <c r="IY128" s="27" t="s">
        <v>8</v>
      </c>
      <c r="JD128" s="27" t="s">
        <v>7</v>
      </c>
    </row>
    <row r="129" spans="1:258" x14ac:dyDescent="0.25">
      <c r="A129" s="7">
        <v>8687.1769333221982</v>
      </c>
      <c r="C129" s="1" t="s">
        <v>11</v>
      </c>
      <c r="D129" s="1" t="s">
        <v>12</v>
      </c>
      <c r="E129"/>
      <c r="AM129" s="27" t="s">
        <v>8</v>
      </c>
      <c r="BV129" s="27" t="s">
        <v>7</v>
      </c>
      <c r="BW129" s="27" t="s">
        <v>8</v>
      </c>
      <c r="BX129" s="27" t="s">
        <v>7</v>
      </c>
      <c r="CA129" s="27" t="s">
        <v>8</v>
      </c>
      <c r="CB129" s="27" t="s">
        <v>7</v>
      </c>
      <c r="CC129" s="27" t="s">
        <v>8</v>
      </c>
      <c r="CJ129" s="27" t="s">
        <v>7</v>
      </c>
      <c r="CK129" s="27" t="s">
        <v>8</v>
      </c>
      <c r="CL129" s="27" t="s">
        <v>7</v>
      </c>
      <c r="CO129" s="27" t="s">
        <v>8</v>
      </c>
      <c r="CP129" s="27" t="s">
        <v>7</v>
      </c>
      <c r="CQ129" s="27" t="s">
        <v>8</v>
      </c>
      <c r="CR129" s="27" t="s">
        <v>7</v>
      </c>
      <c r="DA129" s="27" t="s">
        <v>8</v>
      </c>
      <c r="DB129" s="27" t="s">
        <v>7</v>
      </c>
      <c r="DF129" s="27" t="s">
        <v>7</v>
      </c>
      <c r="DG129" s="27" t="s">
        <v>8</v>
      </c>
      <c r="DH129" s="27" t="s">
        <v>7</v>
      </c>
      <c r="FW129" s="27" t="s">
        <v>8</v>
      </c>
      <c r="FX129" s="27" t="s">
        <v>7</v>
      </c>
      <c r="FY129" s="27" t="s">
        <v>8</v>
      </c>
      <c r="GC129" s="27" t="s">
        <v>8</v>
      </c>
      <c r="GV129" s="27" t="s">
        <v>7</v>
      </c>
      <c r="GW129" s="27" t="s">
        <v>8</v>
      </c>
      <c r="HA129" s="27" t="s">
        <v>8</v>
      </c>
      <c r="HC129" s="27" t="s">
        <v>8</v>
      </c>
      <c r="HF129" s="27" t="s">
        <v>7</v>
      </c>
      <c r="HQ129" s="27" t="s">
        <v>8</v>
      </c>
      <c r="HR129" s="27" t="s">
        <v>7</v>
      </c>
      <c r="HS129" s="27" t="s">
        <v>8</v>
      </c>
      <c r="HX129" s="27" t="s">
        <v>7</v>
      </c>
      <c r="HY129" s="27" t="s">
        <v>8</v>
      </c>
      <c r="HZ129" s="27" t="s">
        <v>7</v>
      </c>
      <c r="IQ129" s="27" t="s">
        <v>8</v>
      </c>
      <c r="IR129" s="27" t="s">
        <v>7</v>
      </c>
      <c r="IT129" s="27" t="s">
        <v>7</v>
      </c>
      <c r="IU129" s="27" t="s">
        <v>8</v>
      </c>
      <c r="IX129" s="27" t="s">
        <v>7</v>
      </c>
    </row>
    <row r="130" spans="1:258" x14ac:dyDescent="0.25">
      <c r="A130" s="7">
        <v>8516.8401307080367</v>
      </c>
      <c r="C130" s="6"/>
      <c r="D130" s="6"/>
      <c r="E130"/>
      <c r="AM130" s="27" t="s">
        <v>8</v>
      </c>
      <c r="BV130" s="27" t="s">
        <v>7</v>
      </c>
      <c r="BW130" s="27" t="s">
        <v>8</v>
      </c>
      <c r="BX130" s="27" t="s">
        <v>7</v>
      </c>
      <c r="CA130" s="27" t="s">
        <v>8</v>
      </c>
      <c r="CB130" s="27" t="s">
        <v>7</v>
      </c>
      <c r="CC130" s="27" t="s">
        <v>8</v>
      </c>
      <c r="CJ130" s="27" t="s">
        <v>7</v>
      </c>
      <c r="CK130" s="27" t="s">
        <v>8</v>
      </c>
      <c r="CL130" s="27" t="s">
        <v>7</v>
      </c>
      <c r="CM130" s="27" t="s">
        <v>8</v>
      </c>
      <c r="CO130" s="27" t="s">
        <v>8</v>
      </c>
      <c r="CP130" s="27" t="s">
        <v>7</v>
      </c>
      <c r="CQ130" s="27" t="s">
        <v>8</v>
      </c>
      <c r="CR130" s="27" t="s">
        <v>7</v>
      </c>
      <c r="DA130" s="27" t="s">
        <v>8</v>
      </c>
      <c r="DF130" s="27" t="s">
        <v>7</v>
      </c>
      <c r="DG130" s="27" t="s">
        <v>8</v>
      </c>
      <c r="DH130" s="27" t="s">
        <v>7</v>
      </c>
      <c r="DI130" s="27" t="s">
        <v>8</v>
      </c>
      <c r="FW130" s="27" t="s">
        <v>8</v>
      </c>
      <c r="FX130" s="27" t="s">
        <v>7</v>
      </c>
      <c r="FY130" s="27" t="s">
        <v>8</v>
      </c>
      <c r="FZ130" s="27" t="s">
        <v>7</v>
      </c>
      <c r="GC130" s="27" t="s">
        <v>8</v>
      </c>
      <c r="GV130" s="27" t="s">
        <v>7</v>
      </c>
      <c r="GW130" s="27" t="s">
        <v>8</v>
      </c>
      <c r="GX130" s="27" t="s">
        <v>7</v>
      </c>
      <c r="HA130" s="27" t="s">
        <v>8</v>
      </c>
      <c r="HB130" s="27" t="s">
        <v>7</v>
      </c>
      <c r="HC130" s="27" t="s">
        <v>8</v>
      </c>
      <c r="HF130" s="27" t="s">
        <v>7</v>
      </c>
      <c r="HQ130" s="27" t="s">
        <v>8</v>
      </c>
      <c r="HR130" s="27" t="s">
        <v>7</v>
      </c>
      <c r="HS130" s="27" t="s">
        <v>8</v>
      </c>
      <c r="HX130" s="27" t="s">
        <v>7</v>
      </c>
      <c r="HZ130" s="27" t="s">
        <v>7</v>
      </c>
      <c r="IQ130" s="27" t="s">
        <v>8</v>
      </c>
      <c r="IT130" s="27" t="s">
        <v>7</v>
      </c>
      <c r="IU130" s="27" t="s">
        <v>8</v>
      </c>
    </row>
    <row r="131" spans="1:258" x14ac:dyDescent="0.25">
      <c r="A131" s="7">
        <v>8349.8432654000353</v>
      </c>
      <c r="E131"/>
      <c r="AK131" s="27" t="s">
        <v>8</v>
      </c>
      <c r="AM131" s="27" t="s">
        <v>8</v>
      </c>
      <c r="BV131" s="27" t="s">
        <v>7</v>
      </c>
      <c r="BW131" s="27" t="s">
        <v>8</v>
      </c>
      <c r="BX131" s="27" t="s">
        <v>7</v>
      </c>
      <c r="BY131" s="27" t="s">
        <v>8</v>
      </c>
      <c r="CA131" s="27" t="s">
        <v>8</v>
      </c>
      <c r="CB131" s="27" t="s">
        <v>7</v>
      </c>
      <c r="CC131" s="27" t="s">
        <v>8</v>
      </c>
      <c r="CJ131" s="27" t="s">
        <v>7</v>
      </c>
      <c r="CL131" s="27" t="s">
        <v>7</v>
      </c>
      <c r="CM131" s="27" t="s">
        <v>8</v>
      </c>
      <c r="CN131" s="27" t="s">
        <v>7</v>
      </c>
      <c r="CO131" s="27" t="s">
        <v>8</v>
      </c>
      <c r="CP131" s="27" t="s">
        <v>7</v>
      </c>
      <c r="CR131" s="27" t="s">
        <v>7</v>
      </c>
      <c r="CY131" s="27" t="s">
        <v>8</v>
      </c>
      <c r="DA131" s="27" t="s">
        <v>8</v>
      </c>
      <c r="DF131" s="27" t="s">
        <v>7</v>
      </c>
      <c r="DG131" s="27" t="s">
        <v>8</v>
      </c>
      <c r="DH131" s="27" t="s">
        <v>7</v>
      </c>
      <c r="DI131" s="27" t="s">
        <v>8</v>
      </c>
      <c r="DJ131" s="27" t="s">
        <v>7</v>
      </c>
      <c r="DU131" s="27" t="s">
        <v>8</v>
      </c>
      <c r="FQ131" s="27" t="s">
        <v>8</v>
      </c>
      <c r="FW131" s="27" t="s">
        <v>8</v>
      </c>
      <c r="FX131" s="27" t="s">
        <v>7</v>
      </c>
      <c r="FY131" s="27" t="s">
        <v>8</v>
      </c>
      <c r="FZ131" s="27" t="s">
        <v>7</v>
      </c>
      <c r="GC131" s="27" t="s">
        <v>8</v>
      </c>
      <c r="GV131" s="27" t="s">
        <v>7</v>
      </c>
      <c r="GW131" s="27" t="s">
        <v>8</v>
      </c>
      <c r="GX131" s="27" t="s">
        <v>7</v>
      </c>
      <c r="GY131" s="27" t="s">
        <v>8</v>
      </c>
      <c r="HA131" s="27" t="s">
        <v>8</v>
      </c>
      <c r="HB131" s="27" t="s">
        <v>7</v>
      </c>
      <c r="HC131" s="27" t="s">
        <v>8</v>
      </c>
      <c r="HF131" s="27" t="s">
        <v>7</v>
      </c>
      <c r="HO131" s="27" t="s">
        <v>8</v>
      </c>
      <c r="HQ131" s="27" t="s">
        <v>8</v>
      </c>
      <c r="HR131" s="27" t="s">
        <v>7</v>
      </c>
      <c r="HZ131" s="27" t="s">
        <v>7</v>
      </c>
      <c r="IQ131" s="27" t="s">
        <v>8</v>
      </c>
      <c r="IT131" s="27" t="s">
        <v>7</v>
      </c>
      <c r="IU131" s="27" t="s">
        <v>8</v>
      </c>
    </row>
    <row r="132" spans="1:258" x14ac:dyDescent="0.25">
      <c r="A132" s="7">
        <v>8186.1208484314075</v>
      </c>
      <c r="C132" s="1" t="s">
        <v>13</v>
      </c>
      <c r="E132"/>
      <c r="AK132" s="27" t="s">
        <v>8</v>
      </c>
      <c r="AL132" s="27" t="s">
        <v>7</v>
      </c>
      <c r="AM132" s="27" t="s">
        <v>8</v>
      </c>
      <c r="BV132" s="27" t="s">
        <v>7</v>
      </c>
      <c r="BW132" s="27" t="s">
        <v>8</v>
      </c>
      <c r="BX132" s="27" t="s">
        <v>7</v>
      </c>
      <c r="BY132" s="27" t="s">
        <v>8</v>
      </c>
      <c r="BZ132" s="27" t="s">
        <v>7</v>
      </c>
      <c r="CA132" s="27" t="s">
        <v>8</v>
      </c>
      <c r="CB132" s="27" t="s">
        <v>7</v>
      </c>
      <c r="CC132" s="27" t="s">
        <v>8</v>
      </c>
      <c r="CL132" s="27" t="s">
        <v>7</v>
      </c>
      <c r="CM132" s="27" t="s">
        <v>8</v>
      </c>
      <c r="CN132" s="27" t="s">
        <v>7</v>
      </c>
      <c r="CO132" s="27" t="s">
        <v>8</v>
      </c>
      <c r="CR132" s="27" t="s">
        <v>7</v>
      </c>
      <c r="CY132" s="27" t="s">
        <v>8</v>
      </c>
      <c r="CZ132" s="27" t="s">
        <v>7</v>
      </c>
      <c r="DA132" s="27" t="s">
        <v>8</v>
      </c>
      <c r="DF132" s="27" t="s">
        <v>7</v>
      </c>
      <c r="DH132" s="27" t="s">
        <v>7</v>
      </c>
      <c r="DI132" s="27" t="s">
        <v>8</v>
      </c>
      <c r="DJ132" s="27" t="s">
        <v>7</v>
      </c>
      <c r="DU132" s="27" t="s">
        <v>8</v>
      </c>
      <c r="DV132" s="27" t="s">
        <v>7</v>
      </c>
      <c r="FQ132" s="27" t="s">
        <v>8</v>
      </c>
      <c r="FR132" s="27" t="s">
        <v>7</v>
      </c>
      <c r="FS132" s="27" t="s">
        <v>8</v>
      </c>
      <c r="FW132" s="27" t="s">
        <v>8</v>
      </c>
      <c r="FX132" s="27" t="s">
        <v>7</v>
      </c>
      <c r="FZ132" s="27" t="s">
        <v>7</v>
      </c>
      <c r="GC132" s="27" t="s">
        <v>8</v>
      </c>
      <c r="GV132" s="27" t="s">
        <v>7</v>
      </c>
      <c r="GW132" s="27" t="s">
        <v>8</v>
      </c>
      <c r="GX132" s="27" t="s">
        <v>7</v>
      </c>
      <c r="GY132" s="27" t="s">
        <v>8</v>
      </c>
      <c r="GZ132" s="27" t="s">
        <v>7</v>
      </c>
      <c r="HA132" s="27" t="s">
        <v>8</v>
      </c>
      <c r="HB132" s="27" t="s">
        <v>7</v>
      </c>
      <c r="HC132" s="27" t="s">
        <v>8</v>
      </c>
      <c r="HF132" s="27" t="s">
        <v>7</v>
      </c>
      <c r="HO132" s="27" t="s">
        <v>8</v>
      </c>
      <c r="HP132" s="27" t="s">
        <v>7</v>
      </c>
      <c r="HQ132" s="27" t="s">
        <v>8</v>
      </c>
      <c r="HZ132" s="27" t="s">
        <v>7</v>
      </c>
      <c r="IQ132" s="27" t="s">
        <v>8</v>
      </c>
      <c r="IT132" s="27" t="s">
        <v>7</v>
      </c>
    </row>
    <row r="133" spans="1:258" x14ac:dyDescent="0.25">
      <c r="A133" s="7">
        <v>8025.6086749327524</v>
      </c>
      <c r="C133" s="1" t="str">
        <f>C122</f>
        <v>O</v>
      </c>
      <c r="E133"/>
      <c r="AK133" s="27" t="s">
        <v>8</v>
      </c>
      <c r="AL133" s="27" t="s">
        <v>7</v>
      </c>
      <c r="AM133" s="27" t="s">
        <v>8</v>
      </c>
      <c r="BV133" s="27" t="s">
        <v>7</v>
      </c>
      <c r="BX133" s="27" t="s">
        <v>7</v>
      </c>
      <c r="BY133" s="27" t="s">
        <v>8</v>
      </c>
      <c r="BZ133" s="27" t="s">
        <v>7</v>
      </c>
      <c r="CA133" s="27" t="s">
        <v>8</v>
      </c>
      <c r="CB133" s="27" t="s">
        <v>7</v>
      </c>
      <c r="CC133" s="27" t="s">
        <v>8</v>
      </c>
      <c r="CL133" s="27" t="s">
        <v>7</v>
      </c>
      <c r="CM133" s="27" t="s">
        <v>8</v>
      </c>
      <c r="CN133" s="27" t="s">
        <v>7</v>
      </c>
      <c r="CO133" s="27" t="s">
        <v>8</v>
      </c>
      <c r="CR133" s="27" t="s">
        <v>7</v>
      </c>
      <c r="CY133" s="27" t="s">
        <v>8</v>
      </c>
      <c r="CZ133" s="27" t="s">
        <v>7</v>
      </c>
      <c r="DA133" s="27" t="s">
        <v>8</v>
      </c>
      <c r="DH133" s="27" t="s">
        <v>7</v>
      </c>
      <c r="DJ133" s="27" t="s">
        <v>7</v>
      </c>
      <c r="DU133" s="27" t="s">
        <v>8</v>
      </c>
      <c r="DV133" s="27" t="s">
        <v>7</v>
      </c>
      <c r="FQ133" s="27" t="s">
        <v>8</v>
      </c>
      <c r="FR133" s="27" t="s">
        <v>7</v>
      </c>
      <c r="FS133" s="27" t="s">
        <v>8</v>
      </c>
      <c r="FT133" s="27" t="s">
        <v>7</v>
      </c>
      <c r="FU133" s="27" t="s">
        <v>8</v>
      </c>
      <c r="FW133" s="27" t="s">
        <v>8</v>
      </c>
      <c r="FZ133" s="27" t="s">
        <v>7</v>
      </c>
      <c r="GA133" s="27" t="s">
        <v>8</v>
      </c>
      <c r="GC133" s="27" t="s">
        <v>8</v>
      </c>
      <c r="GV133" s="27" t="s">
        <v>7</v>
      </c>
      <c r="GW133" s="27" t="s">
        <v>8</v>
      </c>
      <c r="GX133" s="27" t="s">
        <v>7</v>
      </c>
      <c r="GY133" s="27" t="s">
        <v>8</v>
      </c>
      <c r="GZ133" s="27" t="s">
        <v>7</v>
      </c>
      <c r="HA133" s="27" t="s">
        <v>8</v>
      </c>
      <c r="HB133" s="27" t="s">
        <v>7</v>
      </c>
      <c r="HC133" s="27" t="s">
        <v>8</v>
      </c>
      <c r="HF133" s="27" t="s">
        <v>7</v>
      </c>
      <c r="HO133" s="27" t="s">
        <v>8</v>
      </c>
      <c r="HP133" s="27" t="s">
        <v>7</v>
      </c>
      <c r="HQ133" s="27" t="s">
        <v>8</v>
      </c>
      <c r="HZ133" s="27" t="s">
        <v>7</v>
      </c>
      <c r="IQ133" s="27" t="s">
        <v>8</v>
      </c>
    </row>
    <row r="134" spans="1:258" x14ac:dyDescent="0.25">
      <c r="A134" s="7">
        <v>7868.2437989536784</v>
      </c>
      <c r="E134"/>
      <c r="AK134" s="27" t="s">
        <v>8</v>
      </c>
      <c r="AL134" s="27" t="s">
        <v>7</v>
      </c>
      <c r="BX134" s="27" t="s">
        <v>7</v>
      </c>
      <c r="BY134" s="27" t="s">
        <v>8</v>
      </c>
      <c r="BZ134" s="27" t="s">
        <v>7</v>
      </c>
      <c r="CA134" s="27" t="s">
        <v>8</v>
      </c>
      <c r="CB134" s="27" t="s">
        <v>7</v>
      </c>
      <c r="CL134" s="27" t="s">
        <v>7</v>
      </c>
      <c r="CM134" s="27" t="s">
        <v>8</v>
      </c>
      <c r="CN134" s="27" t="s">
        <v>7</v>
      </c>
      <c r="CO134" s="27" t="s">
        <v>8</v>
      </c>
      <c r="CR134" s="27" t="s">
        <v>7</v>
      </c>
      <c r="CY134" s="27" t="s">
        <v>8</v>
      </c>
      <c r="CZ134" s="27" t="s">
        <v>7</v>
      </c>
      <c r="DJ134" s="27" t="s">
        <v>7</v>
      </c>
      <c r="DU134" s="27" t="s">
        <v>8</v>
      </c>
      <c r="DV134" s="27" t="s">
        <v>7</v>
      </c>
      <c r="FQ134" s="27" t="s">
        <v>8</v>
      </c>
      <c r="FR134" s="27" t="s">
        <v>7</v>
      </c>
      <c r="FS134" s="27" t="s">
        <v>8</v>
      </c>
      <c r="FT134" s="27" t="s">
        <v>7</v>
      </c>
      <c r="FU134" s="27" t="s">
        <v>8</v>
      </c>
      <c r="FV134" s="27" t="s">
        <v>7</v>
      </c>
      <c r="FW134" s="27" t="s">
        <v>8</v>
      </c>
      <c r="FZ134" s="27" t="s">
        <v>7</v>
      </c>
      <c r="GA134" s="27" t="s">
        <v>8</v>
      </c>
      <c r="GB134" s="27" t="s">
        <v>7</v>
      </c>
      <c r="GC134" s="27" t="s">
        <v>8</v>
      </c>
      <c r="GV134" s="27" t="s">
        <v>7</v>
      </c>
      <c r="GX134" s="27" t="s">
        <v>7</v>
      </c>
      <c r="GY134" s="27" t="s">
        <v>8</v>
      </c>
      <c r="GZ134" s="27" t="s">
        <v>7</v>
      </c>
      <c r="HB134" s="27" t="s">
        <v>7</v>
      </c>
      <c r="HC134" s="27" t="s">
        <v>8</v>
      </c>
      <c r="HF134" s="27" t="s">
        <v>7</v>
      </c>
      <c r="HO134" s="27" t="s">
        <v>8</v>
      </c>
      <c r="HP134" s="27" t="s">
        <v>7</v>
      </c>
      <c r="HQ134" s="27" t="s">
        <v>8</v>
      </c>
      <c r="HZ134" s="27" t="s">
        <v>7</v>
      </c>
      <c r="IQ134" s="27" t="s">
        <v>8</v>
      </c>
    </row>
    <row r="135" spans="1:258" x14ac:dyDescent="0.25">
      <c r="A135" s="7">
        <v>7713.9645087781155</v>
      </c>
      <c r="C135" s="1" t="s">
        <v>14</v>
      </c>
      <c r="E135"/>
      <c r="AK135" s="27" t="s">
        <v>8</v>
      </c>
      <c r="BX135" s="27" t="s">
        <v>7</v>
      </c>
      <c r="BY135" s="27" t="s">
        <v>8</v>
      </c>
      <c r="BZ135" s="27" t="s">
        <v>7</v>
      </c>
      <c r="CL135" s="27" t="s">
        <v>7</v>
      </c>
      <c r="CN135" s="27" t="s">
        <v>7</v>
      </c>
      <c r="CO135" s="27" t="s">
        <v>8</v>
      </c>
      <c r="CR135" s="27" t="s">
        <v>7</v>
      </c>
      <c r="CY135" s="27" t="s">
        <v>8</v>
      </c>
      <c r="DJ135" s="27" t="s">
        <v>7</v>
      </c>
      <c r="DK135" s="27" t="s">
        <v>8</v>
      </c>
      <c r="DU135" s="27" t="s">
        <v>8</v>
      </c>
      <c r="DV135" s="27" t="s">
        <v>7</v>
      </c>
      <c r="FQ135" s="27" t="s">
        <v>8</v>
      </c>
      <c r="FR135" s="27" t="s">
        <v>7</v>
      </c>
      <c r="FS135" s="27" t="s">
        <v>8</v>
      </c>
      <c r="FT135" s="27" t="s">
        <v>7</v>
      </c>
      <c r="FU135" s="27" t="s">
        <v>8</v>
      </c>
      <c r="FV135" s="27" t="s">
        <v>7</v>
      </c>
      <c r="FW135" s="27" t="s">
        <v>8</v>
      </c>
      <c r="FZ135" s="27" t="s">
        <v>7</v>
      </c>
      <c r="GA135" s="27" t="s">
        <v>8</v>
      </c>
      <c r="GB135" s="27" t="s">
        <v>7</v>
      </c>
      <c r="GC135" s="27" t="s">
        <v>8</v>
      </c>
      <c r="GX135" s="27" t="s">
        <v>7</v>
      </c>
      <c r="HB135" s="27" t="s">
        <v>7</v>
      </c>
      <c r="HC135" s="27" t="s">
        <v>8</v>
      </c>
      <c r="HF135" s="27" t="s">
        <v>7</v>
      </c>
      <c r="HI135" s="27" t="s">
        <v>8</v>
      </c>
      <c r="HO135" s="27" t="s">
        <v>8</v>
      </c>
      <c r="HP135" s="27" t="s">
        <v>7</v>
      </c>
      <c r="HZ135" s="27" t="s">
        <v>7</v>
      </c>
      <c r="IQ135" s="27" t="s">
        <v>8</v>
      </c>
    </row>
    <row r="136" spans="1:258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  <c r="AG136" s="27" t="s">
        <v>8</v>
      </c>
      <c r="AK136" s="27" t="s">
        <v>8</v>
      </c>
      <c r="BX136" s="27" t="s">
        <v>7</v>
      </c>
      <c r="BY136" s="27" t="s">
        <v>8</v>
      </c>
      <c r="CN136" s="27" t="s">
        <v>7</v>
      </c>
      <c r="CO136" s="27" t="s">
        <v>8</v>
      </c>
      <c r="CR136" s="27" t="s">
        <v>7</v>
      </c>
      <c r="CY136" s="27" t="s">
        <v>8</v>
      </c>
      <c r="DJ136" s="27" t="s">
        <v>7</v>
      </c>
      <c r="DK136" s="27" t="s">
        <v>8</v>
      </c>
      <c r="DL136" s="27" t="s">
        <v>7</v>
      </c>
      <c r="DU136" s="27" t="s">
        <v>8</v>
      </c>
      <c r="DV136" s="27" t="s">
        <v>7</v>
      </c>
      <c r="EK136" s="27" t="s">
        <v>8</v>
      </c>
      <c r="FQ136" s="27" t="s">
        <v>8</v>
      </c>
      <c r="FR136" s="27" t="s">
        <v>7</v>
      </c>
      <c r="FS136" s="27" t="s">
        <v>8</v>
      </c>
      <c r="FT136" s="27" t="s">
        <v>7</v>
      </c>
      <c r="FV136" s="27" t="s">
        <v>7</v>
      </c>
      <c r="FZ136" s="27" t="s">
        <v>7</v>
      </c>
      <c r="GB136" s="27" t="s">
        <v>7</v>
      </c>
      <c r="HB136" s="27" t="s">
        <v>7</v>
      </c>
      <c r="HC136" s="27" t="s">
        <v>8</v>
      </c>
      <c r="HF136" s="27" t="s">
        <v>7</v>
      </c>
      <c r="HI136" s="27" t="s">
        <v>8</v>
      </c>
      <c r="HJ136" s="27" t="s">
        <v>7</v>
      </c>
      <c r="HK136" s="27" t="s">
        <v>8</v>
      </c>
      <c r="HM136" s="27" t="s">
        <v>8</v>
      </c>
      <c r="HO136" s="27" t="s">
        <v>8</v>
      </c>
      <c r="HZ136" s="27" t="s">
        <v>7</v>
      </c>
      <c r="IQ136" s="27" t="s">
        <v>8</v>
      </c>
    </row>
    <row r="137" spans="1:258" x14ac:dyDescent="0.25">
      <c r="A137" s="7">
        <v>7414.4218654153356</v>
      </c>
      <c r="E137"/>
      <c r="AG137" s="27" t="s">
        <v>8</v>
      </c>
      <c r="AH137" s="27" t="s">
        <v>7</v>
      </c>
      <c r="AK137" s="27" t="s">
        <v>8</v>
      </c>
      <c r="BX137" s="27" t="s">
        <v>7</v>
      </c>
      <c r="BY137" s="27" t="s">
        <v>8</v>
      </c>
      <c r="CN137" s="27" t="s">
        <v>7</v>
      </c>
      <c r="CR137" s="27" t="s">
        <v>7</v>
      </c>
      <c r="CU137" s="27" t="s">
        <v>8</v>
      </c>
      <c r="CY137" s="27" t="s">
        <v>8</v>
      </c>
      <c r="DJ137" s="27" t="s">
        <v>7</v>
      </c>
      <c r="DK137" s="27" t="s">
        <v>8</v>
      </c>
      <c r="DL137" s="27" t="s">
        <v>7</v>
      </c>
      <c r="DU137" s="27" t="s">
        <v>8</v>
      </c>
      <c r="DV137" s="27" t="s">
        <v>7</v>
      </c>
      <c r="EK137" s="27" t="s">
        <v>8</v>
      </c>
      <c r="EL137" s="27" t="s">
        <v>7</v>
      </c>
      <c r="FQ137" s="27" t="s">
        <v>8</v>
      </c>
      <c r="FR137" s="27" t="s">
        <v>7</v>
      </c>
      <c r="FS137" s="27" t="s">
        <v>8</v>
      </c>
      <c r="HB137" s="27" t="s">
        <v>7</v>
      </c>
      <c r="HF137" s="27" t="s">
        <v>7</v>
      </c>
      <c r="HI137" s="27" t="s">
        <v>8</v>
      </c>
      <c r="HJ137" s="27" t="s">
        <v>7</v>
      </c>
      <c r="HK137" s="27" t="s">
        <v>8</v>
      </c>
      <c r="HL137" s="27" t="s">
        <v>7</v>
      </c>
      <c r="HM137" s="27" t="s">
        <v>8</v>
      </c>
      <c r="HN137" s="27" t="s">
        <v>7</v>
      </c>
      <c r="HO137" s="27" t="s">
        <v>8</v>
      </c>
      <c r="HZ137" s="27" t="s">
        <v>7</v>
      </c>
      <c r="IM137" s="27" t="s">
        <v>8</v>
      </c>
      <c r="IQ137" s="27" t="s">
        <v>8</v>
      </c>
    </row>
    <row r="138" spans="1:258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  <c r="AG138" s="27" t="s">
        <v>8</v>
      </c>
      <c r="AH138" s="27" t="s">
        <v>7</v>
      </c>
      <c r="AI138" s="27" t="s">
        <v>8</v>
      </c>
      <c r="AK138" s="27" t="s">
        <v>8</v>
      </c>
      <c r="BX138" s="27" t="s">
        <v>7</v>
      </c>
      <c r="BY138" s="27" t="s">
        <v>8</v>
      </c>
      <c r="CR138" s="27" t="s">
        <v>7</v>
      </c>
      <c r="CU138" s="27" t="s">
        <v>8</v>
      </c>
      <c r="CV138" s="27" t="s">
        <v>7</v>
      </c>
      <c r="CY138" s="27" t="s">
        <v>8</v>
      </c>
      <c r="DJ138" s="27" t="s">
        <v>7</v>
      </c>
      <c r="DK138" s="27" t="s">
        <v>8</v>
      </c>
      <c r="DL138" s="27" t="s">
        <v>7</v>
      </c>
      <c r="DU138" s="27" t="s">
        <v>8</v>
      </c>
      <c r="DV138" s="27" t="s">
        <v>7</v>
      </c>
      <c r="EC138" s="27" t="s">
        <v>8</v>
      </c>
      <c r="EK138" s="27" t="s">
        <v>8</v>
      </c>
      <c r="EL138" s="27" t="s">
        <v>7</v>
      </c>
      <c r="FQ138" s="27" t="s">
        <v>8</v>
      </c>
      <c r="FR138" s="27" t="s">
        <v>7</v>
      </c>
      <c r="FS138" s="27" t="s">
        <v>8</v>
      </c>
      <c r="HF138" s="27" t="s">
        <v>7</v>
      </c>
      <c r="HG138" s="27" t="s">
        <v>8</v>
      </c>
      <c r="HI138" s="27" t="s">
        <v>8</v>
      </c>
      <c r="HJ138" s="27" t="s">
        <v>7</v>
      </c>
      <c r="HK138" s="27" t="s">
        <v>8</v>
      </c>
      <c r="HL138" s="27" t="s">
        <v>7</v>
      </c>
      <c r="HM138" s="27" t="s">
        <v>8</v>
      </c>
      <c r="HN138" s="27" t="s">
        <v>7</v>
      </c>
      <c r="HO138" s="27" t="s">
        <v>8</v>
      </c>
      <c r="HZ138" s="27" t="s">
        <v>7</v>
      </c>
      <c r="IM138" s="27" t="s">
        <v>8</v>
      </c>
      <c r="IN138" s="27" t="s">
        <v>7</v>
      </c>
      <c r="IO138" s="27" t="s">
        <v>8</v>
      </c>
      <c r="IQ138" s="27" t="s">
        <v>8</v>
      </c>
    </row>
    <row r="139" spans="1:258" x14ac:dyDescent="0.25">
      <c r="A139" s="7">
        <v>7126.5108279655287</v>
      </c>
      <c r="E139"/>
      <c r="AG139" s="27" t="s">
        <v>8</v>
      </c>
      <c r="AH139" s="27" t="s">
        <v>7</v>
      </c>
      <c r="AI139" s="27" t="s">
        <v>8</v>
      </c>
      <c r="AJ139" s="27" t="s">
        <v>7</v>
      </c>
      <c r="AK139" s="27" t="s">
        <v>8</v>
      </c>
      <c r="BX139" s="27" t="s">
        <v>7</v>
      </c>
      <c r="BY139" s="27" t="s">
        <v>8</v>
      </c>
      <c r="CR139" s="27" t="s">
        <v>7</v>
      </c>
      <c r="CS139" s="27" t="s">
        <v>8</v>
      </c>
      <c r="CU139" s="27" t="s">
        <v>8</v>
      </c>
      <c r="CV139" s="27" t="s">
        <v>7</v>
      </c>
      <c r="CW139" s="27" t="s">
        <v>8</v>
      </c>
      <c r="CY139" s="27" t="s">
        <v>8</v>
      </c>
      <c r="DJ139" s="27" t="s">
        <v>7</v>
      </c>
      <c r="DL139" s="27" t="s">
        <v>7</v>
      </c>
      <c r="DU139" s="27" t="s">
        <v>8</v>
      </c>
      <c r="DV139" s="27" t="s">
        <v>7</v>
      </c>
      <c r="EC139" s="27" t="s">
        <v>8</v>
      </c>
      <c r="ED139" s="27" t="s">
        <v>7</v>
      </c>
      <c r="EK139" s="27" t="s">
        <v>8</v>
      </c>
      <c r="EL139" s="27" t="s">
        <v>7</v>
      </c>
      <c r="FQ139" s="27" t="s">
        <v>8</v>
      </c>
      <c r="FR139" s="27" t="s">
        <v>7</v>
      </c>
      <c r="FS139" s="27" t="s">
        <v>8</v>
      </c>
      <c r="HF139" s="27" t="s">
        <v>7</v>
      </c>
      <c r="HG139" s="27" t="s">
        <v>8</v>
      </c>
      <c r="HH139" s="27" t="s">
        <v>7</v>
      </c>
      <c r="HI139" s="27" t="s">
        <v>8</v>
      </c>
      <c r="HJ139" s="27" t="s">
        <v>7</v>
      </c>
      <c r="HL139" s="27" t="s">
        <v>7</v>
      </c>
      <c r="HM139" s="27" t="s">
        <v>8</v>
      </c>
      <c r="HN139" s="27" t="s">
        <v>7</v>
      </c>
      <c r="HO139" s="27" t="s">
        <v>8</v>
      </c>
      <c r="HZ139" s="27" t="s">
        <v>7</v>
      </c>
      <c r="IK139" s="27" t="s">
        <v>8</v>
      </c>
      <c r="IM139" s="27" t="s">
        <v>8</v>
      </c>
      <c r="IN139" s="27" t="s">
        <v>7</v>
      </c>
      <c r="IO139" s="27" t="s">
        <v>8</v>
      </c>
      <c r="IP139" s="27" t="s">
        <v>7</v>
      </c>
      <c r="IQ139" s="27" t="s">
        <v>8</v>
      </c>
    </row>
    <row r="140" spans="1:258" x14ac:dyDescent="0.25">
      <c r="A140" s="7">
        <v>6986.7753215348321</v>
      </c>
      <c r="C140" s="1">
        <v>0</v>
      </c>
      <c r="E140"/>
      <c r="AG140" s="27" t="s">
        <v>8</v>
      </c>
      <c r="AH140" s="27" t="s">
        <v>7</v>
      </c>
      <c r="AI140" s="27" t="s">
        <v>8</v>
      </c>
      <c r="AJ140" s="27" t="s">
        <v>7</v>
      </c>
      <c r="AK140" s="27" t="s">
        <v>8</v>
      </c>
      <c r="BX140" s="27" t="s">
        <v>7</v>
      </c>
      <c r="BY140" s="27" t="s">
        <v>8</v>
      </c>
      <c r="CR140" s="27" t="s">
        <v>7</v>
      </c>
      <c r="CS140" s="27" t="s">
        <v>8</v>
      </c>
      <c r="CT140" s="27" t="s">
        <v>7</v>
      </c>
      <c r="CU140" s="27" t="s">
        <v>8</v>
      </c>
      <c r="CV140" s="27" t="s">
        <v>7</v>
      </c>
      <c r="CW140" s="27" t="s">
        <v>8</v>
      </c>
      <c r="CX140" s="27" t="s">
        <v>7</v>
      </c>
      <c r="CY140" s="27" t="s">
        <v>8</v>
      </c>
      <c r="DL140" s="27" t="s">
        <v>7</v>
      </c>
      <c r="DU140" s="27" t="s">
        <v>8</v>
      </c>
      <c r="DV140" s="27" t="s">
        <v>7</v>
      </c>
      <c r="EC140" s="27" t="s">
        <v>8</v>
      </c>
      <c r="ED140" s="27" t="s">
        <v>7</v>
      </c>
      <c r="EK140" s="27" t="s">
        <v>8</v>
      </c>
      <c r="EL140" s="27" t="s">
        <v>7</v>
      </c>
      <c r="FQ140" s="27" t="s">
        <v>8</v>
      </c>
      <c r="FR140" s="27" t="s">
        <v>7</v>
      </c>
      <c r="HF140" s="27" t="s">
        <v>7</v>
      </c>
      <c r="HG140" s="27" t="s">
        <v>8</v>
      </c>
      <c r="HH140" s="27" t="s">
        <v>7</v>
      </c>
      <c r="HI140" s="27" t="s">
        <v>8</v>
      </c>
      <c r="HL140" s="27" t="s">
        <v>7</v>
      </c>
      <c r="HM140" s="27" t="s">
        <v>8</v>
      </c>
      <c r="HN140" s="27" t="s">
        <v>7</v>
      </c>
      <c r="HZ140" s="27" t="s">
        <v>7</v>
      </c>
      <c r="IK140" s="27" t="s">
        <v>8</v>
      </c>
      <c r="IL140" s="27" t="s">
        <v>7</v>
      </c>
      <c r="IM140" s="27" t="s">
        <v>8</v>
      </c>
      <c r="IN140" s="27" t="s">
        <v>7</v>
      </c>
      <c r="IO140" s="27" t="s">
        <v>8</v>
      </c>
      <c r="IP140" s="27" t="s">
        <v>7</v>
      </c>
      <c r="IQ140" s="27" t="s">
        <v>8</v>
      </c>
    </row>
    <row r="141" spans="1:258" x14ac:dyDescent="0.25">
      <c r="A141" s="7">
        <v>6849.7797269949333</v>
      </c>
      <c r="C141" s="1">
        <v>1</v>
      </c>
      <c r="E141"/>
      <c r="AG141" s="27" t="s">
        <v>8</v>
      </c>
      <c r="AH141" s="27" t="s">
        <v>7</v>
      </c>
      <c r="AI141" s="27" t="s">
        <v>8</v>
      </c>
      <c r="AJ141" s="27" t="s">
        <v>7</v>
      </c>
      <c r="AK141" s="27" t="s">
        <v>8</v>
      </c>
      <c r="BX141" s="27" t="s">
        <v>7</v>
      </c>
      <c r="BY141" s="27" t="s">
        <v>8</v>
      </c>
      <c r="CR141" s="27" t="s">
        <v>7</v>
      </c>
      <c r="CS141" s="27" t="s">
        <v>8</v>
      </c>
      <c r="CT141" s="27" t="s">
        <v>7</v>
      </c>
      <c r="CU141" s="27" t="s">
        <v>8</v>
      </c>
      <c r="CV141" s="27" t="s">
        <v>7</v>
      </c>
      <c r="CW141" s="27" t="s">
        <v>8</v>
      </c>
      <c r="CX141" s="27" t="s">
        <v>7</v>
      </c>
      <c r="CY141" s="27" t="s">
        <v>8</v>
      </c>
      <c r="DL141" s="27" t="s">
        <v>7</v>
      </c>
      <c r="DU141" s="27" t="s">
        <v>8</v>
      </c>
      <c r="DV141" s="27" t="s">
        <v>7</v>
      </c>
      <c r="EA141" s="27" t="s">
        <v>8</v>
      </c>
      <c r="EC141" s="27" t="s">
        <v>8</v>
      </c>
      <c r="ED141" s="27" t="s">
        <v>7</v>
      </c>
      <c r="EK141" s="27" t="s">
        <v>8</v>
      </c>
      <c r="EL141" s="27" t="s">
        <v>7</v>
      </c>
      <c r="FQ141" s="27" t="s">
        <v>8</v>
      </c>
      <c r="HF141" s="27" t="s">
        <v>7</v>
      </c>
      <c r="HH141" s="27" t="s">
        <v>7</v>
      </c>
      <c r="HI141" s="27" t="s">
        <v>8</v>
      </c>
      <c r="HL141" s="27" t="s">
        <v>7</v>
      </c>
      <c r="HM141" s="27" t="s">
        <v>8</v>
      </c>
      <c r="HZ141" s="27" t="s">
        <v>7</v>
      </c>
      <c r="IE141" s="27" t="s">
        <v>8</v>
      </c>
      <c r="IG141" s="27" t="s">
        <v>8</v>
      </c>
      <c r="IK141" s="27" t="s">
        <v>8</v>
      </c>
      <c r="IL141" s="27" t="s">
        <v>7</v>
      </c>
      <c r="IM141" s="27" t="s">
        <v>8</v>
      </c>
      <c r="IN141" s="27" t="s">
        <v>7</v>
      </c>
      <c r="IO141" s="27" t="s">
        <v>8</v>
      </c>
      <c r="IP141" s="27" t="s">
        <v>7</v>
      </c>
    </row>
    <row r="142" spans="1:258" x14ac:dyDescent="0.25">
      <c r="A142" s="7">
        <v>6715.4703205832675</v>
      </c>
      <c r="C142" s="1">
        <v>2</v>
      </c>
      <c r="E142"/>
      <c r="AG142" s="27" t="s">
        <v>8</v>
      </c>
      <c r="AH142" s="27" t="s">
        <v>7</v>
      </c>
      <c r="AJ142" s="27" t="s">
        <v>7</v>
      </c>
      <c r="AK142" s="27" t="s">
        <v>8</v>
      </c>
      <c r="BX142" s="27" t="s">
        <v>7</v>
      </c>
      <c r="BY142" s="27" t="s">
        <v>8</v>
      </c>
      <c r="CR142" s="27" t="s">
        <v>7</v>
      </c>
      <c r="CT142" s="27" t="s">
        <v>7</v>
      </c>
      <c r="CU142" s="27" t="s">
        <v>8</v>
      </c>
      <c r="CV142" s="27" t="s">
        <v>7</v>
      </c>
      <c r="CW142" s="27" t="s">
        <v>8</v>
      </c>
      <c r="CX142" s="27" t="s">
        <v>7</v>
      </c>
      <c r="DL142" s="27" t="s">
        <v>7</v>
      </c>
      <c r="DM142" s="27" t="s">
        <v>8</v>
      </c>
      <c r="DO142" s="27" t="s">
        <v>8</v>
      </c>
      <c r="DS142" s="27" t="s">
        <v>8</v>
      </c>
      <c r="DU142" s="27" t="s">
        <v>8</v>
      </c>
      <c r="DV142" s="27" t="s">
        <v>7</v>
      </c>
      <c r="EA142" s="27" t="s">
        <v>8</v>
      </c>
      <c r="EB142" s="27" t="s">
        <v>7</v>
      </c>
      <c r="EC142" s="27" t="s">
        <v>8</v>
      </c>
      <c r="ED142" s="27" t="s">
        <v>7</v>
      </c>
      <c r="EG142" s="27" t="s">
        <v>8</v>
      </c>
      <c r="EI142" s="27" t="s">
        <v>8</v>
      </c>
      <c r="EK142" s="27" t="s">
        <v>8</v>
      </c>
      <c r="EL142" s="27" t="s">
        <v>7</v>
      </c>
      <c r="FQ142" s="27" t="s">
        <v>8</v>
      </c>
      <c r="HH142" s="27" t="s">
        <v>7</v>
      </c>
      <c r="HI142" s="27" t="s">
        <v>8</v>
      </c>
      <c r="HL142" s="27" t="s">
        <v>7</v>
      </c>
      <c r="HM142" s="27" t="s">
        <v>8</v>
      </c>
      <c r="HZ142" s="27" t="s">
        <v>7</v>
      </c>
      <c r="IE142" s="27" t="s">
        <v>8</v>
      </c>
      <c r="IF142" s="27" t="s">
        <v>7</v>
      </c>
      <c r="IG142" s="27" t="s">
        <v>8</v>
      </c>
      <c r="IH142" s="27" t="s">
        <v>7</v>
      </c>
      <c r="IK142" s="27" t="s">
        <v>8</v>
      </c>
      <c r="IL142" s="27" t="s">
        <v>7</v>
      </c>
      <c r="IN142" s="27" t="s">
        <v>7</v>
      </c>
      <c r="IO142" s="27" t="s">
        <v>8</v>
      </c>
    </row>
    <row r="143" spans="1:258" x14ac:dyDescent="0.25">
      <c r="A143" s="7">
        <v>6583.7944319443795</v>
      </c>
      <c r="C143" s="1">
        <v>3</v>
      </c>
      <c r="E143"/>
      <c r="AG143" s="27" t="s">
        <v>8</v>
      </c>
      <c r="AJ143" s="27" t="s">
        <v>7</v>
      </c>
      <c r="AK143" s="27" t="s">
        <v>8</v>
      </c>
      <c r="BX143" s="27" t="s">
        <v>7</v>
      </c>
      <c r="BY143" s="27" t="s">
        <v>8</v>
      </c>
      <c r="CT143" s="27" t="s">
        <v>7</v>
      </c>
      <c r="CU143" s="27" t="s">
        <v>8</v>
      </c>
      <c r="CV143" s="27" t="s">
        <v>7</v>
      </c>
      <c r="DL143" s="27" t="s">
        <v>7</v>
      </c>
      <c r="DM143" s="27" t="s">
        <v>8</v>
      </c>
      <c r="DN143" s="27" t="s">
        <v>7</v>
      </c>
      <c r="DO143" s="27" t="s">
        <v>8</v>
      </c>
      <c r="DP143" s="27" t="s">
        <v>7</v>
      </c>
      <c r="DS143" s="27" t="s">
        <v>8</v>
      </c>
      <c r="DT143" s="27" t="s">
        <v>7</v>
      </c>
      <c r="DU143" s="27" t="s">
        <v>8</v>
      </c>
      <c r="DV143" s="27" t="s">
        <v>7</v>
      </c>
      <c r="DW143" s="27" t="s">
        <v>8</v>
      </c>
      <c r="EA143" s="27" t="s">
        <v>8</v>
      </c>
      <c r="EB143" s="27" t="s">
        <v>7</v>
      </c>
      <c r="EC143" s="27" t="s">
        <v>8</v>
      </c>
      <c r="ED143" s="27" t="s">
        <v>7</v>
      </c>
      <c r="EE143" s="27" t="s">
        <v>8</v>
      </c>
      <c r="EG143" s="27" t="s">
        <v>8</v>
      </c>
      <c r="EH143" s="27" t="s">
        <v>7</v>
      </c>
      <c r="EI143" s="27" t="s">
        <v>8</v>
      </c>
      <c r="EJ143" s="27" t="s">
        <v>7</v>
      </c>
      <c r="EK143" s="27" t="s">
        <v>8</v>
      </c>
      <c r="EL143" s="27" t="s">
        <v>7</v>
      </c>
      <c r="FQ143" s="27" t="s">
        <v>8</v>
      </c>
      <c r="HH143" s="27" t="s">
        <v>7</v>
      </c>
      <c r="HL143" s="27" t="s">
        <v>7</v>
      </c>
      <c r="HM143" s="27" t="s">
        <v>8</v>
      </c>
      <c r="HZ143" s="27" t="s">
        <v>7</v>
      </c>
      <c r="IE143" s="27" t="s">
        <v>8</v>
      </c>
      <c r="IF143" s="27" t="s">
        <v>7</v>
      </c>
      <c r="IG143" s="27" t="s">
        <v>8</v>
      </c>
      <c r="IH143" s="27" t="s">
        <v>7</v>
      </c>
      <c r="II143" s="27" t="s">
        <v>8</v>
      </c>
      <c r="IK143" s="27" t="s">
        <v>8</v>
      </c>
      <c r="IN143" s="27" t="s">
        <v>7</v>
      </c>
    </row>
    <row r="144" spans="1:258" x14ac:dyDescent="0.25">
      <c r="A144" s="7">
        <v>6454.700423474882</v>
      </c>
      <c r="C144" s="1">
        <v>4</v>
      </c>
      <c r="E144"/>
      <c r="AG144" s="27" t="s">
        <v>8</v>
      </c>
      <c r="AJ144" s="27" t="s">
        <v>7</v>
      </c>
      <c r="AK144" s="27" t="s">
        <v>8</v>
      </c>
      <c r="BX144" s="27" t="s">
        <v>7</v>
      </c>
      <c r="BY144" s="27" t="s">
        <v>8</v>
      </c>
      <c r="CT144" s="27" t="s">
        <v>7</v>
      </c>
      <c r="DL144" s="27" t="s">
        <v>7</v>
      </c>
      <c r="DM144" s="27" t="s">
        <v>8</v>
      </c>
      <c r="DN144" s="27" t="s">
        <v>7</v>
      </c>
      <c r="DO144" s="27" t="s">
        <v>8</v>
      </c>
      <c r="DP144" s="27" t="s">
        <v>7</v>
      </c>
      <c r="DS144" s="27" t="s">
        <v>8</v>
      </c>
      <c r="DT144" s="27" t="s">
        <v>7</v>
      </c>
      <c r="DU144" s="27" t="s">
        <v>8</v>
      </c>
      <c r="DV144" s="27" t="s">
        <v>7</v>
      </c>
      <c r="DW144" s="27" t="s">
        <v>8</v>
      </c>
      <c r="DX144" s="27" t="s">
        <v>7</v>
      </c>
      <c r="DY144" s="27" t="s">
        <v>8</v>
      </c>
      <c r="EA144" s="27" t="s">
        <v>8</v>
      </c>
      <c r="EB144" s="27" t="s">
        <v>7</v>
      </c>
      <c r="ED144" s="27" t="s">
        <v>7</v>
      </c>
      <c r="EE144" s="27" t="s">
        <v>8</v>
      </c>
      <c r="EF144" s="27" t="s">
        <v>7</v>
      </c>
      <c r="EG144" s="27" t="s">
        <v>8</v>
      </c>
      <c r="EH144" s="27" t="s">
        <v>7</v>
      </c>
      <c r="EI144" s="27" t="s">
        <v>8</v>
      </c>
      <c r="EJ144" s="27" t="s">
        <v>7</v>
      </c>
      <c r="EK144" s="27" t="s">
        <v>8</v>
      </c>
      <c r="EL144" s="27" t="s">
        <v>7</v>
      </c>
      <c r="FQ144" s="27" t="s">
        <v>8</v>
      </c>
      <c r="HL144" s="27" t="s">
        <v>7</v>
      </c>
      <c r="HZ144" s="27" t="s">
        <v>7</v>
      </c>
      <c r="IE144" s="27" t="s">
        <v>8</v>
      </c>
      <c r="IF144" s="27" t="s">
        <v>7</v>
      </c>
      <c r="IG144" s="27" t="s">
        <v>8</v>
      </c>
      <c r="IH144" s="27" t="s">
        <v>7</v>
      </c>
      <c r="II144" s="27" t="s">
        <v>8</v>
      </c>
      <c r="IJ144" s="27" t="s">
        <v>7</v>
      </c>
      <c r="IK144" s="27" t="s">
        <v>8</v>
      </c>
    </row>
    <row r="145" spans="1:245" x14ac:dyDescent="0.25">
      <c r="A145" s="7">
        <v>6328.1376700734136</v>
      </c>
      <c r="E145"/>
      <c r="AG145" s="27" t="s">
        <v>8</v>
      </c>
      <c r="AJ145" s="27" t="s">
        <v>7</v>
      </c>
      <c r="AK145" s="27" t="s">
        <v>8</v>
      </c>
      <c r="BX145" s="27" t="s">
        <v>7</v>
      </c>
      <c r="BY145" s="27" t="s">
        <v>8</v>
      </c>
      <c r="DL145" s="27" t="s">
        <v>7</v>
      </c>
      <c r="DM145" s="27" t="s">
        <v>8</v>
      </c>
      <c r="DN145" s="27" t="s">
        <v>7</v>
      </c>
      <c r="DP145" s="27" t="s">
        <v>7</v>
      </c>
      <c r="DQ145" s="27" t="s">
        <v>8</v>
      </c>
      <c r="DS145" s="27" t="s">
        <v>8</v>
      </c>
      <c r="DT145" s="27" t="s">
        <v>7</v>
      </c>
      <c r="DU145" s="27" t="s">
        <v>8</v>
      </c>
      <c r="DV145" s="27" t="s">
        <v>7</v>
      </c>
      <c r="DW145" s="27" t="s">
        <v>8</v>
      </c>
      <c r="DX145" s="27" t="s">
        <v>7</v>
      </c>
      <c r="DY145" s="27" t="s">
        <v>8</v>
      </c>
      <c r="DZ145" s="27" t="s">
        <v>7</v>
      </c>
      <c r="EA145" s="27" t="s">
        <v>8</v>
      </c>
      <c r="ED145" s="27" t="s">
        <v>7</v>
      </c>
      <c r="EE145" s="27" t="s">
        <v>8</v>
      </c>
      <c r="EF145" s="27" t="s">
        <v>7</v>
      </c>
      <c r="EG145" s="27" t="s">
        <v>8</v>
      </c>
      <c r="EH145" s="27" t="s">
        <v>7</v>
      </c>
      <c r="EJ145" s="27" t="s">
        <v>7</v>
      </c>
      <c r="EL145" s="27" t="s">
        <v>7</v>
      </c>
      <c r="FQ145" s="27" t="s">
        <v>8</v>
      </c>
      <c r="HZ145" s="27" t="s">
        <v>7</v>
      </c>
      <c r="IE145" s="27" t="s">
        <v>8</v>
      </c>
      <c r="IF145" s="27" t="s">
        <v>7</v>
      </c>
      <c r="IG145" s="27" t="s">
        <v>8</v>
      </c>
      <c r="IH145" s="27" t="s">
        <v>7</v>
      </c>
      <c r="II145" s="27" t="s">
        <v>8</v>
      </c>
      <c r="IJ145" s="27" t="s">
        <v>7</v>
      </c>
      <c r="IK145" s="27" t="s">
        <v>8</v>
      </c>
    </row>
    <row r="146" spans="1:245" x14ac:dyDescent="0.25">
      <c r="A146" s="7">
        <v>6204.0565392876606</v>
      </c>
      <c r="E146"/>
      <c r="AG146" s="27" t="s">
        <v>8</v>
      </c>
      <c r="AJ146" s="27" t="s">
        <v>7</v>
      </c>
      <c r="AK146" s="27" t="s">
        <v>8</v>
      </c>
      <c r="BX146" s="27" t="s">
        <v>7</v>
      </c>
      <c r="BY146" s="27" t="s">
        <v>8</v>
      </c>
      <c r="DL146" s="27" t="s">
        <v>7</v>
      </c>
      <c r="DP146" s="27" t="s">
        <v>7</v>
      </c>
      <c r="DQ146" s="27" t="s">
        <v>8</v>
      </c>
      <c r="DR146" s="27" t="s">
        <v>7</v>
      </c>
      <c r="DS146" s="27" t="s">
        <v>8</v>
      </c>
      <c r="DT146" s="27" t="s">
        <v>7</v>
      </c>
      <c r="DU146" s="27" t="s">
        <v>8</v>
      </c>
      <c r="DV146" s="27" t="s">
        <v>7</v>
      </c>
      <c r="DX146" s="27" t="s">
        <v>7</v>
      </c>
      <c r="DY146" s="27" t="s">
        <v>8</v>
      </c>
      <c r="DZ146" s="27" t="s">
        <v>7</v>
      </c>
      <c r="EA146" s="27" t="s">
        <v>8</v>
      </c>
      <c r="ED146" s="27" t="s">
        <v>7</v>
      </c>
      <c r="EF146" s="27" t="s">
        <v>7</v>
      </c>
      <c r="EL146" s="27" t="s">
        <v>7</v>
      </c>
      <c r="FQ146" s="27" t="s">
        <v>8</v>
      </c>
      <c r="HZ146" s="27" t="s">
        <v>7</v>
      </c>
      <c r="IE146" s="27" t="s">
        <v>8</v>
      </c>
      <c r="IF146" s="27" t="s">
        <v>7</v>
      </c>
      <c r="IG146" s="27" t="s">
        <v>8</v>
      </c>
      <c r="IH146" s="27" t="s">
        <v>7</v>
      </c>
      <c r="II146" s="27" t="s">
        <v>8</v>
      </c>
      <c r="IJ146" s="27" t="s">
        <v>7</v>
      </c>
    </row>
    <row r="147" spans="1:245" x14ac:dyDescent="0.25">
      <c r="A147" s="7">
        <v>6082.4083718506472</v>
      </c>
      <c r="E147"/>
      <c r="AE147" s="27" t="s">
        <v>8</v>
      </c>
      <c r="AG147" s="27" t="s">
        <v>8</v>
      </c>
      <c r="AJ147" s="27" t="s">
        <v>7</v>
      </c>
      <c r="AK147" s="27" t="s">
        <v>8</v>
      </c>
      <c r="BX147" s="27" t="s">
        <v>7</v>
      </c>
      <c r="DP147" s="27" t="s">
        <v>7</v>
      </c>
      <c r="DQ147" s="27" t="s">
        <v>8</v>
      </c>
      <c r="DR147" s="27" t="s">
        <v>7</v>
      </c>
      <c r="DS147" s="27" t="s">
        <v>8</v>
      </c>
      <c r="DT147" s="27" t="s">
        <v>7</v>
      </c>
      <c r="DX147" s="27" t="s">
        <v>7</v>
      </c>
      <c r="DZ147" s="27" t="s">
        <v>7</v>
      </c>
      <c r="EA147" s="27" t="s">
        <v>8</v>
      </c>
      <c r="EL147" s="27" t="s">
        <v>7</v>
      </c>
      <c r="FQ147" s="27" t="s">
        <v>8</v>
      </c>
      <c r="HZ147" s="27" t="s">
        <v>7</v>
      </c>
      <c r="IE147" s="27" t="s">
        <v>8</v>
      </c>
      <c r="IF147" s="27" t="s">
        <v>7</v>
      </c>
      <c r="IG147" s="27" t="s">
        <v>8</v>
      </c>
      <c r="IH147" s="27" t="s">
        <v>7</v>
      </c>
      <c r="II147" s="27" t="s">
        <v>8</v>
      </c>
    </row>
    <row r="148" spans="1:245" x14ac:dyDescent="0.25">
      <c r="A148" s="7">
        <v>5963.1454625986735</v>
      </c>
      <c r="E148"/>
      <c r="AE148" s="27" t="s">
        <v>8</v>
      </c>
      <c r="AF148" s="27" t="s">
        <v>7</v>
      </c>
      <c r="AG148" s="27" t="s">
        <v>8</v>
      </c>
      <c r="AJ148" s="27" t="s">
        <v>7</v>
      </c>
      <c r="AK148" s="27" t="s">
        <v>8</v>
      </c>
      <c r="DP148" s="27" t="s">
        <v>7</v>
      </c>
      <c r="DQ148" s="27" t="s">
        <v>8</v>
      </c>
      <c r="DR148" s="27" t="s">
        <v>7</v>
      </c>
      <c r="DS148" s="27" t="s">
        <v>8</v>
      </c>
      <c r="DZ148" s="27" t="s">
        <v>7</v>
      </c>
      <c r="EL148" s="27" t="s">
        <v>7</v>
      </c>
      <c r="FQ148" s="27" t="s">
        <v>8</v>
      </c>
      <c r="HZ148" s="27" t="s">
        <v>7</v>
      </c>
      <c r="IE148" s="27" t="s">
        <v>8</v>
      </c>
      <c r="IF148" s="27" t="s">
        <v>7</v>
      </c>
      <c r="IG148" s="27" t="s">
        <v>8</v>
      </c>
      <c r="IH148" s="27" t="s">
        <v>7</v>
      </c>
    </row>
    <row r="149" spans="1:245" x14ac:dyDescent="0.25">
      <c r="A149" s="7">
        <v>5846.2210417634051</v>
      </c>
      <c r="E149"/>
      <c r="AA149" s="27" t="s">
        <v>8</v>
      </c>
      <c r="AE149" s="27" t="s">
        <v>8</v>
      </c>
      <c r="AF149" s="27" t="s">
        <v>7</v>
      </c>
      <c r="AG149" s="27" t="s">
        <v>8</v>
      </c>
      <c r="AJ149" s="27" t="s">
        <v>7</v>
      </c>
      <c r="AK149" s="27" t="s">
        <v>8</v>
      </c>
      <c r="DP149" s="27" t="s">
        <v>7</v>
      </c>
      <c r="DR149" s="27" t="s">
        <v>7</v>
      </c>
      <c r="EL149" s="27" t="s">
        <v>7</v>
      </c>
      <c r="FQ149" s="27" t="s">
        <v>8</v>
      </c>
      <c r="HZ149" s="27" t="s">
        <v>7</v>
      </c>
      <c r="IA149" s="27" t="s">
        <v>8</v>
      </c>
      <c r="IE149" s="27" t="s">
        <v>8</v>
      </c>
      <c r="IF149" s="27" t="s">
        <v>7</v>
      </c>
      <c r="IG149" s="27" t="s">
        <v>8</v>
      </c>
    </row>
    <row r="150" spans="1:245" x14ac:dyDescent="0.25">
      <c r="A150" s="7">
        <v>5731.5892566307894</v>
      </c>
      <c r="E150"/>
      <c r="AA150" s="27" t="s">
        <v>8</v>
      </c>
      <c r="AB150" s="27" t="s">
        <v>7</v>
      </c>
      <c r="AC150" s="27" t="s">
        <v>8</v>
      </c>
      <c r="AE150" s="27" t="s">
        <v>8</v>
      </c>
      <c r="AF150" s="27" t="s">
        <v>7</v>
      </c>
      <c r="AG150" s="27" t="s">
        <v>8</v>
      </c>
      <c r="AJ150" s="27" t="s">
        <v>7</v>
      </c>
      <c r="AK150" s="27" t="s">
        <v>8</v>
      </c>
      <c r="EL150" s="27" t="s">
        <v>7</v>
      </c>
      <c r="FQ150" s="27" t="s">
        <v>8</v>
      </c>
      <c r="HZ150" s="27" t="s">
        <v>7</v>
      </c>
      <c r="IA150" s="27" t="s">
        <v>8</v>
      </c>
      <c r="IB150" s="27" t="s">
        <v>7</v>
      </c>
      <c r="IE150" s="27" t="s">
        <v>8</v>
      </c>
      <c r="IF150" s="27" t="s">
        <v>7</v>
      </c>
    </row>
    <row r="151" spans="1:245" x14ac:dyDescent="0.25">
      <c r="A151" s="7">
        <v>5619.2051535595974</v>
      </c>
      <c r="E151"/>
      <c r="AA151" s="27" t="s">
        <v>8</v>
      </c>
      <c r="AB151" s="27" t="s">
        <v>7</v>
      </c>
      <c r="AC151" s="27" t="s">
        <v>8</v>
      </c>
      <c r="AD151" s="27" t="s">
        <v>7</v>
      </c>
      <c r="AE151" s="27" t="s">
        <v>8</v>
      </c>
      <c r="AF151" s="27" t="s">
        <v>7</v>
      </c>
      <c r="AG151" s="27" t="s">
        <v>8</v>
      </c>
      <c r="AJ151" s="27" t="s">
        <v>7</v>
      </c>
      <c r="AK151" s="27" t="s">
        <v>8</v>
      </c>
      <c r="EL151" s="27" t="s">
        <v>7</v>
      </c>
      <c r="FQ151" s="27" t="s">
        <v>8</v>
      </c>
      <c r="HZ151" s="27" t="s">
        <v>7</v>
      </c>
      <c r="IA151" s="27" t="s">
        <v>8</v>
      </c>
      <c r="IB151" s="27" t="s">
        <v>7</v>
      </c>
      <c r="IE151" s="27" t="s">
        <v>8</v>
      </c>
    </row>
    <row r="152" spans="1:245" x14ac:dyDescent="0.25">
      <c r="A152" s="7">
        <v>5509.0246603525466</v>
      </c>
      <c r="E152"/>
      <c r="AA152" s="27" t="s">
        <v>8</v>
      </c>
      <c r="AB152" s="27" t="s">
        <v>7</v>
      </c>
      <c r="AC152" s="27" t="s">
        <v>8</v>
      </c>
      <c r="AD152" s="27" t="s">
        <v>7</v>
      </c>
      <c r="AE152" s="27" t="s">
        <v>8</v>
      </c>
      <c r="AF152" s="27" t="s">
        <v>7</v>
      </c>
      <c r="AG152" s="27" t="s">
        <v>8</v>
      </c>
      <c r="AJ152" s="27" t="s">
        <v>7</v>
      </c>
      <c r="AK152" s="27" t="s">
        <v>8</v>
      </c>
      <c r="EL152" s="27" t="s">
        <v>7</v>
      </c>
      <c r="FM152" s="27" t="s">
        <v>8</v>
      </c>
      <c r="FO152" s="27" t="s">
        <v>8</v>
      </c>
      <c r="FQ152" s="27" t="s">
        <v>8</v>
      </c>
      <c r="HZ152" s="27" t="s">
        <v>7</v>
      </c>
      <c r="IA152" s="27" t="s">
        <v>8</v>
      </c>
      <c r="IB152" s="27" t="s">
        <v>7</v>
      </c>
      <c r="IC152" s="27" t="s">
        <v>8</v>
      </c>
      <c r="IE152" s="27" t="s">
        <v>8</v>
      </c>
    </row>
    <row r="153" spans="1:245" x14ac:dyDescent="0.25">
      <c r="A153" s="7">
        <v>5401.004568973085</v>
      </c>
      <c r="E153"/>
      <c r="AA153" s="27" t="s">
        <v>8</v>
      </c>
      <c r="AB153" s="27" t="s">
        <v>7</v>
      </c>
      <c r="AD153" s="27" t="s">
        <v>7</v>
      </c>
      <c r="AE153" s="27" t="s">
        <v>8</v>
      </c>
      <c r="AF153" s="27" t="s">
        <v>7</v>
      </c>
      <c r="AG153" s="27" t="s">
        <v>8</v>
      </c>
      <c r="AJ153" s="27" t="s">
        <v>7</v>
      </c>
      <c r="EL153" s="27" t="s">
        <v>7</v>
      </c>
      <c r="FK153" s="27" t="s">
        <v>8</v>
      </c>
      <c r="FM153" s="27" t="s">
        <v>8</v>
      </c>
      <c r="FN153" s="27" t="s">
        <v>7</v>
      </c>
      <c r="FO153" s="27" t="s">
        <v>8</v>
      </c>
      <c r="FP153" s="27" t="s">
        <v>7</v>
      </c>
      <c r="FQ153" s="27" t="s">
        <v>8</v>
      </c>
      <c r="HZ153" s="27" t="s">
        <v>7</v>
      </c>
      <c r="IA153" s="27" t="s">
        <v>8</v>
      </c>
      <c r="IB153" s="27" t="s">
        <v>7</v>
      </c>
      <c r="IC153" s="27" t="s">
        <v>8</v>
      </c>
      <c r="ID153" s="27" t="s">
        <v>7</v>
      </c>
      <c r="IE153" s="27" t="s">
        <v>8</v>
      </c>
    </row>
    <row r="154" spans="1:245" x14ac:dyDescent="0.25">
      <c r="A154" s="7">
        <v>5295.1025186010638</v>
      </c>
      <c r="C154" s="1" t="s">
        <v>15</v>
      </c>
      <c r="E154"/>
      <c r="AA154" s="27" t="s">
        <v>8</v>
      </c>
      <c r="AD154" s="27" t="s">
        <v>7</v>
      </c>
      <c r="AE154" s="27" t="s">
        <v>8</v>
      </c>
      <c r="AF154" s="27" t="s">
        <v>7</v>
      </c>
      <c r="EL154" s="27" t="s">
        <v>7</v>
      </c>
      <c r="FK154" s="27" t="s">
        <v>8</v>
      </c>
      <c r="FL154" s="27" t="s">
        <v>7</v>
      </c>
      <c r="FM154" s="27" t="s">
        <v>8</v>
      </c>
      <c r="FN154" s="27" t="s">
        <v>7</v>
      </c>
      <c r="FO154" s="27" t="s">
        <v>8</v>
      </c>
      <c r="FP154" s="27" t="s">
        <v>7</v>
      </c>
      <c r="FQ154" s="27" t="s">
        <v>8</v>
      </c>
      <c r="HZ154" s="27" t="s">
        <v>7</v>
      </c>
      <c r="IA154" s="27" t="s">
        <v>8</v>
      </c>
      <c r="IB154" s="27" t="s">
        <v>7</v>
      </c>
      <c r="IC154" s="27" t="s">
        <v>8</v>
      </c>
      <c r="ID154" s="27" t="s">
        <v>7</v>
      </c>
      <c r="IE154" s="27" t="s">
        <v>8</v>
      </c>
    </row>
    <row r="155" spans="1:245" x14ac:dyDescent="0.25">
      <c r="A155" s="7">
        <v>5191.2769790206503</v>
      </c>
      <c r="C155" s="7">
        <v>3.2521478785124451E-2</v>
      </c>
      <c r="D155"/>
      <c r="E155"/>
      <c r="AA155" s="27" t="s">
        <v>8</v>
      </c>
      <c r="AD155" s="27" t="s">
        <v>7</v>
      </c>
      <c r="AE155" s="27" t="s">
        <v>8</v>
      </c>
      <c r="EL155" s="27" t="s">
        <v>7</v>
      </c>
      <c r="FI155" s="27" t="s">
        <v>8</v>
      </c>
      <c r="FK155" s="27" t="s">
        <v>8</v>
      </c>
      <c r="FL155" s="27" t="s">
        <v>7</v>
      </c>
      <c r="FM155" s="27" t="s">
        <v>8</v>
      </c>
      <c r="FN155" s="27" t="s">
        <v>7</v>
      </c>
      <c r="FP155" s="27" t="s">
        <v>7</v>
      </c>
      <c r="HZ155" s="27" t="s">
        <v>7</v>
      </c>
      <c r="IA155" s="27" t="s">
        <v>8</v>
      </c>
      <c r="IB155" s="27" t="s">
        <v>7</v>
      </c>
      <c r="IC155" s="27" t="s">
        <v>8</v>
      </c>
      <c r="ID155" s="27" t="s">
        <v>7</v>
      </c>
      <c r="IE155" s="27" t="s">
        <v>8</v>
      </c>
    </row>
    <row r="156" spans="1:245" x14ac:dyDescent="0.25">
      <c r="A156" s="7">
        <v>5089.4872343339712</v>
      </c>
      <c r="E156"/>
      <c r="AA156" s="27" t="s">
        <v>8</v>
      </c>
      <c r="AD156" s="27" t="s">
        <v>7</v>
      </c>
      <c r="EL156" s="27" t="s">
        <v>7</v>
      </c>
      <c r="FI156" s="27" t="s">
        <v>8</v>
      </c>
      <c r="FJ156" s="27" t="s">
        <v>7</v>
      </c>
      <c r="FK156" s="27" t="s">
        <v>8</v>
      </c>
      <c r="FL156" s="27" t="s">
        <v>7</v>
      </c>
      <c r="FM156" s="27" t="s">
        <v>8</v>
      </c>
      <c r="HZ156" s="27" t="s">
        <v>7</v>
      </c>
      <c r="IA156" s="27" t="s">
        <v>8</v>
      </c>
      <c r="IB156" s="27" t="s">
        <v>7</v>
      </c>
      <c r="IC156" s="27" t="s">
        <v>8</v>
      </c>
      <c r="ID156" s="27" t="s">
        <v>7</v>
      </c>
    </row>
    <row r="157" spans="1:245" x14ac:dyDescent="0.25">
      <c r="A157" s="7">
        <v>4989.693366994089</v>
      </c>
      <c r="C157" s="1" t="s">
        <v>11</v>
      </c>
      <c r="D157" s="1" t="s">
        <v>12</v>
      </c>
      <c r="E157"/>
      <c r="AA157" s="27" t="s">
        <v>8</v>
      </c>
      <c r="EL157" s="27" t="s">
        <v>7</v>
      </c>
      <c r="FI157" s="27" t="s">
        <v>8</v>
      </c>
      <c r="FJ157" s="27" t="s">
        <v>7</v>
      </c>
      <c r="FK157" s="27" t="s">
        <v>8</v>
      </c>
      <c r="FL157" s="27" t="s">
        <v>7</v>
      </c>
      <c r="FM157" s="27" t="s">
        <v>8</v>
      </c>
      <c r="HZ157" s="27" t="s">
        <v>7</v>
      </c>
      <c r="IA157" s="27" t="s">
        <v>8</v>
      </c>
      <c r="IB157" s="27" t="s">
        <v>7</v>
      </c>
      <c r="IC157" s="27" t="s">
        <v>8</v>
      </c>
    </row>
    <row r="158" spans="1:245" x14ac:dyDescent="0.25">
      <c r="A158" s="7">
        <v>4891.8562421510678</v>
      </c>
      <c r="C158">
        <v>3.6999999999999998E-2</v>
      </c>
      <c r="D158">
        <v>3.3000000000000002E-2</v>
      </c>
      <c r="E158"/>
      <c r="K158" s="27" t="s">
        <v>8</v>
      </c>
      <c r="AA158" s="27" t="s">
        <v>8</v>
      </c>
      <c r="EL158" s="27" t="s">
        <v>7</v>
      </c>
      <c r="FI158" s="27" t="s">
        <v>8</v>
      </c>
      <c r="FJ158" s="27" t="s">
        <v>7</v>
      </c>
      <c r="FK158" s="27" t="s">
        <v>8</v>
      </c>
      <c r="FL158" s="27" t="s">
        <v>7</v>
      </c>
      <c r="HZ158" s="27" t="s">
        <v>7</v>
      </c>
      <c r="IA158" s="27" t="s">
        <v>8</v>
      </c>
      <c r="IB158" s="27" t="s">
        <v>7</v>
      </c>
      <c r="IC158" s="27" t="s">
        <v>8</v>
      </c>
    </row>
    <row r="159" spans="1:245" x14ac:dyDescent="0.25">
      <c r="A159" s="7">
        <v>4795.9374923049681</v>
      </c>
      <c r="E159"/>
      <c r="K159" s="27" t="s">
        <v>8</v>
      </c>
      <c r="L159" s="27" t="s">
        <v>7</v>
      </c>
      <c r="AA159" s="27" t="s">
        <v>8</v>
      </c>
      <c r="EL159" s="27" t="s">
        <v>7</v>
      </c>
      <c r="FI159" s="27" t="s">
        <v>8</v>
      </c>
      <c r="FJ159" s="27" t="s">
        <v>7</v>
      </c>
      <c r="HZ159" s="27" t="s">
        <v>7</v>
      </c>
      <c r="IA159" s="27" t="s">
        <v>8</v>
      </c>
      <c r="IB159" s="27" t="s">
        <v>7</v>
      </c>
      <c r="IC159" s="27" t="s">
        <v>8</v>
      </c>
    </row>
    <row r="160" spans="1:245" x14ac:dyDescent="0.25">
      <c r="A160" s="7">
        <v>4701.8995022597728</v>
      </c>
      <c r="C160" s="1" t="s">
        <v>13</v>
      </c>
      <c r="E160"/>
      <c r="K160" s="27" t="s">
        <v>8</v>
      </c>
      <c r="L160" s="27" t="s">
        <v>7</v>
      </c>
      <c r="M160" s="27" t="s">
        <v>8</v>
      </c>
      <c r="AA160" s="27" t="s">
        <v>8</v>
      </c>
      <c r="EL160" s="27" t="s">
        <v>7</v>
      </c>
      <c r="EM160" s="27" t="s">
        <v>8</v>
      </c>
      <c r="FI160" s="27" t="s">
        <v>8</v>
      </c>
      <c r="HZ160" s="27" t="s">
        <v>7</v>
      </c>
      <c r="IA160" s="27" t="s">
        <v>8</v>
      </c>
      <c r="IB160" s="27" t="s">
        <v>7</v>
      </c>
      <c r="IC160" s="27" t="s">
        <v>8</v>
      </c>
    </row>
    <row r="161" spans="1:237" x14ac:dyDescent="0.25">
      <c r="A161" s="7">
        <v>4609.7053943723258</v>
      </c>
      <c r="C161" s="1" t="s">
        <v>8</v>
      </c>
      <c r="E161"/>
      <c r="K161" s="27" t="s">
        <v>8</v>
      </c>
      <c r="L161" s="27" t="s">
        <v>7</v>
      </c>
      <c r="M161" s="27" t="s">
        <v>8</v>
      </c>
      <c r="N161" s="27" t="s">
        <v>7</v>
      </c>
      <c r="AA161" s="27" t="s">
        <v>8</v>
      </c>
      <c r="EL161" s="27" t="s">
        <v>7</v>
      </c>
      <c r="EM161" s="27" t="s">
        <v>8</v>
      </c>
      <c r="EN161" s="27" t="s">
        <v>7</v>
      </c>
      <c r="FI161" s="27" t="s">
        <v>8</v>
      </c>
      <c r="HZ161" s="27" t="s">
        <v>7</v>
      </c>
      <c r="IA161" s="27" t="s">
        <v>8</v>
      </c>
      <c r="IB161" s="27" t="s">
        <v>7</v>
      </c>
      <c r="IC161" s="27" t="s">
        <v>8</v>
      </c>
    </row>
    <row r="162" spans="1:237" x14ac:dyDescent="0.25">
      <c r="A162" s="7">
        <v>4519.3190140905153</v>
      </c>
      <c r="E162"/>
      <c r="K162" s="27" t="s">
        <v>8</v>
      </c>
      <c r="L162" s="27" t="s">
        <v>7</v>
      </c>
      <c r="M162" s="27" t="s">
        <v>8</v>
      </c>
      <c r="N162" s="27" t="s">
        <v>7</v>
      </c>
      <c r="Y162" s="27" t="s">
        <v>8</v>
      </c>
      <c r="AA162" s="27" t="s">
        <v>8</v>
      </c>
      <c r="EL162" s="27" t="s">
        <v>7</v>
      </c>
      <c r="EM162" s="27" t="s">
        <v>8</v>
      </c>
      <c r="EN162" s="27" t="s">
        <v>7</v>
      </c>
      <c r="FI162" s="27" t="s">
        <v>8</v>
      </c>
      <c r="HZ162" s="27" t="s">
        <v>7</v>
      </c>
      <c r="IA162" s="27" t="s">
        <v>8</v>
      </c>
      <c r="IB162" s="27" t="s">
        <v>7</v>
      </c>
    </row>
    <row r="163" spans="1:237" x14ac:dyDescent="0.25">
      <c r="A163" s="7">
        <v>4430.7049157750153</v>
      </c>
      <c r="C163" s="1" t="s">
        <v>14</v>
      </c>
      <c r="E163"/>
      <c r="I163" s="27" t="s">
        <v>8</v>
      </c>
      <c r="K163" s="27" t="s">
        <v>8</v>
      </c>
      <c r="L163" s="27" t="s">
        <v>7</v>
      </c>
      <c r="M163" s="27" t="s">
        <v>8</v>
      </c>
      <c r="N163" s="27" t="s">
        <v>7</v>
      </c>
      <c r="Y163" s="27" t="s">
        <v>8</v>
      </c>
      <c r="Z163" s="27" t="s">
        <v>7</v>
      </c>
      <c r="AA163" s="27" t="s">
        <v>8</v>
      </c>
      <c r="EL163" s="27" t="s">
        <v>7</v>
      </c>
      <c r="EM163" s="27" t="s">
        <v>8</v>
      </c>
      <c r="EN163" s="27" t="s">
        <v>7</v>
      </c>
      <c r="EQ163" s="27" t="s">
        <v>8</v>
      </c>
      <c r="FI163" s="27" t="s">
        <v>8</v>
      </c>
      <c r="HZ163" s="27" t="s">
        <v>7</v>
      </c>
      <c r="IA163" s="27" t="s">
        <v>8</v>
      </c>
    </row>
    <row r="164" spans="1:237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 t="s">
        <v>8</v>
      </c>
      <c r="I164" s="27" t="s">
        <v>8</v>
      </c>
      <c r="J164" s="27" t="s">
        <v>7</v>
      </c>
      <c r="K164" s="27" t="s">
        <v>8</v>
      </c>
      <c r="L164" s="27" t="s">
        <v>7</v>
      </c>
      <c r="M164" s="27" t="s">
        <v>8</v>
      </c>
      <c r="N164" s="27" t="s">
        <v>7</v>
      </c>
      <c r="O164" s="27" t="s">
        <v>8</v>
      </c>
      <c r="Q164" s="27" t="s">
        <v>8</v>
      </c>
      <c r="Y164" s="27" t="s">
        <v>8</v>
      </c>
      <c r="Z164" s="27" t="s">
        <v>7</v>
      </c>
      <c r="AA164" s="27" t="s">
        <v>8</v>
      </c>
      <c r="EL164" s="27" t="s">
        <v>7</v>
      </c>
      <c r="EN164" s="27" t="s">
        <v>7</v>
      </c>
      <c r="EQ164" s="27" t="s">
        <v>8</v>
      </c>
      <c r="ER164" s="27" t="s">
        <v>7</v>
      </c>
      <c r="FI164" s="27" t="s">
        <v>8</v>
      </c>
      <c r="HZ164" s="27" t="s">
        <v>7</v>
      </c>
      <c r="IA164" s="27" t="s">
        <v>8</v>
      </c>
    </row>
    <row r="165" spans="1:237" x14ac:dyDescent="0.25">
      <c r="A165" s="7">
        <v>4258.6552439206225</v>
      </c>
      <c r="E165" t="s">
        <v>8</v>
      </c>
      <c r="F165" s="27" t="s">
        <v>7</v>
      </c>
      <c r="I165" s="27" t="s">
        <v>8</v>
      </c>
      <c r="J165" s="27" t="s">
        <v>7</v>
      </c>
      <c r="K165" s="27" t="s">
        <v>8</v>
      </c>
      <c r="L165" s="27" t="s">
        <v>7</v>
      </c>
      <c r="M165" s="27" t="s">
        <v>8</v>
      </c>
      <c r="N165" s="27" t="s">
        <v>7</v>
      </c>
      <c r="O165" s="27" t="s">
        <v>8</v>
      </c>
      <c r="P165" s="27" t="s">
        <v>7</v>
      </c>
      <c r="Q165" s="27" t="s">
        <v>8</v>
      </c>
      <c r="R165" s="27" t="s">
        <v>7</v>
      </c>
      <c r="W165" s="27" t="s">
        <v>8</v>
      </c>
      <c r="Y165" s="27" t="s">
        <v>8</v>
      </c>
      <c r="Z165" s="27" t="s">
        <v>7</v>
      </c>
      <c r="AA165" s="27" t="s">
        <v>8</v>
      </c>
      <c r="EN165" s="27" t="s">
        <v>7</v>
      </c>
      <c r="EQ165" s="27" t="s">
        <v>8</v>
      </c>
      <c r="ER165" s="27" t="s">
        <v>7</v>
      </c>
      <c r="ES165" s="27" t="s">
        <v>8</v>
      </c>
      <c r="FI165" s="27" t="s">
        <v>8</v>
      </c>
      <c r="HZ165" s="27" t="s">
        <v>7</v>
      </c>
      <c r="IA165" s="27" t="s">
        <v>8</v>
      </c>
    </row>
    <row r="166" spans="1:237" x14ac:dyDescent="0.25">
      <c r="A166" s="7">
        <v>4175.1521999221786</v>
      </c>
      <c r="E166" t="s">
        <v>8</v>
      </c>
      <c r="F166" s="27" t="s">
        <v>7</v>
      </c>
      <c r="G166" s="27" t="s">
        <v>8</v>
      </c>
      <c r="I166" s="27" t="s">
        <v>8</v>
      </c>
      <c r="J166" s="27" t="s">
        <v>7</v>
      </c>
      <c r="L166" s="27" t="s">
        <v>7</v>
      </c>
      <c r="M166" s="27" t="s">
        <v>8</v>
      </c>
      <c r="N166" s="27" t="s">
        <v>7</v>
      </c>
      <c r="O166" s="27" t="s">
        <v>8</v>
      </c>
      <c r="P166" s="27" t="s">
        <v>7</v>
      </c>
      <c r="Q166" s="27" t="s">
        <v>8</v>
      </c>
      <c r="R166" s="27" t="s">
        <v>7</v>
      </c>
      <c r="W166" s="27" t="s">
        <v>8</v>
      </c>
      <c r="X166" s="27" t="s">
        <v>7</v>
      </c>
      <c r="Y166" s="27" t="s">
        <v>8</v>
      </c>
      <c r="Z166" s="27" t="s">
        <v>7</v>
      </c>
      <c r="EN166" s="27" t="s">
        <v>7</v>
      </c>
      <c r="EO166" s="27" t="s">
        <v>8</v>
      </c>
      <c r="EQ166" s="27" t="s">
        <v>8</v>
      </c>
      <c r="ER166" s="27" t="s">
        <v>7</v>
      </c>
      <c r="ES166" s="27" t="s">
        <v>8</v>
      </c>
      <c r="ET166" s="27" t="s">
        <v>7</v>
      </c>
      <c r="EY166" s="27" t="s">
        <v>8</v>
      </c>
      <c r="FG166" s="27" t="s">
        <v>8</v>
      </c>
      <c r="FI166" s="27" t="s">
        <v>8</v>
      </c>
      <c r="HZ166" s="27" t="s">
        <v>7</v>
      </c>
      <c r="IA166" s="27" t="s">
        <v>8</v>
      </c>
    </row>
    <row r="167" spans="1:237" x14ac:dyDescent="0.25">
      <c r="A167" s="7">
        <v>4093.2864705119396</v>
      </c>
      <c r="E167" t="s">
        <v>8</v>
      </c>
      <c r="F167" s="27" t="s">
        <v>7</v>
      </c>
      <c r="G167" s="27" t="s">
        <v>8</v>
      </c>
      <c r="H167" s="27" t="s">
        <v>7</v>
      </c>
      <c r="I167" s="27" t="s">
        <v>8</v>
      </c>
      <c r="L167" s="27" t="s">
        <v>7</v>
      </c>
      <c r="M167" s="27" t="s">
        <v>8</v>
      </c>
      <c r="N167" s="27" t="s">
        <v>7</v>
      </c>
      <c r="P167" s="27" t="s">
        <v>7</v>
      </c>
      <c r="Q167" s="27" t="s">
        <v>8</v>
      </c>
      <c r="R167" s="27" t="s">
        <v>7</v>
      </c>
      <c r="U167" s="27" t="s">
        <v>8</v>
      </c>
      <c r="W167" s="27" t="s">
        <v>8</v>
      </c>
      <c r="X167" s="27" t="s">
        <v>7</v>
      </c>
      <c r="Y167" s="27" t="s">
        <v>8</v>
      </c>
      <c r="EN167" s="27" t="s">
        <v>7</v>
      </c>
      <c r="EO167" s="27" t="s">
        <v>8</v>
      </c>
      <c r="EP167" s="27" t="s">
        <v>7</v>
      </c>
      <c r="EQ167" s="27" t="s">
        <v>8</v>
      </c>
      <c r="ER167" s="27" t="s">
        <v>7</v>
      </c>
      <c r="ES167" s="27" t="s">
        <v>8</v>
      </c>
      <c r="ET167" s="27" t="s">
        <v>7</v>
      </c>
      <c r="EW167" s="27" t="s">
        <v>8</v>
      </c>
      <c r="EY167" s="27" t="s">
        <v>8</v>
      </c>
      <c r="EZ167" s="27" t="s">
        <v>7</v>
      </c>
      <c r="FG167" s="27" t="s">
        <v>8</v>
      </c>
      <c r="FH167" s="27" t="s">
        <v>7</v>
      </c>
      <c r="FI167" s="27" t="s">
        <v>8</v>
      </c>
      <c r="HZ167" s="27" t="s">
        <v>7</v>
      </c>
      <c r="IA167" s="27" t="s">
        <v>8</v>
      </c>
    </row>
    <row r="168" spans="1:237" x14ac:dyDescent="0.25">
      <c r="A168" s="7">
        <v>4013.0259514822937</v>
      </c>
      <c r="E168" t="s">
        <v>8</v>
      </c>
      <c r="F168" s="27" t="s">
        <v>7</v>
      </c>
      <c r="G168" s="27" t="s">
        <v>8</v>
      </c>
      <c r="H168" s="27" t="s">
        <v>7</v>
      </c>
      <c r="I168" s="27" t="s">
        <v>8</v>
      </c>
      <c r="L168" s="27" t="s">
        <v>7</v>
      </c>
      <c r="M168" s="27" t="s">
        <v>8</v>
      </c>
      <c r="P168" s="27" t="s">
        <v>7</v>
      </c>
      <c r="Q168" s="27" t="s">
        <v>8</v>
      </c>
      <c r="R168" s="27" t="s">
        <v>7</v>
      </c>
      <c r="U168" s="27" t="s">
        <v>8</v>
      </c>
      <c r="V168" s="27" t="s">
        <v>7</v>
      </c>
      <c r="W168" s="27" t="s">
        <v>8</v>
      </c>
      <c r="X168" s="27" t="s">
        <v>7</v>
      </c>
      <c r="EN168" s="27" t="s">
        <v>7</v>
      </c>
      <c r="EO168" s="27" t="s">
        <v>8</v>
      </c>
      <c r="EP168" s="27" t="s">
        <v>7</v>
      </c>
      <c r="EQ168" s="27" t="s">
        <v>8</v>
      </c>
      <c r="ER168" s="27" t="s">
        <v>7</v>
      </c>
      <c r="ET168" s="27" t="s">
        <v>7</v>
      </c>
      <c r="EW168" s="27" t="s">
        <v>8</v>
      </c>
      <c r="EX168" s="27" t="s">
        <v>7</v>
      </c>
      <c r="EY168" s="27" t="s">
        <v>8</v>
      </c>
      <c r="EZ168" s="27" t="s">
        <v>7</v>
      </c>
      <c r="FC168" s="27" t="s">
        <v>8</v>
      </c>
      <c r="FG168" s="27" t="s">
        <v>8</v>
      </c>
      <c r="FH168" s="27" t="s">
        <v>7</v>
      </c>
      <c r="FI168" s="27" t="s">
        <v>8</v>
      </c>
      <c r="HZ168" s="27" t="s">
        <v>7</v>
      </c>
      <c r="IA168" s="27" t="s">
        <v>8</v>
      </c>
    </row>
    <row r="169" spans="1:237" x14ac:dyDescent="0.25">
      <c r="A169" s="7">
        <v>3934.3391681198959</v>
      </c>
      <c r="E169" t="s">
        <v>8</v>
      </c>
      <c r="F169" s="27" t="s">
        <v>7</v>
      </c>
      <c r="G169" s="27" t="s">
        <v>8</v>
      </c>
      <c r="H169" s="27" t="s">
        <v>7</v>
      </c>
      <c r="I169" s="27" t="s">
        <v>8</v>
      </c>
      <c r="L169" s="27" t="s">
        <v>7</v>
      </c>
      <c r="M169" s="27" t="s">
        <v>8</v>
      </c>
      <c r="P169" s="27" t="s">
        <v>7</v>
      </c>
      <c r="Q169" s="27" t="s">
        <v>8</v>
      </c>
      <c r="R169" s="27" t="s">
        <v>7</v>
      </c>
      <c r="S169" s="27" t="s">
        <v>8</v>
      </c>
      <c r="U169" s="27" t="s">
        <v>8</v>
      </c>
      <c r="V169" s="27" t="s">
        <v>7</v>
      </c>
      <c r="W169" s="27" t="s">
        <v>8</v>
      </c>
      <c r="EN169" s="27" t="s">
        <v>7</v>
      </c>
      <c r="EO169" s="27" t="s">
        <v>8</v>
      </c>
      <c r="EP169" s="27" t="s">
        <v>7</v>
      </c>
      <c r="EQ169" s="27" t="s">
        <v>8</v>
      </c>
      <c r="ET169" s="27" t="s">
        <v>7</v>
      </c>
      <c r="EW169" s="27" t="s">
        <v>8</v>
      </c>
      <c r="EX169" s="27" t="s">
        <v>7</v>
      </c>
      <c r="EY169" s="27" t="s">
        <v>8</v>
      </c>
      <c r="EZ169" s="27" t="s">
        <v>7</v>
      </c>
      <c r="FC169" s="27" t="s">
        <v>8</v>
      </c>
      <c r="FD169" s="27" t="s">
        <v>7</v>
      </c>
      <c r="FG169" s="27" t="s">
        <v>8</v>
      </c>
      <c r="FH169" s="27" t="s">
        <v>7</v>
      </c>
      <c r="FI169" s="27" t="s">
        <v>8</v>
      </c>
      <c r="HZ169" s="27" t="s">
        <v>7</v>
      </c>
      <c r="IA169" s="27" t="s">
        <v>8</v>
      </c>
    </row>
    <row r="170" spans="1:237" x14ac:dyDescent="0.25">
      <c r="A170" s="7">
        <v>3857.1952628626432</v>
      </c>
      <c r="E170" t="s">
        <v>8</v>
      </c>
      <c r="F170" s="27" t="s">
        <v>7</v>
      </c>
      <c r="H170" s="27" t="s">
        <v>7</v>
      </c>
      <c r="I170" s="27" t="s">
        <v>8</v>
      </c>
      <c r="L170" s="27" t="s">
        <v>7</v>
      </c>
      <c r="M170" s="27" t="s">
        <v>8</v>
      </c>
      <c r="P170" s="27" t="s">
        <v>7</v>
      </c>
      <c r="R170" s="27" t="s">
        <v>7</v>
      </c>
      <c r="S170" s="27" t="s">
        <v>8</v>
      </c>
      <c r="T170" s="27" t="s">
        <v>7</v>
      </c>
      <c r="U170" s="27" t="s">
        <v>8</v>
      </c>
      <c r="V170" s="27" t="s">
        <v>7</v>
      </c>
      <c r="W170" s="27" t="s">
        <v>8</v>
      </c>
      <c r="EN170" s="27" t="s">
        <v>7</v>
      </c>
      <c r="EO170" s="27" t="s">
        <v>8</v>
      </c>
      <c r="EP170" s="27" t="s">
        <v>7</v>
      </c>
      <c r="EQ170" s="27" t="s">
        <v>8</v>
      </c>
      <c r="ET170" s="27" t="s">
        <v>7</v>
      </c>
      <c r="EW170" s="27" t="s">
        <v>8</v>
      </c>
      <c r="EX170" s="27" t="s">
        <v>7</v>
      </c>
      <c r="EY170" s="27" t="s">
        <v>8</v>
      </c>
      <c r="EZ170" s="27" t="s">
        <v>7</v>
      </c>
      <c r="FA170" s="27" t="s">
        <v>8</v>
      </c>
      <c r="FC170" s="27" t="s">
        <v>8</v>
      </c>
      <c r="FD170" s="27" t="s">
        <v>7</v>
      </c>
      <c r="FG170" s="27" t="s">
        <v>8</v>
      </c>
      <c r="FH170" s="27" t="s">
        <v>7</v>
      </c>
      <c r="FI170" s="27" t="s">
        <v>8</v>
      </c>
      <c r="HZ170" s="27" t="s">
        <v>7</v>
      </c>
    </row>
    <row r="171" spans="1:237" x14ac:dyDescent="0.25">
      <c r="A171" s="7">
        <v>3781.5639831986696</v>
      </c>
      <c r="E171" t="s">
        <v>8</v>
      </c>
      <c r="H171" s="27" t="s">
        <v>7</v>
      </c>
      <c r="I171" s="27" t="s">
        <v>8</v>
      </c>
      <c r="L171" s="27" t="s">
        <v>7</v>
      </c>
      <c r="M171" s="27" t="s">
        <v>8</v>
      </c>
      <c r="R171" s="27" t="s">
        <v>7</v>
      </c>
      <c r="S171" s="27" t="s">
        <v>8</v>
      </c>
      <c r="T171" s="27" t="s">
        <v>7</v>
      </c>
      <c r="U171" s="27" t="s">
        <v>8</v>
      </c>
      <c r="V171" s="27" t="s">
        <v>7</v>
      </c>
      <c r="W171" s="27" t="s">
        <v>8</v>
      </c>
      <c r="EN171" s="27" t="s">
        <v>7</v>
      </c>
      <c r="EO171" s="27" t="s">
        <v>8</v>
      </c>
      <c r="EP171" s="27" t="s">
        <v>7</v>
      </c>
      <c r="EQ171" s="27" t="s">
        <v>8</v>
      </c>
      <c r="ET171" s="27" t="s">
        <v>7</v>
      </c>
      <c r="EW171" s="27" t="s">
        <v>8</v>
      </c>
      <c r="EX171" s="27" t="s">
        <v>7</v>
      </c>
      <c r="EZ171" s="27" t="s">
        <v>7</v>
      </c>
      <c r="FA171" s="27" t="s">
        <v>8</v>
      </c>
      <c r="FB171" s="27" t="s">
        <v>7</v>
      </c>
      <c r="FC171" s="27" t="s">
        <v>8</v>
      </c>
      <c r="FD171" s="27" t="s">
        <v>7</v>
      </c>
      <c r="FG171" s="27" t="s">
        <v>8</v>
      </c>
      <c r="FH171" s="27" t="s">
        <v>7</v>
      </c>
      <c r="FI171" s="27" t="s">
        <v>8</v>
      </c>
    </row>
    <row r="172" spans="1:237" x14ac:dyDescent="0.25">
      <c r="A172" s="7">
        <v>3707.4156698026172</v>
      </c>
      <c r="E172" t="s">
        <v>8</v>
      </c>
      <c r="H172" s="27" t="s">
        <v>7</v>
      </c>
      <c r="I172" s="27" t="s">
        <v>8</v>
      </c>
      <c r="L172" s="27" t="s">
        <v>7</v>
      </c>
      <c r="M172" s="27" t="s">
        <v>8</v>
      </c>
      <c r="R172" s="27" t="s">
        <v>7</v>
      </c>
      <c r="S172" s="27" t="s">
        <v>8</v>
      </c>
      <c r="T172" s="27" t="s">
        <v>7</v>
      </c>
      <c r="U172" s="27" t="s">
        <v>8</v>
      </c>
      <c r="V172" s="27" t="s">
        <v>7</v>
      </c>
      <c r="W172" s="27" t="s">
        <v>8</v>
      </c>
      <c r="EN172" s="27" t="s">
        <v>7</v>
      </c>
      <c r="EP172" s="27" t="s">
        <v>7</v>
      </c>
      <c r="ET172" s="27" t="s">
        <v>7</v>
      </c>
      <c r="EW172" s="27" t="s">
        <v>8</v>
      </c>
      <c r="EZ172" s="27" t="s">
        <v>7</v>
      </c>
      <c r="FA172" s="27" t="s">
        <v>8</v>
      </c>
      <c r="FB172" s="27" t="s">
        <v>7</v>
      </c>
      <c r="FC172" s="27" t="s">
        <v>8</v>
      </c>
      <c r="FD172" s="27" t="s">
        <v>7</v>
      </c>
      <c r="FE172" s="27" t="s">
        <v>8</v>
      </c>
      <c r="FG172" s="27" t="s">
        <v>8</v>
      </c>
      <c r="FH172" s="27" t="s">
        <v>7</v>
      </c>
    </row>
    <row r="173" spans="1:237" x14ac:dyDescent="0.25">
      <c r="A173" s="7">
        <v>3634.7212449045264</v>
      </c>
      <c r="E173" t="s">
        <v>8</v>
      </c>
      <c r="H173" s="27" t="s">
        <v>7</v>
      </c>
      <c r="I173" s="27" t="s">
        <v>8</v>
      </c>
      <c r="L173" s="27" t="s">
        <v>7</v>
      </c>
      <c r="R173" s="27" t="s">
        <v>7</v>
      </c>
      <c r="S173" s="27" t="s">
        <v>8</v>
      </c>
      <c r="T173" s="27" t="s">
        <v>7</v>
      </c>
      <c r="U173" s="27" t="s">
        <v>8</v>
      </c>
      <c r="V173" s="27" t="s">
        <v>7</v>
      </c>
      <c r="W173" s="27" t="s">
        <v>8</v>
      </c>
      <c r="ET173" s="27" t="s">
        <v>7</v>
      </c>
      <c r="EU173" s="27" t="s">
        <v>8</v>
      </c>
      <c r="EW173" s="27" t="s">
        <v>8</v>
      </c>
      <c r="EZ173" s="27" t="s">
        <v>7</v>
      </c>
      <c r="FA173" s="27" t="s">
        <v>8</v>
      </c>
      <c r="FB173" s="27" t="s">
        <v>7</v>
      </c>
      <c r="FD173" s="27" t="s">
        <v>7</v>
      </c>
      <c r="FE173" s="27" t="s">
        <v>8</v>
      </c>
      <c r="FF173" s="27" t="s">
        <v>7</v>
      </c>
      <c r="FG173" s="27" t="s">
        <v>8</v>
      </c>
    </row>
    <row r="174" spans="1:237" x14ac:dyDescent="0.25">
      <c r="A174" s="7">
        <v>3563.4522008867907</v>
      </c>
      <c r="E174" t="s">
        <v>8</v>
      </c>
      <c r="H174" s="27" t="s">
        <v>7</v>
      </c>
      <c r="I174" s="27" t="s">
        <v>8</v>
      </c>
      <c r="R174" s="27" t="s">
        <v>7</v>
      </c>
      <c r="S174" s="27" t="s">
        <v>8</v>
      </c>
      <c r="T174" s="27" t="s">
        <v>7</v>
      </c>
      <c r="V174" s="27" t="s">
        <v>7</v>
      </c>
      <c r="ET174" s="27" t="s">
        <v>7</v>
      </c>
      <c r="EU174" s="27" t="s">
        <v>8</v>
      </c>
      <c r="EV174" s="27" t="s">
        <v>7</v>
      </c>
      <c r="EW174" s="27" t="s">
        <v>8</v>
      </c>
      <c r="EZ174" s="27" t="s">
        <v>7</v>
      </c>
      <c r="FD174" s="27" t="s">
        <v>7</v>
      </c>
      <c r="FE174" s="27" t="s">
        <v>8</v>
      </c>
      <c r="FF174" s="27" t="s">
        <v>7</v>
      </c>
      <c r="FG174" s="27" t="s">
        <v>8</v>
      </c>
    </row>
    <row r="175" spans="1:237" x14ac:dyDescent="0.25">
      <c r="A175" s="7">
        <v>3493.5805891046966</v>
      </c>
      <c r="E175" t="s">
        <v>8</v>
      </c>
      <c r="H175" s="27" t="s">
        <v>7</v>
      </c>
      <c r="I175" s="27" t="s">
        <v>8</v>
      </c>
      <c r="R175" s="27" t="s">
        <v>7</v>
      </c>
      <c r="S175" s="27" t="s">
        <v>8</v>
      </c>
      <c r="ET175" s="27" t="s">
        <v>7</v>
      </c>
      <c r="EU175" s="27" t="s">
        <v>8</v>
      </c>
      <c r="EV175" s="27" t="s">
        <v>7</v>
      </c>
      <c r="EW175" s="27" t="s">
        <v>8</v>
      </c>
      <c r="FD175" s="27" t="s">
        <v>7</v>
      </c>
      <c r="FF175" s="27" t="s">
        <v>7</v>
      </c>
      <c r="FG175" s="27" t="s">
        <v>8</v>
      </c>
    </row>
    <row r="176" spans="1:237" x14ac:dyDescent="0.25">
      <c r="A176" s="7">
        <v>3425.0790089261732</v>
      </c>
      <c r="E176" t="s">
        <v>8</v>
      </c>
      <c r="H176" s="27" t="s">
        <v>7</v>
      </c>
      <c r="R176" s="27" t="s">
        <v>7</v>
      </c>
      <c r="S176" s="27" t="s">
        <v>8</v>
      </c>
      <c r="ET176" s="27" t="s">
        <v>7</v>
      </c>
      <c r="EU176" s="27" t="s">
        <v>8</v>
      </c>
      <c r="EV176" s="27" t="s">
        <v>7</v>
      </c>
      <c r="EW176" s="27" t="s">
        <v>8</v>
      </c>
      <c r="FF176" s="27" t="s">
        <v>7</v>
      </c>
      <c r="FG176" s="27" t="s">
        <v>8</v>
      </c>
    </row>
    <row r="177" spans="1:162" x14ac:dyDescent="0.25">
      <c r="A177" s="7">
        <v>3357.9205969864443</v>
      </c>
      <c r="B177"/>
      <c r="C177"/>
      <c r="D177"/>
      <c r="E177" t="s">
        <v>8</v>
      </c>
      <c r="R177" s="27" t="s">
        <v>7</v>
      </c>
      <c r="S177" s="27" t="s">
        <v>8</v>
      </c>
      <c r="ET177" s="27" t="s">
        <v>7</v>
      </c>
      <c r="EU177" s="27" t="s">
        <v>8</v>
      </c>
      <c r="EV177" s="27" t="s">
        <v>7</v>
      </c>
      <c r="EW177" s="27" t="s">
        <v>8</v>
      </c>
      <c r="FF177" s="27" t="s">
        <v>7</v>
      </c>
    </row>
    <row r="178" spans="1:162" x14ac:dyDescent="0.25">
      <c r="A178" s="7">
        <v>3292.0790166533766</v>
      </c>
      <c r="B178"/>
      <c r="C178"/>
      <c r="D178"/>
      <c r="E178" t="s">
        <v>8</v>
      </c>
      <c r="R178" s="27" t="s">
        <v>7</v>
      </c>
      <c r="S178" s="27" t="s">
        <v>8</v>
      </c>
      <c r="ET178" s="27" t="s">
        <v>7</v>
      </c>
      <c r="EU178" s="27" t="s">
        <v>8</v>
      </c>
      <c r="EV178" s="27" t="s">
        <v>7</v>
      </c>
      <c r="EW178" s="27" t="s">
        <v>8</v>
      </c>
    </row>
    <row r="179" spans="1:162" x14ac:dyDescent="0.25">
      <c r="A179" s="7">
        <v>3227.5284476993888</v>
      </c>
      <c r="B179"/>
      <c r="C179"/>
      <c r="D179"/>
      <c r="E179" t="s">
        <v>8</v>
      </c>
      <c r="R179" s="27" t="s">
        <v>7</v>
      </c>
      <c r="S179" s="27" t="s">
        <v>8</v>
      </c>
      <c r="ET179" s="27" t="s">
        <v>7</v>
      </c>
      <c r="EV179" s="27" t="s">
        <v>7</v>
      </c>
      <c r="EW179" s="27" t="s">
        <v>8</v>
      </c>
    </row>
    <row r="180" spans="1:162" x14ac:dyDescent="0.25">
      <c r="A180" s="7">
        <v>3164.2435761758716</v>
      </c>
      <c r="B180"/>
      <c r="C180"/>
      <c r="D180"/>
      <c r="E180" t="s">
        <v>8</v>
      </c>
      <c r="R180" s="27" t="s">
        <v>7</v>
      </c>
      <c r="S180" s="27" t="s">
        <v>8</v>
      </c>
      <c r="EV180" s="27" t="s">
        <v>7</v>
      </c>
    </row>
    <row r="181" spans="1:162" x14ac:dyDescent="0.25">
      <c r="A181" s="7">
        <v>3102.1995844861485</v>
      </c>
      <c r="B181"/>
      <c r="C181"/>
      <c r="D181"/>
      <c r="E181" t="s">
        <v>8</v>
      </c>
      <c r="R181" s="27" t="s">
        <v>7</v>
      </c>
      <c r="S181" s="27" t="s">
        <v>8</v>
      </c>
    </row>
    <row r="182" spans="1:162" x14ac:dyDescent="0.25">
      <c r="A182" s="7">
        <v>3041.3721416530866</v>
      </c>
      <c r="B182"/>
      <c r="C182"/>
      <c r="D182"/>
      <c r="E182" t="s">
        <v>8</v>
      </c>
      <c r="R182" s="27" t="s">
        <v>7</v>
      </c>
      <c r="S182" s="27" t="s">
        <v>8</v>
      </c>
    </row>
    <row r="183" spans="1:162" x14ac:dyDescent="0.25">
      <c r="A183" s="7">
        <v>2981.737393777536</v>
      </c>
      <c r="B183"/>
      <c r="C183"/>
      <c r="D183"/>
      <c r="E183" t="s">
        <v>8</v>
      </c>
      <c r="R183" s="27" t="s">
        <v>7</v>
      </c>
      <c r="S183" s="27" t="s">
        <v>8</v>
      </c>
    </row>
    <row r="184" spans="1:162" x14ac:dyDescent="0.25">
      <c r="A184" s="7">
        <v>2923.2719546838589</v>
      </c>
      <c r="B184"/>
      <c r="C184"/>
      <c r="D184"/>
      <c r="E184" t="s">
        <v>8</v>
      </c>
      <c r="R184" s="27" t="s">
        <v>7</v>
      </c>
      <c r="S184" s="27" t="s">
        <v>8</v>
      </c>
    </row>
    <row r="185" spans="1:162" x14ac:dyDescent="0.25">
      <c r="A185" s="7">
        <v>2865.9528967488814</v>
      </c>
      <c r="B185"/>
      <c r="C185"/>
      <c r="D185"/>
      <c r="E185" t="s">
        <v>8</v>
      </c>
      <c r="R185" s="27" t="s">
        <v>7</v>
      </c>
    </row>
    <row r="186" spans="1:162" x14ac:dyDescent="0.25">
      <c r="A186" s="7">
        <v>2809.7577419106678</v>
      </c>
      <c r="B186"/>
      <c r="C186"/>
      <c r="D186"/>
      <c r="E186" t="s">
        <v>8</v>
      </c>
    </row>
    <row r="187" spans="1:162" x14ac:dyDescent="0.25">
      <c r="A187" s="7">
        <v>2754.6644528535958</v>
      </c>
      <c r="B187"/>
      <c r="C187"/>
      <c r="D187"/>
      <c r="E187" t="s">
        <v>8</v>
      </c>
    </row>
    <row r="188" spans="1:162" x14ac:dyDescent="0.25">
      <c r="A188" s="7">
        <v>2700.6514243662705</v>
      </c>
      <c r="B188"/>
      <c r="C188"/>
      <c r="D188"/>
      <c r="E188" t="s">
        <v>8</v>
      </c>
    </row>
    <row r="189" spans="1:162" x14ac:dyDescent="0.25">
      <c r="A189" s="7">
        <v>2647.6974748688926</v>
      </c>
      <c r="B189"/>
      <c r="C189"/>
      <c r="D189"/>
      <c r="E189" t="s">
        <v>8</v>
      </c>
    </row>
    <row r="190" spans="1:162" x14ac:dyDescent="0.25">
      <c r="A190" s="7">
        <v>2595.7818381067573</v>
      </c>
      <c r="B190"/>
      <c r="C190"/>
      <c r="D190"/>
      <c r="E190" t="s">
        <v>8</v>
      </c>
    </row>
    <row r="191" spans="1:162" x14ac:dyDescent="0.25">
      <c r="A191" s="7">
        <v>2544.884155006625</v>
      </c>
      <c r="B191"/>
      <c r="C191"/>
      <c r="D191"/>
      <c r="E191" t="s">
        <v>8</v>
      </c>
    </row>
    <row r="192" spans="1:162" x14ac:dyDescent="0.25">
      <c r="A192" s="7">
        <v>2494.9844656927694</v>
      </c>
      <c r="B192"/>
      <c r="C192"/>
      <c r="D192"/>
      <c r="E192" t="s">
        <v>8</v>
      </c>
    </row>
    <row r="193" spans="1:5" x14ac:dyDescent="0.25">
      <c r="A193" s="7">
        <v>2446.0632016595778</v>
      </c>
      <c r="B193"/>
      <c r="C193"/>
      <c r="D193"/>
      <c r="E193" t="s">
        <v>8</v>
      </c>
    </row>
    <row r="194" spans="1:5" x14ac:dyDescent="0.25">
      <c r="A194" s="7">
        <v>2398.1011780976251</v>
      </c>
      <c r="B194"/>
      <c r="C194"/>
      <c r="D194"/>
      <c r="E194" t="s">
        <v>8</v>
      </c>
    </row>
    <row r="195" spans="1:5" x14ac:dyDescent="0.25">
      <c r="A195" s="7">
        <v>2351.0795863702206</v>
      </c>
      <c r="B195"/>
      <c r="C195"/>
      <c r="D195"/>
      <c r="E195" t="s">
        <v>8</v>
      </c>
    </row>
    <row r="196" spans="1:5" x14ac:dyDescent="0.25">
      <c r="A196" s="7">
        <v>2304.979986637471</v>
      </c>
      <c r="B196"/>
      <c r="C196"/>
      <c r="D196"/>
      <c r="E196" t="s">
        <v>8</v>
      </c>
    </row>
    <row r="197" spans="1:5" x14ac:dyDescent="0.25">
      <c r="A197" s="7">
        <v>2259.7843006249714</v>
      </c>
      <c r="B197"/>
      <c r="C197"/>
      <c r="D197"/>
      <c r="E197" t="s">
        <v>8</v>
      </c>
    </row>
    <row r="198" spans="1:5" x14ac:dyDescent="0.25">
      <c r="A198" s="7">
        <v>2215.4748045342858</v>
      </c>
      <c r="B198"/>
      <c r="C198"/>
      <c r="D198"/>
      <c r="E198" t="s">
        <v>8</v>
      </c>
    </row>
    <row r="199" spans="1:5" x14ac:dyDescent="0.25">
      <c r="A199" s="7">
        <v>2172.034122092437</v>
      </c>
      <c r="B199"/>
      <c r="C199"/>
      <c r="D199"/>
      <c r="E199" t="s">
        <v>8</v>
      </c>
    </row>
    <row r="200" spans="1:5" x14ac:dyDescent="0.25">
      <c r="A200" s="7">
        <v>2129.4452177376834</v>
      </c>
      <c r="B200"/>
      <c r="C200"/>
      <c r="D200"/>
      <c r="E200" t="s">
        <v>8</v>
      </c>
    </row>
    <row r="201" spans="1:5" x14ac:dyDescent="0.25">
      <c r="A201" s="7">
        <v>2087.6913899389051</v>
      </c>
      <c r="B201"/>
      <c r="C201"/>
      <c r="D201"/>
      <c r="E201" t="s">
        <v>8</v>
      </c>
    </row>
    <row r="202" spans="1:5" x14ac:dyDescent="0.25">
      <c r="A202" s="7">
        <v>2046.7562646459853</v>
      </c>
      <c r="B202"/>
      <c r="C202"/>
      <c r="D202"/>
      <c r="E202" t="s">
        <v>8</v>
      </c>
    </row>
    <row r="203" spans="1:5" x14ac:dyDescent="0.25">
      <c r="A203" s="7">
        <v>2006.623788868613</v>
      </c>
      <c r="B203"/>
      <c r="C203"/>
      <c r="D203"/>
      <c r="E203" t="s">
        <v>8</v>
      </c>
    </row>
    <row r="204" spans="1:5" x14ac:dyDescent="0.25">
      <c r="A204" s="7">
        <v>1967.2782243809932</v>
      </c>
      <c r="B204"/>
      <c r="C204"/>
      <c r="D204"/>
      <c r="E204" t="s">
        <v>8</v>
      </c>
    </row>
    <row r="205" spans="1:5" x14ac:dyDescent="0.25">
      <c r="A205" s="7">
        <v>1928.7041415499932</v>
      </c>
      <c r="B205"/>
      <c r="C205"/>
      <c r="D205"/>
      <c r="E205" t="s">
        <v>8</v>
      </c>
    </row>
    <row r="206" spans="1:5" x14ac:dyDescent="0.25">
      <c r="A206" s="7">
        <v>1890.8864132843071</v>
      </c>
      <c r="B206"/>
      <c r="C206"/>
      <c r="D206"/>
      <c r="E206" t="s">
        <v>8</v>
      </c>
    </row>
    <row r="207" spans="1:5" x14ac:dyDescent="0.25">
      <c r="A207" s="7">
        <v>1853.8102091022618</v>
      </c>
      <c r="B207"/>
      <c r="C207"/>
      <c r="D207"/>
      <c r="E207" t="s">
        <v>8</v>
      </c>
    </row>
    <row r="208" spans="1:5" x14ac:dyDescent="0.25">
      <c r="A208" s="7">
        <v>1817.4609893159429</v>
      </c>
      <c r="B208"/>
      <c r="C208"/>
      <c r="D208"/>
      <c r="E208" t="s">
        <v>8</v>
      </c>
    </row>
    <row r="209" spans="1:5" x14ac:dyDescent="0.25">
      <c r="A209" s="7">
        <v>1781.8244993293558</v>
      </c>
      <c r="B209"/>
      <c r="C209"/>
      <c r="D209"/>
      <c r="E209" t="s">
        <v>8</v>
      </c>
    </row>
    <row r="210" spans="1:5" x14ac:dyDescent="0.25">
      <c r="A210" s="7">
        <v>1746.8867640483879</v>
      </c>
      <c r="B210"/>
      <c r="C210"/>
      <c r="D210"/>
      <c r="E210" t="s">
        <v>8</v>
      </c>
    </row>
    <row r="211" spans="1:5" x14ac:dyDescent="0.25">
      <c r="A211" s="7">
        <v>1712.6340824003803</v>
      </c>
      <c r="B211"/>
      <c r="C211"/>
      <c r="D211"/>
      <c r="E211" t="s">
        <v>8</v>
      </c>
    </row>
    <row r="212" spans="1:5" x14ac:dyDescent="0.25">
      <c r="A212" s="7">
        <v>1679.0530219611571</v>
      </c>
      <c r="B212"/>
      <c r="C212"/>
      <c r="D212"/>
      <c r="E212" t="s">
        <v>8</v>
      </c>
    </row>
    <row r="213" spans="1:5" x14ac:dyDescent="0.25">
      <c r="A213" s="7">
        <v>1646.1304136874089</v>
      </c>
      <c r="B213"/>
      <c r="C213"/>
      <c r="D213"/>
      <c r="E213" t="s">
        <v>8</v>
      </c>
    </row>
    <row r="214" spans="1:5" x14ac:dyDescent="0.25">
      <c r="A214" s="7">
        <v>1613.8533467523616</v>
      </c>
      <c r="B214"/>
      <c r="C214"/>
      <c r="D214"/>
      <c r="E214" t="s">
        <v>8</v>
      </c>
    </row>
    <row r="215" spans="1:5" x14ac:dyDescent="0.25">
      <c r="A215" s="7">
        <v>1582.2091634827075</v>
      </c>
      <c r="B215"/>
      <c r="C215"/>
      <c r="D215"/>
      <c r="E215" t="s">
        <v>8</v>
      </c>
    </row>
    <row r="216" spans="1:5" x14ac:dyDescent="0.25">
      <c r="A216" s="7">
        <v>1551.1854543948111</v>
      </c>
      <c r="B216"/>
      <c r="C216"/>
      <c r="D216"/>
      <c r="E216" t="s">
        <v>8</v>
      </c>
    </row>
    <row r="217" spans="1:5" x14ac:dyDescent="0.25">
      <c r="A217" s="7">
        <v>1520.7700533282461</v>
      </c>
      <c r="B217"/>
      <c r="C217"/>
      <c r="D217"/>
      <c r="E217" t="s">
        <v>8</v>
      </c>
    </row>
    <row r="218" spans="1:5" x14ac:dyDescent="0.25">
      <c r="A218" s="7">
        <v>1490.9510326747511</v>
      </c>
      <c r="B218"/>
      <c r="C218"/>
      <c r="D218"/>
      <c r="E218" t="s">
        <v>8</v>
      </c>
    </row>
    <row r="219" spans="1:5" x14ac:dyDescent="0.25">
      <c r="A219" s="7">
        <v>1461.7166987007363</v>
      </c>
      <c r="B219"/>
      <c r="C219"/>
      <c r="D219"/>
      <c r="E219" t="s">
        <v>8</v>
      </c>
    </row>
    <row r="220" spans="1:5" x14ac:dyDescent="0.25">
      <c r="A220" s="7">
        <v>1433.0555869615062</v>
      </c>
      <c r="B220"/>
      <c r="C220"/>
      <c r="D220"/>
      <c r="E220" t="s">
        <v>8</v>
      </c>
    </row>
    <row r="221" spans="1:5" x14ac:dyDescent="0.25">
      <c r="A221" s="7">
        <v>1404.9564578053983</v>
      </c>
      <c r="B221"/>
      <c r="C221"/>
      <c r="D221"/>
      <c r="E221" t="s">
        <v>8</v>
      </c>
    </row>
    <row r="222" spans="1:5" x14ac:dyDescent="0.25">
      <c r="A222" s="7">
        <v>1377.4082919660766</v>
      </c>
      <c r="B222"/>
      <c r="C222"/>
      <c r="D222"/>
      <c r="E222" t="s">
        <v>8</v>
      </c>
    </row>
    <row r="223" spans="1:5" x14ac:dyDescent="0.25">
      <c r="A223" s="7">
        <v>1350.4002862412515</v>
      </c>
      <c r="B223"/>
      <c r="C223"/>
      <c r="D223"/>
      <c r="E223" t="s">
        <v>8</v>
      </c>
    </row>
    <row r="224" spans="1:5" x14ac:dyDescent="0.25">
      <c r="A224" s="7">
        <v>1323.9218492561288</v>
      </c>
      <c r="B224"/>
      <c r="C224"/>
      <c r="D224"/>
      <c r="E224" t="s">
        <v>8</v>
      </c>
    </row>
    <row r="225" spans="1:5" x14ac:dyDescent="0.25">
      <c r="A225" s="7">
        <v>1297.9625973099301</v>
      </c>
      <c r="B225"/>
      <c r="C225"/>
      <c r="D225"/>
      <c r="E225" t="s">
        <v>8</v>
      </c>
    </row>
    <row r="226" spans="1:5" x14ac:dyDescent="0.25">
      <c r="A226" s="7">
        <v>1272.5123503038531</v>
      </c>
      <c r="B226"/>
      <c r="C226"/>
      <c r="D226"/>
      <c r="E226" t="s">
        <v>8</v>
      </c>
    </row>
    <row r="227" spans="1:5" x14ac:dyDescent="0.25">
      <c r="A227" s="7">
        <v>1247.5611277488756</v>
      </c>
      <c r="B227"/>
      <c r="C227"/>
      <c r="D227"/>
      <c r="E227" t="s">
        <v>8</v>
      </c>
    </row>
    <row r="228" spans="1:5" x14ac:dyDescent="0.25">
      <c r="A228" s="7">
        <v>1223.0991448518389</v>
      </c>
      <c r="B228"/>
      <c r="C228"/>
      <c r="D228"/>
      <c r="E228" t="s">
        <v>8</v>
      </c>
    </row>
    <row r="229" spans="1:5" x14ac:dyDescent="0.25">
      <c r="A229" s="7">
        <v>1199.1168086782734</v>
      </c>
      <c r="B229"/>
      <c r="C229"/>
      <c r="D229"/>
      <c r="E229" t="s">
        <v>8</v>
      </c>
    </row>
    <row r="230" spans="1:5" x14ac:dyDescent="0.25">
      <c r="A230" s="7">
        <v>1175.6047143904641</v>
      </c>
      <c r="B230"/>
      <c r="C230"/>
      <c r="D230"/>
      <c r="E230" t="s">
        <v>8</v>
      </c>
    </row>
    <row r="231" spans="1:5" x14ac:dyDescent="0.25">
      <c r="A231" s="7">
        <v>1152.5536415592785</v>
      </c>
      <c r="B231"/>
      <c r="C231"/>
      <c r="D231"/>
      <c r="E231" t="s">
        <v>8</v>
      </c>
    </row>
    <row r="232" spans="1:5" x14ac:dyDescent="0.25">
      <c r="A232" s="7">
        <v>1129.9545505483122</v>
      </c>
      <c r="B232"/>
      <c r="C232"/>
      <c r="D232"/>
      <c r="E232" t="s">
        <v>8</v>
      </c>
    </row>
    <row r="233" spans="1:5" x14ac:dyDescent="0.25">
      <c r="A233" s="7">
        <v>1107.7985789689335</v>
      </c>
      <c r="B233"/>
      <c r="C233"/>
      <c r="D233"/>
      <c r="E233" t="s">
        <v>8</v>
      </c>
    </row>
    <row r="234" spans="1:5" x14ac:dyDescent="0.25">
      <c r="A234" s="7">
        <v>1086.0770382048368</v>
      </c>
      <c r="B234"/>
      <c r="C234"/>
      <c r="D234"/>
      <c r="E234" t="s">
        <v>8</v>
      </c>
    </row>
    <row r="235" spans="1:5" x14ac:dyDescent="0.25">
      <c r="A235" s="7">
        <v>1064.7814100047419</v>
      </c>
      <c r="B235"/>
      <c r="C235"/>
      <c r="D235"/>
      <c r="E235" t="s">
        <v>8</v>
      </c>
    </row>
    <row r="236" spans="1:5" x14ac:dyDescent="0.25">
      <c r="A236" s="7">
        <v>1043.9033431419039</v>
      </c>
      <c r="B236"/>
      <c r="C236"/>
      <c r="D236"/>
      <c r="E236" t="s">
        <v>8</v>
      </c>
    </row>
    <row r="237" spans="1:5" x14ac:dyDescent="0.25">
      <c r="A237" s="7">
        <v>1023.4346501391215</v>
      </c>
      <c r="B237"/>
      <c r="C237"/>
      <c r="D237"/>
      <c r="E237" t="s">
        <v>8</v>
      </c>
    </row>
    <row r="238" spans="1:5" x14ac:dyDescent="0.25">
      <c r="A238" s="7">
        <v>1003.3673040579622</v>
      </c>
      <c r="B238"/>
      <c r="C238"/>
      <c r="D238"/>
      <c r="E238" t="s">
        <v>8</v>
      </c>
    </row>
    <row r="239" spans="1:5" x14ac:dyDescent="0.25">
      <c r="A239" s="7">
        <v>983.69343535094333</v>
      </c>
      <c r="B239"/>
      <c r="C239"/>
      <c r="D239"/>
      <c r="E239" t="s">
        <v>8</v>
      </c>
    </row>
    <row r="240" spans="1:5" x14ac:dyDescent="0.25">
      <c r="A240" s="7">
        <v>964.40532877543467</v>
      </c>
      <c r="B240"/>
      <c r="C240"/>
      <c r="D240"/>
      <c r="E240" t="s">
        <v>8</v>
      </c>
    </row>
    <row r="241" spans="1:5" x14ac:dyDescent="0.25">
      <c r="A241" s="7">
        <v>945.49542036807316</v>
      </c>
      <c r="B241"/>
      <c r="C241"/>
      <c r="D241"/>
      <c r="E241" t="s">
        <v>8</v>
      </c>
    </row>
    <row r="242" spans="1:5" x14ac:dyDescent="0.25">
      <c r="A242" s="7">
        <v>926.95629447850308</v>
      </c>
      <c r="B242"/>
      <c r="C242"/>
      <c r="D242"/>
      <c r="E242" t="s">
        <v>8</v>
      </c>
    </row>
    <row r="243" spans="1:5" x14ac:dyDescent="0.25">
      <c r="A243" s="7">
        <v>908.78068086127746</v>
      </c>
      <c r="B243"/>
      <c r="C243"/>
      <c r="D243"/>
      <c r="E243" t="s">
        <v>8</v>
      </c>
    </row>
    <row r="244" spans="1:5" x14ac:dyDescent="0.25">
      <c r="A244" s="7">
        <v>890.96145182478176</v>
      </c>
      <c r="B244"/>
      <c r="C244"/>
      <c r="D244"/>
      <c r="E244" t="s">
        <v>8</v>
      </c>
    </row>
    <row r="245" spans="1:5" x14ac:dyDescent="0.25">
      <c r="A245" s="7">
        <v>873.49161943606055</v>
      </c>
      <c r="B245"/>
      <c r="C245"/>
      <c r="D245"/>
      <c r="E245" t="s">
        <v>8</v>
      </c>
    </row>
    <row r="246" spans="1:5" x14ac:dyDescent="0.25">
      <c r="A246" s="7">
        <v>856.36433278045149</v>
      </c>
      <c r="B246"/>
      <c r="C246"/>
      <c r="D246"/>
      <c r="E246" t="s">
        <v>8</v>
      </c>
    </row>
    <row r="247" spans="1:5" x14ac:dyDescent="0.25">
      <c r="A247" s="7">
        <v>839.57287527495248</v>
      </c>
      <c r="B247"/>
      <c r="C247"/>
      <c r="D247"/>
      <c r="E247" t="s">
        <v>8</v>
      </c>
    </row>
    <row r="248" spans="1:5" x14ac:dyDescent="0.25">
      <c r="A248" s="7">
        <v>823.11066203426708</v>
      </c>
      <c r="B248"/>
      <c r="C248"/>
      <c r="D248"/>
      <c r="E248" t="s">
        <v>8</v>
      </c>
    </row>
    <row r="249" spans="1:5" x14ac:dyDescent="0.25">
      <c r="A249" s="7">
        <v>806.97123728849715</v>
      </c>
      <c r="B249"/>
      <c r="C249"/>
      <c r="D249"/>
      <c r="E249" t="s">
        <v>8</v>
      </c>
    </row>
    <row r="250" spans="1:5" x14ac:dyDescent="0.25">
      <c r="A250" s="7">
        <v>791.14827185146783</v>
      </c>
      <c r="B250"/>
      <c r="C250"/>
      <c r="D250"/>
      <c r="E250" t="s">
        <v>8</v>
      </c>
    </row>
    <row r="251" spans="1:5" x14ac:dyDescent="0.25">
      <c r="A251" s="7">
        <v>775.63556063869396</v>
      </c>
      <c r="B251"/>
      <c r="C251"/>
      <c r="D251"/>
      <c r="E251" t="s">
        <v>8</v>
      </c>
    </row>
    <row r="252" spans="1:5" x14ac:dyDescent="0.25">
      <c r="A252" s="7">
        <v>760.42702023401364</v>
      </c>
      <c r="B252"/>
      <c r="C252"/>
      <c r="D252"/>
      <c r="E252" t="s">
        <v>8</v>
      </c>
    </row>
    <row r="253" spans="1:5" x14ac:dyDescent="0.25">
      <c r="A253" s="7">
        <v>745.51668650393492</v>
      </c>
      <c r="B253"/>
      <c r="C253"/>
      <c r="D253"/>
      <c r="E253" t="s">
        <v>8</v>
      </c>
    </row>
    <row r="254" spans="1:5" x14ac:dyDescent="0.25">
      <c r="A254" s="7">
        <v>730.8987122587597</v>
      </c>
      <c r="B254"/>
      <c r="C254"/>
      <c r="D254"/>
      <c r="E254" t="s">
        <v>8</v>
      </c>
    </row>
    <row r="255" spans="1:5" x14ac:dyDescent="0.25">
      <c r="A255" s="7">
        <v>716.56736495956829</v>
      </c>
      <c r="B255"/>
      <c r="C255"/>
      <c r="D255"/>
      <c r="E255" t="s">
        <v>8</v>
      </c>
    </row>
    <row r="256" spans="1:5" x14ac:dyDescent="0.25">
      <c r="A256" s="7">
        <v>702.51702447016498</v>
      </c>
      <c r="B256"/>
      <c r="C256"/>
      <c r="D256"/>
      <c r="E256" t="s">
        <v>8</v>
      </c>
    </row>
    <row r="257" spans="1:5" x14ac:dyDescent="0.25">
      <c r="A257" s="7">
        <v>688.74218085310292</v>
      </c>
      <c r="B257"/>
      <c r="C257"/>
      <c r="D257"/>
      <c r="E257" t="s">
        <v>8</v>
      </c>
    </row>
    <row r="258" spans="1:5" x14ac:dyDescent="0.25">
      <c r="A258" s="7">
        <v>675.23743220892447</v>
      </c>
      <c r="B258"/>
      <c r="C258"/>
      <c r="D258"/>
      <c r="E258" t="s">
        <v>8</v>
      </c>
    </row>
    <row r="259" spans="1:5" x14ac:dyDescent="0.25">
      <c r="A259" s="7">
        <v>661.9974825577691</v>
      </c>
      <c r="B259"/>
      <c r="C259"/>
      <c r="D259"/>
      <c r="E259" t="s">
        <v>8</v>
      </c>
    </row>
    <row r="260" spans="1:5" x14ac:dyDescent="0.25">
      <c r="A260" s="7">
        <v>649.0171397625187</v>
      </c>
      <c r="B260"/>
      <c r="C260"/>
      <c r="D260"/>
      <c r="E260" t="s">
        <v>8</v>
      </c>
    </row>
    <row r="261" spans="1:5" x14ac:dyDescent="0.25">
      <c r="A261" s="7">
        <v>636.29131349266538</v>
      </c>
      <c r="B261"/>
      <c r="C261"/>
      <c r="D261"/>
      <c r="E261" t="s">
        <v>8</v>
      </c>
    </row>
    <row r="262" spans="1:5" x14ac:dyDescent="0.25">
      <c r="A262" s="7">
        <v>623.81501322810334</v>
      </c>
      <c r="B262"/>
      <c r="C262"/>
      <c r="D262"/>
      <c r="E262" t="s">
        <v>8</v>
      </c>
    </row>
    <row r="263" spans="1:5" x14ac:dyDescent="0.25">
      <c r="A263" s="7">
        <v>611.58334630206207</v>
      </c>
      <c r="B263"/>
      <c r="C263"/>
      <c r="D263"/>
      <c r="E263" t="s">
        <v>8</v>
      </c>
    </row>
    <row r="264" spans="1:5" x14ac:dyDescent="0.25">
      <c r="A264" s="7">
        <v>599.59151598241374</v>
      </c>
      <c r="B264"/>
      <c r="C264"/>
      <c r="D264"/>
      <c r="E264" t="s">
        <v>8</v>
      </c>
    </row>
    <row r="265" spans="1:5" x14ac:dyDescent="0.25">
      <c r="A265" s="7">
        <v>587.83481959060168</v>
      </c>
      <c r="B265"/>
      <c r="C265"/>
      <c r="D265"/>
      <c r="E265" t="s">
        <v>8</v>
      </c>
    </row>
    <row r="266" spans="1:5" x14ac:dyDescent="0.25">
      <c r="A266" s="7">
        <v>576.30864665745264</v>
      </c>
      <c r="B266"/>
      <c r="C266"/>
      <c r="D266"/>
      <c r="E266" t="s">
        <v>8</v>
      </c>
    </row>
    <row r="267" spans="1:5" x14ac:dyDescent="0.25">
      <c r="A267" s="7">
        <v>565.00847711514962</v>
      </c>
      <c r="B267"/>
      <c r="C267"/>
      <c r="D267"/>
      <c r="E267" t="s">
        <v>8</v>
      </c>
    </row>
    <row r="268" spans="1:5" x14ac:dyDescent="0.25">
      <c r="A268" s="7">
        <v>553.92987952465649</v>
      </c>
      <c r="B268"/>
      <c r="C268"/>
      <c r="D268"/>
      <c r="E268" t="s">
        <v>8</v>
      </c>
    </row>
    <row r="269" spans="1:5" x14ac:dyDescent="0.25">
      <c r="A269" s="7">
        <v>543.06850933789849</v>
      </c>
      <c r="B269"/>
      <c r="C269"/>
      <c r="D269"/>
      <c r="E269" t="s">
        <v>8</v>
      </c>
    </row>
    <row r="270" spans="1:5" x14ac:dyDescent="0.25">
      <c r="A270" s="7">
        <v>532.4201071940181</v>
      </c>
      <c r="B270"/>
      <c r="C270"/>
      <c r="D270"/>
      <c r="E270" t="s">
        <v>8</v>
      </c>
    </row>
    <row r="271" spans="1:5" x14ac:dyDescent="0.25">
      <c r="A271" s="7">
        <v>521.9804972490374</v>
      </c>
      <c r="B271"/>
      <c r="C271"/>
      <c r="D271"/>
      <c r="E271" t="s">
        <v>8</v>
      </c>
    </row>
    <row r="272" spans="1:5" x14ac:dyDescent="0.25">
      <c r="A272" s="7">
        <v>511.74558553827194</v>
      </c>
      <c r="B272"/>
      <c r="C272"/>
      <c r="D272"/>
      <c r="E272" t="s">
        <v>8</v>
      </c>
    </row>
    <row r="273" spans="1:5" x14ac:dyDescent="0.25">
      <c r="A273" s="7">
        <v>501.71135837085484</v>
      </c>
      <c r="B273"/>
      <c r="C273"/>
      <c r="D273"/>
      <c r="E273" t="s">
        <v>8</v>
      </c>
    </row>
    <row r="274" spans="1:5" x14ac:dyDescent="0.25">
      <c r="A274" s="7">
        <v>491.87388075574</v>
      </c>
      <c r="B274"/>
      <c r="C274"/>
      <c r="D274"/>
      <c r="E274" t="s">
        <v>8</v>
      </c>
    </row>
    <row r="275" spans="1:5" x14ac:dyDescent="0.25">
      <c r="A275" s="7">
        <v>482.22929485856861</v>
      </c>
      <c r="B275"/>
      <c r="C275"/>
      <c r="D275"/>
      <c r="E275" t="s">
        <v>8</v>
      </c>
    </row>
    <row r="276" spans="1:5" x14ac:dyDescent="0.25">
      <c r="A276" s="7">
        <v>472.77381848879276</v>
      </c>
      <c r="B276"/>
      <c r="C276"/>
      <c r="D276"/>
      <c r="E276" t="s">
        <v>8</v>
      </c>
    </row>
    <row r="277" spans="1:5" x14ac:dyDescent="0.25">
      <c r="A277" s="7">
        <v>463.50374361646345</v>
      </c>
      <c r="B277"/>
      <c r="C277"/>
      <c r="D277"/>
      <c r="E277" t="s">
        <v>8</v>
      </c>
    </row>
    <row r="278" spans="1:5" x14ac:dyDescent="0.25">
      <c r="A278" s="7">
        <v>454.41543491810143</v>
      </c>
      <c r="B278"/>
      <c r="C278"/>
      <c r="D278"/>
      <c r="E278" t="s">
        <v>8</v>
      </c>
    </row>
    <row r="279" spans="1:5" x14ac:dyDescent="0.25">
      <c r="A279" s="7">
        <v>445.50532835107981</v>
      </c>
      <c r="B279"/>
      <c r="C279"/>
      <c r="D279"/>
      <c r="E279" t="s">
        <v>8</v>
      </c>
    </row>
    <row r="280" spans="1:5" x14ac:dyDescent="0.25">
      <c r="A280" s="7">
        <v>436.76992975596062</v>
      </c>
      <c r="B280"/>
      <c r="C280"/>
      <c r="D280"/>
      <c r="E280" t="s">
        <v>8</v>
      </c>
    </row>
    <row r="281" spans="1:5" x14ac:dyDescent="0.25">
      <c r="A281" s="7">
        <v>428.20581348623591</v>
      </c>
      <c r="B281"/>
      <c r="C281"/>
      <c r="D281"/>
      <c r="E281" t="s">
        <v>8</v>
      </c>
    </row>
    <row r="282" spans="1:5" x14ac:dyDescent="0.25">
      <c r="A282" s="7">
        <v>419.80962106493718</v>
      </c>
      <c r="B282"/>
      <c r="C282"/>
      <c r="D282"/>
      <c r="E282" t="s">
        <v>8</v>
      </c>
    </row>
    <row r="283" spans="1:5" x14ac:dyDescent="0.25">
      <c r="A283" s="7">
        <v>411.57805986758547</v>
      </c>
      <c r="B283"/>
      <c r="C283"/>
      <c r="D283"/>
      <c r="E283" t="s">
        <v>8</v>
      </c>
    </row>
    <row r="284" spans="1:5" x14ac:dyDescent="0.25">
      <c r="A284" s="7">
        <v>403.50790183096615</v>
      </c>
      <c r="B284"/>
      <c r="C284"/>
      <c r="D284"/>
      <c r="E284" t="s">
        <v>8</v>
      </c>
    </row>
    <row r="285" spans="1:5" x14ac:dyDescent="0.25">
      <c r="A285" s="7">
        <v>395.59598218722169</v>
      </c>
      <c r="B285"/>
      <c r="C285"/>
      <c r="D285"/>
      <c r="E285" t="s">
        <v>8</v>
      </c>
    </row>
    <row r="286" spans="1:5" x14ac:dyDescent="0.25">
      <c r="A286" s="7">
        <v>387.83919822276636</v>
      </c>
      <c r="B286"/>
      <c r="C286"/>
      <c r="D286"/>
      <c r="E286" t="s">
        <v>8</v>
      </c>
    </row>
    <row r="287" spans="1:5" x14ac:dyDescent="0.25">
      <c r="A287" s="7">
        <v>380.23450806153562</v>
      </c>
      <c r="B287"/>
      <c r="C287"/>
      <c r="D287"/>
      <c r="E287" t="s">
        <v>8</v>
      </c>
    </row>
    <row r="288" spans="1:5" x14ac:dyDescent="0.25">
      <c r="A288" s="7">
        <v>372.77892947209375</v>
      </c>
      <c r="B288"/>
      <c r="C288"/>
      <c r="D288"/>
      <c r="E288" t="s">
        <v>8</v>
      </c>
    </row>
    <row r="289" spans="1:5" x14ac:dyDescent="0.25">
      <c r="A289" s="7">
        <v>365.46953869813115</v>
      </c>
      <c r="B289"/>
      <c r="C289"/>
      <c r="D289"/>
      <c r="E289" t="s">
        <v>8</v>
      </c>
    </row>
    <row r="290" spans="1:5" x14ac:dyDescent="0.25">
      <c r="A290" s="7">
        <v>358.30346931189325</v>
      </c>
      <c r="B290"/>
      <c r="C290"/>
      <c r="D290"/>
      <c r="E290" t="s">
        <v>8</v>
      </c>
    </row>
    <row r="291" spans="1:5" x14ac:dyDescent="0.25">
      <c r="A291" s="7">
        <v>351.27791109009144</v>
      </c>
      <c r="B291"/>
      <c r="C291"/>
      <c r="D291"/>
      <c r="E291" t="s">
        <v>8</v>
      </c>
    </row>
    <row r="292" spans="1:5" x14ac:dyDescent="0.25">
      <c r="A292" s="7">
        <v>344.39010891185433</v>
      </c>
      <c r="B292"/>
      <c r="C292"/>
      <c r="D292"/>
      <c r="E292" t="s">
        <v>8</v>
      </c>
    </row>
    <row r="293" spans="1:5" x14ac:dyDescent="0.25">
      <c r="A293" s="7">
        <v>337.63736167828853</v>
      </c>
      <c r="B293"/>
      <c r="C293"/>
      <c r="D293"/>
      <c r="E293" t="s">
        <v>8</v>
      </c>
    </row>
    <row r="294" spans="1:5" x14ac:dyDescent="0.25">
      <c r="A294" s="7">
        <v>331.01702125322402</v>
      </c>
      <c r="B294"/>
      <c r="C294"/>
      <c r="D294"/>
      <c r="E294" t="s">
        <v>8</v>
      </c>
    </row>
    <row r="295" spans="1:5" x14ac:dyDescent="0.25">
      <c r="A295" s="7">
        <v>324.52649142472944</v>
      </c>
      <c r="B295"/>
      <c r="C295"/>
      <c r="D295"/>
      <c r="E295" t="s">
        <v>8</v>
      </c>
    </row>
    <row r="296" spans="1:5" x14ac:dyDescent="0.25">
      <c r="A296" s="7">
        <v>318.16322688698966</v>
      </c>
      <c r="B296"/>
      <c r="C296"/>
      <c r="D296"/>
      <c r="E296" t="s">
        <v>8</v>
      </c>
    </row>
    <row r="297" spans="1:5" x14ac:dyDescent="0.25">
      <c r="A297" s="7">
        <v>311.92473224214672</v>
      </c>
      <c r="B297"/>
      <c r="C297"/>
      <c r="D297"/>
      <c r="E297" t="s">
        <v>8</v>
      </c>
    </row>
    <row r="298" spans="1:5" x14ac:dyDescent="0.25">
      <c r="A298" s="7">
        <v>305.80856102171248</v>
      </c>
      <c r="B298"/>
      <c r="C298"/>
      <c r="D298"/>
      <c r="E298" t="s">
        <v>8</v>
      </c>
    </row>
    <row r="299" spans="1:5" x14ac:dyDescent="0.25">
      <c r="A299" s="7">
        <v>299.81231472716911</v>
      </c>
      <c r="B299"/>
      <c r="C299"/>
      <c r="D299"/>
      <c r="E299" t="s">
        <v>8</v>
      </c>
    </row>
    <row r="300" spans="1:5" x14ac:dyDescent="0.25">
      <c r="A300" s="7">
        <v>293.93364188938148</v>
      </c>
      <c r="B300"/>
      <c r="C300"/>
      <c r="D300"/>
      <c r="E300" t="s">
        <v>8</v>
      </c>
    </row>
    <row r="301" spans="1:5" x14ac:dyDescent="0.25">
      <c r="A301" s="7">
        <v>288.17023714645245</v>
      </c>
      <c r="B301"/>
      <c r="C301"/>
      <c r="D301"/>
      <c r="E301" t="s">
        <v>8</v>
      </c>
    </row>
    <row r="302" spans="1:5" x14ac:dyDescent="0.25">
      <c r="A302" s="7">
        <v>282.51984033965925</v>
      </c>
      <c r="B302"/>
      <c r="C302"/>
      <c r="D302"/>
      <c r="E302" t="s">
        <v>8</v>
      </c>
    </row>
    <row r="303" spans="1:5" x14ac:dyDescent="0.25">
      <c r="A303" s="7">
        <v>276.98023562711688</v>
      </c>
      <c r="B303"/>
      <c r="C303"/>
      <c r="D303"/>
      <c r="E303" t="s">
        <v>8</v>
      </c>
    </row>
    <row r="304" spans="1:5" x14ac:dyDescent="0.25">
      <c r="A304" s="7">
        <v>271.54925061482049</v>
      </c>
      <c r="B304"/>
      <c r="C304"/>
      <c r="D304"/>
      <c r="E304" t="s">
        <v>8</v>
      </c>
    </row>
    <row r="305" spans="1:5" x14ac:dyDescent="0.25">
      <c r="A305" s="7">
        <v>266.22475550472598</v>
      </c>
      <c r="B305"/>
      <c r="C305"/>
      <c r="D305"/>
      <c r="E305" t="s">
        <v>8</v>
      </c>
    </row>
    <row r="306" spans="1:5" x14ac:dyDescent="0.25">
      <c r="A306" s="7">
        <v>261.00466225953528</v>
      </c>
      <c r="B306"/>
      <c r="C306"/>
      <c r="D306"/>
      <c r="E306" t="s">
        <v>8</v>
      </c>
    </row>
    <row r="307" spans="1:5" x14ac:dyDescent="0.25">
      <c r="A307" s="7">
        <v>255.88692378385809</v>
      </c>
      <c r="B307"/>
      <c r="C307"/>
      <c r="D307"/>
      <c r="E307" t="s">
        <v>8</v>
      </c>
    </row>
    <row r="308" spans="1:5" x14ac:dyDescent="0.25">
      <c r="A308" s="7">
        <v>250.8695331214295</v>
      </c>
      <c r="B308"/>
      <c r="C308"/>
      <c r="D308"/>
      <c r="E308" t="s">
        <v>8</v>
      </c>
    </row>
    <row r="309" spans="1:5" x14ac:dyDescent="0.25">
      <c r="A309" s="7">
        <v>245.95052266806812</v>
      </c>
      <c r="B309"/>
      <c r="C309"/>
      <c r="D309"/>
      <c r="E309" t="s">
        <v>8</v>
      </c>
    </row>
    <row r="310" spans="1:5" x14ac:dyDescent="0.25">
      <c r="A310" s="7">
        <v>241.12796340006679</v>
      </c>
      <c r="B310"/>
      <c r="C310"/>
      <c r="D310"/>
      <c r="E310" t="s">
        <v>8</v>
      </c>
    </row>
    <row r="311" spans="1:5" x14ac:dyDescent="0.25">
      <c r="A311" s="7">
        <v>236.39996411771253</v>
      </c>
      <c r="B311"/>
      <c r="C311"/>
      <c r="D311"/>
      <c r="E311" t="s">
        <v>8</v>
      </c>
    </row>
    <row r="312" spans="1:5" x14ac:dyDescent="0.25">
      <c r="A312" s="7">
        <v>231.76467070363972</v>
      </c>
      <c r="B312"/>
      <c r="C312"/>
      <c r="D312"/>
      <c r="E312" t="s">
        <v>8</v>
      </c>
    </row>
    <row r="313" spans="1:5" x14ac:dyDescent="0.25">
      <c r="A313" s="7">
        <v>227.22026539572522</v>
      </c>
      <c r="B313"/>
      <c r="C313"/>
      <c r="D313"/>
      <c r="E313" t="s">
        <v>8</v>
      </c>
    </row>
    <row r="314" spans="1:5" x14ac:dyDescent="0.25">
      <c r="A314" s="7">
        <v>222.76496607424042</v>
      </c>
      <c r="B314"/>
      <c r="C314"/>
      <c r="D314"/>
      <c r="E314" t="s">
        <v>8</v>
      </c>
    </row>
    <row r="315" spans="1:5" x14ac:dyDescent="0.25">
      <c r="A315" s="7">
        <v>218.39702556298079</v>
      </c>
      <c r="B315"/>
      <c r="C315"/>
      <c r="D315"/>
      <c r="E315" t="s">
        <v>8</v>
      </c>
    </row>
    <row r="316" spans="1:5" x14ac:dyDescent="0.25">
      <c r="A316" s="7">
        <v>214.1147309440988</v>
      </c>
      <c r="B316"/>
      <c r="C316"/>
      <c r="D316"/>
      <c r="E316" t="s">
        <v>8</v>
      </c>
    </row>
    <row r="317" spans="1:5" x14ac:dyDescent="0.25">
      <c r="A317" s="7">
        <v>209.91640288637137</v>
      </c>
      <c r="B317"/>
      <c r="C317"/>
      <c r="D317"/>
      <c r="E317" t="s">
        <v>8</v>
      </c>
    </row>
    <row r="318" spans="1:5" x14ac:dyDescent="0.25">
      <c r="A318" s="7">
        <v>205.80039498663859</v>
      </c>
      <c r="B318"/>
      <c r="C318"/>
      <c r="D318"/>
      <c r="E318" t="s">
        <v>8</v>
      </c>
    </row>
    <row r="319" spans="1:5" x14ac:dyDescent="0.25">
      <c r="A319" s="7">
        <v>201.76509312415547</v>
      </c>
      <c r="B319"/>
      <c r="C319"/>
      <c r="D319"/>
      <c r="E319" t="s">
        <v>8</v>
      </c>
    </row>
    <row r="320" spans="1:5" x14ac:dyDescent="0.25">
      <c r="A320" s="7">
        <v>197.80891482760339</v>
      </c>
      <c r="B320"/>
      <c r="C320"/>
      <c r="D320"/>
      <c r="E320" t="s">
        <v>8</v>
      </c>
    </row>
    <row r="321" spans="1:5" x14ac:dyDescent="0.25">
      <c r="A321" s="7">
        <v>193.93030865451311</v>
      </c>
      <c r="B321"/>
      <c r="C321"/>
      <c r="D321"/>
      <c r="E321" t="s">
        <v>8</v>
      </c>
    </row>
    <row r="322" spans="1:5" x14ac:dyDescent="0.25">
      <c r="A322" s="7">
        <v>190.127753582856</v>
      </c>
      <c r="B322"/>
      <c r="C322"/>
      <c r="D322"/>
      <c r="E322" t="s">
        <v>8</v>
      </c>
    </row>
    <row r="323" spans="1:5" x14ac:dyDescent="0.25">
      <c r="A323" s="7">
        <v>186.3997584145647</v>
      </c>
      <c r="B323"/>
      <c r="C323"/>
      <c r="D323"/>
      <c r="E323" t="s">
        <v>8</v>
      </c>
    </row>
    <row r="324" spans="1:5" x14ac:dyDescent="0.25">
      <c r="A324" s="7">
        <v>182.7448611907497</v>
      </c>
      <c r="B324"/>
      <c r="C324"/>
      <c r="D324"/>
      <c r="E324" t="s">
        <v>8</v>
      </c>
    </row>
    <row r="325" spans="1:5" x14ac:dyDescent="0.25">
      <c r="A325" s="7">
        <v>179.16162861838205</v>
      </c>
      <c r="B325"/>
      <c r="C325"/>
      <c r="D325"/>
      <c r="E325" t="s">
        <v>8</v>
      </c>
    </row>
    <row r="326" spans="1:5" x14ac:dyDescent="0.25">
      <c r="A326" s="7">
        <v>175.6486555082177</v>
      </c>
      <c r="B326"/>
      <c r="C326"/>
      <c r="D326"/>
      <c r="E326" t="s">
        <v>8</v>
      </c>
    </row>
    <row r="327" spans="1:5" x14ac:dyDescent="0.25">
      <c r="A327" s="7">
        <v>172.20456422374284</v>
      </c>
      <c r="B327"/>
      <c r="C327"/>
      <c r="D327"/>
      <c r="E327" t="s">
        <v>8</v>
      </c>
    </row>
    <row r="328" spans="1:5" x14ac:dyDescent="0.25">
      <c r="A328" s="7">
        <v>168.82800414092435</v>
      </c>
      <c r="B328"/>
      <c r="C328"/>
      <c r="D328"/>
      <c r="E328" t="s">
        <v>8</v>
      </c>
    </row>
    <row r="329" spans="1:5" x14ac:dyDescent="0.25">
      <c r="A329" s="7">
        <v>165.51765111855329</v>
      </c>
      <c r="B329"/>
      <c r="C329"/>
      <c r="D329"/>
      <c r="E329" t="s">
        <v>8</v>
      </c>
    </row>
    <row r="330" spans="1:5" x14ac:dyDescent="0.25">
      <c r="A330" s="7">
        <v>162.2722069789738</v>
      </c>
      <c r="B330"/>
      <c r="C330"/>
      <c r="D330"/>
      <c r="E330" t="s">
        <v>8</v>
      </c>
    </row>
    <row r="331" spans="1:5" x14ac:dyDescent="0.25">
      <c r="A331" s="7">
        <v>159.09039899899392</v>
      </c>
      <c r="B331"/>
      <c r="C331"/>
      <c r="D331"/>
      <c r="E331" t="s">
        <v>8</v>
      </c>
    </row>
    <row r="332" spans="1:5" x14ac:dyDescent="0.25">
      <c r="A332" s="7">
        <v>155.97097941077834</v>
      </c>
      <c r="B332"/>
      <c r="C332"/>
      <c r="D332"/>
      <c r="E332" t="s">
        <v>8</v>
      </c>
    </row>
    <row r="333" spans="1:5" x14ac:dyDescent="0.25">
      <c r="A333" s="7">
        <v>152.91272491252778</v>
      </c>
      <c r="B333"/>
      <c r="C333"/>
      <c r="D333"/>
      <c r="E333" t="s">
        <v>8</v>
      </c>
    </row>
    <row r="334" spans="1:5" x14ac:dyDescent="0.25">
      <c r="A334" s="7">
        <v>149.91443618875272</v>
      </c>
      <c r="B334"/>
      <c r="C334"/>
      <c r="D334"/>
      <c r="E334" t="s">
        <v>8</v>
      </c>
    </row>
    <row r="335" spans="1:5" x14ac:dyDescent="0.25">
      <c r="A335" s="7">
        <v>146.97493743995364</v>
      </c>
      <c r="B335"/>
      <c r="C335"/>
      <c r="D335"/>
      <c r="E335" t="s">
        <v>8</v>
      </c>
    </row>
    <row r="336" spans="1:5" x14ac:dyDescent="0.25">
      <c r="A336" s="7">
        <v>144.09307592152317</v>
      </c>
      <c r="B336"/>
      <c r="C336"/>
      <c r="D336"/>
      <c r="E336" t="s">
        <v>8</v>
      </c>
    </row>
    <row r="337" spans="1:5" x14ac:dyDescent="0.25">
      <c r="A337" s="7">
        <v>141.26772149168937</v>
      </c>
      <c r="B337"/>
      <c r="C337"/>
      <c r="D337"/>
      <c r="E337" t="s">
        <v>8</v>
      </c>
    </row>
    <row r="338" spans="1:5" x14ac:dyDescent="0.25">
      <c r="A338" s="7">
        <v>138.4977661683229</v>
      </c>
      <c r="B338"/>
      <c r="C338"/>
      <c r="D338"/>
      <c r="E338" t="s">
        <v>8</v>
      </c>
    </row>
    <row r="339" spans="1:5" x14ac:dyDescent="0.25">
      <c r="A339" s="7">
        <v>135.7821236944342</v>
      </c>
      <c r="B339"/>
      <c r="C339"/>
      <c r="D339"/>
      <c r="E339" t="s">
        <v>8</v>
      </c>
    </row>
    <row r="340" spans="1:5" x14ac:dyDescent="0.25">
      <c r="A340" s="7">
        <v>133.11972911219038</v>
      </c>
      <c r="B340"/>
      <c r="C340"/>
      <c r="D340"/>
      <c r="E340" t="s">
        <v>8</v>
      </c>
    </row>
    <row r="341" spans="1:5" x14ac:dyDescent="0.25">
      <c r="A341" s="7">
        <v>130.50953834528468</v>
      </c>
      <c r="B341"/>
      <c r="C341"/>
      <c r="D341"/>
      <c r="E341" t="s">
        <v>8</v>
      </c>
    </row>
    <row r="342" spans="1:5" x14ac:dyDescent="0.25">
      <c r="A342" s="7">
        <v>127.95052778949477</v>
      </c>
      <c r="B342"/>
      <c r="C342"/>
      <c r="D342"/>
      <c r="E342" t="s">
        <v>8</v>
      </c>
    </row>
    <row r="343" spans="1:5" x14ac:dyDescent="0.25">
      <c r="A343" s="7">
        <v>125.44169391126938</v>
      </c>
      <c r="B343"/>
      <c r="C343"/>
      <c r="D343"/>
      <c r="E343" t="s">
        <v>8</v>
      </c>
    </row>
    <row r="344" spans="1:5" x14ac:dyDescent="0.25">
      <c r="A344" s="7">
        <v>122.98205285418567</v>
      </c>
      <c r="B344"/>
      <c r="C344"/>
      <c r="D344"/>
      <c r="E344" t="s">
        <v>8</v>
      </c>
    </row>
    <row r="345" spans="1:5" x14ac:dyDescent="0.25">
      <c r="A345" s="7">
        <v>120.5706400531232</v>
      </c>
      <c r="B345"/>
      <c r="C345"/>
      <c r="D345"/>
      <c r="E345" t="s">
        <v>8</v>
      </c>
    </row>
    <row r="346" spans="1:5" x14ac:dyDescent="0.25">
      <c r="A346" s="7">
        <v>118.20650985600314</v>
      </c>
      <c r="B346"/>
      <c r="C346"/>
      <c r="D346"/>
      <c r="E346" t="s">
        <v>8</v>
      </c>
    </row>
    <row r="347" spans="1:5" x14ac:dyDescent="0.25">
      <c r="A347" s="7">
        <v>115.88873515294425</v>
      </c>
      <c r="B347"/>
      <c r="C347"/>
      <c r="D347"/>
      <c r="E347" t="s">
        <v>8</v>
      </c>
    </row>
    <row r="348" spans="1:5" x14ac:dyDescent="0.25">
      <c r="A348" s="7">
        <v>113.61640701269044</v>
      </c>
      <c r="B348"/>
      <c r="C348"/>
      <c r="D348"/>
      <c r="E348" t="s">
        <v>8</v>
      </c>
    </row>
    <row r="349" spans="1:5" x14ac:dyDescent="0.25">
      <c r="A349" s="7">
        <v>111.38863432616711</v>
      </c>
      <c r="B349"/>
      <c r="C349"/>
      <c r="D349"/>
      <c r="E349" t="s">
        <v>8</v>
      </c>
    </row>
    <row r="350" spans="1:5" x14ac:dyDescent="0.25">
      <c r="A350" s="7">
        <v>109.20454345702657</v>
      </c>
      <c r="B350"/>
      <c r="C350"/>
      <c r="D350"/>
      <c r="E350" t="s">
        <v>8</v>
      </c>
    </row>
    <row r="351" spans="1:5" x14ac:dyDescent="0.25">
      <c r="A351" s="7">
        <v>107.06327789904566</v>
      </c>
      <c r="B351"/>
      <c r="C351"/>
      <c r="D351"/>
      <c r="E351" t="s">
        <v>8</v>
      </c>
    </row>
    <row r="352" spans="1:5" x14ac:dyDescent="0.25">
      <c r="A352" s="7">
        <v>104.96399794024084</v>
      </c>
      <c r="B352"/>
      <c r="C352"/>
      <c r="D352"/>
      <c r="E352" t="s">
        <v>8</v>
      </c>
    </row>
    <row r="353" spans="1:5" x14ac:dyDescent="0.25">
      <c r="A353" s="7">
        <v>102.90588033356946</v>
      </c>
      <c r="B353"/>
      <c r="C353"/>
      <c r="D353"/>
      <c r="E353" t="s">
        <v>8</v>
      </c>
    </row>
    <row r="354" spans="1:5" x14ac:dyDescent="0.25">
      <c r="A354" s="7">
        <v>100.88811797408771</v>
      </c>
      <c r="B354"/>
      <c r="C354"/>
      <c r="D354"/>
      <c r="E354" t="s">
        <v>8</v>
      </c>
    </row>
    <row r="355" spans="1:5" x14ac:dyDescent="0.25">
      <c r="A355" s="7">
        <v>98.909919582438931</v>
      </c>
      <c r="B355"/>
      <c r="C355"/>
      <c r="D355"/>
      <c r="E355" t="s">
        <v>8</v>
      </c>
    </row>
    <row r="356" spans="1:5" x14ac:dyDescent="0.25">
      <c r="A356" s="7">
        <v>96.970509394547975</v>
      </c>
      <c r="B356"/>
      <c r="C356"/>
      <c r="D356"/>
      <c r="E356" t="s">
        <v>8</v>
      </c>
    </row>
    <row r="357" spans="1:5" x14ac:dyDescent="0.25">
      <c r="A357" s="7">
        <v>95.069126857399979</v>
      </c>
      <c r="B357"/>
      <c r="C357"/>
      <c r="D357"/>
      <c r="E357" t="s">
        <v>8</v>
      </c>
    </row>
    <row r="358" spans="1:5" x14ac:dyDescent="0.25">
      <c r="A358" s="7">
        <v>93.205026330784293</v>
      </c>
      <c r="B358"/>
      <c r="C358"/>
      <c r="D358"/>
      <c r="E358" t="s">
        <v>8</v>
      </c>
    </row>
    <row r="359" spans="1:5" x14ac:dyDescent="0.25">
      <c r="A359" s="7">
        <v>91.377476794886562</v>
      </c>
      <c r="B359"/>
      <c r="C359"/>
      <c r="D359"/>
      <c r="E359" t="s">
        <v>8</v>
      </c>
    </row>
    <row r="360" spans="1:5" x14ac:dyDescent="0.25">
      <c r="A360" s="7">
        <v>89.58576156361427</v>
      </c>
      <c r="B360"/>
      <c r="C360"/>
      <c r="D360"/>
      <c r="E360" t="s">
        <v>8</v>
      </c>
    </row>
    <row r="361" spans="1:5" x14ac:dyDescent="0.25">
      <c r="A361" s="7">
        <v>87.829178003543404</v>
      </c>
      <c r="B361"/>
      <c r="C361"/>
      <c r="D361"/>
      <c r="E361" t="s">
        <v>8</v>
      </c>
    </row>
    <row r="362" spans="1:5" x14ac:dyDescent="0.25">
      <c r="A362" s="7">
        <v>86.107037258375883</v>
      </c>
      <c r="B362"/>
      <c r="C362"/>
      <c r="D362"/>
      <c r="E362" t="s">
        <v>8</v>
      </c>
    </row>
    <row r="363" spans="1:5" x14ac:dyDescent="0.25">
      <c r="A363" s="7">
        <v>84.418663978799884</v>
      </c>
      <c r="B363"/>
      <c r="C363"/>
      <c r="D363"/>
      <c r="E363" t="s">
        <v>8</v>
      </c>
    </row>
    <row r="364" spans="1:5" x14ac:dyDescent="0.25">
      <c r="A364" s="7">
        <v>82.763396057646943</v>
      </c>
      <c r="B364"/>
      <c r="C364"/>
      <c r="D364"/>
      <c r="E364" t="s">
        <v>8</v>
      </c>
    </row>
    <row r="365" spans="1:5" x14ac:dyDescent="0.25">
      <c r="A365" s="7">
        <v>81.140584370242095</v>
      </c>
      <c r="B365"/>
      <c r="C365"/>
      <c r="D365"/>
      <c r="E365" t="s">
        <v>8</v>
      </c>
    </row>
    <row r="366" spans="1:5" x14ac:dyDescent="0.25">
      <c r="A366" s="7">
        <v>79.549592519845191</v>
      </c>
      <c r="B366"/>
      <c r="C366"/>
      <c r="D366"/>
      <c r="E366" t="s">
        <v>8</v>
      </c>
    </row>
    <row r="367" spans="1:5" x14ac:dyDescent="0.25">
      <c r="A367" s="7">
        <v>77.989796588083522</v>
      </c>
      <c r="B367"/>
      <c r="C367"/>
      <c r="D367"/>
      <c r="E367" t="s">
        <v>8</v>
      </c>
    </row>
    <row r="368" spans="1:5" x14ac:dyDescent="0.25">
      <c r="A368" s="7">
        <v>76.460584890277957</v>
      </c>
      <c r="B368"/>
      <c r="C368"/>
      <c r="D368"/>
      <c r="E368" t="s">
        <v>8</v>
      </c>
    </row>
    <row r="369" spans="1:5" x14ac:dyDescent="0.25">
      <c r="A369" s="7">
        <v>74.961357735566622</v>
      </c>
      <c r="B369"/>
      <c r="C369"/>
      <c r="D369"/>
      <c r="E369" t="s">
        <v>8</v>
      </c>
    </row>
    <row r="370" spans="1:5" x14ac:dyDescent="0.25">
      <c r="A370" s="7">
        <v>73.491527191731976</v>
      </c>
      <c r="B370"/>
      <c r="C370"/>
      <c r="D370"/>
      <c r="E370" t="s">
        <v>8</v>
      </c>
    </row>
    <row r="371" spans="1:5" x14ac:dyDescent="0.25">
      <c r="A371" s="7">
        <v>72.050516854639184</v>
      </c>
      <c r="B371"/>
      <c r="C371"/>
      <c r="D371"/>
      <c r="E371" t="s">
        <v>8</v>
      </c>
    </row>
    <row r="372" spans="1:5" x14ac:dyDescent="0.25">
      <c r="A372" s="7">
        <v>70.637761622195271</v>
      </c>
      <c r="B372"/>
      <c r="C372"/>
      <c r="D372"/>
      <c r="E372" t="s">
        <v>8</v>
      </c>
    </row>
    <row r="373" spans="1:5" x14ac:dyDescent="0.25">
      <c r="A373" s="7">
        <v>69.252707472740454</v>
      </c>
      <c r="B373"/>
      <c r="C373"/>
      <c r="D373"/>
      <c r="E373" t="s">
        <v>8</v>
      </c>
    </row>
    <row r="374" spans="1:5" x14ac:dyDescent="0.25">
      <c r="A374" s="7">
        <v>67.894811247784759</v>
      </c>
      <c r="B374"/>
      <c r="C374"/>
      <c r="D374"/>
      <c r="E374" t="s">
        <v>8</v>
      </c>
    </row>
    <row r="375" spans="1:5" x14ac:dyDescent="0.25">
      <c r="A375" s="7">
        <v>66.563540439004669</v>
      </c>
      <c r="B375"/>
      <c r="C375"/>
      <c r="D375"/>
      <c r="E375" t="s">
        <v>8</v>
      </c>
    </row>
    <row r="376" spans="1:5" x14ac:dyDescent="0.25">
      <c r="A376" s="7">
        <v>65.258372979416336</v>
      </c>
      <c r="B376"/>
      <c r="C376"/>
      <c r="D376"/>
      <c r="E376" t="s">
        <v>8</v>
      </c>
    </row>
    <row r="377" spans="1:5" x14ac:dyDescent="0.25">
      <c r="A377" s="7">
        <v>63.978797038643471</v>
      </c>
      <c r="B377"/>
      <c r="C377"/>
      <c r="D377"/>
      <c r="E377" t="s">
        <v>8</v>
      </c>
    </row>
    <row r="378" spans="1:5" x14ac:dyDescent="0.25">
      <c r="A378" s="7">
        <v>62.724310822199477</v>
      </c>
      <c r="B378"/>
      <c r="C378"/>
      <c r="D378"/>
      <c r="E378" t="s">
        <v>8</v>
      </c>
    </row>
    <row r="379" spans="1:5" x14ac:dyDescent="0.25">
      <c r="A379" s="7">
        <v>61.494422374705366</v>
      </c>
      <c r="B379"/>
      <c r="C379"/>
      <c r="D379"/>
      <c r="E379" t="s">
        <v>8</v>
      </c>
    </row>
    <row r="380" spans="1:5" x14ac:dyDescent="0.25">
      <c r="A380" s="7">
        <v>60.288649386966043</v>
      </c>
      <c r="B380"/>
      <c r="C380"/>
      <c r="D380"/>
      <c r="E380" t="s">
        <v>8</v>
      </c>
    </row>
    <row r="381" spans="1:5" x14ac:dyDescent="0.25">
      <c r="A381" s="7">
        <v>59.106519006829451</v>
      </c>
      <c r="B381"/>
      <c r="C381"/>
      <c r="D381"/>
      <c r="E381" t="s">
        <v>8</v>
      </c>
    </row>
    <row r="382" spans="1:5" x14ac:dyDescent="0.25">
      <c r="A382" s="7">
        <v>57.947567653754362</v>
      </c>
      <c r="B382"/>
      <c r="C382"/>
      <c r="D382"/>
      <c r="E382" t="s">
        <v>8</v>
      </c>
    </row>
    <row r="383" spans="1:5" x14ac:dyDescent="0.25">
      <c r="A383" s="7">
        <v>56.811340837014079</v>
      </c>
      <c r="B383"/>
      <c r="C383"/>
      <c r="D383"/>
      <c r="E383" t="s">
        <v>8</v>
      </c>
    </row>
    <row r="384" spans="1:5" x14ac:dyDescent="0.25">
      <c r="A384" s="7">
        <v>55.69739297746478</v>
      </c>
      <c r="B384"/>
      <c r="C384"/>
      <c r="D384"/>
      <c r="E384" t="s">
        <v>8</v>
      </c>
    </row>
    <row r="385" spans="1:5" x14ac:dyDescent="0.25">
      <c r="A385" s="7">
        <v>54.605287232808607</v>
      </c>
      <c r="B385"/>
      <c r="C385"/>
      <c r="D385"/>
      <c r="E385" t="s">
        <v>8</v>
      </c>
    </row>
    <row r="386" spans="1:5" x14ac:dyDescent="0.25">
      <c r="A386" s="7">
        <v>53.534595326282947</v>
      </c>
      <c r="B386"/>
      <c r="C386"/>
      <c r="D386"/>
      <c r="E386" t="s">
        <v>8</v>
      </c>
    </row>
    <row r="387" spans="1:5" x14ac:dyDescent="0.25">
      <c r="A387" s="7">
        <v>52.484897378708773</v>
      </c>
      <c r="B387"/>
      <c r="C387"/>
      <c r="D387"/>
      <c r="E387" t="s">
        <v>8</v>
      </c>
    </row>
    <row r="388" spans="1:5" x14ac:dyDescent="0.25">
      <c r="A388" s="7">
        <v>51.455781743832127</v>
      </c>
      <c r="B388"/>
      <c r="C388"/>
      <c r="D388"/>
      <c r="E388" t="s">
        <v>8</v>
      </c>
    </row>
    <row r="389" spans="1:5" x14ac:dyDescent="0.25">
      <c r="A389" s="7">
        <v>50.446844846894244</v>
      </c>
      <c r="B389"/>
      <c r="C389"/>
      <c r="D389"/>
      <c r="E389" t="s">
        <v>8</v>
      </c>
    </row>
    <row r="390" spans="1:5" x14ac:dyDescent="0.25">
      <c r="A390" s="7">
        <v>49.457691026366902</v>
      </c>
      <c r="B390"/>
      <c r="C390"/>
      <c r="D390"/>
      <c r="E390" t="s">
        <v>8</v>
      </c>
    </row>
    <row r="391" spans="1:5" x14ac:dyDescent="0.25">
      <c r="A391" s="7">
        <v>48.487932378791079</v>
      </c>
      <c r="B391"/>
      <c r="C391"/>
      <c r="D391"/>
      <c r="E391" t="s">
        <v>8</v>
      </c>
    </row>
    <row r="392" spans="1:5" x14ac:dyDescent="0.25">
      <c r="A392" s="7">
        <v>47.537188606657921</v>
      </c>
      <c r="B392"/>
      <c r="C392"/>
      <c r="D392"/>
      <c r="E392" t="s">
        <v>8</v>
      </c>
    </row>
    <row r="393" spans="1:5" x14ac:dyDescent="0.25">
      <c r="A393" s="7">
        <v>46.605086869272469</v>
      </c>
      <c r="B393"/>
      <c r="C393"/>
      <c r="D393"/>
      <c r="E393" t="s">
        <v>8</v>
      </c>
    </row>
    <row r="394" spans="1:5" x14ac:dyDescent="0.25">
      <c r="A394" s="7">
        <v>45.691261636541633</v>
      </c>
      <c r="B394"/>
      <c r="C394"/>
      <c r="D394"/>
      <c r="E394" t="s">
        <v>8</v>
      </c>
    </row>
    <row r="395" spans="1:5" x14ac:dyDescent="0.25">
      <c r="A395" s="7">
        <v>44.795354545629053</v>
      </c>
      <c r="B395"/>
      <c r="C395"/>
      <c r="D395"/>
      <c r="E395" t="s">
        <v>8</v>
      </c>
    </row>
    <row r="396" spans="1:5" x14ac:dyDescent="0.25">
      <c r="A396" s="7">
        <v>43.917014260420636</v>
      </c>
      <c r="B396"/>
      <c r="C396"/>
      <c r="D396"/>
      <c r="E396" t="s">
        <v>8</v>
      </c>
    </row>
    <row r="397" spans="1:5" x14ac:dyDescent="0.25">
      <c r="A397" s="7">
        <v>43.055896333745721</v>
      </c>
      <c r="B397"/>
      <c r="C397"/>
      <c r="D397"/>
      <c r="E397" t="s">
        <v>8</v>
      </c>
    </row>
    <row r="398" spans="1:5" x14ac:dyDescent="0.25">
      <c r="A398" s="7">
        <v>42.211663072299729</v>
      </c>
      <c r="B398"/>
      <c r="C398"/>
      <c r="D398"/>
      <c r="E398" t="s">
        <v>8</v>
      </c>
    </row>
    <row r="399" spans="1:5" x14ac:dyDescent="0.25">
      <c r="A399" s="7">
        <v>41.383983404215421</v>
      </c>
      <c r="B399"/>
      <c r="C399"/>
      <c r="D399"/>
      <c r="E399" t="s">
        <v>8</v>
      </c>
    </row>
    <row r="400" spans="1:5" x14ac:dyDescent="0.25">
      <c r="A400" s="7">
        <v>40.572532749230803</v>
      </c>
      <c r="B400"/>
      <c r="C400"/>
      <c r="D400"/>
      <c r="E400" t="s">
        <v>8</v>
      </c>
    </row>
    <row r="401" spans="1:5" x14ac:dyDescent="0.25">
      <c r="A401" s="7">
        <v>39.776992891402749</v>
      </c>
      <c r="B401"/>
      <c r="C401"/>
      <c r="D401"/>
      <c r="E401" t="s">
        <v>8</v>
      </c>
    </row>
    <row r="402" spans="1:5" x14ac:dyDescent="0.25">
      <c r="A402" s="7">
        <v>38.997051854316418</v>
      </c>
      <c r="B402"/>
      <c r="C402"/>
      <c r="D402"/>
      <c r="E402" t="s">
        <v>8</v>
      </c>
    </row>
    <row r="403" spans="1:5" x14ac:dyDescent="0.25">
      <c r="A403" s="7">
        <v>38.232403778741585</v>
      </c>
      <c r="B403"/>
      <c r="C403"/>
      <c r="D403"/>
      <c r="E403" t="s">
        <v>8</v>
      </c>
    </row>
    <row r="404" spans="1:5" x14ac:dyDescent="0.25">
      <c r="A404" s="7">
        <v>37.48274880268783</v>
      </c>
      <c r="B404"/>
      <c r="C404"/>
      <c r="D404"/>
      <c r="E404" t="s">
        <v>8</v>
      </c>
    </row>
    <row r="405" spans="1:5" x14ac:dyDescent="0.25">
      <c r="A405" s="7">
        <v>36.747792943811596</v>
      </c>
      <c r="B405"/>
      <c r="C405"/>
      <c r="D405"/>
      <c r="E405" t="s">
        <v>8</v>
      </c>
    </row>
    <row r="406" spans="1:5" x14ac:dyDescent="0.25">
      <c r="A406" s="7">
        <v>36.027247984129012</v>
      </c>
      <c r="B406"/>
      <c r="C406"/>
      <c r="D406"/>
      <c r="E406" t="s">
        <v>8</v>
      </c>
    </row>
    <row r="407" spans="1:5" x14ac:dyDescent="0.25">
      <c r="A407" s="7">
        <v>35.320831356989224</v>
      </c>
      <c r="B407"/>
      <c r="C407"/>
      <c r="D407"/>
      <c r="E407" t="s">
        <v>8</v>
      </c>
    </row>
    <row r="408" spans="1:5" x14ac:dyDescent="0.25">
      <c r="A408" s="7">
        <v>34.628266036263945</v>
      </c>
      <c r="B408"/>
      <c r="C408"/>
      <c r="D408"/>
      <c r="E408" t="s">
        <v>8</v>
      </c>
    </row>
    <row r="409" spans="1:5" x14ac:dyDescent="0.25">
      <c r="A409" s="7">
        <v>33.949280427709752</v>
      </c>
      <c r="B409"/>
      <c r="C409"/>
      <c r="D409"/>
      <c r="E409" t="s">
        <v>8</v>
      </c>
    </row>
    <row r="410" spans="1:5" x14ac:dyDescent="0.25">
      <c r="A410" s="7">
        <v>33.28360826246054</v>
      </c>
      <c r="B410"/>
      <c r="C410"/>
      <c r="D410"/>
      <c r="E410" t="s">
        <v>8</v>
      </c>
    </row>
    <row r="411" spans="1:5" x14ac:dyDescent="0.25">
      <c r="A411" s="7">
        <v>32.630988492608374</v>
      </c>
      <c r="B411"/>
      <c r="C411"/>
      <c r="D411"/>
      <c r="E411" t="s">
        <v>8</v>
      </c>
    </row>
    <row r="412" spans="1:5" x14ac:dyDescent="0.25">
      <c r="A412" s="7">
        <v>31.99116518883174</v>
      </c>
      <c r="B412"/>
      <c r="C412"/>
      <c r="D412"/>
      <c r="E412" t="s">
        <v>8</v>
      </c>
    </row>
    <row r="413" spans="1:5" x14ac:dyDescent="0.25">
      <c r="A413" s="7">
        <v>31.363887440031117</v>
      </c>
      <c r="B413"/>
      <c r="C413"/>
      <c r="D413"/>
      <c r="E413" t="s">
        <v>8</v>
      </c>
    </row>
    <row r="414" spans="1:5" x14ac:dyDescent="0.25">
      <c r="A414" s="7">
        <v>30.748909254932467</v>
      </c>
      <c r="B414"/>
      <c r="C414"/>
      <c r="D414"/>
      <c r="E414" t="s">
        <v>8</v>
      </c>
    </row>
    <row r="415" spans="1:5" x14ac:dyDescent="0.25">
      <c r="A415" s="7">
        <v>30.145989465620065</v>
      </c>
      <c r="B415"/>
      <c r="C415"/>
      <c r="D415"/>
      <c r="E415" t="s">
        <v>8</v>
      </c>
    </row>
    <row r="416" spans="1:5" x14ac:dyDescent="0.25">
      <c r="A416" s="7">
        <v>29.55489163296085</v>
      </c>
      <c r="B416"/>
      <c r="C416"/>
      <c r="D416"/>
      <c r="E416" t="s">
        <v>8</v>
      </c>
    </row>
    <row r="417" spans="1:5" x14ac:dyDescent="0.25">
      <c r="A417" s="7">
        <v>28.975383953883185</v>
      </c>
      <c r="B417"/>
      <c r="C417"/>
      <c r="D417"/>
      <c r="E417" t="s">
        <v>8</v>
      </c>
    </row>
    <row r="418" spans="1:5" x14ac:dyDescent="0.25">
      <c r="A418" s="7">
        <v>28.407239170473709</v>
      </c>
      <c r="B418"/>
      <c r="C418"/>
      <c r="D418"/>
      <c r="E418" t="s">
        <v>8</v>
      </c>
    </row>
    <row r="419" spans="1:5" x14ac:dyDescent="0.25">
      <c r="A419" s="7">
        <v>27.850234480856578</v>
      </c>
      <c r="B419"/>
      <c r="C419"/>
      <c r="D419"/>
      <c r="E419" t="s">
        <v>8</v>
      </c>
    </row>
    <row r="420" spans="1:5" x14ac:dyDescent="0.25">
      <c r="A420" s="7">
        <v>27.304151451820175</v>
      </c>
      <c r="B420"/>
      <c r="C420"/>
      <c r="D420"/>
      <c r="E420" t="s">
        <v>8</v>
      </c>
    </row>
    <row r="421" spans="1:5" x14ac:dyDescent="0.25">
      <c r="A421" s="7">
        <v>26.768775933157034</v>
      </c>
      <c r="B421"/>
      <c r="C421"/>
      <c r="D421"/>
      <c r="E421" t="s">
        <v>8</v>
      </c>
    </row>
    <row r="422" spans="1:5" x14ac:dyDescent="0.25">
      <c r="A422" s="7">
        <v>26.243897973683367</v>
      </c>
      <c r="B422"/>
      <c r="C422"/>
      <c r="D422"/>
      <c r="E422" t="s">
        <v>8</v>
      </c>
    </row>
    <row r="423" spans="1:5" x14ac:dyDescent="0.25">
      <c r="A423" s="7">
        <v>25.729311738905263</v>
      </c>
      <c r="B423"/>
      <c r="C423"/>
      <c r="D423"/>
      <c r="E423" t="s">
        <v>8</v>
      </c>
    </row>
    <row r="424" spans="1:5" x14ac:dyDescent="0.25">
      <c r="A424" s="7">
        <v>25.224815430299277</v>
      </c>
      <c r="B424"/>
      <c r="C424"/>
      <c r="D424"/>
      <c r="E424" t="s">
        <v>8</v>
      </c>
    </row>
    <row r="425" spans="1:5" x14ac:dyDescent="0.25">
      <c r="A425" s="7">
        <v>24.73021120617576</v>
      </c>
      <c r="B425"/>
      <c r="C425"/>
      <c r="D425"/>
      <c r="E425" t="s">
        <v>8</v>
      </c>
    </row>
    <row r="426" spans="1:5" x14ac:dyDescent="0.25">
      <c r="A426" s="7">
        <v>24.24530510409388</v>
      </c>
      <c r="B426"/>
      <c r="C426"/>
      <c r="D426"/>
      <c r="E426" t="s">
        <v>8</v>
      </c>
    </row>
    <row r="427" spans="1:5" x14ac:dyDescent="0.25">
      <c r="A427" s="7">
        <v>23.769906964797922</v>
      </c>
      <c r="B427"/>
      <c r="C427"/>
      <c r="D427"/>
      <c r="E427" t="s">
        <v>8</v>
      </c>
    </row>
    <row r="428" spans="1:5" x14ac:dyDescent="0.25">
      <c r="A428" s="7">
        <v>23.303830357645023</v>
      </c>
      <c r="B428"/>
      <c r="C428"/>
      <c r="D428"/>
      <c r="E428" t="s">
        <v>8</v>
      </c>
    </row>
    <row r="429" spans="1:5" x14ac:dyDescent="0.25">
      <c r="A429" s="7">
        <v>22.84689250749512</v>
      </c>
      <c r="B429"/>
      <c r="C429"/>
      <c r="D429"/>
      <c r="E429" t="s">
        <v>8</v>
      </c>
    </row>
    <row r="430" spans="1:5" x14ac:dyDescent="0.25">
      <c r="A430" s="7">
        <v>22.398914223034431</v>
      </c>
      <c r="B430"/>
      <c r="C430"/>
      <c r="D430"/>
      <c r="E430" t="s">
        <v>8</v>
      </c>
    </row>
    <row r="431" spans="1:5" x14ac:dyDescent="0.25">
      <c r="A431" s="7">
        <v>21.959719826504344</v>
      </c>
      <c r="B431"/>
      <c r="C431"/>
      <c r="D431"/>
      <c r="E431" t="s">
        <v>8</v>
      </c>
    </row>
    <row r="432" spans="1:5" x14ac:dyDescent="0.25">
      <c r="A432" s="7">
        <v>21.52913708480818</v>
      </c>
      <c r="B432"/>
      <c r="C432"/>
      <c r="D432"/>
      <c r="E432" t="s">
        <v>8</v>
      </c>
    </row>
    <row r="433" spans="1:5" x14ac:dyDescent="0.25">
      <c r="A433" s="7">
        <v>21.106997141968804</v>
      </c>
      <c r="B433"/>
      <c r="C433"/>
      <c r="D433"/>
      <c r="E433" t="s">
        <v>8</v>
      </c>
    </row>
    <row r="434" spans="1:5" x14ac:dyDescent="0.25">
      <c r="A434" s="7">
        <v>20.693134452910591</v>
      </c>
      <c r="B434"/>
      <c r="C434"/>
      <c r="D434"/>
      <c r="E434" t="s">
        <v>8</v>
      </c>
    </row>
    <row r="435" spans="1:5" x14ac:dyDescent="0.25">
      <c r="A435" s="7">
        <v>20.287386718539796</v>
      </c>
      <c r="B435"/>
      <c r="C435"/>
      <c r="D435"/>
      <c r="E435" t="s">
        <v>8</v>
      </c>
    </row>
    <row r="436" spans="1:5" x14ac:dyDescent="0.25">
      <c r="A436" s="7">
        <v>19.889594822097838</v>
      </c>
      <c r="B436"/>
      <c r="C436"/>
      <c r="D436"/>
      <c r="E436" t="s">
        <v>8</v>
      </c>
    </row>
    <row r="437" spans="1:5" x14ac:dyDescent="0.25">
      <c r="A437" s="7">
        <v>19.499602766762585</v>
      </c>
      <c r="B437"/>
      <c r="C437"/>
      <c r="D437"/>
      <c r="E437" t="s">
        <v>8</v>
      </c>
    </row>
    <row r="438" spans="1:5" x14ac:dyDescent="0.25">
      <c r="A438" s="7">
        <v>19.117257614473122</v>
      </c>
      <c r="B438"/>
      <c r="C438"/>
      <c r="D438"/>
      <c r="E438" t="s">
        <v>8</v>
      </c>
    </row>
    <row r="439" spans="1:5" x14ac:dyDescent="0.25">
      <c r="A439" s="7">
        <v>18.74240942595404</v>
      </c>
      <c r="B439"/>
      <c r="C439"/>
      <c r="D439"/>
      <c r="E439" t="s">
        <v>8</v>
      </c>
    </row>
    <row r="440" spans="1:5" x14ac:dyDescent="0.25">
      <c r="A440" s="7">
        <v>18.374911201915726</v>
      </c>
      <c r="B440"/>
      <c r="C440"/>
      <c r="D440"/>
      <c r="E440" t="s">
        <v>8</v>
      </c>
    </row>
    <row r="441" spans="1:5" x14ac:dyDescent="0.25">
      <c r="A441" s="7">
        <v>18.014618825407574</v>
      </c>
      <c r="B441"/>
      <c r="C441"/>
      <c r="D441"/>
      <c r="E441" t="s">
        <v>8</v>
      </c>
    </row>
    <row r="442" spans="1:5" x14ac:dyDescent="0.25">
      <c r="A442" s="7">
        <v>17.661391005301542</v>
      </c>
      <c r="B442"/>
      <c r="C442"/>
      <c r="D442"/>
      <c r="E442" t="s">
        <v>8</v>
      </c>
    </row>
    <row r="443" spans="1:5" x14ac:dyDescent="0.25">
      <c r="A443" s="7">
        <v>17.315089220883866</v>
      </c>
      <c r="B443"/>
      <c r="C443"/>
      <c r="D443"/>
      <c r="E443" t="s">
        <v>8</v>
      </c>
    </row>
    <row r="444" spans="1:5" x14ac:dyDescent="0.25">
      <c r="A444" s="7">
        <v>16.975577667533202</v>
      </c>
      <c r="B444"/>
      <c r="C444"/>
      <c r="D444"/>
      <c r="E444" t="s">
        <v>8</v>
      </c>
    </row>
    <row r="445" spans="1:5" x14ac:dyDescent="0.25">
      <c r="A445" s="7">
        <v>16.642723203463923</v>
      </c>
      <c r="B445"/>
      <c r="C445"/>
      <c r="D445"/>
      <c r="E445" t="s">
        <v>8</v>
      </c>
    </row>
    <row r="446" spans="1:5" x14ac:dyDescent="0.25">
      <c r="A446" s="7">
        <v>16.316395297513651</v>
      </c>
      <c r="B446"/>
      <c r="C446"/>
      <c r="D446"/>
      <c r="E446" t="s">
        <v>8</v>
      </c>
    </row>
    <row r="447" spans="1:5" x14ac:dyDescent="0.25">
      <c r="A447" s="7">
        <v>15.996465977954561</v>
      </c>
      <c r="B447"/>
      <c r="C447"/>
      <c r="D447"/>
      <c r="E447" t="s">
        <v>8</v>
      </c>
    </row>
    <row r="448" spans="1:5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80" priority="2030" operator="equal">
      <formula>$U$1</formula>
    </cfRule>
    <cfRule type="cellIs" dxfId="79" priority="2031" operator="equal">
      <formula>$S$1</formula>
    </cfRule>
  </conditionalFormatting>
  <conditionalFormatting sqref="D27">
    <cfRule type="cellIs" dxfId="78" priority="2028" operator="equal">
      <formula>$S$1</formula>
    </cfRule>
    <cfRule type="cellIs" dxfId="77" priority="2029" operator="equal">
      <formula>$U$1</formula>
    </cfRule>
  </conditionalFormatting>
  <conditionalFormatting sqref="C164">
    <cfRule type="cellIs" dxfId="76" priority="2026" operator="equal">
      <formula>$U$1</formula>
    </cfRule>
    <cfRule type="cellIs" dxfId="75" priority="2027" operator="equal">
      <formula>$S$1</formula>
    </cfRule>
  </conditionalFormatting>
  <conditionalFormatting sqref="D164">
    <cfRule type="cellIs" dxfId="74" priority="2024" operator="equal">
      <formula>$S$1</formula>
    </cfRule>
    <cfRule type="cellIs" dxfId="73" priority="2025" operator="equal">
      <formula>$U$1</formula>
    </cfRule>
  </conditionalFormatting>
  <conditionalFormatting sqref="C55">
    <cfRule type="cellIs" dxfId="72" priority="2022" operator="equal">
      <formula>$U$1</formula>
    </cfRule>
    <cfRule type="cellIs" dxfId="71" priority="2023" operator="equal">
      <formula>$S$1</formula>
    </cfRule>
  </conditionalFormatting>
  <conditionalFormatting sqref="D55">
    <cfRule type="cellIs" dxfId="70" priority="2020" operator="equal">
      <formula>$S$1</formula>
    </cfRule>
    <cfRule type="cellIs" dxfId="69" priority="2021" operator="equal">
      <formula>$U$1</formula>
    </cfRule>
  </conditionalFormatting>
  <conditionalFormatting sqref="C89">
    <cfRule type="cellIs" dxfId="68" priority="2018" operator="equal">
      <formula>$U$1</formula>
    </cfRule>
    <cfRule type="cellIs" dxfId="67" priority="2019" operator="equal">
      <formula>$S$1</formula>
    </cfRule>
  </conditionalFormatting>
  <conditionalFormatting sqref="D89">
    <cfRule type="cellIs" dxfId="66" priority="2016" operator="equal">
      <formula>$S$1</formula>
    </cfRule>
    <cfRule type="cellIs" dxfId="65" priority="2017" operator="equal">
      <formula>$U$1</formula>
    </cfRule>
  </conditionalFormatting>
  <conditionalFormatting sqref="C136">
    <cfRule type="cellIs" dxfId="64" priority="2014" operator="equal">
      <formula>$U$1</formula>
    </cfRule>
    <cfRule type="cellIs" dxfId="63" priority="2015" operator="equal">
      <formula>$S$1</formula>
    </cfRule>
  </conditionalFormatting>
  <conditionalFormatting sqref="D136">
    <cfRule type="cellIs" dxfId="62" priority="2012" operator="equal">
      <formula>$S$1</formula>
    </cfRule>
    <cfRule type="cellIs" dxfId="61" priority="2013" operator="equal">
      <formula>$U$1</formula>
    </cfRule>
  </conditionalFormatting>
  <conditionalFormatting sqref="C1">
    <cfRule type="cellIs" dxfId="60" priority="2011" operator="lessThan">
      <formula>$A$2</formula>
    </cfRule>
  </conditionalFormatting>
  <conditionalFormatting sqref="D130">
    <cfRule type="cellIs" dxfId="59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9" zoomScale="85" zoomScaleNormal="85" workbookViewId="0">
      <pane xSplit="4" topLeftCell="BP1" activePane="topRight" state="frozen"/>
      <selection activeCell="A109" sqref="A109"/>
      <selection pane="topRight" activeCell="DN26" sqref="DN26"/>
    </sheetView>
  </sheetViews>
  <sheetFormatPr defaultRowHeight="15" x14ac:dyDescent="0.25"/>
  <cols>
    <col min="1" max="1" width="13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118" x14ac:dyDescent="0.25">
      <c r="S1" s="27" t="s">
        <v>7</v>
      </c>
      <c r="U1" s="27" t="s">
        <v>8</v>
      </c>
    </row>
    <row r="4" spans="1:118" x14ac:dyDescent="0.25">
      <c r="A4" s="30">
        <v>100155.44859784204</v>
      </c>
    </row>
    <row r="5" spans="1:118" x14ac:dyDescent="0.25">
      <c r="A5" s="30">
        <v>95386.141521754325</v>
      </c>
    </row>
    <row r="6" spans="1:118" x14ac:dyDescent="0.25">
      <c r="A6" s="30">
        <v>90843.944306432692</v>
      </c>
    </row>
    <row r="7" spans="1:118" x14ac:dyDescent="0.25">
      <c r="A7" s="30">
        <v>86518.042196602561</v>
      </c>
    </row>
    <row r="8" spans="1:118" x14ac:dyDescent="0.25">
      <c r="A8" s="30">
        <v>82398.135425335771</v>
      </c>
    </row>
    <row r="9" spans="1:118" x14ac:dyDescent="0.25">
      <c r="A9" s="30">
        <v>78474.414690795966</v>
      </c>
    </row>
    <row r="10" spans="1:118" x14ac:dyDescent="0.25">
      <c r="A10" s="30">
        <v>74737.537800758058</v>
      </c>
    </row>
    <row r="11" spans="1:118" x14ac:dyDescent="0.25">
      <c r="A11" s="30">
        <v>71178.607429293392</v>
      </c>
    </row>
    <row r="12" spans="1:118" x14ac:dyDescent="0.25">
      <c r="A12" s="30">
        <v>67789.149932660366</v>
      </c>
      <c r="DK12" s="31" t="s">
        <v>8</v>
      </c>
    </row>
    <row r="13" spans="1:118" x14ac:dyDescent="0.25">
      <c r="A13" s="30">
        <v>64561.095173962254</v>
      </c>
      <c r="CW13" s="31" t="s">
        <v>8</v>
      </c>
      <c r="DK13" s="27" t="s">
        <v>8</v>
      </c>
      <c r="DL13" s="31" t="s">
        <v>7</v>
      </c>
    </row>
    <row r="14" spans="1:118" x14ac:dyDescent="0.25">
      <c r="A14" s="30">
        <v>61486.757308535474</v>
      </c>
      <c r="CU14" s="27" t="s">
        <v>8</v>
      </c>
      <c r="CW14" s="27" t="s">
        <v>8</v>
      </c>
      <c r="CX14" s="31" t="s">
        <v>7</v>
      </c>
      <c r="DK14" s="27" t="s">
        <v>8</v>
      </c>
      <c r="DL14" s="27" t="s">
        <v>7</v>
      </c>
      <c r="DM14" s="31"/>
    </row>
    <row r="15" spans="1:118" x14ac:dyDescent="0.25">
      <c r="A15" s="30">
        <v>58558.816484319497</v>
      </c>
      <c r="CU15" s="27" t="s">
        <v>8</v>
      </c>
      <c r="CV15" s="27" t="s">
        <v>7</v>
      </c>
      <c r="CW15" s="27" t="s">
        <v>8</v>
      </c>
      <c r="CX15" s="27" t="s">
        <v>7</v>
      </c>
      <c r="CY15" s="31" t="s">
        <v>8</v>
      </c>
      <c r="DK15" s="27" t="s">
        <v>8</v>
      </c>
      <c r="DL15" s="27" t="s">
        <v>7</v>
      </c>
      <c r="DN15" s="31"/>
    </row>
    <row r="16" spans="1:118" x14ac:dyDescent="0.25">
      <c r="A16" s="30">
        <v>55770.301413637615</v>
      </c>
      <c r="CS16" s="27" t="s">
        <v>8</v>
      </c>
      <c r="CU16" s="27" t="s">
        <v>8</v>
      </c>
      <c r="CV16" s="27" t="s">
        <v>7</v>
      </c>
      <c r="CW16" s="27" t="s">
        <v>8</v>
      </c>
      <c r="CX16" s="27" t="s">
        <v>7</v>
      </c>
      <c r="CY16" s="27" t="s">
        <v>8</v>
      </c>
      <c r="CZ16" s="31" t="s">
        <v>7</v>
      </c>
      <c r="DK16" s="27" t="s">
        <v>8</v>
      </c>
      <c r="DL16" s="27" t="s">
        <v>7</v>
      </c>
    </row>
    <row r="17" spans="1:118" x14ac:dyDescent="0.25">
      <c r="A17" s="30">
        <v>53114.572774892964</v>
      </c>
      <c r="CS17" s="27" t="s">
        <v>8</v>
      </c>
      <c r="CT17" s="27" t="s">
        <v>7</v>
      </c>
      <c r="CU17" s="27" t="s">
        <v>8</v>
      </c>
      <c r="CV17" s="27" t="s">
        <v>7</v>
      </c>
      <c r="CW17" s="27" t="s">
        <v>8</v>
      </c>
      <c r="CX17" s="27" t="s">
        <v>7</v>
      </c>
      <c r="CY17" s="27" t="s">
        <v>8</v>
      </c>
      <c r="CZ17" s="27" t="s">
        <v>7</v>
      </c>
      <c r="DA17" s="31"/>
      <c r="DK17" s="27" t="s">
        <v>8</v>
      </c>
      <c r="DL17" s="27" t="s">
        <v>7</v>
      </c>
    </row>
    <row r="18" spans="1:118" x14ac:dyDescent="0.25">
      <c r="A18" s="30">
        <v>50585.307404659965</v>
      </c>
      <c r="CS18" s="27" t="s">
        <v>8</v>
      </c>
      <c r="CT18" s="27" t="s">
        <v>7</v>
      </c>
      <c r="CU18" s="27" t="s">
        <v>8</v>
      </c>
      <c r="CV18" s="27" t="s">
        <v>7</v>
      </c>
      <c r="CX18" s="27" t="s">
        <v>7</v>
      </c>
      <c r="CY18" s="27" t="s">
        <v>8</v>
      </c>
      <c r="CZ18" s="27" t="s">
        <v>7</v>
      </c>
      <c r="DB18" s="31"/>
      <c r="DI18" s="19" t="s">
        <v>8</v>
      </c>
      <c r="DK18" s="27" t="s">
        <v>8</v>
      </c>
      <c r="DL18" s="27" t="s">
        <v>7</v>
      </c>
      <c r="DM18" s="27" t="s">
        <v>8</v>
      </c>
    </row>
    <row r="19" spans="1:118" x14ac:dyDescent="0.25">
      <c r="A19" s="30">
        <v>48176.483242533301</v>
      </c>
      <c r="CS19" s="27" t="s">
        <v>8</v>
      </c>
      <c r="CT19" s="27" t="s">
        <v>7</v>
      </c>
      <c r="CU19" s="27" t="s">
        <v>8</v>
      </c>
      <c r="CX19" s="34" t="s">
        <v>7</v>
      </c>
      <c r="CZ19" s="31" t="s">
        <v>7</v>
      </c>
      <c r="DC19" s="31"/>
      <c r="DI19" s="27" t="s">
        <v>8</v>
      </c>
      <c r="DJ19" s="19" t="s">
        <v>7</v>
      </c>
      <c r="DK19" s="27" t="s">
        <v>8</v>
      </c>
      <c r="DL19" s="27" t="s">
        <v>7</v>
      </c>
      <c r="DM19" s="27" t="s">
        <v>8</v>
      </c>
      <c r="DN19" s="27" t="s">
        <v>7</v>
      </c>
    </row>
    <row r="20" spans="1:118" x14ac:dyDescent="0.25">
      <c r="A20" s="30">
        <v>45882.364992888855</v>
      </c>
      <c r="CS20" s="27" t="s">
        <v>8</v>
      </c>
      <c r="CT20" s="27" t="s">
        <v>7</v>
      </c>
      <c r="CU20" s="27" t="s">
        <v>8</v>
      </c>
      <c r="CY20" s="31"/>
      <c r="CZ20" s="27" t="s">
        <v>7</v>
      </c>
      <c r="DD20" s="31"/>
      <c r="DI20" s="27" t="s">
        <v>8</v>
      </c>
      <c r="DJ20" s="27" t="s">
        <v>7</v>
      </c>
      <c r="DK20" s="19" t="s">
        <v>8</v>
      </c>
      <c r="DL20" s="19" t="s">
        <v>7</v>
      </c>
      <c r="DM20" s="27" t="s">
        <v>8</v>
      </c>
      <c r="DN20" s="27" t="s">
        <v>7</v>
      </c>
    </row>
    <row r="21" spans="1:118" x14ac:dyDescent="0.25">
      <c r="A21" s="30">
        <v>43697.490469417957</v>
      </c>
      <c r="C21" s="1" t="s">
        <v>15</v>
      </c>
      <c r="G21" s="11"/>
      <c r="CS21" s="27" t="s">
        <v>8</v>
      </c>
      <c r="CT21" s="27" t="s">
        <v>7</v>
      </c>
      <c r="CX21" s="31"/>
      <c r="CZ21" s="27" t="s">
        <v>7</v>
      </c>
      <c r="DE21" s="31"/>
      <c r="DI21" s="27" t="s">
        <v>8</v>
      </c>
      <c r="DJ21" s="27" t="s">
        <v>7</v>
      </c>
      <c r="DK21" s="19" t="s">
        <v>8</v>
      </c>
      <c r="DL21" s="19" t="s">
        <v>7</v>
      </c>
      <c r="DN21" s="27" t="s">
        <v>7</v>
      </c>
    </row>
    <row r="22" spans="1:118" x14ac:dyDescent="0.25">
      <c r="A22" s="30">
        <v>41616.657589921859</v>
      </c>
      <c r="C22" s="7">
        <v>0.11686133436193799</v>
      </c>
      <c r="D22"/>
      <c r="CK22" s="27" t="s">
        <v>8</v>
      </c>
      <c r="CS22" s="27" t="s">
        <v>8</v>
      </c>
      <c r="CW22" s="31"/>
      <c r="CZ22" s="27" t="s">
        <v>7</v>
      </c>
      <c r="DA22" s="27" t="s">
        <v>8</v>
      </c>
      <c r="DF22" s="31"/>
      <c r="DI22" s="27" t="s">
        <v>8</v>
      </c>
      <c r="DJ22" s="27" t="s">
        <v>7</v>
      </c>
      <c r="DK22" s="27" t="s">
        <v>8</v>
      </c>
      <c r="DN22" s="27" t="s">
        <v>7</v>
      </c>
    </row>
    <row r="23" spans="1:118" x14ac:dyDescent="0.25">
      <c r="A23" s="30">
        <v>39634.911990401772</v>
      </c>
      <c r="CK23" s="27" t="s">
        <v>8</v>
      </c>
      <c r="CL23" s="27" t="s">
        <v>7</v>
      </c>
      <c r="CM23" s="27" t="s">
        <v>8</v>
      </c>
      <c r="CS23" s="27" t="s">
        <v>8</v>
      </c>
      <c r="CV23" s="31"/>
      <c r="CZ23" s="27" t="s">
        <v>7</v>
      </c>
      <c r="DA23" s="27" t="s">
        <v>8</v>
      </c>
      <c r="DB23" s="27" t="s">
        <v>7</v>
      </c>
      <c r="DC23" s="32" t="s">
        <v>8</v>
      </c>
      <c r="DE23" s="32" t="s">
        <v>8</v>
      </c>
      <c r="DG23" s="31"/>
      <c r="DI23" s="19" t="s">
        <v>8</v>
      </c>
      <c r="DJ23" s="27" t="s">
        <v>7</v>
      </c>
      <c r="DN23" s="27" t="s">
        <v>7</v>
      </c>
    </row>
    <row r="24" spans="1:118" x14ac:dyDescent="0.25">
      <c r="A24" s="30">
        <v>37747.535228954068</v>
      </c>
      <c r="C24" s="1" t="s">
        <v>11</v>
      </c>
      <c r="D24" s="1" t="s">
        <v>12</v>
      </c>
      <c r="CK24" s="27" t="s">
        <v>8</v>
      </c>
      <c r="CL24" s="27" t="s">
        <v>7</v>
      </c>
      <c r="CM24" s="27" t="s">
        <v>8</v>
      </c>
      <c r="CN24" s="27" t="s">
        <v>7</v>
      </c>
      <c r="CQ24" s="27" t="s">
        <v>8</v>
      </c>
      <c r="CS24" s="27" t="s">
        <v>8</v>
      </c>
      <c r="CU24" s="31"/>
      <c r="CZ24" s="27" t="s">
        <v>7</v>
      </c>
      <c r="DA24" s="27" t="s">
        <v>8</v>
      </c>
      <c r="DB24" s="27" t="s">
        <v>7</v>
      </c>
      <c r="DC24" s="27" t="s">
        <v>8</v>
      </c>
      <c r="DD24" s="27" t="s">
        <v>7</v>
      </c>
      <c r="DE24" s="27" t="s">
        <v>8</v>
      </c>
      <c r="DF24" s="27" t="s">
        <v>7</v>
      </c>
      <c r="DH24" s="31"/>
      <c r="DI24" s="33" t="s">
        <v>8</v>
      </c>
      <c r="DJ24" s="19"/>
      <c r="DN24" s="27" t="s">
        <v>7</v>
      </c>
    </row>
    <row r="25" spans="1:118" x14ac:dyDescent="0.25">
      <c r="A25" s="30">
        <v>35950.033551384826</v>
      </c>
      <c r="C25"/>
      <c r="D25"/>
      <c r="CK25" s="27" t="s">
        <v>8</v>
      </c>
      <c r="CL25" s="27" t="s">
        <v>7</v>
      </c>
      <c r="CM25" s="27" t="s">
        <v>8</v>
      </c>
      <c r="CN25" s="27" t="s">
        <v>7</v>
      </c>
      <c r="CQ25" s="27" t="s">
        <v>8</v>
      </c>
      <c r="CR25" s="27" t="s">
        <v>7</v>
      </c>
      <c r="CS25" s="27" t="s">
        <v>8</v>
      </c>
      <c r="CT25" s="31"/>
      <c r="CZ25" s="27" t="s">
        <v>7</v>
      </c>
      <c r="DA25" s="27" t="s">
        <v>8</v>
      </c>
      <c r="DB25" s="27" t="s">
        <v>7</v>
      </c>
      <c r="DC25" s="27" t="s">
        <v>8</v>
      </c>
      <c r="DD25" s="27" t="s">
        <v>7</v>
      </c>
      <c r="DE25" s="27" t="s">
        <v>8</v>
      </c>
      <c r="DF25" s="27" t="s">
        <v>7</v>
      </c>
      <c r="DG25" s="27" t="s">
        <v>8</v>
      </c>
      <c r="DI25" s="31" t="s">
        <v>8</v>
      </c>
      <c r="DK25" s="19"/>
      <c r="DN25" s="27" t="s">
        <v>7</v>
      </c>
    </row>
    <row r="26" spans="1:118" x14ac:dyDescent="0.25">
      <c r="A26" s="30">
        <v>34238.127191795073</v>
      </c>
      <c r="CI26" s="27" t="s">
        <v>8</v>
      </c>
      <c r="CK26" s="27" t="s">
        <v>8</v>
      </c>
      <c r="CL26" s="27" t="s">
        <v>7</v>
      </c>
      <c r="CM26" s="27" t="s">
        <v>8</v>
      </c>
      <c r="CN26" s="27" t="s">
        <v>7</v>
      </c>
      <c r="CO26" s="27" t="s">
        <v>8</v>
      </c>
      <c r="CQ26" s="27" t="s">
        <v>8</v>
      </c>
      <c r="CR26" s="27" t="s">
        <v>7</v>
      </c>
      <c r="CS26" s="31" t="s">
        <v>8</v>
      </c>
      <c r="CZ26" s="27" t="s">
        <v>7</v>
      </c>
      <c r="DA26" s="27" t="s">
        <v>8</v>
      </c>
      <c r="DB26" s="27" t="s">
        <v>7</v>
      </c>
      <c r="DC26" s="27" t="s">
        <v>8</v>
      </c>
      <c r="DD26" s="27" t="s">
        <v>7</v>
      </c>
      <c r="DE26" s="27" t="s">
        <v>8</v>
      </c>
      <c r="DF26" s="27" t="s">
        <v>7</v>
      </c>
      <c r="DG26" s="27" t="s">
        <v>8</v>
      </c>
      <c r="DH26" s="27" t="s">
        <v>7</v>
      </c>
      <c r="DI26" s="27" t="s">
        <v>8</v>
      </c>
      <c r="DJ26" s="19"/>
      <c r="DL26" s="19"/>
      <c r="DN26" s="27" t="s">
        <v>7</v>
      </c>
    </row>
    <row r="27" spans="1:118" x14ac:dyDescent="0.25">
      <c r="A27" s="30">
        <v>32607.740182661972</v>
      </c>
      <c r="C27" s="1" t="s">
        <v>13</v>
      </c>
      <c r="CI27" s="27" t="s">
        <v>8</v>
      </c>
      <c r="CJ27" s="27" t="s">
        <v>7</v>
      </c>
      <c r="CK27" s="27" t="s">
        <v>8</v>
      </c>
      <c r="CL27" s="27" t="s">
        <v>7</v>
      </c>
      <c r="CM27" s="27" t="s">
        <v>8</v>
      </c>
      <c r="CN27" s="27" t="s">
        <v>7</v>
      </c>
      <c r="CO27" s="27" t="s">
        <v>8</v>
      </c>
      <c r="CP27" s="27" t="s">
        <v>7</v>
      </c>
      <c r="CQ27" s="27" t="s">
        <v>8</v>
      </c>
      <c r="CR27" s="31" t="s">
        <v>7</v>
      </c>
      <c r="CZ27" s="27" t="s">
        <v>7</v>
      </c>
      <c r="DA27" s="27" t="s">
        <v>8</v>
      </c>
      <c r="DB27" s="27" t="s">
        <v>7</v>
      </c>
      <c r="DD27" s="27" t="s">
        <v>7</v>
      </c>
      <c r="DE27" s="27" t="s">
        <v>8</v>
      </c>
      <c r="DF27" s="27" t="s">
        <v>7</v>
      </c>
      <c r="DG27" s="27" t="s">
        <v>8</v>
      </c>
      <c r="DH27" s="27" t="s">
        <v>7</v>
      </c>
      <c r="DI27" s="27" t="s">
        <v>8</v>
      </c>
      <c r="DK27" s="19"/>
      <c r="DN27" s="31"/>
    </row>
    <row r="28" spans="1:118" x14ac:dyDescent="0.25">
      <c r="A28" s="30">
        <v>31054.990650154257</v>
      </c>
      <c r="C28" s="1">
        <f>C17</f>
        <v>0</v>
      </c>
      <c r="CI28" s="27" t="s">
        <v>8</v>
      </c>
      <c r="CJ28" s="27" t="s">
        <v>7</v>
      </c>
      <c r="CK28" s="27" t="s">
        <v>8</v>
      </c>
      <c r="CL28" s="27" t="s">
        <v>7</v>
      </c>
      <c r="CN28" s="27" t="s">
        <v>7</v>
      </c>
      <c r="CO28" s="27" t="s">
        <v>8</v>
      </c>
      <c r="CP28" s="27" t="s">
        <v>7</v>
      </c>
      <c r="CQ28" s="31" t="s">
        <v>8</v>
      </c>
      <c r="CZ28" s="27" t="s">
        <v>7</v>
      </c>
      <c r="DD28" s="27" t="s">
        <v>7</v>
      </c>
      <c r="DF28" s="27" t="s">
        <v>7</v>
      </c>
      <c r="DG28" s="27" t="s">
        <v>8</v>
      </c>
      <c r="DH28" s="19" t="s">
        <v>7</v>
      </c>
      <c r="DI28" s="27" t="s">
        <v>8</v>
      </c>
      <c r="DM28" s="31"/>
    </row>
    <row r="29" spans="1:118" x14ac:dyDescent="0.25">
      <c r="A29" s="30">
        <v>29576.181571575482</v>
      </c>
      <c r="C29"/>
      <c r="CI29" s="27" t="s">
        <v>8</v>
      </c>
      <c r="CJ29" s="27" t="s">
        <v>7</v>
      </c>
      <c r="CK29" s="27" t="s">
        <v>8</v>
      </c>
      <c r="CN29" s="32" t="s">
        <v>7</v>
      </c>
      <c r="CP29" s="32" t="s">
        <v>7</v>
      </c>
      <c r="DF29" s="34" t="s">
        <v>7</v>
      </c>
      <c r="DH29" s="32" t="s">
        <v>7</v>
      </c>
      <c r="DL29" s="31"/>
    </row>
    <row r="30" spans="1:118" x14ac:dyDescent="0.25">
      <c r="A30" s="30">
        <v>28167.79197292903</v>
      </c>
      <c r="C30" s="1" t="s">
        <v>14</v>
      </c>
      <c r="CI30" s="27" t="s">
        <v>8</v>
      </c>
      <c r="CJ30" s="27" t="s">
        <v>7</v>
      </c>
      <c r="DG30" s="19"/>
      <c r="DH30" s="19"/>
      <c r="DI30" s="19"/>
      <c r="DJ30" s="19"/>
      <c r="DK30" s="31"/>
    </row>
    <row r="31" spans="1:118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  <c r="CI31" s="27" t="s">
        <v>8</v>
      </c>
      <c r="DG31" s="19"/>
      <c r="DH31" s="19"/>
      <c r="DI31" s="19"/>
      <c r="DJ31" s="31"/>
      <c r="DK31" s="19"/>
    </row>
    <row r="32" spans="1:118" x14ac:dyDescent="0.25">
      <c r="A32" s="30">
        <v>25549.017662520659</v>
      </c>
      <c r="CI32" s="27" t="s">
        <v>8</v>
      </c>
      <c r="DG32" s="19"/>
      <c r="DH32" s="19"/>
      <c r="DI32" s="31"/>
      <c r="DJ32" s="19"/>
      <c r="DK32" s="19"/>
    </row>
    <row r="33" spans="1:129" x14ac:dyDescent="0.25">
      <c r="A33" s="30">
        <v>24332.397773829198</v>
      </c>
      <c r="E33"/>
      <c r="CI33" s="27" t="s">
        <v>8</v>
      </c>
      <c r="DG33" s="19"/>
      <c r="DH33" s="31"/>
      <c r="DI33" s="19"/>
      <c r="DJ33" s="19"/>
      <c r="DK33" s="19"/>
    </row>
    <row r="34" spans="1:129" x14ac:dyDescent="0.25">
      <c r="A34" s="30">
        <v>23173.712165551617</v>
      </c>
      <c r="E34"/>
      <c r="CI34" s="27" t="s">
        <v>8</v>
      </c>
      <c r="DG34" s="31"/>
      <c r="DH34" s="19"/>
      <c r="DI34" s="19"/>
      <c r="DJ34" s="19"/>
      <c r="DK34" s="19"/>
    </row>
    <row r="35" spans="1:129" x14ac:dyDescent="0.25">
      <c r="A35" s="30">
        <v>22070.202062430111</v>
      </c>
      <c r="E35"/>
      <c r="CI35" s="27" t="s">
        <v>8</v>
      </c>
      <c r="DF35" s="31"/>
      <c r="DG35" s="19"/>
      <c r="DH35" s="19"/>
      <c r="DI35" s="19"/>
      <c r="DJ35" s="19"/>
      <c r="DK35" s="19"/>
      <c r="DY35" s="36"/>
    </row>
    <row r="36" spans="1:129" x14ac:dyDescent="0.25">
      <c r="A36" s="30">
        <v>21019.240059457246</v>
      </c>
      <c r="E36"/>
      <c r="CI36" s="27" t="s">
        <v>8</v>
      </c>
      <c r="DE36" s="31"/>
      <c r="DG36" s="19"/>
      <c r="DH36" s="19"/>
      <c r="DI36" s="19"/>
      <c r="DJ36" s="19"/>
      <c r="DK36" s="19"/>
    </row>
    <row r="37" spans="1:129" x14ac:dyDescent="0.25">
      <c r="A37" s="30">
        <v>20018.323866149756</v>
      </c>
      <c r="E37"/>
      <c r="CI37" s="27" t="s">
        <v>8</v>
      </c>
      <c r="DD37" s="31"/>
    </row>
    <row r="38" spans="1:129" x14ac:dyDescent="0.25">
      <c r="A38" s="30">
        <v>19065.070348714053</v>
      </c>
      <c r="E38"/>
      <c r="U38" s="27" t="s">
        <v>8</v>
      </c>
      <c r="CG38" s="27" t="s">
        <v>8</v>
      </c>
      <c r="CI38" s="27" t="s">
        <v>8</v>
      </c>
      <c r="DC38" s="31"/>
    </row>
    <row r="39" spans="1:129" x14ac:dyDescent="0.25">
      <c r="A39" s="30">
        <v>18157.209855918143</v>
      </c>
      <c r="E39"/>
      <c r="U39" s="27" t="s">
        <v>8</v>
      </c>
      <c r="V39" s="27" t="s">
        <v>7</v>
      </c>
      <c r="CG39" s="27" t="s">
        <v>8</v>
      </c>
      <c r="CH39" s="27" t="s">
        <v>7</v>
      </c>
      <c r="CI39" s="27" t="s">
        <v>8</v>
      </c>
      <c r="DB39" s="31"/>
    </row>
    <row r="40" spans="1:129" x14ac:dyDescent="0.25">
      <c r="A40" s="30">
        <v>17292.580815160134</v>
      </c>
      <c r="E40"/>
      <c r="S40" s="27" t="s">
        <v>8</v>
      </c>
      <c r="U40" s="27" t="s">
        <v>8</v>
      </c>
      <c r="V40" s="27" t="s">
        <v>7</v>
      </c>
      <c r="CG40" s="27" t="s">
        <v>8</v>
      </c>
      <c r="CH40" s="27" t="s">
        <v>7</v>
      </c>
      <c r="CI40" s="27" t="s">
        <v>8</v>
      </c>
      <c r="DA40" s="31"/>
    </row>
    <row r="41" spans="1:129" x14ac:dyDescent="0.25">
      <c r="A41" s="30">
        <v>16469.124585866793</v>
      </c>
      <c r="E41"/>
      <c r="Q41" s="27" t="s">
        <v>8</v>
      </c>
      <c r="S41" s="27" t="s">
        <v>8</v>
      </c>
      <c r="T41" s="27" t="s">
        <v>7</v>
      </c>
      <c r="U41" s="27" t="s">
        <v>8</v>
      </c>
      <c r="V41" s="27" t="s">
        <v>7</v>
      </c>
      <c r="Y41" s="32" t="s">
        <v>8</v>
      </c>
      <c r="AA41" s="32" t="s">
        <v>8</v>
      </c>
      <c r="CG41" s="27" t="s">
        <v>8</v>
      </c>
      <c r="CH41" s="27" t="s">
        <v>7</v>
      </c>
      <c r="CZ41" s="31"/>
    </row>
    <row r="42" spans="1:129" x14ac:dyDescent="0.25">
      <c r="A42" s="30">
        <v>15684.880557968376</v>
      </c>
      <c r="E42"/>
      <c r="Q42" s="27" t="s">
        <v>8</v>
      </c>
      <c r="R42" s="27" t="s">
        <v>7</v>
      </c>
      <c r="S42" s="27" t="s">
        <v>8</v>
      </c>
      <c r="T42" s="27" t="s">
        <v>7</v>
      </c>
      <c r="U42" s="27" t="s">
        <v>8</v>
      </c>
      <c r="V42" s="27" t="s">
        <v>7</v>
      </c>
      <c r="Y42" s="27" t="s">
        <v>8</v>
      </c>
      <c r="Z42" s="27" t="s">
        <v>7</v>
      </c>
      <c r="AA42" s="27" t="s">
        <v>8</v>
      </c>
      <c r="AB42" s="31" t="s">
        <v>7</v>
      </c>
      <c r="CG42" s="27" t="s">
        <v>8</v>
      </c>
      <c r="CY42" s="31"/>
    </row>
    <row r="43" spans="1:129" x14ac:dyDescent="0.25">
      <c r="A43" s="30">
        <v>14937.981483779406</v>
      </c>
      <c r="E43"/>
      <c r="Q43" s="27" t="s">
        <v>8</v>
      </c>
      <c r="R43" s="27" t="s">
        <v>7</v>
      </c>
      <c r="S43" s="27" t="s">
        <v>8</v>
      </c>
      <c r="T43" s="27" t="s">
        <v>7</v>
      </c>
      <c r="V43" s="27" t="s">
        <v>7</v>
      </c>
      <c r="W43" s="27" t="s">
        <v>8</v>
      </c>
      <c r="Y43" s="27" t="s">
        <v>8</v>
      </c>
      <c r="Z43" s="27" t="s">
        <v>7</v>
      </c>
      <c r="AA43" s="27" t="s">
        <v>8</v>
      </c>
      <c r="AB43" s="27" t="s">
        <v>7</v>
      </c>
      <c r="AC43" s="31" t="s">
        <v>8</v>
      </c>
      <c r="CG43" s="27" t="s">
        <v>8</v>
      </c>
      <c r="CX43" s="31"/>
    </row>
    <row r="44" spans="1:129" x14ac:dyDescent="0.25">
      <c r="A44" s="30">
        <v>14226.649032170862</v>
      </c>
      <c r="E44"/>
      <c r="Q44" s="27" t="s">
        <v>8</v>
      </c>
      <c r="R44" s="27" t="s">
        <v>7</v>
      </c>
      <c r="S44" s="27" t="s">
        <v>8</v>
      </c>
      <c r="V44" s="27" t="s">
        <v>7</v>
      </c>
      <c r="W44" s="27" t="s">
        <v>8</v>
      </c>
      <c r="X44" s="27" t="s">
        <v>7</v>
      </c>
      <c r="Y44" s="27" t="s">
        <v>8</v>
      </c>
      <c r="Z44" s="27" t="s">
        <v>7</v>
      </c>
      <c r="AA44" s="27" t="s">
        <v>8</v>
      </c>
      <c r="AB44" s="27" t="s">
        <v>7</v>
      </c>
      <c r="AC44" s="27" t="s">
        <v>8</v>
      </c>
      <c r="AD44" s="31" t="s">
        <v>7</v>
      </c>
      <c r="AE44" s="31" t="s">
        <v>8</v>
      </c>
      <c r="CG44" s="27" t="s">
        <v>8</v>
      </c>
      <c r="CW44" s="31"/>
    </row>
    <row r="45" spans="1:129" x14ac:dyDescent="0.25">
      <c r="A45" s="30">
        <v>13549.18955444844</v>
      </c>
      <c r="E45"/>
      <c r="Q45" s="27" t="s">
        <v>8</v>
      </c>
      <c r="R45" s="27" t="s">
        <v>7</v>
      </c>
      <c r="S45" s="27" t="s">
        <v>8</v>
      </c>
      <c r="V45" s="27" t="s">
        <v>7</v>
      </c>
      <c r="W45" s="27" t="s">
        <v>8</v>
      </c>
      <c r="X45" s="27" t="s">
        <v>7</v>
      </c>
      <c r="Y45" s="27" t="s">
        <v>8</v>
      </c>
      <c r="Z45" s="27" t="s">
        <v>7</v>
      </c>
      <c r="AA45" s="27" t="s">
        <v>8</v>
      </c>
      <c r="AB45" s="27" t="s">
        <v>7</v>
      </c>
      <c r="AC45" s="27" t="s">
        <v>8</v>
      </c>
      <c r="AD45" s="27" t="s">
        <v>7</v>
      </c>
      <c r="AE45" s="27" t="s">
        <v>8</v>
      </c>
      <c r="AF45" s="31" t="s">
        <v>7</v>
      </c>
      <c r="BG45" s="27" t="s">
        <v>8</v>
      </c>
      <c r="CG45" s="27" t="s">
        <v>8</v>
      </c>
      <c r="CV45" s="31"/>
    </row>
    <row r="46" spans="1:129" x14ac:dyDescent="0.25">
      <c r="A46" s="30">
        <v>12903.990051855657</v>
      </c>
      <c r="C46" s="1" t="s">
        <v>15</v>
      </c>
      <c r="E46"/>
      <c r="Q46" s="27" t="s">
        <v>8</v>
      </c>
      <c r="R46" s="27" t="s">
        <v>7</v>
      </c>
      <c r="V46" s="27" t="s">
        <v>7</v>
      </c>
      <c r="W46" s="27" t="s">
        <v>8</v>
      </c>
      <c r="X46" s="27" t="s">
        <v>7</v>
      </c>
      <c r="Y46" s="27" t="s">
        <v>8</v>
      </c>
      <c r="Z46" s="27" t="s">
        <v>7</v>
      </c>
      <c r="AA46" s="27" t="s">
        <v>8</v>
      </c>
      <c r="AB46" s="27" t="s">
        <v>7</v>
      </c>
      <c r="AD46" s="27" t="s">
        <v>7</v>
      </c>
      <c r="AE46" s="27" t="s">
        <v>8</v>
      </c>
      <c r="AF46" s="27" t="s">
        <v>7</v>
      </c>
      <c r="AG46" s="31" t="s">
        <v>8</v>
      </c>
      <c r="BG46" s="27" t="s">
        <v>8</v>
      </c>
      <c r="BH46" s="27" t="s">
        <v>7</v>
      </c>
      <c r="BK46" s="33" t="s">
        <v>8</v>
      </c>
      <c r="CG46" s="27" t="s">
        <v>8</v>
      </c>
      <c r="CU46" s="31"/>
    </row>
    <row r="47" spans="1:129" x14ac:dyDescent="0.25">
      <c r="A47" s="30">
        <v>12289.514335100625</v>
      </c>
      <c r="C47" s="7">
        <v>0.11686133436193799</v>
      </c>
      <c r="D47"/>
      <c r="E47"/>
      <c r="Q47" s="27" t="s">
        <v>8</v>
      </c>
      <c r="V47" s="27" t="s">
        <v>7</v>
      </c>
      <c r="W47" s="27" t="s">
        <v>8</v>
      </c>
      <c r="X47" s="27" t="s">
        <v>7</v>
      </c>
      <c r="Y47" s="27" t="s">
        <v>8</v>
      </c>
      <c r="Z47" s="27" t="s">
        <v>7</v>
      </c>
      <c r="AD47" s="27" t="s">
        <v>7</v>
      </c>
      <c r="AE47" s="27" t="s">
        <v>8</v>
      </c>
      <c r="AF47" s="27" t="s">
        <v>7</v>
      </c>
      <c r="AG47" s="27" t="s">
        <v>8</v>
      </c>
      <c r="AH47" s="31" t="s">
        <v>7</v>
      </c>
      <c r="BG47" s="27" t="s">
        <v>8</v>
      </c>
      <c r="BH47" s="27" t="s">
        <v>7</v>
      </c>
      <c r="BI47" s="27" t="s">
        <v>8</v>
      </c>
      <c r="BK47" s="27" t="s">
        <v>8</v>
      </c>
      <c r="BL47" s="27" t="s">
        <v>7</v>
      </c>
      <c r="BO47" s="27" t="s">
        <v>8</v>
      </c>
      <c r="CE47" s="27" t="s">
        <v>8</v>
      </c>
      <c r="CG47" s="27" t="s">
        <v>8</v>
      </c>
      <c r="CT47" s="31"/>
    </row>
    <row r="48" spans="1:129" x14ac:dyDescent="0.25">
      <c r="A48" s="30">
        <v>11704.2993667625</v>
      </c>
      <c r="E48"/>
      <c r="Q48" s="27" t="s">
        <v>8</v>
      </c>
      <c r="V48" s="27" t="s">
        <v>7</v>
      </c>
      <c r="W48" s="27" t="s">
        <v>8</v>
      </c>
      <c r="X48" s="27" t="s">
        <v>7</v>
      </c>
      <c r="AD48" s="27" t="s">
        <v>7</v>
      </c>
      <c r="AF48" s="27" t="s">
        <v>7</v>
      </c>
      <c r="AG48" s="27" t="s">
        <v>8</v>
      </c>
      <c r="AH48" s="27" t="s">
        <v>7</v>
      </c>
      <c r="AI48" s="32" t="s">
        <v>8</v>
      </c>
      <c r="AK48" s="32" t="s">
        <v>8</v>
      </c>
      <c r="AM48" s="32" t="s">
        <v>8</v>
      </c>
      <c r="BG48" s="27" t="s">
        <v>8</v>
      </c>
      <c r="BH48" s="27" t="s">
        <v>7</v>
      </c>
      <c r="BI48" s="27" t="s">
        <v>8</v>
      </c>
      <c r="BJ48" s="27" t="s">
        <v>7</v>
      </c>
      <c r="BK48" s="27" t="s">
        <v>8</v>
      </c>
      <c r="BL48" s="27" t="s">
        <v>7</v>
      </c>
      <c r="BO48" s="27" t="s">
        <v>8</v>
      </c>
      <c r="BP48" s="27" t="s">
        <v>7</v>
      </c>
      <c r="CE48" s="27" t="s">
        <v>8</v>
      </c>
      <c r="CF48" s="27" t="s">
        <v>7</v>
      </c>
      <c r="CG48" s="27" t="s">
        <v>8</v>
      </c>
      <c r="CS48" s="31"/>
    </row>
    <row r="49" spans="1:96" x14ac:dyDescent="0.25">
      <c r="A49" s="30">
        <v>11146.951777869046</v>
      </c>
      <c r="C49" s="1" t="s">
        <v>11</v>
      </c>
      <c r="D49" s="1" t="s">
        <v>12</v>
      </c>
      <c r="E49"/>
      <c r="O49" s="27" t="s">
        <v>8</v>
      </c>
      <c r="Q49" s="27" t="s">
        <v>8</v>
      </c>
      <c r="V49" s="27" t="s">
        <v>7</v>
      </c>
      <c r="AF49" s="27" t="s">
        <v>7</v>
      </c>
      <c r="AG49" s="27" t="s">
        <v>8</v>
      </c>
      <c r="AH49" s="27" t="s">
        <v>7</v>
      </c>
      <c r="AI49" s="27" t="s">
        <v>8</v>
      </c>
      <c r="AJ49" s="31" t="s">
        <v>7</v>
      </c>
      <c r="AK49" s="27" t="s">
        <v>8</v>
      </c>
      <c r="AL49" s="27" t="s">
        <v>7</v>
      </c>
      <c r="AM49" s="27" t="s">
        <v>8</v>
      </c>
      <c r="AN49" s="31" t="s">
        <v>7</v>
      </c>
      <c r="BG49" s="27" t="s">
        <v>8</v>
      </c>
      <c r="BH49" s="27" t="s">
        <v>7</v>
      </c>
      <c r="BI49" s="27" t="s">
        <v>8</v>
      </c>
      <c r="BJ49" s="27" t="s">
        <v>7</v>
      </c>
      <c r="BK49" s="27" t="s">
        <v>8</v>
      </c>
      <c r="BL49" s="27" t="s">
        <v>7</v>
      </c>
      <c r="BO49" s="33" t="s">
        <v>8</v>
      </c>
      <c r="BP49" s="27" t="s">
        <v>7</v>
      </c>
      <c r="CE49" s="27" t="s">
        <v>8</v>
      </c>
      <c r="CF49" s="27" t="s">
        <v>7</v>
      </c>
      <c r="CG49" s="27" t="s">
        <v>8</v>
      </c>
      <c r="CR49" s="31"/>
    </row>
    <row r="50" spans="1:96" x14ac:dyDescent="0.25">
      <c r="A50" s="30">
        <v>10616.144550351471</v>
      </c>
      <c r="C50"/>
      <c r="D50"/>
      <c r="E50"/>
      <c r="O50" s="27" t="s">
        <v>8</v>
      </c>
      <c r="P50" s="27" t="s">
        <v>7</v>
      </c>
      <c r="Q50" s="27" t="s">
        <v>8</v>
      </c>
      <c r="AF50" s="27" t="s">
        <v>7</v>
      </c>
      <c r="AG50" s="27" t="s">
        <v>8</v>
      </c>
      <c r="AH50" s="27" t="s">
        <v>7</v>
      </c>
      <c r="AI50" s="27" t="s">
        <v>8</v>
      </c>
      <c r="AJ50" s="27" t="s">
        <v>7</v>
      </c>
      <c r="AK50" s="27" t="s">
        <v>8</v>
      </c>
      <c r="AL50" s="27" t="s">
        <v>7</v>
      </c>
      <c r="AM50" s="27" t="s">
        <v>8</v>
      </c>
      <c r="AN50" s="27" t="s">
        <v>7</v>
      </c>
      <c r="AO50" s="31"/>
      <c r="BG50" s="27" t="s">
        <v>8</v>
      </c>
      <c r="BH50" s="27" t="s">
        <v>7</v>
      </c>
      <c r="BJ50" s="27" t="s">
        <v>7</v>
      </c>
      <c r="BK50" s="27" t="s">
        <v>8</v>
      </c>
      <c r="BL50" s="27" t="s">
        <v>7</v>
      </c>
      <c r="BM50" s="27" t="s">
        <v>8</v>
      </c>
      <c r="BO50" s="27" t="s">
        <v>8</v>
      </c>
      <c r="BP50" s="27" t="s">
        <v>7</v>
      </c>
      <c r="CE50" s="27" t="s">
        <v>8</v>
      </c>
      <c r="CF50" s="27" t="s">
        <v>7</v>
      </c>
      <c r="CG50" s="27" t="s">
        <v>8</v>
      </c>
      <c r="CQ50" s="31"/>
    </row>
    <row r="51" spans="1:96" x14ac:dyDescent="0.25">
      <c r="A51" s="30">
        <v>10110.613857477592</v>
      </c>
      <c r="E51"/>
      <c r="O51" s="27" t="s">
        <v>8</v>
      </c>
      <c r="P51" s="27" t="s">
        <v>7</v>
      </c>
      <c r="Q51" s="27" t="s">
        <v>8</v>
      </c>
      <c r="AF51" s="27" t="s">
        <v>7</v>
      </c>
      <c r="AG51" s="27" t="s">
        <v>8</v>
      </c>
      <c r="AH51" s="27" t="s">
        <v>7</v>
      </c>
      <c r="AJ51" s="27" t="s">
        <v>7</v>
      </c>
      <c r="AK51" s="27" t="s">
        <v>8</v>
      </c>
      <c r="AL51" s="27" t="s">
        <v>7</v>
      </c>
      <c r="AM51" s="27" t="s">
        <v>8</v>
      </c>
      <c r="AN51" s="27" t="s">
        <v>7</v>
      </c>
      <c r="AP51" s="31"/>
      <c r="BG51" s="27" t="s">
        <v>8</v>
      </c>
      <c r="BJ51" s="27" t="s">
        <v>7</v>
      </c>
      <c r="BL51" s="27" t="s">
        <v>7</v>
      </c>
      <c r="BM51" s="27" t="s">
        <v>8</v>
      </c>
      <c r="BN51" s="27" t="s">
        <v>7</v>
      </c>
      <c r="BO51" s="27" t="s">
        <v>8</v>
      </c>
      <c r="BP51" s="27" t="s">
        <v>7</v>
      </c>
      <c r="BQ51" s="27" t="s">
        <v>8</v>
      </c>
      <c r="BU51" s="27" t="s">
        <v>8</v>
      </c>
      <c r="CE51" s="27" t="s">
        <v>8</v>
      </c>
      <c r="CF51" s="27" t="s">
        <v>7</v>
      </c>
      <c r="CP51" s="31"/>
    </row>
    <row r="52" spans="1:96" x14ac:dyDescent="0.25">
      <c r="A52" s="30">
        <v>9629.1560547405643</v>
      </c>
      <c r="C52" s="1" t="s">
        <v>13</v>
      </c>
      <c r="E52"/>
      <c r="O52" s="27" t="s">
        <v>8</v>
      </c>
      <c r="P52" s="27" t="s">
        <v>7</v>
      </c>
      <c r="Q52" s="27" t="s">
        <v>8</v>
      </c>
      <c r="AF52" s="27" t="s">
        <v>7</v>
      </c>
      <c r="AG52" s="27" t="s">
        <v>8</v>
      </c>
      <c r="AJ52" s="27" t="s">
        <v>7</v>
      </c>
      <c r="AK52" s="27" t="s">
        <v>8</v>
      </c>
      <c r="AL52" s="27" t="s">
        <v>7</v>
      </c>
      <c r="AN52" s="27" t="s">
        <v>7</v>
      </c>
      <c r="AQ52" s="31" t="s">
        <v>8</v>
      </c>
      <c r="BG52" s="27" t="s">
        <v>8</v>
      </c>
      <c r="BL52" s="34" t="s">
        <v>7</v>
      </c>
      <c r="BM52" s="27" t="s">
        <v>8</v>
      </c>
      <c r="BN52" s="27" t="s">
        <v>7</v>
      </c>
      <c r="BO52" s="27" t="s">
        <v>8</v>
      </c>
      <c r="BP52" s="27" t="s">
        <v>7</v>
      </c>
      <c r="BQ52" s="27" t="s">
        <v>8</v>
      </c>
      <c r="BR52" s="27" t="s">
        <v>7</v>
      </c>
      <c r="BU52" s="27" t="s">
        <v>8</v>
      </c>
      <c r="BV52" s="27" t="s">
        <v>7</v>
      </c>
      <c r="CC52" s="27" t="s">
        <v>8</v>
      </c>
      <c r="CE52" s="27" t="s">
        <v>8</v>
      </c>
      <c r="CO52" s="31"/>
    </row>
    <row r="53" spans="1:96" x14ac:dyDescent="0.25">
      <c r="A53" s="30">
        <v>9170.6248140386324</v>
      </c>
      <c r="C53" s="1">
        <f>C42</f>
        <v>0</v>
      </c>
      <c r="E53"/>
      <c r="O53" s="27" t="s">
        <v>8</v>
      </c>
      <c r="P53" s="27" t="s">
        <v>7</v>
      </c>
      <c r="AF53" s="27" t="s">
        <v>7</v>
      </c>
      <c r="AJ53" s="27" t="s">
        <v>7</v>
      </c>
      <c r="AK53" s="27" t="s">
        <v>8</v>
      </c>
      <c r="AN53" s="27" t="s">
        <v>7</v>
      </c>
      <c r="AO53" s="27" t="s">
        <v>8</v>
      </c>
      <c r="AQ53" s="27" t="s">
        <v>8</v>
      </c>
      <c r="AR53" s="31" t="s">
        <v>7</v>
      </c>
      <c r="BG53" s="27" t="s">
        <v>8</v>
      </c>
      <c r="BL53" s="32" t="s">
        <v>7</v>
      </c>
      <c r="BN53" s="32" t="s">
        <v>7</v>
      </c>
      <c r="BP53" s="27" t="s">
        <v>7</v>
      </c>
      <c r="BQ53" s="27" t="s">
        <v>8</v>
      </c>
      <c r="BR53" s="27" t="s">
        <v>7</v>
      </c>
      <c r="BU53" s="27" t="s">
        <v>8</v>
      </c>
      <c r="BV53" s="27" t="s">
        <v>7</v>
      </c>
      <c r="CC53" s="27" t="s">
        <v>8</v>
      </c>
      <c r="CD53" s="27" t="s">
        <v>7</v>
      </c>
      <c r="CE53" s="27" t="s">
        <v>8</v>
      </c>
      <c r="CN53" s="31"/>
    </row>
    <row r="54" spans="1:96" x14ac:dyDescent="0.25">
      <c r="A54" s="30">
        <v>8733.9283943225073</v>
      </c>
      <c r="C54"/>
      <c r="E54"/>
      <c r="O54" s="27" t="s">
        <v>8</v>
      </c>
      <c r="AJ54" s="27" t="s">
        <v>7</v>
      </c>
      <c r="AK54" s="27" t="s">
        <v>8</v>
      </c>
      <c r="AN54" s="27" t="s">
        <v>7</v>
      </c>
      <c r="AO54" s="27" t="s">
        <v>8</v>
      </c>
      <c r="AP54" s="27" t="s">
        <v>7</v>
      </c>
      <c r="AQ54" s="27" t="s">
        <v>8</v>
      </c>
      <c r="AR54" s="27" t="s">
        <v>7</v>
      </c>
      <c r="AS54" s="31"/>
      <c r="BE54" s="27" t="s">
        <v>8</v>
      </c>
      <c r="BG54" s="27" t="s">
        <v>8</v>
      </c>
      <c r="BP54" s="34" t="s">
        <v>7</v>
      </c>
      <c r="BQ54" s="27" t="s">
        <v>8</v>
      </c>
      <c r="BR54" s="27" t="s">
        <v>7</v>
      </c>
      <c r="BU54" s="27" t="s">
        <v>8</v>
      </c>
      <c r="BV54" s="27" t="s">
        <v>7</v>
      </c>
      <c r="CC54" s="27" t="s">
        <v>8</v>
      </c>
      <c r="CD54" s="27" t="s">
        <v>7</v>
      </c>
      <c r="CE54" s="27" t="s">
        <v>8</v>
      </c>
      <c r="CM54" s="31"/>
    </row>
    <row r="55" spans="1:96" x14ac:dyDescent="0.25">
      <c r="A55" s="30">
        <v>8318.027042211912</v>
      </c>
      <c r="C55" s="1" t="s">
        <v>14</v>
      </c>
      <c r="E55"/>
      <c r="O55" s="27" t="s">
        <v>8</v>
      </c>
      <c r="AJ55" s="27" t="s">
        <v>7</v>
      </c>
      <c r="AK55" s="27" t="s">
        <v>8</v>
      </c>
      <c r="AN55" s="27" t="s">
        <v>7</v>
      </c>
      <c r="AO55" s="27" t="s">
        <v>8</v>
      </c>
      <c r="AP55" s="27" t="s">
        <v>7</v>
      </c>
      <c r="AQ55" s="27" t="s">
        <v>8</v>
      </c>
      <c r="AR55" s="27" t="s">
        <v>7</v>
      </c>
      <c r="AS55" s="27" t="s">
        <v>8</v>
      </c>
      <c r="AT55" s="31"/>
      <c r="BC55" s="27" t="s">
        <v>8</v>
      </c>
      <c r="BE55" s="27" t="s">
        <v>8</v>
      </c>
      <c r="BF55" s="27" t="s">
        <v>7</v>
      </c>
      <c r="BG55" s="27" t="s">
        <v>8</v>
      </c>
      <c r="BP55" s="27" t="s">
        <v>7</v>
      </c>
      <c r="BQ55" s="27" t="s">
        <v>8</v>
      </c>
      <c r="BR55" s="27" t="s">
        <v>7</v>
      </c>
      <c r="BU55" s="27" t="s">
        <v>8</v>
      </c>
      <c r="BV55" s="27" t="s">
        <v>7</v>
      </c>
      <c r="CC55" s="27" t="s">
        <v>8</v>
      </c>
      <c r="CD55" s="27" t="s">
        <v>7</v>
      </c>
      <c r="CL55" s="31"/>
    </row>
    <row r="56" spans="1:96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  <c r="O56" s="27" t="s">
        <v>8</v>
      </c>
      <c r="AJ56" s="27" t="s">
        <v>7</v>
      </c>
      <c r="AK56" s="27" t="s">
        <v>8</v>
      </c>
      <c r="AN56" s="27" t="s">
        <v>7</v>
      </c>
      <c r="AO56" s="27" t="s">
        <v>8</v>
      </c>
      <c r="AP56" s="27" t="s">
        <v>7</v>
      </c>
      <c r="AQ56" s="27" t="s">
        <v>8</v>
      </c>
      <c r="AR56" s="27" t="s">
        <v>7</v>
      </c>
      <c r="AS56" s="27" t="s">
        <v>8</v>
      </c>
      <c r="AT56" s="27" t="s">
        <v>7</v>
      </c>
      <c r="AU56" s="31"/>
      <c r="BC56" s="27" t="s">
        <v>8</v>
      </c>
      <c r="BD56" s="27" t="s">
        <v>7</v>
      </c>
      <c r="BE56" s="27" t="s">
        <v>8</v>
      </c>
      <c r="BF56" s="27" t="s">
        <v>7</v>
      </c>
      <c r="BG56" s="27" t="s">
        <v>8</v>
      </c>
      <c r="BP56" s="27" t="s">
        <v>7</v>
      </c>
      <c r="BQ56" s="27" t="s">
        <v>8</v>
      </c>
      <c r="BR56" s="27" t="s">
        <v>7</v>
      </c>
      <c r="BU56" s="33" t="s">
        <v>8</v>
      </c>
      <c r="BV56" s="27" t="s">
        <v>7</v>
      </c>
      <c r="CC56" s="27" t="s">
        <v>8</v>
      </c>
      <c r="CK56" s="31"/>
    </row>
    <row r="57" spans="1:96" x14ac:dyDescent="0.25">
      <c r="A57" s="30">
        <v>7544.6957298974248</v>
      </c>
      <c r="E57"/>
      <c r="M57" s="27" t="s">
        <v>8</v>
      </c>
      <c r="O57" s="27" t="s">
        <v>8</v>
      </c>
      <c r="AJ57" s="27" t="s">
        <v>7</v>
      </c>
      <c r="AK57" s="27" t="s">
        <v>8</v>
      </c>
      <c r="AN57" s="27" t="s">
        <v>7</v>
      </c>
      <c r="AP57" s="27" t="s">
        <v>7</v>
      </c>
      <c r="AQ57" s="27" t="s">
        <v>8</v>
      </c>
      <c r="AR57" s="27" t="s">
        <v>7</v>
      </c>
      <c r="AS57" s="27" t="s">
        <v>8</v>
      </c>
      <c r="AT57" s="27" t="s">
        <v>7</v>
      </c>
      <c r="AV57" s="31"/>
      <c r="AW57" s="27" t="s">
        <v>8</v>
      </c>
      <c r="BC57" s="27" t="s">
        <v>8</v>
      </c>
      <c r="BD57" s="27" t="s">
        <v>7</v>
      </c>
      <c r="BE57" s="27" t="s">
        <v>8</v>
      </c>
      <c r="BF57" s="27" t="s">
        <v>7</v>
      </c>
      <c r="BP57" s="27" t="s">
        <v>7</v>
      </c>
      <c r="BR57" s="27" t="s">
        <v>7</v>
      </c>
      <c r="BS57" s="27" t="s">
        <v>8</v>
      </c>
      <c r="BU57" s="27" t="s">
        <v>8</v>
      </c>
      <c r="BV57" s="27" t="s">
        <v>7</v>
      </c>
      <c r="CC57" s="27" t="s">
        <v>8</v>
      </c>
      <c r="CJ57" s="31"/>
    </row>
    <row r="58" spans="1:96" x14ac:dyDescent="0.25">
      <c r="A58" s="30">
        <v>7185.4245046642136</v>
      </c>
      <c r="E58"/>
      <c r="M58" s="27" t="s">
        <v>8</v>
      </c>
      <c r="N58" s="27" t="s">
        <v>7</v>
      </c>
      <c r="O58" s="27" t="s">
        <v>8</v>
      </c>
      <c r="AJ58" s="27" t="s">
        <v>7</v>
      </c>
      <c r="AK58" s="27" t="s">
        <v>8</v>
      </c>
      <c r="AP58" s="27" t="s">
        <v>7</v>
      </c>
      <c r="AQ58" s="27" t="s">
        <v>8</v>
      </c>
      <c r="AR58" s="27" t="s">
        <v>7</v>
      </c>
      <c r="AS58" s="27" t="s">
        <v>8</v>
      </c>
      <c r="AT58" s="27" t="s">
        <v>7</v>
      </c>
      <c r="AU58" s="27" t="s">
        <v>8</v>
      </c>
      <c r="AW58" s="31" t="s">
        <v>8</v>
      </c>
      <c r="AX58" s="31" t="s">
        <v>7</v>
      </c>
      <c r="BC58" s="27" t="s">
        <v>8</v>
      </c>
      <c r="BD58" s="27" t="s">
        <v>7</v>
      </c>
      <c r="BR58" s="27" t="s">
        <v>7</v>
      </c>
      <c r="BS58" s="27" t="s">
        <v>8</v>
      </c>
      <c r="BT58" s="27" t="s">
        <v>7</v>
      </c>
      <c r="BU58" s="27" t="s">
        <v>8</v>
      </c>
      <c r="BV58" s="27" t="s">
        <v>7</v>
      </c>
      <c r="CC58" s="27" t="s">
        <v>8</v>
      </c>
      <c r="CI58" s="31"/>
    </row>
    <row r="59" spans="1:96" x14ac:dyDescent="0.25">
      <c r="A59" s="30">
        <v>6843.2614330135366</v>
      </c>
      <c r="E59"/>
      <c r="M59" s="27" t="s">
        <v>8</v>
      </c>
      <c r="N59" s="27" t="s">
        <v>7</v>
      </c>
      <c r="O59" s="27" t="s">
        <v>8</v>
      </c>
      <c r="AJ59" s="27" t="s">
        <v>7</v>
      </c>
      <c r="AK59" s="27" t="s">
        <v>8</v>
      </c>
      <c r="AP59" s="27" t="s">
        <v>7</v>
      </c>
      <c r="AQ59" s="27" t="s">
        <v>8</v>
      </c>
      <c r="AR59" s="27" t="s">
        <v>7</v>
      </c>
      <c r="AS59" s="27" t="s">
        <v>8</v>
      </c>
      <c r="AT59" s="27" t="s">
        <v>7</v>
      </c>
      <c r="AU59" s="27" t="s">
        <v>8</v>
      </c>
      <c r="AV59" s="27" t="s">
        <v>7</v>
      </c>
      <c r="AW59" s="27" t="s">
        <v>8</v>
      </c>
      <c r="AX59" s="27" t="s">
        <v>7</v>
      </c>
      <c r="AY59" s="31"/>
      <c r="BC59" s="27" t="s">
        <v>8</v>
      </c>
      <c r="BR59" s="27" t="s">
        <v>7</v>
      </c>
      <c r="BS59" s="27" t="s">
        <v>8</v>
      </c>
      <c r="BT59" s="27" t="s">
        <v>7</v>
      </c>
      <c r="BU59" s="27" t="s">
        <v>8</v>
      </c>
      <c r="BV59" s="27" t="s">
        <v>7</v>
      </c>
      <c r="BY59" s="32" t="s">
        <v>8</v>
      </c>
      <c r="CA59" s="32" t="s">
        <v>8</v>
      </c>
      <c r="CC59" s="27" t="s">
        <v>8</v>
      </c>
      <c r="CH59" s="31"/>
    </row>
    <row r="60" spans="1:96" x14ac:dyDescent="0.25">
      <c r="A60" s="30">
        <v>6517.3918409652724</v>
      </c>
      <c r="E60"/>
      <c r="M60" s="27" t="s">
        <v>8</v>
      </c>
      <c r="N60" s="27" t="s">
        <v>7</v>
      </c>
      <c r="O60" s="27" t="s">
        <v>8</v>
      </c>
      <c r="AJ60" s="27" t="s">
        <v>7</v>
      </c>
      <c r="AK60" s="27" t="s">
        <v>8</v>
      </c>
      <c r="AP60" s="27" t="s">
        <v>7</v>
      </c>
      <c r="AR60" s="27" t="s">
        <v>7</v>
      </c>
      <c r="AS60" s="27" t="s">
        <v>8</v>
      </c>
      <c r="AT60" s="27" t="s">
        <v>7</v>
      </c>
      <c r="AU60" s="27" t="s">
        <v>8</v>
      </c>
      <c r="AV60" s="27" t="s">
        <v>7</v>
      </c>
      <c r="AW60" s="27" t="s">
        <v>8</v>
      </c>
      <c r="AX60" s="27" t="s">
        <v>7</v>
      </c>
      <c r="AZ60" s="31"/>
      <c r="BC60" s="27" t="s">
        <v>8</v>
      </c>
      <c r="BR60" s="32" t="s">
        <v>7</v>
      </c>
      <c r="BT60" s="32" t="s">
        <v>7</v>
      </c>
      <c r="BV60" s="27" t="s">
        <v>7</v>
      </c>
      <c r="BY60" s="27" t="s">
        <v>8</v>
      </c>
      <c r="BZ60" s="27" t="s">
        <v>7</v>
      </c>
      <c r="CA60" s="27" t="s">
        <v>8</v>
      </c>
      <c r="CB60" s="27" t="s">
        <v>7</v>
      </c>
      <c r="CC60" s="27" t="s">
        <v>8</v>
      </c>
      <c r="CG60" s="31"/>
    </row>
    <row r="61" spans="1:96" x14ac:dyDescent="0.25">
      <c r="A61" s="30">
        <v>6207.0398485383548</v>
      </c>
      <c r="E61"/>
      <c r="M61" s="27" t="s">
        <v>8</v>
      </c>
      <c r="N61" s="27" t="s">
        <v>7</v>
      </c>
      <c r="O61" s="27" t="s">
        <v>8</v>
      </c>
      <c r="AJ61" s="27" t="s">
        <v>7</v>
      </c>
      <c r="AR61" s="27" t="s">
        <v>7</v>
      </c>
      <c r="AS61" s="27" t="s">
        <v>8</v>
      </c>
      <c r="AT61" s="27" t="s">
        <v>7</v>
      </c>
      <c r="AU61" s="27" t="s">
        <v>8</v>
      </c>
      <c r="AV61" s="27" t="s">
        <v>7</v>
      </c>
      <c r="AX61" s="27" t="s">
        <v>7</v>
      </c>
      <c r="BA61" s="31"/>
      <c r="BC61" s="27" t="s">
        <v>8</v>
      </c>
      <c r="BV61" s="34" t="s">
        <v>7</v>
      </c>
      <c r="BY61" s="33" t="s">
        <v>8</v>
      </c>
      <c r="BZ61" s="27" t="s">
        <v>7</v>
      </c>
      <c r="CA61" s="27" t="s">
        <v>8</v>
      </c>
      <c r="CB61" s="27" t="s">
        <v>7</v>
      </c>
      <c r="CC61" s="27" t="s">
        <v>8</v>
      </c>
      <c r="CF61" s="31"/>
    </row>
    <row r="62" spans="1:96" x14ac:dyDescent="0.25">
      <c r="A62" s="30">
        <v>5911.4665224174805</v>
      </c>
      <c r="E62"/>
      <c r="K62" s="27" t="s">
        <v>8</v>
      </c>
      <c r="M62" s="27" t="s">
        <v>8</v>
      </c>
      <c r="N62" s="27" t="s">
        <v>7</v>
      </c>
      <c r="O62" s="27" t="s">
        <v>8</v>
      </c>
      <c r="AR62" s="32" t="s">
        <v>7</v>
      </c>
      <c r="AT62" s="32" t="s">
        <v>7</v>
      </c>
      <c r="AX62" s="27" t="s">
        <v>7</v>
      </c>
      <c r="BB62" s="31"/>
      <c r="BC62" s="27" t="s">
        <v>8</v>
      </c>
      <c r="BV62" s="27" t="s">
        <v>7</v>
      </c>
      <c r="BW62" s="27" t="s">
        <v>8</v>
      </c>
      <c r="BY62" s="27" t="s">
        <v>8</v>
      </c>
      <c r="BZ62" s="32" t="s">
        <v>7</v>
      </c>
      <c r="CB62" s="32" t="s">
        <v>7</v>
      </c>
      <c r="CE62" s="31"/>
    </row>
    <row r="63" spans="1:96" x14ac:dyDescent="0.25">
      <c r="A63" s="30">
        <v>5629.9681165880766</v>
      </c>
      <c r="E63"/>
      <c r="K63" s="27" t="s">
        <v>8</v>
      </c>
      <c r="L63" s="27" t="s">
        <v>7</v>
      </c>
      <c r="M63" s="27" t="s">
        <v>8</v>
      </c>
      <c r="N63" s="27" t="s">
        <v>7</v>
      </c>
      <c r="O63" s="27" t="s">
        <v>8</v>
      </c>
      <c r="AX63" s="27" t="s">
        <v>7</v>
      </c>
      <c r="BC63" s="31" t="s">
        <v>8</v>
      </c>
      <c r="BV63" s="27" t="s">
        <v>7</v>
      </c>
      <c r="BW63" s="27" t="s">
        <v>8</v>
      </c>
      <c r="BX63" s="27" t="s">
        <v>7</v>
      </c>
      <c r="BY63" s="27" t="s">
        <v>8</v>
      </c>
      <c r="CD63" s="31"/>
    </row>
    <row r="64" spans="1:96" x14ac:dyDescent="0.25">
      <c r="A64" s="30">
        <v>5361.8743967505488</v>
      </c>
      <c r="E64"/>
      <c r="K64" s="27" t="s">
        <v>8</v>
      </c>
      <c r="L64" s="27" t="s">
        <v>7</v>
      </c>
      <c r="M64" s="27" t="s">
        <v>8</v>
      </c>
      <c r="N64" s="27" t="s">
        <v>7</v>
      </c>
      <c r="AX64" s="27" t="s">
        <v>7</v>
      </c>
      <c r="BC64" s="27" t="s">
        <v>8</v>
      </c>
      <c r="BV64" s="27" t="s">
        <v>7</v>
      </c>
      <c r="BW64" s="27" t="s">
        <v>8</v>
      </c>
      <c r="BX64" s="27" t="s">
        <v>7</v>
      </c>
      <c r="BY64" s="27" t="s">
        <v>8</v>
      </c>
      <c r="CC64" s="31"/>
    </row>
    <row r="65" spans="1:80" x14ac:dyDescent="0.25">
      <c r="A65" s="30">
        <v>5106.5470445243318</v>
      </c>
      <c r="E65"/>
      <c r="K65" s="27" t="s">
        <v>8</v>
      </c>
      <c r="L65" s="27" t="s">
        <v>7</v>
      </c>
      <c r="AX65" s="27" t="s">
        <v>7</v>
      </c>
      <c r="BC65" s="27" t="s">
        <v>8</v>
      </c>
      <c r="BV65" s="27" t="s">
        <v>7</v>
      </c>
      <c r="BW65" s="27" t="s">
        <v>8</v>
      </c>
      <c r="BX65" s="27" t="s">
        <v>7</v>
      </c>
      <c r="BY65" s="27" t="s">
        <v>8</v>
      </c>
      <c r="CB65" s="31"/>
    </row>
    <row r="66" spans="1:80" x14ac:dyDescent="0.25">
      <c r="A66" s="30">
        <v>4863.3781376422203</v>
      </c>
      <c r="E66"/>
      <c r="G66" s="27" t="s">
        <v>8</v>
      </c>
      <c r="K66" s="27" t="s">
        <v>8</v>
      </c>
      <c r="AX66" s="27" t="s">
        <v>7</v>
      </c>
      <c r="BC66" s="27" t="s">
        <v>8</v>
      </c>
      <c r="BV66" s="27" t="s">
        <v>7</v>
      </c>
      <c r="BW66" s="27" t="s">
        <v>8</v>
      </c>
      <c r="BX66" s="27" t="s">
        <v>7</v>
      </c>
      <c r="BY66" s="27" t="s">
        <v>8</v>
      </c>
      <c r="CA66" s="31"/>
    </row>
    <row r="67" spans="1:80" x14ac:dyDescent="0.25">
      <c r="A67" s="30">
        <v>4631.7887025164</v>
      </c>
      <c r="E67"/>
      <c r="G67" s="27" t="s">
        <v>8</v>
      </c>
      <c r="H67" s="27" t="s">
        <v>7</v>
      </c>
      <c r="I67" s="27" t="s">
        <v>8</v>
      </c>
      <c r="K67" s="27" t="s">
        <v>8</v>
      </c>
      <c r="AX67" s="27" t="s">
        <v>7</v>
      </c>
      <c r="BC67" s="27" t="s">
        <v>8</v>
      </c>
      <c r="BV67" s="27" t="s">
        <v>7</v>
      </c>
      <c r="BW67" s="27" t="s">
        <v>8</v>
      </c>
      <c r="BX67" s="27" t="s">
        <v>7</v>
      </c>
      <c r="BZ67" s="31"/>
    </row>
    <row r="68" spans="1:80" x14ac:dyDescent="0.25">
      <c r="A68" s="30">
        <v>4411.2273357299046</v>
      </c>
      <c r="E68"/>
      <c r="G68" s="27" t="s">
        <v>8</v>
      </c>
      <c r="H68" s="27" t="s">
        <v>7</v>
      </c>
      <c r="I68" s="27" t="s">
        <v>8</v>
      </c>
      <c r="J68" s="27" t="s">
        <v>7</v>
      </c>
      <c r="K68" s="27" t="s">
        <v>8</v>
      </c>
      <c r="AX68" s="27" t="s">
        <v>7</v>
      </c>
      <c r="AY68" s="27" t="s">
        <v>8</v>
      </c>
      <c r="BC68" s="27" t="s">
        <v>8</v>
      </c>
      <c r="BV68" s="27" t="s">
        <v>7</v>
      </c>
      <c r="BW68" s="27" t="s">
        <v>8</v>
      </c>
      <c r="BY68" s="31"/>
    </row>
    <row r="69" spans="1:80" x14ac:dyDescent="0.25">
      <c r="A69" s="30">
        <v>4201.1688911713372</v>
      </c>
      <c r="E69" t="s">
        <v>8</v>
      </c>
      <c r="G69" s="27" t="s">
        <v>8</v>
      </c>
      <c r="H69" s="27" t="s">
        <v>7</v>
      </c>
      <c r="I69" s="27" t="s">
        <v>8</v>
      </c>
      <c r="J69" s="27" t="s">
        <v>7</v>
      </c>
      <c r="K69" s="27" t="s">
        <v>8</v>
      </c>
      <c r="AX69" s="27" t="s">
        <v>7</v>
      </c>
      <c r="AY69" s="27" t="s">
        <v>8</v>
      </c>
      <c r="AZ69" s="27" t="s">
        <v>7</v>
      </c>
      <c r="BC69" s="27" t="s">
        <v>8</v>
      </c>
      <c r="BV69" s="27" t="s">
        <v>7</v>
      </c>
      <c r="BW69" s="27" t="s">
        <v>8</v>
      </c>
      <c r="BX69" s="31"/>
    </row>
    <row r="70" spans="1:80" x14ac:dyDescent="0.25">
      <c r="A70" s="30">
        <v>4001.1132296869878</v>
      </c>
      <c r="E70" t="s">
        <v>8</v>
      </c>
      <c r="F70" s="27" t="s">
        <v>7</v>
      </c>
      <c r="G70" s="27" t="s">
        <v>8</v>
      </c>
      <c r="H70" s="27" t="s">
        <v>7</v>
      </c>
      <c r="I70" s="27" t="s">
        <v>8</v>
      </c>
      <c r="J70" s="27" t="s">
        <v>7</v>
      </c>
      <c r="K70" s="27" t="s">
        <v>8</v>
      </c>
      <c r="AX70" s="27" t="s">
        <v>7</v>
      </c>
      <c r="AY70" s="27" t="s">
        <v>8</v>
      </c>
      <c r="AZ70" s="27" t="s">
        <v>7</v>
      </c>
      <c r="BA70" s="27" t="s">
        <v>8</v>
      </c>
      <c r="BC70" s="27" t="s">
        <v>8</v>
      </c>
      <c r="BV70" s="27" t="s">
        <v>7</v>
      </c>
      <c r="BW70" s="31" t="s">
        <v>8</v>
      </c>
    </row>
    <row r="71" spans="1:80" x14ac:dyDescent="0.25">
      <c r="A71" s="30">
        <v>3810.5840282733216</v>
      </c>
      <c r="C71" s="1" t="s">
        <v>15</v>
      </c>
      <c r="E71" t="s">
        <v>8</v>
      </c>
      <c r="F71" s="27" t="s">
        <v>7</v>
      </c>
      <c r="G71" s="27" t="s">
        <v>8</v>
      </c>
      <c r="H71" s="27" t="s">
        <v>7</v>
      </c>
      <c r="I71" s="27" t="s">
        <v>8</v>
      </c>
      <c r="J71" s="27" t="s">
        <v>7</v>
      </c>
      <c r="K71" s="27" t="s">
        <v>8</v>
      </c>
      <c r="AX71" s="27" t="s">
        <v>7</v>
      </c>
      <c r="AZ71" s="27" t="s">
        <v>7</v>
      </c>
      <c r="BA71" s="27" t="s">
        <v>8</v>
      </c>
      <c r="BB71" s="27" t="s">
        <v>7</v>
      </c>
      <c r="BC71" s="27" t="s">
        <v>8</v>
      </c>
      <c r="BV71" s="31" t="s">
        <v>7</v>
      </c>
    </row>
    <row r="72" spans="1:80" x14ac:dyDescent="0.25">
      <c r="A72" s="30">
        <v>3629.1276459745918</v>
      </c>
      <c r="C72" s="7">
        <v>0.11686133436193799</v>
      </c>
      <c r="D72"/>
      <c r="E72" t="s">
        <v>8</v>
      </c>
      <c r="F72" s="27" t="s">
        <v>7</v>
      </c>
      <c r="G72" s="27" t="s">
        <v>8</v>
      </c>
      <c r="H72" s="27" t="s">
        <v>7</v>
      </c>
      <c r="J72" s="27" t="s">
        <v>7</v>
      </c>
      <c r="K72" s="27" t="s">
        <v>8</v>
      </c>
      <c r="AZ72" s="27" t="s">
        <v>7</v>
      </c>
      <c r="BA72" s="27" t="s">
        <v>8</v>
      </c>
      <c r="BB72" s="27" t="s">
        <v>7</v>
      </c>
      <c r="BC72" s="27" t="s">
        <v>8</v>
      </c>
    </row>
    <row r="73" spans="1:80" x14ac:dyDescent="0.25">
      <c r="A73" s="30">
        <v>3456.3120437853254</v>
      </c>
      <c r="E73" t="s">
        <v>8</v>
      </c>
      <c r="F73" s="27" t="s">
        <v>7</v>
      </c>
      <c r="J73" s="27" t="s">
        <v>7</v>
      </c>
      <c r="K73" s="27" t="s">
        <v>8</v>
      </c>
      <c r="AZ73" s="27" t="s">
        <v>7</v>
      </c>
      <c r="BA73" s="27" t="s">
        <v>8</v>
      </c>
      <c r="BB73" s="27" t="s">
        <v>7</v>
      </c>
    </row>
    <row r="74" spans="1:80" x14ac:dyDescent="0.25">
      <c r="A74" s="30">
        <v>3291.7257559860241</v>
      </c>
      <c r="C74" s="1" t="s">
        <v>11</v>
      </c>
      <c r="D74" s="1" t="s">
        <v>12</v>
      </c>
      <c r="E74" t="s">
        <v>8</v>
      </c>
      <c r="J74" s="27" t="s">
        <v>7</v>
      </c>
      <c r="K74" s="27" t="s">
        <v>8</v>
      </c>
      <c r="AZ74" s="27" t="s">
        <v>7</v>
      </c>
    </row>
    <row r="75" spans="1:80" x14ac:dyDescent="0.25">
      <c r="A75" s="30">
        <v>3134.9769104628799</v>
      </c>
      <c r="C75"/>
      <c r="D75"/>
      <c r="E75" t="s">
        <v>8</v>
      </c>
      <c r="J75" s="27" t="s">
        <v>7</v>
      </c>
      <c r="K75" s="27" t="s">
        <v>8</v>
      </c>
    </row>
    <row r="76" spans="1:80" x14ac:dyDescent="0.25">
      <c r="A76" s="30">
        <v>2985.6922956789331</v>
      </c>
      <c r="E76" t="s">
        <v>8</v>
      </c>
      <c r="J76" s="27" t="s">
        <v>7</v>
      </c>
      <c r="K76" s="27" t="s">
        <v>8</v>
      </c>
    </row>
    <row r="77" spans="1:80" x14ac:dyDescent="0.25">
      <c r="A77" s="30">
        <v>2843.5164720751741</v>
      </c>
      <c r="C77" s="1" t="s">
        <v>13</v>
      </c>
      <c r="E77" t="s">
        <v>8</v>
      </c>
      <c r="J77" s="27" t="s">
        <v>7</v>
      </c>
    </row>
    <row r="78" spans="1:80" x14ac:dyDescent="0.25">
      <c r="A78" s="30">
        <v>2708.1109257858798</v>
      </c>
      <c r="C78" s="1">
        <f>C67</f>
        <v>0</v>
      </c>
      <c r="E78" t="s">
        <v>8</v>
      </c>
    </row>
    <row r="79" spans="1:80" x14ac:dyDescent="0.25">
      <c r="A79" s="30">
        <v>2579.1532626532189</v>
      </c>
      <c r="C79"/>
      <c r="E79" t="s">
        <v>8</v>
      </c>
    </row>
    <row r="80" spans="1:80" x14ac:dyDescent="0.25">
      <c r="A80" s="30">
        <v>2456.3364406221131</v>
      </c>
      <c r="C80" s="1" t="s">
        <v>14</v>
      </c>
      <c r="E80" t="s">
        <v>8</v>
      </c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 t="s">
        <v>8</v>
      </c>
    </row>
    <row r="82" spans="1:5" x14ac:dyDescent="0.25">
      <c r="A82" s="30">
        <v>2227.9695606549776</v>
      </c>
      <c r="E82" t="s">
        <v>8</v>
      </c>
    </row>
    <row r="83" spans="1:5" x14ac:dyDescent="0.25">
      <c r="A83" s="30">
        <v>2121.8757720523595</v>
      </c>
      <c r="E83" t="s">
        <v>8</v>
      </c>
    </row>
    <row r="84" spans="1:5" x14ac:dyDescent="0.25">
      <c r="A84" s="30">
        <v>2020.8340686212948</v>
      </c>
      <c r="E84" t="s">
        <v>8</v>
      </c>
    </row>
    <row r="85" spans="1:5" x14ac:dyDescent="0.25">
      <c r="A85" s="30">
        <v>1924.6038748774236</v>
      </c>
      <c r="E85" t="s">
        <v>8</v>
      </c>
    </row>
    <row r="86" spans="1:5" x14ac:dyDescent="0.25">
      <c r="A86" s="30">
        <v>1832.9560713118319</v>
      </c>
      <c r="E86" t="s">
        <v>8</v>
      </c>
    </row>
    <row r="87" spans="1:5" x14ac:dyDescent="0.25">
      <c r="A87" s="30">
        <v>1745.6724488684113</v>
      </c>
      <c r="E87" t="s">
        <v>8</v>
      </c>
    </row>
    <row r="88" spans="1:5" x14ac:dyDescent="0.25">
      <c r="A88" s="30">
        <v>1662.5451893984869</v>
      </c>
      <c r="E88" t="s">
        <v>8</v>
      </c>
    </row>
    <row r="89" spans="1:5" x14ac:dyDescent="0.25">
      <c r="A89" s="30">
        <v>1583.3763708557017</v>
      </c>
      <c r="E89" t="s">
        <v>8</v>
      </c>
    </row>
    <row r="90" spans="1:5" x14ac:dyDescent="0.25">
      <c r="A90" s="30">
        <v>1507.9774960530492</v>
      </c>
      <c r="E90" t="s">
        <v>8</v>
      </c>
    </row>
    <row r="91" spans="1:5" x14ac:dyDescent="0.25">
      <c r="A91" s="30">
        <v>1436.1690438600467</v>
      </c>
      <c r="E91" t="s">
        <v>8</v>
      </c>
    </row>
    <row r="92" spans="1:5" x14ac:dyDescent="0.25">
      <c r="A92" s="30">
        <v>1367.780041771473</v>
      </c>
      <c r="E92" t="s">
        <v>8</v>
      </c>
    </row>
    <row r="93" spans="1:5" x14ac:dyDescent="0.25">
      <c r="A93" s="30">
        <v>1302.6476588299743</v>
      </c>
      <c r="E93" t="s">
        <v>8</v>
      </c>
    </row>
    <row r="94" spans="1:5" x14ac:dyDescent="0.25">
      <c r="A94" s="30">
        <v>1240.6168179333088</v>
      </c>
      <c r="E94" t="s">
        <v>8</v>
      </c>
    </row>
    <row r="95" spans="1:5" x14ac:dyDescent="0.25">
      <c r="A95" s="30">
        <v>1181.5398266031511</v>
      </c>
      <c r="E95" t="s">
        <v>8</v>
      </c>
    </row>
    <row r="96" spans="1:5" x14ac:dyDescent="0.25">
      <c r="A96" s="30">
        <v>1125.2760253363344</v>
      </c>
      <c r="C96" s="1" t="s">
        <v>15</v>
      </c>
      <c r="E96" t="s">
        <v>8</v>
      </c>
    </row>
    <row r="97" spans="1:5" x14ac:dyDescent="0.25">
      <c r="A97" s="30">
        <v>1071.6914527012709</v>
      </c>
      <c r="C97" s="7">
        <v>0.11686133436193799</v>
      </c>
      <c r="D97"/>
      <c r="E97" t="s">
        <v>8</v>
      </c>
    </row>
    <row r="98" spans="1:5" x14ac:dyDescent="0.25">
      <c r="A98" s="30">
        <v>1020.6585263821628</v>
      </c>
      <c r="E98" t="s">
        <v>8</v>
      </c>
    </row>
    <row r="99" spans="1:5" x14ac:dyDescent="0.25">
      <c r="A99" s="30">
        <v>972.05573941158355</v>
      </c>
      <c r="C99" s="1" t="s">
        <v>11</v>
      </c>
      <c r="D99" s="1" t="s">
        <v>12</v>
      </c>
      <c r="E99" t="s">
        <v>8</v>
      </c>
    </row>
    <row r="100" spans="1:5" x14ac:dyDescent="0.25">
      <c r="A100" s="30">
        <v>925.76737086817479</v>
      </c>
      <c r="C100"/>
      <c r="D100"/>
      <c r="E100" t="s">
        <v>8</v>
      </c>
    </row>
    <row r="101" spans="1:5" x14ac:dyDescent="0.25">
      <c r="A101" s="30">
        <v>881.68321035064264</v>
      </c>
      <c r="E101" t="s">
        <v>8</v>
      </c>
    </row>
    <row r="102" spans="1:5" x14ac:dyDescent="0.25">
      <c r="A102" s="30">
        <v>839.69829557204059</v>
      </c>
      <c r="C102" s="1" t="s">
        <v>13</v>
      </c>
      <c r="E102" t="s">
        <v>8</v>
      </c>
    </row>
    <row r="103" spans="1:5" x14ac:dyDescent="0.25">
      <c r="A103" s="30">
        <v>799.71266244956246</v>
      </c>
      <c r="C103" s="1">
        <f>C92</f>
        <v>0</v>
      </c>
      <c r="E103" t="s">
        <v>8</v>
      </c>
    </row>
    <row r="104" spans="1:5" x14ac:dyDescent="0.25">
      <c r="A104" s="30">
        <v>761.63110709482135</v>
      </c>
      <c r="C104"/>
      <c r="E104" t="s">
        <v>8</v>
      </c>
    </row>
    <row r="105" spans="1:5" x14ac:dyDescent="0.25">
      <c r="A105" s="30">
        <v>725.36295913792503</v>
      </c>
      <c r="C105" s="1" t="s">
        <v>14</v>
      </c>
      <c r="E105" t="s">
        <v>8</v>
      </c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 t="s">
        <v>8</v>
      </c>
    </row>
    <row r="107" spans="1:5" x14ac:dyDescent="0.25">
      <c r="A107" s="30">
        <v>657.92558651965976</v>
      </c>
      <c r="E107" t="s">
        <v>8</v>
      </c>
    </row>
    <row r="108" spans="1:5" x14ac:dyDescent="0.25">
      <c r="A108" s="30">
        <v>626.59579668539027</v>
      </c>
      <c r="E108" t="s">
        <v>8</v>
      </c>
    </row>
    <row r="109" spans="1:5" x14ac:dyDescent="0.25">
      <c r="A109" s="30">
        <v>596.75790160513361</v>
      </c>
      <c r="E109" t="s">
        <v>8</v>
      </c>
    </row>
    <row r="110" spans="1:5" x14ac:dyDescent="0.25">
      <c r="A110" s="30">
        <v>568.34085867155579</v>
      </c>
      <c r="E110" t="s">
        <v>8</v>
      </c>
    </row>
    <row r="111" spans="1:5" x14ac:dyDescent="0.25">
      <c r="A111" s="30">
        <v>541.27700825862451</v>
      </c>
      <c r="C111" s="1" t="str">
        <f>ADDRESS(C121-1,1,1,1)</f>
        <v>$A$25</v>
      </c>
      <c r="D111" s="1" t="str">
        <f>ADDRESS(C121-1,D121,1,1)</f>
        <v>$DN$25</v>
      </c>
      <c r="E111" t="s">
        <v>8</v>
      </c>
    </row>
    <row r="112" spans="1:5" x14ac:dyDescent="0.25">
      <c r="A112" s="30">
        <v>515.50191262726139</v>
      </c>
      <c r="C112" s="1" t="str">
        <f>ADDRESS(C121,1,1,1)</f>
        <v>$A$26</v>
      </c>
      <c r="D112" s="1" t="str">
        <f>ADDRESS(C121,D121-1,1,1)</f>
        <v>$DM$26</v>
      </c>
      <c r="E112" t="s">
        <v>8</v>
      </c>
    </row>
    <row r="113" spans="1:5" x14ac:dyDescent="0.25">
      <c r="A113" s="30">
        <v>490.95420250215363</v>
      </c>
      <c r="C113" s="1" t="str">
        <f>ADDRESS(C121+1,1,1,1)</f>
        <v>$A$27</v>
      </c>
      <c r="D113" s="1" t="str">
        <f>ADDRESS(C121-1,D121+1,1,1)</f>
        <v>$DO$25</v>
      </c>
      <c r="E113" s="1" t="s">
        <v>8</v>
      </c>
    </row>
    <row r="114" spans="1:5" x14ac:dyDescent="0.25">
      <c r="A114" s="30">
        <v>467.57543095443202</v>
      </c>
      <c r="C114" s="1" t="str">
        <f>ADDRESS(C121,D121,1,1)</f>
        <v>$DN$26</v>
      </c>
      <c r="D114" s="1" t="str">
        <f>ADDRESS(C121+1,D121+1,1,1)</f>
        <v>$DO$27</v>
      </c>
      <c r="E114" s="1" t="s">
        <v>8</v>
      </c>
    </row>
    <row r="115" spans="1:5" x14ac:dyDescent="0.25">
      <c r="A115" s="30">
        <v>445.30993424231622</v>
      </c>
      <c r="C115" s="1" t="str">
        <f>ADDRESS(C121+1,D121,1,1)</f>
        <v>$DN$27</v>
      </c>
      <c r="E115" s="1" t="s">
        <v>8</v>
      </c>
    </row>
    <row r="116" spans="1:5" x14ac:dyDescent="0.25">
      <c r="A116" s="30">
        <v>424.10469927839637</v>
      </c>
      <c r="C116" s="1">
        <f>C117-1</f>
        <v>25</v>
      </c>
      <c r="E116" s="1" t="s">
        <v>8</v>
      </c>
    </row>
    <row r="117" spans="1:5" x14ac:dyDescent="0.25">
      <c r="A117" s="30">
        <v>403.9092374079965</v>
      </c>
      <c r="C117" s="1">
        <f>C121</f>
        <v>26</v>
      </c>
      <c r="D117" s="1">
        <f>D121</f>
        <v>118</v>
      </c>
      <c r="E117" s="1" t="s">
        <v>8</v>
      </c>
    </row>
    <row r="118" spans="1:5" x14ac:dyDescent="0.25">
      <c r="A118" s="30">
        <v>384.6754641980919</v>
      </c>
      <c r="C118" s="1">
        <f>C117+1</f>
        <v>27</v>
      </c>
      <c r="D118" s="1">
        <f>D117+1</f>
        <v>119</v>
      </c>
      <c r="E118" s="1" t="s">
        <v>8</v>
      </c>
    </row>
    <row r="119" spans="1:5" x14ac:dyDescent="0.25">
      <c r="A119" s="30">
        <v>366.35758495056371</v>
      </c>
      <c r="E119" s="1" t="s">
        <v>8</v>
      </c>
    </row>
    <row r="120" spans="1:5" x14ac:dyDescent="0.25">
      <c r="A120" s="30">
        <v>348.91198566720351</v>
      </c>
      <c r="C120" s="1" t="s">
        <v>9</v>
      </c>
      <c r="E120" s="1" t="s">
        <v>8</v>
      </c>
    </row>
    <row r="121" spans="1:5" x14ac:dyDescent="0.25">
      <c r="A121" s="30">
        <v>332.29712920686046</v>
      </c>
      <c r="C121" s="18">
        <v>26</v>
      </c>
      <c r="D121" s="19">
        <v>118</v>
      </c>
      <c r="E121" s="19" t="s">
        <v>8</v>
      </c>
    </row>
    <row r="122" spans="1:5" x14ac:dyDescent="0.25">
      <c r="A122" s="30">
        <v>316.47345638748612</v>
      </c>
      <c r="C122" s="1" t="str">
        <f>INDEX(1:1048576,C117,D117)</f>
        <v>O</v>
      </c>
      <c r="E122" s="1" t="s">
        <v>8</v>
      </c>
    </row>
    <row r="123" spans="1:5" x14ac:dyDescent="0.25">
      <c r="A123" s="30">
        <v>301.40329179760585</v>
      </c>
      <c r="C123" s="1" t="str">
        <f>"R"&amp;C121</f>
        <v>R26</v>
      </c>
      <c r="D123" s="1" t="str">
        <f>"C"&amp;D121</f>
        <v>C118</v>
      </c>
      <c r="E123" s="1" t="s">
        <v>8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  <c r="E124" s="1" t="s">
        <v>8</v>
      </c>
    </row>
    <row r="125" spans="1:5" x14ac:dyDescent="0.25">
      <c r="A125" s="30">
        <v>273.38167056472184</v>
      </c>
      <c r="E125" s="1" t="s">
        <v>8</v>
      </c>
    </row>
    <row r="126" spans="1:5" x14ac:dyDescent="0.25">
      <c r="A126" s="30">
        <v>260.36349577592557</v>
      </c>
      <c r="C126" s="1" t="s">
        <v>10</v>
      </c>
      <c r="E126" s="1" t="s">
        <v>8</v>
      </c>
    </row>
    <row r="127" spans="1:5" x14ac:dyDescent="0.25">
      <c r="A127" s="30">
        <v>247.96523407231004</v>
      </c>
      <c r="C127" s="30">
        <v>34238.127191795073</v>
      </c>
      <c r="D127"/>
      <c r="E127" s="1" t="s">
        <v>8</v>
      </c>
    </row>
    <row r="128" spans="1:5" x14ac:dyDescent="0.25">
      <c r="A128" s="30">
        <v>236.15736578315241</v>
      </c>
      <c r="E128" s="1" t="s">
        <v>8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 t="s">
        <v>8</v>
      </c>
    </row>
    <row r="130" spans="1:5" x14ac:dyDescent="0.25">
      <c r="A130" s="30">
        <v>214.20169232031964</v>
      </c>
      <c r="C130" s="6"/>
      <c r="D130" s="6"/>
      <c r="E130" t="s">
        <v>8</v>
      </c>
    </row>
    <row r="131" spans="1:5" x14ac:dyDescent="0.25">
      <c r="A131" s="30">
        <v>204.00161173363773</v>
      </c>
      <c r="E131" t="s">
        <v>8</v>
      </c>
    </row>
    <row r="132" spans="1:5" x14ac:dyDescent="0.25">
      <c r="A132" s="30">
        <v>194.28724927013116</v>
      </c>
      <c r="C132" s="1" t="s">
        <v>13</v>
      </c>
      <c r="E132" t="s">
        <v>8</v>
      </c>
    </row>
    <row r="133" spans="1:5" x14ac:dyDescent="0.25">
      <c r="A133" s="30">
        <v>185.03547549536299</v>
      </c>
      <c r="C133" s="1" t="str">
        <f>C122</f>
        <v>O</v>
      </c>
      <c r="E133" t="s">
        <v>8</v>
      </c>
    </row>
    <row r="134" spans="1:5" x14ac:dyDescent="0.25">
      <c r="A134" s="30">
        <v>176.22426237653616</v>
      </c>
      <c r="C134"/>
      <c r="E134" t="s">
        <v>8</v>
      </c>
    </row>
    <row r="135" spans="1:5" x14ac:dyDescent="0.25">
      <c r="A135" s="30">
        <v>167.83263083479633</v>
      </c>
      <c r="C135" s="1" t="s">
        <v>14</v>
      </c>
      <c r="E135" t="s">
        <v>8</v>
      </c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 t="s">
        <v>8</v>
      </c>
    </row>
    <row r="137" spans="1:5" x14ac:dyDescent="0.25">
      <c r="A137" s="30">
        <v>152.22914361432771</v>
      </c>
      <c r="E137" t="s">
        <v>8</v>
      </c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 t="s">
        <v>8</v>
      </c>
    </row>
    <row r="139" spans="1:5" x14ac:dyDescent="0.25">
      <c r="A139" s="30">
        <v>138.07632073861922</v>
      </c>
      <c r="E139" t="s">
        <v>8</v>
      </c>
    </row>
    <row r="140" spans="1:5" x14ac:dyDescent="0.25">
      <c r="A140" s="30">
        <v>131.50125784630401</v>
      </c>
      <c r="C140" s="1">
        <v>0</v>
      </c>
      <c r="E140" t="s">
        <v>8</v>
      </c>
    </row>
    <row r="141" spans="1:5" x14ac:dyDescent="0.25">
      <c r="A141" s="30">
        <v>125.23929318695619</v>
      </c>
      <c r="C141" s="1">
        <v>1</v>
      </c>
      <c r="E141" t="s">
        <v>8</v>
      </c>
    </row>
    <row r="142" spans="1:5" x14ac:dyDescent="0.25">
      <c r="A142" s="30">
        <v>119.27551732091065</v>
      </c>
      <c r="C142" s="1">
        <v>2</v>
      </c>
      <c r="E142" t="s">
        <v>8</v>
      </c>
    </row>
    <row r="143" spans="1:5" x14ac:dyDescent="0.25">
      <c r="A143" s="30">
        <v>113.59573078181967</v>
      </c>
      <c r="C143" s="1">
        <v>3</v>
      </c>
      <c r="E143" t="s">
        <v>8</v>
      </c>
    </row>
    <row r="144" spans="1:5" x14ac:dyDescent="0.25">
      <c r="A144" s="30">
        <v>108.18641026839968</v>
      </c>
      <c r="C144" s="1">
        <v>4</v>
      </c>
      <c r="E144" t="s">
        <v>8</v>
      </c>
    </row>
    <row r="145" spans="1:5" x14ac:dyDescent="0.25">
      <c r="A145" s="30">
        <v>103.03467644609493</v>
      </c>
      <c r="E145" t="s">
        <v>8</v>
      </c>
    </row>
    <row r="146" spans="1:5" x14ac:dyDescent="0.25">
      <c r="A146" s="30">
        <v>98.128263281995174</v>
      </c>
      <c r="E146" t="s">
        <v>8</v>
      </c>
    </row>
    <row r="147" spans="1:5" x14ac:dyDescent="0.25">
      <c r="A147" s="30">
        <v>93.455488839995397</v>
      </c>
      <c r="E147" t="s">
        <v>8</v>
      </c>
    </row>
    <row r="148" spans="1:5" x14ac:dyDescent="0.25">
      <c r="A148" s="30">
        <v>89.005227466662276</v>
      </c>
      <c r="E148" t="s">
        <v>8</v>
      </c>
    </row>
    <row r="149" spans="1:5" x14ac:dyDescent="0.25">
      <c r="A149" s="30">
        <v>84.766883301583121</v>
      </c>
      <c r="E149" t="s">
        <v>8</v>
      </c>
    </row>
    <row r="150" spans="1:5" x14ac:dyDescent="0.25">
      <c r="A150" s="30">
        <v>80.730365049126775</v>
      </c>
      <c r="E150" t="s">
        <v>8</v>
      </c>
    </row>
    <row r="151" spans="1:5" x14ac:dyDescent="0.25">
      <c r="A151" s="30">
        <v>76.886061951549308</v>
      </c>
      <c r="E151" t="s">
        <v>8</v>
      </c>
    </row>
    <row r="152" spans="1:5" x14ac:dyDescent="0.25">
      <c r="A152" s="30">
        <v>73.22482090623744</v>
      </c>
      <c r="E152" t="s">
        <v>8</v>
      </c>
    </row>
    <row r="153" spans="1:5" x14ac:dyDescent="0.25">
      <c r="A153" s="30">
        <v>69.737924672607079</v>
      </c>
      <c r="C153" s="7"/>
      <c r="D153"/>
      <c r="E153" t="s">
        <v>8</v>
      </c>
    </row>
    <row r="154" spans="1:5" x14ac:dyDescent="0.25">
      <c r="A154" s="30">
        <v>66.417071116768639</v>
      </c>
      <c r="E154" t="s">
        <v>8</v>
      </c>
    </row>
    <row r="155" spans="1:5" x14ac:dyDescent="0.25">
      <c r="A155" s="30">
        <v>63.254353444541557</v>
      </c>
      <c r="E155" t="s">
        <v>8</v>
      </c>
    </row>
    <row r="156" spans="1:5" x14ac:dyDescent="0.25">
      <c r="A156" s="30">
        <v>60.242241375753864</v>
      </c>
      <c r="C156"/>
      <c r="D156"/>
      <c r="E156" t="s">
        <v>8</v>
      </c>
    </row>
    <row r="157" spans="1:5" x14ac:dyDescent="0.25">
      <c r="A157" s="30">
        <v>57.373563215003678</v>
      </c>
      <c r="E157" t="s">
        <v>8</v>
      </c>
    </row>
    <row r="158" spans="1:5" x14ac:dyDescent="0.25">
      <c r="A158" s="30">
        <v>54.641488776193974</v>
      </c>
      <c r="E158" t="s">
        <v>8</v>
      </c>
    </row>
    <row r="159" spans="1:5" x14ac:dyDescent="0.25">
      <c r="A159" s="30">
        <v>52.039513120184736</v>
      </c>
      <c r="E159" t="s">
        <v>8</v>
      </c>
    </row>
    <row r="160" spans="1:5" x14ac:dyDescent="0.25">
      <c r="A160" s="30">
        <v>49.561441066842605</v>
      </c>
      <c r="C160"/>
      <c r="E160" t="s">
        <v>8</v>
      </c>
    </row>
    <row r="161" spans="1:5" x14ac:dyDescent="0.25">
      <c r="A161" s="30">
        <v>47.201372444612005</v>
      </c>
      <c r="E161" t="s">
        <v>8</v>
      </c>
    </row>
    <row r="162" spans="1:5" x14ac:dyDescent="0.25">
      <c r="A162" s="30">
        <v>44.95368804248762</v>
      </c>
      <c r="E162" t="s">
        <v>8</v>
      </c>
    </row>
    <row r="163" spans="1:5" x14ac:dyDescent="0.25">
      <c r="A163" s="30">
        <v>42.81303623094059</v>
      </c>
      <c r="E163" t="s">
        <v>8</v>
      </c>
    </row>
    <row r="164" spans="1:5" x14ac:dyDescent="0.25">
      <c r="A164" s="30">
        <v>40.774320219943419</v>
      </c>
      <c r="E164" t="s">
        <v>8</v>
      </c>
    </row>
    <row r="165" spans="1:5" x14ac:dyDescent="0.25">
      <c r="A165" s="30">
        <v>38.832685923755633</v>
      </c>
      <c r="E165" t="s">
        <v>8</v>
      </c>
    </row>
    <row r="166" spans="1:5" x14ac:dyDescent="0.25">
      <c r="A166" s="30">
        <v>36.983510403576794</v>
      </c>
      <c r="E166" t="s">
        <v>8</v>
      </c>
    </row>
    <row r="167" spans="1:5" x14ac:dyDescent="0.25">
      <c r="A167" s="30">
        <v>35.222390860549325</v>
      </c>
      <c r="E167" t="s">
        <v>8</v>
      </c>
    </row>
    <row r="168" spans="1:5" x14ac:dyDescent="0.25">
      <c r="A168" s="30">
        <v>33.545134152904119</v>
      </c>
      <c r="E168" t="s">
        <v>8</v>
      </c>
    </row>
    <row r="169" spans="1:5" x14ac:dyDescent="0.25">
      <c r="A169" s="30">
        <v>31.947746812289637</v>
      </c>
      <c r="E169" t="s">
        <v>8</v>
      </c>
    </row>
    <row r="170" spans="1:5" x14ac:dyDescent="0.25">
      <c r="A170" s="30">
        <v>30.426425535513939</v>
      </c>
      <c r="E170" t="s">
        <v>8</v>
      </c>
    </row>
    <row r="171" spans="1:5" x14ac:dyDescent="0.25">
      <c r="A171" s="30">
        <v>28.977548129060892</v>
      </c>
      <c r="E171" t="s">
        <v>8</v>
      </c>
    </row>
    <row r="172" spans="1:5" x14ac:dyDescent="0.25">
      <c r="A172" s="30">
        <v>27.597664884819896</v>
      </c>
      <c r="E172" t="s">
        <v>8</v>
      </c>
    </row>
    <row r="173" spans="1:5" x14ac:dyDescent="0.25">
      <c r="A173" s="30">
        <v>26.283490366495137</v>
      </c>
      <c r="E173" t="s">
        <v>8</v>
      </c>
    </row>
    <row r="174" spans="1:5" x14ac:dyDescent="0.25">
      <c r="A174" s="30">
        <v>25.031895587138223</v>
      </c>
      <c r="E174" t="s">
        <v>8</v>
      </c>
    </row>
    <row r="175" spans="1:5" x14ac:dyDescent="0.25">
      <c r="A175" s="30">
        <v>23.839900559179259</v>
      </c>
      <c r="E175" t="s">
        <v>8</v>
      </c>
    </row>
    <row r="176" spans="1:5" x14ac:dyDescent="0.25">
      <c r="A176" s="30">
        <v>22.704667199218342</v>
      </c>
      <c r="E176" t="s">
        <v>8</v>
      </c>
    </row>
    <row r="177" spans="1:5" x14ac:dyDescent="0.25">
      <c r="A177" s="30">
        <v>21.623492570684135</v>
      </c>
      <c r="E177" t="s">
        <v>8</v>
      </c>
    </row>
    <row r="178" spans="1:5" x14ac:dyDescent="0.25">
      <c r="A178" s="30">
        <v>20.593802448270605</v>
      </c>
      <c r="C178" s="7"/>
      <c r="D178"/>
      <c r="E178" t="s">
        <v>8</v>
      </c>
    </row>
    <row r="179" spans="1:5" x14ac:dyDescent="0.25">
      <c r="A179" s="30">
        <v>19.613145188829147</v>
      </c>
      <c r="E179" t="s">
        <v>8</v>
      </c>
    </row>
    <row r="180" spans="1:5" x14ac:dyDescent="0.25">
      <c r="A180" s="30">
        <v>18.679185894122998</v>
      </c>
      <c r="E180" t="s">
        <v>8</v>
      </c>
    </row>
    <row r="181" spans="1:5" x14ac:dyDescent="0.25">
      <c r="A181" s="30">
        <v>17.78970085154571</v>
      </c>
      <c r="C181"/>
      <c r="D181"/>
      <c r="E181" t="s">
        <v>8</v>
      </c>
    </row>
    <row r="182" spans="1:5" x14ac:dyDescent="0.25">
      <c r="A182" s="30">
        <v>16.942572239567344</v>
      </c>
      <c r="E182" t="s">
        <v>8</v>
      </c>
    </row>
    <row r="183" spans="1:5" x14ac:dyDescent="0.25">
      <c r="A183" s="30">
        <v>16.135783085302233</v>
      </c>
      <c r="E183" t="s">
        <v>8</v>
      </c>
    </row>
    <row r="184" spans="1:5" x14ac:dyDescent="0.25">
      <c r="A184" s="30">
        <v>15.367412462192602</v>
      </c>
      <c r="E184" t="s">
        <v>8</v>
      </c>
    </row>
    <row r="185" spans="1:5" x14ac:dyDescent="0.25">
      <c r="A185" s="30">
        <v>14.635630916373906</v>
      </c>
      <c r="C185"/>
      <c r="E185" t="s">
        <v>8</v>
      </c>
    </row>
    <row r="186" spans="1:5" x14ac:dyDescent="0.25">
      <c r="A186" s="30">
        <v>13.938696110832291</v>
      </c>
      <c r="E186" t="s">
        <v>8</v>
      </c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</row>
    <row r="188" spans="1:5" x14ac:dyDescent="0.25">
      <c r="A188" s="30">
        <v>12.64280826379346</v>
      </c>
      <c r="E188" t="s">
        <v>8</v>
      </c>
    </row>
    <row r="189" spans="1:5" x14ac:dyDescent="0.25">
      <c r="A189" s="30">
        <v>12.04076977504139</v>
      </c>
      <c r="E189" t="s">
        <v>8</v>
      </c>
    </row>
    <row r="190" spans="1:5" x14ac:dyDescent="0.25">
      <c r="A190" s="30">
        <v>11.467399785753704</v>
      </c>
      <c r="E190" t="s">
        <v>8</v>
      </c>
    </row>
    <row r="191" spans="1:5" x14ac:dyDescent="0.25">
      <c r="A191" s="30">
        <v>10.921333129289241</v>
      </c>
      <c r="E191" t="s">
        <v>8</v>
      </c>
    </row>
    <row r="192" spans="1:5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58" priority="2045" operator="equal">
      <formula>$U$1</formula>
    </cfRule>
    <cfRule type="cellIs" dxfId="57" priority="2046" operator="equal">
      <formula>$S$1</formula>
    </cfRule>
  </conditionalFormatting>
  <conditionalFormatting sqref="D136">
    <cfRule type="cellIs" dxfId="56" priority="2043" operator="equal">
      <formula>$S$1</formula>
    </cfRule>
    <cfRule type="cellIs" dxfId="55" priority="2044" operator="equal">
      <formula>$U$1</formula>
    </cfRule>
  </conditionalFormatting>
  <conditionalFormatting sqref="C162">
    <cfRule type="cellIs" dxfId="54" priority="2041" operator="equal">
      <formula>$U$1</formula>
    </cfRule>
    <cfRule type="cellIs" dxfId="53" priority="2042" operator="equal">
      <formula>$S$1</formula>
    </cfRule>
  </conditionalFormatting>
  <conditionalFormatting sqref="D162">
    <cfRule type="cellIs" dxfId="52" priority="2039" operator="equal">
      <formula>$S$1</formula>
    </cfRule>
    <cfRule type="cellIs" dxfId="51" priority="2040" operator="equal">
      <formula>$U$1</formula>
    </cfRule>
  </conditionalFormatting>
  <conditionalFormatting sqref="C187">
    <cfRule type="cellIs" dxfId="50" priority="2037" operator="equal">
      <formula>$U$1</formula>
    </cfRule>
    <cfRule type="cellIs" dxfId="49" priority="2038" operator="equal">
      <formula>$S$1</formula>
    </cfRule>
  </conditionalFormatting>
  <conditionalFormatting sqref="D187">
    <cfRule type="cellIs" dxfId="48" priority="2035" operator="equal">
      <formula>$S$1</formula>
    </cfRule>
    <cfRule type="cellIs" dxfId="47" priority="2036" operator="equal">
      <formula>$U$1</formula>
    </cfRule>
  </conditionalFormatting>
  <conditionalFormatting sqref="C212">
    <cfRule type="cellIs" dxfId="46" priority="2033" operator="equal">
      <formula>$U$1</formula>
    </cfRule>
    <cfRule type="cellIs" dxfId="45" priority="2034" operator="equal">
      <formula>$S$1</formula>
    </cfRule>
  </conditionalFormatting>
  <conditionalFormatting sqref="D212">
    <cfRule type="cellIs" dxfId="44" priority="2031" operator="equal">
      <formula>$S$1</formula>
    </cfRule>
    <cfRule type="cellIs" dxfId="43" priority="2032" operator="equal">
      <formula>$U$1</formula>
    </cfRule>
  </conditionalFormatting>
  <conditionalFormatting sqref="C237">
    <cfRule type="cellIs" dxfId="42" priority="2029" operator="equal">
      <formula>$U$1</formula>
    </cfRule>
    <cfRule type="cellIs" dxfId="41" priority="2030" operator="equal">
      <formula>$S$1</formula>
    </cfRule>
  </conditionalFormatting>
  <conditionalFormatting sqref="D237">
    <cfRule type="cellIs" dxfId="40" priority="2027" operator="equal">
      <formula>$S$1</formula>
    </cfRule>
    <cfRule type="cellIs" dxfId="39" priority="2028" operator="equal">
      <formula>$U$1</formula>
    </cfRule>
  </conditionalFormatting>
  <conditionalFormatting sqref="C106">
    <cfRule type="cellIs" dxfId="38" priority="2025" operator="equal">
      <formula>$U$1</formula>
    </cfRule>
    <cfRule type="cellIs" dxfId="37" priority="2026" operator="equal">
      <formula>$S$1</formula>
    </cfRule>
  </conditionalFormatting>
  <conditionalFormatting sqref="D106">
    <cfRule type="cellIs" dxfId="36" priority="2023" operator="equal">
      <formula>$S$1</formula>
    </cfRule>
    <cfRule type="cellIs" dxfId="35" priority="2024" operator="equal">
      <formula>$U$1</formula>
    </cfRule>
  </conditionalFormatting>
  <conditionalFormatting sqref="C81">
    <cfRule type="cellIs" dxfId="34" priority="2021" operator="equal">
      <formula>$U$1</formula>
    </cfRule>
    <cfRule type="cellIs" dxfId="33" priority="2022" operator="equal">
      <formula>$S$1</formula>
    </cfRule>
  </conditionalFormatting>
  <conditionalFormatting sqref="D81">
    <cfRule type="cellIs" dxfId="32" priority="2019" operator="equal">
      <formula>$S$1</formula>
    </cfRule>
    <cfRule type="cellIs" dxfId="31" priority="2020" operator="equal">
      <formula>$U$1</formula>
    </cfRule>
  </conditionalFormatting>
  <conditionalFormatting sqref="C56">
    <cfRule type="cellIs" dxfId="30" priority="2017" operator="equal">
      <formula>$U$1</formula>
    </cfRule>
    <cfRule type="cellIs" dxfId="29" priority="2018" operator="equal">
      <formula>$S$1</formula>
    </cfRule>
  </conditionalFormatting>
  <conditionalFormatting sqref="D56">
    <cfRule type="cellIs" dxfId="28" priority="2015" operator="equal">
      <formula>$S$1</formula>
    </cfRule>
    <cfRule type="cellIs" dxfId="27" priority="2016" operator="equal">
      <formula>$U$1</formula>
    </cfRule>
  </conditionalFormatting>
  <conditionalFormatting sqref="C31">
    <cfRule type="cellIs" dxfId="26" priority="2013" operator="equal">
      <formula>$U$1</formula>
    </cfRule>
    <cfRule type="cellIs" dxfId="25" priority="2014" operator="equal">
      <formula>$S$1</formula>
    </cfRule>
  </conditionalFormatting>
  <conditionalFormatting sqref="D31">
    <cfRule type="cellIs" dxfId="24" priority="2011" operator="equal">
      <formula>$S$1</formula>
    </cfRule>
    <cfRule type="cellIs" dxfId="23" priority="2012" operator="equal">
      <formula>$U$1</formula>
    </cfRule>
  </conditionalFormatting>
  <conditionalFormatting sqref="D130">
    <cfRule type="cellIs" dxfId="22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zoomScaleNormal="100" workbookViewId="0">
      <pane xSplit="4" topLeftCell="G1" activePane="topRight" state="frozen"/>
      <selection activeCell="A109" sqref="A109"/>
      <selection pane="topRight" activeCell="AH11" sqref="AH11"/>
    </sheetView>
  </sheetViews>
  <sheetFormatPr defaultRowHeight="15" x14ac:dyDescent="0.25"/>
  <cols>
    <col min="1" max="1" width="13.2851562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37" x14ac:dyDescent="0.25">
      <c r="S1" s="27" t="s">
        <v>7</v>
      </c>
      <c r="U1" s="27" t="s">
        <v>8</v>
      </c>
    </row>
    <row r="3" spans="1:37" x14ac:dyDescent="0.25">
      <c r="A3" s="30">
        <v>76619.065138703256</v>
      </c>
    </row>
    <row r="4" spans="1:37" x14ac:dyDescent="0.25">
      <c r="A4" s="30">
        <v>69653.695580639323</v>
      </c>
    </row>
    <row r="5" spans="1:37" x14ac:dyDescent="0.25">
      <c r="A5" s="30">
        <v>63321.541436944797</v>
      </c>
      <c r="AE5" s="32" t="s">
        <v>8</v>
      </c>
      <c r="AG5" s="32" t="s">
        <v>8</v>
      </c>
    </row>
    <row r="6" spans="1:37" x14ac:dyDescent="0.25">
      <c r="A6" s="30">
        <v>57565.037669949801</v>
      </c>
      <c r="AC6" s="27" t="s">
        <v>8</v>
      </c>
      <c r="AE6" s="27" t="s">
        <v>8</v>
      </c>
      <c r="AF6" s="31" t="s">
        <v>7</v>
      </c>
      <c r="AG6" s="27" t="s">
        <v>8</v>
      </c>
      <c r="AH6" s="31" t="s">
        <v>7</v>
      </c>
    </row>
    <row r="7" spans="1:37" x14ac:dyDescent="0.25">
      <c r="A7" s="30">
        <v>52331.852427227124</v>
      </c>
      <c r="AC7" s="27" t="s">
        <v>8</v>
      </c>
      <c r="AD7" s="27" t="s">
        <v>7</v>
      </c>
      <c r="AE7" s="27" t="s">
        <v>8</v>
      </c>
      <c r="AF7" s="27" t="s">
        <v>7</v>
      </c>
      <c r="AG7" s="31" t="s">
        <v>8</v>
      </c>
      <c r="AH7" s="27" t="s">
        <v>7</v>
      </c>
      <c r="AI7" s="31"/>
    </row>
    <row r="8" spans="1:37" x14ac:dyDescent="0.25">
      <c r="A8" s="30">
        <v>47574.411297479201</v>
      </c>
      <c r="AC8" s="27" t="s">
        <v>8</v>
      </c>
      <c r="AD8" s="27" t="s">
        <v>7</v>
      </c>
      <c r="AE8" s="27" t="s">
        <v>8</v>
      </c>
      <c r="AF8" s="27" t="s">
        <v>7</v>
      </c>
      <c r="AG8" s="27" t="s">
        <v>8</v>
      </c>
      <c r="AH8" s="19" t="s">
        <v>7</v>
      </c>
      <c r="AJ8" s="31"/>
    </row>
    <row r="9" spans="1:37" x14ac:dyDescent="0.25">
      <c r="A9" s="30">
        <v>43249.464815890176</v>
      </c>
      <c r="AC9" s="27" t="s">
        <v>8</v>
      </c>
      <c r="AD9" s="27" t="s">
        <v>7</v>
      </c>
      <c r="AF9" s="27" t="s">
        <v>7</v>
      </c>
      <c r="AG9" s="27" t="s">
        <v>8</v>
      </c>
      <c r="AH9" s="27" t="s">
        <v>7</v>
      </c>
      <c r="AI9" s="19"/>
      <c r="AK9" s="31"/>
    </row>
    <row r="10" spans="1:37" x14ac:dyDescent="0.25">
      <c r="A10" s="30">
        <v>39317.695287172886</v>
      </c>
      <c r="AA10" s="27" t="s">
        <v>8</v>
      </c>
      <c r="AC10" s="27" t="s">
        <v>8</v>
      </c>
      <c r="AF10" s="34" t="s">
        <v>7</v>
      </c>
      <c r="AG10" s="27" t="s">
        <v>8</v>
      </c>
      <c r="AH10" s="27" t="s">
        <v>7</v>
      </c>
      <c r="AJ10" s="19"/>
    </row>
    <row r="11" spans="1:37" x14ac:dyDescent="0.25">
      <c r="A11" s="30">
        <v>35743.359351975349</v>
      </c>
      <c r="AA11" s="27" t="s">
        <v>8</v>
      </c>
      <c r="AB11" s="27" t="s">
        <v>7</v>
      </c>
      <c r="AC11" s="27" t="s">
        <v>8</v>
      </c>
      <c r="AF11" s="27" t="s">
        <v>7</v>
      </c>
      <c r="AG11" s="27" t="s">
        <v>8</v>
      </c>
      <c r="AH11" s="27" t="s">
        <v>7</v>
      </c>
      <c r="AK11" s="19"/>
    </row>
    <row r="12" spans="1:37" x14ac:dyDescent="0.25">
      <c r="A12" s="30">
        <v>32493.963047250312</v>
      </c>
      <c r="AA12" s="27" t="s">
        <v>8</v>
      </c>
      <c r="AB12" s="27" t="s">
        <v>7</v>
      </c>
      <c r="AC12" s="27" t="s">
        <v>8</v>
      </c>
      <c r="AF12" s="27" t="s">
        <v>7</v>
      </c>
      <c r="AG12" s="27" t="s">
        <v>8</v>
      </c>
    </row>
    <row r="13" spans="1:37" x14ac:dyDescent="0.25">
      <c r="A13" s="30">
        <v>29539.966406591189</v>
      </c>
      <c r="AA13" s="27" t="s">
        <v>8</v>
      </c>
      <c r="AB13" s="27" t="s">
        <v>7</v>
      </c>
      <c r="AF13" s="18" t="s">
        <v>7</v>
      </c>
    </row>
    <row r="14" spans="1:37" x14ac:dyDescent="0.25">
      <c r="A14" s="30">
        <v>26854.514915082898</v>
      </c>
      <c r="AA14" s="27" t="s">
        <v>8</v>
      </c>
    </row>
    <row r="15" spans="1:37" x14ac:dyDescent="0.25">
      <c r="A15" s="30">
        <v>24413.195377348089</v>
      </c>
      <c r="AA15" s="27" t="s">
        <v>8</v>
      </c>
    </row>
    <row r="16" spans="1:37" x14ac:dyDescent="0.25">
      <c r="A16" s="30">
        <v>22193.81397940735</v>
      </c>
      <c r="C16" s="1" t="s">
        <v>15</v>
      </c>
      <c r="AA16" s="27" t="s">
        <v>8</v>
      </c>
    </row>
    <row r="17" spans="1:37" x14ac:dyDescent="0.25">
      <c r="A17" s="30">
        <v>20176.194526733954</v>
      </c>
      <c r="C17" s="7">
        <v>0.11167815779424731</v>
      </c>
      <c r="D17"/>
      <c r="E17"/>
      <c r="AA17" s="27" t="s">
        <v>8</v>
      </c>
    </row>
    <row r="18" spans="1:37" x14ac:dyDescent="0.25">
      <c r="A18" s="30">
        <v>18341.995024303593</v>
      </c>
      <c r="E18"/>
      <c r="I18" s="27" t="s">
        <v>8</v>
      </c>
      <c r="AA18" s="27" t="s">
        <v>8</v>
      </c>
    </row>
    <row r="19" spans="1:37" x14ac:dyDescent="0.25">
      <c r="A19" s="30">
        <v>16674.540931185082</v>
      </c>
      <c r="C19" s="1" t="s">
        <v>11</v>
      </c>
      <c r="D19" s="1" t="s">
        <v>12</v>
      </c>
      <c r="E19"/>
      <c r="G19" s="27" t="s">
        <v>8</v>
      </c>
      <c r="I19" s="27" t="s">
        <v>8</v>
      </c>
      <c r="J19" s="27" t="s">
        <v>7</v>
      </c>
      <c r="K19" s="31" t="s">
        <v>8</v>
      </c>
      <c r="AA19" s="27" t="s">
        <v>8</v>
      </c>
    </row>
    <row r="20" spans="1:37" x14ac:dyDescent="0.25">
      <c r="A20" s="30">
        <v>15158.673573804617</v>
      </c>
      <c r="C20"/>
      <c r="D20"/>
      <c r="E20"/>
      <c r="G20" s="27" t="s">
        <v>8</v>
      </c>
      <c r="H20" s="27" t="s">
        <v>7</v>
      </c>
      <c r="I20" s="27" t="s">
        <v>8</v>
      </c>
      <c r="J20" s="27" t="s">
        <v>7</v>
      </c>
      <c r="K20" s="27" t="s">
        <v>8</v>
      </c>
      <c r="L20" s="31" t="s">
        <v>7</v>
      </c>
      <c r="AA20" s="27" t="s">
        <v>8</v>
      </c>
    </row>
    <row r="21" spans="1:37" x14ac:dyDescent="0.25">
      <c r="A21" s="30">
        <v>13780.612339822379</v>
      </c>
      <c r="E21"/>
      <c r="G21" s="27" t="s">
        <v>8</v>
      </c>
      <c r="H21" s="27" t="s">
        <v>7</v>
      </c>
      <c r="I21" s="27" t="s">
        <v>8</v>
      </c>
      <c r="J21" s="27" t="s">
        <v>7</v>
      </c>
      <c r="K21" s="27" t="s">
        <v>8</v>
      </c>
      <c r="L21" s="27" t="s">
        <v>7</v>
      </c>
      <c r="M21" s="31"/>
      <c r="U21" s="27" t="s">
        <v>8</v>
      </c>
      <c r="AA21" s="27" t="s">
        <v>8</v>
      </c>
    </row>
    <row r="22" spans="1:37" x14ac:dyDescent="0.25">
      <c r="A22" s="30">
        <v>12527.829399838525</v>
      </c>
      <c r="C22" s="1" t="s">
        <v>13</v>
      </c>
      <c r="E22"/>
      <c r="G22" s="27" t="s">
        <v>8</v>
      </c>
      <c r="H22" s="27" t="s">
        <v>7</v>
      </c>
      <c r="J22" s="27" t="s">
        <v>7</v>
      </c>
      <c r="K22" s="27" t="s">
        <v>8</v>
      </c>
      <c r="L22" s="27" t="s">
        <v>7</v>
      </c>
      <c r="M22" s="27" t="s">
        <v>8</v>
      </c>
      <c r="N22" s="31"/>
      <c r="U22" s="27" t="s">
        <v>8</v>
      </c>
      <c r="V22" s="27" t="s">
        <v>7</v>
      </c>
      <c r="AA22" s="27" t="s">
        <v>8</v>
      </c>
    </row>
    <row r="23" spans="1:37" x14ac:dyDescent="0.25">
      <c r="A23" s="30">
        <v>11388.935818035023</v>
      </c>
      <c r="C23" s="1">
        <f>C12</f>
        <v>0</v>
      </c>
      <c r="E23"/>
      <c r="G23" s="27" t="s">
        <v>8</v>
      </c>
      <c r="J23" s="27" t="s">
        <v>7</v>
      </c>
      <c r="L23" s="27" t="s">
        <v>7</v>
      </c>
      <c r="M23" s="27" t="s">
        <v>8</v>
      </c>
      <c r="N23" s="27" t="s">
        <v>7</v>
      </c>
      <c r="O23" s="31" t="s">
        <v>8</v>
      </c>
      <c r="U23" s="27" t="s">
        <v>8</v>
      </c>
      <c r="V23" s="27" t="s">
        <v>7</v>
      </c>
      <c r="AA23" s="33" t="s">
        <v>8</v>
      </c>
      <c r="AK23" s="31"/>
    </row>
    <row r="24" spans="1:37" x14ac:dyDescent="0.25">
      <c r="A24" s="30">
        <v>10353.578016395475</v>
      </c>
      <c r="C24"/>
      <c r="D24"/>
      <c r="E24"/>
      <c r="G24" s="27" t="s">
        <v>8</v>
      </c>
      <c r="L24" s="27" t="s">
        <v>7</v>
      </c>
      <c r="M24" s="27" t="s">
        <v>8</v>
      </c>
      <c r="N24" s="27" t="s">
        <v>7</v>
      </c>
      <c r="O24" s="27" t="s">
        <v>8</v>
      </c>
      <c r="P24" s="31" t="s">
        <v>7</v>
      </c>
      <c r="U24" s="27" t="s">
        <v>8</v>
      </c>
      <c r="V24" s="27" t="s">
        <v>7</v>
      </c>
      <c r="W24" s="32" t="s">
        <v>8</v>
      </c>
      <c r="Y24" s="32" t="s">
        <v>8</v>
      </c>
      <c r="AA24" s="27" t="s">
        <v>8</v>
      </c>
      <c r="AJ24" s="31"/>
    </row>
    <row r="25" spans="1:37" x14ac:dyDescent="0.25">
      <c r="A25" s="30">
        <v>9412.343651268613</v>
      </c>
      <c r="C25" s="1" t="s">
        <v>14</v>
      </c>
      <c r="E25"/>
      <c r="G25" s="27" t="s">
        <v>8</v>
      </c>
      <c r="L25" s="27" t="s">
        <v>7</v>
      </c>
      <c r="N25" s="27" t="s">
        <v>7</v>
      </c>
      <c r="O25" s="27" t="s">
        <v>8</v>
      </c>
      <c r="P25" s="27" t="s">
        <v>7</v>
      </c>
      <c r="Q25" s="31" t="s">
        <v>8</v>
      </c>
      <c r="U25" s="27" t="s">
        <v>8</v>
      </c>
      <c r="V25" s="27" t="s">
        <v>7</v>
      </c>
      <c r="W25" s="27" t="s">
        <v>8</v>
      </c>
      <c r="X25" s="27" t="s">
        <v>7</v>
      </c>
      <c r="Y25" s="27" t="s">
        <v>8</v>
      </c>
      <c r="Z25" s="27" t="s">
        <v>7</v>
      </c>
      <c r="AA25" s="27" t="s">
        <v>8</v>
      </c>
      <c r="AI25" s="31"/>
    </row>
    <row r="26" spans="1:37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  <c r="G26" s="27" t="s">
        <v>8</v>
      </c>
      <c r="N26" s="27" t="s">
        <v>7</v>
      </c>
      <c r="O26" s="27" t="s">
        <v>8</v>
      </c>
      <c r="P26" s="27" t="s">
        <v>7</v>
      </c>
      <c r="Q26" s="27" t="s">
        <v>8</v>
      </c>
      <c r="R26" s="31" t="s">
        <v>7</v>
      </c>
      <c r="U26" s="33" t="s">
        <v>8</v>
      </c>
      <c r="V26" s="27" t="s">
        <v>7</v>
      </c>
      <c r="W26" s="27" t="s">
        <v>8</v>
      </c>
      <c r="X26" s="27" t="s">
        <v>7</v>
      </c>
      <c r="Y26" s="27" t="s">
        <v>8</v>
      </c>
      <c r="Z26" s="27" t="s">
        <v>7</v>
      </c>
      <c r="AA26" s="27" t="s">
        <v>8</v>
      </c>
      <c r="AH26" s="31"/>
    </row>
    <row r="27" spans="1:37" x14ac:dyDescent="0.25">
      <c r="A27" s="30">
        <v>7778.7964060071163</v>
      </c>
      <c r="E27"/>
      <c r="G27" s="27" t="s">
        <v>8</v>
      </c>
      <c r="N27" s="27" t="s">
        <v>7</v>
      </c>
      <c r="O27" s="27" t="s">
        <v>8</v>
      </c>
      <c r="P27" s="27" t="s">
        <v>7</v>
      </c>
      <c r="Q27" s="27" t="s">
        <v>8</v>
      </c>
      <c r="R27" s="27" t="s">
        <v>7</v>
      </c>
      <c r="S27" s="31" t="s">
        <v>8</v>
      </c>
      <c r="U27" s="27" t="s">
        <v>8</v>
      </c>
      <c r="V27" s="27" t="s">
        <v>7</v>
      </c>
      <c r="X27" s="27" t="s">
        <v>7</v>
      </c>
      <c r="Y27" s="27" t="s">
        <v>8</v>
      </c>
      <c r="Z27" s="27" t="s">
        <v>7</v>
      </c>
      <c r="AA27" s="27" t="s">
        <v>8</v>
      </c>
      <c r="AG27" s="35"/>
    </row>
    <row r="28" spans="1:37" x14ac:dyDescent="0.25">
      <c r="A28" s="30">
        <v>7071.6330963701048</v>
      </c>
      <c r="E28"/>
      <c r="G28" s="27" t="s">
        <v>8</v>
      </c>
      <c r="N28" s="27" t="s">
        <v>7</v>
      </c>
      <c r="O28" s="27" t="s">
        <v>8</v>
      </c>
      <c r="P28" s="27" t="s">
        <v>7</v>
      </c>
      <c r="R28" s="27" t="s">
        <v>7</v>
      </c>
      <c r="S28" s="27" t="s">
        <v>8</v>
      </c>
      <c r="T28" s="31" t="s">
        <v>7</v>
      </c>
      <c r="U28" s="27" t="s">
        <v>8</v>
      </c>
      <c r="X28" s="34" t="s">
        <v>7</v>
      </c>
      <c r="Z28" s="27" t="s">
        <v>7</v>
      </c>
      <c r="AA28" s="27" t="s">
        <v>8</v>
      </c>
      <c r="AF28" s="35"/>
    </row>
    <row r="29" spans="1:37" x14ac:dyDescent="0.25">
      <c r="A29" s="30">
        <v>6428.7573603364581</v>
      </c>
      <c r="E29"/>
      <c r="G29" s="27" t="s">
        <v>8</v>
      </c>
      <c r="N29" s="27" t="s">
        <v>7</v>
      </c>
      <c r="R29" s="27" t="s">
        <v>7</v>
      </c>
      <c r="S29" s="27" t="s">
        <v>8</v>
      </c>
      <c r="T29" s="27" t="s">
        <v>7</v>
      </c>
      <c r="U29" s="31" t="s">
        <v>8</v>
      </c>
      <c r="Z29" s="27" t="s">
        <v>7</v>
      </c>
      <c r="AA29" s="27" t="s">
        <v>8</v>
      </c>
      <c r="AE29" s="35"/>
    </row>
    <row r="30" spans="1:37" x14ac:dyDescent="0.25">
      <c r="A30" s="30">
        <v>5844.3248730331434</v>
      </c>
      <c r="E30"/>
      <c r="G30" s="27" t="s">
        <v>8</v>
      </c>
      <c r="R30" s="27" t="s">
        <v>7</v>
      </c>
      <c r="T30" s="27" t="s">
        <v>7</v>
      </c>
      <c r="U30" s="27" t="s">
        <v>8</v>
      </c>
      <c r="Z30" s="27" t="s">
        <v>7</v>
      </c>
      <c r="AA30" s="27" t="s">
        <v>8</v>
      </c>
      <c r="AD30" s="35"/>
    </row>
    <row r="31" spans="1:37" x14ac:dyDescent="0.25">
      <c r="A31" s="30">
        <v>5313.0226118483115</v>
      </c>
      <c r="E31"/>
      <c r="G31" s="27" t="s">
        <v>8</v>
      </c>
      <c r="T31" s="27" t="s">
        <v>7</v>
      </c>
      <c r="U31" s="27" t="s">
        <v>8</v>
      </c>
      <c r="Z31" s="27" t="s">
        <v>7</v>
      </c>
      <c r="AA31" s="27" t="s">
        <v>8</v>
      </c>
      <c r="AC31" s="35"/>
    </row>
    <row r="32" spans="1:37" x14ac:dyDescent="0.25">
      <c r="A32" s="30">
        <v>4830.020556225737</v>
      </c>
      <c r="E32" t="s">
        <v>8</v>
      </c>
      <c r="G32" s="27" t="s">
        <v>8</v>
      </c>
      <c r="T32" s="27" t="s">
        <v>7</v>
      </c>
      <c r="U32" s="27" t="s">
        <v>8</v>
      </c>
      <c r="Z32" s="27" t="s">
        <v>7</v>
      </c>
      <c r="AA32" s="27" t="s">
        <v>8</v>
      </c>
      <c r="AB32" s="35"/>
    </row>
    <row r="33" spans="1:27" x14ac:dyDescent="0.25">
      <c r="A33" s="30">
        <v>4390.927778387033</v>
      </c>
      <c r="E33" t="s">
        <v>8</v>
      </c>
      <c r="F33" s="27" t="s">
        <v>7</v>
      </c>
      <c r="G33" s="27" t="s">
        <v>8</v>
      </c>
      <c r="T33" s="27" t="s">
        <v>7</v>
      </c>
      <c r="U33" s="27" t="s">
        <v>8</v>
      </c>
      <c r="Z33" s="27" t="s">
        <v>7</v>
      </c>
      <c r="AA33" s="35" t="s">
        <v>8</v>
      </c>
    </row>
    <row r="34" spans="1:27" x14ac:dyDescent="0.25">
      <c r="A34" s="30">
        <v>3991.7525258063934</v>
      </c>
      <c r="E34" t="s">
        <v>8</v>
      </c>
      <c r="F34" s="27" t="s">
        <v>7</v>
      </c>
      <c r="G34" s="27" t="s">
        <v>8</v>
      </c>
      <c r="T34" s="27" t="s">
        <v>7</v>
      </c>
      <c r="U34" s="27" t="s">
        <v>8</v>
      </c>
      <c r="Z34" s="35" t="s">
        <v>7</v>
      </c>
    </row>
    <row r="35" spans="1:27" x14ac:dyDescent="0.25">
      <c r="A35" s="30">
        <v>3628.8659325512663</v>
      </c>
      <c r="E35" t="s">
        <v>8</v>
      </c>
      <c r="F35" s="27" t="s">
        <v>7</v>
      </c>
      <c r="G35" s="27" t="s">
        <v>8</v>
      </c>
      <c r="T35" s="27" t="s">
        <v>7</v>
      </c>
      <c r="U35" s="27" t="s">
        <v>8</v>
      </c>
    </row>
    <row r="36" spans="1:27" x14ac:dyDescent="0.25">
      <c r="A36" s="30">
        <v>3298.96902959206</v>
      </c>
      <c r="E36" t="s">
        <v>8</v>
      </c>
      <c r="F36" s="27" t="s">
        <v>7</v>
      </c>
      <c r="G36" s="27" t="s">
        <v>8</v>
      </c>
      <c r="T36" s="27" t="s">
        <v>7</v>
      </c>
    </row>
    <row r="37" spans="1:27" x14ac:dyDescent="0.25">
      <c r="A37" s="30">
        <v>2999.0627541745998</v>
      </c>
      <c r="E37" t="s">
        <v>8</v>
      </c>
      <c r="F37" s="27" t="s">
        <v>7</v>
      </c>
    </row>
    <row r="38" spans="1:27" x14ac:dyDescent="0.25">
      <c r="A38" s="30">
        <v>2726.4206856132723</v>
      </c>
      <c r="E38" t="s">
        <v>8</v>
      </c>
    </row>
    <row r="39" spans="1:27" x14ac:dyDescent="0.25">
      <c r="A39" s="30">
        <v>2478.564259648429</v>
      </c>
      <c r="E39" t="s">
        <v>8</v>
      </c>
    </row>
    <row r="40" spans="1:27" x14ac:dyDescent="0.25">
      <c r="A40" s="30">
        <v>2253.240236044026</v>
      </c>
      <c r="E40" t="s">
        <v>8</v>
      </c>
    </row>
    <row r="41" spans="1:27" x14ac:dyDescent="0.25">
      <c r="A41" s="30">
        <v>2048.4002145854779</v>
      </c>
      <c r="E41" t="s">
        <v>8</v>
      </c>
    </row>
    <row r="42" spans="1:27" x14ac:dyDescent="0.25">
      <c r="A42" s="30">
        <v>1862.1820132595253</v>
      </c>
      <c r="C42" s="1" t="s">
        <v>15</v>
      </c>
      <c r="E42" t="s">
        <v>8</v>
      </c>
    </row>
    <row r="43" spans="1:27" x14ac:dyDescent="0.25">
      <c r="A43" s="30">
        <v>1692.8927393268411</v>
      </c>
      <c r="C43" s="7">
        <v>0.11167815779424731</v>
      </c>
      <c r="D43"/>
      <c r="E43" t="s">
        <v>8</v>
      </c>
    </row>
    <row r="44" spans="1:27" x14ac:dyDescent="0.25">
      <c r="A44" s="30">
        <v>1538.9933993880372</v>
      </c>
      <c r="E44" t="s">
        <v>8</v>
      </c>
    </row>
    <row r="45" spans="1:27" x14ac:dyDescent="0.25">
      <c r="A45" s="30">
        <v>1399.0849085345792</v>
      </c>
      <c r="C45" s="1" t="s">
        <v>11</v>
      </c>
      <c r="D45" s="1" t="s">
        <v>12</v>
      </c>
      <c r="E45" t="s">
        <v>8</v>
      </c>
    </row>
    <row r="46" spans="1:27" x14ac:dyDescent="0.25">
      <c r="A46" s="30">
        <v>1271.8953713950718</v>
      </c>
      <c r="C46"/>
      <c r="D46"/>
      <c r="E46" t="s">
        <v>8</v>
      </c>
    </row>
    <row r="47" spans="1:27" x14ac:dyDescent="0.25">
      <c r="A47" s="30">
        <v>1156.2685194500652</v>
      </c>
      <c r="E47" t="s">
        <v>8</v>
      </c>
    </row>
    <row r="48" spans="1:27" x14ac:dyDescent="0.25">
      <c r="A48" s="30">
        <v>1051.1531995000591</v>
      </c>
      <c r="C48" s="1" t="s">
        <v>13</v>
      </c>
      <c r="E48" t="s">
        <v>8</v>
      </c>
    </row>
    <row r="49" spans="1:5" x14ac:dyDescent="0.25">
      <c r="A49" s="30">
        <v>955.59381772732638</v>
      </c>
      <c r="C49" s="1">
        <f>C38</f>
        <v>0</v>
      </c>
      <c r="E49" t="s">
        <v>8</v>
      </c>
    </row>
    <row r="50" spans="1:5" x14ac:dyDescent="0.25">
      <c r="A50" s="30">
        <v>868.72165247938756</v>
      </c>
      <c r="C50"/>
      <c r="D50"/>
      <c r="E50" t="s">
        <v>8</v>
      </c>
    </row>
    <row r="51" spans="1:5" x14ac:dyDescent="0.25">
      <c r="A51" s="30">
        <v>789.74695679944318</v>
      </c>
      <c r="C51" s="1" t="s">
        <v>14</v>
      </c>
      <c r="E51" t="s">
        <v>8</v>
      </c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 t="s">
        <v>8</v>
      </c>
    </row>
    <row r="53" spans="1:5" x14ac:dyDescent="0.25">
      <c r="A53" s="30">
        <v>652.68343537144051</v>
      </c>
      <c r="E53" t="s">
        <v>8</v>
      </c>
    </row>
    <row r="54" spans="1:5" x14ac:dyDescent="0.25">
      <c r="A54" s="30">
        <v>593.34857761040041</v>
      </c>
      <c r="E54" t="s">
        <v>8</v>
      </c>
    </row>
    <row r="55" spans="1:5" x14ac:dyDescent="0.25">
      <c r="A55" s="30">
        <v>539.40779782763673</v>
      </c>
      <c r="E55" t="s">
        <v>8</v>
      </c>
    </row>
    <row r="56" spans="1:5" x14ac:dyDescent="0.25">
      <c r="A56" s="30">
        <v>490.37072529785149</v>
      </c>
      <c r="E56" t="s">
        <v>8</v>
      </c>
    </row>
    <row r="57" spans="1:5" x14ac:dyDescent="0.25">
      <c r="A57" s="30">
        <v>445.79156845259223</v>
      </c>
      <c r="E57" t="s">
        <v>8</v>
      </c>
    </row>
    <row r="58" spans="1:5" x14ac:dyDescent="0.25">
      <c r="A58" s="30">
        <v>405.26506222962928</v>
      </c>
      <c r="E58" t="s">
        <v>8</v>
      </c>
    </row>
    <row r="59" spans="1:5" x14ac:dyDescent="0.25">
      <c r="A59" s="30">
        <v>368.42278384511752</v>
      </c>
      <c r="E59" t="s">
        <v>8</v>
      </c>
    </row>
    <row r="60" spans="1:5" x14ac:dyDescent="0.25">
      <c r="A60" s="30">
        <v>334.92980349556137</v>
      </c>
      <c r="E60" t="s">
        <v>8</v>
      </c>
    </row>
    <row r="61" spans="1:5" x14ac:dyDescent="0.25">
      <c r="A61" s="30">
        <v>304.48163954141938</v>
      </c>
      <c r="E61" t="s">
        <v>8</v>
      </c>
    </row>
    <row r="62" spans="1:5" x14ac:dyDescent="0.25">
      <c r="A62" s="30">
        <v>276.80149049219943</v>
      </c>
      <c r="E62" t="s">
        <v>8</v>
      </c>
    </row>
    <row r="63" spans="1:5" x14ac:dyDescent="0.25">
      <c r="A63" s="30">
        <v>251.63771862927217</v>
      </c>
      <c r="E63" t="s">
        <v>8</v>
      </c>
    </row>
    <row r="64" spans="1:5" x14ac:dyDescent="0.25">
      <c r="A64" s="30">
        <v>228.76156239024741</v>
      </c>
      <c r="E64" t="s">
        <v>8</v>
      </c>
    </row>
    <row r="65" spans="1:5" x14ac:dyDescent="0.25">
      <c r="A65" s="30">
        <v>207.96505671840671</v>
      </c>
      <c r="E65" t="s">
        <v>8</v>
      </c>
    </row>
    <row r="66" spans="1:5" x14ac:dyDescent="0.25">
      <c r="A66" s="30">
        <v>189.05914247127882</v>
      </c>
      <c r="E66" t="s">
        <v>8</v>
      </c>
    </row>
    <row r="67" spans="1:5" x14ac:dyDescent="0.25">
      <c r="A67" s="30">
        <v>171.87194770116255</v>
      </c>
      <c r="C67" s="1" t="s">
        <v>15</v>
      </c>
      <c r="E67" t="s">
        <v>8</v>
      </c>
    </row>
    <row r="68" spans="1:5" x14ac:dyDescent="0.25">
      <c r="A68" s="30">
        <v>156.24722518287504</v>
      </c>
      <c r="C68" s="7">
        <v>0.11167815779424731</v>
      </c>
      <c r="D68"/>
      <c r="E68" t="s">
        <v>8</v>
      </c>
    </row>
    <row r="69" spans="1:5" x14ac:dyDescent="0.25">
      <c r="A69" s="30">
        <v>142.04293198443185</v>
      </c>
      <c r="E69" t="s">
        <v>8</v>
      </c>
    </row>
    <row r="70" spans="1:5" x14ac:dyDescent="0.25">
      <c r="A70" s="30">
        <v>129.1299381676653</v>
      </c>
      <c r="C70" s="1" t="s">
        <v>11</v>
      </c>
      <c r="D70" s="1" t="s">
        <v>12</v>
      </c>
      <c r="E70" t="s">
        <v>8</v>
      </c>
    </row>
    <row r="71" spans="1:5" x14ac:dyDescent="0.25">
      <c r="A71" s="30">
        <v>117.39085287969573</v>
      </c>
      <c r="C71"/>
      <c r="D71"/>
      <c r="E71" t="s">
        <v>8</v>
      </c>
    </row>
    <row r="72" spans="1:5" x14ac:dyDescent="0.25">
      <c r="A72" s="30">
        <v>106.71895716335975</v>
      </c>
      <c r="E72" t="s">
        <v>8</v>
      </c>
    </row>
    <row r="73" spans="1:5" x14ac:dyDescent="0.25">
      <c r="A73" s="30">
        <v>97.017233784872488</v>
      </c>
      <c r="C73" s="1" t="s">
        <v>13</v>
      </c>
      <c r="E73" t="s">
        <v>8</v>
      </c>
    </row>
    <row r="74" spans="1:5" x14ac:dyDescent="0.25">
      <c r="A74" s="30">
        <v>88.197485258974979</v>
      </c>
      <c r="C74" s="1">
        <f>C63</f>
        <v>0</v>
      </c>
      <c r="E74" t="s">
        <v>8</v>
      </c>
    </row>
    <row r="75" spans="1:5" x14ac:dyDescent="0.25">
      <c r="A75" s="30">
        <v>80.179532053613613</v>
      </c>
      <c r="C75"/>
      <c r="D75"/>
      <c r="E75" t="s">
        <v>8</v>
      </c>
    </row>
    <row r="76" spans="1:5" x14ac:dyDescent="0.25">
      <c r="A76" s="30">
        <v>72.890483685103277</v>
      </c>
      <c r="C76" s="1" t="s">
        <v>14</v>
      </c>
      <c r="E76" t="s">
        <v>8</v>
      </c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 t="s">
        <v>8</v>
      </c>
    </row>
    <row r="78" spans="1:5" x14ac:dyDescent="0.25">
      <c r="A78" s="30">
        <v>60.240069161242367</v>
      </c>
      <c r="E78" t="s">
        <v>8</v>
      </c>
    </row>
    <row r="79" spans="1:5" x14ac:dyDescent="0.25">
      <c r="A79" s="30">
        <v>54.763699237493057</v>
      </c>
      <c r="E79" t="s">
        <v>8</v>
      </c>
    </row>
    <row r="80" spans="1:5" x14ac:dyDescent="0.25">
      <c r="A80" s="30">
        <v>49.785181124993684</v>
      </c>
      <c r="E80" t="s">
        <v>8</v>
      </c>
    </row>
    <row r="81" spans="1:5" x14ac:dyDescent="0.25">
      <c r="A81" s="30">
        <v>45.259255568176073</v>
      </c>
      <c r="E81" t="s">
        <v>8</v>
      </c>
    </row>
    <row r="82" spans="1:5" x14ac:dyDescent="0.25">
      <c r="A82" s="30">
        <v>41.144777789250973</v>
      </c>
      <c r="E82" t="s">
        <v>8</v>
      </c>
    </row>
    <row r="83" spans="1:5" x14ac:dyDescent="0.25">
      <c r="A83" s="30">
        <v>37.404343444773609</v>
      </c>
      <c r="E83" t="s">
        <v>8</v>
      </c>
    </row>
    <row r="84" spans="1:5" x14ac:dyDescent="0.25">
      <c r="A84" s="30">
        <v>34.003948586157826</v>
      </c>
      <c r="E84" t="s">
        <v>8</v>
      </c>
    </row>
    <row r="85" spans="1:5" x14ac:dyDescent="0.25">
      <c r="A85" s="30">
        <v>30.912680532870748</v>
      </c>
      <c r="E85" t="s">
        <v>8</v>
      </c>
    </row>
    <row r="86" spans="1:5" x14ac:dyDescent="0.25">
      <c r="A86" s="30">
        <v>28.102436848064315</v>
      </c>
      <c r="E86" t="s">
        <v>8</v>
      </c>
    </row>
    <row r="87" spans="1:5" x14ac:dyDescent="0.25">
      <c r="A87" s="30">
        <v>25.547669861876649</v>
      </c>
      <c r="E87" t="s">
        <v>8</v>
      </c>
    </row>
    <row r="88" spans="1:5" x14ac:dyDescent="0.25">
      <c r="A88" s="30">
        <v>23.225154419887861</v>
      </c>
      <c r="E88" t="s">
        <v>8</v>
      </c>
    </row>
    <row r="89" spans="1:5" x14ac:dyDescent="0.25">
      <c r="A89" s="30">
        <v>21.113776745352599</v>
      </c>
      <c r="E89" t="s">
        <v>8</v>
      </c>
    </row>
    <row r="90" spans="1:5" x14ac:dyDescent="0.25">
      <c r="A90" s="30">
        <v>19.194342495775089</v>
      </c>
      <c r="E90" t="s">
        <v>8</v>
      </c>
    </row>
    <row r="91" spans="1:5" x14ac:dyDescent="0.25">
      <c r="A91" s="30">
        <v>17.449402268886445</v>
      </c>
      <c r="E91" t="s">
        <v>8</v>
      </c>
    </row>
    <row r="92" spans="1:5" x14ac:dyDescent="0.25">
      <c r="A92" s="30">
        <v>15.863092971714948</v>
      </c>
      <c r="C92" s="1" t="s">
        <v>15</v>
      </c>
      <c r="E92" t="s">
        <v>8</v>
      </c>
    </row>
    <row r="93" spans="1:5" x14ac:dyDescent="0.25">
      <c r="A93" s="30">
        <v>14.420993610649951</v>
      </c>
      <c r="C93" s="7">
        <v>0.11167815779424731</v>
      </c>
      <c r="D93"/>
      <c r="E93" t="s">
        <v>8</v>
      </c>
    </row>
    <row r="94" spans="1:5" x14ac:dyDescent="0.25">
      <c r="A94" s="30">
        <v>13.109994191499954</v>
      </c>
      <c r="E94" t="s">
        <v>8</v>
      </c>
    </row>
    <row r="95" spans="1:5" x14ac:dyDescent="0.25">
      <c r="A95" s="30">
        <v>11.918176537727231</v>
      </c>
      <c r="C95" s="1" t="s">
        <v>11</v>
      </c>
      <c r="D95" s="1" t="s">
        <v>12</v>
      </c>
      <c r="E95" t="s">
        <v>8</v>
      </c>
    </row>
    <row r="96" spans="1:5" x14ac:dyDescent="0.25">
      <c r="A96" s="30">
        <v>10.834705943388391</v>
      </c>
      <c r="C96"/>
      <c r="D96"/>
      <c r="E96" t="s">
        <v>8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$A$10</v>
      </c>
      <c r="D111" s="1" t="str">
        <f>ADDRESS(C121-1,D121,1,1)</f>
        <v>$AH$10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$A$11</v>
      </c>
      <c r="D112" s="1" t="str">
        <f>ADDRESS(C121,D121-1,1,1)</f>
        <v>$AG$11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$A$12</v>
      </c>
      <c r="D113" s="1" t="str">
        <f>ADDRESS(C121-1,D121+1,1,1)</f>
        <v>$AI$10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$AH$11</v>
      </c>
      <c r="D114" s="1" t="str">
        <f>ADDRESS(C121+1,D121+1,1,1)</f>
        <v>$AI$12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$AH$12</v>
      </c>
      <c r="E115" s="1" t="s">
        <v>8</v>
      </c>
    </row>
    <row r="116" spans="1:5" x14ac:dyDescent="0.25">
      <c r="A116" s="30">
        <v>1.6105100000000008</v>
      </c>
      <c r="C116" s="1">
        <f>C117-1</f>
        <v>10</v>
      </c>
      <c r="E116" s="1" t="s">
        <v>8</v>
      </c>
    </row>
    <row r="117" spans="1:5" x14ac:dyDescent="0.25">
      <c r="A117" s="30">
        <v>1.4641000000000006</v>
      </c>
      <c r="C117" s="1">
        <f>C121</f>
        <v>11</v>
      </c>
      <c r="D117" s="1">
        <f>D121</f>
        <v>34</v>
      </c>
      <c r="E117" s="1" t="s">
        <v>8</v>
      </c>
    </row>
    <row r="118" spans="1:5" x14ac:dyDescent="0.25">
      <c r="A118" s="30">
        <v>1.3310000000000004</v>
      </c>
      <c r="C118" s="1">
        <f>C117+1</f>
        <v>12</v>
      </c>
      <c r="D118" s="1">
        <f>D117+1</f>
        <v>35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11</v>
      </c>
      <c r="D121" s="19">
        <v>34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R11</v>
      </c>
      <c r="D123" s="1" t="str">
        <f>"C"&amp;D121</f>
        <v>C34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35743.359351975349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21" priority="2029" operator="equal">
      <formula>$U$1</formula>
    </cfRule>
    <cfRule type="cellIs" dxfId="20" priority="2030" operator="equal">
      <formula>$S$1</formula>
    </cfRule>
  </conditionalFormatting>
  <conditionalFormatting sqref="D136">
    <cfRule type="cellIs" dxfId="19" priority="2027" operator="equal">
      <formula>$S$1</formula>
    </cfRule>
    <cfRule type="cellIs" dxfId="18" priority="2028" operator="equal">
      <formula>$U$1</formula>
    </cfRule>
  </conditionalFormatting>
  <conditionalFormatting sqref="C102">
    <cfRule type="cellIs" dxfId="17" priority="2025" operator="equal">
      <formula>$U$1</formula>
    </cfRule>
    <cfRule type="cellIs" dxfId="16" priority="2026" operator="equal">
      <formula>$S$1</formula>
    </cfRule>
  </conditionalFormatting>
  <conditionalFormatting sqref="D102">
    <cfRule type="cellIs" dxfId="15" priority="2023" operator="equal">
      <formula>$S$1</formula>
    </cfRule>
    <cfRule type="cellIs" dxfId="14" priority="2024" operator="equal">
      <formula>$U$1</formula>
    </cfRule>
  </conditionalFormatting>
  <conditionalFormatting sqref="C77">
    <cfRule type="cellIs" dxfId="13" priority="2021" operator="equal">
      <formula>$U$1</formula>
    </cfRule>
    <cfRule type="cellIs" dxfId="12" priority="2022" operator="equal">
      <formula>$S$1</formula>
    </cfRule>
  </conditionalFormatting>
  <conditionalFormatting sqref="D77">
    <cfRule type="cellIs" dxfId="11" priority="2019" operator="equal">
      <formula>$S$1</formula>
    </cfRule>
    <cfRule type="cellIs" dxfId="10" priority="2020" operator="equal">
      <formula>$U$1</formula>
    </cfRule>
  </conditionalFormatting>
  <conditionalFormatting sqref="C52">
    <cfRule type="cellIs" dxfId="9" priority="2017" operator="equal">
      <formula>$U$1</formula>
    </cfRule>
    <cfRule type="cellIs" dxfId="8" priority="2018" operator="equal">
      <formula>$S$1</formula>
    </cfRule>
  </conditionalFormatting>
  <conditionalFormatting sqref="D52">
    <cfRule type="cellIs" dxfId="7" priority="2015" operator="equal">
      <formula>$S$1</formula>
    </cfRule>
    <cfRule type="cellIs" dxfId="6" priority="2016" operator="equal">
      <formula>$U$1</formula>
    </cfRule>
  </conditionalFormatting>
  <conditionalFormatting sqref="C26">
    <cfRule type="cellIs" dxfId="5" priority="2013" operator="equal">
      <formula>$U$1</formula>
    </cfRule>
    <cfRule type="cellIs" dxfId="4" priority="2014" operator="equal">
      <formula>$S$1</formula>
    </cfRule>
  </conditionalFormatting>
  <conditionalFormatting sqref="D26">
    <cfRule type="cellIs" dxfId="3" priority="2011" operator="equal">
      <formula>$S$1</formula>
    </cfRule>
    <cfRule type="cellIs" dxfId="2" priority="2012" operator="equal">
      <formula>$U$1</formula>
    </cfRule>
  </conditionalFormatting>
  <conditionalFormatting sqref="D130">
    <cfRule type="cellIs" dxfId="1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H5" sqref="H5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4" width="8.7109375" style="1" customWidth="1"/>
    <col min="5" max="5" width="13.140625" style="1" customWidth="1"/>
    <col min="6" max="6" width="14.28515625" style="1" customWidth="1"/>
    <col min="7" max="7" width="12.140625" style="1" customWidth="1"/>
    <col min="8" max="8" width="12.28515625" style="1" customWidth="1"/>
    <col min="9" max="9" width="8.7109375" style="1" customWidth="1"/>
    <col min="10" max="10" width="12.5703125" style="1" customWidth="1"/>
    <col min="11" max="11" width="11.42578125" style="1" customWidth="1"/>
    <col min="12" max="35" width="8.7109375" style="1" customWidth="1"/>
  </cols>
  <sheetData>
    <row r="1" spans="1:35" x14ac:dyDescent="0.25">
      <c r="A1" s="1" t="s">
        <v>16</v>
      </c>
      <c r="B1" s="37" t="s">
        <v>17</v>
      </c>
      <c r="C1" s="37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>
        <v>0.05</v>
      </c>
      <c r="E3" s="30">
        <v>29576.181571575482</v>
      </c>
      <c r="F3" s="30">
        <v>31054.990650154257</v>
      </c>
      <c r="G3" s="30">
        <v>48176.483242533301</v>
      </c>
      <c r="H3" s="25">
        <f>IF(G3="","",(3*(G3-F3))+E3)</f>
        <v>80940.659348712608</v>
      </c>
      <c r="I3" s="7"/>
      <c r="J3" s="7">
        <f>(E3+G3)/2</f>
        <v>38876.332407054389</v>
      </c>
      <c r="K3" s="7">
        <f>H3/2</f>
        <v>40470.329674356304</v>
      </c>
      <c r="M3" s="26">
        <f>IF(OR(J3="",H3=""),"",H3/J3)</f>
        <v>2.0820034796807465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>
        <v>0.02</v>
      </c>
      <c r="E4" s="7">
        <v>29654.411939489171</v>
      </c>
      <c r="F4" s="7">
        <v>30247.500178278955</v>
      </c>
      <c r="G4" s="7">
        <v>39910.934120979538</v>
      </c>
      <c r="H4" s="25">
        <f t="shared" ref="H4:H25" si="0">IF(G4="","",(3*(G4-F4))+E4)</f>
        <v>58644.713767590918</v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>
        <v>0.02</v>
      </c>
      <c r="E5" s="7">
        <v>39910.934120979538</v>
      </c>
      <c r="F5" s="7">
        <v>42353.802576656453</v>
      </c>
      <c r="G5" s="7">
        <v>66787.680118837277</v>
      </c>
      <c r="H5" s="25">
        <f t="shared" si="0"/>
        <v>113212.56674752201</v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2022-05-23T14:48:29Z</dcterms:modified>
</cp:coreProperties>
</file>