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5DF7939-F7F5-450E-8644-A2320214E49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D136" i="4" s="1"/>
  <c r="C118" i="4"/>
  <c r="C116" i="3"/>
  <c r="C122" i="3"/>
  <c r="C133" i="3" s="1"/>
  <c r="C136" i="3" s="1"/>
  <c r="D118" i="3"/>
  <c r="R765" i="1"/>
  <c r="D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S761" i="1" l="1"/>
  <c r="T761" i="1" s="1"/>
  <c r="R760" i="1"/>
  <c r="R759" i="1" l="1"/>
  <c r="S760" i="1"/>
  <c r="T760" i="1" s="1"/>
  <c r="S759" i="1" l="1"/>
  <c r="T759" i="1" s="1"/>
  <c r="R758" i="1"/>
  <c r="R757" i="1" l="1"/>
  <c r="S758" i="1"/>
  <c r="T758" i="1" s="1"/>
  <c r="S757" i="1" l="1"/>
  <c r="T757" i="1" s="1"/>
  <c r="R756" i="1"/>
  <c r="R755" i="1" l="1"/>
  <c r="S756" i="1"/>
  <c r="T756" i="1" s="1"/>
  <c r="S755" i="1" l="1"/>
  <c r="T755" i="1" s="1"/>
  <c r="R754" i="1"/>
  <c r="S754" i="1" l="1"/>
  <c r="T754" i="1" s="1"/>
  <c r="R753" i="1"/>
  <c r="S753" i="1" l="1"/>
  <c r="T753" i="1" s="1"/>
  <c r="R752" i="1"/>
  <c r="R751" i="1" l="1"/>
  <c r="S752" i="1"/>
  <c r="T752" i="1" s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S738" i="1" l="1"/>
  <c r="T738" i="1" s="1"/>
  <c r="R737" i="1"/>
  <c r="S737" i="1" l="1"/>
  <c r="T737" i="1" s="1"/>
  <c r="R736" i="1"/>
  <c r="R735" i="1" l="1"/>
  <c r="S736" i="1"/>
  <c r="T736" i="1" s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S724" i="1" l="1"/>
  <c r="T724" i="1" s="1"/>
  <c r="R723" i="1"/>
  <c r="S723" i="1" l="1"/>
  <c r="T723" i="1" s="1"/>
  <c r="R722" i="1"/>
  <c r="S722" i="1" l="1"/>
  <c r="T722" i="1" s="1"/>
  <c r="R721" i="1"/>
  <c r="S721" i="1" l="1"/>
  <c r="T721" i="1" s="1"/>
  <c r="R720" i="1"/>
  <c r="S720" i="1" l="1"/>
  <c r="T720" i="1" s="1"/>
  <c r="R719" i="1"/>
  <c r="R718" i="1" l="1"/>
  <c r="S719" i="1"/>
  <c r="T719" i="1" s="1"/>
  <c r="S718" i="1" l="1"/>
  <c r="T718" i="1" s="1"/>
  <c r="R717" i="1"/>
  <c r="S717" i="1" l="1"/>
  <c r="T717" i="1" s="1"/>
  <c r="R716" i="1"/>
  <c r="S716" i="1" l="1"/>
  <c r="T716" i="1" s="1"/>
  <c r="R715" i="1"/>
  <c r="S715" i="1" l="1"/>
  <c r="T715" i="1" s="1"/>
  <c r="R714" i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S710" i="1" l="1"/>
  <c r="T710" i="1" s="1"/>
  <c r="R709" i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S701" i="1" l="1"/>
  <c r="T701" i="1" s="1"/>
  <c r="R700" i="1"/>
  <c r="S700" i="1" l="1"/>
  <c r="T700" i="1" s="1"/>
  <c r="R699" i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S690" i="1" l="1"/>
  <c r="T690" i="1" s="1"/>
  <c r="R689" i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S673" i="1" l="1"/>
  <c r="T673" i="1" s="1"/>
  <c r="R672" i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R667" i="1" l="1"/>
  <c r="S668" i="1"/>
  <c r="T668" i="1" s="1"/>
  <c r="S667" i="1" l="1"/>
  <c r="T667" i="1" s="1"/>
  <c r="R666" i="1"/>
  <c r="R665" i="1" l="1"/>
  <c r="S666" i="1"/>
  <c r="T666" i="1" s="1"/>
  <c r="S665" i="1" l="1"/>
  <c r="T665" i="1" s="1"/>
  <c r="R664" i="1"/>
  <c r="S664" i="1" l="1"/>
  <c r="T664" i="1" s="1"/>
  <c r="R663" i="1"/>
  <c r="S663" i="1" l="1"/>
  <c r="T663" i="1" s="1"/>
  <c r="R662" i="1"/>
  <c r="R661" i="1" l="1"/>
  <c r="S662" i="1"/>
  <c r="T662" i="1" s="1"/>
  <c r="S661" i="1" l="1"/>
  <c r="T661" i="1" s="1"/>
  <c r="R660" i="1"/>
  <c r="R659" i="1" l="1"/>
  <c r="S660" i="1"/>
  <c r="T660" i="1" s="1"/>
  <c r="R658" i="1" l="1"/>
  <c r="S659" i="1"/>
  <c r="T659" i="1" s="1"/>
  <c r="S658" i="1" l="1"/>
  <c r="T658" i="1" s="1"/>
  <c r="R657" i="1"/>
  <c r="S657" i="1" l="1"/>
  <c r="T657" i="1" s="1"/>
  <c r="R656" i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R648" i="1" l="1"/>
  <c r="S649" i="1"/>
  <c r="T649" i="1" s="1"/>
  <c r="S648" i="1" l="1"/>
  <c r="T648" i="1" s="1"/>
  <c r="R647" i="1"/>
  <c r="S647" i="1" l="1"/>
  <c r="T647" i="1" s="1"/>
  <c r="R646" i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S642" i="1" l="1"/>
  <c r="T642" i="1" s="1"/>
  <c r="R641" i="1"/>
  <c r="S641" i="1" l="1"/>
  <c r="T641" i="1" s="1"/>
  <c r="R640" i="1"/>
  <c r="R639" i="1" l="1"/>
  <c r="S640" i="1"/>
  <c r="T640" i="1" s="1"/>
  <c r="S639" i="1" l="1"/>
  <c r="T639" i="1" s="1"/>
  <c r="R638" i="1"/>
  <c r="S638" i="1" l="1"/>
  <c r="T638" i="1" s="1"/>
  <c r="R637" i="1"/>
  <c r="S637" i="1" l="1"/>
  <c r="T637" i="1" s="1"/>
  <c r="R636" i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S629" i="1" l="1"/>
  <c r="T629" i="1" s="1"/>
  <c r="R628" i="1"/>
  <c r="R627" i="1" l="1"/>
  <c r="S628" i="1"/>
  <c r="T628" i="1" s="1"/>
  <c r="S627" i="1" l="1"/>
  <c r="T627" i="1" s="1"/>
  <c r="R626" i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S622" i="1" l="1"/>
  <c r="T622" i="1" s="1"/>
  <c r="R621" i="1"/>
  <c r="S621" i="1" l="1"/>
  <c r="T621" i="1" s="1"/>
  <c r="R620" i="1"/>
  <c r="S620" i="1" l="1"/>
  <c r="T620" i="1" s="1"/>
  <c r="R619" i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S615" i="1" l="1"/>
  <c r="T615" i="1" s="1"/>
  <c r="R614" i="1"/>
  <c r="S614" i="1" l="1"/>
  <c r="T614" i="1" s="1"/>
  <c r="R613" i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S602" i="1" l="1"/>
  <c r="T602" i="1" s="1"/>
  <c r="R601" i="1"/>
  <c r="S601" i="1" l="1"/>
  <c r="T601" i="1" s="1"/>
  <c r="R600" i="1"/>
  <c r="R599" i="1" l="1"/>
  <c r="S600" i="1"/>
  <c r="T600" i="1" s="1"/>
  <c r="R598" i="1" l="1"/>
  <c r="S599" i="1"/>
  <c r="T599" i="1" s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S576" i="1" l="1"/>
  <c r="T576" i="1" s="1"/>
  <c r="R575" i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S562" i="1" l="1"/>
  <c r="T562" i="1" s="1"/>
  <c r="R561" i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S557" i="1" l="1"/>
  <c r="T557" i="1" s="1"/>
  <c r="R556" i="1"/>
  <c r="S556" i="1" l="1"/>
  <c r="T556" i="1" s="1"/>
  <c r="R555" i="1"/>
  <c r="S555" i="1" l="1"/>
  <c r="T555" i="1" s="1"/>
  <c r="R554" i="1"/>
  <c r="R553" i="1" l="1"/>
  <c r="S554" i="1"/>
  <c r="T554" i="1" s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S547" i="1" l="1"/>
  <c r="T547" i="1" s="1"/>
  <c r="R546" i="1"/>
  <c r="S546" i="1" l="1"/>
  <c r="T546" i="1" s="1"/>
  <c r="R545" i="1"/>
  <c r="R544" i="1" l="1"/>
  <c r="S545" i="1"/>
  <c r="T545" i="1" s="1"/>
  <c r="S544" i="1" l="1"/>
  <c r="T544" i="1" s="1"/>
  <c r="R543" i="1"/>
  <c r="R542" i="1" l="1"/>
  <c r="S543" i="1"/>
  <c r="T543" i="1" s="1"/>
  <c r="R541" i="1" l="1"/>
  <c r="S542" i="1"/>
  <c r="T542" i="1" s="1"/>
  <c r="S541" i="1" l="1"/>
  <c r="T541" i="1" s="1"/>
  <c r="R540" i="1"/>
  <c r="R539" i="1" l="1"/>
  <c r="S540" i="1"/>
  <c r="T540" i="1" s="1"/>
  <c r="S539" i="1" l="1"/>
  <c r="T539" i="1" s="1"/>
  <c r="R538" i="1"/>
  <c r="R537" i="1" l="1"/>
  <c r="S538" i="1"/>
  <c r="T538" i="1" s="1"/>
  <c r="R536" i="1" l="1"/>
  <c r="S537" i="1"/>
  <c r="T537" i="1" s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S507" i="1" l="1"/>
  <c r="T507" i="1" s="1"/>
  <c r="R506" i="1"/>
  <c r="R505" i="1" l="1"/>
  <c r="S506" i="1"/>
  <c r="T506" i="1" s="1"/>
  <c r="S505" i="1" l="1"/>
  <c r="T505" i="1" s="1"/>
  <c r="R504" i="1"/>
  <c r="R503" i="1" l="1"/>
  <c r="S504" i="1"/>
  <c r="T504" i="1" s="1"/>
  <c r="S503" i="1" l="1"/>
  <c r="T503" i="1" s="1"/>
  <c r="R502" i="1"/>
  <c r="R501" i="1" l="1"/>
  <c r="S502" i="1"/>
  <c r="T502" i="1" s="1"/>
  <c r="S501" i="1" l="1"/>
  <c r="T501" i="1" s="1"/>
  <c r="R500" i="1"/>
  <c r="R499" i="1" l="1"/>
  <c r="S500" i="1"/>
  <c r="T500" i="1" s="1"/>
  <c r="S499" i="1" l="1"/>
  <c r="T499" i="1" s="1"/>
  <c r="R498" i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S494" i="1" l="1"/>
  <c r="T494" i="1" s="1"/>
  <c r="R493" i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S478" i="1" l="1"/>
  <c r="T478" i="1" s="1"/>
  <c r="R477" i="1"/>
  <c r="S477" i="1" l="1"/>
  <c r="T477" i="1" s="1"/>
  <c r="R476" i="1"/>
  <c r="R475" i="1" l="1"/>
  <c r="S476" i="1"/>
  <c r="T476" i="1" s="1"/>
  <c r="R474" i="1" l="1"/>
  <c r="S475" i="1"/>
  <c r="T475" i="1" s="1"/>
  <c r="S474" i="1" l="1"/>
  <c r="T474" i="1" s="1"/>
  <c r="R473" i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R460" i="1" l="1"/>
  <c r="S461" i="1"/>
  <c r="T461" i="1" s="1"/>
  <c r="S460" i="1" l="1"/>
  <c r="T460" i="1" s="1"/>
  <c r="R459" i="1"/>
  <c r="S459" i="1" l="1"/>
  <c r="T459" i="1" s="1"/>
  <c r="R458" i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S453" i="1" l="1"/>
  <c r="T453" i="1" s="1"/>
  <c r="R452" i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S448" i="1" l="1"/>
  <c r="T448" i="1" s="1"/>
  <c r="R447" i="1"/>
  <c r="S447" i="1" l="1"/>
  <c r="T447" i="1" s="1"/>
  <c r="R446" i="1"/>
  <c r="S446" i="1" l="1"/>
  <c r="T446" i="1" s="1"/>
  <c r="R445" i="1"/>
  <c r="R444" i="1" l="1"/>
  <c r="S445" i="1"/>
  <c r="T445" i="1" s="1"/>
  <c r="R443" i="1" l="1"/>
  <c r="S444" i="1"/>
  <c r="T444" i="1" s="1"/>
  <c r="R442" i="1" l="1"/>
  <c r="S443" i="1"/>
  <c r="T443" i="1" s="1"/>
  <c r="S442" i="1" l="1"/>
  <c r="T442" i="1" s="1"/>
  <c r="R441" i="1"/>
  <c r="S441" i="1" l="1"/>
  <c r="T441" i="1" s="1"/>
  <c r="R440" i="1"/>
  <c r="S440" i="1" l="1"/>
  <c r="T440" i="1" s="1"/>
  <c r="R439" i="1"/>
  <c r="R438" i="1" l="1"/>
  <c r="S439" i="1"/>
  <c r="T439" i="1" s="1"/>
  <c r="S438" i="1" l="1"/>
  <c r="T438" i="1" s="1"/>
  <c r="R437" i="1"/>
  <c r="R436" i="1" l="1"/>
  <c r="S437" i="1"/>
  <c r="T437" i="1" s="1"/>
  <c r="R435" i="1" l="1"/>
  <c r="S436" i="1"/>
  <c r="T436" i="1" s="1"/>
  <c r="R434" i="1" l="1"/>
  <c r="S435" i="1"/>
  <c r="T435" i="1" s="1"/>
  <c r="S434" i="1" l="1"/>
  <c r="T434" i="1" s="1"/>
  <c r="R433" i="1"/>
  <c r="R432" i="1" l="1"/>
  <c r="S433" i="1"/>
  <c r="T433" i="1" s="1"/>
  <c r="S432" i="1" l="1"/>
  <c r="T432" i="1" s="1"/>
  <c r="R431" i="1"/>
  <c r="S431" i="1" l="1"/>
  <c r="T431" i="1" s="1"/>
  <c r="R430" i="1"/>
  <c r="S430" i="1" l="1"/>
  <c r="T430" i="1" s="1"/>
  <c r="R429" i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S425" i="1" l="1"/>
  <c r="T425" i="1" s="1"/>
  <c r="R424" i="1"/>
  <c r="S424" i="1" l="1"/>
  <c r="T424" i="1" s="1"/>
  <c r="R423" i="1"/>
  <c r="S423" i="1" l="1"/>
  <c r="T423" i="1" s="1"/>
  <c r="R422" i="1"/>
  <c r="S422" i="1" l="1"/>
  <c r="T422" i="1" s="1"/>
  <c r="R421" i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S412" i="1" l="1"/>
  <c r="T412" i="1" s="1"/>
  <c r="R411" i="1"/>
  <c r="R410" i="1" l="1"/>
  <c r="S411" i="1"/>
  <c r="T411" i="1" s="1"/>
  <c r="S410" i="1" l="1"/>
  <c r="T410" i="1" s="1"/>
  <c r="R409" i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R404" i="1" l="1"/>
  <c r="S405" i="1"/>
  <c r="T405" i="1" s="1"/>
  <c r="S404" i="1" l="1"/>
  <c r="T404" i="1" s="1"/>
  <c r="R403" i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S385" i="1" l="1"/>
  <c r="T385" i="1" s="1"/>
  <c r="R384" i="1"/>
  <c r="S384" i="1" l="1"/>
  <c r="T384" i="1" s="1"/>
  <c r="R383" i="1"/>
  <c r="R382" i="1" l="1"/>
  <c r="S383" i="1"/>
  <c r="T383" i="1" s="1"/>
  <c r="S382" i="1" l="1"/>
  <c r="T382" i="1" s="1"/>
  <c r="R381" i="1"/>
  <c r="R380" i="1" l="1"/>
  <c r="S381" i="1"/>
  <c r="T381" i="1" s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S367" i="1" l="1"/>
  <c r="T367" i="1" s="1"/>
  <c r="R366" i="1"/>
  <c r="R365" i="1" l="1"/>
  <c r="S366" i="1"/>
  <c r="T366" i="1" s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S357" i="1" l="1"/>
  <c r="T357" i="1" s="1"/>
  <c r="R356" i="1"/>
  <c r="S356" i="1" l="1"/>
  <c r="T356" i="1" s="1"/>
  <c r="R355" i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S351" i="1" l="1"/>
  <c r="T351" i="1" s="1"/>
  <c r="R350" i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S338" i="1" l="1"/>
  <c r="T338" i="1" s="1"/>
  <c r="R337" i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R326" i="1" l="1"/>
  <c r="S327" i="1"/>
  <c r="T327" i="1" s="1"/>
  <c r="R325" i="1" l="1"/>
  <c r="S326" i="1"/>
  <c r="T326" i="1" s="1"/>
  <c r="S325" i="1" l="1"/>
  <c r="T325" i="1" s="1"/>
  <c r="R324" i="1"/>
  <c r="S324" i="1" l="1"/>
  <c r="T324" i="1" s="1"/>
  <c r="R323" i="1"/>
  <c r="R322" i="1" l="1"/>
  <c r="S323" i="1"/>
  <c r="T323" i="1" s="1"/>
  <c r="S322" i="1" l="1"/>
  <c r="T322" i="1" s="1"/>
  <c r="R321" i="1"/>
  <c r="S321" i="1" l="1"/>
  <c r="T321" i="1" s="1"/>
  <c r="R320" i="1"/>
  <c r="R319" i="1" l="1"/>
  <c r="S320" i="1"/>
  <c r="T320" i="1" s="1"/>
  <c r="R318" i="1" l="1"/>
  <c r="S319" i="1"/>
  <c r="T319" i="1" s="1"/>
  <c r="S318" i="1" l="1"/>
  <c r="T318" i="1" s="1"/>
  <c r="R317" i="1"/>
  <c r="S317" i="1" l="1"/>
  <c r="T317" i="1" s="1"/>
  <c r="R316" i="1"/>
  <c r="S316" i="1" l="1"/>
  <c r="T316" i="1" s="1"/>
  <c r="R315" i="1"/>
  <c r="S315" i="1" l="1"/>
  <c r="T315" i="1" s="1"/>
  <c r="R314" i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S310" i="1" l="1"/>
  <c r="T310" i="1" s="1"/>
  <c r="R309" i="1"/>
  <c r="S309" i="1" l="1"/>
  <c r="T309" i="1" s="1"/>
  <c r="R308" i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R297" i="1" l="1"/>
  <c r="S298" i="1"/>
  <c r="T298" i="1" s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S290" i="1" l="1"/>
  <c r="T290" i="1" s="1"/>
  <c r="R289" i="1"/>
  <c r="S289" i="1" l="1"/>
  <c r="T289" i="1" s="1"/>
  <c r="R288" i="1"/>
  <c r="R287" i="1" l="1"/>
  <c r="S288" i="1"/>
  <c r="T288" i="1" s="1"/>
  <c r="R286" i="1" l="1"/>
  <c r="S287" i="1"/>
  <c r="T287" i="1" s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S263" i="1" l="1"/>
  <c r="T263" i="1" s="1"/>
  <c r="R262" i="1"/>
  <c r="R261" i="1" l="1"/>
  <c r="S262" i="1"/>
  <c r="T262" i="1" s="1"/>
  <c r="S261" i="1" l="1"/>
  <c r="T261" i="1" s="1"/>
  <c r="R260" i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S253" i="1" l="1"/>
  <c r="T253" i="1" s="1"/>
  <c r="R252" i="1"/>
  <c r="S252" i="1" l="1"/>
  <c r="T252" i="1" s="1"/>
  <c r="R251" i="1"/>
  <c r="S251" i="1" l="1"/>
  <c r="T251" i="1" s="1"/>
  <c r="R250" i="1"/>
  <c r="R249" i="1" l="1"/>
  <c r="S250" i="1"/>
  <c r="T250" i="1" s="1"/>
  <c r="S249" i="1" l="1"/>
  <c r="T249" i="1" s="1"/>
  <c r="R248" i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R243" i="1" l="1"/>
  <c r="S244" i="1"/>
  <c r="T244" i="1" s="1"/>
  <c r="S243" i="1" l="1"/>
  <c r="T243" i="1" s="1"/>
  <c r="R242" i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S229" i="1" l="1"/>
  <c r="T229" i="1" s="1"/>
  <c r="R228" i="1"/>
  <c r="S228" i="1" l="1"/>
  <c r="T228" i="1" s="1"/>
  <c r="R227" i="1"/>
  <c r="S227" i="1" l="1"/>
  <c r="T227" i="1" s="1"/>
  <c r="R226" i="1"/>
  <c r="R225" i="1" l="1"/>
  <c r="S226" i="1"/>
  <c r="T226" i="1" s="1"/>
  <c r="S225" i="1" l="1"/>
  <c r="T225" i="1" s="1"/>
  <c r="R224" i="1"/>
  <c r="R223" i="1" l="1"/>
  <c r="S224" i="1"/>
  <c r="T224" i="1" s="1"/>
  <c r="R222" i="1" l="1"/>
  <c r="S223" i="1"/>
  <c r="T223" i="1" s="1"/>
  <c r="S222" i="1" l="1"/>
  <c r="T222" i="1" s="1"/>
  <c r="R221" i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S201" i="1" l="1"/>
  <c r="T201" i="1" s="1"/>
  <c r="R200" i="1"/>
  <c r="R199" i="1" l="1"/>
  <c r="S200" i="1"/>
  <c r="T200" i="1" s="1"/>
  <c r="S199" i="1" l="1"/>
  <c r="T199" i="1" s="1"/>
  <c r="R198" i="1"/>
  <c r="R197" i="1" l="1"/>
  <c r="S198" i="1"/>
  <c r="T198" i="1" s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S185" i="1" l="1"/>
  <c r="T185" i="1" s="1"/>
  <c r="R184" i="1"/>
  <c r="S184" i="1" l="1"/>
  <c r="T184" i="1" s="1"/>
  <c r="R183" i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S173" i="1" l="1"/>
  <c r="T173" i="1" s="1"/>
  <c r="R172" i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S157" i="1" l="1"/>
  <c r="T157" i="1" s="1"/>
  <c r="R156" i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S144" i="1" l="1"/>
  <c r="T144" i="1" s="1"/>
  <c r="R143" i="1"/>
  <c r="R142" i="1" l="1"/>
  <c r="S143" i="1"/>
  <c r="T143" i="1" s="1"/>
  <c r="S142" i="1" l="1"/>
  <c r="T142" i="1" s="1"/>
  <c r="R141" i="1"/>
  <c r="R140" i="1" l="1"/>
  <c r="S141" i="1"/>
  <c r="T141" i="1" s="1"/>
  <c r="S140" i="1" l="1"/>
  <c r="T140" i="1" s="1"/>
  <c r="R139" i="1"/>
  <c r="R138" i="1" l="1"/>
  <c r="S139" i="1"/>
  <c r="T139" i="1" s="1"/>
  <c r="S138" i="1" l="1"/>
  <c r="T138" i="1" s="1"/>
  <c r="R137" i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S125" i="1" l="1"/>
  <c r="T125" i="1" s="1"/>
  <c r="R124" i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S115" i="1" l="1"/>
  <c r="T115" i="1" s="1"/>
  <c r="R114" i="1"/>
  <c r="S114" i="1" l="1"/>
  <c r="T114" i="1" s="1"/>
  <c r="R113" i="1"/>
  <c r="S113" i="1" l="1"/>
  <c r="T113" i="1" s="1"/>
  <c r="R112" i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S106" i="1" l="1"/>
  <c r="T106" i="1" s="1"/>
  <c r="R105" i="1"/>
  <c r="S105" i="1" l="1"/>
  <c r="T105" i="1" s="1"/>
  <c r="R104" i="1"/>
  <c r="S104" i="1" l="1"/>
  <c r="T104" i="1" s="1"/>
  <c r="R103" i="1"/>
  <c r="R102" i="1" l="1"/>
  <c r="S103" i="1"/>
  <c r="T103" i="1" s="1"/>
  <c r="S102" i="1" l="1"/>
  <c r="T102" i="1" s="1"/>
  <c r="R101" i="1"/>
  <c r="R100" i="1" l="1"/>
  <c r="S101" i="1"/>
  <c r="T101" i="1" s="1"/>
  <c r="S100" i="1" l="1"/>
  <c r="T100" i="1" s="1"/>
  <c r="R99" i="1"/>
  <c r="S99" i="1" l="1"/>
  <c r="T99" i="1" s="1"/>
  <c r="R98" i="1"/>
  <c r="S98" i="1" l="1"/>
  <c r="T98" i="1" s="1"/>
  <c r="R97" i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R87" i="1" l="1"/>
  <c r="S88" i="1"/>
  <c r="T88" i="1" s="1"/>
  <c r="S87" i="1" l="1"/>
  <c r="T87" i="1" s="1"/>
  <c r="R86" i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S72" i="1" l="1"/>
  <c r="T72" i="1" s="1"/>
  <c r="R71" i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S55" i="1" l="1"/>
  <c r="T55" i="1" s="1"/>
  <c r="R54" i="1"/>
  <c r="R53" i="1" l="1"/>
  <c r="S54" i="1"/>
  <c r="T54" i="1" s="1"/>
  <c r="S53" i="1" l="1"/>
  <c r="T53" i="1" s="1"/>
  <c r="R52" i="1"/>
  <c r="R51" i="1" l="1"/>
  <c r="S52" i="1"/>
  <c r="T52" i="1" s="1"/>
  <c r="S51" i="1" l="1"/>
  <c r="T51" i="1" s="1"/>
  <c r="R50" i="1"/>
  <c r="R49" i="1" l="1"/>
  <c r="S50" i="1"/>
  <c r="T50" i="1" s="1"/>
  <c r="S49" i="1" l="1"/>
  <c r="T49" i="1" s="1"/>
  <c r="R48" i="1"/>
  <c r="S48" i="1" l="1"/>
  <c r="T48" i="1" s="1"/>
  <c r="R47" i="1"/>
  <c r="R46" i="1" l="1"/>
  <c r="S47" i="1"/>
  <c r="T47" i="1" s="1"/>
  <c r="S46" i="1" l="1"/>
  <c r="T46" i="1" s="1"/>
  <c r="R45" i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R38" i="1" l="1"/>
  <c r="S39" i="1"/>
  <c r="T39" i="1" s="1"/>
  <c r="R37" i="1" l="1"/>
  <c r="S38" i="1"/>
  <c r="T38" i="1" s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S26" i="1" l="1"/>
  <c r="T26" i="1" s="1"/>
  <c r="R25" i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<sst xmlns="http://schemas.openxmlformats.org/spreadsheetml/2006/main" count="5329" uniqueCount="34">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</sst>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11.5</c:v>
                </c:pt>
                <c:pt idx="1">
                  <c:v>11.68</c:v>
                </c:pt>
                <c:pt idx="2">
                  <c:v>12.06</c:v>
                </c:pt>
                <c:pt idx="3">
                  <c:v>11.83</c:v>
                </c:pt>
                <c:pt idx="4">
                  <c:v>12.09</c:v>
                </c:pt>
                <c:pt idx="5">
                  <c:v>11.77</c:v>
                </c:pt>
                <c:pt idx="6">
                  <c:v>12.82</c:v>
                </c:pt>
                <c:pt idx="7">
                  <c:v>14.69</c:v>
                </c:pt>
                <c:pt idx="8">
                  <c:v>15.36</c:v>
                </c:pt>
                <c:pt idx="9">
                  <c:v>15.9</c:v>
                </c:pt>
                <c:pt idx="10">
                  <c:v>16.04</c:v>
                </c:pt>
                <c:pt idx="11">
                  <c:v>17.36</c:v>
                </c:pt>
                <c:pt idx="12">
                  <c:v>17.55</c:v>
                </c:pt>
                <c:pt idx="13">
                  <c:v>17.28</c:v>
                </c:pt>
                <c:pt idx="14">
                  <c:v>17.260000000000002</c:v>
                </c:pt>
                <c:pt idx="15">
                  <c:v>17.920000000000002</c:v>
                </c:pt>
                <c:pt idx="16">
                  <c:v>17.61</c:v>
                </c:pt>
                <c:pt idx="17">
                  <c:v>17.29</c:v>
                </c:pt>
                <c:pt idx="18">
                  <c:v>18.63</c:v>
                </c:pt>
                <c:pt idx="19">
                  <c:v>17.84</c:v>
                </c:pt>
                <c:pt idx="20">
                  <c:v>17.73</c:v>
                </c:pt>
                <c:pt idx="21">
                  <c:v>17.71</c:v>
                </c:pt>
                <c:pt idx="22">
                  <c:v>17.54</c:v>
                </c:pt>
                <c:pt idx="23">
                  <c:v>19.329999999999998</c:v>
                </c:pt>
                <c:pt idx="24">
                  <c:v>19.14</c:v>
                </c:pt>
                <c:pt idx="25">
                  <c:v>19.63</c:v>
                </c:pt>
                <c:pt idx="26">
                  <c:v>18.73</c:v>
                </c:pt>
                <c:pt idx="27">
                  <c:v>17.54</c:v>
                </c:pt>
                <c:pt idx="28">
                  <c:v>16.690000000000001</c:v>
                </c:pt>
                <c:pt idx="29">
                  <c:v>15.83</c:v>
                </c:pt>
                <c:pt idx="30">
                  <c:v>16.41</c:v>
                </c:pt>
                <c:pt idx="31">
                  <c:v>18.2</c:v>
                </c:pt>
                <c:pt idx="32">
                  <c:v>18.149999999999999</c:v>
                </c:pt>
                <c:pt idx="33">
                  <c:v>18.239999999999998</c:v>
                </c:pt>
                <c:pt idx="34">
                  <c:v>18.350000000000001</c:v>
                </c:pt>
                <c:pt idx="35">
                  <c:v>19.170000000000002</c:v>
                </c:pt>
                <c:pt idx="36">
                  <c:v>17.920000000000002</c:v>
                </c:pt>
                <c:pt idx="37">
                  <c:v>18.54</c:v>
                </c:pt>
                <c:pt idx="38">
                  <c:v>18.149999999999999</c:v>
                </c:pt>
                <c:pt idx="39">
                  <c:v>17.46</c:v>
                </c:pt>
                <c:pt idx="40">
                  <c:v>18.059999999999999</c:v>
                </c:pt>
                <c:pt idx="41">
                  <c:v>16.38</c:v>
                </c:pt>
                <c:pt idx="42">
                  <c:v>14.85</c:v>
                </c:pt>
                <c:pt idx="43">
                  <c:v>14.93</c:v>
                </c:pt>
                <c:pt idx="44">
                  <c:v>14.03</c:v>
                </c:pt>
                <c:pt idx="45">
                  <c:v>13.65</c:v>
                </c:pt>
                <c:pt idx="46">
                  <c:v>15.23</c:v>
                </c:pt>
                <c:pt idx="47">
                  <c:v>14.92</c:v>
                </c:pt>
                <c:pt idx="48">
                  <c:v>14.84</c:v>
                </c:pt>
                <c:pt idx="49">
                  <c:v>15.39</c:v>
                </c:pt>
                <c:pt idx="50">
                  <c:v>16.36</c:v>
                </c:pt>
                <c:pt idx="51">
                  <c:v>15.87</c:v>
                </c:pt>
                <c:pt idx="52">
                  <c:v>16.07</c:v>
                </c:pt>
                <c:pt idx="53">
                  <c:v>15.81</c:v>
                </c:pt>
                <c:pt idx="54">
                  <c:v>16.510000000000002</c:v>
                </c:pt>
                <c:pt idx="55">
                  <c:v>18.96</c:v>
                </c:pt>
                <c:pt idx="56">
                  <c:v>20.07</c:v>
                </c:pt>
                <c:pt idx="57">
                  <c:v>20.66</c:v>
                </c:pt>
                <c:pt idx="58">
                  <c:v>21.08</c:v>
                </c:pt>
                <c:pt idx="59">
                  <c:v>20.94</c:v>
                </c:pt>
                <c:pt idx="60">
                  <c:v>20.64</c:v>
                </c:pt>
                <c:pt idx="61">
                  <c:v>19.75</c:v>
                </c:pt>
                <c:pt idx="62">
                  <c:v>19.46</c:v>
                </c:pt>
                <c:pt idx="63">
                  <c:v>22.47</c:v>
                </c:pt>
                <c:pt idx="64">
                  <c:v>21.25</c:v>
                </c:pt>
                <c:pt idx="65">
                  <c:v>21.77</c:v>
                </c:pt>
                <c:pt idx="66">
                  <c:v>20.260000000000002</c:v>
                </c:pt>
                <c:pt idx="67">
                  <c:v>21.02</c:v>
                </c:pt>
                <c:pt idx="68">
                  <c:v>22.13</c:v>
                </c:pt>
                <c:pt idx="69">
                  <c:v>20.53</c:v>
                </c:pt>
                <c:pt idx="70">
                  <c:v>19.41</c:v>
                </c:pt>
                <c:pt idx="71">
                  <c:v>21.51</c:v>
                </c:pt>
                <c:pt idx="72">
                  <c:v>21.04</c:v>
                </c:pt>
                <c:pt idx="73">
                  <c:v>23.6</c:v>
                </c:pt>
                <c:pt idx="74">
                  <c:v>24.37</c:v>
                </c:pt>
                <c:pt idx="75">
                  <c:v>24.29</c:v>
                </c:pt>
                <c:pt idx="76">
                  <c:v>24.12</c:v>
                </c:pt>
                <c:pt idx="77">
                  <c:v>24.88</c:v>
                </c:pt>
                <c:pt idx="78">
                  <c:v>24.34</c:v>
                </c:pt>
                <c:pt idx="79">
                  <c:v>26.34</c:v>
                </c:pt>
                <c:pt idx="80">
                  <c:v>26.66</c:v>
                </c:pt>
                <c:pt idx="81">
                  <c:v>26.1</c:v>
                </c:pt>
                <c:pt idx="82">
                  <c:v>26.14</c:v>
                </c:pt>
                <c:pt idx="83">
                  <c:v>26.94</c:v>
                </c:pt>
                <c:pt idx="84">
                  <c:v>27.45</c:v>
                </c:pt>
                <c:pt idx="85">
                  <c:v>28.53</c:v>
                </c:pt>
                <c:pt idx="86">
                  <c:v>27.41</c:v>
                </c:pt>
                <c:pt idx="87">
                  <c:v>26.24</c:v>
                </c:pt>
                <c:pt idx="88">
                  <c:v>24.67</c:v>
                </c:pt>
                <c:pt idx="89">
                  <c:v>24.55</c:v>
                </c:pt>
                <c:pt idx="90">
                  <c:v>26.08</c:v>
                </c:pt>
                <c:pt idx="91">
                  <c:v>26.19</c:v>
                </c:pt>
                <c:pt idx="92">
                  <c:v>23.99</c:v>
                </c:pt>
                <c:pt idx="93">
                  <c:v>24.47</c:v>
                </c:pt>
                <c:pt idx="94">
                  <c:v>22.38</c:v>
                </c:pt>
                <c:pt idx="95">
                  <c:v>21.52</c:v>
                </c:pt>
                <c:pt idx="96">
                  <c:v>22.35</c:v>
                </c:pt>
                <c:pt idx="97">
                  <c:v>22.01</c:v>
                </c:pt>
                <c:pt idx="98">
                  <c:v>22.2</c:v>
                </c:pt>
                <c:pt idx="99">
                  <c:v>22.99</c:v>
                </c:pt>
                <c:pt idx="100">
                  <c:v>21.88</c:v>
                </c:pt>
                <c:pt idx="101">
                  <c:v>21.65</c:v>
                </c:pt>
                <c:pt idx="102">
                  <c:v>22.56</c:v>
                </c:pt>
                <c:pt idx="103">
                  <c:v>22.75</c:v>
                </c:pt>
                <c:pt idx="104">
                  <c:v>22.77</c:v>
                </c:pt>
                <c:pt idx="105">
                  <c:v>22.36</c:v>
                </c:pt>
                <c:pt idx="106">
                  <c:v>21.37</c:v>
                </c:pt>
                <c:pt idx="107">
                  <c:v>20.41</c:v>
                </c:pt>
                <c:pt idx="108">
                  <c:v>20.71</c:v>
                </c:pt>
                <c:pt idx="109">
                  <c:v>20.68</c:v>
                </c:pt>
                <c:pt idx="110">
                  <c:v>21.97</c:v>
                </c:pt>
                <c:pt idx="111">
                  <c:v>21.95</c:v>
                </c:pt>
                <c:pt idx="112">
                  <c:v>21.98</c:v>
                </c:pt>
                <c:pt idx="113">
                  <c:v>22.01</c:v>
                </c:pt>
                <c:pt idx="114">
                  <c:v>22.14</c:v>
                </c:pt>
                <c:pt idx="115">
                  <c:v>21.88</c:v>
                </c:pt>
                <c:pt idx="116">
                  <c:v>22.7</c:v>
                </c:pt>
                <c:pt idx="117">
                  <c:v>22.38</c:v>
                </c:pt>
                <c:pt idx="118">
                  <c:v>21.68</c:v>
                </c:pt>
                <c:pt idx="119">
                  <c:v>19.8</c:v>
                </c:pt>
                <c:pt idx="120">
                  <c:v>19.010000000000002</c:v>
                </c:pt>
                <c:pt idx="121">
                  <c:v>18.829999999999998</c:v>
                </c:pt>
                <c:pt idx="122">
                  <c:v>19.829999999999998</c:v>
                </c:pt>
                <c:pt idx="123">
                  <c:v>20.8</c:v>
                </c:pt>
                <c:pt idx="124">
                  <c:v>20.350000000000001</c:v>
                </c:pt>
                <c:pt idx="125">
                  <c:v>20.2</c:v>
                </c:pt>
                <c:pt idx="126">
                  <c:v>21.93</c:v>
                </c:pt>
                <c:pt idx="127">
                  <c:v>21.65</c:v>
                </c:pt>
                <c:pt idx="128">
                  <c:v>19.7</c:v>
                </c:pt>
                <c:pt idx="129">
                  <c:v>22.5</c:v>
                </c:pt>
                <c:pt idx="130">
                  <c:v>24.75</c:v>
                </c:pt>
                <c:pt idx="131">
                  <c:v>25.75</c:v>
                </c:pt>
                <c:pt idx="132">
                  <c:v>25.83</c:v>
                </c:pt>
                <c:pt idx="133">
                  <c:v>27.97</c:v>
                </c:pt>
                <c:pt idx="134">
                  <c:v>28.25</c:v>
                </c:pt>
                <c:pt idx="135">
                  <c:v>26.96</c:v>
                </c:pt>
                <c:pt idx="136">
                  <c:v>25.1</c:v>
                </c:pt>
                <c:pt idx="137">
                  <c:v>26.81</c:v>
                </c:pt>
                <c:pt idx="138">
                  <c:v>24.85</c:v>
                </c:pt>
                <c:pt idx="139">
                  <c:v>24.41</c:v>
                </c:pt>
                <c:pt idx="140">
                  <c:v>26.04</c:v>
                </c:pt>
                <c:pt idx="141">
                  <c:v>26.41</c:v>
                </c:pt>
                <c:pt idx="142">
                  <c:v>26.44</c:v>
                </c:pt>
                <c:pt idx="143">
                  <c:v>32.67</c:v>
                </c:pt>
                <c:pt idx="144">
                  <c:v>33.590000000000003</c:v>
                </c:pt>
                <c:pt idx="145">
                  <c:v>33.21</c:v>
                </c:pt>
                <c:pt idx="146">
                  <c:v>33.28</c:v>
                </c:pt>
                <c:pt idx="147">
                  <c:v>32.340000000000003</c:v>
                </c:pt>
                <c:pt idx="148">
                  <c:v>32.229999999999997</c:v>
                </c:pt>
                <c:pt idx="149">
                  <c:v>27.74</c:v>
                </c:pt>
                <c:pt idx="150">
                  <c:v>26.53</c:v>
                </c:pt>
                <c:pt idx="151">
                  <c:v>26.82</c:v>
                </c:pt>
                <c:pt idx="152">
                  <c:v>27.68</c:v>
                </c:pt>
                <c:pt idx="153">
                  <c:v>27.22</c:v>
                </c:pt>
                <c:pt idx="154">
                  <c:v>25.56</c:v>
                </c:pt>
                <c:pt idx="155">
                  <c:v>27.603000000000002</c:v>
                </c:pt>
                <c:pt idx="156">
                  <c:v>27.626999999999999</c:v>
                </c:pt>
                <c:pt idx="157">
                  <c:v>30.344000000000001</c:v>
                </c:pt>
                <c:pt idx="158">
                  <c:v>29.896999999999998</c:v>
                </c:pt>
                <c:pt idx="159">
                  <c:v>29.088000000000001</c:v>
                </c:pt>
                <c:pt idx="160">
                  <c:v>29.798999999999999</c:v>
                </c:pt>
                <c:pt idx="161">
                  <c:v>27.532</c:v>
                </c:pt>
                <c:pt idx="162">
                  <c:v>26.109000000000002</c:v>
                </c:pt>
                <c:pt idx="163">
                  <c:v>26.510999999999999</c:v>
                </c:pt>
                <c:pt idx="164">
                  <c:v>27.215</c:v>
                </c:pt>
                <c:pt idx="165">
                  <c:v>28.44</c:v>
                </c:pt>
                <c:pt idx="166">
                  <c:v>26.646000000000001</c:v>
                </c:pt>
                <c:pt idx="167">
                  <c:v>27.21</c:v>
                </c:pt>
                <c:pt idx="168">
                  <c:v>24.786000000000001</c:v>
                </c:pt>
                <c:pt idx="169">
                  <c:v>25.553000000000001</c:v>
                </c:pt>
                <c:pt idx="170">
                  <c:v>24.844999999999999</c:v>
                </c:pt>
                <c:pt idx="171">
                  <c:v>24.914999999999999</c:v>
                </c:pt>
                <c:pt idx="172">
                  <c:v>24.06</c:v>
                </c:pt>
                <c:pt idx="173">
                  <c:v>26.074999999999999</c:v>
                </c:pt>
                <c:pt idx="174">
                  <c:v>25.096</c:v>
                </c:pt>
                <c:pt idx="175">
                  <c:v>24.018000000000001</c:v>
                </c:pt>
                <c:pt idx="176">
                  <c:v>22.670999999999999</c:v>
                </c:pt>
                <c:pt idx="177">
                  <c:v>21.646999999999998</c:v>
                </c:pt>
                <c:pt idx="178">
                  <c:v>22.047999999999998</c:v>
                </c:pt>
                <c:pt idx="179">
                  <c:v>21.318999999999999</c:v>
                </c:pt>
                <c:pt idx="180">
                  <c:v>21.562000000000001</c:v>
                </c:pt>
                <c:pt idx="181">
                  <c:v>20.721</c:v>
                </c:pt>
                <c:pt idx="182">
                  <c:v>20.163</c:v>
                </c:pt>
                <c:pt idx="183">
                  <c:v>19.878</c:v>
                </c:pt>
                <c:pt idx="184">
                  <c:v>20.085000000000001</c:v>
                </c:pt>
                <c:pt idx="185">
                  <c:v>19.600000000000001</c:v>
                </c:pt>
                <c:pt idx="186">
                  <c:v>19.119</c:v>
                </c:pt>
                <c:pt idx="187">
                  <c:v>19.202000000000002</c:v>
                </c:pt>
                <c:pt idx="188">
                  <c:v>18.655999999999999</c:v>
                </c:pt>
                <c:pt idx="189">
                  <c:v>17.885000000000002</c:v>
                </c:pt>
                <c:pt idx="190">
                  <c:v>17.669</c:v>
                </c:pt>
                <c:pt idx="191">
                  <c:v>16.062000000000001</c:v>
                </c:pt>
                <c:pt idx="192">
                  <c:v>17.013000000000002</c:v>
                </c:pt>
                <c:pt idx="193">
                  <c:v>18.231999999999999</c:v>
                </c:pt>
                <c:pt idx="194">
                  <c:v>17.75</c:v>
                </c:pt>
                <c:pt idx="195">
                  <c:v>17.584</c:v>
                </c:pt>
                <c:pt idx="196">
                  <c:v>18.917000000000002</c:v>
                </c:pt>
                <c:pt idx="197">
                  <c:v>19.972999999999999</c:v>
                </c:pt>
                <c:pt idx="198">
                  <c:v>19.864999999999998</c:v>
                </c:pt>
                <c:pt idx="199">
                  <c:v>20.870999999999999</c:v>
                </c:pt>
                <c:pt idx="200">
                  <c:v>21.995999999999999</c:v>
                </c:pt>
                <c:pt idx="201">
                  <c:v>21.872</c:v>
                </c:pt>
                <c:pt idx="202">
                  <c:v>22.356999999999999</c:v>
                </c:pt>
                <c:pt idx="203">
                  <c:v>22.154</c:v>
                </c:pt>
                <c:pt idx="204">
                  <c:v>24.399000000000001</c:v>
                </c:pt>
                <c:pt idx="205">
                  <c:v>24.888000000000002</c:v>
                </c:pt>
                <c:pt idx="206">
                  <c:v>24.305</c:v>
                </c:pt>
                <c:pt idx="207">
                  <c:v>25.242000000000001</c:v>
                </c:pt>
                <c:pt idx="208">
                  <c:v>22.486000000000001</c:v>
                </c:pt>
                <c:pt idx="209">
                  <c:v>21.228999999999999</c:v>
                </c:pt>
                <c:pt idx="210">
                  <c:v>20.111999999999998</c:v>
                </c:pt>
                <c:pt idx="211">
                  <c:v>22.225999999999999</c:v>
                </c:pt>
                <c:pt idx="212">
                  <c:v>20.567</c:v>
                </c:pt>
                <c:pt idx="213">
                  <c:v>18.8</c:v>
                </c:pt>
                <c:pt idx="214">
                  <c:v>16.372</c:v>
                </c:pt>
                <c:pt idx="215">
                  <c:v>15.164</c:v>
                </c:pt>
                <c:pt idx="216">
                  <c:v>15.846</c:v>
                </c:pt>
                <c:pt idx="217">
                  <c:v>18.052</c:v>
                </c:pt>
                <c:pt idx="218">
                  <c:v>16.79</c:v>
                </c:pt>
                <c:pt idx="219">
                  <c:v>16.306000000000001</c:v>
                </c:pt>
                <c:pt idx="220">
                  <c:v>15.433</c:v>
                </c:pt>
                <c:pt idx="221">
                  <c:v>19.399000000000001</c:v>
                </c:pt>
                <c:pt idx="222">
                  <c:v>18.818000000000001</c:v>
                </c:pt>
                <c:pt idx="223">
                  <c:v>19.658000000000001</c:v>
                </c:pt>
                <c:pt idx="224">
                  <c:v>22.327000000000002</c:v>
                </c:pt>
                <c:pt idx="225">
                  <c:v>22.268000000000001</c:v>
                </c:pt>
                <c:pt idx="226">
                  <c:v>23.936</c:v>
                </c:pt>
                <c:pt idx="227">
                  <c:v>24.274999999999999</c:v>
                </c:pt>
                <c:pt idx="228">
                  <c:v>23.797999999999998</c:v>
                </c:pt>
                <c:pt idx="229">
                  <c:v>22.454000000000001</c:v>
                </c:pt>
                <c:pt idx="230">
                  <c:v>23.061</c:v>
                </c:pt>
                <c:pt idx="231">
                  <c:v>24.513000000000002</c:v>
                </c:pt>
                <c:pt idx="232">
                  <c:v>26.276</c:v>
                </c:pt>
                <c:pt idx="233">
                  <c:v>25.184999999999999</c:v>
                </c:pt>
                <c:pt idx="234">
                  <c:v>27.167999999999999</c:v>
                </c:pt>
                <c:pt idx="235">
                  <c:v>29.108000000000001</c:v>
                </c:pt>
                <c:pt idx="236">
                  <c:v>28.545000000000002</c:v>
                </c:pt>
                <c:pt idx="237">
                  <c:v>29.094999999999999</c:v>
                </c:pt>
                <c:pt idx="238">
                  <c:v>31.798999999999999</c:v>
                </c:pt>
                <c:pt idx="239">
                  <c:v>30.558</c:v>
                </c:pt>
                <c:pt idx="240">
                  <c:v>29.076000000000001</c:v>
                </c:pt>
                <c:pt idx="241">
                  <c:v>30.757000000000001</c:v>
                </c:pt>
                <c:pt idx="242">
                  <c:v>27.648</c:v>
                </c:pt>
                <c:pt idx="243">
                  <c:v>26.837</c:v>
                </c:pt>
                <c:pt idx="244">
                  <c:v>28.236999999999998</c:v>
                </c:pt>
                <c:pt idx="245">
                  <c:v>31.472000000000001</c:v>
                </c:pt>
                <c:pt idx="246">
                  <c:v>33.927999999999997</c:v>
                </c:pt>
                <c:pt idx="247">
                  <c:v>31.716999999999999</c:v>
                </c:pt>
                <c:pt idx="248">
                  <c:v>31.814</c:v>
                </c:pt>
                <c:pt idx="249">
                  <c:v>25.396000000000001</c:v>
                </c:pt>
                <c:pt idx="250">
                  <c:v>29.916</c:v>
                </c:pt>
                <c:pt idx="251">
                  <c:v>32.860999999999997</c:v>
                </c:pt>
                <c:pt idx="252">
                  <c:v>38.322000000000003</c:v>
                </c:pt>
                <c:pt idx="253">
                  <c:v>33.680999999999997</c:v>
                </c:pt>
                <c:pt idx="254">
                  <c:v>49.674999999999997</c:v>
                </c:pt>
                <c:pt idx="255">
                  <c:v>48.524999999999999</c:v>
                </c:pt>
                <c:pt idx="256">
                  <c:v>54.017000000000003</c:v>
                </c:pt>
                <c:pt idx="257">
                  <c:v>56.356000000000002</c:v>
                </c:pt>
                <c:pt idx="258">
                  <c:v>63.250999999999998</c:v>
                </c:pt>
                <c:pt idx="259">
                  <c:v>59.871000000000002</c:v>
                </c:pt>
                <c:pt idx="260">
                  <c:v>61.701999999999998</c:v>
                </c:pt>
                <c:pt idx="261">
                  <c:v>70.596999999999994</c:v>
                </c:pt>
                <c:pt idx="262">
                  <c:v>61.631</c:v>
                </c:pt>
                <c:pt idx="263">
                  <c:v>66.27</c:v>
                </c:pt>
                <c:pt idx="264">
                  <c:v>69.643000000000001</c:v>
                </c:pt>
                <c:pt idx="265">
                  <c:v>64.771000000000001</c:v>
                </c:pt>
                <c:pt idx="266">
                  <c:v>66.555000000000007</c:v>
                </c:pt>
                <c:pt idx="267">
                  <c:v>68.753</c:v>
                </c:pt>
                <c:pt idx="268">
                  <c:v>64.991</c:v>
                </c:pt>
                <c:pt idx="269">
                  <c:v>72.012</c:v>
                </c:pt>
                <c:pt idx="270">
                  <c:v>61.506</c:v>
                </c:pt>
                <c:pt idx="271">
                  <c:v>63.435000000000002</c:v>
                </c:pt>
                <c:pt idx="272">
                  <c:v>61.890999999999998</c:v>
                </c:pt>
                <c:pt idx="273">
                  <c:v>58.898000000000003</c:v>
                </c:pt>
                <c:pt idx="274">
                  <c:v>58.764000000000003</c:v>
                </c:pt>
                <c:pt idx="275">
                  <c:v>59.689</c:v>
                </c:pt>
                <c:pt idx="276">
                  <c:v>53.326000000000001</c:v>
                </c:pt>
                <c:pt idx="277">
                  <c:v>48.069000000000003</c:v>
                </c:pt>
                <c:pt idx="278">
                  <c:v>46.396000000000001</c:v>
                </c:pt>
                <c:pt idx="279">
                  <c:v>50.904000000000003</c:v>
                </c:pt>
                <c:pt idx="280">
                  <c:v>54.292999999999999</c:v>
                </c:pt>
                <c:pt idx="281">
                  <c:v>55.045999999999999</c:v>
                </c:pt>
                <c:pt idx="282">
                  <c:v>55.786000000000001</c:v>
                </c:pt>
                <c:pt idx="283">
                  <c:v>52.213999999999999</c:v>
                </c:pt>
                <c:pt idx="284">
                  <c:v>57.883000000000003</c:v>
                </c:pt>
                <c:pt idx="285">
                  <c:v>60.851999999999997</c:v>
                </c:pt>
                <c:pt idx="286">
                  <c:v>63.429000000000002</c:v>
                </c:pt>
                <c:pt idx="287">
                  <c:v>67.379000000000005</c:v>
                </c:pt>
                <c:pt idx="288">
                  <c:v>65.3</c:v>
                </c:pt>
                <c:pt idx="289">
                  <c:v>54.283999999999999</c:v>
                </c:pt>
                <c:pt idx="290">
                  <c:v>51.414999999999999</c:v>
                </c:pt>
                <c:pt idx="291">
                  <c:v>51.83</c:v>
                </c:pt>
                <c:pt idx="292">
                  <c:v>50.591999999999999</c:v>
                </c:pt>
                <c:pt idx="293">
                  <c:v>51.786000000000001</c:v>
                </c:pt>
                <c:pt idx="294">
                  <c:v>53.789000000000001</c:v>
                </c:pt>
                <c:pt idx="295">
                  <c:v>50.331000000000003</c:v>
                </c:pt>
                <c:pt idx="296">
                  <c:v>57.530999999999999</c:v>
                </c:pt>
                <c:pt idx="297">
                  <c:v>59.747</c:v>
                </c:pt>
                <c:pt idx="298">
                  <c:v>59.06</c:v>
                </c:pt>
                <c:pt idx="299">
                  <c:v>56.668999999999997</c:v>
                </c:pt>
                <c:pt idx="300">
                  <c:v>61.463999999999999</c:v>
                </c:pt>
                <c:pt idx="301">
                  <c:v>55.853999999999999</c:v>
                </c:pt>
                <c:pt idx="302">
                  <c:v>57.421999999999997</c:v>
                </c:pt>
                <c:pt idx="303">
                  <c:v>56.908000000000001</c:v>
                </c:pt>
                <c:pt idx="304">
                  <c:v>55.491</c:v>
                </c:pt>
                <c:pt idx="305">
                  <c:v>50.957000000000001</c:v>
                </c:pt>
                <c:pt idx="306">
                  <c:v>51.917999999999999</c:v>
                </c:pt>
                <c:pt idx="307">
                  <c:v>52.8</c:v>
                </c:pt>
                <c:pt idx="308">
                  <c:v>47.273000000000003</c:v>
                </c:pt>
                <c:pt idx="309">
                  <c:v>47.106999999999999</c:v>
                </c:pt>
                <c:pt idx="310">
                  <c:v>50.713000000000001</c:v>
                </c:pt>
                <c:pt idx="311">
                  <c:v>52.823999999999998</c:v>
                </c:pt>
                <c:pt idx="312">
                  <c:v>58.113999999999997</c:v>
                </c:pt>
                <c:pt idx="313">
                  <c:v>60.115000000000002</c:v>
                </c:pt>
                <c:pt idx="314">
                  <c:v>60.453000000000003</c:v>
                </c:pt>
                <c:pt idx="315">
                  <c:v>62.104999999999997</c:v>
                </c:pt>
                <c:pt idx="316">
                  <c:v>54.384</c:v>
                </c:pt>
                <c:pt idx="317">
                  <c:v>55.128999999999998</c:v>
                </c:pt>
                <c:pt idx="318">
                  <c:v>55.225000000000001</c:v>
                </c:pt>
                <c:pt idx="319">
                  <c:v>52.834000000000003</c:v>
                </c:pt>
                <c:pt idx="320">
                  <c:v>47.898000000000003</c:v>
                </c:pt>
                <c:pt idx="321">
                  <c:v>44.701999999999998</c:v>
                </c:pt>
                <c:pt idx="322">
                  <c:v>47.125</c:v>
                </c:pt>
                <c:pt idx="323">
                  <c:v>45.889000000000003</c:v>
                </c:pt>
                <c:pt idx="324">
                  <c:v>48.896999999999998</c:v>
                </c:pt>
                <c:pt idx="325">
                  <c:v>50.061999999999998</c:v>
                </c:pt>
                <c:pt idx="326">
                  <c:v>44.405000000000001</c:v>
                </c:pt>
                <c:pt idx="327">
                  <c:v>42.847999999999999</c:v>
                </c:pt>
                <c:pt idx="328">
                  <c:v>36.658000000000001</c:v>
                </c:pt>
                <c:pt idx="329">
                  <c:v>37.390999999999998</c:v>
                </c:pt>
                <c:pt idx="330">
                  <c:v>38.5</c:v>
                </c:pt>
                <c:pt idx="331">
                  <c:v>36.600999999999999</c:v>
                </c:pt>
                <c:pt idx="332">
                  <c:v>38.176000000000002</c:v>
                </c:pt>
                <c:pt idx="333">
                  <c:v>34.472999999999999</c:v>
                </c:pt>
                <c:pt idx="334">
                  <c:v>36.622999999999998</c:v>
                </c:pt>
                <c:pt idx="335">
                  <c:v>35.491999999999997</c:v>
                </c:pt>
                <c:pt idx="336">
                  <c:v>34.398000000000003</c:v>
                </c:pt>
                <c:pt idx="337">
                  <c:v>38.548999999999999</c:v>
                </c:pt>
                <c:pt idx="338">
                  <c:v>35.124000000000002</c:v>
                </c:pt>
                <c:pt idx="339">
                  <c:v>41.015000000000001</c:v>
                </c:pt>
                <c:pt idx="340">
                  <c:v>45.697000000000003</c:v>
                </c:pt>
                <c:pt idx="341">
                  <c:v>46.139000000000003</c:v>
                </c:pt>
                <c:pt idx="342">
                  <c:v>44.19</c:v>
                </c:pt>
                <c:pt idx="343">
                  <c:v>46.703000000000003</c:v>
                </c:pt>
                <c:pt idx="344">
                  <c:v>44.692999999999998</c:v>
                </c:pt>
                <c:pt idx="345">
                  <c:v>42.973999999999997</c:v>
                </c:pt>
                <c:pt idx="346">
                  <c:v>43.606000000000002</c:v>
                </c:pt>
                <c:pt idx="347">
                  <c:v>44.292999999999999</c:v>
                </c:pt>
                <c:pt idx="348">
                  <c:v>48.487000000000002</c:v>
                </c:pt>
                <c:pt idx="349">
                  <c:v>51.963999999999999</c:v>
                </c:pt>
                <c:pt idx="350">
                  <c:v>47.323</c:v>
                </c:pt>
                <c:pt idx="351">
                  <c:v>42.645000000000003</c:v>
                </c:pt>
                <c:pt idx="352">
                  <c:v>39.5</c:v>
                </c:pt>
                <c:pt idx="353">
                  <c:v>37.142000000000003</c:v>
                </c:pt>
                <c:pt idx="354">
                  <c:v>36.201999999999998</c:v>
                </c:pt>
                <c:pt idx="355">
                  <c:v>36.023000000000003</c:v>
                </c:pt>
                <c:pt idx="356">
                  <c:v>39.353000000000002</c:v>
                </c:pt>
                <c:pt idx="357">
                  <c:v>33.759</c:v>
                </c:pt>
                <c:pt idx="358">
                  <c:v>35.511000000000003</c:v>
                </c:pt>
                <c:pt idx="359">
                  <c:v>32.423000000000002</c:v>
                </c:pt>
                <c:pt idx="360">
                  <c:v>30.375</c:v>
                </c:pt>
                <c:pt idx="361">
                  <c:v>26.481999999999999</c:v>
                </c:pt>
                <c:pt idx="362">
                  <c:v>28.45</c:v>
                </c:pt>
                <c:pt idx="363">
                  <c:v>26.015999999999998</c:v>
                </c:pt>
                <c:pt idx="364">
                  <c:v>23.077999999999999</c:v>
                </c:pt>
                <c:pt idx="365">
                  <c:v>19.369</c:v>
                </c:pt>
                <c:pt idx="366">
                  <c:v>21.744</c:v>
                </c:pt>
                <c:pt idx="367">
                  <c:v>20.977</c:v>
                </c:pt>
                <c:pt idx="368">
                  <c:v>23.033999999999999</c:v>
                </c:pt>
                <c:pt idx="369">
                  <c:v>20.623000000000001</c:v>
                </c:pt>
                <c:pt idx="370">
                  <c:v>19.95</c:v>
                </c:pt>
                <c:pt idx="371">
                  <c:v>18.192</c:v>
                </c:pt>
                <c:pt idx="372">
                  <c:v>22.257000000000001</c:v>
                </c:pt>
                <c:pt idx="373">
                  <c:v>22.135000000000002</c:v>
                </c:pt>
                <c:pt idx="374">
                  <c:v>23</c:v>
                </c:pt>
                <c:pt idx="375">
                  <c:v>20.798999999999999</c:v>
                </c:pt>
                <c:pt idx="376">
                  <c:v>19.346</c:v>
                </c:pt>
                <c:pt idx="377">
                  <c:v>17.792999999999999</c:v>
                </c:pt>
                <c:pt idx="378">
                  <c:v>17.768999999999998</c:v>
                </c:pt>
                <c:pt idx="379">
                  <c:v>17.52</c:v>
                </c:pt>
                <c:pt idx="380">
                  <c:v>15.32</c:v>
                </c:pt>
                <c:pt idx="381">
                  <c:v>16.114000000000001</c:v>
                </c:pt>
                <c:pt idx="382">
                  <c:v>19.199000000000002</c:v>
                </c:pt>
                <c:pt idx="383">
                  <c:v>19.579000000000001</c:v>
                </c:pt>
                <c:pt idx="384">
                  <c:v>17.952999999999999</c:v>
                </c:pt>
                <c:pt idx="385">
                  <c:v>18.385000000000002</c:v>
                </c:pt>
                <c:pt idx="386">
                  <c:v>18.452999999999999</c:v>
                </c:pt>
                <c:pt idx="387">
                  <c:v>16.856000000000002</c:v>
                </c:pt>
                <c:pt idx="388">
                  <c:v>15.781000000000001</c:v>
                </c:pt>
                <c:pt idx="389">
                  <c:v>15.88</c:v>
                </c:pt>
                <c:pt idx="390">
                  <c:v>14.701000000000001</c:v>
                </c:pt>
                <c:pt idx="391">
                  <c:v>13.923</c:v>
                </c:pt>
                <c:pt idx="392">
                  <c:v>13.689</c:v>
                </c:pt>
                <c:pt idx="393">
                  <c:v>14.041</c:v>
                </c:pt>
                <c:pt idx="394">
                  <c:v>13.744</c:v>
                </c:pt>
                <c:pt idx="395">
                  <c:v>14.226000000000001</c:v>
                </c:pt>
                <c:pt idx="396">
                  <c:v>13.5</c:v>
                </c:pt>
                <c:pt idx="397">
                  <c:v>12.618</c:v>
                </c:pt>
                <c:pt idx="398">
                  <c:v>12.403</c:v>
                </c:pt>
                <c:pt idx="399">
                  <c:v>12.462</c:v>
                </c:pt>
                <c:pt idx="400">
                  <c:v>11.654</c:v>
                </c:pt>
                <c:pt idx="401">
                  <c:v>13.243</c:v>
                </c:pt>
                <c:pt idx="402">
                  <c:v>12.654</c:v>
                </c:pt>
                <c:pt idx="403">
                  <c:v>13.244999999999999</c:v>
                </c:pt>
                <c:pt idx="404">
                  <c:v>14.176</c:v>
                </c:pt>
                <c:pt idx="405">
                  <c:v>14.529</c:v>
                </c:pt>
                <c:pt idx="406">
                  <c:v>14.137</c:v>
                </c:pt>
                <c:pt idx="407">
                  <c:v>14.042999999999999</c:v>
                </c:pt>
                <c:pt idx="408">
                  <c:v>12.164999999999999</c:v>
                </c:pt>
                <c:pt idx="409">
                  <c:v>12.302</c:v>
                </c:pt>
                <c:pt idx="410">
                  <c:v>12.542999999999999</c:v>
                </c:pt>
                <c:pt idx="411">
                  <c:v>11.781000000000001</c:v>
                </c:pt>
                <c:pt idx="412">
                  <c:v>11.186</c:v>
                </c:pt>
                <c:pt idx="413">
                  <c:v>12</c:v>
                </c:pt>
                <c:pt idx="414">
                  <c:v>12.401</c:v>
                </c:pt>
                <c:pt idx="415">
                  <c:v>12.417</c:v>
                </c:pt>
                <c:pt idx="416">
                  <c:v>13.486000000000001</c:v>
                </c:pt>
                <c:pt idx="417">
                  <c:v>13.717000000000001</c:v>
                </c:pt>
                <c:pt idx="418">
                  <c:v>13.83</c:v>
                </c:pt>
                <c:pt idx="419">
                  <c:v>13.132999999999999</c:v>
                </c:pt>
                <c:pt idx="420">
                  <c:v>14.673</c:v>
                </c:pt>
                <c:pt idx="421">
                  <c:v>14.462</c:v>
                </c:pt>
                <c:pt idx="422">
                  <c:v>13.542</c:v>
                </c:pt>
                <c:pt idx="423">
                  <c:v>14.879</c:v>
                </c:pt>
                <c:pt idx="424">
                  <c:v>14.441000000000001</c:v>
                </c:pt>
                <c:pt idx="425">
                  <c:v>13.329000000000001</c:v>
                </c:pt>
                <c:pt idx="426">
                  <c:v>13.204000000000001</c:v>
                </c:pt>
                <c:pt idx="427">
                  <c:v>13.56</c:v>
                </c:pt>
                <c:pt idx="428">
                  <c:v>14.907999999999999</c:v>
                </c:pt>
                <c:pt idx="429">
                  <c:v>16.021999999999998</c:v>
                </c:pt>
                <c:pt idx="430">
                  <c:v>17.286999999999999</c:v>
                </c:pt>
                <c:pt idx="431">
                  <c:v>16.901</c:v>
                </c:pt>
                <c:pt idx="432">
                  <c:v>16.186</c:v>
                </c:pt>
                <c:pt idx="433">
                  <c:v>15.583</c:v>
                </c:pt>
                <c:pt idx="434">
                  <c:v>13.292999999999999</c:v>
                </c:pt>
                <c:pt idx="435">
                  <c:v>13.403</c:v>
                </c:pt>
                <c:pt idx="436">
                  <c:v>13.8</c:v>
                </c:pt>
                <c:pt idx="437">
                  <c:v>13.000999999999999</c:v>
                </c:pt>
                <c:pt idx="438">
                  <c:v>12.6</c:v>
                </c:pt>
                <c:pt idx="439">
                  <c:v>12.983000000000001</c:v>
                </c:pt>
                <c:pt idx="440">
                  <c:v>13.359</c:v>
                </c:pt>
                <c:pt idx="441">
                  <c:v>11.535</c:v>
                </c:pt>
                <c:pt idx="442">
                  <c:v>11.65</c:v>
                </c:pt>
                <c:pt idx="443">
                  <c:v>12.087999999999999</c:v>
                </c:pt>
                <c:pt idx="444">
                  <c:v>10.359</c:v>
                </c:pt>
                <c:pt idx="445">
                  <c:v>10.217000000000001</c:v>
                </c:pt>
                <c:pt idx="446">
                  <c:v>9.9019999999999992</c:v>
                </c:pt>
                <c:pt idx="447">
                  <c:v>9.9979999999999993</c:v>
                </c:pt>
                <c:pt idx="448">
                  <c:v>9.0389999999999997</c:v>
                </c:pt>
                <c:pt idx="449">
                  <c:v>8.7620000000000005</c:v>
                </c:pt>
                <c:pt idx="450">
                  <c:v>8.8719999999999999</c:v>
                </c:pt>
                <c:pt idx="451">
                  <c:v>9.1080000000000005</c:v>
                </c:pt>
                <c:pt idx="452">
                  <c:v>9.8710000000000004</c:v>
                </c:pt>
                <c:pt idx="453">
                  <c:v>9.9</c:v>
                </c:pt>
                <c:pt idx="454">
                  <c:v>10.162000000000001</c:v>
                </c:pt>
                <c:pt idx="455">
                  <c:v>10.356</c:v>
                </c:pt>
                <c:pt idx="456">
                  <c:v>10.805</c:v>
                </c:pt>
                <c:pt idx="457">
                  <c:v>12.05</c:v>
                </c:pt>
                <c:pt idx="458">
                  <c:v>11.701000000000001</c:v>
                </c:pt>
                <c:pt idx="459">
                  <c:v>12.749000000000001</c:v>
                </c:pt>
                <c:pt idx="460">
                  <c:v>12.193</c:v>
                </c:pt>
                <c:pt idx="461">
                  <c:v>12.333</c:v>
                </c:pt>
                <c:pt idx="462">
                  <c:v>12.816000000000001</c:v>
                </c:pt>
                <c:pt idx="463">
                  <c:v>12.247999999999999</c:v>
                </c:pt>
                <c:pt idx="464">
                  <c:v>12.333</c:v>
                </c:pt>
                <c:pt idx="465">
                  <c:v>13.292</c:v>
                </c:pt>
                <c:pt idx="466">
                  <c:v>13.747999999999999</c:v>
                </c:pt>
                <c:pt idx="467">
                  <c:v>13.8</c:v>
                </c:pt>
                <c:pt idx="468">
                  <c:v>13.319000000000001</c:v>
                </c:pt>
                <c:pt idx="469">
                  <c:v>14.015000000000001</c:v>
                </c:pt>
                <c:pt idx="470">
                  <c:v>14.321999999999999</c:v>
                </c:pt>
                <c:pt idx="471">
                  <c:v>15.311999999999999</c:v>
                </c:pt>
                <c:pt idx="472">
                  <c:v>15.57</c:v>
                </c:pt>
                <c:pt idx="473">
                  <c:v>15.157999999999999</c:v>
                </c:pt>
                <c:pt idx="474">
                  <c:v>15.134</c:v>
                </c:pt>
                <c:pt idx="475">
                  <c:v>15.23</c:v>
                </c:pt>
                <c:pt idx="476">
                  <c:v>14.992000000000001</c:v>
                </c:pt>
                <c:pt idx="477">
                  <c:v>14.359</c:v>
                </c:pt>
                <c:pt idx="478">
                  <c:v>13.807</c:v>
                </c:pt>
                <c:pt idx="479">
                  <c:v>15.956</c:v>
                </c:pt>
                <c:pt idx="480">
                  <c:v>16.297999999999998</c:v>
                </c:pt>
                <c:pt idx="481">
                  <c:v>16.175000000000001</c:v>
                </c:pt>
                <c:pt idx="482">
                  <c:v>15.775</c:v>
                </c:pt>
                <c:pt idx="483">
                  <c:v>17.721</c:v>
                </c:pt>
                <c:pt idx="484">
                  <c:v>15.670999999999999</c:v>
                </c:pt>
                <c:pt idx="485">
                  <c:v>15.704000000000001</c:v>
                </c:pt>
                <c:pt idx="486">
                  <c:v>15.202999999999999</c:v>
                </c:pt>
                <c:pt idx="487">
                  <c:v>15.019</c:v>
                </c:pt>
                <c:pt idx="488">
                  <c:v>15.47</c:v>
                </c:pt>
                <c:pt idx="489">
                  <c:v>15.302</c:v>
                </c:pt>
                <c:pt idx="490">
                  <c:v>15.375</c:v>
                </c:pt>
                <c:pt idx="491">
                  <c:v>13.061999999999999</c:v>
                </c:pt>
                <c:pt idx="492">
                  <c:v>14.680999999999999</c:v>
                </c:pt>
                <c:pt idx="493">
                  <c:v>14.872999999999999</c:v>
                </c:pt>
                <c:pt idx="494">
                  <c:v>17.173999999999999</c:v>
                </c:pt>
                <c:pt idx="495">
                  <c:v>18.423999999999999</c:v>
                </c:pt>
                <c:pt idx="496">
                  <c:v>20.239000000000001</c:v>
                </c:pt>
                <c:pt idx="497">
                  <c:v>22.622</c:v>
                </c:pt>
                <c:pt idx="498">
                  <c:v>21.007999999999999</c:v>
                </c:pt>
                <c:pt idx="499">
                  <c:v>21.516999999999999</c:v>
                </c:pt>
                <c:pt idx="500">
                  <c:v>24.655000000000001</c:v>
                </c:pt>
                <c:pt idx="501">
                  <c:v>22.547999999999998</c:v>
                </c:pt>
                <c:pt idx="502">
                  <c:v>23.67</c:v>
                </c:pt>
                <c:pt idx="503">
                  <c:v>20.739000000000001</c:v>
                </c:pt>
                <c:pt idx="504">
                  <c:v>21.03</c:v>
                </c:pt>
                <c:pt idx="505">
                  <c:v>21.082999999999998</c:v>
                </c:pt>
                <c:pt idx="506">
                  <c:v>20.045999999999999</c:v>
                </c:pt>
                <c:pt idx="507">
                  <c:v>21.861000000000001</c:v>
                </c:pt>
                <c:pt idx="508">
                  <c:v>21.35</c:v>
                </c:pt>
                <c:pt idx="509">
                  <c:v>18.532</c:v>
                </c:pt>
                <c:pt idx="510">
                  <c:v>22.103000000000002</c:v>
                </c:pt>
                <c:pt idx="511">
                  <c:v>23.241</c:v>
                </c:pt>
                <c:pt idx="512">
                  <c:v>32.133000000000003</c:v>
                </c:pt>
                <c:pt idx="513">
                  <c:v>34.777000000000001</c:v>
                </c:pt>
                <c:pt idx="514">
                  <c:v>32.814</c:v>
                </c:pt>
                <c:pt idx="515">
                  <c:v>33.351999999999997</c:v>
                </c:pt>
                <c:pt idx="516">
                  <c:v>32.127000000000002</c:v>
                </c:pt>
                <c:pt idx="517">
                  <c:v>27.843</c:v>
                </c:pt>
                <c:pt idx="518">
                  <c:v>25.581</c:v>
                </c:pt>
                <c:pt idx="519">
                  <c:v>26.757999999999999</c:v>
                </c:pt>
                <c:pt idx="520">
                  <c:v>23.359000000000002</c:v>
                </c:pt>
                <c:pt idx="521">
                  <c:v>24.224</c:v>
                </c:pt>
                <c:pt idx="522">
                  <c:v>24.559000000000001</c:v>
                </c:pt>
                <c:pt idx="523">
                  <c:v>25.998999999999999</c:v>
                </c:pt>
                <c:pt idx="524">
                  <c:v>19.739999999999998</c:v>
                </c:pt>
                <c:pt idx="525">
                  <c:v>22.785</c:v>
                </c:pt>
                <c:pt idx="526">
                  <c:v>17.893999999999998</c:v>
                </c:pt>
                <c:pt idx="527">
                  <c:v>20.181000000000001</c:v>
                </c:pt>
                <c:pt idx="528">
                  <c:v>19.72</c:v>
                </c:pt>
                <c:pt idx="529">
                  <c:v>19.62</c:v>
                </c:pt>
                <c:pt idx="530">
                  <c:v>19.518999999999998</c:v>
                </c:pt>
                <c:pt idx="531">
                  <c:v>21.542000000000002</c:v>
                </c:pt>
                <c:pt idx="532">
                  <c:v>21.344999999999999</c:v>
                </c:pt>
                <c:pt idx="533">
                  <c:v>22.396999999999998</c:v>
                </c:pt>
                <c:pt idx="534">
                  <c:v>20.373000000000001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A-46F6-84E8-D7659145204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4.8416226351326148E-2</c:v>
                </c:pt>
                <c:pt idx="1">
                  <c:v>4.8479234077641931E-2</c:v>
                </c:pt>
                <c:pt idx="2">
                  <c:v>4.9702011809758723E-2</c:v>
                </c:pt>
                <c:pt idx="3">
                  <c:v>4.8936836827258717E-2</c:v>
                </c:pt>
                <c:pt idx="4">
                  <c:v>4.7220923429668361E-2</c:v>
                </c:pt>
                <c:pt idx="5">
                  <c:v>4.6519861592933663E-2</c:v>
                </c:pt>
                <c:pt idx="6">
                  <c:v>4.7161001664362233E-2</c:v>
                </c:pt>
                <c:pt idx="7">
                  <c:v>4.9086207920637538E-2</c:v>
                </c:pt>
                <c:pt idx="8">
                  <c:v>4.9974253752663685E-2</c:v>
                </c:pt>
                <c:pt idx="9">
                  <c:v>5.0343282120779632E-2</c:v>
                </c:pt>
                <c:pt idx="10">
                  <c:v>5.0130261886296872E-2</c:v>
                </c:pt>
                <c:pt idx="11">
                  <c:v>5.2193880820888071E-2</c:v>
                </c:pt>
                <c:pt idx="12">
                  <c:v>5.2443984073829247E-2</c:v>
                </c:pt>
                <c:pt idx="13">
                  <c:v>5.3274936539563507E-2</c:v>
                </c:pt>
                <c:pt idx="14">
                  <c:v>5.3287546579289531E-2</c:v>
                </c:pt>
                <c:pt idx="15">
                  <c:v>5.4463871657667903E-2</c:v>
                </c:pt>
                <c:pt idx="16">
                  <c:v>5.3579141789551955E-2</c:v>
                </c:pt>
                <c:pt idx="17">
                  <c:v>5.3091722977787248E-2</c:v>
                </c:pt>
                <c:pt idx="18">
                  <c:v>5.4428887617787254E-2</c:v>
                </c:pt>
                <c:pt idx="19">
                  <c:v>5.3559019286208313E-2</c:v>
                </c:pt>
                <c:pt idx="20">
                  <c:v>5.3745857324669855E-2</c:v>
                </c:pt>
                <c:pt idx="21">
                  <c:v>5.2891984864352398E-2</c:v>
                </c:pt>
                <c:pt idx="22">
                  <c:v>5.1293858148303E-2</c:v>
                </c:pt>
                <c:pt idx="23">
                  <c:v>5.2472361834378957E-2</c:v>
                </c:pt>
                <c:pt idx="24">
                  <c:v>5.3350894110452587E-2</c:v>
                </c:pt>
                <c:pt idx="25">
                  <c:v>5.501252280518943E-2</c:v>
                </c:pt>
                <c:pt idx="26">
                  <c:v>5.2830610299307065E-2</c:v>
                </c:pt>
                <c:pt idx="27">
                  <c:v>5.1290131250126735E-2</c:v>
                </c:pt>
                <c:pt idx="28">
                  <c:v>5.0704227298319519E-2</c:v>
                </c:pt>
                <c:pt idx="29">
                  <c:v>4.9407939860819511E-2</c:v>
                </c:pt>
                <c:pt idx="30">
                  <c:v>5.0425289179403587E-2</c:v>
                </c:pt>
                <c:pt idx="31">
                  <c:v>5.2292088873521235E-2</c:v>
                </c:pt>
                <c:pt idx="32">
                  <c:v>5.3386923285285943E-2</c:v>
                </c:pt>
                <c:pt idx="33">
                  <c:v>5.3011333639716322E-2</c:v>
                </c:pt>
                <c:pt idx="34">
                  <c:v>5.2823936139716317E-2</c:v>
                </c:pt>
                <c:pt idx="35">
                  <c:v>5.3716526225430605E-2</c:v>
                </c:pt>
                <c:pt idx="36">
                  <c:v>5.1211450005205876E-2</c:v>
                </c:pt>
                <c:pt idx="37">
                  <c:v>5.3252955032792072E-2</c:v>
                </c:pt>
                <c:pt idx="38">
                  <c:v>5.279721433834763E-2</c:v>
                </c:pt>
                <c:pt idx="39">
                  <c:v>4.9531628035589019E-2</c:v>
                </c:pt>
                <c:pt idx="40">
                  <c:v>5.1985206150633276E-2</c:v>
                </c:pt>
                <c:pt idx="41">
                  <c:v>4.7214705525633269E-2</c:v>
                </c:pt>
                <c:pt idx="42">
                  <c:v>4.4377657406152758E-2</c:v>
                </c:pt>
                <c:pt idx="43">
                  <c:v>4.5989942154152759E-2</c:v>
                </c:pt>
                <c:pt idx="44">
                  <c:v>4.3954838703088923E-2</c:v>
                </c:pt>
                <c:pt idx="45">
                  <c:v>4.3954838703088923E-2</c:v>
                </c:pt>
                <c:pt idx="46">
                  <c:v>4.5347007957015635E-2</c:v>
                </c:pt>
                <c:pt idx="47">
                  <c:v>4.4908224459718336E-2</c:v>
                </c:pt>
                <c:pt idx="48">
                  <c:v>4.4719335426385003E-2</c:v>
                </c:pt>
                <c:pt idx="49">
                  <c:v>4.7533350298140729E-2</c:v>
                </c:pt>
                <c:pt idx="50">
                  <c:v>5.2163640492258363E-2</c:v>
                </c:pt>
                <c:pt idx="51">
                  <c:v>5.0513533024004409E-2</c:v>
                </c:pt>
                <c:pt idx="52">
                  <c:v>5.101032891530876E-2</c:v>
                </c:pt>
                <c:pt idx="53">
                  <c:v>4.8344500238036027E-2</c:v>
                </c:pt>
                <c:pt idx="54">
                  <c:v>4.9602079684702691E-2</c:v>
                </c:pt>
                <c:pt idx="55">
                  <c:v>4.8218461860236345E-2</c:v>
                </c:pt>
                <c:pt idx="56">
                  <c:v>4.9517233248552499E-2</c:v>
                </c:pt>
                <c:pt idx="57">
                  <c:v>5.0464715789931808E-2</c:v>
                </c:pt>
                <c:pt idx="58">
                  <c:v>5.1855619404838633E-2</c:v>
                </c:pt>
                <c:pt idx="59">
                  <c:v>5.2028746664642564E-2</c:v>
                </c:pt>
                <c:pt idx="60">
                  <c:v>5.1540354017834043E-2</c:v>
                </c:pt>
                <c:pt idx="61">
                  <c:v>4.9126966943808054E-2</c:v>
                </c:pt>
                <c:pt idx="62">
                  <c:v>5.0456483902712158E-2</c:v>
                </c:pt>
                <c:pt idx="63">
                  <c:v>5.4304880339613552E-2</c:v>
                </c:pt>
                <c:pt idx="64">
                  <c:v>5.2487029706586044E-2</c:v>
                </c:pt>
                <c:pt idx="65">
                  <c:v>5.2934290794464836E-2</c:v>
                </c:pt>
                <c:pt idx="66">
                  <c:v>4.9538954959279652E-2</c:v>
                </c:pt>
                <c:pt idx="67">
                  <c:v>5.0089997525946311E-2</c:v>
                </c:pt>
                <c:pt idx="68">
                  <c:v>5.2249089440822336E-2</c:v>
                </c:pt>
                <c:pt idx="69">
                  <c:v>4.9117136137250918E-2</c:v>
                </c:pt>
                <c:pt idx="70">
                  <c:v>4.8059181084619332E-2</c:v>
                </c:pt>
                <c:pt idx="71">
                  <c:v>4.9353641422243098E-2</c:v>
                </c:pt>
                <c:pt idx="72">
                  <c:v>4.8165500544465327E-2</c:v>
                </c:pt>
                <c:pt idx="73">
                  <c:v>4.9405616835226193E-2</c:v>
                </c:pt>
                <c:pt idx="74">
                  <c:v>5.1077227721811558E-2</c:v>
                </c:pt>
                <c:pt idx="75">
                  <c:v>5.0191481154484824E-2</c:v>
                </c:pt>
                <c:pt idx="76">
                  <c:v>4.9872471365011134E-2</c:v>
                </c:pt>
                <c:pt idx="77">
                  <c:v>5.0198036532753072E-2</c:v>
                </c:pt>
                <c:pt idx="78">
                  <c:v>4.919280967705688E-2</c:v>
                </c:pt>
                <c:pt idx="79">
                  <c:v>4.9603585730238701E-2</c:v>
                </c:pt>
                <c:pt idx="80">
                  <c:v>5.3524178153481934E-2</c:v>
                </c:pt>
                <c:pt idx="81">
                  <c:v>5.3301250024704948E-2</c:v>
                </c:pt>
                <c:pt idx="82">
                  <c:v>5.4215685760525843E-2</c:v>
                </c:pt>
                <c:pt idx="83">
                  <c:v>5.4215685760525843E-2</c:v>
                </c:pt>
                <c:pt idx="84">
                  <c:v>5.6458653593859182E-2</c:v>
                </c:pt>
                <c:pt idx="85">
                  <c:v>5.7545090555337783E-2</c:v>
                </c:pt>
                <c:pt idx="86">
                  <c:v>5.4298006841231192E-2</c:v>
                </c:pt>
                <c:pt idx="87">
                  <c:v>5.1432136758982672E-2</c:v>
                </c:pt>
                <c:pt idx="88">
                  <c:v>4.7941200732404599E-2</c:v>
                </c:pt>
                <c:pt idx="89">
                  <c:v>4.7138536680976027E-2</c:v>
                </c:pt>
                <c:pt idx="90">
                  <c:v>4.8685682980106455E-2</c:v>
                </c:pt>
                <c:pt idx="91">
                  <c:v>4.9419768714685897E-2</c:v>
                </c:pt>
                <c:pt idx="92">
                  <c:v>4.5822982814166413E-2</c:v>
                </c:pt>
                <c:pt idx="93">
                  <c:v>4.9775152911016834E-2</c:v>
                </c:pt>
                <c:pt idx="94">
                  <c:v>4.6930934650699377E-2</c:v>
                </c:pt>
                <c:pt idx="95">
                  <c:v>4.5971515467025909E-2</c:v>
                </c:pt>
                <c:pt idx="96">
                  <c:v>4.6252193939753182E-2</c:v>
                </c:pt>
                <c:pt idx="97">
                  <c:v>4.5422944124938358E-2</c:v>
                </c:pt>
                <c:pt idx="98">
                  <c:v>4.6021871624938364E-2</c:v>
                </c:pt>
                <c:pt idx="99">
                  <c:v>4.8119459554237722E-2</c:v>
                </c:pt>
                <c:pt idx="100">
                  <c:v>4.687511480248948E-2</c:v>
                </c:pt>
                <c:pt idx="101">
                  <c:v>4.6233104242489477E-2</c:v>
                </c:pt>
                <c:pt idx="102">
                  <c:v>4.7381908759854749E-2</c:v>
                </c:pt>
                <c:pt idx="103">
                  <c:v>4.7516669564560625E-2</c:v>
                </c:pt>
                <c:pt idx="104">
                  <c:v>4.9746270324956661E-2</c:v>
                </c:pt>
                <c:pt idx="105">
                  <c:v>4.9144431116327228E-2</c:v>
                </c:pt>
                <c:pt idx="106">
                  <c:v>4.8090343925605572E-2</c:v>
                </c:pt>
                <c:pt idx="107">
                  <c:v>4.6606807681161128E-2</c:v>
                </c:pt>
                <c:pt idx="108">
                  <c:v>4.5227025725605573E-2</c:v>
                </c:pt>
                <c:pt idx="109">
                  <c:v>4.5507220600272236E-2</c:v>
                </c:pt>
                <c:pt idx="110">
                  <c:v>4.6446241401642101E-2</c:v>
                </c:pt>
                <c:pt idx="111">
                  <c:v>4.6505514010433312E-2</c:v>
                </c:pt>
                <c:pt idx="112">
                  <c:v>4.7656578499906989E-2</c:v>
                </c:pt>
                <c:pt idx="113">
                  <c:v>4.8263746704640724E-2</c:v>
                </c:pt>
                <c:pt idx="114">
                  <c:v>4.6856612783292409E-2</c:v>
                </c:pt>
                <c:pt idx="115">
                  <c:v>4.5238445877097723E-2</c:v>
                </c:pt>
                <c:pt idx="116">
                  <c:v>4.5292669016080776E-2</c:v>
                </c:pt>
                <c:pt idx="117">
                  <c:v>4.4940716175812329E-2</c:v>
                </c:pt>
                <c:pt idx="118">
                  <c:v>4.4646700856140198E-2</c:v>
                </c:pt>
                <c:pt idx="119">
                  <c:v>4.3055626801094329E-2</c:v>
                </c:pt>
                <c:pt idx="120">
                  <c:v>4.2453921479312151E-2</c:v>
                </c:pt>
                <c:pt idx="121">
                  <c:v>4.2660385289682523E-2</c:v>
                </c:pt>
                <c:pt idx="122">
                  <c:v>4.4227654121337209E-2</c:v>
                </c:pt>
                <c:pt idx="123">
                  <c:v>4.6390938790724964E-2</c:v>
                </c:pt>
                <c:pt idx="124">
                  <c:v>4.5363337007966353E-2</c:v>
                </c:pt>
                <c:pt idx="125">
                  <c:v>4.4855025574633008E-2</c:v>
                </c:pt>
                <c:pt idx="126">
                  <c:v>4.5194613476181006E-2</c:v>
                </c:pt>
                <c:pt idx="127">
                  <c:v>4.477835164774064E-2</c:v>
                </c:pt>
                <c:pt idx="128">
                  <c:v>4.2536744103478338E-2</c:v>
                </c:pt>
                <c:pt idx="129">
                  <c:v>4.3866344138403721E-2</c:v>
                </c:pt>
                <c:pt idx="130">
                  <c:v>4.5410307375185331E-2</c:v>
                </c:pt>
                <c:pt idx="131">
                  <c:v>4.593057633742309E-2</c:v>
                </c:pt>
                <c:pt idx="132">
                  <c:v>4.6271486968035333E-2</c:v>
                </c:pt>
                <c:pt idx="133">
                  <c:v>4.819656676803534E-2</c:v>
                </c:pt>
                <c:pt idx="134">
                  <c:v>4.9900330084702023E-2</c:v>
                </c:pt>
                <c:pt idx="135">
                  <c:v>4.6748772365890132E-2</c:v>
                </c:pt>
                <c:pt idx="136">
                  <c:v>4.4992710365890136E-2</c:v>
                </c:pt>
                <c:pt idx="137">
                  <c:v>4.5367264217634318E-2</c:v>
                </c:pt>
                <c:pt idx="138">
                  <c:v>4.4014940007689567E-2</c:v>
                </c:pt>
                <c:pt idx="139">
                  <c:v>4.4240861248430297E-2</c:v>
                </c:pt>
                <c:pt idx="140">
                  <c:v>4.5457019728677217E-2</c:v>
                </c:pt>
                <c:pt idx="141">
                  <c:v>4.607454402946462E-2</c:v>
                </c:pt>
                <c:pt idx="142">
                  <c:v>4.4368258024401329E-2</c:v>
                </c:pt>
                <c:pt idx="143">
                  <c:v>4.6139008979473796E-2</c:v>
                </c:pt>
                <c:pt idx="144">
                  <c:v>4.7225446813338325E-2</c:v>
                </c:pt>
                <c:pt idx="145">
                  <c:v>4.4097644783081903E-2</c:v>
                </c:pt>
                <c:pt idx="146">
                  <c:v>4.7264695634715886E-2</c:v>
                </c:pt>
                <c:pt idx="147">
                  <c:v>4.6298802206941582E-2</c:v>
                </c:pt>
                <c:pt idx="148">
                  <c:v>4.6089720187075793E-2</c:v>
                </c:pt>
                <c:pt idx="149">
                  <c:v>4.0899133024776942E-2</c:v>
                </c:pt>
                <c:pt idx="150">
                  <c:v>3.9960990396761376E-2</c:v>
                </c:pt>
                <c:pt idx="151">
                  <c:v>4.1562859329228909E-2</c:v>
                </c:pt>
                <c:pt idx="152">
                  <c:v>4.2197056302709569E-2</c:v>
                </c:pt>
                <c:pt idx="153">
                  <c:v>4.2739708742511498E-2</c:v>
                </c:pt>
                <c:pt idx="154">
                  <c:v>4.1370772724660256E-2</c:v>
                </c:pt>
                <c:pt idx="155">
                  <c:v>4.270266063379298E-2</c:v>
                </c:pt>
                <c:pt idx="156">
                  <c:v>4.14237705813763E-2</c:v>
                </c:pt>
                <c:pt idx="157">
                  <c:v>4.4425931156181056E-2</c:v>
                </c:pt>
                <c:pt idx="158">
                  <c:v>4.5875029033247604E-2</c:v>
                </c:pt>
                <c:pt idx="159">
                  <c:v>4.5477959011805472E-2</c:v>
                </c:pt>
                <c:pt idx="160">
                  <c:v>5.0271617246772364E-2</c:v>
                </c:pt>
                <c:pt idx="161">
                  <c:v>4.5855144757530768E-2</c:v>
                </c:pt>
                <c:pt idx="162">
                  <c:v>4.3822768180533801E-2</c:v>
                </c:pt>
                <c:pt idx="163">
                  <c:v>4.4252425899215839E-2</c:v>
                </c:pt>
                <c:pt idx="164">
                  <c:v>4.9730227111372531E-2</c:v>
                </c:pt>
                <c:pt idx="165">
                  <c:v>5.3693713721673947E-2</c:v>
                </c:pt>
                <c:pt idx="166">
                  <c:v>4.8629734834943171E-2</c:v>
                </c:pt>
                <c:pt idx="167">
                  <c:v>4.8256155145253062E-2</c:v>
                </c:pt>
                <c:pt idx="168">
                  <c:v>4.6224090484229437E-2</c:v>
                </c:pt>
                <c:pt idx="169">
                  <c:v>4.7869555522577649E-2</c:v>
                </c:pt>
                <c:pt idx="170">
                  <c:v>4.9127738281610461E-2</c:v>
                </c:pt>
                <c:pt idx="171">
                  <c:v>4.9192676909198943E-2</c:v>
                </c:pt>
                <c:pt idx="172">
                  <c:v>4.7680400743704596E-2</c:v>
                </c:pt>
                <c:pt idx="173">
                  <c:v>4.8919301027380041E-2</c:v>
                </c:pt>
                <c:pt idx="174">
                  <c:v>4.7291880465632999E-2</c:v>
                </c:pt>
                <c:pt idx="175">
                  <c:v>4.5725118015851551E-2</c:v>
                </c:pt>
                <c:pt idx="176">
                  <c:v>4.1982925820021229E-2</c:v>
                </c:pt>
                <c:pt idx="177">
                  <c:v>4.0347540137613831E-2</c:v>
                </c:pt>
                <c:pt idx="178">
                  <c:v>4.0267701823926257E-2</c:v>
                </c:pt>
                <c:pt idx="179">
                  <c:v>4.0012887280205856E-2</c:v>
                </c:pt>
                <c:pt idx="180">
                  <c:v>4.2622492835637328E-2</c:v>
                </c:pt>
                <c:pt idx="181">
                  <c:v>4.1775640286369042E-2</c:v>
                </c:pt>
                <c:pt idx="182">
                  <c:v>4.0946417800552248E-2</c:v>
                </c:pt>
                <c:pt idx="183">
                  <c:v>4.0489052068947061E-2</c:v>
                </c:pt>
                <c:pt idx="184">
                  <c:v>4.0830582264888789E-2</c:v>
                </c:pt>
                <c:pt idx="185">
                  <c:v>4.0107852580269179E-2</c:v>
                </c:pt>
                <c:pt idx="186">
                  <c:v>4.1545868161077804E-2</c:v>
                </c:pt>
                <c:pt idx="187">
                  <c:v>4.1016125671967489E-2</c:v>
                </c:pt>
                <c:pt idx="188">
                  <c:v>4.0192647876302078E-2</c:v>
                </c:pt>
                <c:pt idx="189">
                  <c:v>3.9247603910048959E-2</c:v>
                </c:pt>
                <c:pt idx="190">
                  <c:v>3.9216631779524343E-2</c:v>
                </c:pt>
                <c:pt idx="191">
                  <c:v>3.8358111998959207E-2</c:v>
                </c:pt>
                <c:pt idx="192">
                  <c:v>3.9235423499735717E-2</c:v>
                </c:pt>
                <c:pt idx="193">
                  <c:v>4.0785067565025188E-2</c:v>
                </c:pt>
                <c:pt idx="194">
                  <c:v>4.2501728280872862E-2</c:v>
                </c:pt>
                <c:pt idx="195">
                  <c:v>4.2605578542412863E-2</c:v>
                </c:pt>
                <c:pt idx="196">
                  <c:v>4.3073692346405602E-2</c:v>
                </c:pt>
                <c:pt idx="197">
                  <c:v>4.3501820101763358E-2</c:v>
                </c:pt>
                <c:pt idx="198">
                  <c:v>4.3223267288814773E-2</c:v>
                </c:pt>
                <c:pt idx="199">
                  <c:v>4.3622931662148104E-2</c:v>
                </c:pt>
                <c:pt idx="200">
                  <c:v>4.4236058810981818E-2</c:v>
                </c:pt>
                <c:pt idx="201">
                  <c:v>4.4166997429215892E-2</c:v>
                </c:pt>
                <c:pt idx="202">
                  <c:v>4.4346173097629511E-2</c:v>
                </c:pt>
                <c:pt idx="203">
                  <c:v>4.4125536283291703E-2</c:v>
                </c:pt>
                <c:pt idx="204">
                  <c:v>4.5050482393738663E-2</c:v>
                </c:pt>
                <c:pt idx="205">
                  <c:v>4.6528786197672097E-2</c:v>
                </c:pt>
                <c:pt idx="206">
                  <c:v>4.7382648790666441E-2</c:v>
                </c:pt>
                <c:pt idx="207">
                  <c:v>4.8149174953225966E-2</c:v>
                </c:pt>
                <c:pt idx="208">
                  <c:v>4.5700149446046209E-2</c:v>
                </c:pt>
                <c:pt idx="209">
                  <c:v>4.5396470307024851E-2</c:v>
                </c:pt>
                <c:pt idx="210">
                  <c:v>4.4516738948420301E-2</c:v>
                </c:pt>
                <c:pt idx="211">
                  <c:v>4.5763514349173216E-2</c:v>
                </c:pt>
                <c:pt idx="212">
                  <c:v>4.1880992317916178E-2</c:v>
                </c:pt>
                <c:pt idx="213">
                  <c:v>4.108514200513317E-2</c:v>
                </c:pt>
                <c:pt idx="214">
                  <c:v>3.9246043079760033E-2</c:v>
                </c:pt>
                <c:pt idx="215">
                  <c:v>3.8351243820811974E-2</c:v>
                </c:pt>
                <c:pt idx="216">
                  <c:v>3.9419446628756009E-2</c:v>
                </c:pt>
                <c:pt idx="217">
                  <c:v>4.0432594065301676E-2</c:v>
                </c:pt>
                <c:pt idx="218">
                  <c:v>3.8562079658723367E-2</c:v>
                </c:pt>
                <c:pt idx="219">
                  <c:v>3.8387293868387976E-2</c:v>
                </c:pt>
                <c:pt idx="220">
                  <c:v>3.641268751862068E-2</c:v>
                </c:pt>
                <c:pt idx="221">
                  <c:v>3.7978028414150038E-2</c:v>
                </c:pt>
                <c:pt idx="222">
                  <c:v>3.7356548786194543E-2</c:v>
                </c:pt>
                <c:pt idx="223">
                  <c:v>3.821470146099655E-2</c:v>
                </c:pt>
                <c:pt idx="224">
                  <c:v>3.8963312328546405E-2</c:v>
                </c:pt>
                <c:pt idx="225">
                  <c:v>3.9113233376251749E-2</c:v>
                </c:pt>
                <c:pt idx="226">
                  <c:v>3.9712678976191719E-2</c:v>
                </c:pt>
                <c:pt idx="227">
                  <c:v>4.0318977353008545E-2</c:v>
                </c:pt>
                <c:pt idx="228">
                  <c:v>4.0007313772175791E-2</c:v>
                </c:pt>
                <c:pt idx="229">
                  <c:v>3.958540356879392E-2</c:v>
                </c:pt>
                <c:pt idx="230">
                  <c:v>3.9619641051244554E-2</c:v>
                </c:pt>
                <c:pt idx="231">
                  <c:v>3.9975069997715426E-2</c:v>
                </c:pt>
                <c:pt idx="232">
                  <c:v>4.0493385787120383E-2</c:v>
                </c:pt>
                <c:pt idx="233">
                  <c:v>3.9795130113462765E-2</c:v>
                </c:pt>
                <c:pt idx="234">
                  <c:v>4.0013129572335548E-2</c:v>
                </c:pt>
                <c:pt idx="235">
                  <c:v>4.1093813716669363E-2</c:v>
                </c:pt>
                <c:pt idx="236">
                  <c:v>4.1009196286234575E-2</c:v>
                </c:pt>
                <c:pt idx="237">
                  <c:v>4.1185178856846562E-2</c:v>
                </c:pt>
                <c:pt idx="238">
                  <c:v>4.1802632457402879E-2</c:v>
                </c:pt>
                <c:pt idx="239">
                  <c:v>4.1286159216719187E-2</c:v>
                </c:pt>
                <c:pt idx="240">
                  <c:v>4.0853523257491794E-2</c:v>
                </c:pt>
                <c:pt idx="241">
                  <c:v>4.1088195553441405E-2</c:v>
                </c:pt>
                <c:pt idx="242">
                  <c:v>4.0040325100230784E-2</c:v>
                </c:pt>
                <c:pt idx="243">
                  <c:v>3.9922885568093008E-2</c:v>
                </c:pt>
                <c:pt idx="244">
                  <c:v>4.0906192247305656E-2</c:v>
                </c:pt>
                <c:pt idx="245">
                  <c:v>4.15584940849223E-2</c:v>
                </c:pt>
                <c:pt idx="246">
                  <c:v>4.2403761752754267E-2</c:v>
                </c:pt>
                <c:pt idx="247">
                  <c:v>4.1548810032896039E-2</c:v>
                </c:pt>
                <c:pt idx="248">
                  <c:v>4.0921802481007789E-2</c:v>
                </c:pt>
                <c:pt idx="249">
                  <c:v>3.9385896184136404E-2</c:v>
                </c:pt>
                <c:pt idx="250">
                  <c:v>3.9715929075438965E-2</c:v>
                </c:pt>
                <c:pt idx="251">
                  <c:v>4.0286188056662939E-2</c:v>
                </c:pt>
                <c:pt idx="252">
                  <c:v>4.0930746155169881E-2</c:v>
                </c:pt>
                <c:pt idx="253">
                  <c:v>3.9328403634870376E-2</c:v>
                </c:pt>
                <c:pt idx="254">
                  <c:v>4.0767513363350959E-2</c:v>
                </c:pt>
                <c:pt idx="255">
                  <c:v>4.1458468386860708E-2</c:v>
                </c:pt>
                <c:pt idx="256">
                  <c:v>4.2536782420404803E-2</c:v>
                </c:pt>
                <c:pt idx="257">
                  <c:v>4.289423282495395E-2</c:v>
                </c:pt>
                <c:pt idx="258">
                  <c:v>4.3917262548554339E-2</c:v>
                </c:pt>
                <c:pt idx="259">
                  <c:v>4.368749728056593E-2</c:v>
                </c:pt>
                <c:pt idx="260">
                  <c:v>4.4385415845738345E-2</c:v>
                </c:pt>
                <c:pt idx="261">
                  <c:v>4.6797454913245884E-2</c:v>
                </c:pt>
                <c:pt idx="262">
                  <c:v>4.5325215270808898E-2</c:v>
                </c:pt>
                <c:pt idx="263">
                  <c:v>4.5895680293520626E-2</c:v>
                </c:pt>
                <c:pt idx="264">
                  <c:v>4.643736752689908E-2</c:v>
                </c:pt>
                <c:pt idx="265">
                  <c:v>4.5571327920020013E-2</c:v>
                </c:pt>
                <c:pt idx="266">
                  <c:v>4.610104467114589E-2</c:v>
                </c:pt>
                <c:pt idx="267">
                  <c:v>4.6289504568082514E-2</c:v>
                </c:pt>
                <c:pt idx="268">
                  <c:v>4.3916237291444012E-2</c:v>
                </c:pt>
                <c:pt idx="269">
                  <c:v>4.6983252151052708E-2</c:v>
                </c:pt>
                <c:pt idx="270">
                  <c:v>4.4185266172138998E-2</c:v>
                </c:pt>
                <c:pt idx="271">
                  <c:v>4.4242374184312074E-2</c:v>
                </c:pt>
                <c:pt idx="272">
                  <c:v>4.326046834889357E-2</c:v>
                </c:pt>
                <c:pt idx="273">
                  <c:v>4.2220415163931921E-2</c:v>
                </c:pt>
                <c:pt idx="274">
                  <c:v>4.2777277909132501E-2</c:v>
                </c:pt>
                <c:pt idx="275">
                  <c:v>4.3450939295556212E-2</c:v>
                </c:pt>
                <c:pt idx="276">
                  <c:v>4.1023764131676514E-2</c:v>
                </c:pt>
                <c:pt idx="277">
                  <c:v>4.0021413116922297E-2</c:v>
                </c:pt>
                <c:pt idx="278">
                  <c:v>3.9722573251055729E-2</c:v>
                </c:pt>
                <c:pt idx="279">
                  <c:v>4.0405700877037376E-2</c:v>
                </c:pt>
                <c:pt idx="280">
                  <c:v>4.0533642362185894E-2</c:v>
                </c:pt>
                <c:pt idx="281">
                  <c:v>4.2742274144672986E-2</c:v>
                </c:pt>
                <c:pt idx="282">
                  <c:v>4.3774897295598948E-2</c:v>
                </c:pt>
                <c:pt idx="283">
                  <c:v>4.1680182751926739E-2</c:v>
                </c:pt>
                <c:pt idx="284">
                  <c:v>4.4556311449336E-2</c:v>
                </c:pt>
                <c:pt idx="285">
                  <c:v>4.3027068632471507E-2</c:v>
                </c:pt>
                <c:pt idx="286">
                  <c:v>4.444817481473836E-2</c:v>
                </c:pt>
                <c:pt idx="287">
                  <c:v>4.5312927955827483E-2</c:v>
                </c:pt>
                <c:pt idx="288">
                  <c:v>4.7702060110009679E-2</c:v>
                </c:pt>
                <c:pt idx="289">
                  <c:v>4.4302351839844843E-2</c:v>
                </c:pt>
                <c:pt idx="290">
                  <c:v>4.3891639475544697E-2</c:v>
                </c:pt>
                <c:pt idx="291">
                  <c:v>4.3647476472076216E-2</c:v>
                </c:pt>
                <c:pt idx="292">
                  <c:v>4.2949001382758575E-2</c:v>
                </c:pt>
                <c:pt idx="293">
                  <c:v>4.3602752773652192E-2</c:v>
                </c:pt>
                <c:pt idx="294">
                  <c:v>4.4183495182245083E-2</c:v>
                </c:pt>
                <c:pt idx="295">
                  <c:v>4.2719367627338183E-2</c:v>
                </c:pt>
                <c:pt idx="296">
                  <c:v>4.4086079477627702E-2</c:v>
                </c:pt>
                <c:pt idx="297">
                  <c:v>4.4692472395848643E-2</c:v>
                </c:pt>
                <c:pt idx="298">
                  <c:v>4.4300355718039496E-2</c:v>
                </c:pt>
                <c:pt idx="299">
                  <c:v>4.3924829339733303E-2</c:v>
                </c:pt>
                <c:pt idx="300">
                  <c:v>4.5050115247541433E-2</c:v>
                </c:pt>
                <c:pt idx="301">
                  <c:v>4.3701935410914161E-2</c:v>
                </c:pt>
                <c:pt idx="302">
                  <c:v>4.3991262398585397E-2</c:v>
                </c:pt>
                <c:pt idx="303">
                  <c:v>4.3341174298424177E-2</c:v>
                </c:pt>
                <c:pt idx="304">
                  <c:v>4.3116816130766331E-2</c:v>
                </c:pt>
                <c:pt idx="305">
                  <c:v>4.1901363598574042E-2</c:v>
                </c:pt>
                <c:pt idx="306">
                  <c:v>4.2296913261990275E-2</c:v>
                </c:pt>
                <c:pt idx="307">
                  <c:v>4.257762300431521E-2</c:v>
                </c:pt>
                <c:pt idx="308">
                  <c:v>4.1443013774315203E-2</c:v>
                </c:pt>
                <c:pt idx="309">
                  <c:v>4.1251538807376427E-2</c:v>
                </c:pt>
                <c:pt idx="310">
                  <c:v>4.2867337090966344E-2</c:v>
                </c:pt>
                <c:pt idx="311">
                  <c:v>4.3547491661643713E-2</c:v>
                </c:pt>
                <c:pt idx="312">
                  <c:v>4.4851781088948377E-2</c:v>
                </c:pt>
                <c:pt idx="313">
                  <c:v>4.5312087749308991E-2</c:v>
                </c:pt>
                <c:pt idx="314">
                  <c:v>4.6565848037636262E-2</c:v>
                </c:pt>
                <c:pt idx="315">
                  <c:v>4.9201966226558591E-2</c:v>
                </c:pt>
                <c:pt idx="316">
                  <c:v>4.6668691138054774E-2</c:v>
                </c:pt>
                <c:pt idx="317">
                  <c:v>4.553931093193149E-2</c:v>
                </c:pt>
                <c:pt idx="318">
                  <c:v>4.4608531122034445E-2</c:v>
                </c:pt>
                <c:pt idx="319">
                  <c:v>4.9546424265967136E-2</c:v>
                </c:pt>
                <c:pt idx="320">
                  <c:v>4.740997555273252E-2</c:v>
                </c:pt>
                <c:pt idx="321">
                  <c:v>4.6821259220686313E-2</c:v>
                </c:pt>
                <c:pt idx="322">
                  <c:v>4.6975305015622297E-2</c:v>
                </c:pt>
                <c:pt idx="323">
                  <c:v>4.6598032188647977E-2</c:v>
                </c:pt>
                <c:pt idx="324">
                  <c:v>4.7499441328162591E-2</c:v>
                </c:pt>
                <c:pt idx="325">
                  <c:v>4.8191429531123542E-2</c:v>
                </c:pt>
                <c:pt idx="326">
                  <c:v>4.4915499235512309E-2</c:v>
                </c:pt>
                <c:pt idx="327">
                  <c:v>4.3185067603459901E-2</c:v>
                </c:pt>
                <c:pt idx="328">
                  <c:v>4.1746386352733346E-2</c:v>
                </c:pt>
                <c:pt idx="329">
                  <c:v>4.1436229943310046E-2</c:v>
                </c:pt>
                <c:pt idx="330">
                  <c:v>4.1918743747983225E-2</c:v>
                </c:pt>
                <c:pt idx="331">
                  <c:v>4.1898543582288519E-2</c:v>
                </c:pt>
                <c:pt idx="332">
                  <c:v>4.2361044470426594E-2</c:v>
                </c:pt>
                <c:pt idx="333">
                  <c:v>4.2179155900112897E-2</c:v>
                </c:pt>
                <c:pt idx="334">
                  <c:v>4.231709165897423E-2</c:v>
                </c:pt>
                <c:pt idx="335">
                  <c:v>4.2982186069549351E-2</c:v>
                </c:pt>
                <c:pt idx="336">
                  <c:v>4.274851297893982E-2</c:v>
                </c:pt>
                <c:pt idx="337">
                  <c:v>4.4636648028047163E-2</c:v>
                </c:pt>
                <c:pt idx="338">
                  <c:v>4.4844864096862967E-2</c:v>
                </c:pt>
                <c:pt idx="339">
                  <c:v>4.4914985823171626E-2</c:v>
                </c:pt>
                <c:pt idx="340">
                  <c:v>4.4560887395847903E-2</c:v>
                </c:pt>
                <c:pt idx="341">
                  <c:v>4.5570318618275464E-2</c:v>
                </c:pt>
                <c:pt idx="342">
                  <c:v>4.6181354452168102E-2</c:v>
                </c:pt>
                <c:pt idx="343">
                  <c:v>4.7073253022640864E-2</c:v>
                </c:pt>
                <c:pt idx="344">
                  <c:v>4.5910695435817918E-2</c:v>
                </c:pt>
                <c:pt idx="345">
                  <c:v>4.3482444208192167E-2</c:v>
                </c:pt>
                <c:pt idx="346">
                  <c:v>4.4071704874082844E-2</c:v>
                </c:pt>
                <c:pt idx="347">
                  <c:v>4.3211930887229494E-2</c:v>
                </c:pt>
                <c:pt idx="348">
                  <c:v>4.4571722483721522E-2</c:v>
                </c:pt>
                <c:pt idx="349">
                  <c:v>4.5525551884751624E-2</c:v>
                </c:pt>
                <c:pt idx="350">
                  <c:v>4.3846333032996357E-2</c:v>
                </c:pt>
                <c:pt idx="351">
                  <c:v>4.3282108771615563E-2</c:v>
                </c:pt>
                <c:pt idx="352">
                  <c:v>3.7007133231308331E-2</c:v>
                </c:pt>
                <c:pt idx="353">
                  <c:v>3.254854621130833E-2</c:v>
                </c:pt>
                <c:pt idx="354">
                  <c:v>3.1825042385101428E-2</c:v>
                </c:pt>
                <c:pt idx="355">
                  <c:v>2.9918754050587148E-2</c:v>
                </c:pt>
                <c:pt idx="356">
                  <c:v>3.1677578006485865E-2</c:v>
                </c:pt>
                <c:pt idx="357">
                  <c:v>3.009554866637261E-2</c:v>
                </c:pt>
                <c:pt idx="358">
                  <c:v>3.1229213902851483E-2</c:v>
                </c:pt>
                <c:pt idx="359">
                  <c:v>2.9182737324336475E-2</c:v>
                </c:pt>
                <c:pt idx="360">
                  <c:v>2.8830537016407552E-2</c:v>
                </c:pt>
                <c:pt idx="361">
                  <c:v>2.5821879713501195E-2</c:v>
                </c:pt>
                <c:pt idx="362">
                  <c:v>2.6894300319718262E-2</c:v>
                </c:pt>
                <c:pt idx="363">
                  <c:v>2.5156869215449146E-2</c:v>
                </c:pt>
                <c:pt idx="364">
                  <c:v>2.3305184805916073E-2</c:v>
                </c:pt>
                <c:pt idx="365">
                  <c:v>2.1564869197823588E-2</c:v>
                </c:pt>
                <c:pt idx="366">
                  <c:v>2.3089196918323118E-2</c:v>
                </c:pt>
                <c:pt idx="367">
                  <c:v>2.1397974938403862E-2</c:v>
                </c:pt>
                <c:pt idx="368">
                  <c:v>2.3261773373508949E-2</c:v>
                </c:pt>
                <c:pt idx="369">
                  <c:v>2.1136908878371469E-2</c:v>
                </c:pt>
                <c:pt idx="370">
                  <c:v>2.0939537729992175E-2</c:v>
                </c:pt>
                <c:pt idx="371">
                  <c:v>1.9231419238041794E-2</c:v>
                </c:pt>
                <c:pt idx="372">
                  <c:v>2.1067111232163083E-2</c:v>
                </c:pt>
                <c:pt idx="373">
                  <c:v>1.9720660214921699E-2</c:v>
                </c:pt>
                <c:pt idx="374">
                  <c:v>2.183943617802972E-2</c:v>
                </c:pt>
                <c:pt idx="375">
                  <c:v>1.890850242802972E-2</c:v>
                </c:pt>
                <c:pt idx="376">
                  <c:v>1.7306531217186345E-2</c:v>
                </c:pt>
                <c:pt idx="377">
                  <c:v>1.7348028755343116E-2</c:v>
                </c:pt>
                <c:pt idx="378">
                  <c:v>1.6625106067327294E-2</c:v>
                </c:pt>
                <c:pt idx="379">
                  <c:v>1.6446851761986184E-2</c:v>
                </c:pt>
                <c:pt idx="380">
                  <c:v>1.4110648624564227E-2</c:v>
                </c:pt>
                <c:pt idx="381">
                  <c:v>1.5430875995669594E-2</c:v>
                </c:pt>
                <c:pt idx="382">
                  <c:v>1.5769235127716129E-2</c:v>
                </c:pt>
                <c:pt idx="383">
                  <c:v>1.653187868271613E-2</c:v>
                </c:pt>
                <c:pt idx="384">
                  <c:v>1.406850187440555E-2</c:v>
                </c:pt>
                <c:pt idx="385">
                  <c:v>1.305559575999922E-2</c:v>
                </c:pt>
                <c:pt idx="386">
                  <c:v>1.1301394752728532E-2</c:v>
                </c:pt>
                <c:pt idx="387">
                  <c:v>8.7129080987762512E-3</c:v>
                </c:pt>
                <c:pt idx="388">
                  <c:v>6.3788183017137439E-3</c:v>
                </c:pt>
                <c:pt idx="389">
                  <c:v>6.3150611150409328E-3</c:v>
                </c:pt>
                <c:pt idx="390">
                  <c:v>4.8215573222230414E-3</c:v>
                </c:pt>
                <c:pt idx="391">
                  <c:v>3.8060590925527121E-3</c:v>
                </c:pt>
                <c:pt idx="392">
                  <c:v>4.1438733895981664E-3</c:v>
                </c:pt>
                <c:pt idx="393">
                  <c:v>3.961660531295888E-3</c:v>
                </c:pt>
                <c:pt idx="394">
                  <c:v>3.4374665016544017E-3</c:v>
                </c:pt>
                <c:pt idx="395">
                  <c:v>3.5710414199121589E-3</c:v>
                </c:pt>
                <c:pt idx="396">
                  <c:v>3.544808621127347E-3</c:v>
                </c:pt>
                <c:pt idx="397">
                  <c:v>2.88762397302608E-3</c:v>
                </c:pt>
                <c:pt idx="398">
                  <c:v>2.6990966346327945E-3</c:v>
                </c:pt>
                <c:pt idx="399">
                  <c:v>2.2346384432042217E-3</c:v>
                </c:pt>
                <c:pt idx="400">
                  <c:v>-2.9422422837551131E-6</c:v>
                </c:pt>
                <c:pt idx="401">
                  <c:v>4.3542514213932215E-4</c:v>
                </c:pt>
                <c:pt idx="402">
                  <c:v>-2.8141173608003348E-4</c:v>
                </c:pt>
                <c:pt idx="403">
                  <c:v>1.4167795314388858E-5</c:v>
                </c:pt>
                <c:pt idx="404">
                  <c:v>5.1390696208268301E-4</c:v>
                </c:pt>
                <c:pt idx="405">
                  <c:v>1.3351215456892393E-3</c:v>
                </c:pt>
                <c:pt idx="406">
                  <c:v>7.8980009671690695E-4</c:v>
                </c:pt>
                <c:pt idx="407">
                  <c:v>-1.0397341581199749E-3</c:v>
                </c:pt>
                <c:pt idx="408">
                  <c:v>-4.3918360828012057E-3</c:v>
                </c:pt>
                <c:pt idx="409">
                  <c:v>-4.416430941615342E-3</c:v>
                </c:pt>
                <c:pt idx="410">
                  <c:v>-4.5279273397807558E-3</c:v>
                </c:pt>
                <c:pt idx="411">
                  <c:v>-5.3373788727660004E-3</c:v>
                </c:pt>
                <c:pt idx="412">
                  <c:v>-5.7503832111576985E-3</c:v>
                </c:pt>
                <c:pt idx="413">
                  <c:v>-5.1668307482657123E-3</c:v>
                </c:pt>
                <c:pt idx="414">
                  <c:v>-5.0272150504069397E-3</c:v>
                </c:pt>
                <c:pt idx="415">
                  <c:v>-5.4076193576624593E-3</c:v>
                </c:pt>
                <c:pt idx="416">
                  <c:v>-4.4537799145768046E-3</c:v>
                </c:pt>
                <c:pt idx="417">
                  <c:v>-3.8587884934906179E-3</c:v>
                </c:pt>
                <c:pt idx="418">
                  <c:v>-3.9494855784851061E-3</c:v>
                </c:pt>
                <c:pt idx="419">
                  <c:v>-4.3280444807073286E-3</c:v>
                </c:pt>
                <c:pt idx="420">
                  <c:v>-3.5569056494346002E-3</c:v>
                </c:pt>
                <c:pt idx="421">
                  <c:v>-3.8944733727730146E-3</c:v>
                </c:pt>
                <c:pt idx="422">
                  <c:v>-4.5455515658477733E-3</c:v>
                </c:pt>
                <c:pt idx="423">
                  <c:v>-3.1445325010590417E-3</c:v>
                </c:pt>
                <c:pt idx="424">
                  <c:v>-3.9018706138945129E-3</c:v>
                </c:pt>
                <c:pt idx="425">
                  <c:v>-4.7232610673298607E-3</c:v>
                </c:pt>
                <c:pt idx="426">
                  <c:v>-4.5039957878895377E-3</c:v>
                </c:pt>
                <c:pt idx="427">
                  <c:v>-4.4730785838289315E-3</c:v>
                </c:pt>
                <c:pt idx="428">
                  <c:v>-3.9883927135527346E-3</c:v>
                </c:pt>
                <c:pt idx="429">
                  <c:v>-3.6072615934708506E-3</c:v>
                </c:pt>
                <c:pt idx="430">
                  <c:v>-1.8941593817831197E-3</c:v>
                </c:pt>
                <c:pt idx="431">
                  <c:v>-2.2782945239124661E-3</c:v>
                </c:pt>
                <c:pt idx="432">
                  <c:v>-2.707230440230678E-3</c:v>
                </c:pt>
                <c:pt idx="433">
                  <c:v>-3.9479670656434509E-3</c:v>
                </c:pt>
                <c:pt idx="434">
                  <c:v>-6.3724240324516514E-3</c:v>
                </c:pt>
                <c:pt idx="435">
                  <c:v>-8.1416861013821253E-3</c:v>
                </c:pt>
                <c:pt idx="436">
                  <c:v>-8.3160031686465852E-3</c:v>
                </c:pt>
                <c:pt idx="437">
                  <c:v>-8.5885848720971495E-3</c:v>
                </c:pt>
                <c:pt idx="438">
                  <c:v>-8.9919390995798713E-3</c:v>
                </c:pt>
                <c:pt idx="439">
                  <c:v>-7.7259683492586859E-3</c:v>
                </c:pt>
                <c:pt idx="440">
                  <c:v>-8.2424236208739586E-3</c:v>
                </c:pt>
                <c:pt idx="441">
                  <c:v>-1.0463899333943132E-2</c:v>
                </c:pt>
                <c:pt idx="442">
                  <c:v>-1.0191789282990752E-2</c:v>
                </c:pt>
                <c:pt idx="443">
                  <c:v>-8.8807172674582099E-3</c:v>
                </c:pt>
                <c:pt idx="444">
                  <c:v>-1.0720195411215199E-2</c:v>
                </c:pt>
                <c:pt idx="445">
                  <c:v>-1.1159168307158593E-2</c:v>
                </c:pt>
                <c:pt idx="446">
                  <c:v>-1.1361898227806626E-2</c:v>
                </c:pt>
                <c:pt idx="447">
                  <c:v>-1.0075265349219667E-2</c:v>
                </c:pt>
                <c:pt idx="448">
                  <c:v>-1.1075565274248021E-2</c:v>
                </c:pt>
                <c:pt idx="449">
                  <c:v>-1.1367821572948021E-2</c:v>
                </c:pt>
                <c:pt idx="450">
                  <c:v>-1.1392403123845983E-2</c:v>
                </c:pt>
                <c:pt idx="451">
                  <c:v>-1.1151572396150618E-2</c:v>
                </c:pt>
                <c:pt idx="452">
                  <c:v>-1.0418287218916574E-2</c:v>
                </c:pt>
                <c:pt idx="453">
                  <c:v>-1.0530114480249909E-2</c:v>
                </c:pt>
                <c:pt idx="454">
                  <c:v>-1.0331532241979533E-2</c:v>
                </c:pt>
                <c:pt idx="455">
                  <c:v>-1.0441073293229535E-2</c:v>
                </c:pt>
                <c:pt idx="456">
                  <c:v>-1.0102863113547453E-2</c:v>
                </c:pt>
                <c:pt idx="457">
                  <c:v>-9.1889922187328495E-3</c:v>
                </c:pt>
                <c:pt idx="458">
                  <c:v>-9.2675559936818887E-3</c:v>
                </c:pt>
                <c:pt idx="459">
                  <c:v>-8.219590460220352E-3</c:v>
                </c:pt>
                <c:pt idx="460">
                  <c:v>-8.8508961208586499E-3</c:v>
                </c:pt>
                <c:pt idx="461">
                  <c:v>-8.5258838824624223E-3</c:v>
                </c:pt>
                <c:pt idx="462">
                  <c:v>-8.4971097492978643E-3</c:v>
                </c:pt>
                <c:pt idx="463">
                  <c:v>-8.6638122565086302E-3</c:v>
                </c:pt>
                <c:pt idx="464">
                  <c:v>-8.2810873021685275E-3</c:v>
                </c:pt>
                <c:pt idx="465">
                  <c:v>-7.6344194140435303E-3</c:v>
                </c:pt>
                <c:pt idx="466">
                  <c:v>-7.382932676298172E-3</c:v>
                </c:pt>
                <c:pt idx="467">
                  <c:v>-7.3592107188399777E-3</c:v>
                </c:pt>
                <c:pt idx="468">
                  <c:v>-7.9269018904691169E-3</c:v>
                </c:pt>
                <c:pt idx="469">
                  <c:v>-7.4603345051411554E-3</c:v>
                </c:pt>
                <c:pt idx="470">
                  <c:v>-7.6370751765213324E-3</c:v>
                </c:pt>
                <c:pt idx="471">
                  <c:v>-7.1434713548473219E-3</c:v>
                </c:pt>
                <c:pt idx="472">
                  <c:v>-7.0942306522622E-3</c:v>
                </c:pt>
                <c:pt idx="473">
                  <c:v>-7.4825664347827952E-3</c:v>
                </c:pt>
                <c:pt idx="474">
                  <c:v>-7.5474275310625141E-3</c:v>
                </c:pt>
                <c:pt idx="475">
                  <c:v>-6.9081291781298206E-3</c:v>
                </c:pt>
                <c:pt idx="476">
                  <c:v>-6.9041433619737814E-3</c:v>
                </c:pt>
                <c:pt idx="477">
                  <c:v>-8.4796576644341967E-3</c:v>
                </c:pt>
                <c:pt idx="478">
                  <c:v>-9.529029056581359E-3</c:v>
                </c:pt>
                <c:pt idx="479">
                  <c:v>-7.3861525425033478E-3</c:v>
                </c:pt>
                <c:pt idx="480">
                  <c:v>-6.6129168094653731E-3</c:v>
                </c:pt>
                <c:pt idx="481">
                  <c:v>-6.9503465570621668E-3</c:v>
                </c:pt>
                <c:pt idx="482">
                  <c:v>-6.9515081839905722E-3</c:v>
                </c:pt>
                <c:pt idx="483">
                  <c:v>-4.7796660553379618E-3</c:v>
                </c:pt>
                <c:pt idx="484">
                  <c:v>-5.7122998194653113E-3</c:v>
                </c:pt>
                <c:pt idx="485">
                  <c:v>-5.8838348258741504E-3</c:v>
                </c:pt>
                <c:pt idx="486">
                  <c:v>-6.576857746777129E-3</c:v>
                </c:pt>
                <c:pt idx="487">
                  <c:v>-5.9695435927260921E-3</c:v>
                </c:pt>
                <c:pt idx="488">
                  <c:v>-5.8435302639403795E-3</c:v>
                </c:pt>
                <c:pt idx="489">
                  <c:v>-6.043007240467497E-3</c:v>
                </c:pt>
                <c:pt idx="490">
                  <c:v>-6.1930334729914573E-3</c:v>
                </c:pt>
                <c:pt idx="491">
                  <c:v>-8.060682983117998E-3</c:v>
                </c:pt>
                <c:pt idx="492">
                  <c:v>-6.8452739771976533E-3</c:v>
                </c:pt>
                <c:pt idx="493">
                  <c:v>-6.4889527270162459E-3</c:v>
                </c:pt>
                <c:pt idx="494">
                  <c:v>-5.1434601771249405E-3</c:v>
                </c:pt>
                <c:pt idx="495">
                  <c:v>-4.1618609747032581E-3</c:v>
                </c:pt>
                <c:pt idx="496">
                  <c:v>-2.7808234709105792E-3</c:v>
                </c:pt>
                <c:pt idx="497">
                  <c:v>-1.5627036504345492E-3</c:v>
                </c:pt>
                <c:pt idx="498">
                  <c:v>-1.9102939242058392E-3</c:v>
                </c:pt>
                <c:pt idx="499">
                  <c:v>-1.9875047148293773E-3</c:v>
                </c:pt>
                <c:pt idx="500">
                  <c:v>-1.0033811012215761E-3</c:v>
                </c:pt>
                <c:pt idx="501">
                  <c:v>-2.3678437689208642E-3</c:v>
                </c:pt>
                <c:pt idx="502">
                  <c:v>-8.5659819245962807E-4</c:v>
                </c:pt>
                <c:pt idx="503">
                  <c:v>-2.2073099385941496E-3</c:v>
                </c:pt>
                <c:pt idx="504">
                  <c:v>-2.3146729987837244E-3</c:v>
                </c:pt>
                <c:pt idx="505">
                  <c:v>-1.3227255498409944E-3</c:v>
                </c:pt>
                <c:pt idx="506">
                  <c:v>-1.8236504385335302E-3</c:v>
                </c:pt>
                <c:pt idx="507">
                  <c:v>-1.3483273534220374E-3</c:v>
                </c:pt>
                <c:pt idx="508">
                  <c:v>-2.3876598587713833E-3</c:v>
                </c:pt>
                <c:pt idx="509">
                  <c:v>-3.3858426695919305E-3</c:v>
                </c:pt>
                <c:pt idx="510">
                  <c:v>-2.436658989274663E-3</c:v>
                </c:pt>
                <c:pt idx="511">
                  <c:v>-2.2925018846253887E-3</c:v>
                </c:pt>
                <c:pt idx="512">
                  <c:v>-1.0341874335442003E-3</c:v>
                </c:pt>
                <c:pt idx="513">
                  <c:v>3.8429085787138376E-4</c:v>
                </c:pt>
                <c:pt idx="514">
                  <c:v>8.889771495592984E-5</c:v>
                </c:pt>
                <c:pt idx="515">
                  <c:v>5.7877971116613528E-4</c:v>
                </c:pt>
                <c:pt idx="516">
                  <c:v>1.3223996754518524E-3</c:v>
                </c:pt>
                <c:pt idx="517">
                  <c:v>9.6701576753483907E-4</c:v>
                </c:pt>
                <c:pt idx="518">
                  <c:v>9.4016792143268883E-4</c:v>
                </c:pt>
                <c:pt idx="519">
                  <c:v>1.0014831846826043E-3</c:v>
                </c:pt>
                <c:pt idx="520">
                  <c:v>3.4861852813911662E-4</c:v>
                </c:pt>
                <c:pt idx="521">
                  <c:v>5.160656235096853E-4</c:v>
                </c:pt>
                <c:pt idx="522">
                  <c:v>9.4829264236521527E-4</c:v>
                </c:pt>
                <c:pt idx="523">
                  <c:v>7.9244491569854846E-4</c:v>
                </c:pt>
                <c:pt idx="524">
                  <c:v>-6.4801816785411937E-4</c:v>
                </c:pt>
                <c:pt idx="525">
                  <c:v>2.7510410431345883E-4</c:v>
                </c:pt>
                <c:pt idx="526">
                  <c:v>-9.0966580122330606E-4</c:v>
                </c:pt>
                <c:pt idx="527">
                  <c:v>-5.7118059671742321E-4</c:v>
                </c:pt>
                <c:pt idx="528">
                  <c:v>-2.7549287018856938E-4</c:v>
                </c:pt>
                <c:pt idx="529">
                  <c:v>-1.842627782642783E-4</c:v>
                </c:pt>
                <c:pt idx="530">
                  <c:v>-4.4893962477902456E-4</c:v>
                </c:pt>
                <c:pt idx="531">
                  <c:v>-1.4892190169669877E-4</c:v>
                </c:pt>
                <c:pt idx="532">
                  <c:v>-1.087748226266647E-4</c:v>
                </c:pt>
                <c:pt idx="533">
                  <c:v>-1.5399330401292137E-5</c:v>
                </c:pt>
                <c:pt idx="534">
                  <c:v>-2.0118716445452099E-4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BA-46F6-84E8-D76591452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8376559"/>
        <c:axId val="1551260735"/>
      </c:lineChart>
      <c:dateAx>
        <c:axId val="19583765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260735"/>
        <c:crosses val="autoZero"/>
        <c:auto val="1"/>
        <c:lblOffset val="100"/>
        <c:baseTimeUnit val="days"/>
      </c:dateAx>
      <c:valAx>
        <c:axId val="155126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376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20F9066-73C0-4D18-AB29-EC692E13ED96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EF1A8F-0A8F-4A26-AED7-D04103D8F9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75.085999999999999</v>
      </c>
      <c r="D2" s="4">
        <f>MIN(D3:D1912)</f>
        <v>8.375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11.69</v>
      </c>
      <c r="C5">
        <v>11.86</v>
      </c>
      <c r="D5">
        <v>11.48</v>
      </c>
      <c r="E5">
        <v>11.5</v>
      </c>
      <c r="F5">
        <v>7042.04</v>
      </c>
      <c r="G5">
        <v>11.5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-0.89473684210526516</v>
      </c>
      <c r="Q5">
        <f t="shared" ref="Q5" si="1">F5*P5</f>
        <v>-6300.7726315789614</v>
      </c>
      <c r="R5">
        <f t="shared" ref="R5" si="2">R6+Q5</f>
        <v>4841622.6351326145</v>
      </c>
      <c r="S5">
        <f t="shared" ref="S5" si="3">R5/100000</f>
        <v>48.416226351326145</v>
      </c>
      <c r="T5">
        <f t="shared" ref="T5" si="4">S5/1000</f>
        <v>4.8416226351326148E-2</v>
      </c>
    </row>
    <row r="6" spans="1:20" x14ac:dyDescent="0.25">
      <c r="A6" s="5">
        <v>44587</v>
      </c>
      <c r="B6">
        <v>12.07</v>
      </c>
      <c r="C6">
        <v>12.88</v>
      </c>
      <c r="D6">
        <v>11.51</v>
      </c>
      <c r="E6">
        <v>11.68</v>
      </c>
      <c r="F6">
        <v>162641.31</v>
      </c>
      <c r="G6">
        <v>11.68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-0.75182481751824848</v>
      </c>
      <c r="Q6">
        <f t="shared" ref="Q6" si="6">F6*P6</f>
        <v>-122277.77321167888</v>
      </c>
      <c r="R6">
        <f t="shared" ref="R6" si="7">R7+Q6</f>
        <v>4847923.4077641936</v>
      </c>
      <c r="S6">
        <f t="shared" ref="S6" si="8">R6/100000</f>
        <v>48.479234077641934</v>
      </c>
      <c r="T6">
        <f t="shared" ref="T6" si="9">S6/1000</f>
        <v>4.8479234077641931E-2</v>
      </c>
    </row>
    <row r="7" spans="1:20" x14ac:dyDescent="0.25">
      <c r="A7" s="5">
        <v>44586</v>
      </c>
      <c r="B7">
        <v>11.8</v>
      </c>
      <c r="C7">
        <v>12.27</v>
      </c>
      <c r="D7">
        <v>11.47</v>
      </c>
      <c r="E7">
        <v>12.06</v>
      </c>
      <c r="F7">
        <v>161089.47</v>
      </c>
      <c r="G7">
        <v>12.06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0.47500000000000159</v>
      </c>
      <c r="Q7">
        <f t="shared" ref="Q7" si="11">F7*P7</f>
        <v>76517.498250000252</v>
      </c>
      <c r="R7">
        <f t="shared" ref="R7" si="12">R8+Q7</f>
        <v>4970201.1809758721</v>
      </c>
      <c r="S7">
        <f t="shared" ref="S7" si="13">R7/100000</f>
        <v>49.702011809758723</v>
      </c>
      <c r="T7">
        <f t="shared" ref="T7" si="14">S7/1000</f>
        <v>4.9702011809758723E-2</v>
      </c>
    </row>
    <row r="8" spans="1:20" x14ac:dyDescent="0.25">
      <c r="A8" s="5">
        <v>44585</v>
      </c>
      <c r="B8">
        <v>12.05</v>
      </c>
      <c r="C8">
        <v>12.06</v>
      </c>
      <c r="D8">
        <v>10.4</v>
      </c>
      <c r="E8">
        <v>11.83</v>
      </c>
      <c r="F8">
        <v>237368.02</v>
      </c>
      <c r="G8">
        <v>11.83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0.72289156626505979</v>
      </c>
      <c r="Q8">
        <f t="shared" ref="Q8" si="16">F8*P8</f>
        <v>171591.33975903603</v>
      </c>
      <c r="R8">
        <f t="shared" ref="R8" si="17">R9+Q8</f>
        <v>4893683.6827258719</v>
      </c>
      <c r="S8">
        <f t="shared" ref="S8" si="18">R8/100000</f>
        <v>48.936836827258716</v>
      </c>
      <c r="T8">
        <f t="shared" ref="T8" si="19">S8/1000</f>
        <v>4.8936836827258717E-2</v>
      </c>
    </row>
    <row r="9" spans="1:20" x14ac:dyDescent="0.25">
      <c r="A9" s="5">
        <v>44584</v>
      </c>
      <c r="B9">
        <v>11.77</v>
      </c>
      <c r="C9">
        <v>12.33</v>
      </c>
      <c r="D9">
        <v>11.35</v>
      </c>
      <c r="E9">
        <v>12.09</v>
      </c>
      <c r="F9">
        <v>137408.12</v>
      </c>
      <c r="G9">
        <v>12.09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0.51020408163265285</v>
      </c>
      <c r="Q9">
        <f t="shared" ref="Q9" si="21">F9*P9</f>
        <v>70106.18367346935</v>
      </c>
      <c r="R9">
        <f t="shared" ref="R9" si="22">R10+Q9</f>
        <v>4722092.3429668359</v>
      </c>
      <c r="S9">
        <f t="shared" ref="S9" si="23">R9/100000</f>
        <v>47.22092342966836</v>
      </c>
      <c r="T9">
        <f t="shared" ref="T9" si="24">S9/1000</f>
        <v>4.7220923429668361E-2</v>
      </c>
    </row>
    <row r="10" spans="1:20" x14ac:dyDescent="0.25">
      <c r="A10" s="5">
        <v>44583</v>
      </c>
      <c r="B10">
        <v>12.8</v>
      </c>
      <c r="C10">
        <v>13.09</v>
      </c>
      <c r="D10">
        <v>10.78</v>
      </c>
      <c r="E10">
        <v>11.77</v>
      </c>
      <c r="F10">
        <v>448798.05</v>
      </c>
      <c r="G10">
        <v>11.77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-0.14285714285714285</v>
      </c>
      <c r="Q10">
        <f t="shared" ref="Q10" si="26">F10*P10</f>
        <v>-64114.007142857139</v>
      </c>
      <c r="R10">
        <f t="shared" ref="R10" si="27">R11+Q10</f>
        <v>4651986.1592933666</v>
      </c>
      <c r="S10">
        <f t="shared" ref="S10" si="28">R10/100000</f>
        <v>46.519861592933665</v>
      </c>
      <c r="T10">
        <f t="shared" ref="T10" si="29">S10/1000</f>
        <v>4.6519861592933663E-2</v>
      </c>
    </row>
    <row r="11" spans="1:20" x14ac:dyDescent="0.25">
      <c r="A11" s="5">
        <v>44582</v>
      </c>
      <c r="B11">
        <v>14.67</v>
      </c>
      <c r="C11">
        <v>14.86</v>
      </c>
      <c r="D11">
        <v>12.39</v>
      </c>
      <c r="E11">
        <v>12.82</v>
      </c>
      <c r="F11">
        <v>295357.73</v>
      </c>
      <c r="G11">
        <v>12.82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-0.65182186234817818</v>
      </c>
      <c r="Q11">
        <f t="shared" ref="Q11" si="31">F11*P11</f>
        <v>-192520.62562753036</v>
      </c>
      <c r="R11">
        <f t="shared" ref="R11" si="32">R12+Q11</f>
        <v>4716100.1664362233</v>
      </c>
      <c r="S11">
        <f t="shared" ref="S11" si="33">R11/100000</f>
        <v>47.161001664362232</v>
      </c>
      <c r="T11">
        <f t="shared" ref="T11" si="34">S11/1000</f>
        <v>4.7161001664362233E-2</v>
      </c>
    </row>
    <row r="12" spans="1:20" x14ac:dyDescent="0.25">
      <c r="A12" s="5">
        <v>44581</v>
      </c>
      <c r="B12">
        <v>15.37</v>
      </c>
      <c r="C12">
        <v>16.11</v>
      </c>
      <c r="D12">
        <v>14.58</v>
      </c>
      <c r="E12">
        <v>14.69</v>
      </c>
      <c r="F12">
        <v>103718.33</v>
      </c>
      <c r="G12">
        <v>14.69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-0.85620915032679812</v>
      </c>
      <c r="Q12">
        <f t="shared" ref="Q12" si="36">F12*P12</f>
        <v>-88804.583202614464</v>
      </c>
      <c r="R12">
        <f t="shared" ref="R12" si="37">R13+Q12</f>
        <v>4908620.7920637541</v>
      </c>
      <c r="S12">
        <f t="shared" ref="S12" si="38">R12/100000</f>
        <v>49.086207920637541</v>
      </c>
      <c r="T12">
        <f t="shared" ref="T12" si="39">S12/1000</f>
        <v>4.9086207920637538E-2</v>
      </c>
    </row>
    <row r="13" spans="1:20" x14ac:dyDescent="0.25">
      <c r="A13" s="5">
        <v>44580</v>
      </c>
      <c r="B13">
        <v>15.9</v>
      </c>
      <c r="C13">
        <v>15.92</v>
      </c>
      <c r="D13">
        <v>15.23</v>
      </c>
      <c r="E13">
        <v>15.36</v>
      </c>
      <c r="F13">
        <v>59216.18</v>
      </c>
      <c r="G13">
        <v>15.36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-0.62318840579710411</v>
      </c>
      <c r="Q13">
        <f t="shared" ref="Q13" si="41">F13*P13</f>
        <v>-36902.836811594359</v>
      </c>
      <c r="R13">
        <f t="shared" ref="R13" si="42">R14+Q13</f>
        <v>4997425.3752663685</v>
      </c>
      <c r="S13">
        <f t="shared" ref="S13" si="43">R13/100000</f>
        <v>49.974253752663685</v>
      </c>
      <c r="T13">
        <f t="shared" ref="T13" si="44">S13/1000</f>
        <v>4.9974253752663685E-2</v>
      </c>
    </row>
    <row r="14" spans="1:20" x14ac:dyDescent="0.25">
      <c r="A14" s="5">
        <v>44579</v>
      </c>
      <c r="B14">
        <v>16.059999999999999</v>
      </c>
      <c r="C14">
        <v>16.23</v>
      </c>
      <c r="D14">
        <v>15.36</v>
      </c>
      <c r="E14">
        <v>15.9</v>
      </c>
      <c r="F14">
        <v>88251.24</v>
      </c>
      <c r="G14">
        <v>15.9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0.24137931034482829</v>
      </c>
      <c r="Q14">
        <f t="shared" ref="Q14" si="46">F14*P14</f>
        <v>21302.023448275926</v>
      </c>
      <c r="R14">
        <f t="shared" ref="R14" si="47">R15+Q14</f>
        <v>5034328.2120779632</v>
      </c>
      <c r="S14">
        <f t="shared" ref="S14" si="48">R14/100000</f>
        <v>50.343282120779634</v>
      </c>
      <c r="T14">
        <f t="shared" ref="T14" si="49">S14/1000</f>
        <v>5.0343282120779632E-2</v>
      </c>
    </row>
    <row r="15" spans="1:20" x14ac:dyDescent="0.25">
      <c r="A15" s="5">
        <v>44578</v>
      </c>
      <c r="B15">
        <v>17.399999999999999</v>
      </c>
      <c r="C15">
        <v>17.399999999999999</v>
      </c>
      <c r="D15">
        <v>15.81</v>
      </c>
      <c r="E15">
        <v>16.04</v>
      </c>
      <c r="F15">
        <v>290367.62</v>
      </c>
      <c r="G15">
        <v>16.04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-0.71069182389937247</v>
      </c>
      <c r="Q15">
        <f t="shared" ref="Q15" si="51">F15*P15</f>
        <v>-206361.89345911989</v>
      </c>
      <c r="R15">
        <f t="shared" ref="R15" si="52">R16+Q15</f>
        <v>5013026.1886296868</v>
      </c>
      <c r="S15">
        <f t="shared" ref="S15" si="53">R15/100000</f>
        <v>50.130261886296871</v>
      </c>
      <c r="T15">
        <f t="shared" ref="T15" si="54">S15/1000</f>
        <v>5.0130261886296872E-2</v>
      </c>
    </row>
    <row r="16" spans="1:20" x14ac:dyDescent="0.25">
      <c r="A16" s="5">
        <v>44577</v>
      </c>
      <c r="B16">
        <v>17.54</v>
      </c>
      <c r="C16">
        <v>17.68</v>
      </c>
      <c r="D16">
        <v>17.170000000000002</v>
      </c>
      <c r="E16">
        <v>17.36</v>
      </c>
      <c r="F16">
        <v>98117.43</v>
      </c>
      <c r="G16">
        <v>17.36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-0.25490196078431976</v>
      </c>
      <c r="Q16">
        <f t="shared" ref="Q16" si="56">F16*P16</f>
        <v>-25010.325294118236</v>
      </c>
      <c r="R16">
        <f t="shared" ref="R16" si="57">R17+Q16</f>
        <v>5219388.0820888067</v>
      </c>
      <c r="S16">
        <f t="shared" ref="S16" si="58">R16/100000</f>
        <v>52.193880820888069</v>
      </c>
      <c r="T16">
        <f t="shared" ref="T16" si="59">S16/1000</f>
        <v>5.2193880820888071E-2</v>
      </c>
    </row>
    <row r="17" spans="1:20" x14ac:dyDescent="0.25">
      <c r="A17" s="5">
        <v>44576</v>
      </c>
      <c r="B17">
        <v>17.28</v>
      </c>
      <c r="C17">
        <v>18.63</v>
      </c>
      <c r="D17">
        <v>17.2</v>
      </c>
      <c r="E17">
        <v>17.55</v>
      </c>
      <c r="F17">
        <v>162775.62</v>
      </c>
      <c r="G17">
        <v>17.55</v>
      </c>
      <c r="L17" t="s">
        <v>8</v>
      </c>
      <c r="M17" t="s">
        <v>7</v>
      </c>
      <c r="N17" t="s">
        <v>8</v>
      </c>
      <c r="P17">
        <f t="shared" ref="P17" si="60">IF(C17=D17,0,((E17-D17)-(C17-E17))/(C17-D17))</f>
        <v>-0.51048951048950841</v>
      </c>
      <c r="Q17">
        <f t="shared" ref="Q17" si="61">F17*P17</f>
        <v>-83095.246573426237</v>
      </c>
      <c r="R17">
        <f t="shared" ref="R17" si="62">R18+Q17</f>
        <v>5244398.407382925</v>
      </c>
      <c r="S17">
        <f t="shared" ref="S17" si="63">R17/100000</f>
        <v>52.443984073829249</v>
      </c>
      <c r="T17">
        <f t="shared" ref="T17" si="64">S17/1000</f>
        <v>5.2443984073829247E-2</v>
      </c>
    </row>
    <row r="18" spans="1:20" x14ac:dyDescent="0.25">
      <c r="A18" s="5">
        <v>44575</v>
      </c>
      <c r="B18">
        <v>17.25</v>
      </c>
      <c r="C18">
        <v>17.649999999999999</v>
      </c>
      <c r="D18">
        <v>16.920000000000002</v>
      </c>
      <c r="E18">
        <v>17.28</v>
      </c>
      <c r="F18">
        <v>92053.29</v>
      </c>
      <c r="G18">
        <v>17.28</v>
      </c>
      <c r="L18" t="s">
        <v>7</v>
      </c>
      <c r="M18" t="s">
        <v>7</v>
      </c>
      <c r="N18" t="s">
        <v>8</v>
      </c>
      <c r="P18">
        <f t="shared" ref="P18" si="65">IF(C18=D18,0,((E18-D18)-(C18-E18))/(C18-D18))</f>
        <v>-1.3698630136983634E-2</v>
      </c>
      <c r="Q18">
        <f t="shared" ref="Q18" si="66">F18*P18</f>
        <v>-1261.0039726024941</v>
      </c>
      <c r="R18">
        <f t="shared" ref="R18" si="67">R19+Q18</f>
        <v>5327493.6539563509</v>
      </c>
      <c r="S18">
        <f t="shared" ref="S18" si="68">R18/100000</f>
        <v>53.274936539563505</v>
      </c>
      <c r="T18">
        <f t="shared" ref="T18" si="69">S18/1000</f>
        <v>5.3274936539563507E-2</v>
      </c>
    </row>
    <row r="19" spans="1:20" x14ac:dyDescent="0.25">
      <c r="A19" s="5">
        <v>44574</v>
      </c>
      <c r="B19">
        <v>17.920000000000002</v>
      </c>
      <c r="C19">
        <v>18.28</v>
      </c>
      <c r="D19">
        <v>17.170000000000002</v>
      </c>
      <c r="E19">
        <v>17.260000000000002</v>
      </c>
      <c r="F19">
        <v>140400.09</v>
      </c>
      <c r="G19">
        <v>17.260000000000002</v>
      </c>
      <c r="L19" t="s">
        <v>8</v>
      </c>
      <c r="M19" t="s">
        <v>7</v>
      </c>
      <c r="N19" t="s">
        <v>8</v>
      </c>
      <c r="P19">
        <f t="shared" ref="P19" si="70">IF(C19=D19,0,((E19-D19)-(C19-E19))/(C19-D19))</f>
        <v>-0.83783783783783805</v>
      </c>
      <c r="Q19">
        <f t="shared" ref="Q19" si="71">F19*P19</f>
        <v>-117632.50783783787</v>
      </c>
      <c r="R19">
        <f t="shared" ref="R19" si="72">R20+Q19</f>
        <v>5328754.6579289529</v>
      </c>
      <c r="S19">
        <f t="shared" ref="S19" si="73">R19/100000</f>
        <v>53.287546579289533</v>
      </c>
      <c r="T19">
        <f t="shared" ref="T19" si="74">S19/1000</f>
        <v>5.3287546579289531E-2</v>
      </c>
    </row>
    <row r="20" spans="1:20" x14ac:dyDescent="0.25">
      <c r="A20" s="5">
        <v>44573</v>
      </c>
      <c r="B20">
        <v>17.579999999999998</v>
      </c>
      <c r="C20">
        <v>18.02</v>
      </c>
      <c r="D20">
        <v>17.329999999999998</v>
      </c>
      <c r="E20">
        <v>17.920000000000002</v>
      </c>
      <c r="F20">
        <v>124584.41</v>
      </c>
      <c r="G20">
        <v>17.920000000000002</v>
      </c>
      <c r="L20" t="s">
        <v>8</v>
      </c>
      <c r="M20" t="s">
        <v>7</v>
      </c>
      <c r="N20" t="s">
        <v>8</v>
      </c>
      <c r="P20">
        <f t="shared" ref="P20" si="75">IF(C20=D20,0,((E20-D20)-(C20-E20))/(C20-D20))</f>
        <v>0.71014492753623859</v>
      </c>
      <c r="Q20">
        <f t="shared" ref="Q20" si="76">F20*P20</f>
        <v>88472.986811595038</v>
      </c>
      <c r="R20">
        <f t="shared" ref="R20" si="77">R21+Q20</f>
        <v>5446387.1657667905</v>
      </c>
      <c r="S20">
        <f t="shared" ref="S20" si="78">R20/100000</f>
        <v>54.463871657667902</v>
      </c>
      <c r="T20">
        <f t="shared" ref="T20" si="79">S20/1000</f>
        <v>5.4463871657667903E-2</v>
      </c>
    </row>
    <row r="21" spans="1:20" x14ac:dyDescent="0.25">
      <c r="A21" s="5">
        <v>44572</v>
      </c>
      <c r="B21">
        <v>17.309999999999999</v>
      </c>
      <c r="C21">
        <v>17.91</v>
      </c>
      <c r="D21">
        <v>16.89</v>
      </c>
      <c r="E21">
        <v>17.61</v>
      </c>
      <c r="F21">
        <v>118373.14</v>
      </c>
      <c r="G21">
        <v>17.61</v>
      </c>
      <c r="L21" t="s">
        <v>7</v>
      </c>
      <c r="M21" t="s">
        <v>7</v>
      </c>
      <c r="N21" t="s">
        <v>8</v>
      </c>
      <c r="P21">
        <f t="shared" ref="P21" si="80">IF(C21=D21,0,((E21-D21)-(C21-E21))/(C21-D21))</f>
        <v>0.41176470588235131</v>
      </c>
      <c r="Q21">
        <f t="shared" ref="Q21" si="81">F21*P21</f>
        <v>48741.881176470393</v>
      </c>
      <c r="R21">
        <f t="shared" ref="R21" si="82">R22+Q21</f>
        <v>5357914.1789551955</v>
      </c>
      <c r="S21">
        <f t="shared" ref="S21" si="83">R21/100000</f>
        <v>53.579141789551954</v>
      </c>
      <c r="T21">
        <f t="shared" ref="T21" si="84">S21/1000</f>
        <v>5.3579141789551955E-2</v>
      </c>
    </row>
    <row r="22" spans="1:20" x14ac:dyDescent="0.25">
      <c r="A22" s="5">
        <v>44571</v>
      </c>
      <c r="B22">
        <v>18.62</v>
      </c>
      <c r="C22">
        <v>18.95</v>
      </c>
      <c r="D22">
        <v>16.75</v>
      </c>
      <c r="E22">
        <v>17.29</v>
      </c>
      <c r="F22">
        <v>262657.34000000003</v>
      </c>
      <c r="G22">
        <v>17.29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-0.5090909090909097</v>
      </c>
      <c r="Q22">
        <f t="shared" ref="Q22" si="86">F22*P22</f>
        <v>-133716.46400000018</v>
      </c>
      <c r="R22">
        <f t="shared" ref="R22" si="87">R23+Q22</f>
        <v>5309172.2977787247</v>
      </c>
      <c r="S22">
        <f t="shared" ref="S22" si="88">R22/100000</f>
        <v>53.091722977787249</v>
      </c>
      <c r="T22">
        <f t="shared" ref="T22" si="89">S22/1000</f>
        <v>5.3091722977787248E-2</v>
      </c>
    </row>
    <row r="23" spans="1:20" x14ac:dyDescent="0.25">
      <c r="A23" s="5">
        <v>44570</v>
      </c>
      <c r="B23">
        <v>17.850000000000001</v>
      </c>
      <c r="C23">
        <v>18.93</v>
      </c>
      <c r="D23">
        <v>17.79</v>
      </c>
      <c r="E23">
        <v>18.63</v>
      </c>
      <c r="F23">
        <v>183638.87</v>
      </c>
      <c r="G23">
        <v>18.63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0.47368421052631482</v>
      </c>
      <c r="Q23">
        <f t="shared" ref="Q23" si="91">F23*P23</f>
        <v>86986.833157894551</v>
      </c>
      <c r="R23">
        <f t="shared" ref="R23" si="92">R24+Q23</f>
        <v>5442888.7617787253</v>
      </c>
      <c r="S23">
        <f t="shared" ref="S23" si="93">R23/100000</f>
        <v>54.428887617787254</v>
      </c>
      <c r="T23">
        <f t="shared" ref="T23" si="94">S23/1000</f>
        <v>5.4428887617787254E-2</v>
      </c>
    </row>
    <row r="24" spans="1:20" x14ac:dyDescent="0.25">
      <c r="A24" s="5">
        <v>44569</v>
      </c>
      <c r="B24">
        <v>17.75</v>
      </c>
      <c r="C24">
        <v>18.68</v>
      </c>
      <c r="D24">
        <v>17.12</v>
      </c>
      <c r="E24">
        <v>17.84</v>
      </c>
      <c r="F24">
        <v>242889.45</v>
      </c>
      <c r="G24">
        <v>17.84</v>
      </c>
      <c r="L24" t="s">
        <v>8</v>
      </c>
      <c r="M24" t="s">
        <v>7</v>
      </c>
      <c r="N24" t="s">
        <v>8</v>
      </c>
      <c r="P24">
        <f t="shared" ref="P24" si="95">IF(C24=D24,0,((E24-D24)-(C24-E24))/(C24-D24))</f>
        <v>-7.6923076923077621E-2</v>
      </c>
      <c r="Q24">
        <f t="shared" ref="Q24" si="96">F24*P24</f>
        <v>-18683.803846154016</v>
      </c>
      <c r="R24">
        <f t="shared" ref="R24" si="97">R25+Q24</f>
        <v>5355901.9286208311</v>
      </c>
      <c r="S24">
        <f t="shared" ref="S24" si="98">R24/100000</f>
        <v>53.559019286208311</v>
      </c>
      <c r="T24">
        <f t="shared" ref="T24" si="99">S24/1000</f>
        <v>5.3559019286208313E-2</v>
      </c>
    </row>
    <row r="25" spans="1:20" x14ac:dyDescent="0.25">
      <c r="A25" s="5">
        <v>44568</v>
      </c>
      <c r="B25">
        <v>17.72</v>
      </c>
      <c r="C25">
        <v>18.34</v>
      </c>
      <c r="D25">
        <v>16.45</v>
      </c>
      <c r="E25">
        <v>17.73</v>
      </c>
      <c r="F25">
        <v>240868.5</v>
      </c>
      <c r="G25">
        <v>17.73</v>
      </c>
      <c r="L25" t="s">
        <v>8</v>
      </c>
      <c r="M25" t="s">
        <v>7</v>
      </c>
      <c r="N25" t="s">
        <v>8</v>
      </c>
      <c r="P25">
        <f t="shared" ref="P25" si="100">IF(C25=D25,0,((E25-D25)-(C25-E25))/(C25-D25))</f>
        <v>0.35449735449735531</v>
      </c>
      <c r="Q25">
        <f t="shared" ref="Q25" si="101">F25*P25</f>
        <v>85387.246031746225</v>
      </c>
      <c r="R25">
        <f t="shared" ref="R25" si="102">R26+Q25</f>
        <v>5374585.7324669855</v>
      </c>
      <c r="S25">
        <f t="shared" ref="S25" si="103">R25/100000</f>
        <v>53.745857324669856</v>
      </c>
      <c r="T25">
        <f t="shared" ref="T25" si="104">S25/1000</f>
        <v>5.3745857324669855E-2</v>
      </c>
    </row>
    <row r="26" spans="1:20" x14ac:dyDescent="0.25">
      <c r="A26" s="5">
        <v>44567</v>
      </c>
      <c r="B26">
        <v>17.54</v>
      </c>
      <c r="C26">
        <v>17.97</v>
      </c>
      <c r="D26">
        <v>16.350000000000001</v>
      </c>
      <c r="E26">
        <v>17.71</v>
      </c>
      <c r="F26">
        <v>235360.48</v>
      </c>
      <c r="G26">
        <v>17.71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0.67901234567901425</v>
      </c>
      <c r="Q26">
        <f t="shared" ref="Q26" si="106">F26*P26</f>
        <v>159812.67160493872</v>
      </c>
      <c r="R26">
        <f t="shared" ref="R26" si="107">R27+Q26</f>
        <v>5289198.4864352392</v>
      </c>
      <c r="S26">
        <f t="shared" ref="S26" si="108">R26/100000</f>
        <v>52.891984864352395</v>
      </c>
      <c r="T26">
        <f t="shared" ref="T26" si="109">S26/1000</f>
        <v>5.2891984864352398E-2</v>
      </c>
    </row>
    <row r="27" spans="1:20" x14ac:dyDescent="0.25">
      <c r="A27" s="5">
        <v>44566</v>
      </c>
      <c r="B27">
        <v>19.329999999999998</v>
      </c>
      <c r="C27">
        <v>19.78</v>
      </c>
      <c r="D27">
        <v>16.62</v>
      </c>
      <c r="E27">
        <v>17.54</v>
      </c>
      <c r="F27">
        <v>282126.64</v>
      </c>
      <c r="G27">
        <v>17.54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-0.41772151898734294</v>
      </c>
      <c r="Q27">
        <f t="shared" ref="Q27" si="111">F27*P27</f>
        <v>-117850.36860759527</v>
      </c>
      <c r="R27">
        <f t="shared" ref="R27" si="112">R28+Q27</f>
        <v>5129385.8148303004</v>
      </c>
      <c r="S27">
        <f t="shared" ref="S27" si="113">R27/100000</f>
        <v>51.293858148303002</v>
      </c>
      <c r="T27">
        <f t="shared" ref="T27" si="114">S27/1000</f>
        <v>5.1293858148303E-2</v>
      </c>
    </row>
    <row r="28" spans="1:20" x14ac:dyDescent="0.25">
      <c r="A28" s="5">
        <v>44565</v>
      </c>
      <c r="B28">
        <v>19.149999999999999</v>
      </c>
      <c r="C28">
        <v>20.420000000000002</v>
      </c>
      <c r="D28">
        <v>18.79</v>
      </c>
      <c r="E28">
        <v>19.329999999999998</v>
      </c>
      <c r="F28">
        <v>260365.02</v>
      </c>
      <c r="G28">
        <v>19.329999999999998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-0.33742331288343769</v>
      </c>
      <c r="Q28">
        <f t="shared" ref="Q28" si="116">F28*P28</f>
        <v>-87853.227607362511</v>
      </c>
      <c r="R28">
        <f t="shared" ref="R28" si="117">R29+Q28</f>
        <v>5247236.183437896</v>
      </c>
      <c r="S28">
        <f t="shared" ref="S28" si="118">R28/100000</f>
        <v>52.472361834378958</v>
      </c>
      <c r="T28">
        <f t="shared" ref="T28" si="119">S28/1000</f>
        <v>5.2472361834378957E-2</v>
      </c>
    </row>
    <row r="29" spans="1:20" x14ac:dyDescent="0.25">
      <c r="A29" s="5">
        <v>44564</v>
      </c>
      <c r="B29">
        <v>19.59</v>
      </c>
      <c r="C29">
        <v>20.16</v>
      </c>
      <c r="D29">
        <v>18.829999999999998</v>
      </c>
      <c r="E29">
        <v>19.14</v>
      </c>
      <c r="F29">
        <v>311262.84000000003</v>
      </c>
      <c r="G29">
        <v>19.14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-0.53383458646616266</v>
      </c>
      <c r="Q29">
        <f t="shared" ref="Q29" si="121">F29*P29</f>
        <v>-166162.86947368336</v>
      </c>
      <c r="R29">
        <f t="shared" ref="R29" si="122">R30+Q29</f>
        <v>5335089.4110452589</v>
      </c>
      <c r="S29">
        <f t="shared" ref="S29" si="123">R29/100000</f>
        <v>53.350894110452586</v>
      </c>
      <c r="T29">
        <f t="shared" ref="T29" si="124">S29/1000</f>
        <v>5.3350894110452587E-2</v>
      </c>
    </row>
    <row r="30" spans="1:20" x14ac:dyDescent="0.25">
      <c r="A30" s="5">
        <v>44563</v>
      </c>
      <c r="B30">
        <v>18.7</v>
      </c>
      <c r="C30">
        <v>19.79</v>
      </c>
      <c r="D30">
        <v>18.43</v>
      </c>
      <c r="E30">
        <v>19.63</v>
      </c>
      <c r="F30">
        <v>285327.02</v>
      </c>
      <c r="G30">
        <v>19.63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0.7647058823529409</v>
      </c>
      <c r="Q30">
        <f t="shared" ref="Q30" si="126">F30*P30</f>
        <v>218191.25058823524</v>
      </c>
      <c r="R30">
        <f t="shared" ref="R30" si="127">R31+Q30</f>
        <v>5501252.2805189425</v>
      </c>
      <c r="S30">
        <f t="shared" ref="S30" si="128">R30/100000</f>
        <v>55.012522805189427</v>
      </c>
      <c r="T30">
        <f t="shared" ref="T30" si="129">S30/1000</f>
        <v>5.501252280518943E-2</v>
      </c>
    </row>
    <row r="31" spans="1:20" x14ac:dyDescent="0.25">
      <c r="A31" s="5">
        <v>44562</v>
      </c>
      <c r="B31">
        <v>17.559999999999999</v>
      </c>
      <c r="C31">
        <v>18.739999999999998</v>
      </c>
      <c r="D31">
        <v>17.52</v>
      </c>
      <c r="E31">
        <v>18.73</v>
      </c>
      <c r="F31">
        <v>156615.37</v>
      </c>
      <c r="G31">
        <v>18.73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0.98360655737705238</v>
      </c>
      <c r="Q31">
        <f t="shared" ref="Q31" si="131">F31*P31</f>
        <v>154047.90491803328</v>
      </c>
      <c r="R31">
        <f t="shared" ref="R31" si="132">R32+Q31</f>
        <v>5283061.0299307071</v>
      </c>
      <c r="S31">
        <f t="shared" ref="S31" si="133">R31/100000</f>
        <v>52.830610299307068</v>
      </c>
      <c r="T31">
        <f t="shared" ref="T31" si="134">S31/1000</f>
        <v>5.2830610299307065E-2</v>
      </c>
    </row>
    <row r="32" spans="1:20" x14ac:dyDescent="0.25">
      <c r="A32" s="5">
        <v>44561</v>
      </c>
      <c r="B32">
        <v>16.66</v>
      </c>
      <c r="C32">
        <v>18.170000000000002</v>
      </c>
      <c r="D32">
        <v>16.510000000000002</v>
      </c>
      <c r="E32">
        <v>17.54</v>
      </c>
      <c r="F32">
        <v>243150.14</v>
      </c>
      <c r="G32">
        <v>17.54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0.24096385542168372</v>
      </c>
      <c r="Q32">
        <f t="shared" ref="Q32" si="136">F32*P32</f>
        <v>58590.39518072216</v>
      </c>
      <c r="R32">
        <f t="shared" ref="R32" si="137">R33+Q32</f>
        <v>5129013.1250126734</v>
      </c>
      <c r="S32">
        <f t="shared" ref="S32" si="138">R32/100000</f>
        <v>51.290131250126734</v>
      </c>
      <c r="T32">
        <f t="shared" ref="T32" si="139">S32/1000</f>
        <v>5.1290131250126735E-2</v>
      </c>
    </row>
    <row r="33" spans="1:20" x14ac:dyDescent="0.25">
      <c r="A33" s="5">
        <v>44560</v>
      </c>
      <c r="B33">
        <v>15.81</v>
      </c>
      <c r="C33">
        <v>16.78</v>
      </c>
      <c r="D33">
        <v>15.5</v>
      </c>
      <c r="E33">
        <v>16.690000000000001</v>
      </c>
      <c r="F33">
        <v>150840.72</v>
      </c>
      <c r="G33">
        <v>16.690000000000001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0.85937500000000033</v>
      </c>
      <c r="Q33">
        <f t="shared" ref="Q33" si="141">F33*P33</f>
        <v>129628.74375000005</v>
      </c>
      <c r="R33">
        <f t="shared" ref="R33" si="142">R34+Q33</f>
        <v>5070422.7298319517</v>
      </c>
      <c r="S33">
        <f t="shared" ref="S33" si="143">R33/100000</f>
        <v>50.704227298319516</v>
      </c>
      <c r="T33">
        <f t="shared" ref="T33" si="144">S33/1000</f>
        <v>5.0704227298319519E-2</v>
      </c>
    </row>
    <row r="34" spans="1:20" x14ac:dyDescent="0.25">
      <c r="A34" s="5">
        <v>44559</v>
      </c>
      <c r="B34">
        <v>16.420000000000002</v>
      </c>
      <c r="C34">
        <v>16.760000000000002</v>
      </c>
      <c r="D34">
        <v>15.63</v>
      </c>
      <c r="E34">
        <v>15.83</v>
      </c>
      <c r="F34">
        <v>157480.1</v>
      </c>
      <c r="G34">
        <v>15.83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-0.6460176991150457</v>
      </c>
      <c r="Q34">
        <f t="shared" ref="Q34" si="146">F34*P34</f>
        <v>-101734.9318584073</v>
      </c>
      <c r="R34">
        <f t="shared" ref="R34" si="147">R35+Q34</f>
        <v>4940793.9860819513</v>
      </c>
      <c r="S34">
        <f t="shared" ref="S34" si="148">R34/100000</f>
        <v>49.407939860819511</v>
      </c>
      <c r="T34">
        <f t="shared" ref="T34" si="149">S34/1000</f>
        <v>4.9407939860819511E-2</v>
      </c>
    </row>
    <row r="35" spans="1:20" x14ac:dyDescent="0.25">
      <c r="A35" s="5">
        <v>44558</v>
      </c>
      <c r="B35">
        <v>18.21</v>
      </c>
      <c r="C35">
        <v>18.21</v>
      </c>
      <c r="D35">
        <v>16.170000000000002</v>
      </c>
      <c r="E35">
        <v>16.41</v>
      </c>
      <c r="F35">
        <v>244119.96</v>
      </c>
      <c r="G35">
        <v>16.41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-0.76470588235294257</v>
      </c>
      <c r="Q35">
        <f t="shared" ref="Q35" si="151">F35*P35</f>
        <v>-186679.96941176505</v>
      </c>
      <c r="R35">
        <f t="shared" ref="R35" si="152">R36+Q35</f>
        <v>5042528.9179403586</v>
      </c>
      <c r="S35">
        <f t="shared" ref="S35" si="153">R35/100000</f>
        <v>50.425289179403585</v>
      </c>
      <c r="T35">
        <f t="shared" ref="T35" si="154">S35/1000</f>
        <v>5.0425289179403587E-2</v>
      </c>
    </row>
    <row r="36" spans="1:20" x14ac:dyDescent="0.25">
      <c r="A36" s="5">
        <v>44557</v>
      </c>
      <c r="B36">
        <v>18.14</v>
      </c>
      <c r="C36">
        <v>18.79</v>
      </c>
      <c r="D36">
        <v>18.11</v>
      </c>
      <c r="E36">
        <v>18.2</v>
      </c>
      <c r="F36">
        <v>148897.48000000001</v>
      </c>
      <c r="G36">
        <v>18.2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-0.7352941176470591</v>
      </c>
      <c r="Q36">
        <f t="shared" ref="Q36" si="156">F36*P36</f>
        <v>-109483.44117647063</v>
      </c>
      <c r="R36">
        <f t="shared" ref="R36" si="157">R37+Q36</f>
        <v>5229208.8873521239</v>
      </c>
      <c r="S36">
        <f t="shared" ref="S36" si="158">R36/100000</f>
        <v>52.292088873521237</v>
      </c>
      <c r="T36">
        <f t="shared" ref="T36" si="159">S36/1000</f>
        <v>5.2292088873521235E-2</v>
      </c>
    </row>
    <row r="37" spans="1:20" x14ac:dyDescent="0.25">
      <c r="A37" s="5">
        <v>44556</v>
      </c>
      <c r="B37">
        <v>18.23</v>
      </c>
      <c r="C37">
        <v>18.399999999999999</v>
      </c>
      <c r="D37">
        <v>17.61</v>
      </c>
      <c r="E37">
        <v>18.149999999999999</v>
      </c>
      <c r="F37">
        <v>102315.8</v>
      </c>
      <c r="G37">
        <v>18.149999999999999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0.367088607594936</v>
      </c>
      <c r="Q37">
        <f t="shared" ref="Q37" si="161">F37*P37</f>
        <v>37558.964556961953</v>
      </c>
      <c r="R37">
        <f t="shared" ref="R37" si="162">R38+Q37</f>
        <v>5338692.3285285942</v>
      </c>
      <c r="S37">
        <f t="shared" ref="S37" si="163">R37/100000</f>
        <v>53.386923285285945</v>
      </c>
      <c r="T37">
        <f t="shared" ref="T37" si="164">S37/1000</f>
        <v>5.3386923285285943E-2</v>
      </c>
    </row>
    <row r="38" spans="1:20" x14ac:dyDescent="0.25">
      <c r="A38" s="5">
        <v>44555</v>
      </c>
      <c r="B38">
        <v>18.36</v>
      </c>
      <c r="C38">
        <v>18.48</v>
      </c>
      <c r="D38">
        <v>17.899999999999999</v>
      </c>
      <c r="E38">
        <v>18.239999999999998</v>
      </c>
      <c r="F38">
        <v>108690.55</v>
      </c>
      <c r="G38">
        <v>18.239999999999998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0.17241379310344404</v>
      </c>
      <c r="Q38">
        <f t="shared" ref="Q38" si="166">F38*P38</f>
        <v>18739.749999999542</v>
      </c>
      <c r="R38">
        <f t="shared" ref="R38" si="167">R39+Q38</f>
        <v>5301133.363971632</v>
      </c>
      <c r="S38">
        <f t="shared" ref="S38" si="168">R38/100000</f>
        <v>53.01133363971632</v>
      </c>
      <c r="T38">
        <f t="shared" ref="T38" si="169">S38/1000</f>
        <v>5.3011333639716322E-2</v>
      </c>
    </row>
    <row r="39" spans="1:20" x14ac:dyDescent="0.25">
      <c r="A39" s="5">
        <v>44554</v>
      </c>
      <c r="B39">
        <v>19.170000000000002</v>
      </c>
      <c r="C39">
        <v>19.29</v>
      </c>
      <c r="D39">
        <v>18.03</v>
      </c>
      <c r="E39">
        <v>18.350000000000001</v>
      </c>
      <c r="F39">
        <v>181397.34</v>
      </c>
      <c r="G39">
        <v>18.350000000000001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-0.49206349206349081</v>
      </c>
      <c r="Q39">
        <f t="shared" ref="Q39" si="171">F39*P39</f>
        <v>-89259.008571428349</v>
      </c>
      <c r="R39">
        <f t="shared" ref="R39" si="172">R40+Q39</f>
        <v>5282393.613971632</v>
      </c>
      <c r="S39">
        <f t="shared" ref="S39" si="173">R39/100000</f>
        <v>52.823936139716317</v>
      </c>
      <c r="T39">
        <f t="shared" ref="T39" si="174">S39/1000</f>
        <v>5.2823936139716317E-2</v>
      </c>
    </row>
    <row r="40" spans="1:20" x14ac:dyDescent="0.25">
      <c r="A40" s="5">
        <v>44553</v>
      </c>
      <c r="B40">
        <v>17.96</v>
      </c>
      <c r="C40">
        <v>19.43</v>
      </c>
      <c r="D40">
        <v>17.649999999999999</v>
      </c>
      <c r="E40">
        <v>19.170000000000002</v>
      </c>
      <c r="F40">
        <v>353891.72</v>
      </c>
      <c r="G40">
        <v>19.170000000000002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0.70786516853932824</v>
      </c>
      <c r="Q40">
        <f t="shared" ref="Q40" si="176">F40*P40</f>
        <v>250507.62202247273</v>
      </c>
      <c r="R40">
        <f t="shared" ref="R40" si="177">R41+Q40</f>
        <v>5371652.6225430602</v>
      </c>
      <c r="S40">
        <f t="shared" ref="S40" si="178">R40/100000</f>
        <v>53.716526225430606</v>
      </c>
      <c r="T40">
        <f t="shared" ref="T40" si="179">S40/1000</f>
        <v>5.3716526225430605E-2</v>
      </c>
    </row>
    <row r="41" spans="1:20" x14ac:dyDescent="0.25">
      <c r="A41" s="5">
        <v>44552</v>
      </c>
      <c r="B41">
        <v>18.54</v>
      </c>
      <c r="C41">
        <v>19.02</v>
      </c>
      <c r="D41">
        <v>17.86</v>
      </c>
      <c r="E41">
        <v>17.920000000000002</v>
      </c>
      <c r="F41">
        <v>227706.33</v>
      </c>
      <c r="G41">
        <v>17.920000000000002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-0.89655172413792716</v>
      </c>
      <c r="Q41">
        <f t="shared" ref="Q41" si="181">F41*P41</f>
        <v>-204150.50275861978</v>
      </c>
      <c r="R41">
        <f t="shared" ref="R41" si="182">R42+Q41</f>
        <v>5121145.0005205879</v>
      </c>
      <c r="S41">
        <f t="shared" ref="S41" si="183">R41/100000</f>
        <v>51.211450005205876</v>
      </c>
      <c r="T41">
        <f t="shared" ref="T41" si="184">S41/1000</f>
        <v>5.1211450005205876E-2</v>
      </c>
    </row>
    <row r="42" spans="1:20" x14ac:dyDescent="0.25">
      <c r="A42" s="5">
        <v>44551</v>
      </c>
      <c r="B42">
        <v>18.18</v>
      </c>
      <c r="C42">
        <v>18.97</v>
      </c>
      <c r="D42">
        <v>17.89</v>
      </c>
      <c r="E42">
        <v>18.54</v>
      </c>
      <c r="F42">
        <v>223727.25</v>
      </c>
      <c r="G42">
        <v>18.54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0.20370370370370297</v>
      </c>
      <c r="Q42">
        <f t="shared" ref="Q42" si="186">F42*P42</f>
        <v>45574.069444444278</v>
      </c>
      <c r="R42">
        <f t="shared" ref="R42" si="187">R43+Q42</f>
        <v>5325295.5032792073</v>
      </c>
      <c r="S42">
        <f t="shared" ref="S42" si="188">R42/100000</f>
        <v>53.252955032792073</v>
      </c>
      <c r="T42">
        <f t="shared" ref="T42" si="189">S42/1000</f>
        <v>5.3252955032792072E-2</v>
      </c>
    </row>
    <row r="43" spans="1:20" x14ac:dyDescent="0.25">
      <c r="A43" s="5">
        <v>44550</v>
      </c>
      <c r="B43">
        <v>17.46</v>
      </c>
      <c r="C43">
        <v>18.27</v>
      </c>
      <c r="D43">
        <v>16.82</v>
      </c>
      <c r="E43">
        <v>18.149999999999999</v>
      </c>
      <c r="F43">
        <v>391330.59</v>
      </c>
      <c r="G43">
        <v>18.149999999999999</v>
      </c>
      <c r="L43" t="s">
        <v>7</v>
      </c>
      <c r="M43" t="s">
        <v>8</v>
      </c>
      <c r="N43" t="s">
        <v>8</v>
      </c>
      <c r="P43">
        <f t="shared" ref="P43" si="190">IF(C43=D43,0,((E43-D43)-(C43-E43))/(C43-D43))</f>
        <v>0.83448275862068821</v>
      </c>
      <c r="Q43">
        <f t="shared" ref="Q43" si="191">F43*P43</f>
        <v>326558.63027586153</v>
      </c>
      <c r="R43">
        <f t="shared" ref="R43" si="192">R44+Q43</f>
        <v>5279721.4338347632</v>
      </c>
      <c r="S43">
        <f t="shared" ref="S43" si="193">R43/100000</f>
        <v>52.797214338347629</v>
      </c>
      <c r="T43">
        <f t="shared" ref="T43" si="194">S43/1000</f>
        <v>5.279721433834763E-2</v>
      </c>
    </row>
    <row r="44" spans="1:20" x14ac:dyDescent="0.25">
      <c r="A44" s="5">
        <v>44549</v>
      </c>
      <c r="B44">
        <v>18.079999999999998</v>
      </c>
      <c r="C44">
        <v>18.55</v>
      </c>
      <c r="D44">
        <v>17.420000000000002</v>
      </c>
      <c r="E44">
        <v>17.46</v>
      </c>
      <c r="F44">
        <v>264051.74</v>
      </c>
      <c r="G44">
        <v>17.46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-0.92920353982301029</v>
      </c>
      <c r="Q44">
        <f t="shared" ref="Q44" si="196">F44*P44</f>
        <v>-245357.81150442516</v>
      </c>
      <c r="R44">
        <f t="shared" ref="R44" si="197">R45+Q44</f>
        <v>4953162.8035589019</v>
      </c>
      <c r="S44">
        <f t="shared" ref="S44" si="198">R44/100000</f>
        <v>49.531628035589016</v>
      </c>
      <c r="T44">
        <f t="shared" ref="T44" si="199">S44/1000</f>
        <v>4.9531628035589019E-2</v>
      </c>
    </row>
    <row r="45" spans="1:20" x14ac:dyDescent="0.25">
      <c r="A45" s="5">
        <v>44548</v>
      </c>
      <c r="B45">
        <v>16.350000000000001</v>
      </c>
      <c r="C45">
        <v>18.899999999999999</v>
      </c>
      <c r="D45">
        <v>16.02</v>
      </c>
      <c r="E45">
        <v>18.059999999999999</v>
      </c>
      <c r="F45">
        <v>1144920.1499999999</v>
      </c>
      <c r="G45">
        <v>18.059999999999999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0.41666666666666657</v>
      </c>
      <c r="Q45">
        <f t="shared" ref="Q45" si="201">F45*P45</f>
        <v>477050.06249999988</v>
      </c>
      <c r="R45">
        <f t="shared" ref="R45" si="202">R46+Q45</f>
        <v>5198520.6150633274</v>
      </c>
      <c r="S45">
        <f t="shared" ref="S45" si="203">R45/100000</f>
        <v>51.985206150633275</v>
      </c>
      <c r="T45">
        <f t="shared" ref="T45" si="204">S45/1000</f>
        <v>5.1985206150633276E-2</v>
      </c>
    </row>
    <row r="46" spans="1:20" x14ac:dyDescent="0.25">
      <c r="A46" s="5">
        <v>44547</v>
      </c>
      <c r="B46">
        <v>14.85</v>
      </c>
      <c r="C46">
        <v>16.68</v>
      </c>
      <c r="D46">
        <v>14.37</v>
      </c>
      <c r="E46">
        <v>16.38</v>
      </c>
      <c r="F46">
        <v>383250.36</v>
      </c>
      <c r="G46">
        <v>16.38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0.74025974025973973</v>
      </c>
      <c r="Q46">
        <f t="shared" ref="Q46" si="206">F46*P46</f>
        <v>283704.81194805173</v>
      </c>
      <c r="R46">
        <f t="shared" ref="R46" si="207">R47+Q46</f>
        <v>4721470.5525633274</v>
      </c>
      <c r="S46">
        <f t="shared" ref="S46" si="208">R46/100000</f>
        <v>47.214705525633271</v>
      </c>
      <c r="T46">
        <f t="shared" ref="T46" si="209">S46/1000</f>
        <v>4.7214705525633269E-2</v>
      </c>
    </row>
    <row r="47" spans="1:20" x14ac:dyDescent="0.25">
      <c r="A47" s="5">
        <v>44546</v>
      </c>
      <c r="B47">
        <v>14.95</v>
      </c>
      <c r="C47">
        <v>15.95</v>
      </c>
      <c r="D47">
        <v>14.7</v>
      </c>
      <c r="E47">
        <v>14.85</v>
      </c>
      <c r="F47">
        <v>212142.73</v>
      </c>
      <c r="G47">
        <v>14.85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-0.75999999999999945</v>
      </c>
      <c r="Q47">
        <f t="shared" ref="Q47" si="211">F47*P47</f>
        <v>-161228.47479999988</v>
      </c>
      <c r="R47">
        <f t="shared" ref="R47" si="212">R48+Q47</f>
        <v>4437765.7406152757</v>
      </c>
      <c r="S47">
        <f t="shared" ref="S47" si="213">R47/100000</f>
        <v>44.377657406152757</v>
      </c>
      <c r="T47">
        <f t="shared" ref="T47" si="214">S47/1000</f>
        <v>4.4377657406152758E-2</v>
      </c>
    </row>
    <row r="48" spans="1:20" x14ac:dyDescent="0.25">
      <c r="A48" s="5">
        <v>44545</v>
      </c>
      <c r="B48">
        <v>14.02</v>
      </c>
      <c r="C48">
        <v>15.01</v>
      </c>
      <c r="D48">
        <v>13.13</v>
      </c>
      <c r="E48">
        <v>14.93</v>
      </c>
      <c r="F48">
        <v>222441.54</v>
      </c>
      <c r="G48">
        <v>14.93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0.91489361702127647</v>
      </c>
      <c r="Q48">
        <f t="shared" ref="Q48" si="216">F48*P48</f>
        <v>203510.34510638297</v>
      </c>
      <c r="R48">
        <f t="shared" ref="R48" si="217">R49+Q48</f>
        <v>4598994.2154152757</v>
      </c>
      <c r="S48">
        <f t="shared" ref="S48" si="218">R48/100000</f>
        <v>45.989942154152757</v>
      </c>
      <c r="T48">
        <f t="shared" ref="T48" si="219">S48/1000</f>
        <v>4.5989942154152759E-2</v>
      </c>
    </row>
    <row r="49" spans="1:20" x14ac:dyDescent="0.25">
      <c r="A49" s="5">
        <v>44544</v>
      </c>
      <c r="B49">
        <v>13.66</v>
      </c>
      <c r="C49">
        <v>14.7</v>
      </c>
      <c r="D49">
        <v>13.36</v>
      </c>
      <c r="E49">
        <v>14.03</v>
      </c>
      <c r="F49">
        <v>186984.17</v>
      </c>
      <c r="G49">
        <v>14.03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</v>
      </c>
      <c r="Q49">
        <f t="shared" ref="Q49" si="221">F49*P49</f>
        <v>0</v>
      </c>
      <c r="R49">
        <f t="shared" ref="R49" si="222">R50+Q49</f>
        <v>4395483.8703088928</v>
      </c>
      <c r="S49">
        <f t="shared" ref="S49" si="223">R49/100000</f>
        <v>43.954838703088924</v>
      </c>
      <c r="T49">
        <f t="shared" ref="T49" si="224">S49/1000</f>
        <v>4.3954838703088923E-2</v>
      </c>
    </row>
    <row r="50" spans="1:20" x14ac:dyDescent="0.25">
      <c r="A50" s="5">
        <v>44543</v>
      </c>
      <c r="B50">
        <v>15.22</v>
      </c>
      <c r="C50">
        <v>15.29</v>
      </c>
      <c r="D50">
        <v>13.38</v>
      </c>
      <c r="E50">
        <v>13.65</v>
      </c>
      <c r="F50">
        <v>194090.75</v>
      </c>
      <c r="G50">
        <v>13.65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-0.71727748691099502</v>
      </c>
      <c r="Q50">
        <f t="shared" ref="Q50" si="226">F50*P50</f>
        <v>-139216.92539267021</v>
      </c>
      <c r="R50">
        <f t="shared" ref="R50" si="227">R51+Q50</f>
        <v>4395483.8703088928</v>
      </c>
      <c r="S50">
        <f t="shared" ref="S50" si="228">R50/100000</f>
        <v>43.954838703088924</v>
      </c>
      <c r="T50">
        <f t="shared" ref="T50" si="229">S50/1000</f>
        <v>4.3954838703088923E-2</v>
      </c>
    </row>
    <row r="51" spans="1:20" x14ac:dyDescent="0.25">
      <c r="A51" s="5">
        <v>44542</v>
      </c>
      <c r="B51">
        <v>15.25</v>
      </c>
      <c r="C51">
        <v>15.46</v>
      </c>
      <c r="D51">
        <v>14.72</v>
      </c>
      <c r="E51">
        <v>15.23</v>
      </c>
      <c r="F51">
        <v>115964.21</v>
      </c>
      <c r="G51">
        <v>15.23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0.3783783783783774</v>
      </c>
      <c r="Q51">
        <f t="shared" ref="Q51" si="231">F51*P51</f>
        <v>43878.34972972962</v>
      </c>
      <c r="R51">
        <f t="shared" ref="R51" si="232">R52+Q51</f>
        <v>4534700.7957015634</v>
      </c>
      <c r="S51">
        <f t="shared" ref="S51" si="233">R51/100000</f>
        <v>45.347007957015634</v>
      </c>
      <c r="T51">
        <f t="shared" ref="T51" si="234">S51/1000</f>
        <v>4.5347007957015635E-2</v>
      </c>
    </row>
    <row r="52" spans="1:20" x14ac:dyDescent="0.25">
      <c r="A52" s="5">
        <v>44541</v>
      </c>
      <c r="B52">
        <v>14.84</v>
      </c>
      <c r="C52">
        <v>14.96</v>
      </c>
      <c r="D52">
        <v>14.42</v>
      </c>
      <c r="E52">
        <v>14.92</v>
      </c>
      <c r="F52">
        <v>22173.93</v>
      </c>
      <c r="G52">
        <v>14.92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0.85185185185184864</v>
      </c>
      <c r="Q52">
        <f t="shared" ref="Q52" si="236">F52*P52</f>
        <v>18888.903333333263</v>
      </c>
      <c r="R52">
        <f t="shared" ref="R52" si="237">R53+Q52</f>
        <v>4490822.4459718335</v>
      </c>
      <c r="S52">
        <f t="shared" ref="S52" si="238">R52/100000</f>
        <v>44.908224459718333</v>
      </c>
      <c r="T52">
        <f t="shared" ref="T52" si="239">S52/1000</f>
        <v>4.4908224459718336E-2</v>
      </c>
    </row>
    <row r="53" spans="1:20" x14ac:dyDescent="0.25">
      <c r="A53" s="5">
        <v>44540</v>
      </c>
      <c r="B53">
        <v>15.38</v>
      </c>
      <c r="C53">
        <v>16.079999999999998</v>
      </c>
      <c r="D53">
        <v>14.77</v>
      </c>
      <c r="E53">
        <v>14.84</v>
      </c>
      <c r="F53">
        <v>315073.46000000002</v>
      </c>
      <c r="G53">
        <v>14.84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-0.8931297709923659</v>
      </c>
      <c r="Q53">
        <f t="shared" ref="Q53" si="241">F53*P53</f>
        <v>-281401.48717557237</v>
      </c>
      <c r="R53">
        <f t="shared" ref="R53" si="242">R54+Q53</f>
        <v>4471933.5426385002</v>
      </c>
      <c r="S53">
        <f t="shared" ref="S53" si="243">R53/100000</f>
        <v>44.719335426385001</v>
      </c>
      <c r="T53">
        <f t="shared" ref="T53" si="244">S53/1000</f>
        <v>4.4719335426385003E-2</v>
      </c>
    </row>
    <row r="54" spans="1:20" x14ac:dyDescent="0.25">
      <c r="A54" s="5">
        <v>44539</v>
      </c>
      <c r="B54">
        <v>16.350000000000001</v>
      </c>
      <c r="C54">
        <v>17.05</v>
      </c>
      <c r="D54">
        <v>15.35</v>
      </c>
      <c r="E54">
        <v>15.39</v>
      </c>
      <c r="F54">
        <v>485894.65</v>
      </c>
      <c r="G54">
        <v>15.39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-0.95294117647058718</v>
      </c>
      <c r="Q54">
        <f t="shared" ref="Q54" si="246">F54*P54</f>
        <v>-463029.01941176422</v>
      </c>
      <c r="R54">
        <f t="shared" ref="R54" si="247">R55+Q54</f>
        <v>4753335.0298140729</v>
      </c>
      <c r="S54">
        <f t="shared" ref="S54" si="248">R54/100000</f>
        <v>47.533350298140732</v>
      </c>
      <c r="T54">
        <f t="shared" ref="T54" si="249">S54/1000</f>
        <v>4.7533350298140729E-2</v>
      </c>
    </row>
    <row r="55" spans="1:20" x14ac:dyDescent="0.25">
      <c r="A55" s="5">
        <v>44538</v>
      </c>
      <c r="B55">
        <v>15.88</v>
      </c>
      <c r="C55">
        <v>16.440000000000001</v>
      </c>
      <c r="D55">
        <v>15.18</v>
      </c>
      <c r="E55">
        <v>16.36</v>
      </c>
      <c r="F55">
        <v>189012.31</v>
      </c>
      <c r="G55">
        <v>16.36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0.87301587301587025</v>
      </c>
      <c r="Q55">
        <f t="shared" ref="Q55" si="251">F55*P55</f>
        <v>165010.74682539629</v>
      </c>
      <c r="R55">
        <f t="shared" ref="R55" si="252">R56+Q55</f>
        <v>5216364.049225837</v>
      </c>
      <c r="S55">
        <f t="shared" ref="S55" si="253">R55/100000</f>
        <v>52.163640492258367</v>
      </c>
      <c r="T55">
        <f t="shared" ref="T55" si="254">S55/1000</f>
        <v>5.2163640492258363E-2</v>
      </c>
    </row>
    <row r="56" spans="1:20" x14ac:dyDescent="0.25">
      <c r="A56" s="5">
        <v>44537</v>
      </c>
      <c r="B56">
        <v>16.05</v>
      </c>
      <c r="C56">
        <v>16.48</v>
      </c>
      <c r="D56">
        <v>15.56</v>
      </c>
      <c r="E56">
        <v>15.87</v>
      </c>
      <c r="F56">
        <v>152350.74</v>
      </c>
      <c r="G56">
        <v>15.87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-0.32608695652174186</v>
      </c>
      <c r="Q56">
        <f t="shared" ref="Q56" si="256">F56*P56</f>
        <v>-49679.589130435197</v>
      </c>
      <c r="R56">
        <f t="shared" ref="R56" si="257">R57+Q56</f>
        <v>5051353.3024004409</v>
      </c>
      <c r="S56">
        <f t="shared" ref="S56" si="258">R56/100000</f>
        <v>50.51353302400441</v>
      </c>
      <c r="T56">
        <f t="shared" ref="T56" si="259">S56/1000</f>
        <v>5.0513533024004409E-2</v>
      </c>
    </row>
    <row r="57" spans="1:20" x14ac:dyDescent="0.25">
      <c r="A57" s="5">
        <v>44536</v>
      </c>
      <c r="B57">
        <v>15.83</v>
      </c>
      <c r="C57">
        <v>16.11</v>
      </c>
      <c r="D57">
        <v>14.35</v>
      </c>
      <c r="E57">
        <v>16.07</v>
      </c>
      <c r="F57">
        <v>279277.28999999998</v>
      </c>
      <c r="G57">
        <v>16.07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0.95454545454545547</v>
      </c>
      <c r="Q57">
        <f t="shared" ref="Q57" si="261">F57*P57</f>
        <v>266582.86772727297</v>
      </c>
      <c r="R57">
        <f t="shared" ref="R57" si="262">R58+Q57</f>
        <v>5101032.891530876</v>
      </c>
      <c r="S57">
        <f t="shared" ref="S57" si="263">R57/100000</f>
        <v>51.010328915308762</v>
      </c>
      <c r="T57">
        <f t="shared" ref="T57" si="264">S57/1000</f>
        <v>5.101032891530876E-2</v>
      </c>
    </row>
    <row r="58" spans="1:20" x14ac:dyDescent="0.25">
      <c r="A58" s="5">
        <v>44535</v>
      </c>
      <c r="B58">
        <v>16.510000000000002</v>
      </c>
      <c r="C58">
        <v>17.02</v>
      </c>
      <c r="D58">
        <v>15.37</v>
      </c>
      <c r="E58">
        <v>15.81</v>
      </c>
      <c r="F58">
        <v>269481.31</v>
      </c>
      <c r="G58">
        <v>15.81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-0.46666666666666523</v>
      </c>
      <c r="Q58">
        <f t="shared" ref="Q58" si="266">F58*P58</f>
        <v>-125757.94466666628</v>
      </c>
      <c r="R58">
        <f t="shared" ref="R58" si="267">R59+Q58</f>
        <v>4834450.0238036029</v>
      </c>
      <c r="S58">
        <f t="shared" ref="S58" si="268">R58/100000</f>
        <v>48.344500238036026</v>
      </c>
      <c r="T58">
        <f t="shared" ref="T58" si="269">S58/1000</f>
        <v>4.8344500238036027E-2</v>
      </c>
    </row>
    <row r="59" spans="1:20" x14ac:dyDescent="0.25">
      <c r="A59" s="5">
        <v>44534</v>
      </c>
      <c r="B59">
        <v>18.920000000000002</v>
      </c>
      <c r="C59">
        <v>18.98</v>
      </c>
      <c r="D59">
        <v>12.89</v>
      </c>
      <c r="E59">
        <v>16.510000000000002</v>
      </c>
      <c r="F59">
        <v>732715.87399999995</v>
      </c>
      <c r="G59">
        <v>16.510000000000002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0.18883415435139608</v>
      </c>
      <c r="Q59">
        <f t="shared" ref="Q59" si="271">F59*P59</f>
        <v>138361.78244663408</v>
      </c>
      <c r="R59">
        <f t="shared" ref="R59" si="272">R60+Q59</f>
        <v>4960207.9684702689</v>
      </c>
      <c r="S59">
        <f t="shared" ref="S59" si="273">R59/100000</f>
        <v>49.602079684702687</v>
      </c>
      <c r="T59">
        <f t="shared" ref="T59" si="274">S59/1000</f>
        <v>4.9602079684702691E-2</v>
      </c>
    </row>
    <row r="60" spans="1:20" x14ac:dyDescent="0.25">
      <c r="A60" s="5">
        <v>44533</v>
      </c>
      <c r="B60">
        <v>20.059999999999999</v>
      </c>
      <c r="C60">
        <v>20.87</v>
      </c>
      <c r="D60">
        <v>17.96</v>
      </c>
      <c r="E60">
        <v>18.96</v>
      </c>
      <c r="F60">
        <v>415321.4</v>
      </c>
      <c r="G60">
        <v>18.96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-0.31271477663230246</v>
      </c>
      <c r="Q60">
        <f t="shared" ref="Q60" si="276">F60*P60</f>
        <v>-129877.13883161516</v>
      </c>
      <c r="R60">
        <f t="shared" ref="R60" si="277">R61+Q60</f>
        <v>4821846.1860236349</v>
      </c>
      <c r="S60">
        <f t="shared" ref="S60" si="278">R60/100000</f>
        <v>48.218461860236346</v>
      </c>
      <c r="T60">
        <f t="shared" ref="T60" si="279">S60/1000</f>
        <v>4.8218461860236345E-2</v>
      </c>
    </row>
    <row r="61" spans="1:20" x14ac:dyDescent="0.25">
      <c r="A61" s="5">
        <v>44532</v>
      </c>
      <c r="B61">
        <v>20.66</v>
      </c>
      <c r="C61">
        <v>20.7</v>
      </c>
      <c r="D61">
        <v>19.829999999999998</v>
      </c>
      <c r="E61">
        <v>20.07</v>
      </c>
      <c r="F61">
        <v>211361.49</v>
      </c>
      <c r="G61">
        <v>20.07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-0.44827586206896158</v>
      </c>
      <c r="Q61">
        <f t="shared" ref="Q61" si="281">F61*P61</f>
        <v>-94748.254137930198</v>
      </c>
      <c r="R61">
        <f t="shared" ref="R61" si="282">R62+Q61</f>
        <v>4951723.3248552503</v>
      </c>
      <c r="S61">
        <f t="shared" ref="S61" si="283">R61/100000</f>
        <v>49.5172332485525</v>
      </c>
      <c r="T61">
        <f t="shared" ref="T61" si="284">S61/1000</f>
        <v>4.9517233248552499E-2</v>
      </c>
    </row>
    <row r="62" spans="1:20" x14ac:dyDescent="0.25">
      <c r="A62" s="5">
        <v>44531</v>
      </c>
      <c r="B62">
        <v>21.12</v>
      </c>
      <c r="C62">
        <v>21.94</v>
      </c>
      <c r="D62">
        <v>20.329999999999998</v>
      </c>
      <c r="E62">
        <v>20.66</v>
      </c>
      <c r="F62">
        <v>235721.56</v>
      </c>
      <c r="G62">
        <v>20.66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-0.59006211180124069</v>
      </c>
      <c r="Q62">
        <f t="shared" ref="Q62" si="286">F62*P62</f>
        <v>-139090.36149068287</v>
      </c>
      <c r="R62">
        <f t="shared" ref="R62" si="287">R63+Q62</f>
        <v>5046471.5789931808</v>
      </c>
      <c r="S62">
        <f t="shared" ref="S62" si="288">R62/100000</f>
        <v>50.464715789931809</v>
      </c>
      <c r="T62">
        <f t="shared" ref="T62" si="289">S62/1000</f>
        <v>5.0464715789931808E-2</v>
      </c>
    </row>
    <row r="63" spans="1:20" x14ac:dyDescent="0.25">
      <c r="A63" s="5">
        <v>44530</v>
      </c>
      <c r="B63">
        <v>20.96</v>
      </c>
      <c r="C63">
        <v>22.15</v>
      </c>
      <c r="D63">
        <v>20.11</v>
      </c>
      <c r="E63">
        <v>21.08</v>
      </c>
      <c r="F63">
        <v>353179.61</v>
      </c>
      <c r="G63">
        <v>21.08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-4.9019607843137969E-2</v>
      </c>
      <c r="Q63">
        <f t="shared" ref="Q63" si="291">F63*P63</f>
        <v>-17312.72598039241</v>
      </c>
      <c r="R63">
        <f t="shared" ref="R63" si="292">R64+Q63</f>
        <v>5185561.9404838635</v>
      </c>
      <c r="S63">
        <f t="shared" ref="S63" si="293">R63/100000</f>
        <v>51.855619404838635</v>
      </c>
      <c r="T63">
        <f t="shared" ref="T63" si="294">S63/1000</f>
        <v>5.1855619404838633E-2</v>
      </c>
    </row>
    <row r="64" spans="1:20" x14ac:dyDescent="0.25">
      <c r="A64" s="5">
        <v>44529</v>
      </c>
      <c r="B64">
        <v>20.65</v>
      </c>
      <c r="C64">
        <v>21.33</v>
      </c>
      <c r="D64">
        <v>20.39</v>
      </c>
      <c r="E64">
        <v>20.94</v>
      </c>
      <c r="F64">
        <v>286930.68</v>
      </c>
      <c r="G64">
        <v>20.94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0.17021276595745116</v>
      </c>
      <c r="Q64">
        <f t="shared" ref="Q64" si="296">F64*P64</f>
        <v>48839.264680852313</v>
      </c>
      <c r="R64">
        <f t="shared" ref="R64" si="297">R65+Q64</f>
        <v>5202874.6664642561</v>
      </c>
      <c r="S64">
        <f t="shared" ref="S64" si="298">R64/100000</f>
        <v>52.028746664642561</v>
      </c>
      <c r="T64">
        <f t="shared" ref="T64" si="299">S64/1000</f>
        <v>5.2028746664642564E-2</v>
      </c>
    </row>
    <row r="65" spans="1:20" x14ac:dyDescent="0.25">
      <c r="A65" s="5">
        <v>44528</v>
      </c>
      <c r="B65">
        <v>19.73</v>
      </c>
      <c r="C65">
        <v>20.79</v>
      </c>
      <c r="D65">
        <v>18.48</v>
      </c>
      <c r="E65">
        <v>20.64</v>
      </c>
      <c r="F65">
        <v>277359.40999999997</v>
      </c>
      <c r="G65">
        <v>20.64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0.87012987012987131</v>
      </c>
      <c r="Q65">
        <f t="shared" ref="Q65" si="301">F65*P65</f>
        <v>241338.70740259771</v>
      </c>
      <c r="R65">
        <f t="shared" ref="R65" si="302">R66+Q65</f>
        <v>5154035.4017834039</v>
      </c>
      <c r="S65">
        <f t="shared" ref="S65" si="303">R65/100000</f>
        <v>51.540354017834041</v>
      </c>
      <c r="T65">
        <f t="shared" ref="T65" si="304">S65/1000</f>
        <v>5.1540354017834043E-2</v>
      </c>
    </row>
    <row r="66" spans="1:20" x14ac:dyDescent="0.25">
      <c r="A66" s="5">
        <v>44527</v>
      </c>
      <c r="B66">
        <v>19.46</v>
      </c>
      <c r="C66">
        <v>20.79</v>
      </c>
      <c r="D66">
        <v>19.329999999999998</v>
      </c>
      <c r="E66">
        <v>19.75</v>
      </c>
      <c r="F66">
        <v>313079.8</v>
      </c>
      <c r="G66">
        <v>19.75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-0.42465753424657332</v>
      </c>
      <c r="Q66">
        <f t="shared" ref="Q66" si="306">F66*P66</f>
        <v>-132951.69589041031</v>
      </c>
      <c r="R66">
        <f t="shared" ref="R66" si="307">R67+Q66</f>
        <v>4912696.6943808058</v>
      </c>
      <c r="S66">
        <f t="shared" ref="S66" si="308">R66/100000</f>
        <v>49.126966943808057</v>
      </c>
      <c r="T66">
        <f t="shared" ref="T66" si="309">S66/1000</f>
        <v>4.9126966943808054E-2</v>
      </c>
    </row>
    <row r="67" spans="1:20" x14ac:dyDescent="0.25">
      <c r="A67" s="5">
        <v>44526</v>
      </c>
      <c r="B67">
        <v>22.49</v>
      </c>
      <c r="C67">
        <v>22.79</v>
      </c>
      <c r="D67">
        <v>19.239999999999998</v>
      </c>
      <c r="E67">
        <v>19.46</v>
      </c>
      <c r="F67">
        <v>439286.41</v>
      </c>
      <c r="G67">
        <v>19.46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-0.87605633802816762</v>
      </c>
      <c r="Q67">
        <f t="shared" ref="Q67" si="311">F67*P67</f>
        <v>-384839.64369014022</v>
      </c>
      <c r="R67">
        <f t="shared" ref="R67" si="312">R68+Q67</f>
        <v>5045648.3902712157</v>
      </c>
      <c r="S67">
        <f t="shared" ref="S67" si="313">R67/100000</f>
        <v>50.456483902712158</v>
      </c>
      <c r="T67">
        <f t="shared" ref="T67" si="314">S67/1000</f>
        <v>5.0456483902712158E-2</v>
      </c>
    </row>
    <row r="68" spans="1:20" x14ac:dyDescent="0.25">
      <c r="A68" s="5">
        <v>44525</v>
      </c>
      <c r="B68">
        <v>21.01</v>
      </c>
      <c r="C68">
        <v>22.98</v>
      </c>
      <c r="D68">
        <v>20.8</v>
      </c>
      <c r="E68">
        <v>22.47</v>
      </c>
      <c r="F68">
        <v>341630.55</v>
      </c>
      <c r="G68">
        <v>22.47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0.53211009174311774</v>
      </c>
      <c r="Q68">
        <f t="shared" ref="Q68" si="316">F68*P68</f>
        <v>181785.06330275178</v>
      </c>
      <c r="R68">
        <f t="shared" ref="R68" si="317">R69+Q68</f>
        <v>5430488.0339613557</v>
      </c>
      <c r="S68">
        <f t="shared" ref="S68" si="318">R68/100000</f>
        <v>54.304880339613554</v>
      </c>
      <c r="T68">
        <f t="shared" ref="T68" si="319">S68/1000</f>
        <v>5.4304880339613552E-2</v>
      </c>
    </row>
    <row r="69" spans="1:20" x14ac:dyDescent="0.25">
      <c r="A69" s="5">
        <v>44524</v>
      </c>
      <c r="B69">
        <v>21.77</v>
      </c>
      <c r="C69">
        <v>22</v>
      </c>
      <c r="D69">
        <v>21.01</v>
      </c>
      <c r="E69">
        <v>21.25</v>
      </c>
      <c r="F69">
        <v>86821.27</v>
      </c>
      <c r="G69">
        <v>21.25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-0.51515151515151758</v>
      </c>
      <c r="Q69">
        <f t="shared" ref="Q69" si="321">F69*P69</f>
        <v>-44726.108787878999</v>
      </c>
      <c r="R69">
        <f t="shared" ref="R69" si="322">R70+Q69</f>
        <v>5248702.9706586041</v>
      </c>
      <c r="S69">
        <f t="shared" ref="S69" si="323">R69/100000</f>
        <v>52.487029706586043</v>
      </c>
      <c r="T69">
        <f t="shared" ref="T69" si="324">S69/1000</f>
        <v>5.2487029706586044E-2</v>
      </c>
    </row>
    <row r="70" spans="1:20" x14ac:dyDescent="0.25">
      <c r="A70" s="5">
        <v>44523</v>
      </c>
      <c r="B70">
        <v>20.260000000000002</v>
      </c>
      <c r="C70">
        <v>22.14</v>
      </c>
      <c r="D70">
        <v>19.98</v>
      </c>
      <c r="E70">
        <v>21.77</v>
      </c>
      <c r="F70">
        <v>516473.62</v>
      </c>
      <c r="G70">
        <v>21.77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0.65740740740740655</v>
      </c>
      <c r="Q70">
        <f t="shared" ref="Q70" si="326">F70*P70</f>
        <v>339533.58351851808</v>
      </c>
      <c r="R70">
        <f t="shared" ref="R70" si="327">R71+Q70</f>
        <v>5293429.0794464834</v>
      </c>
      <c r="S70">
        <f t="shared" ref="S70" si="328">R70/100000</f>
        <v>52.934290794464836</v>
      </c>
      <c r="T70">
        <f t="shared" ref="T70" si="329">S70/1000</f>
        <v>5.2934290794464836E-2</v>
      </c>
    </row>
    <row r="71" spans="1:20" x14ac:dyDescent="0.25">
      <c r="A71" s="5">
        <v>44522</v>
      </c>
      <c r="B71">
        <v>21.02</v>
      </c>
      <c r="C71">
        <v>21.15</v>
      </c>
      <c r="D71">
        <v>19.86</v>
      </c>
      <c r="E71">
        <v>20.260000000000002</v>
      </c>
      <c r="F71">
        <v>145070.39000000001</v>
      </c>
      <c r="G71">
        <v>20.260000000000002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-0.37984496124030637</v>
      </c>
      <c r="Q71">
        <f t="shared" ref="Q71" si="331">F71*P71</f>
        <v>-55104.256666666137</v>
      </c>
      <c r="R71">
        <f t="shared" ref="R71" si="332">R72+Q71</f>
        <v>4953895.4959279653</v>
      </c>
      <c r="S71">
        <f t="shared" ref="S71" si="333">R71/100000</f>
        <v>49.53895495927965</v>
      </c>
      <c r="T71">
        <f t="shared" ref="T71" si="334">S71/1000</f>
        <v>4.9538954959279652E-2</v>
      </c>
    </row>
    <row r="72" spans="1:20" x14ac:dyDescent="0.25">
      <c r="A72" s="5">
        <v>44521</v>
      </c>
      <c r="B72">
        <v>22.14</v>
      </c>
      <c r="C72">
        <v>22.18</v>
      </c>
      <c r="D72">
        <v>20.97</v>
      </c>
      <c r="E72">
        <v>21.02</v>
      </c>
      <c r="F72">
        <v>235360.47</v>
      </c>
      <c r="G72">
        <v>21.02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-0.91735537190082528</v>
      </c>
      <c r="Q72">
        <f t="shared" ref="Q72" si="336">F72*P72</f>
        <v>-215909.19148760304</v>
      </c>
      <c r="R72">
        <f t="shared" ref="R72" si="337">R73+Q72</f>
        <v>5008999.7525946312</v>
      </c>
      <c r="S72">
        <f t="shared" ref="S72" si="338">R72/100000</f>
        <v>50.089997525946309</v>
      </c>
      <c r="T72">
        <f t="shared" ref="T72" si="339">S72/1000</f>
        <v>5.0089997525946311E-2</v>
      </c>
    </row>
    <row r="73" spans="1:20" x14ac:dyDescent="0.25">
      <c r="A73" s="5">
        <v>44520</v>
      </c>
      <c r="B73">
        <v>20.56</v>
      </c>
      <c r="C73">
        <v>22.22</v>
      </c>
      <c r="D73">
        <v>20.54</v>
      </c>
      <c r="E73">
        <v>22.13</v>
      </c>
      <c r="F73">
        <v>350778.77</v>
      </c>
      <c r="G73">
        <v>22.13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0.89285714285714302</v>
      </c>
      <c r="Q73">
        <f t="shared" ref="Q73" si="341">F73*P73</f>
        <v>313195.33035714296</v>
      </c>
      <c r="R73">
        <f t="shared" ref="R73" si="342">R74+Q73</f>
        <v>5224908.9440822341</v>
      </c>
      <c r="S73">
        <f t="shared" ref="S73" si="343">R73/100000</f>
        <v>52.249089440822338</v>
      </c>
      <c r="T73">
        <f t="shared" ref="T73" si="344">S73/1000</f>
        <v>5.2249089440822336E-2</v>
      </c>
    </row>
    <row r="74" spans="1:20" x14ac:dyDescent="0.25">
      <c r="A74" s="5">
        <v>44519</v>
      </c>
      <c r="B74">
        <v>19.37</v>
      </c>
      <c r="C74">
        <v>20.83</v>
      </c>
      <c r="D74">
        <v>18.93</v>
      </c>
      <c r="E74">
        <v>20.53</v>
      </c>
      <c r="F74">
        <v>154624.20000000001</v>
      </c>
      <c r="G74">
        <v>20.53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0.68421052631579227</v>
      </c>
      <c r="Q74">
        <f t="shared" ref="Q74" si="346">F74*P74</f>
        <v>105795.50526315834</v>
      </c>
      <c r="R74">
        <f t="shared" ref="R74" si="347">R75+Q74</f>
        <v>4911713.6137250913</v>
      </c>
      <c r="S74">
        <f t="shared" ref="S74" si="348">R74/100000</f>
        <v>49.117136137250917</v>
      </c>
      <c r="T74">
        <f t="shared" ref="T74" si="349">S74/1000</f>
        <v>4.9117136137250918E-2</v>
      </c>
    </row>
    <row r="75" spans="1:20" x14ac:dyDescent="0.25">
      <c r="A75" s="5">
        <v>44518</v>
      </c>
      <c r="B75">
        <v>21.5</v>
      </c>
      <c r="C75">
        <v>21.69</v>
      </c>
      <c r="D75">
        <v>18.66</v>
      </c>
      <c r="E75">
        <v>19.41</v>
      </c>
      <c r="F75">
        <v>256353.91</v>
      </c>
      <c r="G75">
        <v>19.41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-0.50495049504950518</v>
      </c>
      <c r="Q75">
        <f t="shared" ref="Q75" si="351">F75*P75</f>
        <v>-129446.0337623763</v>
      </c>
      <c r="R75">
        <f t="shared" ref="R75" si="352">R76+Q75</f>
        <v>4805918.1084619332</v>
      </c>
      <c r="S75">
        <f t="shared" ref="S75" si="353">R75/100000</f>
        <v>48.059181084619333</v>
      </c>
      <c r="T75">
        <f t="shared" ref="T75" si="354">S75/1000</f>
        <v>4.8059181084619332E-2</v>
      </c>
    </row>
    <row r="76" spans="1:20" x14ac:dyDescent="0.25">
      <c r="A76" s="5">
        <v>44517</v>
      </c>
      <c r="B76">
        <v>21.05</v>
      </c>
      <c r="C76">
        <v>21.67</v>
      </c>
      <c r="D76">
        <v>20.23</v>
      </c>
      <c r="E76">
        <v>21.51</v>
      </c>
      <c r="F76">
        <v>152760.97</v>
      </c>
      <c r="G76">
        <v>21.51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0.77777777777777779</v>
      </c>
      <c r="Q76">
        <f t="shared" ref="Q76" si="356">F76*P76</f>
        <v>118814.08777777778</v>
      </c>
      <c r="R76">
        <f t="shared" ref="R76" si="357">R77+Q76</f>
        <v>4935364.14222431</v>
      </c>
      <c r="S76">
        <f t="shared" ref="S76" si="358">R76/100000</f>
        <v>49.353641422243101</v>
      </c>
      <c r="T76">
        <f t="shared" ref="T76" si="359">S76/1000</f>
        <v>4.9353641422243098E-2</v>
      </c>
    </row>
    <row r="77" spans="1:20" x14ac:dyDescent="0.25">
      <c r="A77" s="5">
        <v>44516</v>
      </c>
      <c r="B77">
        <v>23.59</v>
      </c>
      <c r="C77">
        <v>23.59</v>
      </c>
      <c r="D77">
        <v>19.91</v>
      </c>
      <c r="E77">
        <v>21.04</v>
      </c>
      <c r="F77">
        <v>321382.25</v>
      </c>
      <c r="G77">
        <v>21.04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-0.3858695652173918</v>
      </c>
      <c r="Q77">
        <f t="shared" ref="Q77" si="361">F77*P77</f>
        <v>-124011.62907608712</v>
      </c>
      <c r="R77">
        <f t="shared" ref="R77" si="362">R78+Q77</f>
        <v>4816550.0544465324</v>
      </c>
      <c r="S77">
        <f t="shared" ref="S77" si="363">R77/100000</f>
        <v>48.165500544465324</v>
      </c>
      <c r="T77">
        <f t="shared" ref="T77" si="364">S77/1000</f>
        <v>4.8165500544465327E-2</v>
      </c>
    </row>
    <row r="78" spans="1:20" x14ac:dyDescent="0.25">
      <c r="A78" s="5">
        <v>44515</v>
      </c>
      <c r="B78">
        <v>24.37</v>
      </c>
      <c r="C78">
        <v>25.15</v>
      </c>
      <c r="D78">
        <v>23.51</v>
      </c>
      <c r="E78">
        <v>23.6</v>
      </c>
      <c r="F78">
        <v>187769.99</v>
      </c>
      <c r="G78">
        <v>23.6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-0.8902439024390244</v>
      </c>
      <c r="Q78">
        <f t="shared" ref="Q78" si="366">F78*P78</f>
        <v>-167161.08865853658</v>
      </c>
      <c r="R78">
        <f t="shared" ref="R78" si="367">R79+Q78</f>
        <v>4940561.6835226193</v>
      </c>
      <c r="S78">
        <f t="shared" ref="S78" si="368">R78/100000</f>
        <v>49.405616835226191</v>
      </c>
      <c r="T78">
        <f t="shared" ref="T78" si="369">S78/1000</f>
        <v>4.9405616835226193E-2</v>
      </c>
    </row>
    <row r="79" spans="1:20" x14ac:dyDescent="0.25">
      <c r="A79" s="5">
        <v>44514</v>
      </c>
      <c r="B79">
        <v>24.29</v>
      </c>
      <c r="C79">
        <v>24.54</v>
      </c>
      <c r="D79">
        <v>23.53</v>
      </c>
      <c r="E79">
        <v>24.37</v>
      </c>
      <c r="F79">
        <v>133522.99</v>
      </c>
      <c r="G79">
        <v>24.37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0.6633663366336664</v>
      </c>
      <c r="Q79">
        <f t="shared" ref="Q79" si="371">F79*P79</f>
        <v>88574.656732673669</v>
      </c>
      <c r="R79">
        <f t="shared" ref="R79" si="372">R80+Q79</f>
        <v>5107722.7721811561</v>
      </c>
      <c r="S79">
        <f t="shared" ref="S79" si="373">R79/100000</f>
        <v>51.07722772181156</v>
      </c>
      <c r="T79">
        <f t="shared" ref="T79" si="374">S79/1000</f>
        <v>5.1077227721811558E-2</v>
      </c>
    </row>
    <row r="80" spans="1:20" x14ac:dyDescent="0.25">
      <c r="A80" s="5">
        <v>44513</v>
      </c>
      <c r="B80">
        <v>24.12</v>
      </c>
      <c r="C80">
        <v>24.5</v>
      </c>
      <c r="D80">
        <v>23.93</v>
      </c>
      <c r="E80">
        <v>24.29</v>
      </c>
      <c r="F80">
        <v>121223.72</v>
      </c>
      <c r="G80">
        <v>24.29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0.26315789473683948</v>
      </c>
      <c r="Q80">
        <f t="shared" ref="Q80" si="376">F80*P80</f>
        <v>31900.978947368105</v>
      </c>
      <c r="R80">
        <f t="shared" ref="R80" si="377">R81+Q80</f>
        <v>5019148.1154484823</v>
      </c>
      <c r="S80">
        <f t="shared" ref="S80" si="378">R80/100000</f>
        <v>50.191481154484826</v>
      </c>
      <c r="T80">
        <f t="shared" ref="T80" si="379">S80/1000</f>
        <v>5.0191481154484824E-2</v>
      </c>
    </row>
    <row r="81" spans="1:20" x14ac:dyDescent="0.25">
      <c r="A81" s="5">
        <v>44512</v>
      </c>
      <c r="B81">
        <v>24.87</v>
      </c>
      <c r="C81">
        <v>25.19</v>
      </c>
      <c r="D81">
        <v>23.33</v>
      </c>
      <c r="E81">
        <v>24.12</v>
      </c>
      <c r="F81">
        <v>216268.29</v>
      </c>
      <c r="G81">
        <v>24.12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-0.1505376344086006</v>
      </c>
      <c r="Q81">
        <f t="shared" ref="Q81" si="381">F81*P81</f>
        <v>-32556.516774193213</v>
      </c>
      <c r="R81">
        <f t="shared" ref="R81" si="382">R82+Q81</f>
        <v>4987247.1365011139</v>
      </c>
      <c r="S81">
        <f t="shared" ref="S81" si="383">R81/100000</f>
        <v>49.872471365011137</v>
      </c>
      <c r="T81">
        <f t="shared" ref="T81" si="384">S81/1000</f>
        <v>4.9872471365011134E-2</v>
      </c>
    </row>
    <row r="82" spans="1:20" x14ac:dyDescent="0.25">
      <c r="A82" s="5">
        <v>44511</v>
      </c>
      <c r="B82">
        <v>24.35</v>
      </c>
      <c r="C82">
        <v>25.35</v>
      </c>
      <c r="D82">
        <v>23.77</v>
      </c>
      <c r="E82">
        <v>24.88</v>
      </c>
      <c r="F82">
        <v>248165.38</v>
      </c>
      <c r="G82">
        <v>24.88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0.40506329113923817</v>
      </c>
      <c r="Q82">
        <f t="shared" ref="Q82" si="386">F82*P82</f>
        <v>100522.68556961967</v>
      </c>
      <c r="R82">
        <f t="shared" ref="R82" si="387">R83+Q82</f>
        <v>5019803.6532753073</v>
      </c>
      <c r="S82">
        <f t="shared" ref="S82" si="388">R82/100000</f>
        <v>50.198036532753072</v>
      </c>
      <c r="T82">
        <f t="shared" ref="T82" si="389">S82/1000</f>
        <v>5.0198036532753072E-2</v>
      </c>
    </row>
    <row r="83" spans="1:20" x14ac:dyDescent="0.25">
      <c r="A83" s="5">
        <v>44510</v>
      </c>
      <c r="B83">
        <v>26.36</v>
      </c>
      <c r="C83">
        <v>26.73</v>
      </c>
      <c r="D83">
        <v>22.33</v>
      </c>
      <c r="E83">
        <v>24.34</v>
      </c>
      <c r="F83">
        <v>475635.43</v>
      </c>
      <c r="G83">
        <v>24.34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-8.6363636363636101E-2</v>
      </c>
      <c r="Q83">
        <f t="shared" ref="Q83" si="391">F83*P83</f>
        <v>-41077.60531818169</v>
      </c>
      <c r="R83">
        <f t="shared" ref="R83" si="392">R84+Q83</f>
        <v>4919280.9677056875</v>
      </c>
      <c r="S83">
        <f t="shared" ref="S83" si="393">R83/100000</f>
        <v>49.192809677056879</v>
      </c>
      <c r="T83">
        <f t="shared" ref="T83" si="394">S83/1000</f>
        <v>4.919280967705688E-2</v>
      </c>
    </row>
    <row r="84" spans="1:20" x14ac:dyDescent="0.25">
      <c r="A84" s="5">
        <v>44509</v>
      </c>
      <c r="B84">
        <v>26.67</v>
      </c>
      <c r="C84">
        <v>28</v>
      </c>
      <c r="D84">
        <v>26.15</v>
      </c>
      <c r="E84">
        <v>26.34</v>
      </c>
      <c r="F84">
        <v>493407.89</v>
      </c>
      <c r="G84">
        <v>26.34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-0.79459459459459336</v>
      </c>
      <c r="Q84">
        <f t="shared" ref="Q84" si="396">F84*P84</f>
        <v>-392059.24232432374</v>
      </c>
      <c r="R84">
        <f t="shared" ref="R84" si="397">R85+Q84</f>
        <v>4960358.5730238697</v>
      </c>
      <c r="S84">
        <f t="shared" ref="S84" si="398">R84/100000</f>
        <v>49.603585730238699</v>
      </c>
      <c r="T84">
        <f t="shared" ref="T84" si="399">S84/1000</f>
        <v>4.9603585730238701E-2</v>
      </c>
    </row>
    <row r="85" spans="1:20" x14ac:dyDescent="0.25">
      <c r="A85" s="5">
        <v>44508</v>
      </c>
      <c r="B85">
        <v>26.12</v>
      </c>
      <c r="C85">
        <v>27.3</v>
      </c>
      <c r="D85">
        <v>25.91</v>
      </c>
      <c r="E85">
        <v>26.66</v>
      </c>
      <c r="F85">
        <v>281700.09000000003</v>
      </c>
      <c r="G85">
        <v>26.66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7.9136690647481578E-2</v>
      </c>
      <c r="Q85">
        <f t="shared" ref="Q85" si="401">F85*P85</f>
        <v>22292.812877697721</v>
      </c>
      <c r="R85">
        <f t="shared" ref="R85" si="402">R86+Q85</f>
        <v>5352417.815348193</v>
      </c>
      <c r="S85">
        <f t="shared" ref="S85" si="403">R85/100000</f>
        <v>53.524178153481934</v>
      </c>
      <c r="T85">
        <f t="shared" ref="T85" si="404">S85/1000</f>
        <v>5.3524178153481934E-2</v>
      </c>
    </row>
    <row r="86" spans="1:20" x14ac:dyDescent="0.25">
      <c r="A86" s="5">
        <v>44507</v>
      </c>
      <c r="B86">
        <v>26.12</v>
      </c>
      <c r="C86">
        <v>26.63</v>
      </c>
      <c r="D86">
        <v>25.96</v>
      </c>
      <c r="E86">
        <v>26.1</v>
      </c>
      <c r="F86">
        <v>157095.37</v>
      </c>
      <c r="G86">
        <v>26.1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-0.5820895522388031</v>
      </c>
      <c r="Q86">
        <f t="shared" ref="Q86" si="406">F86*P86</f>
        <v>-91443.573582089099</v>
      </c>
      <c r="R86">
        <f t="shared" ref="R86" si="407">R87+Q86</f>
        <v>5330125.0024704952</v>
      </c>
      <c r="S86">
        <f t="shared" ref="S86" si="408">R86/100000</f>
        <v>53.301250024704949</v>
      </c>
      <c r="T86">
        <f t="shared" ref="T86" si="409">S86/1000</f>
        <v>5.3301250024704948E-2</v>
      </c>
    </row>
    <row r="87" spans="1:20" x14ac:dyDescent="0.25">
      <c r="A87" s="5">
        <v>44506</v>
      </c>
      <c r="B87">
        <v>26.95</v>
      </c>
      <c r="C87">
        <v>27.01</v>
      </c>
      <c r="D87">
        <v>25.27</v>
      </c>
      <c r="E87">
        <v>26.14</v>
      </c>
      <c r="F87">
        <v>290493</v>
      </c>
      <c r="G87">
        <v>26.14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</v>
      </c>
      <c r="Q87">
        <f t="shared" ref="Q87" si="411">F87*P87</f>
        <v>0</v>
      </c>
      <c r="R87">
        <f t="shared" ref="R87" si="412">R88+Q87</f>
        <v>5421568.5760525847</v>
      </c>
      <c r="S87">
        <f t="shared" ref="S87" si="413">R87/100000</f>
        <v>54.215685760525844</v>
      </c>
      <c r="T87">
        <f t="shared" ref="T87" si="414">S87/1000</f>
        <v>5.4215685760525843E-2</v>
      </c>
    </row>
    <row r="88" spans="1:20" x14ac:dyDescent="0.25">
      <c r="A88" s="5">
        <v>44505</v>
      </c>
      <c r="B88">
        <v>27.45</v>
      </c>
      <c r="C88">
        <v>28.26</v>
      </c>
      <c r="D88">
        <v>26.82</v>
      </c>
      <c r="E88">
        <v>26.94</v>
      </c>
      <c r="F88">
        <v>269156.14</v>
      </c>
      <c r="G88">
        <v>26.94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-0.83333333333333215</v>
      </c>
      <c r="Q88">
        <f t="shared" ref="Q88" si="416">F88*P88</f>
        <v>-224296.78333333303</v>
      </c>
      <c r="R88">
        <f t="shared" ref="R88" si="417">R89+Q88</f>
        <v>5421568.5760525847</v>
      </c>
      <c r="S88">
        <f t="shared" ref="S88" si="418">R88/100000</f>
        <v>54.215685760525844</v>
      </c>
      <c r="T88">
        <f t="shared" ref="T88" si="419">S88/1000</f>
        <v>5.4215685760525843E-2</v>
      </c>
    </row>
    <row r="89" spans="1:20" x14ac:dyDescent="0.25">
      <c r="A89" s="5">
        <v>44504</v>
      </c>
      <c r="B89">
        <v>28.52</v>
      </c>
      <c r="C89">
        <v>29.15</v>
      </c>
      <c r="D89">
        <v>26.58</v>
      </c>
      <c r="E89">
        <v>27.45</v>
      </c>
      <c r="F89">
        <v>336402.77</v>
      </c>
      <c r="G89">
        <v>27.45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-0.32295719844357906</v>
      </c>
      <c r="Q89">
        <f t="shared" ref="Q89" si="421">F89*P89</f>
        <v>-108643.69614785969</v>
      </c>
      <c r="R89">
        <f t="shared" ref="R89" si="422">R90+Q89</f>
        <v>5645865.3593859179</v>
      </c>
      <c r="S89">
        <f t="shared" ref="S89" si="423">R89/100000</f>
        <v>56.458653593859182</v>
      </c>
      <c r="T89">
        <f t="shared" ref="T89" si="424">S89/1000</f>
        <v>5.6458653593859182E-2</v>
      </c>
    </row>
    <row r="90" spans="1:20" x14ac:dyDescent="0.25">
      <c r="A90" s="5">
        <v>44503</v>
      </c>
      <c r="B90">
        <v>27.44</v>
      </c>
      <c r="C90">
        <v>28.99</v>
      </c>
      <c r="D90">
        <v>25.8</v>
      </c>
      <c r="E90">
        <v>28.53</v>
      </c>
      <c r="F90">
        <v>456308.24</v>
      </c>
      <c r="G90">
        <v>28.53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0.71159874608150619</v>
      </c>
      <c r="Q90">
        <f t="shared" ref="Q90" si="426">F90*P90</f>
        <v>324708.37141065899</v>
      </c>
      <c r="R90">
        <f t="shared" ref="R90" si="427">R91+Q90</f>
        <v>5754509.0555337779</v>
      </c>
      <c r="S90">
        <f t="shared" ref="S90" si="428">R90/100000</f>
        <v>57.545090555337779</v>
      </c>
      <c r="T90">
        <f t="shared" ref="T90" si="429">S90/1000</f>
        <v>5.7545090555337783E-2</v>
      </c>
    </row>
    <row r="91" spans="1:20" x14ac:dyDescent="0.25">
      <c r="A91" s="5">
        <v>44502</v>
      </c>
      <c r="B91">
        <v>26.24</v>
      </c>
      <c r="C91">
        <v>27.72</v>
      </c>
      <c r="D91">
        <v>26.03</v>
      </c>
      <c r="E91">
        <v>27.41</v>
      </c>
      <c r="F91">
        <v>452646.77</v>
      </c>
      <c r="G91">
        <v>27.41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0.63313609467455723</v>
      </c>
      <c r="Q91">
        <f t="shared" ref="Q91" si="431">F91*P91</f>
        <v>286587.00822485256</v>
      </c>
      <c r="R91">
        <f t="shared" ref="R91" si="432">R92+Q91</f>
        <v>5429800.6841231193</v>
      </c>
      <c r="S91">
        <f t="shared" ref="S91" si="433">R91/100000</f>
        <v>54.298006841231192</v>
      </c>
      <c r="T91">
        <f t="shared" ref="T91" si="434">S91/1000</f>
        <v>5.4298006841231192E-2</v>
      </c>
    </row>
    <row r="92" spans="1:20" x14ac:dyDescent="0.25">
      <c r="A92" s="5">
        <v>44501</v>
      </c>
      <c r="B92">
        <v>24.67</v>
      </c>
      <c r="C92">
        <v>26.7</v>
      </c>
      <c r="D92">
        <v>23.69</v>
      </c>
      <c r="E92">
        <v>26.24</v>
      </c>
      <c r="F92">
        <v>502761.6</v>
      </c>
      <c r="G92">
        <v>26.24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0.69435215946843776</v>
      </c>
      <c r="Q92">
        <f t="shared" ref="Q92" si="436">F92*P92</f>
        <v>349093.60265780688</v>
      </c>
      <c r="R92">
        <f t="shared" ref="R92" si="437">R93+Q92</f>
        <v>5143213.675898267</v>
      </c>
      <c r="S92">
        <f t="shared" ref="S92" si="438">R92/100000</f>
        <v>51.432136758982672</v>
      </c>
      <c r="T92">
        <f t="shared" ref="T92" si="439">S92/1000</f>
        <v>5.1432136758982672E-2</v>
      </c>
    </row>
    <row r="93" spans="1:20" x14ac:dyDescent="0.25">
      <c r="A93" s="5">
        <v>44500</v>
      </c>
      <c r="B93">
        <v>24.53</v>
      </c>
      <c r="C93">
        <v>25.11</v>
      </c>
      <c r="D93">
        <v>23.71</v>
      </c>
      <c r="E93">
        <v>24.67</v>
      </c>
      <c r="F93">
        <v>216101.86</v>
      </c>
      <c r="G93">
        <v>24.67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0.37142857142857405</v>
      </c>
      <c r="Q93">
        <f t="shared" ref="Q93" si="441">F93*P93</f>
        <v>80266.405142857708</v>
      </c>
      <c r="R93">
        <f t="shared" ref="R93" si="442">R94+Q93</f>
        <v>4794120.0732404599</v>
      </c>
      <c r="S93">
        <f t="shared" ref="S93" si="443">R93/100000</f>
        <v>47.941200732404596</v>
      </c>
      <c r="T93">
        <f t="shared" ref="T93" si="444">S93/1000</f>
        <v>4.7941200732404599E-2</v>
      </c>
    </row>
    <row r="94" spans="1:20" x14ac:dyDescent="0.25">
      <c r="A94" s="5">
        <v>44499</v>
      </c>
      <c r="B94">
        <v>26.12</v>
      </c>
      <c r="C94">
        <v>26.24</v>
      </c>
      <c r="D94">
        <v>23.94</v>
      </c>
      <c r="E94">
        <v>24.55</v>
      </c>
      <c r="F94">
        <v>329484.86</v>
      </c>
      <c r="G94">
        <v>24.55</v>
      </c>
      <c r="L94" t="s">
        <v>7</v>
      </c>
      <c r="M94" t="s">
        <v>8</v>
      </c>
      <c r="N94" t="s">
        <v>8</v>
      </c>
      <c r="P94">
        <f t="shared" ref="P94" si="445">IF(C94=D94,0,((E94-D94)-(C94-E94))/(C94-D94))</f>
        <v>-0.46956521739130419</v>
      </c>
      <c r="Q94">
        <f t="shared" ref="Q94" si="446">F94*P94</f>
        <v>-154714.62991304341</v>
      </c>
      <c r="R94">
        <f t="shared" ref="R94" si="447">R95+Q94</f>
        <v>4713853.6680976022</v>
      </c>
      <c r="S94">
        <f t="shared" ref="S94" si="448">R94/100000</f>
        <v>47.138536680976024</v>
      </c>
      <c r="T94">
        <f t="shared" ref="T94" si="449">S94/1000</f>
        <v>4.7138536680976027E-2</v>
      </c>
    </row>
    <row r="95" spans="1:20" x14ac:dyDescent="0.25">
      <c r="A95" s="5">
        <v>44498</v>
      </c>
      <c r="B95">
        <v>26.19</v>
      </c>
      <c r="C95">
        <v>26.72</v>
      </c>
      <c r="D95">
        <v>25.65</v>
      </c>
      <c r="E95">
        <v>26.08</v>
      </c>
      <c r="F95">
        <v>374034.16</v>
      </c>
      <c r="G95">
        <v>26.08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-0.1962616822429914</v>
      </c>
      <c r="Q95">
        <f t="shared" ref="Q95" si="451">F95*P95</f>
        <v>-73408.573457944192</v>
      </c>
      <c r="R95">
        <f t="shared" ref="R95" si="452">R96+Q95</f>
        <v>4868568.2980106454</v>
      </c>
      <c r="S95">
        <f t="shared" ref="S95" si="453">R95/100000</f>
        <v>48.685682980106456</v>
      </c>
      <c r="T95">
        <f t="shared" ref="T95" si="454">S95/1000</f>
        <v>4.8685682980106455E-2</v>
      </c>
    </row>
    <row r="96" spans="1:20" x14ac:dyDescent="0.25">
      <c r="A96" s="5">
        <v>44497</v>
      </c>
      <c r="B96">
        <v>23.99</v>
      </c>
      <c r="C96">
        <v>27.3</v>
      </c>
      <c r="D96">
        <v>23.45</v>
      </c>
      <c r="E96">
        <v>26.19</v>
      </c>
      <c r="F96">
        <v>849547.59</v>
      </c>
      <c r="G96">
        <v>26.19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0.42337662337662391</v>
      </c>
      <c r="Q96">
        <f t="shared" ref="Q96" si="456">F96*P96</f>
        <v>359678.5900519485</v>
      </c>
      <c r="R96">
        <f t="shared" ref="R96" si="457">R97+Q96</f>
        <v>4941976.8714685896</v>
      </c>
      <c r="S96">
        <f t="shared" ref="S96" si="458">R96/100000</f>
        <v>49.419768714685894</v>
      </c>
      <c r="T96">
        <f t="shared" ref="T96" si="459">S96/1000</f>
        <v>4.9419768714685897E-2</v>
      </c>
    </row>
    <row r="97" spans="1:20" x14ac:dyDescent="0.25">
      <c r="A97" s="5">
        <v>44496</v>
      </c>
      <c r="B97">
        <v>24.46</v>
      </c>
      <c r="C97">
        <v>26.41</v>
      </c>
      <c r="D97">
        <v>22.6</v>
      </c>
      <c r="E97">
        <v>23.99</v>
      </c>
      <c r="F97">
        <v>1461919.23</v>
      </c>
      <c r="G97">
        <v>23.99</v>
      </c>
      <c r="L97" t="s">
        <v>8</v>
      </c>
      <c r="M97" t="s">
        <v>8</v>
      </c>
      <c r="N97" t="s">
        <v>8</v>
      </c>
      <c r="P97">
        <f t="shared" ref="P97" si="460">IF(C97=D97,0,((E97-D97)-(C97-E97))/(C97-D97))</f>
        <v>-0.27034120734908268</v>
      </c>
      <c r="Q97">
        <f t="shared" ref="Q97" si="461">F97*P97</f>
        <v>-395217.00968504127</v>
      </c>
      <c r="R97">
        <f t="shared" ref="R97" si="462">R98+Q97</f>
        <v>4582298.2814166415</v>
      </c>
      <c r="S97">
        <f t="shared" ref="S97" si="463">R97/100000</f>
        <v>45.822982814166416</v>
      </c>
      <c r="T97">
        <f t="shared" ref="T97" si="464">S97/1000</f>
        <v>4.5822982814166413E-2</v>
      </c>
    </row>
    <row r="98" spans="1:20" x14ac:dyDescent="0.25">
      <c r="A98" s="5">
        <v>44495</v>
      </c>
      <c r="B98">
        <v>22.37</v>
      </c>
      <c r="C98">
        <v>25.47</v>
      </c>
      <c r="D98">
        <v>22.32</v>
      </c>
      <c r="E98">
        <v>24.47</v>
      </c>
      <c r="F98">
        <v>779068.48</v>
      </c>
      <c r="G98">
        <v>24.47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0.36507936507936478</v>
      </c>
      <c r="Q98">
        <f t="shared" ref="Q98" si="466">F98*P98</f>
        <v>284421.82603174582</v>
      </c>
      <c r="R98">
        <f t="shared" ref="R98" si="467">R99+Q98</f>
        <v>4977515.2911016829</v>
      </c>
      <c r="S98">
        <f t="shared" ref="S98" si="468">R98/100000</f>
        <v>49.775152911016832</v>
      </c>
      <c r="T98">
        <f t="shared" ref="T98" si="469">S98/1000</f>
        <v>4.9775152911016834E-2</v>
      </c>
    </row>
    <row r="99" spans="1:20" x14ac:dyDescent="0.25">
      <c r="A99" s="5">
        <v>44494</v>
      </c>
      <c r="B99">
        <v>21.54</v>
      </c>
      <c r="C99">
        <v>22.41</v>
      </c>
      <c r="D99">
        <v>21.43</v>
      </c>
      <c r="E99">
        <v>22.38</v>
      </c>
      <c r="F99">
        <v>102199</v>
      </c>
      <c r="G99">
        <v>22.38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0.93877551020407934</v>
      </c>
      <c r="Q99">
        <f t="shared" ref="Q99" si="471">F99*P99</f>
        <v>95941.918367346705</v>
      </c>
      <c r="R99">
        <f t="shared" ref="R99" si="472">R100+Q99</f>
        <v>4693093.4650699375</v>
      </c>
      <c r="S99">
        <f t="shared" ref="S99" si="473">R99/100000</f>
        <v>46.930934650699378</v>
      </c>
      <c r="T99">
        <f t="shared" ref="T99" si="474">S99/1000</f>
        <v>4.6930934650699377E-2</v>
      </c>
    </row>
    <row r="100" spans="1:20" x14ac:dyDescent="0.25">
      <c r="A100" s="5">
        <v>44493</v>
      </c>
      <c r="B100">
        <v>22.35</v>
      </c>
      <c r="C100">
        <v>22.43</v>
      </c>
      <c r="D100">
        <v>21</v>
      </c>
      <c r="E100">
        <v>21.52</v>
      </c>
      <c r="F100">
        <v>102915.44</v>
      </c>
      <c r="G100">
        <v>21.52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-0.27272727272727321</v>
      </c>
      <c r="Q100">
        <f t="shared" ref="Q100" si="476">F100*P100</f>
        <v>-28067.847272727322</v>
      </c>
      <c r="R100">
        <f t="shared" ref="R100" si="477">R101+Q100</f>
        <v>4597151.5467025908</v>
      </c>
      <c r="S100">
        <f t="shared" ref="S100" si="478">R100/100000</f>
        <v>45.97151546702591</v>
      </c>
      <c r="T100">
        <f t="shared" ref="T100" si="479">S100/1000</f>
        <v>4.5971515467025909E-2</v>
      </c>
    </row>
    <row r="101" spans="1:20" x14ac:dyDescent="0.25">
      <c r="A101" s="5">
        <v>44492</v>
      </c>
      <c r="B101">
        <v>22.02</v>
      </c>
      <c r="C101">
        <v>22.38</v>
      </c>
      <c r="D101">
        <v>21.57</v>
      </c>
      <c r="E101">
        <v>22.35</v>
      </c>
      <c r="F101">
        <v>89558.98</v>
      </c>
      <c r="G101">
        <v>22.35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0.92592592592593181</v>
      </c>
      <c r="Q101">
        <f t="shared" ref="Q101" si="481">F101*P101</f>
        <v>82924.981481481998</v>
      </c>
      <c r="R101">
        <f t="shared" ref="R101" si="482">R102+Q101</f>
        <v>4625219.3939753184</v>
      </c>
      <c r="S101">
        <f t="shared" ref="S101" si="483">R101/100000</f>
        <v>46.252193939753184</v>
      </c>
      <c r="T101">
        <f t="shared" ref="T101" si="484">S101/1000</f>
        <v>4.6252193939753182E-2</v>
      </c>
    </row>
    <row r="102" spans="1:20" x14ac:dyDescent="0.25">
      <c r="A102" s="5">
        <v>44491</v>
      </c>
      <c r="B102">
        <v>22.2</v>
      </c>
      <c r="C102">
        <v>22.88</v>
      </c>
      <c r="D102">
        <v>21.71</v>
      </c>
      <c r="E102">
        <v>22.01</v>
      </c>
      <c r="F102">
        <v>122937.75</v>
      </c>
      <c r="G102">
        <v>22.01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-0.48717948717948517</v>
      </c>
      <c r="Q102">
        <f t="shared" ref="Q102" si="486">F102*P102</f>
        <v>-59892.749999999753</v>
      </c>
      <c r="R102">
        <f t="shared" ref="R102" si="487">R103+Q102</f>
        <v>4542294.4124938361</v>
      </c>
      <c r="S102">
        <f t="shared" ref="S102" si="488">R102/100000</f>
        <v>45.422944124938361</v>
      </c>
      <c r="T102">
        <f t="shared" ref="T102" si="489">S102/1000</f>
        <v>4.5422944124938358E-2</v>
      </c>
    </row>
    <row r="103" spans="1:20" x14ac:dyDescent="0.25">
      <c r="A103" s="5">
        <v>44490</v>
      </c>
      <c r="B103">
        <v>23</v>
      </c>
      <c r="C103">
        <v>23.73</v>
      </c>
      <c r="D103">
        <v>22.16</v>
      </c>
      <c r="E103">
        <v>22.2</v>
      </c>
      <c r="F103">
        <v>221021.01</v>
      </c>
      <c r="G103">
        <v>22.2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-0.94904458598726227</v>
      </c>
      <c r="Q103">
        <f t="shared" ref="Q103" si="491">F103*P103</f>
        <v>-209758.79292993655</v>
      </c>
      <c r="R103">
        <f t="shared" ref="R103" si="492">R104+Q103</f>
        <v>4602187.1624938361</v>
      </c>
      <c r="S103">
        <f t="shared" ref="S103" si="493">R103/100000</f>
        <v>46.021871624938363</v>
      </c>
      <c r="T103">
        <f t="shared" ref="T103" si="494">S103/1000</f>
        <v>4.6021871624938364E-2</v>
      </c>
    </row>
    <row r="104" spans="1:20" x14ac:dyDescent="0.25">
      <c r="A104" s="5">
        <v>44489</v>
      </c>
      <c r="B104">
        <v>21.87</v>
      </c>
      <c r="C104">
        <v>23.03</v>
      </c>
      <c r="D104">
        <v>21.6</v>
      </c>
      <c r="E104">
        <v>22.99</v>
      </c>
      <c r="F104">
        <v>131808.37</v>
      </c>
      <c r="G104">
        <v>22.99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0.94405594405594029</v>
      </c>
      <c r="Q104">
        <f t="shared" ref="Q104" si="496">F104*P104</f>
        <v>124434.47517482468</v>
      </c>
      <c r="R104">
        <f t="shared" ref="R104" si="497">R105+Q104</f>
        <v>4811945.9554237723</v>
      </c>
      <c r="S104">
        <f t="shared" ref="S104" si="498">R104/100000</f>
        <v>48.119459554237721</v>
      </c>
      <c r="T104">
        <f t="shared" ref="T104" si="499">S104/1000</f>
        <v>4.8119459554237722E-2</v>
      </c>
    </row>
    <row r="105" spans="1:20" x14ac:dyDescent="0.25">
      <c r="A105" s="5">
        <v>44488</v>
      </c>
      <c r="B105">
        <v>21.67</v>
      </c>
      <c r="C105">
        <v>22.15</v>
      </c>
      <c r="D105">
        <v>21.25</v>
      </c>
      <c r="E105">
        <v>21.88</v>
      </c>
      <c r="F105">
        <v>160502.64000000001</v>
      </c>
      <c r="G105">
        <v>21.88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0.4</v>
      </c>
      <c r="Q105">
        <f t="shared" ref="Q105" si="501">F105*P105</f>
        <v>64201.056000000011</v>
      </c>
      <c r="R105">
        <f t="shared" ref="R105" si="502">R106+Q105</f>
        <v>4687511.4802489476</v>
      </c>
      <c r="S105">
        <f t="shared" ref="S105" si="503">R105/100000</f>
        <v>46.875114802489477</v>
      </c>
      <c r="T105">
        <f t="shared" ref="T105" si="504">S105/1000</f>
        <v>4.687511480248948E-2</v>
      </c>
    </row>
    <row r="106" spans="1:20" x14ac:dyDescent="0.25">
      <c r="A106" s="5">
        <v>44487</v>
      </c>
      <c r="B106">
        <v>22.58</v>
      </c>
      <c r="C106">
        <v>23</v>
      </c>
      <c r="D106">
        <v>21.33</v>
      </c>
      <c r="E106">
        <v>21.65</v>
      </c>
      <c r="F106">
        <v>186262.48</v>
      </c>
      <c r="G106">
        <v>21.65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-0.61676646706586835</v>
      </c>
      <c r="Q106">
        <f t="shared" ref="Q106" si="506">F106*P106</f>
        <v>-114880.45173652697</v>
      </c>
      <c r="R106">
        <f t="shared" ref="R106" si="507">R107+Q106</f>
        <v>4623310.4242489478</v>
      </c>
      <c r="S106">
        <f t="shared" ref="S106" si="508">R106/100000</f>
        <v>46.233104242489475</v>
      </c>
      <c r="T106">
        <f t="shared" ref="T106" si="509">S106/1000</f>
        <v>4.6233104242489477E-2</v>
      </c>
    </row>
    <row r="107" spans="1:20" x14ac:dyDescent="0.25">
      <c r="A107" s="5">
        <v>44486</v>
      </c>
      <c r="B107">
        <v>22.77</v>
      </c>
      <c r="C107">
        <v>23.47</v>
      </c>
      <c r="D107">
        <v>21.77</v>
      </c>
      <c r="E107">
        <v>22.56</v>
      </c>
      <c r="F107">
        <v>190911.14</v>
      </c>
      <c r="G107">
        <v>22.56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-7.0588235294118257E-2</v>
      </c>
      <c r="Q107">
        <f t="shared" ref="Q107" si="511">F107*P107</f>
        <v>-13476.080470588353</v>
      </c>
      <c r="R107">
        <f t="shared" ref="R107" si="512">R108+Q107</f>
        <v>4738190.8759854743</v>
      </c>
      <c r="S107">
        <f t="shared" ref="S107" si="513">R107/100000</f>
        <v>47.381908759854745</v>
      </c>
      <c r="T107">
        <f t="shared" ref="T107" si="514">S107/1000</f>
        <v>4.7381908759854749E-2</v>
      </c>
    </row>
    <row r="108" spans="1:20" x14ac:dyDescent="0.25">
      <c r="A108" s="5">
        <v>44485</v>
      </c>
      <c r="B108">
        <v>22.77</v>
      </c>
      <c r="C108">
        <v>24.75</v>
      </c>
      <c r="D108">
        <v>22.73</v>
      </c>
      <c r="E108">
        <v>22.75</v>
      </c>
      <c r="F108">
        <v>227464.32000000001</v>
      </c>
      <c r="G108">
        <v>22.75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-0.98019801980198062</v>
      </c>
      <c r="Q108">
        <f t="shared" ref="Q108" si="516">F108*P108</f>
        <v>-222960.07603960406</v>
      </c>
      <c r="R108">
        <f t="shared" ref="R108" si="517">R109+Q108</f>
        <v>4751666.9564560624</v>
      </c>
      <c r="S108">
        <f t="shared" ref="S108" si="518">R108/100000</f>
        <v>47.516669564560623</v>
      </c>
      <c r="T108">
        <f t="shared" ref="T108" si="519">S108/1000</f>
        <v>4.7516669564560625E-2</v>
      </c>
    </row>
    <row r="109" spans="1:20" x14ac:dyDescent="0.25">
      <c r="A109" s="5">
        <v>44484</v>
      </c>
      <c r="B109">
        <v>22.38</v>
      </c>
      <c r="C109">
        <v>23.6</v>
      </c>
      <c r="D109">
        <v>21.63</v>
      </c>
      <c r="E109">
        <v>22.77</v>
      </c>
      <c r="F109">
        <v>382459.11</v>
      </c>
      <c r="G109">
        <v>22.77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0.15736040609136973</v>
      </c>
      <c r="Q109">
        <f t="shared" ref="Q109" si="521">F109*P109</f>
        <v>60183.920862943844</v>
      </c>
      <c r="R109">
        <f t="shared" ref="R109" si="522">R110+Q109</f>
        <v>4974627.0324956663</v>
      </c>
      <c r="S109">
        <f t="shared" ref="S109" si="523">R109/100000</f>
        <v>49.746270324956662</v>
      </c>
      <c r="T109">
        <f t="shared" ref="T109" si="524">S109/1000</f>
        <v>4.9746270324956661E-2</v>
      </c>
    </row>
    <row r="110" spans="1:20" x14ac:dyDescent="0.25">
      <c r="A110" s="5">
        <v>44483</v>
      </c>
      <c r="B110">
        <v>21.38</v>
      </c>
      <c r="C110">
        <v>23</v>
      </c>
      <c r="D110">
        <v>21.06</v>
      </c>
      <c r="E110">
        <v>22.36</v>
      </c>
      <c r="F110">
        <v>309837.75</v>
      </c>
      <c r="G110">
        <v>22.36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0.34020618556701016</v>
      </c>
      <c r="Q110">
        <f t="shared" ref="Q110" si="526">F110*P110</f>
        <v>105408.71907216489</v>
      </c>
      <c r="R110">
        <f t="shared" ref="R110" si="527">R111+Q110</f>
        <v>4914443.1116327224</v>
      </c>
      <c r="S110">
        <f t="shared" ref="S110" si="528">R110/100000</f>
        <v>49.144431116327226</v>
      </c>
      <c r="T110">
        <f t="shared" ref="T110" si="529">S110/1000</f>
        <v>4.9144431116327228E-2</v>
      </c>
    </row>
    <row r="111" spans="1:20" x14ac:dyDescent="0.25">
      <c r="A111" s="5">
        <v>44482</v>
      </c>
      <c r="B111">
        <v>20.440000000000001</v>
      </c>
      <c r="C111">
        <v>21.42</v>
      </c>
      <c r="D111">
        <v>20.16</v>
      </c>
      <c r="E111">
        <v>21.37</v>
      </c>
      <c r="F111">
        <v>161142.73000000001</v>
      </c>
      <c r="G111">
        <v>21.37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0.92063492063491958</v>
      </c>
      <c r="Q111">
        <f t="shared" ref="Q111" si="531">F111*P111</f>
        <v>148353.62444444429</v>
      </c>
      <c r="R111">
        <f t="shared" ref="R111" si="532">R112+Q111</f>
        <v>4809034.3925605575</v>
      </c>
      <c r="S111">
        <f t="shared" ref="S111" si="533">R111/100000</f>
        <v>48.090343925605573</v>
      </c>
      <c r="T111">
        <f t="shared" ref="T111" si="534">S111/1000</f>
        <v>4.8090343925605572E-2</v>
      </c>
    </row>
    <row r="112" spans="1:20" x14ac:dyDescent="0.25">
      <c r="A112" s="5">
        <v>44481</v>
      </c>
      <c r="B112">
        <v>20.7</v>
      </c>
      <c r="C112">
        <v>20.7</v>
      </c>
      <c r="D112">
        <v>19.440000000000001</v>
      </c>
      <c r="E112">
        <v>20.41</v>
      </c>
      <c r="F112">
        <v>255665.48</v>
      </c>
      <c r="G112">
        <v>20.41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0.53968253968254032</v>
      </c>
      <c r="Q112">
        <f t="shared" ref="Q112" si="536">F112*P112</f>
        <v>137978.19555555572</v>
      </c>
      <c r="R112">
        <f t="shared" ref="R112" si="537">R113+Q112</f>
        <v>4660680.7681161128</v>
      </c>
      <c r="S112">
        <f t="shared" ref="S112" si="538">R112/100000</f>
        <v>46.606807681161129</v>
      </c>
      <c r="T112">
        <f t="shared" ref="T112" si="539">S112/1000</f>
        <v>4.6606807681161128E-2</v>
      </c>
    </row>
    <row r="113" spans="1:20" x14ac:dyDescent="0.25">
      <c r="A113" s="5">
        <v>44480</v>
      </c>
      <c r="B113">
        <v>20.67</v>
      </c>
      <c r="C113">
        <v>21.65</v>
      </c>
      <c r="D113">
        <v>20.149999999999999</v>
      </c>
      <c r="E113">
        <v>20.71</v>
      </c>
      <c r="F113">
        <v>110603.24</v>
      </c>
      <c r="G113">
        <v>20.71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-0.2533333333333303</v>
      </c>
      <c r="Q113">
        <f t="shared" ref="Q113" si="541">F113*P113</f>
        <v>-28019.487466666331</v>
      </c>
      <c r="R113">
        <f t="shared" ref="R113" si="542">R114+Q113</f>
        <v>4522702.5725605572</v>
      </c>
      <c r="S113">
        <f t="shared" ref="S113" si="543">R113/100000</f>
        <v>45.227025725605571</v>
      </c>
      <c r="T113">
        <f t="shared" ref="T113" si="544">S113/1000</f>
        <v>4.5227025725605573E-2</v>
      </c>
    </row>
    <row r="114" spans="1:20" x14ac:dyDescent="0.25">
      <c r="A114" s="5">
        <v>44479</v>
      </c>
      <c r="B114">
        <v>21.95</v>
      </c>
      <c r="C114">
        <v>21.96</v>
      </c>
      <c r="D114">
        <v>20.5</v>
      </c>
      <c r="E114">
        <v>20.68</v>
      </c>
      <c r="F114">
        <v>124633.67</v>
      </c>
      <c r="G114">
        <v>20.68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-0.75342465753424714</v>
      </c>
      <c r="Q114">
        <f t="shared" ref="Q114" si="546">F114*P114</f>
        <v>-93902.080136986377</v>
      </c>
      <c r="R114">
        <f t="shared" ref="R114" si="547">R115+Q114</f>
        <v>4550722.0600272231</v>
      </c>
      <c r="S114">
        <f t="shared" ref="S114" si="548">R114/100000</f>
        <v>45.507220600272234</v>
      </c>
      <c r="T114">
        <f t="shared" ref="T114" si="549">S114/1000</f>
        <v>4.5507220600272236E-2</v>
      </c>
    </row>
    <row r="115" spans="1:20" x14ac:dyDescent="0.25">
      <c r="A115" s="5">
        <v>44478</v>
      </c>
      <c r="B115">
        <v>21.97</v>
      </c>
      <c r="C115">
        <v>22.44</v>
      </c>
      <c r="D115">
        <v>21.53</v>
      </c>
      <c r="E115">
        <v>21.97</v>
      </c>
      <c r="F115">
        <v>179793.58</v>
      </c>
      <c r="G115">
        <v>21.97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-3.2967032967038117E-2</v>
      </c>
      <c r="Q115">
        <f t="shared" ref="Q115" si="551">F115*P115</f>
        <v>-5927.2608791218045</v>
      </c>
      <c r="R115">
        <f t="shared" ref="R115" si="552">R116+Q115</f>
        <v>4644624.1401642095</v>
      </c>
      <c r="S115">
        <f t="shared" ref="S115" si="553">R115/100000</f>
        <v>46.446241401642098</v>
      </c>
      <c r="T115">
        <f t="shared" ref="T115" si="554">S115/1000</f>
        <v>4.6446241401642101E-2</v>
      </c>
    </row>
    <row r="116" spans="1:20" x14ac:dyDescent="0.25">
      <c r="A116" s="5">
        <v>44477</v>
      </c>
      <c r="B116">
        <v>21.99</v>
      </c>
      <c r="C116">
        <v>22.7</v>
      </c>
      <c r="D116">
        <v>21.75</v>
      </c>
      <c r="E116">
        <v>21.95</v>
      </c>
      <c r="F116">
        <v>198820.23</v>
      </c>
      <c r="G116">
        <v>21.95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-0.57894736842105377</v>
      </c>
      <c r="Q116">
        <f t="shared" ref="Q116" si="556">F116*P116</f>
        <v>-115106.44894736866</v>
      </c>
      <c r="R116">
        <f t="shared" ref="R116" si="557">R117+Q116</f>
        <v>4650551.4010433313</v>
      </c>
      <c r="S116">
        <f t="shared" ref="S116" si="558">R116/100000</f>
        <v>46.505514010433309</v>
      </c>
      <c r="T116">
        <f t="shared" ref="T116" si="559">S116/1000</f>
        <v>4.6505514010433312E-2</v>
      </c>
    </row>
    <row r="117" spans="1:20" x14ac:dyDescent="0.25">
      <c r="A117" s="5">
        <v>44476</v>
      </c>
      <c r="B117">
        <v>21.99</v>
      </c>
      <c r="C117">
        <v>23.01</v>
      </c>
      <c r="D117">
        <v>21.32</v>
      </c>
      <c r="E117">
        <v>21.98</v>
      </c>
      <c r="F117">
        <v>277328.18</v>
      </c>
      <c r="G117">
        <v>21.98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-0.21893491124260397</v>
      </c>
      <c r="Q117">
        <f t="shared" ref="Q117" si="561">F117*P117</f>
        <v>-60716.8204733729</v>
      </c>
      <c r="R117">
        <f t="shared" ref="R117" si="562">R118+Q117</f>
        <v>4765657.8499906994</v>
      </c>
      <c r="S117">
        <f t="shared" ref="S117" si="563">R117/100000</f>
        <v>47.656578499906992</v>
      </c>
      <c r="T117">
        <f t="shared" ref="T117" si="564">S117/1000</f>
        <v>4.7656578499906989E-2</v>
      </c>
    </row>
    <row r="118" spans="1:20" x14ac:dyDescent="0.25">
      <c r="A118" s="5">
        <v>44475</v>
      </c>
      <c r="B118">
        <v>22.14</v>
      </c>
      <c r="C118">
        <v>22.37</v>
      </c>
      <c r="D118">
        <v>20.59</v>
      </c>
      <c r="E118">
        <v>22.01</v>
      </c>
      <c r="F118">
        <v>236292.3</v>
      </c>
      <c r="G118">
        <v>22.01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0.59550561797752899</v>
      </c>
      <c r="Q118">
        <f t="shared" ref="Q118" si="566">F118*P118</f>
        <v>140713.39213483167</v>
      </c>
      <c r="R118">
        <f t="shared" ref="R118" si="567">R119+Q118</f>
        <v>4826374.6704640724</v>
      </c>
      <c r="S118">
        <f t="shared" ref="S118" si="568">R118/100000</f>
        <v>48.263746704640724</v>
      </c>
      <c r="T118">
        <f t="shared" ref="T118" si="569">S118/1000</f>
        <v>4.8263746704640724E-2</v>
      </c>
    </row>
    <row r="119" spans="1:20" x14ac:dyDescent="0.25">
      <c r="A119" s="5">
        <v>44474</v>
      </c>
      <c r="B119">
        <v>21.85</v>
      </c>
      <c r="C119">
        <v>22.35</v>
      </c>
      <c r="D119">
        <v>21.22</v>
      </c>
      <c r="E119">
        <v>22.14</v>
      </c>
      <c r="F119">
        <v>257539.24</v>
      </c>
      <c r="G119">
        <v>22.14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0.62831858407079577</v>
      </c>
      <c r="Q119">
        <f t="shared" ref="Q119" si="571">F119*P119</f>
        <v>161816.69061946883</v>
      </c>
      <c r="R119">
        <f t="shared" ref="R119" si="572">R120+Q119</f>
        <v>4685661.2783292411</v>
      </c>
      <c r="S119">
        <f t="shared" ref="S119" si="573">R119/100000</f>
        <v>46.856612783292412</v>
      </c>
      <c r="T119">
        <f t="shared" ref="T119" si="574">S119/1000</f>
        <v>4.6856612783292409E-2</v>
      </c>
    </row>
    <row r="120" spans="1:20" x14ac:dyDescent="0.25">
      <c r="A120" s="5">
        <v>44473</v>
      </c>
      <c r="B120">
        <v>22.75</v>
      </c>
      <c r="C120">
        <v>22.8</v>
      </c>
      <c r="D120">
        <v>21.03</v>
      </c>
      <c r="E120">
        <v>21.88</v>
      </c>
      <c r="F120">
        <v>137107.07999999999</v>
      </c>
      <c r="G120">
        <v>21.88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-3.9548022598872232E-2</v>
      </c>
      <c r="Q120">
        <f t="shared" ref="Q120" si="576">F120*P120</f>
        <v>-5422.3138983053823</v>
      </c>
      <c r="R120">
        <f t="shared" ref="R120" si="577">R121+Q120</f>
        <v>4523844.5877097724</v>
      </c>
      <c r="S120">
        <f t="shared" ref="S120" si="578">R120/100000</f>
        <v>45.238445877097725</v>
      </c>
      <c r="T120">
        <f t="shared" ref="T120" si="579">S120/1000</f>
        <v>4.5238445877097723E-2</v>
      </c>
    </row>
    <row r="121" spans="1:20" x14ac:dyDescent="0.25">
      <c r="A121" s="5">
        <v>44472</v>
      </c>
      <c r="B121">
        <v>22.38</v>
      </c>
      <c r="C121">
        <v>23.28</v>
      </c>
      <c r="D121">
        <v>21.79</v>
      </c>
      <c r="E121">
        <v>22.7</v>
      </c>
      <c r="F121">
        <v>158912.04</v>
      </c>
      <c r="G121">
        <v>22.7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0.22147651006711266</v>
      </c>
      <c r="Q121">
        <f t="shared" ref="Q121" si="581">F121*P121</f>
        <v>35195.284026845409</v>
      </c>
      <c r="R121">
        <f t="shared" ref="R121" si="582">R122+Q121</f>
        <v>4529266.9016080778</v>
      </c>
      <c r="S121">
        <f t="shared" ref="S121" si="583">R121/100000</f>
        <v>45.292669016080779</v>
      </c>
      <c r="T121">
        <f t="shared" ref="T121" si="584">S121/1000</f>
        <v>4.5292669016080776E-2</v>
      </c>
    </row>
    <row r="122" spans="1:20" x14ac:dyDescent="0.25">
      <c r="A122" s="5">
        <v>44471</v>
      </c>
      <c r="B122">
        <v>21.71</v>
      </c>
      <c r="C122">
        <v>23.19</v>
      </c>
      <c r="D122">
        <v>21.36</v>
      </c>
      <c r="E122">
        <v>22.38</v>
      </c>
      <c r="F122">
        <v>256213.35</v>
      </c>
      <c r="G122">
        <v>22.38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0.11475409836065414</v>
      </c>
      <c r="Q122">
        <f t="shared" ref="Q122" si="586">F122*P122</f>
        <v>29401.531967212708</v>
      </c>
      <c r="R122">
        <f t="shared" ref="R122" si="587">R123+Q122</f>
        <v>4494071.6175812325</v>
      </c>
      <c r="S122">
        <f t="shared" ref="S122" si="588">R122/100000</f>
        <v>44.940716175812327</v>
      </c>
      <c r="T122">
        <f t="shared" ref="T122" si="589">S122/1000</f>
        <v>4.4940716175812329E-2</v>
      </c>
    </row>
    <row r="123" spans="1:20" x14ac:dyDescent="0.25">
      <c r="A123" s="5">
        <v>44470</v>
      </c>
      <c r="B123">
        <v>19.809999999999999</v>
      </c>
      <c r="C123">
        <v>21.73</v>
      </c>
      <c r="D123">
        <v>19.55</v>
      </c>
      <c r="E123">
        <v>21.68</v>
      </c>
      <c r="F123">
        <v>166756.79999999999</v>
      </c>
      <c r="G123">
        <v>21.68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0.95412844036697186</v>
      </c>
      <c r="Q123">
        <f t="shared" ref="Q123" si="591">F123*P123</f>
        <v>159107.40550458705</v>
      </c>
      <c r="R123">
        <f t="shared" ref="R123" si="592">R124+Q123</f>
        <v>4464670.08561402</v>
      </c>
      <c r="S123">
        <f t="shared" ref="S123" si="593">R123/100000</f>
        <v>44.6467008561402</v>
      </c>
      <c r="T123">
        <f t="shared" ref="T123" si="594">S123/1000</f>
        <v>4.4646700856140198E-2</v>
      </c>
    </row>
    <row r="124" spans="1:20" x14ac:dyDescent="0.25">
      <c r="A124" s="5">
        <v>44469</v>
      </c>
      <c r="B124">
        <v>19.010000000000002</v>
      </c>
      <c r="C124">
        <v>19.93</v>
      </c>
      <c r="D124">
        <v>18.920000000000002</v>
      </c>
      <c r="E124">
        <v>19.8</v>
      </c>
      <c r="F124">
        <v>81029.649999999994</v>
      </c>
      <c r="G124">
        <v>19.8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0.74257425742574401</v>
      </c>
      <c r="Q124">
        <f t="shared" ref="Q124" si="596">F124*P124</f>
        <v>60170.532178217931</v>
      </c>
      <c r="R124">
        <f t="shared" ref="R124" si="597">R125+Q124</f>
        <v>4305562.6801094329</v>
      </c>
      <c r="S124">
        <f t="shared" ref="S124" si="598">R124/100000</f>
        <v>43.055626801094327</v>
      </c>
      <c r="T124">
        <f t="shared" ref="T124" si="599">S124/1000</f>
        <v>4.3055626801094329E-2</v>
      </c>
    </row>
    <row r="125" spans="1:20" x14ac:dyDescent="0.25">
      <c r="A125" s="5">
        <v>44468</v>
      </c>
      <c r="B125">
        <v>18.86</v>
      </c>
      <c r="C125">
        <v>19.8</v>
      </c>
      <c r="D125">
        <v>18.45</v>
      </c>
      <c r="E125">
        <v>19.010000000000002</v>
      </c>
      <c r="F125">
        <v>121185.28</v>
      </c>
      <c r="G125">
        <v>19.010000000000002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-0.17037037037036787</v>
      </c>
      <c r="Q125">
        <f t="shared" ref="Q125" si="601">F125*P125</f>
        <v>-20646.381037036732</v>
      </c>
      <c r="R125">
        <f t="shared" ref="R125" si="602">R126+Q125</f>
        <v>4245392.1479312154</v>
      </c>
      <c r="S125">
        <f t="shared" ref="S125" si="603">R125/100000</f>
        <v>42.45392147931215</v>
      </c>
      <c r="T125">
        <f t="shared" ref="T125" si="604">S125/1000</f>
        <v>4.2453921479312151E-2</v>
      </c>
    </row>
    <row r="126" spans="1:20" x14ac:dyDescent="0.25">
      <c r="A126" s="5">
        <v>44467</v>
      </c>
      <c r="B126">
        <v>19.809999999999999</v>
      </c>
      <c r="C126">
        <v>20.14</v>
      </c>
      <c r="D126">
        <v>18.75</v>
      </c>
      <c r="E126">
        <v>18.829999999999998</v>
      </c>
      <c r="F126">
        <v>177114.12</v>
      </c>
      <c r="G126">
        <v>18.829999999999998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-0.88489208633093774</v>
      </c>
      <c r="Q126">
        <f t="shared" ref="Q126" si="606">F126*P126</f>
        <v>-156726.88316546805</v>
      </c>
      <c r="R126">
        <f t="shared" ref="R126" si="607">R127+Q126</f>
        <v>4266038.5289682522</v>
      </c>
      <c r="S126">
        <f t="shared" ref="S126" si="608">R126/100000</f>
        <v>42.660385289682523</v>
      </c>
      <c r="T126">
        <f t="shared" ref="T126" si="609">S126/1000</f>
        <v>4.2660385289682523E-2</v>
      </c>
    </row>
    <row r="127" spans="1:20" x14ac:dyDescent="0.25">
      <c r="A127" s="5">
        <v>44466</v>
      </c>
      <c r="B127">
        <v>20.76</v>
      </c>
      <c r="C127">
        <v>21.77</v>
      </c>
      <c r="D127">
        <v>19.809999999999999</v>
      </c>
      <c r="E127">
        <v>19.829999999999998</v>
      </c>
      <c r="F127">
        <v>220835.31</v>
      </c>
      <c r="G127">
        <v>19.829999999999998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-0.9795918367346943</v>
      </c>
      <c r="Q127">
        <f t="shared" ref="Q127" si="611">F127*P127</f>
        <v>-216328.46693877561</v>
      </c>
      <c r="R127">
        <f t="shared" ref="R127" si="612">R128+Q127</f>
        <v>4422765.4121337207</v>
      </c>
      <c r="S127">
        <f t="shared" ref="S127" si="613">R127/100000</f>
        <v>44.22765412133721</v>
      </c>
      <c r="T127">
        <f t="shared" ref="T127" si="614">S127/1000</f>
        <v>4.4227654121337209E-2</v>
      </c>
    </row>
    <row r="128" spans="1:20" x14ac:dyDescent="0.25">
      <c r="A128" s="5">
        <v>44465</v>
      </c>
      <c r="B128">
        <v>20.350000000000001</v>
      </c>
      <c r="C128">
        <v>22</v>
      </c>
      <c r="D128">
        <v>18.52</v>
      </c>
      <c r="E128">
        <v>20.8</v>
      </c>
      <c r="F128">
        <v>331116.13</v>
      </c>
      <c r="G128">
        <v>20.8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0.31034482758620741</v>
      </c>
      <c r="Q128">
        <f t="shared" ref="Q128" si="616">F128*P128</f>
        <v>102760.17827586224</v>
      </c>
      <c r="R128">
        <f t="shared" ref="R128" si="617">R129+Q128</f>
        <v>4639093.8790724967</v>
      </c>
      <c r="S128">
        <f t="shared" ref="S128" si="618">R128/100000</f>
        <v>46.390938790724967</v>
      </c>
      <c r="T128">
        <f t="shared" ref="T128" si="619">S128/1000</f>
        <v>4.6390938790724964E-2</v>
      </c>
    </row>
    <row r="129" spans="1:20" x14ac:dyDescent="0.25">
      <c r="A129" s="5">
        <v>44464</v>
      </c>
      <c r="B129">
        <v>20.21</v>
      </c>
      <c r="C129">
        <v>20.85</v>
      </c>
      <c r="D129">
        <v>19.350000000000001</v>
      </c>
      <c r="E129">
        <v>20.350000000000001</v>
      </c>
      <c r="F129">
        <v>152493.43</v>
      </c>
      <c r="G129">
        <v>20.350000000000001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0.33333333333333331</v>
      </c>
      <c r="Q129">
        <f t="shared" ref="Q129" si="621">F129*P129</f>
        <v>50831.143333333326</v>
      </c>
      <c r="R129">
        <f t="shared" ref="R129" si="622">R130+Q129</f>
        <v>4536333.7007966349</v>
      </c>
      <c r="S129">
        <f t="shared" ref="S129" si="623">R129/100000</f>
        <v>45.363337007966351</v>
      </c>
      <c r="T129">
        <f t="shared" ref="T129" si="624">S129/1000</f>
        <v>4.5363337007966353E-2</v>
      </c>
    </row>
    <row r="130" spans="1:20" x14ac:dyDescent="0.25">
      <c r="A130" s="5">
        <v>44463</v>
      </c>
      <c r="B130">
        <v>21.93</v>
      </c>
      <c r="C130">
        <v>22</v>
      </c>
      <c r="D130">
        <v>18.77</v>
      </c>
      <c r="E130">
        <v>20.2</v>
      </c>
      <c r="F130">
        <v>296451.06</v>
      </c>
      <c r="G130">
        <v>20.2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-0.11455108359133157</v>
      </c>
      <c r="Q130">
        <f t="shared" ref="Q130" si="626">F130*P130</f>
        <v>-33958.790154798851</v>
      </c>
      <c r="R130">
        <f t="shared" ref="R130" si="627">R131+Q130</f>
        <v>4485502.5574633013</v>
      </c>
      <c r="S130">
        <f t="shared" ref="S130" si="628">R130/100000</f>
        <v>44.855025574633011</v>
      </c>
      <c r="T130">
        <f t="shared" ref="T130" si="629">S130/1000</f>
        <v>4.4855025574633008E-2</v>
      </c>
    </row>
    <row r="131" spans="1:20" x14ac:dyDescent="0.25">
      <c r="A131" s="5">
        <v>44462</v>
      </c>
      <c r="B131">
        <v>21.65</v>
      </c>
      <c r="C131">
        <v>22.32</v>
      </c>
      <c r="D131">
        <v>21.23</v>
      </c>
      <c r="E131">
        <v>21.93</v>
      </c>
      <c r="F131">
        <v>146363.03</v>
      </c>
      <c r="G131">
        <v>21.93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0.28440366972476949</v>
      </c>
      <c r="Q131">
        <f t="shared" ref="Q131" si="631">F131*P131</f>
        <v>41626.182844036528</v>
      </c>
      <c r="R131">
        <f t="shared" ref="R131" si="632">R132+Q131</f>
        <v>4519461.3476181002</v>
      </c>
      <c r="S131">
        <f t="shared" ref="S131" si="633">R131/100000</f>
        <v>45.194613476181004</v>
      </c>
      <c r="T131">
        <f t="shared" ref="T131" si="634">S131/1000</f>
        <v>4.5194613476181006E-2</v>
      </c>
    </row>
    <row r="132" spans="1:20" x14ac:dyDescent="0.25">
      <c r="A132" s="5">
        <v>44461</v>
      </c>
      <c r="B132">
        <v>19.71</v>
      </c>
      <c r="C132">
        <v>21.79</v>
      </c>
      <c r="D132">
        <v>19.350000000000001</v>
      </c>
      <c r="E132">
        <v>21.65</v>
      </c>
      <c r="F132">
        <v>253218.63</v>
      </c>
      <c r="G132">
        <v>21.65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0.88524590163934369</v>
      </c>
      <c r="Q132">
        <f t="shared" ref="Q132" si="636">F132*P132</f>
        <v>224160.75442622937</v>
      </c>
      <c r="R132">
        <f t="shared" ref="R132" si="637">R133+Q132</f>
        <v>4477835.164774064</v>
      </c>
      <c r="S132">
        <f t="shared" ref="S132" si="638">R132/100000</f>
        <v>44.778351647740642</v>
      </c>
      <c r="T132">
        <f t="shared" ref="T132" si="639">S132/1000</f>
        <v>4.477835164774064E-2</v>
      </c>
    </row>
    <row r="133" spans="1:20" x14ac:dyDescent="0.25">
      <c r="A133" s="5">
        <v>44460</v>
      </c>
      <c r="B133">
        <v>21.26</v>
      </c>
      <c r="C133">
        <v>22.45</v>
      </c>
      <c r="D133">
        <v>19.100000000000001</v>
      </c>
      <c r="E133">
        <v>19.7</v>
      </c>
      <c r="F133">
        <v>207170.23800000001</v>
      </c>
      <c r="G133">
        <v>19.7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-0.64179104477612048</v>
      </c>
      <c r="Q133">
        <f t="shared" ref="Q133" si="641">F133*P133</f>
        <v>-132960.00349253754</v>
      </c>
      <c r="R133">
        <f t="shared" ref="R133" si="642">R134+Q133</f>
        <v>4253674.4103478342</v>
      </c>
      <c r="S133">
        <f t="shared" ref="S133" si="643">R133/100000</f>
        <v>42.536744103478341</v>
      </c>
      <c r="T133">
        <f t="shared" ref="T133" si="644">S133/1000</f>
        <v>4.2536744103478338E-2</v>
      </c>
    </row>
    <row r="134" spans="1:20" x14ac:dyDescent="0.25">
      <c r="A134" s="5">
        <v>44459</v>
      </c>
      <c r="B134">
        <v>24.79</v>
      </c>
      <c r="C134">
        <v>24.85</v>
      </c>
      <c r="D134">
        <v>22.24</v>
      </c>
      <c r="E134">
        <v>22.5</v>
      </c>
      <c r="F134">
        <v>192810.72</v>
      </c>
      <c r="G134">
        <v>22.5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-0.8007662835249032</v>
      </c>
      <c r="Q134">
        <f t="shared" ref="Q134" si="646">F134*P134</f>
        <v>-154396.32367816073</v>
      </c>
      <c r="R134">
        <f t="shared" ref="R134" si="647">R135+Q134</f>
        <v>4386634.4138403721</v>
      </c>
      <c r="S134">
        <f t="shared" ref="S134" si="648">R134/100000</f>
        <v>43.866344138403718</v>
      </c>
      <c r="T134">
        <f t="shared" ref="T134" si="649">S134/1000</f>
        <v>4.3866344138403721E-2</v>
      </c>
    </row>
    <row r="135" spans="1:20" x14ac:dyDescent="0.25">
      <c r="A135" s="5">
        <v>44458</v>
      </c>
      <c r="B135">
        <v>25.73</v>
      </c>
      <c r="C135">
        <v>25.8</v>
      </c>
      <c r="D135">
        <v>24.37</v>
      </c>
      <c r="E135">
        <v>24.75</v>
      </c>
      <c r="F135">
        <v>111042.48</v>
      </c>
      <c r="G135">
        <v>24.75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-0.46853146853146982</v>
      </c>
      <c r="Q135">
        <f t="shared" ref="Q135" si="651">F135*P135</f>
        <v>-52026.896223776363</v>
      </c>
      <c r="R135">
        <f t="shared" ref="R135" si="652">R136+Q135</f>
        <v>4541030.7375185331</v>
      </c>
      <c r="S135">
        <f t="shared" ref="S135" si="653">R135/100000</f>
        <v>45.410307375185333</v>
      </c>
      <c r="T135">
        <f t="shared" ref="T135" si="654">S135/1000</f>
        <v>4.5410307375185331E-2</v>
      </c>
    </row>
    <row r="136" spans="1:20" x14ac:dyDescent="0.25">
      <c r="A136" s="5">
        <v>44457</v>
      </c>
      <c r="B136">
        <v>25.86</v>
      </c>
      <c r="C136">
        <v>26.65</v>
      </c>
      <c r="D136">
        <v>25.18</v>
      </c>
      <c r="E136">
        <v>25.75</v>
      </c>
      <c r="F136">
        <v>151860.19</v>
      </c>
      <c r="G136">
        <v>25.75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-0.22448979591836635</v>
      </c>
      <c r="Q136">
        <f t="shared" ref="Q136" si="656">F136*P136</f>
        <v>-34091.06306122434</v>
      </c>
      <c r="R136">
        <f t="shared" ref="R136" si="657">R137+Q136</f>
        <v>4593057.6337423092</v>
      </c>
      <c r="S136">
        <f t="shared" ref="S136" si="658">R136/100000</f>
        <v>45.930576337423091</v>
      </c>
      <c r="T136">
        <f t="shared" ref="T136" si="659">S136/1000</f>
        <v>4.593057633742309E-2</v>
      </c>
    </row>
    <row r="137" spans="1:20" x14ac:dyDescent="0.25">
      <c r="A137" s="5">
        <v>44456</v>
      </c>
      <c r="B137">
        <v>27.96</v>
      </c>
      <c r="C137">
        <v>28.17</v>
      </c>
      <c r="D137">
        <v>25.31</v>
      </c>
      <c r="E137">
        <v>25.83</v>
      </c>
      <c r="F137">
        <v>302512.53999999998</v>
      </c>
      <c r="G137">
        <v>25.83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-0.63636363636363702</v>
      </c>
      <c r="Q137">
        <f t="shared" ref="Q137" si="661">F137*P137</f>
        <v>-192507.98000000019</v>
      </c>
      <c r="R137">
        <f t="shared" ref="R137" si="662">R138+Q137</f>
        <v>4627148.6968035335</v>
      </c>
      <c r="S137">
        <f t="shared" ref="S137" si="663">R137/100000</f>
        <v>46.271486968035333</v>
      </c>
      <c r="T137">
        <f t="shared" ref="T137" si="664">S137/1000</f>
        <v>4.6271486968035333E-2</v>
      </c>
    </row>
    <row r="138" spans="1:20" x14ac:dyDescent="0.25">
      <c r="A138" s="5">
        <v>44455</v>
      </c>
      <c r="B138">
        <v>28.26</v>
      </c>
      <c r="C138">
        <v>29.76</v>
      </c>
      <c r="D138">
        <v>27.12</v>
      </c>
      <c r="E138">
        <v>27.97</v>
      </c>
      <c r="F138">
        <v>478503.74</v>
      </c>
      <c r="G138">
        <v>27.97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-0.3560606060606078</v>
      </c>
      <c r="Q138">
        <f t="shared" ref="Q138" si="666">F138*P138</f>
        <v>-170376.33166666751</v>
      </c>
      <c r="R138">
        <f t="shared" ref="R138" si="667">R139+Q138</f>
        <v>4819656.6768035339</v>
      </c>
      <c r="S138">
        <f t="shared" ref="S138" si="668">R138/100000</f>
        <v>48.196566768035339</v>
      </c>
      <c r="T138">
        <f t="shared" ref="T138" si="669">S138/1000</f>
        <v>4.819656676803534E-2</v>
      </c>
    </row>
    <row r="139" spans="1:20" x14ac:dyDescent="0.25">
      <c r="A139" s="5">
        <v>44454</v>
      </c>
      <c r="B139">
        <v>26.98</v>
      </c>
      <c r="C139">
        <v>28.48</v>
      </c>
      <c r="D139">
        <v>26.46</v>
      </c>
      <c r="E139">
        <v>28.25</v>
      </c>
      <c r="F139">
        <v>408086.32</v>
      </c>
      <c r="G139">
        <v>28.25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0.77227722772277185</v>
      </c>
      <c r="Q139">
        <f t="shared" ref="Q139" si="671">F139*P139</f>
        <v>315155.77188118797</v>
      </c>
      <c r="R139">
        <f t="shared" ref="R139" si="672">R140+Q139</f>
        <v>4990033.0084702019</v>
      </c>
      <c r="S139">
        <f t="shared" ref="S139" si="673">R139/100000</f>
        <v>49.90033008470202</v>
      </c>
      <c r="T139">
        <f t="shared" ref="T139" si="674">S139/1000</f>
        <v>4.9900330084702023E-2</v>
      </c>
    </row>
    <row r="140" spans="1:20" x14ac:dyDescent="0.25">
      <c r="A140" s="5">
        <v>44453</v>
      </c>
      <c r="B140">
        <v>25.11</v>
      </c>
      <c r="C140">
        <v>27.5</v>
      </c>
      <c r="D140">
        <v>24.95</v>
      </c>
      <c r="E140">
        <v>26.96</v>
      </c>
      <c r="F140">
        <v>304623</v>
      </c>
      <c r="G140">
        <v>26.96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0.57647058823529496</v>
      </c>
      <c r="Q140">
        <f t="shared" ref="Q140" si="676">F140*P140</f>
        <v>175606.20000000024</v>
      </c>
      <c r="R140">
        <f t="shared" ref="R140" si="677">R141+Q140</f>
        <v>4674877.2365890136</v>
      </c>
      <c r="S140">
        <f t="shared" ref="S140" si="678">R140/100000</f>
        <v>46.748772365890133</v>
      </c>
      <c r="T140">
        <f t="shared" ref="T140" si="679">S140/1000</f>
        <v>4.6748772365890132E-2</v>
      </c>
    </row>
    <row r="141" spans="1:20" x14ac:dyDescent="0.25">
      <c r="A141" s="5">
        <v>44452</v>
      </c>
      <c r="B141">
        <v>26.74</v>
      </c>
      <c r="C141">
        <v>27.07</v>
      </c>
      <c r="D141">
        <v>23.63</v>
      </c>
      <c r="E141">
        <v>25.1</v>
      </c>
      <c r="F141">
        <v>257693.05</v>
      </c>
      <c r="G141">
        <v>25.1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-0.14534883720930125</v>
      </c>
      <c r="Q141">
        <f t="shared" ref="Q141" si="681">F141*P141</f>
        <v>-37455.385174418327</v>
      </c>
      <c r="R141">
        <f t="shared" ref="R141" si="682">R142+Q141</f>
        <v>4499271.0365890134</v>
      </c>
      <c r="S141">
        <f t="shared" ref="S141" si="683">R141/100000</f>
        <v>44.992710365890133</v>
      </c>
      <c r="T141">
        <f t="shared" ref="T141" si="684">S141/1000</f>
        <v>4.4992710365890136E-2</v>
      </c>
    </row>
    <row r="142" spans="1:20" x14ac:dyDescent="0.25">
      <c r="A142" s="5">
        <v>44451</v>
      </c>
      <c r="B142">
        <v>24.8</v>
      </c>
      <c r="C142">
        <v>27.97</v>
      </c>
      <c r="D142">
        <v>24.35</v>
      </c>
      <c r="E142">
        <v>26.81</v>
      </c>
      <c r="F142">
        <v>376570.28</v>
      </c>
      <c r="G142">
        <v>26.81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0.35911602209944699</v>
      </c>
      <c r="Q142">
        <f t="shared" ref="Q142" si="686">F142*P142</f>
        <v>135232.42099447496</v>
      </c>
      <c r="R142">
        <f t="shared" ref="R142" si="687">R143+Q142</f>
        <v>4536726.4217634313</v>
      </c>
      <c r="S142">
        <f t="shared" ref="S142" si="688">R142/100000</f>
        <v>45.367264217634315</v>
      </c>
      <c r="T142">
        <f t="shared" ref="T142" si="689">S142/1000</f>
        <v>4.5367264217634318E-2</v>
      </c>
    </row>
    <row r="143" spans="1:20" x14ac:dyDescent="0.25">
      <c r="A143" s="5">
        <v>44450</v>
      </c>
      <c r="B143">
        <v>24.42</v>
      </c>
      <c r="C143">
        <v>25.81</v>
      </c>
      <c r="D143">
        <v>24.19</v>
      </c>
      <c r="E143">
        <v>24.85</v>
      </c>
      <c r="F143">
        <v>121997.47</v>
      </c>
      <c r="G143">
        <v>24.85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-0.18518518518518373</v>
      </c>
      <c r="Q143">
        <f t="shared" ref="Q143" si="691">F143*P143</f>
        <v>-22592.124074073898</v>
      </c>
      <c r="R143">
        <f t="shared" ref="R143" si="692">R144+Q143</f>
        <v>4401494.0007689567</v>
      </c>
      <c r="S143">
        <f t="shared" ref="S143" si="693">R143/100000</f>
        <v>44.014940007689567</v>
      </c>
      <c r="T143">
        <f t="shared" ref="T143" si="694">S143/1000</f>
        <v>4.4014940007689567E-2</v>
      </c>
    </row>
    <row r="144" spans="1:20" x14ac:dyDescent="0.25">
      <c r="A144" s="5">
        <v>44449</v>
      </c>
      <c r="B144">
        <v>26.04</v>
      </c>
      <c r="C144">
        <v>26.97</v>
      </c>
      <c r="D144">
        <v>23.73</v>
      </c>
      <c r="E144">
        <v>24.41</v>
      </c>
      <c r="F144">
        <v>209593.27</v>
      </c>
      <c r="G144">
        <v>24.41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-0.58024691358024694</v>
      </c>
      <c r="Q144">
        <f t="shared" ref="Q144" si="696">F144*P144</f>
        <v>-121615.84802469135</v>
      </c>
      <c r="R144">
        <f t="shared" ref="R144" si="697">R145+Q144</f>
        <v>4424086.1248430302</v>
      </c>
      <c r="S144">
        <f t="shared" ref="S144" si="698">R144/100000</f>
        <v>44.240861248430299</v>
      </c>
      <c r="T144">
        <f t="shared" ref="T144" si="699">S144/1000</f>
        <v>4.4240861248430297E-2</v>
      </c>
    </row>
    <row r="145" spans="1:20" x14ac:dyDescent="0.25">
      <c r="A145" s="5">
        <v>44448</v>
      </c>
      <c r="B145">
        <v>26.42</v>
      </c>
      <c r="C145">
        <v>27.57</v>
      </c>
      <c r="D145">
        <v>25.03</v>
      </c>
      <c r="E145">
        <v>26.04</v>
      </c>
      <c r="F145">
        <v>301636.87</v>
      </c>
      <c r="G145">
        <v>26.04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-0.2047244094488202</v>
      </c>
      <c r="Q145">
        <f t="shared" ref="Q145" si="701">F145*P145</f>
        <v>-61752.430078740552</v>
      </c>
      <c r="R145">
        <f t="shared" ref="R145" si="702">R146+Q145</f>
        <v>4545701.9728677217</v>
      </c>
      <c r="S145">
        <f t="shared" ref="S145" si="703">R145/100000</f>
        <v>45.457019728677217</v>
      </c>
      <c r="T145">
        <f t="shared" ref="T145" si="704">S145/1000</f>
        <v>4.5457019728677217E-2</v>
      </c>
    </row>
    <row r="146" spans="1:20" x14ac:dyDescent="0.25">
      <c r="A146" s="5">
        <v>44447</v>
      </c>
      <c r="B146">
        <v>26.48</v>
      </c>
      <c r="C146">
        <v>27.23</v>
      </c>
      <c r="D146">
        <v>24.07</v>
      </c>
      <c r="E146">
        <v>26.41</v>
      </c>
      <c r="F146">
        <v>354727.88</v>
      </c>
      <c r="G146">
        <v>26.41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0.48101265822784794</v>
      </c>
      <c r="Q146">
        <f t="shared" ref="Q146" si="706">F146*P146</f>
        <v>170628.60050632906</v>
      </c>
      <c r="R146">
        <f t="shared" ref="R146" si="707">R147+Q146</f>
        <v>4607454.4029464619</v>
      </c>
      <c r="S146">
        <f t="shared" ref="S146" si="708">R146/100000</f>
        <v>46.074544029464619</v>
      </c>
      <c r="T146">
        <f t="shared" ref="T146" si="709">S146/1000</f>
        <v>4.607454402946462E-2</v>
      </c>
    </row>
    <row r="147" spans="1:20" x14ac:dyDescent="0.25">
      <c r="A147" s="5">
        <v>44446</v>
      </c>
      <c r="B147">
        <v>32.67</v>
      </c>
      <c r="C147">
        <v>33.200000000000003</v>
      </c>
      <c r="D147">
        <v>22.16</v>
      </c>
      <c r="E147">
        <v>26.44</v>
      </c>
      <c r="F147">
        <v>788269.78</v>
      </c>
      <c r="G147">
        <v>26.44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-0.22463768115942026</v>
      </c>
      <c r="Q147">
        <f t="shared" ref="Q147" si="711">F147*P147</f>
        <v>-177075.09550724635</v>
      </c>
      <c r="R147">
        <f t="shared" ref="R147" si="712">R148+Q147</f>
        <v>4436825.8024401329</v>
      </c>
      <c r="S147">
        <f t="shared" ref="S147" si="713">R147/100000</f>
        <v>44.368258024401328</v>
      </c>
      <c r="T147">
        <f t="shared" ref="T147" si="714">S147/1000</f>
        <v>4.4368258024401329E-2</v>
      </c>
    </row>
    <row r="148" spans="1:20" x14ac:dyDescent="0.25">
      <c r="A148" s="5">
        <v>44445</v>
      </c>
      <c r="B148">
        <v>33.590000000000003</v>
      </c>
      <c r="C148">
        <v>34.409999999999997</v>
      </c>
      <c r="D148">
        <v>31.9</v>
      </c>
      <c r="E148">
        <v>32.67</v>
      </c>
      <c r="F148">
        <v>281129.78999999998</v>
      </c>
      <c r="G148">
        <v>32.67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-0.38645418326692932</v>
      </c>
      <c r="Q148">
        <f t="shared" ref="Q148" si="716">F148*P148</f>
        <v>-108643.78338645335</v>
      </c>
      <c r="R148">
        <f t="shared" ref="R148" si="717">R149+Q148</f>
        <v>4613900.8979473794</v>
      </c>
      <c r="S148">
        <f t="shared" ref="S148" si="718">R148/100000</f>
        <v>46.139008979473793</v>
      </c>
      <c r="T148">
        <f t="shared" ref="T148" si="719">S148/1000</f>
        <v>4.6139008979473796E-2</v>
      </c>
    </row>
    <row r="149" spans="1:20" x14ac:dyDescent="0.25">
      <c r="A149" s="5">
        <v>44444</v>
      </c>
      <c r="B149">
        <v>33.22</v>
      </c>
      <c r="C149">
        <v>33.67</v>
      </c>
      <c r="D149">
        <v>31.72</v>
      </c>
      <c r="E149">
        <v>33.590000000000003</v>
      </c>
      <c r="F149">
        <v>340738.21</v>
      </c>
      <c r="G149">
        <v>33.590000000000003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0.91794871794871979</v>
      </c>
      <c r="Q149">
        <f t="shared" ref="Q149" si="721">F149*P149</f>
        <v>312780.20302564168</v>
      </c>
      <c r="R149">
        <f t="shared" ref="R149" si="722">R150+Q149</f>
        <v>4722544.6813338324</v>
      </c>
      <c r="S149">
        <f t="shared" ref="S149" si="723">R149/100000</f>
        <v>47.225446813338323</v>
      </c>
      <c r="T149">
        <f t="shared" ref="T149" si="724">S149/1000</f>
        <v>4.7225446813338325E-2</v>
      </c>
    </row>
    <row r="150" spans="1:20" x14ac:dyDescent="0.25">
      <c r="A150" s="5">
        <v>44443</v>
      </c>
      <c r="B150">
        <v>33.29</v>
      </c>
      <c r="C150">
        <v>35.72</v>
      </c>
      <c r="D150">
        <v>32.659999999999997</v>
      </c>
      <c r="E150">
        <v>33.21</v>
      </c>
      <c r="F150">
        <v>494447.73499999999</v>
      </c>
      <c r="G150">
        <v>33.21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-0.64052287581699097</v>
      </c>
      <c r="Q150">
        <f t="shared" ref="Q150" si="726">F150*P150</f>
        <v>-316705.08516339742</v>
      </c>
      <c r="R150">
        <f t="shared" ref="R150" si="727">R151+Q150</f>
        <v>4409764.4783081906</v>
      </c>
      <c r="S150">
        <f t="shared" ref="S150" si="728">R150/100000</f>
        <v>44.097644783081904</v>
      </c>
      <c r="T150">
        <f t="shared" ref="T150" si="729">S150/1000</f>
        <v>4.4097644783081903E-2</v>
      </c>
    </row>
    <row r="151" spans="1:20" x14ac:dyDescent="0.25">
      <c r="A151" s="5">
        <v>44442</v>
      </c>
      <c r="B151">
        <v>32.35</v>
      </c>
      <c r="C151">
        <v>34.58</v>
      </c>
      <c r="D151">
        <v>31.39</v>
      </c>
      <c r="E151">
        <v>33.28</v>
      </c>
      <c r="F151">
        <v>522237.29399999999</v>
      </c>
      <c r="G151">
        <v>33.28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0.18495297805642752</v>
      </c>
      <c r="Q151">
        <f t="shared" ref="Q151" si="731">F151*P151</f>
        <v>96589.34277743008</v>
      </c>
      <c r="R151">
        <f t="shared" ref="R151" si="732">R152+Q151</f>
        <v>4726469.5634715883</v>
      </c>
      <c r="S151">
        <f t="shared" ref="S151" si="733">R151/100000</f>
        <v>47.264695634715885</v>
      </c>
      <c r="T151">
        <f t="shared" ref="T151" si="734">S151/1000</f>
        <v>4.7264695634715886E-2</v>
      </c>
    </row>
    <row r="152" spans="1:20" x14ac:dyDescent="0.25">
      <c r="A152" s="5">
        <v>44441</v>
      </c>
      <c r="B152">
        <v>32.22</v>
      </c>
      <c r="C152">
        <v>33.79</v>
      </c>
      <c r="D152">
        <v>30.81</v>
      </c>
      <c r="E152">
        <v>32.340000000000003</v>
      </c>
      <c r="F152">
        <v>778830.52399999998</v>
      </c>
      <c r="G152">
        <v>32.340000000000003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2.6845637583895618E-2</v>
      </c>
      <c r="Q152">
        <f t="shared" ref="Q152" si="736">F152*P152</f>
        <v>20908.201986579519</v>
      </c>
      <c r="R152">
        <f t="shared" ref="R152" si="737">R153+Q152</f>
        <v>4629880.2206941582</v>
      </c>
      <c r="S152">
        <f t="shared" ref="S152" si="738">R152/100000</f>
        <v>46.298802206941581</v>
      </c>
      <c r="T152">
        <f t="shared" ref="T152" si="739">S152/1000</f>
        <v>4.6298802206941582E-2</v>
      </c>
    </row>
    <row r="153" spans="1:20" x14ac:dyDescent="0.25">
      <c r="A153" s="5">
        <v>44440</v>
      </c>
      <c r="B153">
        <v>27.75</v>
      </c>
      <c r="C153">
        <v>32.299999999999997</v>
      </c>
      <c r="D153">
        <v>27.08</v>
      </c>
      <c r="E153">
        <v>32.229999999999997</v>
      </c>
      <c r="F153">
        <v>533363.48400000005</v>
      </c>
      <c r="G153">
        <v>32.229999999999997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0.97318007662835238</v>
      </c>
      <c r="Q153">
        <f t="shared" ref="Q153" si="741">F153*P153</f>
        <v>519058.71622988506</v>
      </c>
      <c r="R153">
        <f t="shared" ref="R153" si="742">R154+Q153</f>
        <v>4608972.018707579</v>
      </c>
      <c r="S153">
        <f t="shared" ref="S153" si="743">R153/100000</f>
        <v>46.089720187075791</v>
      </c>
      <c r="T153">
        <f t="shared" ref="T153" si="744">S153/1000</f>
        <v>4.6089720187075793E-2</v>
      </c>
    </row>
    <row r="154" spans="1:20" x14ac:dyDescent="0.25">
      <c r="A154" s="5">
        <v>44439</v>
      </c>
      <c r="B154">
        <v>26.59</v>
      </c>
      <c r="C154">
        <v>28.58</v>
      </c>
      <c r="D154">
        <v>26.01</v>
      </c>
      <c r="E154">
        <v>27.74</v>
      </c>
      <c r="F154">
        <v>270901.86</v>
      </c>
      <c r="G154">
        <v>27.74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0.34630350194552456</v>
      </c>
      <c r="Q154">
        <f t="shared" ref="Q154" si="746">F154*P154</f>
        <v>93814.262801556222</v>
      </c>
      <c r="R154">
        <f t="shared" ref="R154" si="747">R155+Q154</f>
        <v>4089913.3024776941</v>
      </c>
      <c r="S154">
        <f t="shared" ref="S154" si="748">R154/100000</f>
        <v>40.899133024776944</v>
      </c>
      <c r="T154">
        <f t="shared" ref="T154" si="749">S154/1000</f>
        <v>4.0899133024776942E-2</v>
      </c>
    </row>
    <row r="155" spans="1:20" x14ac:dyDescent="0.25">
      <c r="A155" s="5">
        <v>44438</v>
      </c>
      <c r="B155">
        <v>26.85</v>
      </c>
      <c r="C155">
        <v>28.99</v>
      </c>
      <c r="D155">
        <v>25.91</v>
      </c>
      <c r="E155">
        <v>26.53</v>
      </c>
      <c r="F155">
        <v>268138.93</v>
      </c>
      <c r="G155">
        <v>26.53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-0.59740259740259649</v>
      </c>
      <c r="Q155">
        <f t="shared" ref="Q155" si="751">F155*P155</f>
        <v>-160186.893246753</v>
      </c>
      <c r="R155">
        <f t="shared" ref="R155" si="752">R156+Q155</f>
        <v>3996099.0396761377</v>
      </c>
      <c r="S155">
        <f t="shared" ref="S155" si="753">R155/100000</f>
        <v>39.960990396761375</v>
      </c>
      <c r="T155">
        <f t="shared" ref="T155" si="754">S155/1000</f>
        <v>3.9960990396761376E-2</v>
      </c>
    </row>
    <row r="156" spans="1:20" x14ac:dyDescent="0.25">
      <c r="A156" s="5">
        <v>44437</v>
      </c>
      <c r="B156">
        <v>27.69</v>
      </c>
      <c r="C156">
        <v>28.13</v>
      </c>
      <c r="D156">
        <v>26.32</v>
      </c>
      <c r="E156">
        <v>26.82</v>
      </c>
      <c r="F156">
        <v>141715.62</v>
      </c>
      <c r="G156">
        <v>26.82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-0.44751381215469577</v>
      </c>
      <c r="Q156">
        <f t="shared" ref="Q156" si="756">F156*P156</f>
        <v>-63419.697348066242</v>
      </c>
      <c r="R156">
        <f t="shared" ref="R156" si="757">R157+Q156</f>
        <v>4156285.9329228909</v>
      </c>
      <c r="S156">
        <f t="shared" ref="S156" si="758">R156/100000</f>
        <v>41.562859329228907</v>
      </c>
      <c r="T156">
        <f t="shared" ref="T156" si="759">S156/1000</f>
        <v>4.1562859329228909E-2</v>
      </c>
    </row>
    <row r="157" spans="1:20" x14ac:dyDescent="0.25">
      <c r="A157" s="5">
        <v>44436</v>
      </c>
      <c r="B157">
        <v>27.22</v>
      </c>
      <c r="C157">
        <v>28.890999999999998</v>
      </c>
      <c r="D157">
        <v>26.72</v>
      </c>
      <c r="E157">
        <v>27.68</v>
      </c>
      <c r="F157">
        <v>469361.93099999998</v>
      </c>
      <c r="G157">
        <v>27.68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-0.1156149239981565</v>
      </c>
      <c r="Q157">
        <f t="shared" ref="Q157" si="761">F157*P157</f>
        <v>-54265.243980192972</v>
      </c>
      <c r="R157">
        <f t="shared" ref="R157" si="762">R158+Q157</f>
        <v>4219705.630270957</v>
      </c>
      <c r="S157">
        <f t="shared" ref="S157" si="763">R157/100000</f>
        <v>42.197056302709569</v>
      </c>
      <c r="T157">
        <f t="shared" ref="T157" si="764">S157/1000</f>
        <v>4.2197056302709569E-2</v>
      </c>
    </row>
    <row r="158" spans="1:20" x14ac:dyDescent="0.25">
      <c r="A158" s="5">
        <v>44435</v>
      </c>
      <c r="B158">
        <v>25.55</v>
      </c>
      <c r="C158">
        <v>27.45</v>
      </c>
      <c r="D158">
        <v>25.03</v>
      </c>
      <c r="E158">
        <v>27.22</v>
      </c>
      <c r="F158">
        <v>169021.69200000001</v>
      </c>
      <c r="G158">
        <v>27.22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0.80991735537190035</v>
      </c>
      <c r="Q158">
        <f t="shared" ref="Q158" si="766">F158*P158</f>
        <v>136893.6017851239</v>
      </c>
      <c r="R158">
        <f t="shared" ref="R158" si="767">R159+Q158</f>
        <v>4273970.8742511496</v>
      </c>
      <c r="S158">
        <f t="shared" ref="S158" si="768">R158/100000</f>
        <v>42.739708742511496</v>
      </c>
      <c r="T158">
        <f t="shared" ref="T158" si="769">S158/1000</f>
        <v>4.2739708742511498E-2</v>
      </c>
    </row>
    <row r="159" spans="1:20" x14ac:dyDescent="0.25">
      <c r="A159" s="5">
        <v>44434</v>
      </c>
      <c r="B159">
        <v>27.602</v>
      </c>
      <c r="C159">
        <v>27.923999999999999</v>
      </c>
      <c r="D159">
        <v>24.88</v>
      </c>
      <c r="E159">
        <v>25.56</v>
      </c>
      <c r="F159">
        <v>240752.185</v>
      </c>
      <c r="G159">
        <v>25.56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-0.55321944809461265</v>
      </c>
      <c r="Q159">
        <f t="shared" ref="Q159" si="771">F159*P159</f>
        <v>-133188.7909132721</v>
      </c>
      <c r="R159">
        <f t="shared" ref="R159" si="772">R160+Q159</f>
        <v>4137077.2724660258</v>
      </c>
      <c r="S159">
        <f t="shared" ref="S159" si="773">R159/100000</f>
        <v>41.370772724660256</v>
      </c>
      <c r="T159">
        <f t="shared" ref="T159" si="774">S159/1000</f>
        <v>4.1370772724660256E-2</v>
      </c>
    </row>
    <row r="160" spans="1:20" x14ac:dyDescent="0.25">
      <c r="A160" s="5">
        <v>44433</v>
      </c>
      <c r="B160">
        <v>27.577000000000002</v>
      </c>
      <c r="C160">
        <v>28.27</v>
      </c>
      <c r="D160">
        <v>26.11</v>
      </c>
      <c r="E160">
        <v>27.603000000000002</v>
      </c>
      <c r="F160">
        <v>334431.29700000002</v>
      </c>
      <c r="G160">
        <v>27.603000000000002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0.38240740740740925</v>
      </c>
      <c r="Q160">
        <f t="shared" ref="Q160" si="776">F160*P160</f>
        <v>127889.00524166728</v>
      </c>
      <c r="R160">
        <f t="shared" ref="R160" si="777">R161+Q160</f>
        <v>4270266.063379298</v>
      </c>
      <c r="S160">
        <f t="shared" ref="S160" si="778">R160/100000</f>
        <v>42.702660633792981</v>
      </c>
      <c r="T160">
        <f t="shared" ref="T160" si="779">S160/1000</f>
        <v>4.270266063379298E-2</v>
      </c>
    </row>
    <row r="161" spans="1:20" x14ac:dyDescent="0.25">
      <c r="A161" s="5">
        <v>44432</v>
      </c>
      <c r="B161">
        <v>30.332999999999998</v>
      </c>
      <c r="C161">
        <v>30.841999999999999</v>
      </c>
      <c r="D161">
        <v>27.308</v>
      </c>
      <c r="E161">
        <v>27.626999999999999</v>
      </c>
      <c r="F161">
        <v>366354.81599999999</v>
      </c>
      <c r="G161">
        <v>27.626999999999999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-0.8194680249009626</v>
      </c>
      <c r="Q161">
        <f t="shared" ref="Q161" si="781">F161*P161</f>
        <v>-300216.05748047557</v>
      </c>
      <c r="R161">
        <f t="shared" ref="R161" si="782">R162+Q161</f>
        <v>4142377.0581376306</v>
      </c>
      <c r="S161">
        <f t="shared" ref="S161" si="783">R161/100000</f>
        <v>41.423770581376303</v>
      </c>
      <c r="T161">
        <f t="shared" ref="T161" si="784">S161/1000</f>
        <v>4.14237705813763E-2</v>
      </c>
    </row>
    <row r="162" spans="1:20" x14ac:dyDescent="0.25">
      <c r="A162" s="5">
        <v>44431</v>
      </c>
      <c r="B162">
        <v>30.082000000000001</v>
      </c>
      <c r="C162">
        <v>31.959</v>
      </c>
      <c r="D162">
        <v>29.75</v>
      </c>
      <c r="E162">
        <v>30.344000000000001</v>
      </c>
      <c r="F162">
        <v>313521.76400000002</v>
      </c>
      <c r="G162">
        <v>30.344000000000001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-0.46220009053870414</v>
      </c>
      <c r="Q162">
        <f t="shared" ref="Q162" si="786">F162*P162</f>
        <v>-144909.78770665426</v>
      </c>
      <c r="R162">
        <f t="shared" ref="R162" si="787">R163+Q162</f>
        <v>4442593.115618106</v>
      </c>
      <c r="S162">
        <f t="shared" ref="S162" si="788">R162/100000</f>
        <v>44.425931156181058</v>
      </c>
      <c r="T162">
        <f t="shared" ref="T162" si="789">S162/1000</f>
        <v>4.4425931156181056E-2</v>
      </c>
    </row>
    <row r="163" spans="1:20" x14ac:dyDescent="0.25">
      <c r="A163" s="5">
        <v>44430</v>
      </c>
      <c r="B163">
        <v>29.082999999999998</v>
      </c>
      <c r="C163">
        <v>30.053999999999998</v>
      </c>
      <c r="D163">
        <v>29</v>
      </c>
      <c r="E163">
        <v>29.896999999999998</v>
      </c>
      <c r="F163">
        <v>56555.648999999998</v>
      </c>
      <c r="G163">
        <v>29.896999999999998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0.70208728652751373</v>
      </c>
      <c r="Q163">
        <f t="shared" ref="Q163" si="791">F163*P163</f>
        <v>39707.002144212493</v>
      </c>
      <c r="R163">
        <f t="shared" ref="R163" si="792">R164+Q163</f>
        <v>4587502.9033247605</v>
      </c>
      <c r="S163">
        <f t="shared" ref="S163" si="793">R163/100000</f>
        <v>45.875029033247607</v>
      </c>
      <c r="T163">
        <f t="shared" ref="T163" si="794">S163/1000</f>
        <v>4.5875029033247604E-2</v>
      </c>
    </row>
    <row r="164" spans="1:20" x14ac:dyDescent="0.25">
      <c r="A164" s="5">
        <v>44429</v>
      </c>
      <c r="B164">
        <v>29.8</v>
      </c>
      <c r="C164">
        <v>31.998000000000001</v>
      </c>
      <c r="D164">
        <v>28.827000000000002</v>
      </c>
      <c r="E164">
        <v>29.088000000000001</v>
      </c>
      <c r="F164">
        <v>573827.49199999997</v>
      </c>
      <c r="G164">
        <v>29.088000000000001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-0.8353831598864716</v>
      </c>
      <c r="Q164">
        <f t="shared" ref="Q164" si="796">F164*P164</f>
        <v>-479365.82349668897</v>
      </c>
      <c r="R164">
        <f t="shared" ref="R164" si="797">R165+Q164</f>
        <v>4547795.9011805477</v>
      </c>
      <c r="S164">
        <f t="shared" ref="S164" si="798">R164/100000</f>
        <v>45.477959011805474</v>
      </c>
      <c r="T164">
        <f t="shared" ref="T164" si="799">S164/1000</f>
        <v>4.5477959011805472E-2</v>
      </c>
    </row>
    <row r="165" spans="1:20" x14ac:dyDescent="0.25">
      <c r="A165" s="5">
        <v>44428</v>
      </c>
      <c r="B165">
        <v>27.541</v>
      </c>
      <c r="C165">
        <v>30</v>
      </c>
      <c r="D165">
        <v>27.231000000000002</v>
      </c>
      <c r="E165">
        <v>29.798999999999999</v>
      </c>
      <c r="F165">
        <v>516654.51299999998</v>
      </c>
      <c r="G165">
        <v>29.798999999999999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0.85482123510292474</v>
      </c>
      <c r="Q165">
        <f t="shared" ref="Q165" si="801">F165*P165</f>
        <v>441647.24892416009</v>
      </c>
      <c r="R165">
        <f t="shared" ref="R165" si="802">R166+Q165</f>
        <v>5027161.7246772368</v>
      </c>
      <c r="S165">
        <f t="shared" ref="S165" si="803">R165/100000</f>
        <v>50.271617246772365</v>
      </c>
      <c r="T165">
        <f t="shared" ref="T165" si="804">S165/1000</f>
        <v>5.0271617246772364E-2</v>
      </c>
    </row>
    <row r="166" spans="1:20" x14ac:dyDescent="0.25">
      <c r="A166" s="5">
        <v>44427</v>
      </c>
      <c r="B166">
        <v>26.163</v>
      </c>
      <c r="C166">
        <v>28.093</v>
      </c>
      <c r="D166">
        <v>25.126000000000001</v>
      </c>
      <c r="E166">
        <v>27.532</v>
      </c>
      <c r="F166">
        <v>326832.59100000001</v>
      </c>
      <c r="G166">
        <v>27.532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0.62184024266936289</v>
      </c>
      <c r="Q166">
        <f t="shared" ref="Q166" si="806">F166*P166</f>
        <v>203237.65769969663</v>
      </c>
      <c r="R166">
        <f t="shared" ref="R166" si="807">R167+Q166</f>
        <v>4585514.4757530764</v>
      </c>
      <c r="S166">
        <f t="shared" ref="S166" si="808">R166/100000</f>
        <v>45.855144757530766</v>
      </c>
      <c r="T166">
        <f t="shared" ref="T166" si="809">S166/1000</f>
        <v>4.5855144757530768E-2</v>
      </c>
    </row>
    <row r="167" spans="1:20" x14ac:dyDescent="0.25">
      <c r="A167" s="5">
        <v>44426</v>
      </c>
      <c r="B167">
        <v>26.510999999999999</v>
      </c>
      <c r="C167">
        <v>27.151</v>
      </c>
      <c r="D167">
        <v>25.33</v>
      </c>
      <c r="E167">
        <v>26.109000000000002</v>
      </c>
      <c r="F167">
        <v>297493.04399999999</v>
      </c>
      <c r="G167">
        <v>26.109000000000002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-0.14442613948379701</v>
      </c>
      <c r="Q167">
        <f t="shared" ref="Q167" si="811">F167*P167</f>
        <v>-42965.771868203359</v>
      </c>
      <c r="R167">
        <f t="shared" ref="R167" si="812">R168+Q167</f>
        <v>4382276.8180533797</v>
      </c>
      <c r="S167">
        <f t="shared" ref="S167" si="813">R167/100000</f>
        <v>43.822768180533799</v>
      </c>
      <c r="T167">
        <f t="shared" ref="T167" si="814">S167/1000</f>
        <v>4.3822768180533801E-2</v>
      </c>
    </row>
    <row r="168" spans="1:20" x14ac:dyDescent="0.25">
      <c r="A168" s="5">
        <v>44425</v>
      </c>
      <c r="B168">
        <v>27.216000000000001</v>
      </c>
      <c r="C168">
        <v>30.702000000000002</v>
      </c>
      <c r="D168">
        <v>26.26</v>
      </c>
      <c r="E168">
        <v>26.510999999999999</v>
      </c>
      <c r="F168">
        <v>617573.42599999998</v>
      </c>
      <c r="G168">
        <v>26.510999999999999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-0.88698784331382363</v>
      </c>
      <c r="Q168">
        <f t="shared" ref="Q168" si="816">F168*P168</f>
        <v>-547780.12121566921</v>
      </c>
      <c r="R168">
        <f t="shared" ref="R168" si="817">R169+Q168</f>
        <v>4425242.5899215834</v>
      </c>
      <c r="S168">
        <f t="shared" ref="S168" si="818">R168/100000</f>
        <v>44.252425899215837</v>
      </c>
      <c r="T168">
        <f t="shared" ref="T168" si="819">S168/1000</f>
        <v>4.4252425899215839E-2</v>
      </c>
    </row>
    <row r="169" spans="1:20" x14ac:dyDescent="0.25">
      <c r="A169" s="5">
        <v>44424</v>
      </c>
      <c r="B169">
        <v>28.419</v>
      </c>
      <c r="C169">
        <v>29.7</v>
      </c>
      <c r="D169">
        <v>27.079000000000001</v>
      </c>
      <c r="E169">
        <v>27.215</v>
      </c>
      <c r="F169">
        <v>442243.44</v>
      </c>
      <c r="G169">
        <v>27.215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-0.89622281571919171</v>
      </c>
      <c r="Q169">
        <f t="shared" ref="Q169" si="821">F169*P169</f>
        <v>-396348.6610301414</v>
      </c>
      <c r="R169">
        <f t="shared" ref="R169" si="822">R170+Q169</f>
        <v>4973022.7111372529</v>
      </c>
      <c r="S169">
        <f t="shared" ref="S169" si="823">R169/100000</f>
        <v>49.730227111372528</v>
      </c>
      <c r="T169">
        <f t="shared" ref="T169" si="824">S169/1000</f>
        <v>4.9730227111372531E-2</v>
      </c>
    </row>
    <row r="170" spans="1:20" x14ac:dyDescent="0.25">
      <c r="A170" s="5">
        <v>44423</v>
      </c>
      <c r="B170">
        <v>26.646999999999998</v>
      </c>
      <c r="C170">
        <v>28.527000000000001</v>
      </c>
      <c r="D170">
        <v>25.719000000000001</v>
      </c>
      <c r="E170">
        <v>28.44</v>
      </c>
      <c r="F170">
        <v>539850.14099999995</v>
      </c>
      <c r="G170">
        <v>28.44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0.93803418803418825</v>
      </c>
      <c r="Q170">
        <f t="shared" ref="Q170" si="826">F170*P170</f>
        <v>506397.88867307699</v>
      </c>
      <c r="R170">
        <f t="shared" ref="R170" si="827">R171+Q170</f>
        <v>5369371.3721673945</v>
      </c>
      <c r="S170">
        <f t="shared" ref="S170" si="828">R170/100000</f>
        <v>53.693713721673944</v>
      </c>
      <c r="T170">
        <f t="shared" ref="T170" si="829">S170/1000</f>
        <v>5.3693713721673947E-2</v>
      </c>
    </row>
    <row r="171" spans="1:20" x14ac:dyDescent="0.25">
      <c r="A171" s="5">
        <v>44422</v>
      </c>
      <c r="B171">
        <v>27.210999999999999</v>
      </c>
      <c r="C171">
        <v>27.35</v>
      </c>
      <c r="D171">
        <v>25.672000000000001</v>
      </c>
      <c r="E171">
        <v>26.646000000000001</v>
      </c>
      <c r="F171">
        <v>232172.859</v>
      </c>
      <c r="G171">
        <v>26.646000000000001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0.16090584028605451</v>
      </c>
      <c r="Q171">
        <f t="shared" ref="Q171" si="831">F171*P171</f>
        <v>37357.968969010653</v>
      </c>
      <c r="R171">
        <f t="shared" ref="R171" si="832">R172+Q171</f>
        <v>4862973.4834943172</v>
      </c>
      <c r="S171">
        <f t="shared" ref="S171" si="833">R171/100000</f>
        <v>48.629734834943172</v>
      </c>
      <c r="T171">
        <f t="shared" ref="T171" si="834">S171/1000</f>
        <v>4.8629734834943171E-2</v>
      </c>
    </row>
    <row r="172" spans="1:20" x14ac:dyDescent="0.25">
      <c r="A172" s="5">
        <v>44421</v>
      </c>
      <c r="B172">
        <v>24.8</v>
      </c>
      <c r="C172">
        <v>27.297999999999998</v>
      </c>
      <c r="D172">
        <v>24.504000000000001</v>
      </c>
      <c r="E172">
        <v>27.21</v>
      </c>
      <c r="F172">
        <v>216867.405</v>
      </c>
      <c r="G172">
        <v>27.21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0.93700787401574981</v>
      </c>
      <c r="Q172">
        <f t="shared" ref="Q172" si="836">F172*P172</f>
        <v>203206.46610236258</v>
      </c>
      <c r="R172">
        <f t="shared" ref="R172" si="837">R173+Q172</f>
        <v>4825615.5145253064</v>
      </c>
      <c r="S172">
        <f t="shared" ref="S172" si="838">R172/100000</f>
        <v>48.256155145253061</v>
      </c>
      <c r="T172">
        <f t="shared" ref="T172" si="839">S172/1000</f>
        <v>4.8256155145253062E-2</v>
      </c>
    </row>
    <row r="173" spans="1:20" x14ac:dyDescent="0.25">
      <c r="A173" s="5">
        <v>44420</v>
      </c>
      <c r="B173">
        <v>25.524999999999999</v>
      </c>
      <c r="C173">
        <v>26.812000000000001</v>
      </c>
      <c r="D173">
        <v>24.123999999999999</v>
      </c>
      <c r="E173">
        <v>24.786000000000001</v>
      </c>
      <c r="F173">
        <v>324267.59700000001</v>
      </c>
      <c r="G173">
        <v>24.786000000000001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-0.50744047619047472</v>
      </c>
      <c r="Q173">
        <f t="shared" ref="Q173" si="841">F173*P173</f>
        <v>-164546.50383482096</v>
      </c>
      <c r="R173">
        <f t="shared" ref="R173" si="842">R174+Q173</f>
        <v>4622409.0484229438</v>
      </c>
      <c r="S173">
        <f t="shared" ref="S173" si="843">R173/100000</f>
        <v>46.224090484229436</v>
      </c>
      <c r="T173">
        <f t="shared" ref="T173" si="844">S173/1000</f>
        <v>4.6224090484229437E-2</v>
      </c>
    </row>
    <row r="174" spans="1:20" x14ac:dyDescent="0.25">
      <c r="A174" s="5">
        <v>44419</v>
      </c>
      <c r="B174">
        <v>24.844999999999999</v>
      </c>
      <c r="C174">
        <v>27.103999999999999</v>
      </c>
      <c r="D174">
        <v>24.757000000000001</v>
      </c>
      <c r="E174">
        <v>25.553000000000001</v>
      </c>
      <c r="F174">
        <v>391119.859</v>
      </c>
      <c r="G174">
        <v>25.553000000000001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-0.32168726033233902</v>
      </c>
      <c r="Q174">
        <f t="shared" ref="Q174" si="846">F174*P174</f>
        <v>-125818.27590328072</v>
      </c>
      <c r="R174">
        <f t="shared" ref="R174" si="847">R175+Q174</f>
        <v>4786955.5522577651</v>
      </c>
      <c r="S174">
        <f t="shared" ref="S174" si="848">R174/100000</f>
        <v>47.869555522577649</v>
      </c>
      <c r="T174">
        <f t="shared" ref="T174" si="849">S174/1000</f>
        <v>4.7869555522577649E-2</v>
      </c>
    </row>
    <row r="175" spans="1:20" x14ac:dyDescent="0.25">
      <c r="A175" s="5">
        <v>44418</v>
      </c>
      <c r="B175">
        <v>24.93</v>
      </c>
      <c r="C175">
        <v>25.719000000000001</v>
      </c>
      <c r="D175">
        <v>24.052</v>
      </c>
      <c r="E175">
        <v>24.844999999999999</v>
      </c>
      <c r="F175">
        <v>133645.299</v>
      </c>
      <c r="G175">
        <v>24.844999999999999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-4.8590281943613076E-2</v>
      </c>
      <c r="Q175">
        <f t="shared" ref="Q175" si="851">F175*P175</f>
        <v>-6493.8627588484705</v>
      </c>
      <c r="R175">
        <f t="shared" ref="R175" si="852">R176+Q175</f>
        <v>4912773.8281610459</v>
      </c>
      <c r="S175">
        <f t="shared" ref="S175" si="853">R175/100000</f>
        <v>49.127738281610462</v>
      </c>
      <c r="T175">
        <f t="shared" ref="T175" si="854">S175/1000</f>
        <v>4.9127738281610461E-2</v>
      </c>
    </row>
    <row r="176" spans="1:20" x14ac:dyDescent="0.25">
      <c r="A176" s="5">
        <v>44417</v>
      </c>
      <c r="B176">
        <v>24.09</v>
      </c>
      <c r="C176">
        <v>25.247</v>
      </c>
      <c r="D176">
        <v>23.032</v>
      </c>
      <c r="E176">
        <v>24.914999999999999</v>
      </c>
      <c r="F176">
        <v>215969.807</v>
      </c>
      <c r="G176">
        <v>24.914999999999999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0.70022573363431084</v>
      </c>
      <c r="Q176">
        <f t="shared" ref="Q176" si="856">F176*P176</f>
        <v>151227.61654943551</v>
      </c>
      <c r="R176">
        <f t="shared" ref="R176" si="857">R177+Q176</f>
        <v>4919267.6909198947</v>
      </c>
      <c r="S176">
        <f t="shared" ref="S176" si="858">R176/100000</f>
        <v>49.192676909198944</v>
      </c>
      <c r="T176">
        <f t="shared" ref="T176" si="859">S176/1000</f>
        <v>4.9192676909198943E-2</v>
      </c>
    </row>
    <row r="177" spans="1:20" x14ac:dyDescent="0.25">
      <c r="A177" s="5">
        <v>44416</v>
      </c>
      <c r="B177">
        <v>26.053000000000001</v>
      </c>
      <c r="C177">
        <v>26.99</v>
      </c>
      <c r="D177">
        <v>23.687000000000001</v>
      </c>
      <c r="E177">
        <v>24.06</v>
      </c>
      <c r="F177">
        <v>160034.71400000001</v>
      </c>
      <c r="G177">
        <v>24.06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-0.77414471692400977</v>
      </c>
      <c r="Q177">
        <f t="shared" ref="Q177" si="861">F177*P177</f>
        <v>-123890.02836754487</v>
      </c>
      <c r="R177">
        <f t="shared" ref="R177" si="862">R178+Q177</f>
        <v>4768040.0743704597</v>
      </c>
      <c r="S177">
        <f t="shared" ref="S177" si="863">R177/100000</f>
        <v>47.680400743704595</v>
      </c>
      <c r="T177">
        <f t="shared" ref="T177" si="864">S177/1000</f>
        <v>4.7680400743704596E-2</v>
      </c>
    </row>
    <row r="178" spans="1:20" x14ac:dyDescent="0.25">
      <c r="A178" s="5">
        <v>44415</v>
      </c>
      <c r="B178">
        <v>25.088999999999999</v>
      </c>
      <c r="C178">
        <v>26.718</v>
      </c>
      <c r="D178">
        <v>24.52</v>
      </c>
      <c r="E178">
        <v>26.074999999999999</v>
      </c>
      <c r="F178">
        <v>392222.63099999999</v>
      </c>
      <c r="G178">
        <v>26.074999999999999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0.41492265696087299</v>
      </c>
      <c r="Q178">
        <f t="shared" ref="Q178" si="866">F178*P178</f>
        <v>162742.05617470408</v>
      </c>
      <c r="R178">
        <f t="shared" ref="R178" si="867">R179+Q178</f>
        <v>4891930.1027380042</v>
      </c>
      <c r="S178">
        <f t="shared" ref="S178" si="868">R178/100000</f>
        <v>48.919301027380044</v>
      </c>
      <c r="T178">
        <f t="shared" ref="T178" si="869">S178/1000</f>
        <v>4.8919301027380041E-2</v>
      </c>
    </row>
    <row r="179" spans="1:20" x14ac:dyDescent="0.25">
      <c r="A179" s="5">
        <v>44414</v>
      </c>
      <c r="B179">
        <v>24.052</v>
      </c>
      <c r="C179">
        <v>26.1</v>
      </c>
      <c r="D179">
        <v>23.446000000000002</v>
      </c>
      <c r="E179">
        <v>25.096</v>
      </c>
      <c r="F179">
        <v>643682.28200000001</v>
      </c>
      <c r="G179">
        <v>25.096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0.2434061793519206</v>
      </c>
      <c r="Q179">
        <f t="shared" ref="Q179" si="871">F179*P179</f>
        <v>156676.24497814555</v>
      </c>
      <c r="R179">
        <f t="shared" ref="R179" si="872">R180+Q179</f>
        <v>4729188.0465633003</v>
      </c>
      <c r="S179">
        <f t="shared" ref="S179" si="873">R179/100000</f>
        <v>47.291880465633</v>
      </c>
      <c r="T179">
        <f t="shared" ref="T179" si="874">S179/1000</f>
        <v>4.7291880465632999E-2</v>
      </c>
    </row>
    <row r="180" spans="1:20" x14ac:dyDescent="0.25">
      <c r="A180" s="5">
        <v>44413</v>
      </c>
      <c r="B180">
        <v>22.695</v>
      </c>
      <c r="C180">
        <v>24.395</v>
      </c>
      <c r="D180">
        <v>21.908000000000001</v>
      </c>
      <c r="E180">
        <v>24.018000000000001</v>
      </c>
      <c r="F180">
        <v>537035.89099999995</v>
      </c>
      <c r="G180">
        <v>24.018000000000001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0.69682348210695688</v>
      </c>
      <c r="Q180">
        <f t="shared" ref="Q180" si="876">F180*P180</f>
        <v>374219.21958303213</v>
      </c>
      <c r="R180">
        <f t="shared" ref="R180" si="877">R181+Q180</f>
        <v>4572511.8015851546</v>
      </c>
      <c r="S180">
        <f t="shared" ref="S180" si="878">R180/100000</f>
        <v>45.72511801585155</v>
      </c>
      <c r="T180">
        <f t="shared" ref="T180" si="879">S180/1000</f>
        <v>4.5725118015851551E-2</v>
      </c>
    </row>
    <row r="181" spans="1:20" x14ac:dyDescent="0.25">
      <c r="A181" s="5">
        <v>44412</v>
      </c>
      <c r="B181">
        <v>21.658000000000001</v>
      </c>
      <c r="C181">
        <v>23.039000000000001</v>
      </c>
      <c r="D181">
        <v>21.311</v>
      </c>
      <c r="E181">
        <v>22.670999999999999</v>
      </c>
      <c r="F181">
        <v>284873.63500000001</v>
      </c>
      <c r="G181">
        <v>22.670999999999999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0.57407407407407207</v>
      </c>
      <c r="Q181">
        <f t="shared" ref="Q181" si="881">F181*P181</f>
        <v>163538.56824074016</v>
      </c>
      <c r="R181">
        <f t="shared" ref="R181" si="882">R182+Q181</f>
        <v>4198292.5820021229</v>
      </c>
      <c r="S181">
        <f t="shared" ref="S181" si="883">R181/100000</f>
        <v>41.982925820021229</v>
      </c>
      <c r="T181">
        <f t="shared" ref="T181" si="884">S181/1000</f>
        <v>4.1982925820021229E-2</v>
      </c>
    </row>
    <row r="182" spans="1:20" x14ac:dyDescent="0.25">
      <c r="A182" s="5">
        <v>44411</v>
      </c>
      <c r="B182">
        <v>22.053999999999998</v>
      </c>
      <c r="C182">
        <v>22.798999999999999</v>
      </c>
      <c r="D182">
        <v>20.456</v>
      </c>
      <c r="E182">
        <v>21.646999999999998</v>
      </c>
      <c r="F182">
        <v>479644.02299999999</v>
      </c>
      <c r="G182">
        <v>21.646999999999998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1.664532650448055E-2</v>
      </c>
      <c r="Q182">
        <f t="shared" ref="Q182" si="886">F182*P182</f>
        <v>7983.8313687575783</v>
      </c>
      <c r="R182">
        <f t="shared" ref="R182" si="887">R183+Q182</f>
        <v>4034754.013761383</v>
      </c>
      <c r="S182">
        <f t="shared" ref="S182" si="888">R182/100000</f>
        <v>40.347540137613834</v>
      </c>
      <c r="T182">
        <f t="shared" ref="T182" si="889">S182/1000</f>
        <v>4.0347540137613831E-2</v>
      </c>
    </row>
    <row r="183" spans="1:20" x14ac:dyDescent="0.25">
      <c r="A183" s="5">
        <v>44410</v>
      </c>
      <c r="B183">
        <v>21.35</v>
      </c>
      <c r="C183">
        <v>22.748999999999999</v>
      </c>
      <c r="D183">
        <v>20.975000000000001</v>
      </c>
      <c r="E183">
        <v>22.047999999999998</v>
      </c>
      <c r="F183">
        <v>121516.398</v>
      </c>
      <c r="G183">
        <v>22.047999999999998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0.20969560315670624</v>
      </c>
      <c r="Q183">
        <f t="shared" ref="Q183" si="891">F183*P183</f>
        <v>25481.454372040371</v>
      </c>
      <c r="R183">
        <f t="shared" ref="R183" si="892">R184+Q183</f>
        <v>4026770.1823926256</v>
      </c>
      <c r="S183">
        <f t="shared" ref="S183" si="893">R183/100000</f>
        <v>40.267701823926259</v>
      </c>
      <c r="T183">
        <f t="shared" ref="T183" si="894">S183/1000</f>
        <v>4.0267701823926257E-2</v>
      </c>
    </row>
    <row r="184" spans="1:20" x14ac:dyDescent="0.25">
      <c r="A184" s="5">
        <v>44409</v>
      </c>
      <c r="B184">
        <v>21.648</v>
      </c>
      <c r="C184">
        <v>23.184999999999999</v>
      </c>
      <c r="D184">
        <v>20.821000000000002</v>
      </c>
      <c r="E184">
        <v>21.318999999999999</v>
      </c>
      <c r="F184">
        <v>450958.15299999999</v>
      </c>
      <c r="G184">
        <v>21.318999999999999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-0.5786802030456869</v>
      </c>
      <c r="Q184">
        <f t="shared" ref="Q184" si="896">F184*P184</f>
        <v>-260960.55554314793</v>
      </c>
      <c r="R184">
        <f t="shared" ref="R184" si="897">R185+Q184</f>
        <v>4001288.7280205851</v>
      </c>
      <c r="S184">
        <f t="shared" ref="S184" si="898">R184/100000</f>
        <v>40.012887280205852</v>
      </c>
      <c r="T184">
        <f t="shared" ref="T184" si="899">S184/1000</f>
        <v>4.0012887280205856E-2</v>
      </c>
    </row>
    <row r="185" spans="1:20" x14ac:dyDescent="0.25">
      <c r="A185" s="5">
        <v>44408</v>
      </c>
      <c r="B185">
        <v>20.734000000000002</v>
      </c>
      <c r="C185">
        <v>21.795999999999999</v>
      </c>
      <c r="D185">
        <v>20.32</v>
      </c>
      <c r="E185">
        <v>21.562000000000001</v>
      </c>
      <c r="F185">
        <v>124003.409</v>
      </c>
      <c r="G185">
        <v>21.562000000000001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0.68292682926829495</v>
      </c>
      <c r="Q185">
        <f t="shared" ref="Q185" si="901">F185*P185</f>
        <v>84685.254926829555</v>
      </c>
      <c r="R185">
        <f t="shared" ref="R185" si="902">R186+Q185</f>
        <v>4262249.2835637331</v>
      </c>
      <c r="S185">
        <f t="shared" ref="S185" si="903">R185/100000</f>
        <v>42.622492835637331</v>
      </c>
      <c r="T185">
        <f t="shared" ref="T185" si="904">S185/1000</f>
        <v>4.2622492835637328E-2</v>
      </c>
    </row>
    <row r="186" spans="1:20" x14ac:dyDescent="0.25">
      <c r="A186" s="5">
        <v>44407</v>
      </c>
      <c r="B186">
        <v>20.18</v>
      </c>
      <c r="C186">
        <v>20.777000000000001</v>
      </c>
      <c r="D186">
        <v>19.466999999999999</v>
      </c>
      <c r="E186">
        <v>20.721</v>
      </c>
      <c r="F186">
        <v>90674.578999999998</v>
      </c>
      <c r="G186">
        <v>20.721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0.91450381679389181</v>
      </c>
      <c r="Q186">
        <f t="shared" ref="Q186" si="906">F186*P186</f>
        <v>82922.248581679261</v>
      </c>
      <c r="R186">
        <f t="shared" ref="R186" si="907">R187+Q186</f>
        <v>4177564.028636904</v>
      </c>
      <c r="S186">
        <f t="shared" ref="S186" si="908">R186/100000</f>
        <v>41.77564028636904</v>
      </c>
      <c r="T186">
        <f t="shared" ref="T186" si="909">S186/1000</f>
        <v>4.1775640286369042E-2</v>
      </c>
    </row>
    <row r="187" spans="1:20" x14ac:dyDescent="0.25">
      <c r="A187" s="5">
        <v>44406</v>
      </c>
      <c r="B187">
        <v>19.913</v>
      </c>
      <c r="C187">
        <v>20.341999999999999</v>
      </c>
      <c r="D187">
        <v>19.338999999999999</v>
      </c>
      <c r="E187">
        <v>20.163</v>
      </c>
      <c r="F187">
        <v>71122.144</v>
      </c>
      <c r="G187">
        <v>20.163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0.6430707876370918</v>
      </c>
      <c r="Q187">
        <f t="shared" ref="Q187" si="911">F187*P187</f>
        <v>45736.573160518667</v>
      </c>
      <c r="R187">
        <f t="shared" ref="R187" si="912">R188+Q187</f>
        <v>4094641.7800552249</v>
      </c>
      <c r="S187">
        <f t="shared" ref="S187" si="913">R187/100000</f>
        <v>40.946417800552247</v>
      </c>
      <c r="T187">
        <f t="shared" ref="T187" si="914">S187/1000</f>
        <v>4.0946417800552248E-2</v>
      </c>
    </row>
    <row r="188" spans="1:20" x14ac:dyDescent="0.25">
      <c r="A188" s="5">
        <v>44405</v>
      </c>
      <c r="B188">
        <v>20.055</v>
      </c>
      <c r="C188">
        <v>20.510999999999999</v>
      </c>
      <c r="D188">
        <v>19.55</v>
      </c>
      <c r="E188">
        <v>19.878</v>
      </c>
      <c r="F188">
        <v>107610.00599999999</v>
      </c>
      <c r="G188">
        <v>19.878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-0.31737773152965681</v>
      </c>
      <c r="Q188">
        <f t="shared" ref="Q188" si="916">F188*P188</f>
        <v>-34153.019594172758</v>
      </c>
      <c r="R188">
        <f t="shared" ref="R188" si="917">R189+Q188</f>
        <v>4048905.206894706</v>
      </c>
      <c r="S188">
        <f t="shared" ref="S188" si="918">R188/100000</f>
        <v>40.489052068947061</v>
      </c>
      <c r="T188">
        <f t="shared" ref="T188" si="919">S188/1000</f>
        <v>4.0489052068947061E-2</v>
      </c>
    </row>
    <row r="189" spans="1:20" x14ac:dyDescent="0.25">
      <c r="A189" s="5">
        <v>44404</v>
      </c>
      <c r="B189">
        <v>19.608000000000001</v>
      </c>
      <c r="C189">
        <v>20.259</v>
      </c>
      <c r="D189">
        <v>18.8</v>
      </c>
      <c r="E189">
        <v>20.085000000000001</v>
      </c>
      <c r="F189">
        <v>94911.126000000004</v>
      </c>
      <c r="G189">
        <v>20.085000000000001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0.76148046607265318</v>
      </c>
      <c r="Q189">
        <f t="shared" ref="Q189" si="921">F189*P189</f>
        <v>72272.968461960321</v>
      </c>
      <c r="R189">
        <f t="shared" ref="R189" si="922">R190+Q189</f>
        <v>4083058.226488879</v>
      </c>
      <c r="S189">
        <f t="shared" ref="S189" si="923">R189/100000</f>
        <v>40.83058226488879</v>
      </c>
      <c r="T189">
        <f t="shared" ref="T189" si="924">S189/1000</f>
        <v>4.0830582264888789E-2</v>
      </c>
    </row>
    <row r="190" spans="1:20" x14ac:dyDescent="0.25">
      <c r="A190" s="5">
        <v>44403</v>
      </c>
      <c r="B190">
        <v>19.122</v>
      </c>
      <c r="C190">
        <v>21.594999999999999</v>
      </c>
      <c r="D190">
        <v>18.998000000000001</v>
      </c>
      <c r="E190">
        <v>19.600000000000001</v>
      </c>
      <c r="F190">
        <v>268092.35200000001</v>
      </c>
      <c r="G190">
        <v>19.600000000000001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-0.53638814016172442</v>
      </c>
      <c r="Q190">
        <f t="shared" ref="Q190" si="926">F190*P190</f>
        <v>-143801.55808086236</v>
      </c>
      <c r="R190">
        <f t="shared" ref="R190" si="927">R191+Q190</f>
        <v>4010785.2580269184</v>
      </c>
      <c r="S190">
        <f t="shared" ref="S190" si="928">R190/100000</f>
        <v>40.107852580269181</v>
      </c>
      <c r="T190">
        <f t="shared" ref="T190" si="929">S190/1000</f>
        <v>4.0107852580269179E-2</v>
      </c>
    </row>
    <row r="191" spans="1:20" x14ac:dyDescent="0.25">
      <c r="A191" s="5">
        <v>44402</v>
      </c>
      <c r="B191">
        <v>19.209</v>
      </c>
      <c r="C191">
        <v>19.312999999999999</v>
      </c>
      <c r="D191">
        <v>18.189</v>
      </c>
      <c r="E191">
        <v>19.119</v>
      </c>
      <c r="F191">
        <v>80900.891000000003</v>
      </c>
      <c r="G191">
        <v>19.119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0.65480427046263479</v>
      </c>
      <c r="Q191">
        <f t="shared" ref="Q191" si="931">F191*P191</f>
        <v>52974.24891103214</v>
      </c>
      <c r="R191">
        <f t="shared" ref="R191" si="932">R192+Q191</f>
        <v>4154586.8161077807</v>
      </c>
      <c r="S191">
        <f t="shared" ref="S191" si="933">R191/100000</f>
        <v>41.545868161077806</v>
      </c>
      <c r="T191">
        <f t="shared" ref="T191" si="934">S191/1000</f>
        <v>4.1545868161077804E-2</v>
      </c>
    </row>
    <row r="192" spans="1:20" x14ac:dyDescent="0.25">
      <c r="A192" s="5">
        <v>44401</v>
      </c>
      <c r="B192">
        <v>18.655999999999999</v>
      </c>
      <c r="C192">
        <v>19.475999999999999</v>
      </c>
      <c r="D192">
        <v>18.423999999999999</v>
      </c>
      <c r="E192">
        <v>19.202000000000002</v>
      </c>
      <c r="F192">
        <v>171884.65100000001</v>
      </c>
      <c r="G192">
        <v>19.202000000000002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0.47908745247148771</v>
      </c>
      <c r="Q192">
        <f t="shared" ref="Q192" si="936">F192*P192</f>
        <v>82347.779566540761</v>
      </c>
      <c r="R192">
        <f t="shared" ref="R192" si="937">R193+Q192</f>
        <v>4101612.5671967487</v>
      </c>
      <c r="S192">
        <f t="shared" ref="S192" si="938">R192/100000</f>
        <v>41.016125671967487</v>
      </c>
      <c r="T192">
        <f t="shared" ref="T192:T197" si="939">S192/1000</f>
        <v>4.1016125671967489E-2</v>
      </c>
    </row>
    <row r="193" spans="1:20" x14ac:dyDescent="0.25">
      <c r="A193" s="5">
        <v>44400</v>
      </c>
      <c r="B193">
        <v>17.885000000000002</v>
      </c>
      <c r="C193">
        <v>18.683</v>
      </c>
      <c r="D193">
        <v>17.481999999999999</v>
      </c>
      <c r="E193">
        <v>18.655999999999999</v>
      </c>
      <c r="F193">
        <v>98953.600999999995</v>
      </c>
      <c r="G193">
        <v>18.655999999999999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0.95503746877601825</v>
      </c>
      <c r="Q193">
        <f t="shared" ref="Q193" si="941">F193*P193</f>
        <v>94504.39662531206</v>
      </c>
      <c r="R193">
        <f t="shared" ref="R193" si="942">R194+Q193</f>
        <v>4019264.7876302078</v>
      </c>
      <c r="S193">
        <f t="shared" ref="S193" si="943">R193/100000</f>
        <v>40.192647876302075</v>
      </c>
      <c r="T193">
        <f t="shared" si="939"/>
        <v>4.0192647876302078E-2</v>
      </c>
    </row>
    <row r="194" spans="1:20" x14ac:dyDescent="0.25">
      <c r="A194" s="5">
        <v>44399</v>
      </c>
      <c r="B194">
        <v>17.670000000000002</v>
      </c>
      <c r="C194">
        <v>18.489000000000001</v>
      </c>
      <c r="D194">
        <v>17.25</v>
      </c>
      <c r="E194">
        <v>17.885000000000002</v>
      </c>
      <c r="F194">
        <v>123788.61199999999</v>
      </c>
      <c r="G194">
        <v>17.885000000000002</v>
      </c>
      <c r="L194" t="s">
        <v>8</v>
      </c>
      <c r="M194" t="s">
        <v>7</v>
      </c>
      <c r="N194" t="s">
        <v>7</v>
      </c>
      <c r="P194">
        <f t="shared" ref="P194" si="944">IF(C194=D194,0,((E194-D194)-(C194-E194))/(C194-D194))</f>
        <v>2.5020177562552332E-2</v>
      </c>
      <c r="Q194">
        <f t="shared" ref="Q194" si="945">F194*P194</f>
        <v>3097.213052461896</v>
      </c>
      <c r="R194">
        <f t="shared" ref="R194" si="946">R195+Q194</f>
        <v>3924760.3910048958</v>
      </c>
      <c r="S194">
        <f t="shared" ref="S194" si="947">R194/100000</f>
        <v>39.247603910048959</v>
      </c>
      <c r="T194">
        <f t="shared" si="939"/>
        <v>3.9247603910048959E-2</v>
      </c>
    </row>
    <row r="195" spans="1:20" x14ac:dyDescent="0.25">
      <c r="A195" s="5">
        <v>44398</v>
      </c>
      <c r="B195">
        <v>16.055</v>
      </c>
      <c r="C195">
        <v>18.213000000000001</v>
      </c>
      <c r="D195">
        <v>15.718</v>
      </c>
      <c r="E195">
        <v>17.669</v>
      </c>
      <c r="F195">
        <v>152239.29300000001</v>
      </c>
      <c r="G195">
        <v>17.669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0.56392785571142268</v>
      </c>
      <c r="Q195">
        <f t="shared" ref="Q195" si="949">F195*P195</f>
        <v>85851.978056513006</v>
      </c>
      <c r="R195">
        <f t="shared" ref="R195" si="950">R196+Q195</f>
        <v>3921663.1779524339</v>
      </c>
      <c r="S195">
        <f t="shared" ref="S195" si="951">R195/100000</f>
        <v>39.216631779524342</v>
      </c>
      <c r="T195">
        <f t="shared" si="939"/>
        <v>3.9216631779524343E-2</v>
      </c>
    </row>
    <row r="196" spans="1:20" x14ac:dyDescent="0.25">
      <c r="A196" s="5">
        <v>44397</v>
      </c>
      <c r="B196">
        <v>17.016999999999999</v>
      </c>
      <c r="C196">
        <v>17.3</v>
      </c>
      <c r="D196">
        <v>15.819000000000001</v>
      </c>
      <c r="E196">
        <v>16.062000000000001</v>
      </c>
      <c r="F196">
        <v>130582.747</v>
      </c>
      <c r="G196">
        <v>16.062000000000001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-0.67184334908845322</v>
      </c>
      <c r="Q196">
        <f t="shared" ref="Q196" si="953">F196*P196</f>
        <v>-87731.150077650163</v>
      </c>
      <c r="R196">
        <f t="shared" ref="R196" si="954">R197+Q196</f>
        <v>3835811.1998959212</v>
      </c>
      <c r="S196">
        <f t="shared" ref="S196" si="955">R196/100000</f>
        <v>38.35811199895921</v>
      </c>
      <c r="T196">
        <f t="shared" si="939"/>
        <v>3.8358111998959207E-2</v>
      </c>
    </row>
    <row r="197" spans="1:20" x14ac:dyDescent="0.25">
      <c r="A197" s="5">
        <v>44396</v>
      </c>
      <c r="B197">
        <v>18.218</v>
      </c>
      <c r="C197">
        <v>18.414999999999999</v>
      </c>
      <c r="D197">
        <v>16.895</v>
      </c>
      <c r="E197">
        <v>17.013000000000002</v>
      </c>
      <c r="F197">
        <v>183446.96100000001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-0.84473684210526034</v>
      </c>
      <c r="Q197">
        <f t="shared" ref="Q197" si="957">F197*P197</f>
        <v>-154964.40652894686</v>
      </c>
      <c r="R197">
        <f t="shared" ref="R197" si="958">R198+Q197</f>
        <v>3923542.3499735715</v>
      </c>
      <c r="S197">
        <f t="shared" ref="S197" si="959">R197/100000</f>
        <v>39.235423499735717</v>
      </c>
      <c r="T197">
        <f t="shared" si="939"/>
        <v>3.9235423499735717E-2</v>
      </c>
    </row>
    <row r="198" spans="1:20" x14ac:dyDescent="0.25">
      <c r="A198" s="5">
        <v>44395</v>
      </c>
      <c r="B198">
        <v>17.783999999999999</v>
      </c>
      <c r="C198">
        <v>20.466000000000001</v>
      </c>
      <c r="D198">
        <v>17.734999999999999</v>
      </c>
      <c r="E198">
        <v>18.231999999999999</v>
      </c>
      <c r="F198">
        <v>269902.15399999998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60">IF(C198=D198,0,((E198-D198)-(C198-E198))/(C198-D198))</f>
        <v>-0.63603075796411601</v>
      </c>
      <c r="Q198">
        <f t="shared" ref="Q198:Q261" si="961">F198*P198</f>
        <v>-171666.07158476755</v>
      </c>
      <c r="R198">
        <f t="shared" ref="R198:R261" si="962">R199+Q198</f>
        <v>4078506.7565025184</v>
      </c>
      <c r="S198">
        <f t="shared" ref="S198:S261" si="963">R198/100000</f>
        <v>40.785067565025187</v>
      </c>
      <c r="T198">
        <f t="shared" ref="T198:T261" si="964">S198/1000</f>
        <v>4.0785067565025188E-2</v>
      </c>
    </row>
    <row r="199" spans="1:20" x14ac:dyDescent="0.25">
      <c r="A199" s="5">
        <v>44394</v>
      </c>
      <c r="B199">
        <v>17.579999999999998</v>
      </c>
      <c r="C199">
        <v>18.321000000000002</v>
      </c>
      <c r="D199">
        <v>17.321000000000002</v>
      </c>
      <c r="E199">
        <v>17.75</v>
      </c>
      <c r="F199">
        <v>73133.986999999994</v>
      </c>
      <c r="G199">
        <v>0</v>
      </c>
      <c r="L199" t="s">
        <v>7</v>
      </c>
      <c r="M199" t="s">
        <v>7</v>
      </c>
      <c r="N199" t="s">
        <v>7</v>
      </c>
      <c r="P199">
        <f t="shared" si="960"/>
        <v>-0.14200000000000301</v>
      </c>
      <c r="Q199">
        <f t="shared" si="961"/>
        <v>-10385.026154000219</v>
      </c>
      <c r="R199">
        <f t="shared" si="962"/>
        <v>4250172.8280872861</v>
      </c>
      <c r="S199">
        <f t="shared" si="963"/>
        <v>42.501728280872861</v>
      </c>
      <c r="T199">
        <f t="shared" si="964"/>
        <v>4.2501728280872862E-2</v>
      </c>
    </row>
    <row r="200" spans="1:20" x14ac:dyDescent="0.25">
      <c r="A200" s="5">
        <v>44393</v>
      </c>
      <c r="B200">
        <v>18.914999999999999</v>
      </c>
      <c r="C200">
        <v>19.210999999999999</v>
      </c>
      <c r="D200">
        <v>17.558</v>
      </c>
      <c r="E200">
        <v>17.584</v>
      </c>
      <c r="F200">
        <v>48331.8</v>
      </c>
      <c r="G200">
        <v>0</v>
      </c>
      <c r="L200" t="s">
        <v>7</v>
      </c>
      <c r="M200" t="s">
        <v>7</v>
      </c>
      <c r="N200" t="s">
        <v>7</v>
      </c>
      <c r="P200">
        <f t="shared" si="960"/>
        <v>-0.96854204476709038</v>
      </c>
      <c r="Q200">
        <f t="shared" si="961"/>
        <v>-46811.380399274065</v>
      </c>
      <c r="R200">
        <f t="shared" si="962"/>
        <v>4260557.8542412864</v>
      </c>
      <c r="S200">
        <f t="shared" si="963"/>
        <v>42.605578542412864</v>
      </c>
      <c r="T200">
        <f t="shared" si="964"/>
        <v>4.2605578542412863E-2</v>
      </c>
    </row>
    <row r="201" spans="1:20" x14ac:dyDescent="0.25">
      <c r="A201" s="5">
        <v>44392</v>
      </c>
      <c r="B201">
        <v>19.994</v>
      </c>
      <c r="C201">
        <v>20.402000000000001</v>
      </c>
      <c r="D201">
        <v>18.655000000000001</v>
      </c>
      <c r="E201">
        <v>18.917000000000002</v>
      </c>
      <c r="F201">
        <v>61156.107000000004</v>
      </c>
      <c r="G201">
        <v>0</v>
      </c>
      <c r="L201" t="s">
        <v>8</v>
      </c>
      <c r="M201" t="s">
        <v>7</v>
      </c>
      <c r="N201" t="s">
        <v>7</v>
      </c>
      <c r="P201">
        <f t="shared" si="960"/>
        <v>-0.70005724098454436</v>
      </c>
      <c r="Q201">
        <f t="shared" si="961"/>
        <v>-42812.775535775581</v>
      </c>
      <c r="R201">
        <f t="shared" si="962"/>
        <v>4307369.2346405601</v>
      </c>
      <c r="S201">
        <f t="shared" si="963"/>
        <v>43.073692346405601</v>
      </c>
      <c r="T201">
        <f t="shared" si="964"/>
        <v>4.3073692346405602E-2</v>
      </c>
    </row>
    <row r="202" spans="1:20" x14ac:dyDescent="0.25">
      <c r="A202" s="5">
        <v>44391</v>
      </c>
      <c r="B202">
        <v>19.885000000000002</v>
      </c>
      <c r="C202">
        <v>20.5</v>
      </c>
      <c r="D202">
        <v>18.594000000000001</v>
      </c>
      <c r="E202">
        <v>19.972999999999999</v>
      </c>
      <c r="F202">
        <v>62314.749000000003</v>
      </c>
      <c r="G202">
        <v>0</v>
      </c>
      <c r="L202" t="s">
        <v>7</v>
      </c>
      <c r="M202" t="s">
        <v>7</v>
      </c>
      <c r="N202" t="s">
        <v>7</v>
      </c>
      <c r="P202">
        <f t="shared" si="960"/>
        <v>0.44700944386148861</v>
      </c>
      <c r="Q202">
        <f t="shared" si="961"/>
        <v>27855.281294858254</v>
      </c>
      <c r="R202">
        <f t="shared" si="962"/>
        <v>4350182.0101763355</v>
      </c>
      <c r="S202">
        <f t="shared" si="963"/>
        <v>43.501820101763357</v>
      </c>
      <c r="T202">
        <f t="shared" si="964"/>
        <v>4.3501820101763358E-2</v>
      </c>
    </row>
    <row r="203" spans="1:20" x14ac:dyDescent="0.25">
      <c r="A203" s="5">
        <v>44390</v>
      </c>
      <c r="B203">
        <v>20.821999999999999</v>
      </c>
      <c r="C203">
        <v>20.989000000000001</v>
      </c>
      <c r="D203">
        <v>19.573</v>
      </c>
      <c r="E203">
        <v>19.864999999999998</v>
      </c>
      <c r="F203">
        <v>68019.801999999996</v>
      </c>
      <c r="G203">
        <v>0</v>
      </c>
      <c r="L203" t="s">
        <v>7</v>
      </c>
      <c r="M203" t="s">
        <v>7</v>
      </c>
      <c r="N203" t="s">
        <v>8</v>
      </c>
      <c r="P203">
        <f t="shared" si="960"/>
        <v>-0.58757062146892947</v>
      </c>
      <c r="Q203">
        <f t="shared" si="961"/>
        <v>-39966.437333333532</v>
      </c>
      <c r="R203">
        <f t="shared" si="962"/>
        <v>4322326.7288814774</v>
      </c>
      <c r="S203">
        <f t="shared" si="963"/>
        <v>43.223267288814775</v>
      </c>
      <c r="T203">
        <f t="shared" si="964"/>
        <v>4.3223267288814773E-2</v>
      </c>
    </row>
    <row r="204" spans="1:20" x14ac:dyDescent="0.25">
      <c r="A204" s="5">
        <v>44389</v>
      </c>
      <c r="B204">
        <v>22.015999999999998</v>
      </c>
      <c r="C204">
        <v>23.062999999999999</v>
      </c>
      <c r="D204">
        <v>20.405000000000001</v>
      </c>
      <c r="E204">
        <v>20.870999999999999</v>
      </c>
      <c r="F204">
        <v>94420.160000000003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-0.64936042136945227</v>
      </c>
      <c r="Q204">
        <f t="shared" si="961"/>
        <v>-61312.714883371103</v>
      </c>
      <c r="R204">
        <f t="shared" si="962"/>
        <v>4362293.1662148107</v>
      </c>
      <c r="S204">
        <f t="shared" si="963"/>
        <v>43.622931662148105</v>
      </c>
      <c r="T204">
        <f t="shared" si="964"/>
        <v>4.3622931662148104E-2</v>
      </c>
    </row>
    <row r="205" spans="1:20" x14ac:dyDescent="0.25">
      <c r="A205" s="5">
        <v>44388</v>
      </c>
      <c r="B205">
        <v>21.864000000000001</v>
      </c>
      <c r="C205">
        <v>22.361000000000001</v>
      </c>
      <c r="D205">
        <v>21.404</v>
      </c>
      <c r="E205">
        <v>21.995999999999999</v>
      </c>
      <c r="F205">
        <v>29115.305</v>
      </c>
      <c r="G205">
        <v>0</v>
      </c>
      <c r="L205" t="s">
        <v>7</v>
      </c>
      <c r="M205" t="s">
        <v>7</v>
      </c>
      <c r="N205" t="s">
        <v>8</v>
      </c>
      <c r="P205">
        <f t="shared" si="960"/>
        <v>0.23719958202716465</v>
      </c>
      <c r="Q205">
        <f t="shared" si="961"/>
        <v>6906.1381765934175</v>
      </c>
      <c r="R205">
        <f t="shared" si="962"/>
        <v>4423605.8810981819</v>
      </c>
      <c r="S205">
        <f t="shared" si="963"/>
        <v>44.236058810981817</v>
      </c>
      <c r="T205">
        <f t="shared" si="964"/>
        <v>4.4236058810981818E-2</v>
      </c>
    </row>
    <row r="206" spans="1:20" x14ac:dyDescent="0.25">
      <c r="A206" s="5">
        <v>44387</v>
      </c>
      <c r="B206">
        <v>22.361000000000001</v>
      </c>
      <c r="C206">
        <v>22.940999999999999</v>
      </c>
      <c r="D206">
        <v>21.384</v>
      </c>
      <c r="E206">
        <v>21.872</v>
      </c>
      <c r="F206">
        <v>48016.612000000001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-0.37315350032113043</v>
      </c>
      <c r="Q206">
        <f t="shared" si="961"/>
        <v>-17917.566841361597</v>
      </c>
      <c r="R206">
        <f t="shared" si="962"/>
        <v>4416699.7429215889</v>
      </c>
      <c r="S206">
        <f t="shared" si="963"/>
        <v>44.16699742921589</v>
      </c>
      <c r="T206">
        <f t="shared" si="964"/>
        <v>4.4166997429215892E-2</v>
      </c>
    </row>
    <row r="207" spans="1:20" x14ac:dyDescent="0.25">
      <c r="A207" s="5">
        <v>44386</v>
      </c>
      <c r="B207">
        <v>22.079000000000001</v>
      </c>
      <c r="C207">
        <v>22.827999999999999</v>
      </c>
      <c r="D207">
        <v>21.265000000000001</v>
      </c>
      <c r="E207">
        <v>22.356999999999999</v>
      </c>
      <c r="F207">
        <v>55532.260999999999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0.39731285988483628</v>
      </c>
      <c r="Q207">
        <f t="shared" si="961"/>
        <v>22063.681433781159</v>
      </c>
      <c r="R207">
        <f t="shared" si="962"/>
        <v>4434617.309762951</v>
      </c>
      <c r="S207">
        <f t="shared" si="963"/>
        <v>44.34617309762951</v>
      </c>
      <c r="T207">
        <f t="shared" si="964"/>
        <v>4.4346173097629511E-2</v>
      </c>
    </row>
    <row r="208" spans="1:20" x14ac:dyDescent="0.25">
      <c r="A208" s="5">
        <v>44385</v>
      </c>
      <c r="B208">
        <v>24.405999999999999</v>
      </c>
      <c r="C208">
        <v>24.472999999999999</v>
      </c>
      <c r="D208">
        <v>21.654</v>
      </c>
      <c r="E208">
        <v>22.154</v>
      </c>
      <c r="F208">
        <v>143343.76500000001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-0.64526427811280584</v>
      </c>
      <c r="Q208">
        <f t="shared" si="961"/>
        <v>-92494.611044696692</v>
      </c>
      <c r="R208">
        <f t="shared" si="962"/>
        <v>4412553.6283291699</v>
      </c>
      <c r="S208">
        <f t="shared" si="963"/>
        <v>44.125536283291702</v>
      </c>
      <c r="T208">
        <f t="shared" si="964"/>
        <v>4.4125536283291703E-2</v>
      </c>
    </row>
    <row r="209" spans="1:20" x14ac:dyDescent="0.25">
      <c r="A209" s="5">
        <v>44384</v>
      </c>
      <c r="B209">
        <v>24.861999999999998</v>
      </c>
      <c r="C209">
        <v>25.6</v>
      </c>
      <c r="D209">
        <v>24.277999999999999</v>
      </c>
      <c r="E209">
        <v>24.399000000000001</v>
      </c>
      <c r="F209">
        <v>180955.33600000001</v>
      </c>
      <c r="G209">
        <v>0</v>
      </c>
      <c r="L209" t="s">
        <v>7</v>
      </c>
      <c r="M209" t="s">
        <v>8</v>
      </c>
      <c r="N209" t="s">
        <v>8</v>
      </c>
      <c r="P209">
        <f t="shared" si="960"/>
        <v>-0.81694402420574586</v>
      </c>
      <c r="Q209">
        <f t="shared" si="961"/>
        <v>-147830.38039334287</v>
      </c>
      <c r="R209">
        <f t="shared" si="962"/>
        <v>4505048.2393738665</v>
      </c>
      <c r="S209">
        <f t="shared" si="963"/>
        <v>45.050482393738662</v>
      </c>
      <c r="T209">
        <f t="shared" si="964"/>
        <v>4.5050482393738663E-2</v>
      </c>
    </row>
    <row r="210" spans="1:20" x14ac:dyDescent="0.25">
      <c r="A210" s="5">
        <v>44383</v>
      </c>
      <c r="B210">
        <v>24.353999999999999</v>
      </c>
      <c r="C210">
        <v>26.422999999999998</v>
      </c>
      <c r="D210">
        <v>24.298999999999999</v>
      </c>
      <c r="E210">
        <v>24.888000000000002</v>
      </c>
      <c r="F210">
        <v>191712.91200000001</v>
      </c>
      <c r="G210">
        <v>0</v>
      </c>
      <c r="L210" t="s">
        <v>8</v>
      </c>
      <c r="M210" t="s">
        <v>8</v>
      </c>
      <c r="N210" t="s">
        <v>8</v>
      </c>
      <c r="P210">
        <f t="shared" si="960"/>
        <v>-0.44538606403012942</v>
      </c>
      <c r="Q210">
        <f t="shared" si="961"/>
        <v>-85386.259299434576</v>
      </c>
      <c r="R210">
        <f t="shared" si="962"/>
        <v>4652878.6197672095</v>
      </c>
      <c r="S210">
        <f t="shared" si="963"/>
        <v>46.528786197672098</v>
      </c>
      <c r="T210">
        <f t="shared" si="964"/>
        <v>4.6528786197672097E-2</v>
      </c>
    </row>
    <row r="211" spans="1:20" x14ac:dyDescent="0.25">
      <c r="A211" s="5">
        <v>44382</v>
      </c>
      <c r="B211">
        <v>25.234999999999999</v>
      </c>
      <c r="C211">
        <v>25.614999999999998</v>
      </c>
      <c r="D211">
        <v>23.599</v>
      </c>
      <c r="E211">
        <v>24.305</v>
      </c>
      <c r="F211">
        <v>255847.14300000001</v>
      </c>
      <c r="G211">
        <v>0</v>
      </c>
      <c r="L211" t="s">
        <v>7</v>
      </c>
      <c r="M211" t="s">
        <v>8</v>
      </c>
      <c r="N211" t="s">
        <v>8</v>
      </c>
      <c r="P211">
        <f t="shared" si="960"/>
        <v>-0.29960317460317448</v>
      </c>
      <c r="Q211">
        <f t="shared" si="961"/>
        <v>-76652.616255952351</v>
      </c>
      <c r="R211">
        <f t="shared" si="962"/>
        <v>4738264.8790666442</v>
      </c>
      <c r="S211">
        <f t="shared" si="963"/>
        <v>47.382648790666444</v>
      </c>
      <c r="T211">
        <f t="shared" si="964"/>
        <v>4.7382648790666441E-2</v>
      </c>
    </row>
    <row r="212" spans="1:20" x14ac:dyDescent="0.25">
      <c r="A212" s="5">
        <v>44381</v>
      </c>
      <c r="B212">
        <v>22.443999999999999</v>
      </c>
      <c r="C212">
        <v>26</v>
      </c>
      <c r="D212">
        <v>22.05</v>
      </c>
      <c r="E212">
        <v>25.242000000000001</v>
      </c>
      <c r="F212">
        <v>397438.40399999998</v>
      </c>
      <c r="G212">
        <v>0</v>
      </c>
      <c r="L212" t="s">
        <v>8</v>
      </c>
      <c r="M212" t="s">
        <v>8</v>
      </c>
      <c r="N212" t="s">
        <v>8</v>
      </c>
      <c r="P212">
        <f t="shared" si="960"/>
        <v>0.61620253164557004</v>
      </c>
      <c r="Q212">
        <f t="shared" si="961"/>
        <v>244902.55071797484</v>
      </c>
      <c r="R212">
        <f t="shared" si="962"/>
        <v>4814917.4953225963</v>
      </c>
      <c r="S212">
        <f t="shared" si="963"/>
        <v>48.149174953225966</v>
      </c>
      <c r="T212">
        <f t="shared" si="964"/>
        <v>4.8149174953225966E-2</v>
      </c>
    </row>
    <row r="213" spans="1:20" x14ac:dyDescent="0.25">
      <c r="A213" s="5">
        <v>44380</v>
      </c>
      <c r="B213">
        <v>21.222000000000001</v>
      </c>
      <c r="C213">
        <v>23.748999999999999</v>
      </c>
      <c r="D213">
        <v>20.847000000000001</v>
      </c>
      <c r="E213">
        <v>22.486000000000001</v>
      </c>
      <c r="F213">
        <v>234382.144</v>
      </c>
      <c r="G213">
        <v>0</v>
      </c>
      <c r="L213" t="s">
        <v>8</v>
      </c>
      <c r="M213" t="s">
        <v>8</v>
      </c>
      <c r="N213" t="s">
        <v>8</v>
      </c>
      <c r="P213">
        <f t="shared" si="960"/>
        <v>0.12956581667815353</v>
      </c>
      <c r="Q213">
        <f t="shared" si="961"/>
        <v>30367.913902136585</v>
      </c>
      <c r="R213">
        <f t="shared" si="962"/>
        <v>4570014.9446046213</v>
      </c>
      <c r="S213">
        <f t="shared" si="963"/>
        <v>45.700149446046211</v>
      </c>
      <c r="T213">
        <f t="shared" si="964"/>
        <v>4.5700149446046209E-2</v>
      </c>
    </row>
    <row r="214" spans="1:20" x14ac:dyDescent="0.25">
      <c r="A214" s="5">
        <v>44379</v>
      </c>
      <c r="B214">
        <v>20.082000000000001</v>
      </c>
      <c r="C214">
        <v>21.518000000000001</v>
      </c>
      <c r="D214">
        <v>19.274999999999999</v>
      </c>
      <c r="E214">
        <v>21.228999999999999</v>
      </c>
      <c r="F214">
        <v>118512.75900000001</v>
      </c>
      <c r="G214">
        <v>0</v>
      </c>
      <c r="L214" t="s">
        <v>7</v>
      </c>
      <c r="M214" t="s">
        <v>8</v>
      </c>
      <c r="N214" t="s">
        <v>8</v>
      </c>
      <c r="P214">
        <f t="shared" si="960"/>
        <v>0.74230940704413628</v>
      </c>
      <c r="Q214">
        <f t="shared" si="961"/>
        <v>87973.135860454626</v>
      </c>
      <c r="R214">
        <f t="shared" si="962"/>
        <v>4539647.0307024848</v>
      </c>
      <c r="S214">
        <f t="shared" si="963"/>
        <v>45.396470307024849</v>
      </c>
      <c r="T214">
        <f t="shared" si="964"/>
        <v>4.5396470307024851E-2</v>
      </c>
    </row>
    <row r="215" spans="1:20" x14ac:dyDescent="0.25">
      <c r="A215" s="5">
        <v>44378</v>
      </c>
      <c r="B215">
        <v>22.24</v>
      </c>
      <c r="C215">
        <v>22.254000000000001</v>
      </c>
      <c r="D215">
        <v>19.757000000000001</v>
      </c>
      <c r="E215">
        <v>20.111999999999998</v>
      </c>
      <c r="F215">
        <v>174213.66399999999</v>
      </c>
      <c r="G215">
        <v>0</v>
      </c>
      <c r="L215" t="s">
        <v>7</v>
      </c>
      <c r="M215" t="s">
        <v>8</v>
      </c>
      <c r="N215" t="s">
        <v>8</v>
      </c>
      <c r="P215">
        <f t="shared" si="960"/>
        <v>-0.71565879054866088</v>
      </c>
      <c r="Q215">
        <f t="shared" si="961"/>
        <v>-124677.54007529077</v>
      </c>
      <c r="R215">
        <f t="shared" si="962"/>
        <v>4451673.8948420305</v>
      </c>
      <c r="S215">
        <f t="shared" si="963"/>
        <v>44.516738948420304</v>
      </c>
      <c r="T215">
        <f t="shared" si="964"/>
        <v>4.4516738948420301E-2</v>
      </c>
    </row>
    <row r="216" spans="1:20" x14ac:dyDescent="0.25">
      <c r="A216" s="5">
        <v>44377</v>
      </c>
      <c r="B216">
        <v>20.538</v>
      </c>
      <c r="C216">
        <v>22.417999999999999</v>
      </c>
      <c r="D216">
        <v>19.22</v>
      </c>
      <c r="E216">
        <v>22.225999999999999</v>
      </c>
      <c r="F216">
        <v>441233.31400000001</v>
      </c>
      <c r="G216">
        <v>0</v>
      </c>
      <c r="L216" t="s">
        <v>8</v>
      </c>
      <c r="M216" t="s">
        <v>8</v>
      </c>
      <c r="N216" t="s">
        <v>8</v>
      </c>
      <c r="P216">
        <f t="shared" si="960"/>
        <v>0.87992495309568475</v>
      </c>
      <c r="Q216">
        <f t="shared" si="961"/>
        <v>388252.20312570356</v>
      </c>
      <c r="R216">
        <f t="shared" si="962"/>
        <v>4576351.4349173214</v>
      </c>
      <c r="S216">
        <f t="shared" si="963"/>
        <v>45.763514349173214</v>
      </c>
      <c r="T216">
        <f t="shared" si="964"/>
        <v>4.5763514349173216E-2</v>
      </c>
    </row>
    <row r="217" spans="1:20" x14ac:dyDescent="0.25">
      <c r="A217" s="5">
        <v>44376</v>
      </c>
      <c r="B217">
        <v>18.8</v>
      </c>
      <c r="C217">
        <v>21.614999999999998</v>
      </c>
      <c r="D217">
        <v>18.744</v>
      </c>
      <c r="E217">
        <v>20.567</v>
      </c>
      <c r="F217">
        <v>294824.03200000001</v>
      </c>
      <c r="G217">
        <v>0</v>
      </c>
      <c r="L217" t="s">
        <v>8</v>
      </c>
      <c r="M217" t="s">
        <v>8</v>
      </c>
      <c r="N217" t="s">
        <v>8</v>
      </c>
      <c r="P217">
        <f t="shared" si="960"/>
        <v>0.26994078718216735</v>
      </c>
      <c r="Q217">
        <f t="shared" si="961"/>
        <v>79585.031278300492</v>
      </c>
      <c r="R217">
        <f t="shared" si="962"/>
        <v>4188099.2317916178</v>
      </c>
      <c r="S217">
        <f t="shared" si="963"/>
        <v>41.880992317916181</v>
      </c>
      <c r="T217">
        <f t="shared" si="964"/>
        <v>4.1880992317916178E-2</v>
      </c>
    </row>
    <row r="218" spans="1:20" x14ac:dyDescent="0.25">
      <c r="A218" s="5">
        <v>44375</v>
      </c>
      <c r="B218">
        <v>16.408000000000001</v>
      </c>
      <c r="C218">
        <v>19.853000000000002</v>
      </c>
      <c r="D218">
        <v>16.234999999999999</v>
      </c>
      <c r="E218">
        <v>18.8</v>
      </c>
      <c r="F218">
        <v>440070.1</v>
      </c>
      <c r="G218">
        <v>0</v>
      </c>
      <c r="L218" t="s">
        <v>8</v>
      </c>
      <c r="M218" t="s">
        <v>8</v>
      </c>
      <c r="N218" t="s">
        <v>8</v>
      </c>
      <c r="P218">
        <f t="shared" si="960"/>
        <v>0.4179104477611939</v>
      </c>
      <c r="Q218">
        <f t="shared" si="961"/>
        <v>183909.89253731337</v>
      </c>
      <c r="R218">
        <f t="shared" si="962"/>
        <v>4108514.2005133172</v>
      </c>
      <c r="S218">
        <f t="shared" si="963"/>
        <v>41.085142005133171</v>
      </c>
      <c r="T218">
        <f t="shared" si="964"/>
        <v>4.108514200513317E-2</v>
      </c>
    </row>
    <row r="219" spans="1:20" x14ac:dyDescent="0.25">
      <c r="A219" s="5">
        <v>44374</v>
      </c>
      <c r="B219">
        <v>15.163</v>
      </c>
      <c r="C219">
        <v>16.420999999999999</v>
      </c>
      <c r="D219">
        <v>14.9</v>
      </c>
      <c r="E219">
        <v>16.372</v>
      </c>
      <c r="F219">
        <v>95642.282000000007</v>
      </c>
      <c r="G219">
        <v>0</v>
      </c>
      <c r="L219" t="s">
        <v>8</v>
      </c>
      <c r="M219" t="s">
        <v>7</v>
      </c>
      <c r="N219" t="s">
        <v>7</v>
      </c>
      <c r="P219">
        <f t="shared" si="960"/>
        <v>0.93556870479947463</v>
      </c>
      <c r="Q219">
        <f t="shared" si="961"/>
        <v>89479.925894806118</v>
      </c>
      <c r="R219">
        <f t="shared" si="962"/>
        <v>3924604.3079760037</v>
      </c>
      <c r="S219">
        <f t="shared" si="963"/>
        <v>39.246043079760035</v>
      </c>
      <c r="T219">
        <f t="shared" si="964"/>
        <v>3.9246043079760033E-2</v>
      </c>
    </row>
    <row r="220" spans="1:20" x14ac:dyDescent="0.25">
      <c r="A220" s="5">
        <v>44373</v>
      </c>
      <c r="B220">
        <v>15.843999999999999</v>
      </c>
      <c r="C220">
        <v>16.396000000000001</v>
      </c>
      <c r="D220">
        <v>14.538</v>
      </c>
      <c r="E220">
        <v>15.164</v>
      </c>
      <c r="F220">
        <v>327511.68599999999</v>
      </c>
      <c r="G220">
        <v>0</v>
      </c>
      <c r="L220" t="s">
        <v>7</v>
      </c>
      <c r="M220" t="s">
        <v>7</v>
      </c>
      <c r="N220" t="s">
        <v>7</v>
      </c>
      <c r="P220">
        <f t="shared" si="960"/>
        <v>-0.32615715823466174</v>
      </c>
      <c r="Q220">
        <f t="shared" si="961"/>
        <v>-106820.28079440285</v>
      </c>
      <c r="R220">
        <f t="shared" si="962"/>
        <v>3835124.3820811976</v>
      </c>
      <c r="S220">
        <f t="shared" si="963"/>
        <v>38.351243820811973</v>
      </c>
      <c r="T220">
        <f t="shared" si="964"/>
        <v>3.8351243820811974E-2</v>
      </c>
    </row>
    <row r="221" spans="1:20" x14ac:dyDescent="0.25">
      <c r="A221" s="5">
        <v>44372</v>
      </c>
      <c r="B221">
        <v>18.058</v>
      </c>
      <c r="C221">
        <v>18.273</v>
      </c>
      <c r="D221">
        <v>15.766</v>
      </c>
      <c r="E221">
        <v>15.846</v>
      </c>
      <c r="F221">
        <v>108221.586</v>
      </c>
      <c r="G221">
        <v>0</v>
      </c>
      <c r="L221" t="s">
        <v>7</v>
      </c>
      <c r="M221" t="s">
        <v>8</v>
      </c>
      <c r="N221" t="s">
        <v>7</v>
      </c>
      <c r="P221">
        <f t="shared" si="960"/>
        <v>-0.93617869964100509</v>
      </c>
      <c r="Q221">
        <f t="shared" si="961"/>
        <v>-101314.7436545672</v>
      </c>
      <c r="R221">
        <f t="shared" si="962"/>
        <v>3941944.6628756006</v>
      </c>
      <c r="S221">
        <f t="shared" si="963"/>
        <v>39.419446628756006</v>
      </c>
      <c r="T221">
        <f t="shared" si="964"/>
        <v>3.9419446628756009E-2</v>
      </c>
    </row>
    <row r="222" spans="1:20" x14ac:dyDescent="0.25">
      <c r="A222" s="5">
        <v>44371</v>
      </c>
      <c r="B222">
        <v>16.814</v>
      </c>
      <c r="C222">
        <v>18.297000000000001</v>
      </c>
      <c r="D222">
        <v>16.222000000000001</v>
      </c>
      <c r="E222">
        <v>18.052</v>
      </c>
      <c r="F222">
        <v>244878.06899999999</v>
      </c>
      <c r="G222">
        <v>0</v>
      </c>
      <c r="L222" t="s">
        <v>8</v>
      </c>
      <c r="M222" t="s">
        <v>8</v>
      </c>
      <c r="N222" t="s">
        <v>7</v>
      </c>
      <c r="P222">
        <f t="shared" si="960"/>
        <v>0.76385542168674592</v>
      </c>
      <c r="Q222">
        <f t="shared" si="961"/>
        <v>187051.44065783106</v>
      </c>
      <c r="R222">
        <f t="shared" si="962"/>
        <v>4043259.4065301679</v>
      </c>
      <c r="S222">
        <f t="shared" si="963"/>
        <v>40.432594065301679</v>
      </c>
      <c r="T222">
        <f t="shared" si="964"/>
        <v>4.0432594065301676E-2</v>
      </c>
    </row>
    <row r="223" spans="1:20" x14ac:dyDescent="0.25">
      <c r="A223" s="5">
        <v>44370</v>
      </c>
      <c r="B223">
        <v>16.271000000000001</v>
      </c>
      <c r="C223">
        <v>17.792000000000002</v>
      </c>
      <c r="D223">
        <v>15.526</v>
      </c>
      <c r="E223">
        <v>16.79</v>
      </c>
      <c r="F223">
        <v>151169.69500000001</v>
      </c>
      <c r="G223">
        <v>0</v>
      </c>
      <c r="L223" t="s">
        <v>8</v>
      </c>
      <c r="M223" t="s">
        <v>8</v>
      </c>
      <c r="N223" t="s">
        <v>7</v>
      </c>
      <c r="P223">
        <f t="shared" si="960"/>
        <v>0.11562224183583261</v>
      </c>
      <c r="Q223">
        <f t="shared" si="961"/>
        <v>17478.579033539056</v>
      </c>
      <c r="R223">
        <f t="shared" si="962"/>
        <v>3856207.9658723366</v>
      </c>
      <c r="S223">
        <f t="shared" si="963"/>
        <v>38.56207965872337</v>
      </c>
      <c r="T223">
        <f t="shared" si="964"/>
        <v>3.8562079658723367E-2</v>
      </c>
    </row>
    <row r="224" spans="1:20" x14ac:dyDescent="0.25">
      <c r="A224" s="5">
        <v>44369</v>
      </c>
      <c r="B224">
        <v>15.407999999999999</v>
      </c>
      <c r="C224">
        <v>16.681999999999999</v>
      </c>
      <c r="D224">
        <v>13.587999999999999</v>
      </c>
      <c r="E224">
        <v>16.306000000000001</v>
      </c>
      <c r="F224">
        <v>260863.87899999999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0.75694893341952307</v>
      </c>
      <c r="Q224">
        <f t="shared" si="961"/>
        <v>197460.63497672952</v>
      </c>
      <c r="R224">
        <f t="shared" si="962"/>
        <v>3838729.3868387975</v>
      </c>
      <c r="S224">
        <f t="shared" si="963"/>
        <v>38.387293868387978</v>
      </c>
      <c r="T224">
        <f t="shared" si="964"/>
        <v>3.8387293868387976E-2</v>
      </c>
    </row>
    <row r="225" spans="1:20" x14ac:dyDescent="0.25">
      <c r="A225" s="5">
        <v>44368</v>
      </c>
      <c r="B225">
        <v>19.401</v>
      </c>
      <c r="C225">
        <v>19.61</v>
      </c>
      <c r="D225">
        <v>15.114000000000001</v>
      </c>
      <c r="E225">
        <v>15.433</v>
      </c>
      <c r="F225">
        <v>182420.23499999999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-0.85809608540925308</v>
      </c>
      <c r="Q225">
        <f t="shared" si="961"/>
        <v>-156534.089552936</v>
      </c>
      <c r="R225">
        <f t="shared" si="962"/>
        <v>3641268.7518620677</v>
      </c>
      <c r="S225">
        <f t="shared" si="963"/>
        <v>36.412687518620679</v>
      </c>
      <c r="T225">
        <f t="shared" si="964"/>
        <v>3.641268751862068E-2</v>
      </c>
    </row>
    <row r="226" spans="1:20" x14ac:dyDescent="0.25">
      <c r="A226" s="5">
        <v>44367</v>
      </c>
      <c r="B226">
        <v>18.805</v>
      </c>
      <c r="C226">
        <v>19.670000000000002</v>
      </c>
      <c r="D226">
        <v>17.513000000000002</v>
      </c>
      <c r="E226">
        <v>19.399000000000001</v>
      </c>
      <c r="F226">
        <v>83005.05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0.74872508113119995</v>
      </c>
      <c r="Q226">
        <f t="shared" si="961"/>
        <v>62147.962795549312</v>
      </c>
      <c r="R226">
        <f t="shared" si="962"/>
        <v>3797802.8414150039</v>
      </c>
      <c r="S226">
        <f t="shared" si="963"/>
        <v>37.978028414150039</v>
      </c>
      <c r="T226">
        <f t="shared" si="964"/>
        <v>3.7978028414150038E-2</v>
      </c>
    </row>
    <row r="227" spans="1:20" x14ac:dyDescent="0.25">
      <c r="A227" s="5">
        <v>44366</v>
      </c>
      <c r="B227">
        <v>19.686</v>
      </c>
      <c r="C227">
        <v>20.178999999999998</v>
      </c>
      <c r="D227">
        <v>18.79</v>
      </c>
      <c r="E227">
        <v>18.818000000000001</v>
      </c>
      <c r="F227">
        <v>89420.41</v>
      </c>
      <c r="G227">
        <v>0</v>
      </c>
      <c r="L227" t="s">
        <v>7</v>
      </c>
      <c r="M227" t="s">
        <v>7</v>
      </c>
      <c r="N227" t="s">
        <v>7</v>
      </c>
      <c r="P227">
        <f t="shared" si="960"/>
        <v>-0.95968322534196937</v>
      </c>
      <c r="Q227">
        <f t="shared" si="961"/>
        <v>-85815.267480201292</v>
      </c>
      <c r="R227">
        <f t="shared" si="962"/>
        <v>3735654.8786194543</v>
      </c>
      <c r="S227">
        <f t="shared" si="963"/>
        <v>37.356548786194544</v>
      </c>
      <c r="T227">
        <f t="shared" si="964"/>
        <v>3.7356548786194543E-2</v>
      </c>
    </row>
    <row r="228" spans="1:20" x14ac:dyDescent="0.25">
      <c r="A228" s="5">
        <v>44365</v>
      </c>
      <c r="B228">
        <v>22.385999999999999</v>
      </c>
      <c r="C228">
        <v>22.420999999999999</v>
      </c>
      <c r="D228">
        <v>18.760000000000002</v>
      </c>
      <c r="E228">
        <v>19.658000000000001</v>
      </c>
      <c r="F228">
        <v>146952.514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-0.5094236547391422</v>
      </c>
      <c r="Q228">
        <f t="shared" si="961"/>
        <v>-74861.086754984965</v>
      </c>
      <c r="R228">
        <f t="shared" si="962"/>
        <v>3821470.1460996554</v>
      </c>
      <c r="S228">
        <f t="shared" si="963"/>
        <v>38.214701460996551</v>
      </c>
      <c r="T228">
        <f t="shared" si="964"/>
        <v>3.821470146099655E-2</v>
      </c>
    </row>
    <row r="229" spans="1:20" x14ac:dyDescent="0.25">
      <c r="A229" s="5">
        <v>44364</v>
      </c>
      <c r="B229">
        <v>22.295000000000002</v>
      </c>
      <c r="C229">
        <v>23.311</v>
      </c>
      <c r="D229">
        <v>21.777000000000001</v>
      </c>
      <c r="E229">
        <v>22.327000000000002</v>
      </c>
      <c r="F229">
        <v>52990.527000000002</v>
      </c>
      <c r="G229">
        <v>0</v>
      </c>
      <c r="L229" t="s">
        <v>7</v>
      </c>
      <c r="M229" t="s">
        <v>7</v>
      </c>
      <c r="N229" t="s">
        <v>7</v>
      </c>
      <c r="P229">
        <f t="shared" si="960"/>
        <v>-0.2829204693611459</v>
      </c>
      <c r="Q229">
        <f t="shared" si="961"/>
        <v>-14992.104770534475</v>
      </c>
      <c r="R229">
        <f t="shared" si="962"/>
        <v>3896331.2328546406</v>
      </c>
      <c r="S229">
        <f t="shared" si="963"/>
        <v>38.963312328546408</v>
      </c>
      <c r="T229">
        <f t="shared" si="964"/>
        <v>3.8963312328546405E-2</v>
      </c>
    </row>
    <row r="230" spans="1:20" x14ac:dyDescent="0.25">
      <c r="A230" s="5">
        <v>44363</v>
      </c>
      <c r="B230">
        <v>23.923999999999999</v>
      </c>
      <c r="C230">
        <v>24.071000000000002</v>
      </c>
      <c r="D230">
        <v>22.071999999999999</v>
      </c>
      <c r="E230">
        <v>22.268000000000001</v>
      </c>
      <c r="F230">
        <v>74567.004000000001</v>
      </c>
      <c r="G230">
        <v>0</v>
      </c>
      <c r="L230" t="s">
        <v>7</v>
      </c>
      <c r="M230" t="s">
        <v>7</v>
      </c>
      <c r="N230" t="s">
        <v>7</v>
      </c>
      <c r="P230">
        <f t="shared" si="960"/>
        <v>-0.80390195097548645</v>
      </c>
      <c r="Q230">
        <f t="shared" si="961"/>
        <v>-59944.559993996903</v>
      </c>
      <c r="R230">
        <f t="shared" si="962"/>
        <v>3911323.3376251752</v>
      </c>
      <c r="S230">
        <f t="shared" si="963"/>
        <v>39.113233376251749</v>
      </c>
      <c r="T230">
        <f t="shared" si="964"/>
        <v>3.9113233376251749E-2</v>
      </c>
    </row>
    <row r="231" spans="1:20" x14ac:dyDescent="0.25">
      <c r="A231" s="5">
        <v>44362</v>
      </c>
      <c r="B231">
        <v>24.274999999999999</v>
      </c>
      <c r="C231">
        <v>25.201000000000001</v>
      </c>
      <c r="D231">
        <v>23.536000000000001</v>
      </c>
      <c r="E231">
        <v>23.936</v>
      </c>
      <c r="F231">
        <v>116703.67600000001</v>
      </c>
      <c r="G231">
        <v>0</v>
      </c>
      <c r="L231" t="s">
        <v>8</v>
      </c>
      <c r="M231" t="s">
        <v>7</v>
      </c>
      <c r="N231" t="s">
        <v>7</v>
      </c>
      <c r="P231">
        <f t="shared" si="960"/>
        <v>-0.51951951951952102</v>
      </c>
      <c r="Q231">
        <f t="shared" si="961"/>
        <v>-60629.837681681864</v>
      </c>
      <c r="R231">
        <f t="shared" si="962"/>
        <v>3971267.897619172</v>
      </c>
      <c r="S231">
        <f t="shared" si="963"/>
        <v>39.712678976191718</v>
      </c>
      <c r="T231">
        <f t="shared" si="964"/>
        <v>3.9712678976191719E-2</v>
      </c>
    </row>
    <row r="232" spans="1:20" x14ac:dyDescent="0.25">
      <c r="A232" s="5">
        <v>44361</v>
      </c>
      <c r="B232">
        <v>23.795999999999999</v>
      </c>
      <c r="C232">
        <v>24.71</v>
      </c>
      <c r="D232">
        <v>23.280999999999999</v>
      </c>
      <c r="E232">
        <v>24.274999999999999</v>
      </c>
      <c r="F232">
        <v>79672.138999999996</v>
      </c>
      <c r="G232">
        <v>0</v>
      </c>
      <c r="L232" t="s">
        <v>8</v>
      </c>
      <c r="M232" t="s">
        <v>7</v>
      </c>
      <c r="N232" t="s">
        <v>7</v>
      </c>
      <c r="P232">
        <f t="shared" si="960"/>
        <v>0.39118264520643575</v>
      </c>
      <c r="Q232">
        <f t="shared" si="961"/>
        <v>31166.35808327483</v>
      </c>
      <c r="R232">
        <f t="shared" si="962"/>
        <v>4031897.7353008538</v>
      </c>
      <c r="S232">
        <f t="shared" si="963"/>
        <v>40.318977353008542</v>
      </c>
      <c r="T232">
        <f t="shared" si="964"/>
        <v>4.0318977353008545E-2</v>
      </c>
    </row>
    <row r="233" spans="1:20" x14ac:dyDescent="0.25">
      <c r="A233" s="5">
        <v>44360</v>
      </c>
      <c r="B233">
        <v>22.524000000000001</v>
      </c>
      <c r="C233">
        <v>23.95</v>
      </c>
      <c r="D233">
        <v>21.821000000000002</v>
      </c>
      <c r="E233">
        <v>23.797999999999998</v>
      </c>
      <c r="F233">
        <v>49219.004000000001</v>
      </c>
      <c r="G233">
        <v>0</v>
      </c>
      <c r="L233" t="s">
        <v>8</v>
      </c>
      <c r="M233" t="s">
        <v>7</v>
      </c>
      <c r="N233" t="s">
        <v>7</v>
      </c>
      <c r="P233">
        <f t="shared" si="960"/>
        <v>0.85720995772663111</v>
      </c>
      <c r="Q233">
        <f t="shared" si="961"/>
        <v>42191.020338186885</v>
      </c>
      <c r="R233">
        <f t="shared" si="962"/>
        <v>4000731.3772175792</v>
      </c>
      <c r="S233">
        <f t="shared" si="963"/>
        <v>40.007313772175792</v>
      </c>
      <c r="T233">
        <f t="shared" si="964"/>
        <v>4.0007313772175791E-2</v>
      </c>
    </row>
    <row r="234" spans="1:20" x14ac:dyDescent="0.25">
      <c r="A234" s="5">
        <v>44359</v>
      </c>
      <c r="B234">
        <v>23.091999999999999</v>
      </c>
      <c r="C234">
        <v>23.352</v>
      </c>
      <c r="D234">
        <v>21.63</v>
      </c>
      <c r="E234">
        <v>22.454000000000001</v>
      </c>
      <c r="F234">
        <v>79671.547000000006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-4.2973286875724742E-2</v>
      </c>
      <c r="Q234">
        <f t="shared" si="961"/>
        <v>-3423.7482450637872</v>
      </c>
      <c r="R234">
        <f t="shared" si="962"/>
        <v>3958540.3568793922</v>
      </c>
      <c r="S234">
        <f t="shared" si="963"/>
        <v>39.585403568793922</v>
      </c>
      <c r="T234">
        <f t="shared" si="964"/>
        <v>3.958540356879392E-2</v>
      </c>
    </row>
    <row r="235" spans="1:20" x14ac:dyDescent="0.25">
      <c r="A235" s="5">
        <v>44358</v>
      </c>
      <c r="B235">
        <v>24.53</v>
      </c>
      <c r="C235">
        <v>24.779</v>
      </c>
      <c r="D235">
        <v>22.667999999999999</v>
      </c>
      <c r="E235">
        <v>23.061</v>
      </c>
      <c r="F235">
        <v>56627.207999999999</v>
      </c>
      <c r="G235">
        <v>0</v>
      </c>
      <c r="L235" t="s">
        <v>7</v>
      </c>
      <c r="M235" t="s">
        <v>7</v>
      </c>
      <c r="N235" t="s">
        <v>7</v>
      </c>
      <c r="P235">
        <f t="shared" si="960"/>
        <v>-0.62766461392704831</v>
      </c>
      <c r="Q235">
        <f t="shared" si="961"/>
        <v>-35542.894647086658</v>
      </c>
      <c r="R235">
        <f t="shared" si="962"/>
        <v>3961964.1051244559</v>
      </c>
      <c r="S235">
        <f t="shared" si="963"/>
        <v>39.619641051244557</v>
      </c>
      <c r="T235">
        <f t="shared" si="964"/>
        <v>3.9619641051244554E-2</v>
      </c>
    </row>
    <row r="236" spans="1:20" x14ac:dyDescent="0.25">
      <c r="A236" s="5">
        <v>44357</v>
      </c>
      <c r="B236">
        <v>26.305</v>
      </c>
      <c r="C236">
        <v>26.385999999999999</v>
      </c>
      <c r="D236">
        <v>23.966000000000001</v>
      </c>
      <c r="E236">
        <v>24.513000000000002</v>
      </c>
      <c r="F236">
        <v>94594.585999999996</v>
      </c>
      <c r="G236">
        <v>0</v>
      </c>
      <c r="L236" t="s">
        <v>7</v>
      </c>
      <c r="M236" t="s">
        <v>7</v>
      </c>
      <c r="N236" t="s">
        <v>7</v>
      </c>
      <c r="P236">
        <f t="shared" si="960"/>
        <v>-0.54793388429751977</v>
      </c>
      <c r="Q236">
        <f t="shared" si="961"/>
        <v>-51831.578940495783</v>
      </c>
      <c r="R236">
        <f t="shared" si="962"/>
        <v>3997506.9997715424</v>
      </c>
      <c r="S236">
        <f t="shared" si="963"/>
        <v>39.975069997715423</v>
      </c>
      <c r="T236">
        <f t="shared" si="964"/>
        <v>3.9975069997715426E-2</v>
      </c>
    </row>
    <row r="237" spans="1:20" x14ac:dyDescent="0.25">
      <c r="A237" s="5">
        <v>44356</v>
      </c>
      <c r="B237">
        <v>25.146000000000001</v>
      </c>
      <c r="C237">
        <v>26.655000000000001</v>
      </c>
      <c r="D237">
        <v>24.003</v>
      </c>
      <c r="E237">
        <v>26.276</v>
      </c>
      <c r="F237">
        <v>97770.540999999997</v>
      </c>
      <c r="G237">
        <v>0</v>
      </c>
      <c r="L237" t="s">
        <v>8</v>
      </c>
      <c r="M237" t="s">
        <v>7</v>
      </c>
      <c r="N237" t="s">
        <v>7</v>
      </c>
      <c r="P237">
        <f t="shared" si="960"/>
        <v>0.71417797888386036</v>
      </c>
      <c r="Q237">
        <f t="shared" si="961"/>
        <v>69825.567365761599</v>
      </c>
      <c r="R237">
        <f t="shared" si="962"/>
        <v>4049338.5787120382</v>
      </c>
      <c r="S237">
        <f t="shared" si="963"/>
        <v>40.493385787120381</v>
      </c>
      <c r="T237">
        <f t="shared" si="964"/>
        <v>4.0493385787120383E-2</v>
      </c>
    </row>
    <row r="238" spans="1:20" x14ac:dyDescent="0.25">
      <c r="A238" s="5">
        <v>44355</v>
      </c>
      <c r="B238">
        <v>27.161000000000001</v>
      </c>
      <c r="C238">
        <v>27.558</v>
      </c>
      <c r="D238">
        <v>23.556999999999999</v>
      </c>
      <c r="E238">
        <v>25.184999999999999</v>
      </c>
      <c r="F238">
        <v>117075.951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-0.18620344913771578</v>
      </c>
      <c r="Q238">
        <f t="shared" si="961"/>
        <v>-21799.945887278205</v>
      </c>
      <c r="R238">
        <f t="shared" si="962"/>
        <v>3979513.0113462768</v>
      </c>
      <c r="S238">
        <f t="shared" si="963"/>
        <v>39.795130113462768</v>
      </c>
      <c r="T238">
        <f t="shared" si="964"/>
        <v>3.9795130113462765E-2</v>
      </c>
    </row>
    <row r="239" spans="1:20" x14ac:dyDescent="0.25">
      <c r="A239" s="5">
        <v>44354</v>
      </c>
      <c r="B239">
        <v>29.11</v>
      </c>
      <c r="C239">
        <v>30.931999999999999</v>
      </c>
      <c r="D239">
        <v>26.713999999999999</v>
      </c>
      <c r="E239">
        <v>27.167999999999999</v>
      </c>
      <c r="F239">
        <v>137713.76800000001</v>
      </c>
      <c r="G239">
        <v>0</v>
      </c>
      <c r="L239" t="s">
        <v>7</v>
      </c>
      <c r="M239" t="s">
        <v>7</v>
      </c>
      <c r="N239" t="s">
        <v>7</v>
      </c>
      <c r="P239">
        <f t="shared" si="960"/>
        <v>-0.78473210052157394</v>
      </c>
      <c r="Q239">
        <f t="shared" si="961"/>
        <v>-108068.41443338072</v>
      </c>
      <c r="R239">
        <f t="shared" si="962"/>
        <v>4001312.9572335551</v>
      </c>
      <c r="S239">
        <f t="shared" si="963"/>
        <v>40.013129572335551</v>
      </c>
      <c r="T239">
        <f t="shared" si="964"/>
        <v>4.0013129572335548E-2</v>
      </c>
    </row>
    <row r="240" spans="1:20" x14ac:dyDescent="0.25">
      <c r="A240" s="5">
        <v>44353</v>
      </c>
      <c r="B240">
        <v>28.45</v>
      </c>
      <c r="C240">
        <v>29.532</v>
      </c>
      <c r="D240">
        <v>28.312999999999999</v>
      </c>
      <c r="E240">
        <v>29.108000000000001</v>
      </c>
      <c r="F240">
        <v>27802.87</v>
      </c>
      <c r="G240">
        <v>0</v>
      </c>
      <c r="L240" t="s">
        <v>7</v>
      </c>
      <c r="M240" t="s">
        <v>7</v>
      </c>
      <c r="N240" t="s">
        <v>7</v>
      </c>
      <c r="P240">
        <f t="shared" si="960"/>
        <v>0.30434782608695804</v>
      </c>
      <c r="Q240">
        <f t="shared" si="961"/>
        <v>8461.7430434783037</v>
      </c>
      <c r="R240">
        <f t="shared" si="962"/>
        <v>4109381.3716669357</v>
      </c>
      <c r="S240">
        <f t="shared" si="963"/>
        <v>41.093813716669359</v>
      </c>
      <c r="T240">
        <f t="shared" si="964"/>
        <v>4.1093813716669363E-2</v>
      </c>
    </row>
    <row r="241" spans="1:20" x14ac:dyDescent="0.25">
      <c r="A241" s="5">
        <v>44352</v>
      </c>
      <c r="B241">
        <v>29.167000000000002</v>
      </c>
      <c r="C241">
        <v>30.613</v>
      </c>
      <c r="D241">
        <v>27.443000000000001</v>
      </c>
      <c r="E241">
        <v>28.545000000000002</v>
      </c>
      <c r="F241">
        <v>57749.974000000002</v>
      </c>
      <c r="G241">
        <v>0</v>
      </c>
      <c r="L241" t="s">
        <v>7</v>
      </c>
      <c r="M241" t="s">
        <v>7</v>
      </c>
      <c r="N241" t="s">
        <v>7</v>
      </c>
      <c r="P241">
        <f t="shared" si="960"/>
        <v>-0.30473186119873757</v>
      </c>
      <c r="Q241">
        <f t="shared" si="961"/>
        <v>-17598.257061198703</v>
      </c>
      <c r="R241">
        <f t="shared" si="962"/>
        <v>4100919.6286234576</v>
      </c>
      <c r="S241">
        <f t="shared" si="963"/>
        <v>41.009196286234577</v>
      </c>
      <c r="T241">
        <f t="shared" si="964"/>
        <v>4.1009196286234575E-2</v>
      </c>
    </row>
    <row r="242" spans="1:20" x14ac:dyDescent="0.25">
      <c r="A242" s="5">
        <v>44351</v>
      </c>
      <c r="B242">
        <v>31.797999999999998</v>
      </c>
      <c r="C242">
        <v>31.81</v>
      </c>
      <c r="D242">
        <v>28.143000000000001</v>
      </c>
      <c r="E242">
        <v>29.094999999999999</v>
      </c>
      <c r="F242">
        <v>128428.948</v>
      </c>
      <c r="G242">
        <v>0</v>
      </c>
      <c r="L242" t="s">
        <v>7</v>
      </c>
      <c r="M242" t="s">
        <v>8</v>
      </c>
      <c r="N242" t="s">
        <v>7</v>
      </c>
      <c r="P242">
        <f t="shared" si="960"/>
        <v>-0.48077447504772364</v>
      </c>
      <c r="Q242">
        <f t="shared" si="961"/>
        <v>-61745.360055631398</v>
      </c>
      <c r="R242">
        <f t="shared" si="962"/>
        <v>4118517.8856846564</v>
      </c>
      <c r="S242">
        <f t="shared" si="963"/>
        <v>41.185178856846562</v>
      </c>
      <c r="T242">
        <f t="shared" si="964"/>
        <v>4.1185178856846562E-2</v>
      </c>
    </row>
    <row r="243" spans="1:20" x14ac:dyDescent="0.25">
      <c r="A243" s="5">
        <v>44350</v>
      </c>
      <c r="B243">
        <v>30.532</v>
      </c>
      <c r="C243">
        <v>32.369999999999997</v>
      </c>
      <c r="D243">
        <v>29.942</v>
      </c>
      <c r="E243">
        <v>31.798999999999999</v>
      </c>
      <c r="F243">
        <v>97511.433000000005</v>
      </c>
      <c r="G243">
        <v>0</v>
      </c>
      <c r="L243" t="s">
        <v>8</v>
      </c>
      <c r="M243" t="s">
        <v>8</v>
      </c>
      <c r="N243" t="s">
        <v>7</v>
      </c>
      <c r="P243">
        <f t="shared" si="960"/>
        <v>0.52965403624382323</v>
      </c>
      <c r="Q243">
        <f t="shared" si="961"/>
        <v>51647.32406836914</v>
      </c>
      <c r="R243">
        <f t="shared" si="962"/>
        <v>4180263.2457402879</v>
      </c>
      <c r="S243">
        <f t="shared" si="963"/>
        <v>41.802632457402879</v>
      </c>
      <c r="T243">
        <f t="shared" si="964"/>
        <v>4.1802632457402879E-2</v>
      </c>
    </row>
    <row r="244" spans="1:20" x14ac:dyDescent="0.25">
      <c r="A244" s="5">
        <v>44349</v>
      </c>
      <c r="B244">
        <v>29.081</v>
      </c>
      <c r="C244">
        <v>31.681999999999999</v>
      </c>
      <c r="D244">
        <v>28.265000000000001</v>
      </c>
      <c r="E244">
        <v>30.558</v>
      </c>
      <c r="F244">
        <v>126459.97199999999</v>
      </c>
      <c r="G244">
        <v>0</v>
      </c>
      <c r="L244" t="s">
        <v>8</v>
      </c>
      <c r="M244" t="s">
        <v>8</v>
      </c>
      <c r="N244" t="s">
        <v>7</v>
      </c>
      <c r="P244">
        <f t="shared" si="960"/>
        <v>0.34211296458882096</v>
      </c>
      <c r="Q244">
        <f t="shared" si="961"/>
        <v>43263.595922739289</v>
      </c>
      <c r="R244">
        <f t="shared" si="962"/>
        <v>4128615.9216719186</v>
      </c>
      <c r="S244">
        <f t="shared" si="963"/>
        <v>41.286159216719184</v>
      </c>
      <c r="T244">
        <f t="shared" si="964"/>
        <v>4.1286159216719187E-2</v>
      </c>
    </row>
    <row r="245" spans="1:20" x14ac:dyDescent="0.25">
      <c r="A245" s="5">
        <v>44348</v>
      </c>
      <c r="B245">
        <v>30.649000000000001</v>
      </c>
      <c r="C245">
        <v>31.093</v>
      </c>
      <c r="D245">
        <v>27.917999999999999</v>
      </c>
      <c r="E245">
        <v>29.076000000000001</v>
      </c>
      <c r="F245">
        <v>86738.596000000005</v>
      </c>
      <c r="G245">
        <v>0</v>
      </c>
      <c r="L245" t="s">
        <v>7</v>
      </c>
      <c r="M245" t="s">
        <v>8</v>
      </c>
      <c r="N245" t="s">
        <v>7</v>
      </c>
      <c r="P245">
        <f t="shared" si="960"/>
        <v>-0.27055118110236159</v>
      </c>
      <c r="Q245">
        <f t="shared" si="961"/>
        <v>-23467.22959496058</v>
      </c>
      <c r="R245">
        <f t="shared" si="962"/>
        <v>4085352.3257491793</v>
      </c>
      <c r="S245">
        <f t="shared" si="963"/>
        <v>40.853523257491794</v>
      </c>
      <c r="T245">
        <f t="shared" si="964"/>
        <v>4.0853523257491794E-2</v>
      </c>
    </row>
    <row r="246" spans="1:20" x14ac:dyDescent="0.25">
      <c r="A246" s="5">
        <v>44347</v>
      </c>
      <c r="B246">
        <v>27.617000000000001</v>
      </c>
      <c r="C246">
        <v>30.998999999999999</v>
      </c>
      <c r="D246">
        <v>26.327000000000002</v>
      </c>
      <c r="E246">
        <v>30.757000000000001</v>
      </c>
      <c r="F246">
        <v>116897.105</v>
      </c>
      <c r="G246">
        <v>0</v>
      </c>
      <c r="L246" t="s">
        <v>8</v>
      </c>
      <c r="M246" t="s">
        <v>8</v>
      </c>
      <c r="N246" t="s">
        <v>7</v>
      </c>
      <c r="P246">
        <f t="shared" si="960"/>
        <v>0.89640410958904215</v>
      </c>
      <c r="Q246">
        <f t="shared" si="961"/>
        <v>104787.04532106177</v>
      </c>
      <c r="R246">
        <f t="shared" si="962"/>
        <v>4108819.5553441402</v>
      </c>
      <c r="S246">
        <f t="shared" si="963"/>
        <v>41.088195553441402</v>
      </c>
      <c r="T246">
        <f t="shared" si="964"/>
        <v>4.1088195553441405E-2</v>
      </c>
    </row>
    <row r="247" spans="1:20" x14ac:dyDescent="0.25">
      <c r="A247" s="5">
        <v>44346</v>
      </c>
      <c r="B247">
        <v>26.856000000000002</v>
      </c>
      <c r="C247">
        <v>29.024999999999999</v>
      </c>
      <c r="D247">
        <v>25.367000000000001</v>
      </c>
      <c r="E247">
        <v>27.648</v>
      </c>
      <c r="F247">
        <v>47521.438999999998</v>
      </c>
      <c r="G247">
        <v>0</v>
      </c>
      <c r="L247" t="s">
        <v>7</v>
      </c>
      <c r="M247" t="s">
        <v>7</v>
      </c>
      <c r="N247" t="s">
        <v>7</v>
      </c>
      <c r="P247">
        <f t="shared" si="960"/>
        <v>0.24712957900492086</v>
      </c>
      <c r="Q247">
        <f t="shared" si="961"/>
        <v>11743.953213778026</v>
      </c>
      <c r="R247">
        <f t="shared" si="962"/>
        <v>4004032.5100230784</v>
      </c>
      <c r="S247">
        <f t="shared" si="963"/>
        <v>40.040325100230781</v>
      </c>
      <c r="T247">
        <f t="shared" si="964"/>
        <v>4.0040325100230784E-2</v>
      </c>
    </row>
    <row r="248" spans="1:20" x14ac:dyDescent="0.25">
      <c r="A248" s="5">
        <v>44345</v>
      </c>
      <c r="B248">
        <v>28.21</v>
      </c>
      <c r="C248">
        <v>30.494</v>
      </c>
      <c r="D248">
        <v>25.908999999999999</v>
      </c>
      <c r="E248">
        <v>26.837</v>
      </c>
      <c r="F248">
        <v>165205.611</v>
      </c>
      <c r="G248">
        <v>0</v>
      </c>
      <c r="L248" t="s">
        <v>7</v>
      </c>
      <c r="M248" t="s">
        <v>7</v>
      </c>
      <c r="N248" t="s">
        <v>8</v>
      </c>
      <c r="P248">
        <f t="shared" si="960"/>
        <v>-0.59520174482006516</v>
      </c>
      <c r="Q248">
        <f t="shared" si="961"/>
        <v>-98330.667921264947</v>
      </c>
      <c r="R248">
        <f t="shared" si="962"/>
        <v>3992288.5568093006</v>
      </c>
      <c r="S248">
        <f t="shared" si="963"/>
        <v>39.922885568093008</v>
      </c>
      <c r="T248">
        <f t="shared" si="964"/>
        <v>3.9922885568093008E-2</v>
      </c>
    </row>
    <row r="249" spans="1:20" x14ac:dyDescent="0.25">
      <c r="A249" s="5">
        <v>44344</v>
      </c>
      <c r="B249">
        <v>31.585999999999999</v>
      </c>
      <c r="C249">
        <v>31.914999999999999</v>
      </c>
      <c r="D249">
        <v>27.157</v>
      </c>
      <c r="E249">
        <v>28.236999999999998</v>
      </c>
      <c r="F249">
        <v>119463.13099999999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-0.54602774274905486</v>
      </c>
      <c r="Q249">
        <f t="shared" si="961"/>
        <v>-65230.183761664637</v>
      </c>
      <c r="R249">
        <f t="shared" si="962"/>
        <v>4090619.2247305657</v>
      </c>
      <c r="S249">
        <f t="shared" si="963"/>
        <v>40.906192247305654</v>
      </c>
      <c r="T249">
        <f t="shared" si="964"/>
        <v>4.0906192247305656E-2</v>
      </c>
    </row>
    <row r="250" spans="1:20" x14ac:dyDescent="0.25">
      <c r="A250" s="5">
        <v>44343</v>
      </c>
      <c r="B250">
        <v>33.930999999999997</v>
      </c>
      <c r="C250">
        <v>34.179000000000002</v>
      </c>
      <c r="D250">
        <v>30.774999999999999</v>
      </c>
      <c r="E250">
        <v>31.472000000000001</v>
      </c>
      <c r="F250">
        <v>143148.81299999999</v>
      </c>
      <c r="G250">
        <v>0</v>
      </c>
      <c r="L250" t="s">
        <v>7</v>
      </c>
      <c r="M250" t="s">
        <v>8</v>
      </c>
      <c r="N250" t="s">
        <v>8</v>
      </c>
      <c r="P250">
        <f t="shared" si="960"/>
        <v>-0.59048178613395885</v>
      </c>
      <c r="Q250">
        <f t="shared" si="961"/>
        <v>-84526.766783196072</v>
      </c>
      <c r="R250">
        <f t="shared" si="962"/>
        <v>4155849.4084922303</v>
      </c>
      <c r="S250">
        <f t="shared" si="963"/>
        <v>41.558494084922302</v>
      </c>
      <c r="T250">
        <f t="shared" si="964"/>
        <v>4.15584940849223E-2</v>
      </c>
    </row>
    <row r="251" spans="1:20" x14ac:dyDescent="0.25">
      <c r="A251" s="5">
        <v>44342</v>
      </c>
      <c r="B251">
        <v>31.774999999999999</v>
      </c>
      <c r="C251">
        <v>33.994</v>
      </c>
      <c r="D251">
        <v>31.242999999999999</v>
      </c>
      <c r="E251">
        <v>33.927999999999997</v>
      </c>
      <c r="F251">
        <v>89804.206999999995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0.95201744820065248</v>
      </c>
      <c r="Q251">
        <f t="shared" si="961"/>
        <v>85495.171985823166</v>
      </c>
      <c r="R251">
        <f t="shared" si="962"/>
        <v>4240376.1752754264</v>
      </c>
      <c r="S251">
        <f t="shared" si="963"/>
        <v>42.403761752754264</v>
      </c>
      <c r="T251">
        <f t="shared" si="964"/>
        <v>4.2403761752754267E-2</v>
      </c>
    </row>
    <row r="252" spans="1:20" x14ac:dyDescent="0.25">
      <c r="A252" s="5">
        <v>44341</v>
      </c>
      <c r="B252">
        <v>31.702000000000002</v>
      </c>
      <c r="C252">
        <v>33.066000000000003</v>
      </c>
      <c r="D252">
        <v>28.161999999999999</v>
      </c>
      <c r="E252">
        <v>31.716999999999999</v>
      </c>
      <c r="F252">
        <v>139385.541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0.44983686786296784</v>
      </c>
      <c r="Q252">
        <f t="shared" si="961"/>
        <v>62700.755188825286</v>
      </c>
      <c r="R252">
        <f t="shared" si="962"/>
        <v>4154881.0032896036</v>
      </c>
      <c r="S252">
        <f t="shared" si="963"/>
        <v>41.548810032896036</v>
      </c>
      <c r="T252">
        <f t="shared" si="964"/>
        <v>4.1548810032896039E-2</v>
      </c>
    </row>
    <row r="253" spans="1:20" x14ac:dyDescent="0.25">
      <c r="A253" s="5">
        <v>44340</v>
      </c>
      <c r="B253">
        <v>25.428999999999998</v>
      </c>
      <c r="C253">
        <v>32.058</v>
      </c>
      <c r="D253">
        <v>25.154</v>
      </c>
      <c r="E253">
        <v>31.814</v>
      </c>
      <c r="F253">
        <v>165272.71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0.92931633835457716</v>
      </c>
      <c r="Q253">
        <f t="shared" si="961"/>
        <v>153590.6296871379</v>
      </c>
      <c r="R253">
        <f t="shared" si="962"/>
        <v>4092180.2481007786</v>
      </c>
      <c r="S253">
        <f t="shared" si="963"/>
        <v>40.921802481007788</v>
      </c>
      <c r="T253">
        <f t="shared" si="964"/>
        <v>4.0921802481007789E-2</v>
      </c>
    </row>
    <row r="254" spans="1:20" x14ac:dyDescent="0.25">
      <c r="A254" s="5">
        <v>44339</v>
      </c>
      <c r="B254">
        <v>29.928999999999998</v>
      </c>
      <c r="C254">
        <v>30.988</v>
      </c>
      <c r="D254">
        <v>21.283999999999999</v>
      </c>
      <c r="E254">
        <v>25.396000000000001</v>
      </c>
      <c r="F254">
        <v>216394.53899999999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-0.15251442704039539</v>
      </c>
      <c r="Q254">
        <f t="shared" si="961"/>
        <v>-33003.289130255493</v>
      </c>
      <c r="R254">
        <f t="shared" si="962"/>
        <v>3938589.6184136407</v>
      </c>
      <c r="S254">
        <f t="shared" si="963"/>
        <v>39.385896184136406</v>
      </c>
      <c r="T254">
        <f t="shared" si="964"/>
        <v>3.9385896184136404E-2</v>
      </c>
    </row>
    <row r="255" spans="1:20" x14ac:dyDescent="0.25">
      <c r="A255" s="5">
        <v>44338</v>
      </c>
      <c r="B255">
        <v>32.799999999999997</v>
      </c>
      <c r="C255">
        <v>33.387999999999998</v>
      </c>
      <c r="D255">
        <v>28.584</v>
      </c>
      <c r="E255">
        <v>29.916</v>
      </c>
      <c r="F255">
        <v>128015.147</v>
      </c>
      <c r="G255">
        <v>0</v>
      </c>
      <c r="L255" t="s">
        <v>8</v>
      </c>
      <c r="M255" t="s">
        <v>7</v>
      </c>
      <c r="N255" t="s">
        <v>7</v>
      </c>
      <c r="P255">
        <f t="shared" si="960"/>
        <v>-0.44546211490424598</v>
      </c>
      <c r="Q255">
        <f t="shared" si="961"/>
        <v>-57025.898122397935</v>
      </c>
      <c r="R255">
        <f t="shared" si="962"/>
        <v>3971592.9075438962</v>
      </c>
      <c r="S255">
        <f t="shared" si="963"/>
        <v>39.715929075438964</v>
      </c>
      <c r="T255">
        <f t="shared" si="964"/>
        <v>3.9715929075438965E-2</v>
      </c>
    </row>
    <row r="256" spans="1:20" x14ac:dyDescent="0.25">
      <c r="A256" s="5">
        <v>44337</v>
      </c>
      <c r="B256">
        <v>38.311999999999998</v>
      </c>
      <c r="C256">
        <v>40.615000000000002</v>
      </c>
      <c r="D256">
        <v>28.585999999999999</v>
      </c>
      <c r="E256">
        <v>32.860999999999997</v>
      </c>
      <c r="F256">
        <v>222862.58600000001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-0.28921772383406813</v>
      </c>
      <c r="Q256">
        <f t="shared" si="961"/>
        <v>-64455.809850694262</v>
      </c>
      <c r="R256">
        <f t="shared" si="962"/>
        <v>4028618.8056662939</v>
      </c>
      <c r="S256">
        <f t="shared" si="963"/>
        <v>40.286188056662937</v>
      </c>
      <c r="T256">
        <f t="shared" si="964"/>
        <v>4.0286188056662939E-2</v>
      </c>
    </row>
    <row r="257" spans="1:20" x14ac:dyDescent="0.25">
      <c r="A257" s="5">
        <v>44336</v>
      </c>
      <c r="B257">
        <v>33.701999999999998</v>
      </c>
      <c r="C257">
        <v>41.36</v>
      </c>
      <c r="D257">
        <v>29.507000000000001</v>
      </c>
      <c r="E257">
        <v>38.322000000000003</v>
      </c>
      <c r="F257">
        <v>328761.74300000002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0.48738715936893662</v>
      </c>
      <c r="Q257">
        <f t="shared" si="961"/>
        <v>160234.25202995038</v>
      </c>
      <c r="R257">
        <f t="shared" si="962"/>
        <v>4093074.6155169881</v>
      </c>
      <c r="S257">
        <f t="shared" si="963"/>
        <v>40.930746155169878</v>
      </c>
      <c r="T257">
        <f t="shared" si="964"/>
        <v>4.0930746155169881E-2</v>
      </c>
    </row>
    <row r="258" spans="1:20" x14ac:dyDescent="0.25">
      <c r="A258" s="5">
        <v>44335</v>
      </c>
      <c r="B258">
        <v>49.664999999999999</v>
      </c>
      <c r="C258">
        <v>50.87</v>
      </c>
      <c r="D258">
        <v>24.939</v>
      </c>
      <c r="E258">
        <v>33.680999999999997</v>
      </c>
      <c r="F258">
        <v>441784.70899999997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-0.32574910338976526</v>
      </c>
      <c r="Q258">
        <f t="shared" si="961"/>
        <v>-143910.97284805836</v>
      </c>
      <c r="R258">
        <f t="shared" si="962"/>
        <v>3932840.3634870378</v>
      </c>
      <c r="S258">
        <f t="shared" si="963"/>
        <v>39.328403634870376</v>
      </c>
      <c r="T258">
        <f t="shared" si="964"/>
        <v>3.9328403634870376E-2</v>
      </c>
    </row>
    <row r="259" spans="1:20" x14ac:dyDescent="0.25">
      <c r="A259" s="5">
        <v>44334</v>
      </c>
      <c r="B259">
        <v>48.597000000000001</v>
      </c>
      <c r="C259">
        <v>56</v>
      </c>
      <c r="D259">
        <v>48.101999999999997</v>
      </c>
      <c r="E259">
        <v>49.674999999999997</v>
      </c>
      <c r="F259">
        <v>114839.284</v>
      </c>
      <c r="G259">
        <v>0</v>
      </c>
      <c r="L259" t="s">
        <v>8</v>
      </c>
      <c r="M259" t="s">
        <v>7</v>
      </c>
      <c r="N259" t="s">
        <v>7</v>
      </c>
      <c r="P259">
        <f t="shared" si="960"/>
        <v>-0.60167130919220058</v>
      </c>
      <c r="Q259">
        <f t="shared" si="961"/>
        <v>-69095.50235097493</v>
      </c>
      <c r="R259">
        <f t="shared" si="962"/>
        <v>4076751.336335096</v>
      </c>
      <c r="S259">
        <f t="shared" si="963"/>
        <v>40.767513363350957</v>
      </c>
      <c r="T259">
        <f t="shared" si="964"/>
        <v>4.0767513363350959E-2</v>
      </c>
    </row>
    <row r="260" spans="1:20" x14ac:dyDescent="0.25">
      <c r="A260" s="5">
        <v>44333</v>
      </c>
      <c r="B260">
        <v>54.017000000000003</v>
      </c>
      <c r="C260">
        <v>54.543999999999997</v>
      </c>
      <c r="D260">
        <v>47.253</v>
      </c>
      <c r="E260">
        <v>48.524999999999999</v>
      </c>
      <c r="F260">
        <v>165620.13099999999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-0.65107666986695956</v>
      </c>
      <c r="Q260">
        <f t="shared" si="961"/>
        <v>-107831.40335440959</v>
      </c>
      <c r="R260">
        <f t="shared" si="962"/>
        <v>4145846.8386860709</v>
      </c>
      <c r="S260">
        <f t="shared" si="963"/>
        <v>41.458468386860709</v>
      </c>
      <c r="T260">
        <f t="shared" si="964"/>
        <v>4.1458468386860708E-2</v>
      </c>
    </row>
    <row r="261" spans="1:20" x14ac:dyDescent="0.25">
      <c r="A261" s="5">
        <v>44332</v>
      </c>
      <c r="B261">
        <v>56.637999999999998</v>
      </c>
      <c r="C261">
        <v>59.808</v>
      </c>
      <c r="D261">
        <v>50.703000000000003</v>
      </c>
      <c r="E261">
        <v>54.017000000000003</v>
      </c>
      <c r="F261">
        <v>131392.24600000001</v>
      </c>
      <c r="G261">
        <v>0</v>
      </c>
      <c r="L261" t="s">
        <v>7</v>
      </c>
      <c r="M261" t="s">
        <v>7</v>
      </c>
      <c r="N261" t="s">
        <v>7</v>
      </c>
      <c r="P261">
        <f t="shared" si="960"/>
        <v>-0.27204832509610077</v>
      </c>
      <c r="Q261">
        <f t="shared" si="961"/>
        <v>-35745.040454914852</v>
      </c>
      <c r="R261">
        <f t="shared" si="962"/>
        <v>4253678.2420404805</v>
      </c>
      <c r="S261">
        <f t="shared" si="963"/>
        <v>42.536782420404805</v>
      </c>
      <c r="T261">
        <f t="shared" si="964"/>
        <v>4.2536782420404803E-2</v>
      </c>
    </row>
    <row r="262" spans="1:20" x14ac:dyDescent="0.25">
      <c r="A262" s="5">
        <v>44331</v>
      </c>
      <c r="B262">
        <v>63.308</v>
      </c>
      <c r="C262">
        <v>64.153999999999996</v>
      </c>
      <c r="D262">
        <v>56.015999999999998</v>
      </c>
      <c r="E262">
        <v>56.356000000000002</v>
      </c>
      <c r="F262">
        <v>111630.677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5">IF(C262=D262,0,((E262-D262)-(C262-E262))/(C262-D262))</f>
        <v>-0.91644138608994752</v>
      </c>
      <c r="Q262">
        <f t="shared" ref="Q262:Q325" si="966">F262*P262</f>
        <v>-102302.97236003922</v>
      </c>
      <c r="R262">
        <f t="shared" ref="R262:R325" si="967">R263+Q262</f>
        <v>4289423.2824953953</v>
      </c>
      <c r="S262">
        <f t="shared" ref="S262:S325" si="968">R262/100000</f>
        <v>42.894232824953953</v>
      </c>
      <c r="T262">
        <f t="shared" ref="T262:T325" si="969">S262/1000</f>
        <v>4.289423282495395E-2</v>
      </c>
    </row>
    <row r="263" spans="1:20" x14ac:dyDescent="0.25">
      <c r="A263" s="5">
        <v>44330</v>
      </c>
      <c r="B263">
        <v>59.887</v>
      </c>
      <c r="C263">
        <v>65.998999999999995</v>
      </c>
      <c r="D263">
        <v>59.436999999999998</v>
      </c>
      <c r="E263">
        <v>63.250999999999998</v>
      </c>
      <c r="F263">
        <v>141437.11900000001</v>
      </c>
      <c r="G263">
        <v>0</v>
      </c>
      <c r="L263" t="s">
        <v>8</v>
      </c>
      <c r="M263" t="s">
        <v>7</v>
      </c>
      <c r="N263" t="s">
        <v>8</v>
      </c>
      <c r="P263">
        <f t="shared" si="965"/>
        <v>0.16245047241694649</v>
      </c>
      <c r="Q263">
        <f t="shared" si="966"/>
        <v>22976.526798841878</v>
      </c>
      <c r="R263">
        <f t="shared" si="967"/>
        <v>4391726.2548554344</v>
      </c>
      <c r="S263">
        <f t="shared" si="968"/>
        <v>43.917262548554341</v>
      </c>
      <c r="T263">
        <f t="shared" si="969"/>
        <v>4.3917262548554339E-2</v>
      </c>
    </row>
    <row r="264" spans="1:20" x14ac:dyDescent="0.25">
      <c r="A264" s="5">
        <v>44329</v>
      </c>
      <c r="B264">
        <v>61.712000000000003</v>
      </c>
      <c r="C264">
        <v>66.397000000000006</v>
      </c>
      <c r="D264">
        <v>56.478999999999999</v>
      </c>
      <c r="E264">
        <v>59.871000000000002</v>
      </c>
      <c r="F264">
        <v>220866.50700000001</v>
      </c>
      <c r="G264">
        <v>0</v>
      </c>
      <c r="L264" t="s">
        <v>7</v>
      </c>
      <c r="M264" t="s">
        <v>7</v>
      </c>
      <c r="N264" t="s">
        <v>8</v>
      </c>
      <c r="P264">
        <f t="shared" si="965"/>
        <v>-0.31599112724339568</v>
      </c>
      <c r="Q264">
        <f t="shared" si="966"/>
        <v>-69791.856517241351</v>
      </c>
      <c r="R264">
        <f t="shared" si="967"/>
        <v>4368749.7280565929</v>
      </c>
      <c r="S264">
        <f t="shared" si="968"/>
        <v>43.687497280565928</v>
      </c>
      <c r="T264">
        <f t="shared" si="969"/>
        <v>4.368749728056593E-2</v>
      </c>
    </row>
    <row r="265" spans="1:20" x14ac:dyDescent="0.25">
      <c r="A265" s="5">
        <v>44328</v>
      </c>
      <c r="B265">
        <v>70.575000000000003</v>
      </c>
      <c r="C265">
        <v>73.947000000000003</v>
      </c>
      <c r="D265">
        <v>60.024999999999999</v>
      </c>
      <c r="E265">
        <v>61.701999999999998</v>
      </c>
      <c r="F265">
        <v>317755.56300000002</v>
      </c>
      <c r="G265">
        <v>0</v>
      </c>
      <c r="L265" t="s">
        <v>7</v>
      </c>
      <c r="M265" t="s">
        <v>7</v>
      </c>
      <c r="N265" t="s">
        <v>8</v>
      </c>
      <c r="P265">
        <f t="shared" si="965"/>
        <v>-0.75908633816980331</v>
      </c>
      <c r="Q265">
        <f t="shared" si="966"/>
        <v>-241203.90675075425</v>
      </c>
      <c r="R265">
        <f t="shared" si="967"/>
        <v>4438541.5845738342</v>
      </c>
      <c r="S265">
        <f t="shared" si="968"/>
        <v>44.385415845738343</v>
      </c>
      <c r="T265">
        <f t="shared" si="969"/>
        <v>4.4385415845738345E-2</v>
      </c>
    </row>
    <row r="266" spans="1:20" x14ac:dyDescent="0.25">
      <c r="A266" s="5">
        <v>44327</v>
      </c>
      <c r="B266">
        <v>61.582999999999998</v>
      </c>
      <c r="C266">
        <v>74.599999999999994</v>
      </c>
      <c r="D266">
        <v>58.81</v>
      </c>
      <c r="E266">
        <v>70.596999999999994</v>
      </c>
      <c r="F266">
        <v>298646.76199999999</v>
      </c>
      <c r="G266">
        <v>0</v>
      </c>
      <c r="L266" t="s">
        <v>8</v>
      </c>
      <c r="M266" t="s">
        <v>8</v>
      </c>
      <c r="N266" t="s">
        <v>8</v>
      </c>
      <c r="P266">
        <f t="shared" si="965"/>
        <v>0.49297023432552223</v>
      </c>
      <c r="Q266">
        <f t="shared" si="966"/>
        <v>147223.96424369846</v>
      </c>
      <c r="R266">
        <f t="shared" si="967"/>
        <v>4679745.4913245887</v>
      </c>
      <c r="S266">
        <f t="shared" si="968"/>
        <v>46.797454913245886</v>
      </c>
      <c r="T266">
        <f t="shared" si="969"/>
        <v>4.6797454913245884E-2</v>
      </c>
    </row>
    <row r="267" spans="1:20" x14ac:dyDescent="0.25">
      <c r="A267" s="5">
        <v>44326</v>
      </c>
      <c r="B267">
        <v>66.277000000000001</v>
      </c>
      <c r="C267">
        <v>69.373999999999995</v>
      </c>
      <c r="D267">
        <v>57.33</v>
      </c>
      <c r="E267">
        <v>61.631</v>
      </c>
      <c r="F267">
        <v>199613.03700000001</v>
      </c>
      <c r="G267">
        <v>0</v>
      </c>
      <c r="L267" t="s">
        <v>7</v>
      </c>
      <c r="M267" t="s">
        <v>7</v>
      </c>
      <c r="N267" t="s">
        <v>8</v>
      </c>
      <c r="P267">
        <f t="shared" si="965"/>
        <v>-0.28578545333776106</v>
      </c>
      <c r="Q267">
        <f t="shared" si="966"/>
        <v>-57046.502271172278</v>
      </c>
      <c r="R267">
        <f t="shared" si="967"/>
        <v>4532521.5270808898</v>
      </c>
      <c r="S267">
        <f t="shared" si="968"/>
        <v>45.325215270808897</v>
      </c>
      <c r="T267">
        <f t="shared" si="969"/>
        <v>4.5325215270808898E-2</v>
      </c>
    </row>
    <row r="268" spans="1:20" x14ac:dyDescent="0.25">
      <c r="A268" s="5">
        <v>44325</v>
      </c>
      <c r="B268">
        <v>69.656000000000006</v>
      </c>
      <c r="C268">
        <v>70.867000000000004</v>
      </c>
      <c r="D268">
        <v>64.070999999999998</v>
      </c>
      <c r="E268">
        <v>66.27</v>
      </c>
      <c r="F268">
        <v>153515.698</v>
      </c>
      <c r="G268">
        <v>0</v>
      </c>
      <c r="L268" t="s">
        <v>7</v>
      </c>
      <c r="M268" t="s">
        <v>8</v>
      </c>
      <c r="N268" t="s">
        <v>8</v>
      </c>
      <c r="P268">
        <f t="shared" si="965"/>
        <v>-0.35285462036492171</v>
      </c>
      <c r="Q268">
        <f t="shared" si="966"/>
        <v>-54168.723337845971</v>
      </c>
      <c r="R268">
        <f t="shared" si="967"/>
        <v>4589568.0293520624</v>
      </c>
      <c r="S268">
        <f t="shared" si="968"/>
        <v>45.895680293520627</v>
      </c>
      <c r="T268">
        <f t="shared" si="969"/>
        <v>4.5895680293520626E-2</v>
      </c>
    </row>
    <row r="269" spans="1:20" x14ac:dyDescent="0.25">
      <c r="A269" s="5">
        <v>44324</v>
      </c>
      <c r="B269">
        <v>64.757000000000005</v>
      </c>
      <c r="C269">
        <v>71.242999999999995</v>
      </c>
      <c r="D269">
        <v>63.725999999999999</v>
      </c>
      <c r="E269">
        <v>69.643000000000001</v>
      </c>
      <c r="F269">
        <v>150799.62299999999</v>
      </c>
      <c r="G269">
        <v>0</v>
      </c>
      <c r="L269" t="s">
        <v>8</v>
      </c>
      <c r="M269" t="s">
        <v>8</v>
      </c>
      <c r="N269" t="s">
        <v>8</v>
      </c>
      <c r="P269">
        <f t="shared" si="965"/>
        <v>0.57429825728349204</v>
      </c>
      <c r="Q269">
        <f t="shared" si="966"/>
        <v>86603.960687907602</v>
      </c>
      <c r="R269">
        <f t="shared" si="967"/>
        <v>4643736.7526899083</v>
      </c>
      <c r="S269">
        <f t="shared" si="968"/>
        <v>46.437367526899081</v>
      </c>
      <c r="T269">
        <f t="shared" si="969"/>
        <v>4.643736752689908E-2</v>
      </c>
    </row>
    <row r="270" spans="1:20" x14ac:dyDescent="0.25">
      <c r="A270" s="5">
        <v>44323</v>
      </c>
      <c r="B270">
        <v>66.554000000000002</v>
      </c>
      <c r="C270">
        <v>68.11</v>
      </c>
      <c r="D270">
        <v>63.295999999999999</v>
      </c>
      <c r="E270">
        <v>64.771000000000001</v>
      </c>
      <c r="F270">
        <v>136805.603</v>
      </c>
      <c r="G270">
        <v>0</v>
      </c>
      <c r="L270" t="s">
        <v>7</v>
      </c>
      <c r="M270" t="s">
        <v>8</v>
      </c>
      <c r="N270" t="s">
        <v>8</v>
      </c>
      <c r="P270">
        <f t="shared" si="965"/>
        <v>-0.38720398836726155</v>
      </c>
      <c r="Q270">
        <f t="shared" si="966"/>
        <v>-52971.6751125882</v>
      </c>
      <c r="R270">
        <f t="shared" si="967"/>
        <v>4557132.7920020008</v>
      </c>
      <c r="S270">
        <f t="shared" si="968"/>
        <v>45.571327920020011</v>
      </c>
      <c r="T270">
        <f t="shared" si="969"/>
        <v>4.5571327920020013E-2</v>
      </c>
    </row>
    <row r="271" spans="1:20" x14ac:dyDescent="0.25">
      <c r="A271" s="5">
        <v>44322</v>
      </c>
      <c r="B271">
        <v>68.677000000000007</v>
      </c>
      <c r="C271">
        <v>69.191999999999993</v>
      </c>
      <c r="D271">
        <v>64.537000000000006</v>
      </c>
      <c r="E271">
        <v>66.555000000000007</v>
      </c>
      <c r="F271">
        <v>141725.49600000001</v>
      </c>
      <c r="G271">
        <v>0</v>
      </c>
      <c r="L271" t="s">
        <v>7</v>
      </c>
      <c r="M271" t="s">
        <v>8</v>
      </c>
      <c r="N271" t="s">
        <v>8</v>
      </c>
      <c r="P271">
        <f t="shared" si="965"/>
        <v>-0.1329752953813077</v>
      </c>
      <c r="Q271">
        <f t="shared" si="966"/>
        <v>-18845.989693662345</v>
      </c>
      <c r="R271">
        <f t="shared" si="967"/>
        <v>4610104.4671145892</v>
      </c>
      <c r="S271">
        <f t="shared" si="968"/>
        <v>46.101044671145893</v>
      </c>
      <c r="T271">
        <f t="shared" si="969"/>
        <v>4.610104467114589E-2</v>
      </c>
    </row>
    <row r="272" spans="1:20" x14ac:dyDescent="0.25">
      <c r="A272" s="5">
        <v>44321</v>
      </c>
      <c r="B272">
        <v>65.067999999999998</v>
      </c>
      <c r="C272">
        <v>68.775000000000006</v>
      </c>
      <c r="D272">
        <v>64.039000000000001</v>
      </c>
      <c r="E272">
        <v>68.753</v>
      </c>
      <c r="F272">
        <v>239552.29800000001</v>
      </c>
      <c r="G272">
        <v>0</v>
      </c>
      <c r="L272" t="s">
        <v>7</v>
      </c>
      <c r="M272" t="s">
        <v>8</v>
      </c>
      <c r="N272" t="s">
        <v>8</v>
      </c>
      <c r="P272">
        <f t="shared" si="965"/>
        <v>0.9907094594594571</v>
      </c>
      <c r="Q272">
        <f t="shared" si="966"/>
        <v>237326.72766385079</v>
      </c>
      <c r="R272">
        <f t="shared" si="967"/>
        <v>4628950.4568082513</v>
      </c>
      <c r="S272">
        <f t="shared" si="968"/>
        <v>46.289504568082513</v>
      </c>
      <c r="T272">
        <f t="shared" si="969"/>
        <v>4.6289504568082514E-2</v>
      </c>
    </row>
    <row r="273" spans="1:20" x14ac:dyDescent="0.25">
      <c r="A273" s="5">
        <v>44320</v>
      </c>
      <c r="B273">
        <v>72.013000000000005</v>
      </c>
      <c r="C273">
        <v>75.085999999999999</v>
      </c>
      <c r="D273">
        <v>63.866999999999997</v>
      </c>
      <c r="E273">
        <v>64.991</v>
      </c>
      <c r="F273">
        <v>383556.34499999997</v>
      </c>
      <c r="G273">
        <v>0</v>
      </c>
      <c r="L273" t="s">
        <v>8</v>
      </c>
      <c r="M273" t="s">
        <v>8</v>
      </c>
      <c r="N273" t="s">
        <v>8</v>
      </c>
      <c r="P273">
        <f t="shared" si="965"/>
        <v>-0.79962563508334039</v>
      </c>
      <c r="Q273">
        <f t="shared" si="966"/>
        <v>-306701.48596086982</v>
      </c>
      <c r="R273">
        <f t="shared" si="967"/>
        <v>4391623.7291444009</v>
      </c>
      <c r="S273">
        <f t="shared" si="968"/>
        <v>43.916237291444013</v>
      </c>
      <c r="T273">
        <f t="shared" si="969"/>
        <v>4.3916237291444012E-2</v>
      </c>
    </row>
    <row r="274" spans="1:20" x14ac:dyDescent="0.25">
      <c r="A274" s="5">
        <v>44319</v>
      </c>
      <c r="B274">
        <v>61.558999999999997</v>
      </c>
      <c r="C274">
        <v>73.090999999999994</v>
      </c>
      <c r="D274">
        <v>61.454999999999998</v>
      </c>
      <c r="E274">
        <v>72.012</v>
      </c>
      <c r="F274">
        <v>343504.58799999999</v>
      </c>
      <c r="G274">
        <v>0</v>
      </c>
      <c r="L274" t="s">
        <v>8</v>
      </c>
      <c r="M274" t="s">
        <v>8</v>
      </c>
      <c r="N274" t="s">
        <v>8</v>
      </c>
      <c r="P274">
        <f t="shared" si="965"/>
        <v>0.81454107940873255</v>
      </c>
      <c r="Q274">
        <f t="shared" si="966"/>
        <v>279798.59789137193</v>
      </c>
      <c r="R274">
        <f t="shared" si="967"/>
        <v>4698325.215105271</v>
      </c>
      <c r="S274">
        <f t="shared" si="968"/>
        <v>46.98325215105271</v>
      </c>
      <c r="T274">
        <f t="shared" si="969"/>
        <v>4.6983252151052708E-2</v>
      </c>
    </row>
    <row r="275" spans="1:20" x14ac:dyDescent="0.25">
      <c r="A275" s="5">
        <v>44318</v>
      </c>
      <c r="B275">
        <v>63.509</v>
      </c>
      <c r="C275">
        <v>63.697000000000003</v>
      </c>
      <c r="D275">
        <v>59.491</v>
      </c>
      <c r="E275">
        <v>61.506</v>
      </c>
      <c r="F275">
        <v>136475.17000000001</v>
      </c>
      <c r="G275">
        <v>0</v>
      </c>
      <c r="L275" t="s">
        <v>7</v>
      </c>
      <c r="M275" t="s">
        <v>8</v>
      </c>
      <c r="N275" t="s">
        <v>8</v>
      </c>
      <c r="P275">
        <f t="shared" si="965"/>
        <v>-4.1844983357109324E-2</v>
      </c>
      <c r="Q275">
        <f t="shared" si="966"/>
        <v>-5710.8012173086663</v>
      </c>
      <c r="R275">
        <f t="shared" si="967"/>
        <v>4418526.6172138993</v>
      </c>
      <c r="S275">
        <f t="shared" si="968"/>
        <v>44.185266172138995</v>
      </c>
      <c r="T275">
        <f t="shared" si="969"/>
        <v>4.4185266172138998E-2</v>
      </c>
    </row>
    <row r="276" spans="1:20" x14ac:dyDescent="0.25">
      <c r="A276" s="5">
        <v>44317</v>
      </c>
      <c r="B276">
        <v>61.890999999999998</v>
      </c>
      <c r="C276">
        <v>64.128</v>
      </c>
      <c r="D276">
        <v>60.95</v>
      </c>
      <c r="E276">
        <v>63.435000000000002</v>
      </c>
      <c r="F276">
        <v>174134.86300000001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0.5638766519823798</v>
      </c>
      <c r="Q276">
        <f t="shared" si="966"/>
        <v>98190.583541850385</v>
      </c>
      <c r="R276">
        <f t="shared" si="967"/>
        <v>4424237.4184312075</v>
      </c>
      <c r="S276">
        <f t="shared" si="968"/>
        <v>44.242374184312077</v>
      </c>
      <c r="T276">
        <f t="shared" si="969"/>
        <v>4.4242374184312074E-2</v>
      </c>
    </row>
    <row r="277" spans="1:20" x14ac:dyDescent="0.25">
      <c r="A277" s="5">
        <v>44316</v>
      </c>
      <c r="B277">
        <v>58.953000000000003</v>
      </c>
      <c r="C277">
        <v>62.988999999999997</v>
      </c>
      <c r="D277">
        <v>58.034999999999997</v>
      </c>
      <c r="E277">
        <v>61.890999999999998</v>
      </c>
      <c r="F277">
        <v>186817.38500000001</v>
      </c>
      <c r="G277">
        <v>0</v>
      </c>
      <c r="L277" t="s">
        <v>8</v>
      </c>
      <c r="M277" t="s">
        <v>8</v>
      </c>
      <c r="N277" t="s">
        <v>8</v>
      </c>
      <c r="P277">
        <f t="shared" si="965"/>
        <v>0.55672184093661736</v>
      </c>
      <c r="Q277">
        <f t="shared" si="966"/>
        <v>104005.31849616481</v>
      </c>
      <c r="R277">
        <f t="shared" si="967"/>
        <v>4326046.834889357</v>
      </c>
      <c r="S277">
        <f t="shared" si="968"/>
        <v>43.260468348893568</v>
      </c>
      <c r="T277">
        <f t="shared" si="969"/>
        <v>4.326046834889357E-2</v>
      </c>
    </row>
    <row r="278" spans="1:20" x14ac:dyDescent="0.25">
      <c r="A278" s="5">
        <v>44315</v>
      </c>
      <c r="B278">
        <v>58.816000000000003</v>
      </c>
      <c r="C278">
        <v>62.561999999999998</v>
      </c>
      <c r="D278">
        <v>56.405000000000001</v>
      </c>
      <c r="E278">
        <v>58.898000000000003</v>
      </c>
      <c r="F278">
        <v>292792.82</v>
      </c>
      <c r="G278">
        <v>0</v>
      </c>
      <c r="L278" t="s">
        <v>7</v>
      </c>
      <c r="M278" t="s">
        <v>8</v>
      </c>
      <c r="N278" t="s">
        <v>8</v>
      </c>
      <c r="P278">
        <f t="shared" si="965"/>
        <v>-0.1901900276108483</v>
      </c>
      <c r="Q278">
        <f t="shared" si="966"/>
        <v>-55686.274520058141</v>
      </c>
      <c r="R278">
        <f t="shared" si="967"/>
        <v>4222041.5163931921</v>
      </c>
      <c r="S278">
        <f t="shared" si="968"/>
        <v>42.220415163931918</v>
      </c>
      <c r="T278">
        <f t="shared" si="969"/>
        <v>4.2220415163931921E-2</v>
      </c>
    </row>
    <row r="279" spans="1:20" x14ac:dyDescent="0.25">
      <c r="A279" s="5">
        <v>44314</v>
      </c>
      <c r="B279">
        <v>59.633000000000003</v>
      </c>
      <c r="C279">
        <v>62.95</v>
      </c>
      <c r="D279">
        <v>56.2</v>
      </c>
      <c r="E279">
        <v>58.764000000000003</v>
      </c>
      <c r="F279">
        <v>280346.13799999998</v>
      </c>
      <c r="G279">
        <v>0</v>
      </c>
      <c r="L279" t="s">
        <v>8</v>
      </c>
      <c r="M279" t="s">
        <v>8</v>
      </c>
      <c r="N279" t="s">
        <v>8</v>
      </c>
      <c r="P279">
        <f t="shared" si="965"/>
        <v>-0.24029629629629629</v>
      </c>
      <c r="Q279">
        <f t="shared" si="966"/>
        <v>-67366.138642370366</v>
      </c>
      <c r="R279">
        <f t="shared" si="967"/>
        <v>4277727.7909132503</v>
      </c>
      <c r="S279">
        <f t="shared" si="968"/>
        <v>42.777277909132501</v>
      </c>
      <c r="T279">
        <f t="shared" si="969"/>
        <v>4.2777277909132501E-2</v>
      </c>
    </row>
    <row r="280" spans="1:20" x14ac:dyDescent="0.25">
      <c r="A280" s="5">
        <v>44313</v>
      </c>
      <c r="B280">
        <v>53.234999999999999</v>
      </c>
      <c r="C280">
        <v>61</v>
      </c>
      <c r="D280">
        <v>52.421999999999997</v>
      </c>
      <c r="E280">
        <v>59.689</v>
      </c>
      <c r="F280">
        <v>349568.64600000001</v>
      </c>
      <c r="G280">
        <v>0</v>
      </c>
      <c r="L280" t="s">
        <v>8</v>
      </c>
      <c r="M280" t="s">
        <v>8</v>
      </c>
      <c r="N280" t="s">
        <v>8</v>
      </c>
      <c r="P280">
        <f t="shared" si="965"/>
        <v>0.69433434366985325</v>
      </c>
      <c r="Q280">
        <f t="shared" si="966"/>
        <v>242717.51638796928</v>
      </c>
      <c r="R280">
        <f t="shared" si="967"/>
        <v>4345093.929555621</v>
      </c>
      <c r="S280">
        <f t="shared" si="968"/>
        <v>43.450939295556211</v>
      </c>
      <c r="T280">
        <f t="shared" si="969"/>
        <v>4.3450939295556212E-2</v>
      </c>
    </row>
    <row r="281" spans="1:20" x14ac:dyDescent="0.25">
      <c r="A281" s="5">
        <v>44312</v>
      </c>
      <c r="B281">
        <v>47.988999999999997</v>
      </c>
      <c r="C281">
        <v>54.497</v>
      </c>
      <c r="D281">
        <v>47.56</v>
      </c>
      <c r="E281">
        <v>53.326000000000001</v>
      </c>
      <c r="F281">
        <v>151323.37299999999</v>
      </c>
      <c r="G281">
        <v>0</v>
      </c>
      <c r="L281" t="s">
        <v>8</v>
      </c>
      <c r="M281" t="s">
        <v>8</v>
      </c>
      <c r="N281" t="s">
        <v>7</v>
      </c>
      <c r="P281">
        <f t="shared" si="965"/>
        <v>0.66239008216808426</v>
      </c>
      <c r="Q281">
        <f t="shared" si="966"/>
        <v>100235.10147542166</v>
      </c>
      <c r="R281">
        <f t="shared" si="967"/>
        <v>4102376.4131676513</v>
      </c>
      <c r="S281">
        <f t="shared" si="968"/>
        <v>41.023764131676515</v>
      </c>
      <c r="T281">
        <f t="shared" si="969"/>
        <v>4.1023764131676514E-2</v>
      </c>
    </row>
    <row r="282" spans="1:20" x14ac:dyDescent="0.25">
      <c r="A282" s="5">
        <v>44311</v>
      </c>
      <c r="B282">
        <v>46.420999999999999</v>
      </c>
      <c r="C282">
        <v>49.8</v>
      </c>
      <c r="D282">
        <v>44.734000000000002</v>
      </c>
      <c r="E282">
        <v>48.069000000000003</v>
      </c>
      <c r="F282">
        <v>94384.212</v>
      </c>
      <c r="G282">
        <v>0</v>
      </c>
      <c r="L282" t="s">
        <v>7</v>
      </c>
      <c r="M282" t="s">
        <v>7</v>
      </c>
      <c r="N282" t="s">
        <v>7</v>
      </c>
      <c r="P282">
        <f t="shared" si="965"/>
        <v>0.31662060797473507</v>
      </c>
      <c r="Q282">
        <f t="shared" si="966"/>
        <v>29883.986586656287</v>
      </c>
      <c r="R282">
        <f t="shared" si="967"/>
        <v>4002141.3116922295</v>
      </c>
      <c r="S282">
        <f t="shared" si="968"/>
        <v>40.021413116922297</v>
      </c>
      <c r="T282">
        <f t="shared" si="969"/>
        <v>4.0021413116922297E-2</v>
      </c>
    </row>
    <row r="283" spans="1:20" x14ac:dyDescent="0.25">
      <c r="A283" s="5">
        <v>44310</v>
      </c>
      <c r="B283">
        <v>50.911000000000001</v>
      </c>
      <c r="C283">
        <v>50.945</v>
      </c>
      <c r="D283">
        <v>45.494999999999997</v>
      </c>
      <c r="E283">
        <v>46.396000000000001</v>
      </c>
      <c r="F283">
        <v>102057.17</v>
      </c>
      <c r="G283">
        <v>0</v>
      </c>
      <c r="L283" t="s">
        <v>7</v>
      </c>
      <c r="M283" t="s">
        <v>7</v>
      </c>
      <c r="N283" t="s">
        <v>7</v>
      </c>
      <c r="P283">
        <f t="shared" si="965"/>
        <v>-0.66935779816513652</v>
      </c>
      <c r="Q283">
        <f t="shared" si="966"/>
        <v>-68312.76259816502</v>
      </c>
      <c r="R283">
        <f t="shared" si="967"/>
        <v>3972257.3251055731</v>
      </c>
      <c r="S283">
        <f t="shared" si="968"/>
        <v>39.722573251055728</v>
      </c>
      <c r="T283">
        <f t="shared" si="969"/>
        <v>3.9722573251055729E-2</v>
      </c>
    </row>
    <row r="284" spans="1:20" x14ac:dyDescent="0.25">
      <c r="A284" s="5">
        <v>44309</v>
      </c>
      <c r="B284">
        <v>54.286999999999999</v>
      </c>
      <c r="C284">
        <v>55.621000000000002</v>
      </c>
      <c r="D284">
        <v>46.631999999999998</v>
      </c>
      <c r="E284">
        <v>50.904000000000003</v>
      </c>
      <c r="F284">
        <v>258441.8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-4.9504950495048723E-2</v>
      </c>
      <c r="Q284">
        <f t="shared" si="966"/>
        <v>-12794.148514851282</v>
      </c>
      <c r="R284">
        <f t="shared" si="967"/>
        <v>4040570.0877037379</v>
      </c>
      <c r="S284">
        <f t="shared" si="968"/>
        <v>40.405700877037376</v>
      </c>
      <c r="T284">
        <f t="shared" si="969"/>
        <v>4.0405700877037376E-2</v>
      </c>
    </row>
    <row r="285" spans="1:20" x14ac:dyDescent="0.25">
      <c r="A285" s="5">
        <v>44308</v>
      </c>
      <c r="B285">
        <v>55.048000000000002</v>
      </c>
      <c r="C285">
        <v>63</v>
      </c>
      <c r="D285">
        <v>52.348999999999997</v>
      </c>
      <c r="E285">
        <v>54.292999999999999</v>
      </c>
      <c r="F285">
        <v>347835.82900000003</v>
      </c>
      <c r="G285">
        <v>0</v>
      </c>
      <c r="L285" t="s">
        <v>8</v>
      </c>
      <c r="M285" t="s">
        <v>8</v>
      </c>
      <c r="N285" t="s">
        <v>7</v>
      </c>
      <c r="P285">
        <f t="shared" si="965"/>
        <v>-0.63496385315932735</v>
      </c>
      <c r="Q285">
        <f t="shared" si="966"/>
        <v>-220863.17824870892</v>
      </c>
      <c r="R285">
        <f t="shared" si="967"/>
        <v>4053364.2362185894</v>
      </c>
      <c r="S285">
        <f t="shared" si="968"/>
        <v>40.533642362185894</v>
      </c>
      <c r="T285">
        <f t="shared" si="969"/>
        <v>4.0533642362185894E-2</v>
      </c>
    </row>
    <row r="286" spans="1:20" x14ac:dyDescent="0.25">
      <c r="A286" s="5">
        <v>44307</v>
      </c>
      <c r="B286">
        <v>55.753999999999998</v>
      </c>
      <c r="C286">
        <v>59.176000000000002</v>
      </c>
      <c r="D286">
        <v>53.139000000000003</v>
      </c>
      <c r="E286">
        <v>55.045999999999999</v>
      </c>
      <c r="F286">
        <v>280429.41800000001</v>
      </c>
      <c r="G286">
        <v>0</v>
      </c>
      <c r="L286" t="s">
        <v>8</v>
      </c>
      <c r="M286" t="s">
        <v>8</v>
      </c>
      <c r="N286" t="s">
        <v>7</v>
      </c>
      <c r="P286">
        <f t="shared" si="965"/>
        <v>-0.36822925294020314</v>
      </c>
      <c r="Q286">
        <f t="shared" si="966"/>
        <v>-103262.31509259596</v>
      </c>
      <c r="R286">
        <f t="shared" si="967"/>
        <v>4274227.4144672984</v>
      </c>
      <c r="S286">
        <f t="shared" si="968"/>
        <v>42.742274144672983</v>
      </c>
      <c r="T286">
        <f t="shared" si="969"/>
        <v>4.2742274144672986E-2</v>
      </c>
    </row>
    <row r="287" spans="1:20" x14ac:dyDescent="0.25">
      <c r="A287" s="5">
        <v>44306</v>
      </c>
      <c r="B287">
        <v>52.209000000000003</v>
      </c>
      <c r="C287">
        <v>56.938000000000002</v>
      </c>
      <c r="D287">
        <v>47.859000000000002</v>
      </c>
      <c r="E287">
        <v>55.786000000000001</v>
      </c>
      <c r="F287">
        <v>280707.20799999998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0.7462275581011123</v>
      </c>
      <c r="Q287">
        <f t="shared" si="966"/>
        <v>209471.45436722101</v>
      </c>
      <c r="R287">
        <f t="shared" si="967"/>
        <v>4377489.7295598947</v>
      </c>
      <c r="S287">
        <f t="shared" si="968"/>
        <v>43.774897295598947</v>
      </c>
      <c r="T287">
        <f t="shared" si="969"/>
        <v>4.3774897295598948E-2</v>
      </c>
    </row>
    <row r="288" spans="1:20" x14ac:dyDescent="0.25">
      <c r="A288" s="5">
        <v>44305</v>
      </c>
      <c r="B288">
        <v>57.848999999999997</v>
      </c>
      <c r="C288">
        <v>62.115000000000002</v>
      </c>
      <c r="D288">
        <v>52.140999999999998</v>
      </c>
      <c r="E288">
        <v>52.213999999999999</v>
      </c>
      <c r="F288">
        <v>291885.50699999998</v>
      </c>
      <c r="G288">
        <v>0</v>
      </c>
      <c r="L288" t="s">
        <v>8</v>
      </c>
      <c r="M288" t="s">
        <v>8</v>
      </c>
      <c r="N288" t="s">
        <v>7</v>
      </c>
      <c r="P288">
        <f t="shared" si="965"/>
        <v>-0.98536194104672137</v>
      </c>
      <c r="Q288">
        <f t="shared" si="966"/>
        <v>-287612.86974092637</v>
      </c>
      <c r="R288">
        <f t="shared" si="967"/>
        <v>4168018.2751926738</v>
      </c>
      <c r="S288">
        <f t="shared" si="968"/>
        <v>41.680182751926736</v>
      </c>
      <c r="T288">
        <f t="shared" si="969"/>
        <v>4.1680182751926739E-2</v>
      </c>
    </row>
    <row r="289" spans="1:20" x14ac:dyDescent="0.25">
      <c r="A289" s="5">
        <v>44304</v>
      </c>
      <c r="B289">
        <v>60.853000000000002</v>
      </c>
      <c r="C289">
        <v>61.235999999999997</v>
      </c>
      <c r="D289">
        <v>46.24</v>
      </c>
      <c r="E289">
        <v>57.883000000000003</v>
      </c>
      <c r="F289">
        <v>276628.77299999999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0.55281408375566876</v>
      </c>
      <c r="Q289">
        <f t="shared" si="966"/>
        <v>152924.28168644986</v>
      </c>
      <c r="R289">
        <f t="shared" si="967"/>
        <v>4455631.1449336</v>
      </c>
      <c r="S289">
        <f t="shared" si="968"/>
        <v>44.556311449336</v>
      </c>
      <c r="T289">
        <f t="shared" si="969"/>
        <v>4.4556311449336E-2</v>
      </c>
    </row>
    <row r="290" spans="1:20" x14ac:dyDescent="0.25">
      <c r="A290" s="5">
        <v>44303</v>
      </c>
      <c r="B290">
        <v>63.530999999999999</v>
      </c>
      <c r="C290">
        <v>66.272000000000006</v>
      </c>
      <c r="D290">
        <v>60.695999999999998</v>
      </c>
      <c r="E290">
        <v>60.851999999999997</v>
      </c>
      <c r="F290">
        <v>150533.58799999999</v>
      </c>
      <c r="G290">
        <v>0</v>
      </c>
      <c r="L290" t="s">
        <v>8</v>
      </c>
      <c r="M290" t="s">
        <v>8</v>
      </c>
      <c r="N290" t="s">
        <v>8</v>
      </c>
      <c r="P290">
        <f t="shared" si="965"/>
        <v>-0.94404591104734625</v>
      </c>
      <c r="Q290">
        <f t="shared" si="966"/>
        <v>-142110.61822668585</v>
      </c>
      <c r="R290">
        <f t="shared" si="967"/>
        <v>4302706.8632471506</v>
      </c>
      <c r="S290">
        <f t="shared" si="968"/>
        <v>43.027068632471504</v>
      </c>
      <c r="T290">
        <f t="shared" si="969"/>
        <v>4.3027068632471507E-2</v>
      </c>
    </row>
    <row r="291" spans="1:20" x14ac:dyDescent="0.25">
      <c r="A291" s="5">
        <v>44302</v>
      </c>
      <c r="B291">
        <v>67.451999999999998</v>
      </c>
      <c r="C291">
        <v>68.444000000000003</v>
      </c>
      <c r="D291">
        <v>60.914999999999999</v>
      </c>
      <c r="E291">
        <v>63.429000000000002</v>
      </c>
      <c r="F291">
        <v>260324.92600000001</v>
      </c>
      <c r="G291">
        <v>0</v>
      </c>
      <c r="L291" t="s">
        <v>7</v>
      </c>
      <c r="M291" t="s">
        <v>8</v>
      </c>
      <c r="N291" t="s">
        <v>8</v>
      </c>
      <c r="P291">
        <f t="shared" si="965"/>
        <v>-0.33218222871563241</v>
      </c>
      <c r="Q291">
        <f t="shared" si="966"/>
        <v>-86475.314108912091</v>
      </c>
      <c r="R291">
        <f t="shared" si="967"/>
        <v>4444817.4814738361</v>
      </c>
      <c r="S291">
        <f t="shared" si="968"/>
        <v>44.448174814738358</v>
      </c>
      <c r="T291">
        <f t="shared" si="969"/>
        <v>4.444817481473836E-2</v>
      </c>
    </row>
    <row r="292" spans="1:20" x14ac:dyDescent="0.25">
      <c r="A292" s="5">
        <v>44301</v>
      </c>
      <c r="B292">
        <v>65.299000000000007</v>
      </c>
      <c r="C292">
        <v>72.635999999999996</v>
      </c>
      <c r="D292">
        <v>65.238</v>
      </c>
      <c r="E292">
        <v>67.379000000000005</v>
      </c>
      <c r="F292">
        <v>567227.20400000003</v>
      </c>
      <c r="G292">
        <v>0</v>
      </c>
      <c r="L292" t="s">
        <v>8</v>
      </c>
      <c r="M292" t="s">
        <v>8</v>
      </c>
      <c r="N292" t="s">
        <v>8</v>
      </c>
      <c r="P292">
        <f t="shared" si="965"/>
        <v>-0.42119491754528077</v>
      </c>
      <c r="Q292">
        <f t="shared" si="966"/>
        <v>-238913.21541822018</v>
      </c>
      <c r="R292">
        <f t="shared" si="967"/>
        <v>4531292.795582748</v>
      </c>
      <c r="S292">
        <f t="shared" si="968"/>
        <v>45.312927955827483</v>
      </c>
      <c r="T292">
        <f t="shared" si="969"/>
        <v>4.5312927955827483E-2</v>
      </c>
    </row>
    <row r="293" spans="1:20" x14ac:dyDescent="0.25">
      <c r="A293" s="5">
        <v>44300</v>
      </c>
      <c r="B293">
        <v>54.262</v>
      </c>
      <c r="C293">
        <v>67.2</v>
      </c>
      <c r="D293">
        <v>53.247</v>
      </c>
      <c r="E293">
        <v>65.3</v>
      </c>
      <c r="F293">
        <v>467212.93699999998</v>
      </c>
      <c r="G293">
        <v>0</v>
      </c>
      <c r="L293" t="s">
        <v>8</v>
      </c>
      <c r="M293" t="s">
        <v>8</v>
      </c>
      <c r="N293" t="s">
        <v>8</v>
      </c>
      <c r="P293">
        <f t="shared" si="965"/>
        <v>0.72765713466637927</v>
      </c>
      <c r="Q293">
        <f t="shared" si="966"/>
        <v>339970.82701648358</v>
      </c>
      <c r="R293">
        <f t="shared" si="967"/>
        <v>4770206.0110009685</v>
      </c>
      <c r="S293">
        <f t="shared" si="968"/>
        <v>47.702060110009683</v>
      </c>
      <c r="T293">
        <f t="shared" si="969"/>
        <v>4.7702060110009679E-2</v>
      </c>
    </row>
    <row r="294" spans="1:20" x14ac:dyDescent="0.25">
      <c r="A294" s="5">
        <v>44299</v>
      </c>
      <c r="B294">
        <v>51.481000000000002</v>
      </c>
      <c r="C294">
        <v>55.95</v>
      </c>
      <c r="D294">
        <v>51.198999999999998</v>
      </c>
      <c r="E294">
        <v>54.283999999999999</v>
      </c>
      <c r="F294">
        <v>137511.94099999999</v>
      </c>
      <c r="G294">
        <v>0</v>
      </c>
      <c r="L294" t="s">
        <v>8</v>
      </c>
      <c r="M294" t="s">
        <v>7</v>
      </c>
      <c r="N294" t="s">
        <v>8</v>
      </c>
      <c r="P294">
        <f t="shared" si="965"/>
        <v>0.29867396337613039</v>
      </c>
      <c r="Q294">
        <f t="shared" si="966"/>
        <v>41071.2364300146</v>
      </c>
      <c r="R294">
        <f t="shared" si="967"/>
        <v>4430235.1839844845</v>
      </c>
      <c r="S294">
        <f t="shared" si="968"/>
        <v>44.302351839844846</v>
      </c>
      <c r="T294">
        <f t="shared" si="969"/>
        <v>4.4302351839844843E-2</v>
      </c>
    </row>
    <row r="295" spans="1:20" x14ac:dyDescent="0.25">
      <c r="A295" s="5">
        <v>44298</v>
      </c>
      <c r="B295">
        <v>51.823999999999998</v>
      </c>
      <c r="C295">
        <v>52.27</v>
      </c>
      <c r="D295">
        <v>50.000999999999998</v>
      </c>
      <c r="E295">
        <v>51.414999999999999</v>
      </c>
      <c r="F295">
        <v>99106.592999999993</v>
      </c>
      <c r="G295">
        <v>0</v>
      </c>
      <c r="L295" t="s">
        <v>7</v>
      </c>
      <c r="M295" t="s">
        <v>7</v>
      </c>
      <c r="N295" t="s">
        <v>8</v>
      </c>
      <c r="P295">
        <f t="shared" si="965"/>
        <v>0.24636403702071227</v>
      </c>
      <c r="Q295">
        <f t="shared" si="966"/>
        <v>24416.30034684866</v>
      </c>
      <c r="R295">
        <f t="shared" si="967"/>
        <v>4389163.94755447</v>
      </c>
      <c r="S295">
        <f t="shared" si="968"/>
        <v>43.8916394755447</v>
      </c>
      <c r="T295">
        <f t="shared" si="969"/>
        <v>4.3891639475544697E-2</v>
      </c>
    </row>
    <row r="296" spans="1:20" x14ac:dyDescent="0.25">
      <c r="A296" s="5">
        <v>44297</v>
      </c>
      <c r="B296">
        <v>50.59</v>
      </c>
      <c r="C296">
        <v>52.121000000000002</v>
      </c>
      <c r="D296">
        <v>49.570999999999998</v>
      </c>
      <c r="E296">
        <v>51.83</v>
      </c>
      <c r="F296">
        <v>90503.631999999998</v>
      </c>
      <c r="G296">
        <v>0</v>
      </c>
      <c r="L296" t="s">
        <v>7</v>
      </c>
      <c r="M296" t="s">
        <v>7</v>
      </c>
      <c r="N296" t="s">
        <v>8</v>
      </c>
      <c r="P296">
        <f t="shared" si="965"/>
        <v>0.77176470588235024</v>
      </c>
      <c r="Q296">
        <f t="shared" si="966"/>
        <v>69847.50893176446</v>
      </c>
      <c r="R296">
        <f t="shared" si="967"/>
        <v>4364747.6472076215</v>
      </c>
      <c r="S296">
        <f t="shared" si="968"/>
        <v>43.647476472076214</v>
      </c>
      <c r="T296">
        <f t="shared" si="969"/>
        <v>4.3647476472076216E-2</v>
      </c>
    </row>
    <row r="297" spans="1:20" x14ac:dyDescent="0.25">
      <c r="A297" s="5">
        <v>44296</v>
      </c>
      <c r="B297">
        <v>51.795999999999999</v>
      </c>
      <c r="C297">
        <v>54.2</v>
      </c>
      <c r="D297">
        <v>49.5</v>
      </c>
      <c r="E297">
        <v>50.591999999999999</v>
      </c>
      <c r="F297">
        <v>122123.67</v>
      </c>
      <c r="G297">
        <v>0</v>
      </c>
      <c r="L297" t="s">
        <v>7</v>
      </c>
      <c r="M297" t="s">
        <v>7</v>
      </c>
      <c r="N297" t="s">
        <v>8</v>
      </c>
      <c r="P297">
        <f t="shared" si="965"/>
        <v>-0.53531914893617105</v>
      </c>
      <c r="Q297">
        <f t="shared" si="966"/>
        <v>-65375.139089361801</v>
      </c>
      <c r="R297">
        <f t="shared" si="967"/>
        <v>4294900.1382758571</v>
      </c>
      <c r="S297">
        <f t="shared" si="968"/>
        <v>42.949001382758574</v>
      </c>
      <c r="T297">
        <f t="shared" si="969"/>
        <v>4.2949001382758575E-2</v>
      </c>
    </row>
    <row r="298" spans="1:20" x14ac:dyDescent="0.25">
      <c r="A298" s="5">
        <v>44295</v>
      </c>
      <c r="B298">
        <v>53.768000000000001</v>
      </c>
      <c r="C298">
        <v>54.484000000000002</v>
      </c>
      <c r="D298">
        <v>51.356999999999999</v>
      </c>
      <c r="E298">
        <v>51.786000000000001</v>
      </c>
      <c r="F298">
        <v>80034.442999999999</v>
      </c>
      <c r="G298">
        <v>0</v>
      </c>
      <c r="L298" t="s">
        <v>8</v>
      </c>
      <c r="M298" t="s">
        <v>7</v>
      </c>
      <c r="N298" t="s">
        <v>8</v>
      </c>
      <c r="P298">
        <f t="shared" si="965"/>
        <v>-0.72561560601215114</v>
      </c>
      <c r="Q298">
        <f t="shared" si="966"/>
        <v>-58074.240859289966</v>
      </c>
      <c r="R298">
        <f t="shared" si="967"/>
        <v>4360275.2773652188</v>
      </c>
      <c r="S298">
        <f t="shared" si="968"/>
        <v>43.602752773652192</v>
      </c>
      <c r="T298">
        <f t="shared" si="969"/>
        <v>4.3602752773652192E-2</v>
      </c>
    </row>
    <row r="299" spans="1:20" x14ac:dyDescent="0.25">
      <c r="A299" s="5">
        <v>44294</v>
      </c>
      <c r="B299">
        <v>50.31</v>
      </c>
      <c r="C299">
        <v>54.069000000000003</v>
      </c>
      <c r="D299">
        <v>49.826000000000001</v>
      </c>
      <c r="E299">
        <v>53.789000000000001</v>
      </c>
      <c r="F299">
        <v>168674.80900000001</v>
      </c>
      <c r="G299">
        <v>0</v>
      </c>
      <c r="L299" t="s">
        <v>8</v>
      </c>
      <c r="M299" t="s">
        <v>7</v>
      </c>
      <c r="N299" t="s">
        <v>8</v>
      </c>
      <c r="P299">
        <f t="shared" si="965"/>
        <v>0.86801791185481925</v>
      </c>
      <c r="Q299">
        <f t="shared" si="966"/>
        <v>146412.75549069047</v>
      </c>
      <c r="R299">
        <f t="shared" si="967"/>
        <v>4418349.5182245085</v>
      </c>
      <c r="S299">
        <f t="shared" si="968"/>
        <v>44.183495182245082</v>
      </c>
      <c r="T299">
        <f t="shared" si="969"/>
        <v>4.4183495182245083E-2</v>
      </c>
    </row>
    <row r="300" spans="1:20" x14ac:dyDescent="0.25">
      <c r="A300" s="5">
        <v>44293</v>
      </c>
      <c r="B300">
        <v>57.56</v>
      </c>
      <c r="C300">
        <v>57.844999999999999</v>
      </c>
      <c r="D300">
        <v>48.45</v>
      </c>
      <c r="E300">
        <v>50.331000000000003</v>
      </c>
      <c r="F300">
        <v>227947.05900000001</v>
      </c>
      <c r="G300">
        <v>0</v>
      </c>
      <c r="L300" t="s">
        <v>7</v>
      </c>
      <c r="M300" t="s">
        <v>7</v>
      </c>
      <c r="N300" t="s">
        <v>8</v>
      </c>
      <c r="P300">
        <f t="shared" si="965"/>
        <v>-0.59957424161788164</v>
      </c>
      <c r="Q300">
        <f t="shared" si="966"/>
        <v>-136671.18502895153</v>
      </c>
      <c r="R300">
        <f t="shared" si="967"/>
        <v>4271936.762733818</v>
      </c>
      <c r="S300">
        <f t="shared" si="968"/>
        <v>42.71936762733818</v>
      </c>
      <c r="T300">
        <f t="shared" si="969"/>
        <v>4.2719367627338183E-2</v>
      </c>
    </row>
    <row r="301" spans="1:20" x14ac:dyDescent="0.25">
      <c r="A301" s="5">
        <v>44292</v>
      </c>
      <c r="B301">
        <v>59.756999999999998</v>
      </c>
      <c r="C301">
        <v>60.822000000000003</v>
      </c>
      <c r="D301">
        <v>56.64</v>
      </c>
      <c r="E301">
        <v>57.530999999999999</v>
      </c>
      <c r="F301">
        <v>105663.966</v>
      </c>
      <c r="G301">
        <v>0</v>
      </c>
      <c r="L301" t="s">
        <v>7</v>
      </c>
      <c r="M301" t="s">
        <v>8</v>
      </c>
      <c r="N301" t="s">
        <v>8</v>
      </c>
      <c r="P301">
        <f t="shared" si="965"/>
        <v>-0.57388809182209577</v>
      </c>
      <c r="Q301">
        <f t="shared" si="966"/>
        <v>-60639.291822094805</v>
      </c>
      <c r="R301">
        <f t="shared" si="967"/>
        <v>4408607.9477627696</v>
      </c>
      <c r="S301">
        <f t="shared" si="968"/>
        <v>44.086079477627699</v>
      </c>
      <c r="T301">
        <f t="shared" si="969"/>
        <v>4.4086079477627702E-2</v>
      </c>
    </row>
    <row r="302" spans="1:20" x14ac:dyDescent="0.25">
      <c r="A302" s="5">
        <v>44291</v>
      </c>
      <c r="B302">
        <v>59.12</v>
      </c>
      <c r="C302">
        <v>61.05</v>
      </c>
      <c r="D302">
        <v>56.585999999999999</v>
      </c>
      <c r="E302">
        <v>59.747</v>
      </c>
      <c r="F302">
        <v>94209.303</v>
      </c>
      <c r="G302">
        <v>0</v>
      </c>
      <c r="L302" t="s">
        <v>8</v>
      </c>
      <c r="M302" t="s">
        <v>8</v>
      </c>
      <c r="N302" t="s">
        <v>8</v>
      </c>
      <c r="P302">
        <f t="shared" si="965"/>
        <v>0.4162186379928326</v>
      </c>
      <c r="Q302">
        <f t="shared" si="966"/>
        <v>39211.667780914075</v>
      </c>
      <c r="R302">
        <f t="shared" si="967"/>
        <v>4469247.2395848641</v>
      </c>
      <c r="S302">
        <f t="shared" si="968"/>
        <v>44.69247239584864</v>
      </c>
      <c r="T302">
        <f t="shared" si="969"/>
        <v>4.4692472395848643E-2</v>
      </c>
    </row>
    <row r="303" spans="1:20" x14ac:dyDescent="0.25">
      <c r="A303" s="5">
        <v>44290</v>
      </c>
      <c r="B303">
        <v>56.558</v>
      </c>
      <c r="C303">
        <v>60.209000000000003</v>
      </c>
      <c r="D303">
        <v>55.48</v>
      </c>
      <c r="E303">
        <v>59.06</v>
      </c>
      <c r="F303">
        <v>73050.770999999993</v>
      </c>
      <c r="G303">
        <v>0</v>
      </c>
      <c r="L303" t="s">
        <v>7</v>
      </c>
      <c r="M303" t="s">
        <v>8</v>
      </c>
      <c r="N303" t="s">
        <v>8</v>
      </c>
      <c r="P303">
        <f t="shared" si="965"/>
        <v>0.51406216959188011</v>
      </c>
      <c r="Q303">
        <f t="shared" si="966"/>
        <v>37552.637830619591</v>
      </c>
      <c r="R303">
        <f t="shared" si="967"/>
        <v>4430035.5718039498</v>
      </c>
      <c r="S303">
        <f t="shared" si="968"/>
        <v>44.300355718039498</v>
      </c>
      <c r="T303">
        <f t="shared" si="969"/>
        <v>4.4300355718039496E-2</v>
      </c>
    </row>
    <row r="304" spans="1:20" x14ac:dyDescent="0.25">
      <c r="A304" s="5">
        <v>44289</v>
      </c>
      <c r="B304">
        <v>61.417000000000002</v>
      </c>
      <c r="C304">
        <v>62.5</v>
      </c>
      <c r="D304">
        <v>56.131</v>
      </c>
      <c r="E304">
        <v>56.668999999999997</v>
      </c>
      <c r="F304">
        <v>135404.231</v>
      </c>
      <c r="G304">
        <v>0</v>
      </c>
      <c r="L304" t="s">
        <v>7</v>
      </c>
      <c r="M304" t="s">
        <v>8</v>
      </c>
      <c r="N304" t="s">
        <v>8</v>
      </c>
      <c r="P304">
        <f t="shared" si="965"/>
        <v>-0.83105668079761452</v>
      </c>
      <c r="Q304">
        <f t="shared" si="966"/>
        <v>-112528.59078081347</v>
      </c>
      <c r="R304">
        <f t="shared" si="967"/>
        <v>4392482.9339733301</v>
      </c>
      <c r="S304">
        <f t="shared" si="968"/>
        <v>43.9248293397333</v>
      </c>
      <c r="T304">
        <f t="shared" si="969"/>
        <v>4.3924829339733303E-2</v>
      </c>
    </row>
    <row r="305" spans="1:20" x14ac:dyDescent="0.25">
      <c r="A305" s="5">
        <v>44288</v>
      </c>
      <c r="B305">
        <v>55.853999999999999</v>
      </c>
      <c r="C305">
        <v>61.5</v>
      </c>
      <c r="D305">
        <v>55.069000000000003</v>
      </c>
      <c r="E305">
        <v>61.463999999999999</v>
      </c>
      <c r="F305">
        <v>136344.465</v>
      </c>
      <c r="G305">
        <v>0</v>
      </c>
      <c r="L305" t="s">
        <v>8</v>
      </c>
      <c r="M305" t="s">
        <v>8</v>
      </c>
      <c r="N305" t="s">
        <v>8</v>
      </c>
      <c r="P305">
        <f t="shared" si="965"/>
        <v>0.9888042295132945</v>
      </c>
      <c r="Q305">
        <f t="shared" si="966"/>
        <v>134817.98366272735</v>
      </c>
      <c r="R305">
        <f t="shared" si="967"/>
        <v>4505011.5247541433</v>
      </c>
      <c r="S305">
        <f t="shared" si="968"/>
        <v>45.050115247541434</v>
      </c>
      <c r="T305">
        <f t="shared" si="969"/>
        <v>4.5050115247541433E-2</v>
      </c>
    </row>
    <row r="306" spans="1:20" x14ac:dyDescent="0.25">
      <c r="A306" s="5">
        <v>44287</v>
      </c>
      <c r="B306">
        <v>57.445</v>
      </c>
      <c r="C306">
        <v>58.35</v>
      </c>
      <c r="D306">
        <v>54.554000000000002</v>
      </c>
      <c r="E306">
        <v>55.853999999999999</v>
      </c>
      <c r="F306">
        <v>91829.87</v>
      </c>
      <c r="G306">
        <v>0</v>
      </c>
      <c r="L306" t="s">
        <v>8</v>
      </c>
      <c r="M306" t="s">
        <v>8</v>
      </c>
      <c r="N306" t="s">
        <v>7</v>
      </c>
      <c r="P306">
        <f t="shared" si="965"/>
        <v>-0.3150684931506863</v>
      </c>
      <c r="Q306">
        <f t="shared" si="966"/>
        <v>-28932.698767123413</v>
      </c>
      <c r="R306">
        <f t="shared" si="967"/>
        <v>4370193.541091416</v>
      </c>
      <c r="S306">
        <f t="shared" si="968"/>
        <v>43.70193541091416</v>
      </c>
      <c r="T306">
        <f t="shared" si="969"/>
        <v>4.3701935410914161E-2</v>
      </c>
    </row>
    <row r="307" spans="1:20" x14ac:dyDescent="0.25">
      <c r="A307" s="5">
        <v>44286</v>
      </c>
      <c r="B307">
        <v>56.887</v>
      </c>
      <c r="C307">
        <v>58.427999999999997</v>
      </c>
      <c r="D307">
        <v>54.085999999999999</v>
      </c>
      <c r="E307">
        <v>57.421999999999997</v>
      </c>
      <c r="F307">
        <v>121145.173</v>
      </c>
      <c r="G307">
        <v>0</v>
      </c>
      <c r="L307" t="s">
        <v>7</v>
      </c>
      <c r="M307" t="s">
        <v>8</v>
      </c>
      <c r="N307" t="s">
        <v>7</v>
      </c>
      <c r="P307">
        <f t="shared" si="965"/>
        <v>0.53661906955320104</v>
      </c>
      <c r="Q307">
        <f t="shared" si="966"/>
        <v>65008.81001612157</v>
      </c>
      <c r="R307">
        <f t="shared" si="967"/>
        <v>4399126.2398585398</v>
      </c>
      <c r="S307">
        <f t="shared" si="968"/>
        <v>43.991262398585398</v>
      </c>
      <c r="T307">
        <f t="shared" si="969"/>
        <v>4.3991262398585397E-2</v>
      </c>
    </row>
    <row r="308" spans="1:20" x14ac:dyDescent="0.25">
      <c r="A308" s="5">
        <v>44285</v>
      </c>
      <c r="B308">
        <v>55.558999999999997</v>
      </c>
      <c r="C308">
        <v>59.2</v>
      </c>
      <c r="D308">
        <v>54.021000000000001</v>
      </c>
      <c r="E308">
        <v>56.908000000000001</v>
      </c>
      <c r="F308">
        <v>195285.87400000001</v>
      </c>
      <c r="G308">
        <v>0</v>
      </c>
      <c r="L308" t="s">
        <v>8</v>
      </c>
      <c r="M308" t="s">
        <v>8</v>
      </c>
      <c r="N308" t="s">
        <v>7</v>
      </c>
      <c r="P308">
        <f t="shared" si="965"/>
        <v>0.11488704383085512</v>
      </c>
      <c r="Q308">
        <f t="shared" si="966"/>
        <v>22435.81676578485</v>
      </c>
      <c r="R308">
        <f t="shared" si="967"/>
        <v>4334117.4298424181</v>
      </c>
      <c r="S308">
        <f t="shared" si="968"/>
        <v>43.341174298424178</v>
      </c>
      <c r="T308">
        <f t="shared" si="969"/>
        <v>4.3341174298424177E-2</v>
      </c>
    </row>
    <row r="309" spans="1:20" x14ac:dyDescent="0.25">
      <c r="A309" s="5">
        <v>44284</v>
      </c>
      <c r="B309">
        <v>51</v>
      </c>
      <c r="C309">
        <v>55.558999999999997</v>
      </c>
      <c r="D309">
        <v>50.4</v>
      </c>
      <c r="E309">
        <v>55.491</v>
      </c>
      <c r="F309">
        <v>124836.14599999999</v>
      </c>
      <c r="G309">
        <v>0</v>
      </c>
      <c r="L309" t="s">
        <v>8</v>
      </c>
      <c r="M309" t="s">
        <v>8</v>
      </c>
      <c r="N309" t="s">
        <v>7</v>
      </c>
      <c r="P309">
        <f t="shared" si="965"/>
        <v>0.9736383019965118</v>
      </c>
      <c r="Q309">
        <f t="shared" si="966"/>
        <v>121545.25321922863</v>
      </c>
      <c r="R309">
        <f t="shared" si="967"/>
        <v>4311681.6130766328</v>
      </c>
      <c r="S309">
        <f t="shared" si="968"/>
        <v>43.116816130766331</v>
      </c>
      <c r="T309">
        <f t="shared" si="969"/>
        <v>4.3116816130766331E-2</v>
      </c>
    </row>
    <row r="310" spans="1:20" x14ac:dyDescent="0.25">
      <c r="A310" s="5">
        <v>44283</v>
      </c>
      <c r="B310">
        <v>51.896999999999998</v>
      </c>
      <c r="C310">
        <v>52.978999999999999</v>
      </c>
      <c r="D310">
        <v>49.923000000000002</v>
      </c>
      <c r="E310">
        <v>50.957000000000001</v>
      </c>
      <c r="F310">
        <v>122348.155</v>
      </c>
      <c r="G310">
        <v>0</v>
      </c>
      <c r="L310" t="s">
        <v>7</v>
      </c>
      <c r="M310" t="s">
        <v>7</v>
      </c>
      <c r="N310" t="s">
        <v>7</v>
      </c>
      <c r="P310">
        <f t="shared" si="965"/>
        <v>-0.32329842931937186</v>
      </c>
      <c r="Q310">
        <f t="shared" si="966"/>
        <v>-39554.966341623054</v>
      </c>
      <c r="R310">
        <f t="shared" si="967"/>
        <v>4190136.3598574046</v>
      </c>
      <c r="S310">
        <f t="shared" si="968"/>
        <v>41.901363598574044</v>
      </c>
      <c r="T310">
        <f t="shared" si="969"/>
        <v>4.1901363598574042E-2</v>
      </c>
    </row>
    <row r="311" spans="1:20" x14ac:dyDescent="0.25">
      <c r="A311" s="5">
        <v>44282</v>
      </c>
      <c r="B311">
        <v>52.8</v>
      </c>
      <c r="C311">
        <v>54</v>
      </c>
      <c r="D311">
        <v>50.786999999999999</v>
      </c>
      <c r="E311">
        <v>51.917999999999999</v>
      </c>
      <c r="F311">
        <v>94839.159</v>
      </c>
      <c r="G311">
        <v>0</v>
      </c>
      <c r="L311" t="s">
        <v>8</v>
      </c>
      <c r="M311" t="s">
        <v>7</v>
      </c>
      <c r="N311" t="s">
        <v>7</v>
      </c>
      <c r="P311">
        <f t="shared" si="965"/>
        <v>-0.2959850606909431</v>
      </c>
      <c r="Q311">
        <f t="shared" si="966"/>
        <v>-28070.974232493001</v>
      </c>
      <c r="R311">
        <f t="shared" si="967"/>
        <v>4229691.3261990277</v>
      </c>
      <c r="S311">
        <f t="shared" si="968"/>
        <v>42.296913261990277</v>
      </c>
      <c r="T311">
        <f t="shared" si="969"/>
        <v>4.2296913261990275E-2</v>
      </c>
    </row>
    <row r="312" spans="1:20" x14ac:dyDescent="0.25">
      <c r="A312" s="5">
        <v>44281</v>
      </c>
      <c r="B312">
        <v>47.256999999999998</v>
      </c>
      <c r="C312">
        <v>52.8</v>
      </c>
      <c r="D312">
        <v>47.222000000000001</v>
      </c>
      <c r="E312">
        <v>52.8</v>
      </c>
      <c r="F312">
        <v>113460.923</v>
      </c>
      <c r="G312">
        <v>0</v>
      </c>
      <c r="L312" t="s">
        <v>8</v>
      </c>
      <c r="M312" t="s">
        <v>7</v>
      </c>
      <c r="N312" t="s">
        <v>7</v>
      </c>
      <c r="P312">
        <f t="shared" si="965"/>
        <v>1</v>
      </c>
      <c r="Q312">
        <f t="shared" si="966"/>
        <v>113460.923</v>
      </c>
      <c r="R312">
        <f t="shared" si="967"/>
        <v>4257762.3004315207</v>
      </c>
      <c r="S312">
        <f t="shared" si="968"/>
        <v>42.577623004315207</v>
      </c>
      <c r="T312">
        <f t="shared" si="969"/>
        <v>4.257762300431521E-2</v>
      </c>
    </row>
    <row r="313" spans="1:20" x14ac:dyDescent="0.25">
      <c r="A313" s="5">
        <v>44280</v>
      </c>
      <c r="B313">
        <v>47.02</v>
      </c>
      <c r="C313">
        <v>48.984999999999999</v>
      </c>
      <c r="D313">
        <v>45.064999999999998</v>
      </c>
      <c r="E313">
        <v>47.273000000000003</v>
      </c>
      <c r="F313">
        <v>151326.99</v>
      </c>
      <c r="G313">
        <v>0</v>
      </c>
      <c r="L313" t="s">
        <v>7</v>
      </c>
      <c r="M313" t="s">
        <v>7</v>
      </c>
      <c r="N313" t="s">
        <v>7</v>
      </c>
      <c r="P313">
        <f t="shared" si="965"/>
        <v>0.12653061224490028</v>
      </c>
      <c r="Q313">
        <f t="shared" si="966"/>
        <v>19147.4966938779</v>
      </c>
      <c r="R313">
        <f t="shared" si="967"/>
        <v>4144301.3774315207</v>
      </c>
      <c r="S313">
        <f t="shared" si="968"/>
        <v>41.443013774315205</v>
      </c>
      <c r="T313">
        <f t="shared" si="969"/>
        <v>4.1443013774315203E-2</v>
      </c>
    </row>
    <row r="314" spans="1:20" x14ac:dyDescent="0.25">
      <c r="A314" s="5">
        <v>44279</v>
      </c>
      <c r="B314">
        <v>50.572000000000003</v>
      </c>
      <c r="C314">
        <v>54.685000000000002</v>
      </c>
      <c r="D314">
        <v>46.110999999999997</v>
      </c>
      <c r="E314">
        <v>47.106999999999999</v>
      </c>
      <c r="F314">
        <v>210480.92499999999</v>
      </c>
      <c r="G314">
        <v>0</v>
      </c>
      <c r="L314" t="s">
        <v>7</v>
      </c>
      <c r="M314" t="s">
        <v>7</v>
      </c>
      <c r="N314" t="s">
        <v>8</v>
      </c>
      <c r="P314">
        <f t="shared" si="965"/>
        <v>-0.76766969909027249</v>
      </c>
      <c r="Q314">
        <f t="shared" si="966"/>
        <v>-161579.82835899221</v>
      </c>
      <c r="R314">
        <f t="shared" si="967"/>
        <v>4125153.8807376428</v>
      </c>
      <c r="S314">
        <f t="shared" si="968"/>
        <v>41.251538807376427</v>
      </c>
      <c r="T314">
        <f t="shared" si="969"/>
        <v>4.1251538807376427E-2</v>
      </c>
    </row>
    <row r="315" spans="1:20" x14ac:dyDescent="0.25">
      <c r="A315" s="5">
        <v>44278</v>
      </c>
      <c r="B315">
        <v>52.781999999999996</v>
      </c>
      <c r="C315">
        <v>54.359000000000002</v>
      </c>
      <c r="D315">
        <v>49</v>
      </c>
      <c r="E315">
        <v>50.713000000000001</v>
      </c>
      <c r="F315">
        <v>188564.32199999999</v>
      </c>
      <c r="G315">
        <v>0</v>
      </c>
      <c r="L315" t="s">
        <v>7</v>
      </c>
      <c r="M315" t="s">
        <v>7</v>
      </c>
      <c r="N315" t="s">
        <v>8</v>
      </c>
      <c r="P315">
        <f t="shared" si="965"/>
        <v>-0.3607016234372083</v>
      </c>
      <c r="Q315">
        <f t="shared" si="966"/>
        <v>-68015.457067736483</v>
      </c>
      <c r="R315">
        <f t="shared" si="967"/>
        <v>4286733.7090966348</v>
      </c>
      <c r="S315">
        <f t="shared" si="968"/>
        <v>42.867337090966345</v>
      </c>
      <c r="T315">
        <f t="shared" si="969"/>
        <v>4.2867337090966344E-2</v>
      </c>
    </row>
    <row r="316" spans="1:20" x14ac:dyDescent="0.25">
      <c r="A316" s="5">
        <v>44277</v>
      </c>
      <c r="B316">
        <v>58.100999999999999</v>
      </c>
      <c r="C316">
        <v>58.890999999999998</v>
      </c>
      <c r="D316">
        <v>52.146000000000001</v>
      </c>
      <c r="E316">
        <v>52.823999999999998</v>
      </c>
      <c r="F316">
        <v>163247.95300000001</v>
      </c>
      <c r="G316">
        <v>0</v>
      </c>
      <c r="L316" t="s">
        <v>7</v>
      </c>
      <c r="M316" t="s">
        <v>7</v>
      </c>
      <c r="N316" t="s">
        <v>8</v>
      </c>
      <c r="P316">
        <f t="shared" si="965"/>
        <v>-0.7989621942179399</v>
      </c>
      <c r="Q316">
        <f t="shared" si="966"/>
        <v>-130428.94273046713</v>
      </c>
      <c r="R316">
        <f t="shared" si="967"/>
        <v>4354749.1661643712</v>
      </c>
      <c r="S316">
        <f t="shared" si="968"/>
        <v>43.547491661643711</v>
      </c>
      <c r="T316">
        <f t="shared" si="969"/>
        <v>4.3547491661643713E-2</v>
      </c>
    </row>
    <row r="317" spans="1:20" x14ac:dyDescent="0.25">
      <c r="A317" s="5">
        <v>44276</v>
      </c>
      <c r="B317">
        <v>60.122999999999998</v>
      </c>
      <c r="C317">
        <v>60.597000000000001</v>
      </c>
      <c r="D317">
        <v>56.991999999999997</v>
      </c>
      <c r="E317">
        <v>58.113999999999997</v>
      </c>
      <c r="F317">
        <v>121925.46</v>
      </c>
      <c r="G317">
        <v>0</v>
      </c>
      <c r="L317" t="s">
        <v>7</v>
      </c>
      <c r="M317" t="s">
        <v>8</v>
      </c>
      <c r="N317" t="s">
        <v>8</v>
      </c>
      <c r="P317">
        <f t="shared" si="965"/>
        <v>-0.37753120665742101</v>
      </c>
      <c r="Q317">
        <f t="shared" si="966"/>
        <v>-46030.66603606112</v>
      </c>
      <c r="R317">
        <f t="shared" si="967"/>
        <v>4485178.108894838</v>
      </c>
      <c r="S317">
        <f t="shared" si="968"/>
        <v>44.851781088948378</v>
      </c>
      <c r="T317">
        <f t="shared" si="969"/>
        <v>4.4851781088948377E-2</v>
      </c>
    </row>
    <row r="318" spans="1:20" x14ac:dyDescent="0.25">
      <c r="A318" s="5">
        <v>44275</v>
      </c>
      <c r="B318">
        <v>60.42</v>
      </c>
      <c r="C318">
        <v>65.700999999999993</v>
      </c>
      <c r="D318">
        <v>59.100999999999999</v>
      </c>
      <c r="E318">
        <v>60.115000000000002</v>
      </c>
      <c r="F318">
        <v>180989.01800000001</v>
      </c>
      <c r="G318">
        <v>0</v>
      </c>
      <c r="L318" t="s">
        <v>7</v>
      </c>
      <c r="M318" t="s">
        <v>8</v>
      </c>
      <c r="N318" t="s">
        <v>8</v>
      </c>
      <c r="P318">
        <f t="shared" si="965"/>
        <v>-0.69272727272727164</v>
      </c>
      <c r="Q318">
        <f t="shared" si="966"/>
        <v>-125376.02883272708</v>
      </c>
      <c r="R318">
        <f t="shared" si="967"/>
        <v>4531208.774930899</v>
      </c>
      <c r="S318">
        <f t="shared" si="968"/>
        <v>45.312087749308994</v>
      </c>
      <c r="T318">
        <f t="shared" si="969"/>
        <v>4.5312087749308991E-2</v>
      </c>
    </row>
    <row r="319" spans="1:20" x14ac:dyDescent="0.25">
      <c r="A319" s="5">
        <v>44274</v>
      </c>
      <c r="B319">
        <v>62.131</v>
      </c>
      <c r="C319">
        <v>64.998999999999995</v>
      </c>
      <c r="D319">
        <v>60.015999999999998</v>
      </c>
      <c r="E319">
        <v>60.453000000000003</v>
      </c>
      <c r="F319">
        <v>319683.06</v>
      </c>
      <c r="G319">
        <v>0</v>
      </c>
      <c r="L319" t="s">
        <v>7</v>
      </c>
      <c r="M319" t="s">
        <v>8</v>
      </c>
      <c r="N319" t="s">
        <v>8</v>
      </c>
      <c r="P319">
        <f t="shared" si="965"/>
        <v>-0.82460365241821998</v>
      </c>
      <c r="Q319">
        <f t="shared" si="966"/>
        <v>-263611.81889223296</v>
      </c>
      <c r="R319">
        <f t="shared" si="967"/>
        <v>4656584.8037636261</v>
      </c>
      <c r="S319">
        <f t="shared" si="968"/>
        <v>46.565848037636265</v>
      </c>
      <c r="T319">
        <f t="shared" si="969"/>
        <v>4.6565848037636262E-2</v>
      </c>
    </row>
    <row r="320" spans="1:20" x14ac:dyDescent="0.25">
      <c r="A320" s="5">
        <v>44273</v>
      </c>
      <c r="B320">
        <v>54.384</v>
      </c>
      <c r="C320">
        <v>64.376999999999995</v>
      </c>
      <c r="D320">
        <v>53.643000000000001</v>
      </c>
      <c r="E320">
        <v>62.104999999999997</v>
      </c>
      <c r="F320">
        <v>439292</v>
      </c>
      <c r="G320">
        <v>0</v>
      </c>
      <c r="L320" t="s">
        <v>8</v>
      </c>
      <c r="M320" t="s">
        <v>8</v>
      </c>
      <c r="N320" t="s">
        <v>8</v>
      </c>
      <c r="P320">
        <f t="shared" si="965"/>
        <v>0.57667225638159125</v>
      </c>
      <c r="Q320">
        <f t="shared" si="966"/>
        <v>253327.50885038197</v>
      </c>
      <c r="R320">
        <f t="shared" si="967"/>
        <v>4920196.6226558592</v>
      </c>
      <c r="S320">
        <f t="shared" si="968"/>
        <v>49.201966226558589</v>
      </c>
      <c r="T320">
        <f t="shared" si="969"/>
        <v>4.9201966226558591E-2</v>
      </c>
    </row>
    <row r="321" spans="1:20" x14ac:dyDescent="0.25">
      <c r="A321" s="5">
        <v>44272</v>
      </c>
      <c r="B321">
        <v>55.13</v>
      </c>
      <c r="C321">
        <v>55.69</v>
      </c>
      <c r="D321">
        <v>50.807000000000002</v>
      </c>
      <c r="E321">
        <v>54.384</v>
      </c>
      <c r="F321">
        <v>242834.15</v>
      </c>
      <c r="G321">
        <v>0</v>
      </c>
      <c r="L321" t="s">
        <v>7</v>
      </c>
      <c r="M321" t="s">
        <v>7</v>
      </c>
      <c r="N321" t="s">
        <v>8</v>
      </c>
      <c r="P321">
        <f t="shared" si="965"/>
        <v>0.46508294081507329</v>
      </c>
      <c r="Q321">
        <f t="shared" si="966"/>
        <v>112938.02061232862</v>
      </c>
      <c r="R321">
        <f t="shared" si="967"/>
        <v>4666869.1138054775</v>
      </c>
      <c r="S321">
        <f t="shared" si="968"/>
        <v>46.668691138054776</v>
      </c>
      <c r="T321">
        <f t="shared" si="969"/>
        <v>4.6668691138054774E-2</v>
      </c>
    </row>
    <row r="322" spans="1:20" x14ac:dyDescent="0.25">
      <c r="A322" s="5">
        <v>44271</v>
      </c>
      <c r="B322">
        <v>55.235999999999997</v>
      </c>
      <c r="C322">
        <v>57.18</v>
      </c>
      <c r="D322">
        <v>51.545999999999999</v>
      </c>
      <c r="E322">
        <v>55.128999999999998</v>
      </c>
      <c r="F322">
        <v>342298.52799999999</v>
      </c>
      <c r="G322">
        <v>0</v>
      </c>
      <c r="L322" t="s">
        <v>7</v>
      </c>
      <c r="M322" t="s">
        <v>7</v>
      </c>
      <c r="N322" t="s">
        <v>8</v>
      </c>
      <c r="P322">
        <f t="shared" si="965"/>
        <v>0.27192048278310194</v>
      </c>
      <c r="Q322">
        <f t="shared" si="966"/>
        <v>93077.980989705131</v>
      </c>
      <c r="R322">
        <f t="shared" si="967"/>
        <v>4553931.0931931492</v>
      </c>
      <c r="S322">
        <f t="shared" si="968"/>
        <v>45.539310931931489</v>
      </c>
      <c r="T322">
        <f t="shared" si="969"/>
        <v>4.553931093193149E-2</v>
      </c>
    </row>
    <row r="323" spans="1:20" x14ac:dyDescent="0.25">
      <c r="A323" s="5">
        <v>44270</v>
      </c>
      <c r="B323">
        <v>52.834000000000003</v>
      </c>
      <c r="C323">
        <v>63</v>
      </c>
      <c r="D323">
        <v>52.777999999999999</v>
      </c>
      <c r="E323">
        <v>55.225000000000001</v>
      </c>
      <c r="F323">
        <v>947356.30099999998</v>
      </c>
      <c r="G323">
        <v>0</v>
      </c>
      <c r="L323" t="s">
        <v>8</v>
      </c>
      <c r="M323" t="s">
        <v>8</v>
      </c>
      <c r="N323" t="s">
        <v>8</v>
      </c>
      <c r="P323">
        <f t="shared" si="965"/>
        <v>-0.52122872236352913</v>
      </c>
      <c r="Q323">
        <f t="shared" si="966"/>
        <v>-493789.3143932689</v>
      </c>
      <c r="R323">
        <f t="shared" si="967"/>
        <v>4460853.1122034444</v>
      </c>
      <c r="S323">
        <f t="shared" si="968"/>
        <v>44.608531122034442</v>
      </c>
      <c r="T323">
        <f t="shared" si="969"/>
        <v>4.4608531122034445E-2</v>
      </c>
    </row>
    <row r="324" spans="1:20" x14ac:dyDescent="0.25">
      <c r="A324" s="5">
        <v>44269</v>
      </c>
      <c r="B324">
        <v>47.898000000000003</v>
      </c>
      <c r="C324">
        <v>55</v>
      </c>
      <c r="D324">
        <v>45.951000000000001</v>
      </c>
      <c r="E324">
        <v>52.834000000000003</v>
      </c>
      <c r="F324">
        <v>409852.11800000002</v>
      </c>
      <c r="G324">
        <v>0</v>
      </c>
      <c r="L324" t="s">
        <v>8</v>
      </c>
      <c r="M324" t="s">
        <v>8</v>
      </c>
      <c r="N324" t="s">
        <v>8</v>
      </c>
      <c r="P324">
        <f t="shared" si="965"/>
        <v>0.52127306884738711</v>
      </c>
      <c r="Q324">
        <f t="shared" si="966"/>
        <v>213644.87132346144</v>
      </c>
      <c r="R324">
        <f t="shared" si="967"/>
        <v>4954642.4265967133</v>
      </c>
      <c r="S324">
        <f t="shared" si="968"/>
        <v>49.546424265967133</v>
      </c>
      <c r="T324">
        <f t="shared" si="969"/>
        <v>4.9546424265967136E-2</v>
      </c>
    </row>
    <row r="325" spans="1:20" x14ac:dyDescent="0.25">
      <c r="A325" s="5">
        <v>44268</v>
      </c>
      <c r="B325">
        <v>44.689</v>
      </c>
      <c r="C325">
        <v>49.154000000000003</v>
      </c>
      <c r="D325">
        <v>43.094000000000001</v>
      </c>
      <c r="E325">
        <v>47.898000000000003</v>
      </c>
      <c r="F325">
        <v>100553.015</v>
      </c>
      <c r="G325">
        <v>0</v>
      </c>
      <c r="L325" t="s">
        <v>8</v>
      </c>
      <c r="M325" t="s">
        <v>7</v>
      </c>
      <c r="N325" t="s">
        <v>8</v>
      </c>
      <c r="P325">
        <f t="shared" si="965"/>
        <v>0.58547854785478559</v>
      </c>
      <c r="Q325">
        <f t="shared" si="966"/>
        <v>58871.63320462047</v>
      </c>
      <c r="R325">
        <f t="shared" si="967"/>
        <v>4740997.5552732516</v>
      </c>
      <c r="S325">
        <f t="shared" si="968"/>
        <v>47.409975552732519</v>
      </c>
      <c r="T325">
        <f t="shared" si="969"/>
        <v>4.740997555273252E-2</v>
      </c>
    </row>
    <row r="326" spans="1:20" x14ac:dyDescent="0.25">
      <c r="A326" s="5">
        <v>44267</v>
      </c>
      <c r="B326">
        <v>47.151000000000003</v>
      </c>
      <c r="C326">
        <v>47.505000000000003</v>
      </c>
      <c r="D326">
        <v>42.662999999999997</v>
      </c>
      <c r="E326">
        <v>44.701999999999998</v>
      </c>
      <c r="F326">
        <v>97629.547000000006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70">IF(C326=D326,0,((E326-D326)-(C326-E326))/(C326-D326))</f>
        <v>-0.15778603882693143</v>
      </c>
      <c r="Q326">
        <f t="shared" ref="Q326:Q389" si="971">F326*P326</f>
        <v>-15404.579493597728</v>
      </c>
      <c r="R326">
        <f t="shared" ref="R326:R389" si="972">R327+Q326</f>
        <v>4682125.9220686313</v>
      </c>
      <c r="S326">
        <f t="shared" ref="S326:S389" si="973">R326/100000</f>
        <v>46.821259220686315</v>
      </c>
      <c r="T326">
        <f t="shared" ref="T326:T389" si="974">S326/1000</f>
        <v>4.6821259220686313E-2</v>
      </c>
    </row>
    <row r="327" spans="1:20" x14ac:dyDescent="0.25">
      <c r="A327" s="5">
        <v>44266</v>
      </c>
      <c r="B327">
        <v>45.96</v>
      </c>
      <c r="C327">
        <v>48.973999999999997</v>
      </c>
      <c r="D327">
        <v>43.6</v>
      </c>
      <c r="E327">
        <v>47.125</v>
      </c>
      <c r="F327">
        <v>120970.416</v>
      </c>
      <c r="G327">
        <v>0</v>
      </c>
      <c r="L327" t="s">
        <v>7</v>
      </c>
      <c r="M327" t="s">
        <v>8</v>
      </c>
      <c r="N327" t="s">
        <v>8</v>
      </c>
      <c r="P327">
        <f t="shared" si="970"/>
        <v>0.31187197618161583</v>
      </c>
      <c r="Q327">
        <f t="shared" si="971"/>
        <v>37727.282697432158</v>
      </c>
      <c r="R327">
        <f t="shared" si="972"/>
        <v>4697530.5015622294</v>
      </c>
      <c r="S327">
        <f t="shared" si="973"/>
        <v>46.975305015622297</v>
      </c>
      <c r="T327">
        <f t="shared" si="974"/>
        <v>4.6975305015622297E-2</v>
      </c>
    </row>
    <row r="328" spans="1:20" x14ac:dyDescent="0.25">
      <c r="A328" s="5">
        <v>44265</v>
      </c>
      <c r="B328">
        <v>48.896999999999998</v>
      </c>
      <c r="C328">
        <v>49.204999999999998</v>
      </c>
      <c r="D328">
        <v>45.27</v>
      </c>
      <c r="E328">
        <v>45.889000000000003</v>
      </c>
      <c r="F328">
        <v>131518.16699999999</v>
      </c>
      <c r="G328">
        <v>0</v>
      </c>
      <c r="L328" t="s">
        <v>7</v>
      </c>
      <c r="M328" t="s">
        <v>8</v>
      </c>
      <c r="N328" t="s">
        <v>8</v>
      </c>
      <c r="P328">
        <f t="shared" si="970"/>
        <v>-0.68538754764930088</v>
      </c>
      <c r="Q328">
        <f t="shared" si="971"/>
        <v>-90140.913951461203</v>
      </c>
      <c r="R328">
        <f t="shared" si="972"/>
        <v>4659803.2188647976</v>
      </c>
      <c r="S328">
        <f t="shared" si="973"/>
        <v>46.598032188647977</v>
      </c>
      <c r="T328">
        <f t="shared" si="974"/>
        <v>4.6598032188647977E-2</v>
      </c>
    </row>
    <row r="329" spans="1:20" x14ac:dyDescent="0.25">
      <c r="A329" s="5">
        <v>44264</v>
      </c>
      <c r="B329">
        <v>50.055999999999997</v>
      </c>
      <c r="C329">
        <v>51.972999999999999</v>
      </c>
      <c r="D329">
        <v>47.39</v>
      </c>
      <c r="E329">
        <v>48.896999999999998</v>
      </c>
      <c r="F329">
        <v>202127.59299999999</v>
      </c>
      <c r="G329">
        <v>0</v>
      </c>
      <c r="L329" t="s">
        <v>8</v>
      </c>
      <c r="M329" t="s">
        <v>8</v>
      </c>
      <c r="N329" t="s">
        <v>8</v>
      </c>
      <c r="P329">
        <f t="shared" si="970"/>
        <v>-0.3423521710669874</v>
      </c>
      <c r="Q329">
        <f t="shared" si="971"/>
        <v>-69198.820296094404</v>
      </c>
      <c r="R329">
        <f t="shared" si="972"/>
        <v>4749944.1328162588</v>
      </c>
      <c r="S329">
        <f t="shared" si="973"/>
        <v>47.49944132816259</v>
      </c>
      <c r="T329">
        <f t="shared" si="974"/>
        <v>4.7499441328162591E-2</v>
      </c>
    </row>
    <row r="330" spans="1:20" x14ac:dyDescent="0.25">
      <c r="A330" s="5">
        <v>44263</v>
      </c>
      <c r="B330">
        <v>44.430999999999997</v>
      </c>
      <c r="C330">
        <v>50.247</v>
      </c>
      <c r="D330">
        <v>43.621000000000002</v>
      </c>
      <c r="E330">
        <v>50.061999999999998</v>
      </c>
      <c r="F330">
        <v>346967.93699999998</v>
      </c>
      <c r="G330">
        <v>0</v>
      </c>
      <c r="L330" t="s">
        <v>8</v>
      </c>
      <c r="M330" t="s">
        <v>8</v>
      </c>
      <c r="N330" t="s">
        <v>8</v>
      </c>
      <c r="P330">
        <f t="shared" si="970"/>
        <v>0.94415937217023771</v>
      </c>
      <c r="Q330">
        <f t="shared" si="971"/>
        <v>327593.02956112259</v>
      </c>
      <c r="R330">
        <f t="shared" si="972"/>
        <v>4819142.9531123536</v>
      </c>
      <c r="S330">
        <f t="shared" si="973"/>
        <v>48.191429531123539</v>
      </c>
      <c r="T330">
        <f t="shared" si="974"/>
        <v>4.8191429531123542E-2</v>
      </c>
    </row>
    <row r="331" spans="1:20" x14ac:dyDescent="0.25">
      <c r="A331" s="5">
        <v>44262</v>
      </c>
      <c r="B331">
        <v>42.777000000000001</v>
      </c>
      <c r="C331">
        <v>44.62</v>
      </c>
      <c r="D331">
        <v>40.956000000000003</v>
      </c>
      <c r="E331">
        <v>44.405000000000001</v>
      </c>
      <c r="F331">
        <v>196051.37599999999</v>
      </c>
      <c r="G331">
        <v>0</v>
      </c>
      <c r="L331" t="s">
        <v>8</v>
      </c>
      <c r="M331" t="s">
        <v>8</v>
      </c>
      <c r="N331" t="s">
        <v>8</v>
      </c>
      <c r="P331">
        <f t="shared" si="970"/>
        <v>0.88264192139738173</v>
      </c>
      <c r="Q331">
        <f t="shared" si="971"/>
        <v>173043.16320524053</v>
      </c>
      <c r="R331">
        <f t="shared" si="972"/>
        <v>4491549.9235512307</v>
      </c>
      <c r="S331">
        <f t="shared" si="973"/>
        <v>44.915499235512307</v>
      </c>
      <c r="T331">
        <f t="shared" si="974"/>
        <v>4.4915499235512309E-2</v>
      </c>
    </row>
    <row r="332" spans="1:20" x14ac:dyDescent="0.25">
      <c r="A332" s="5">
        <v>44261</v>
      </c>
      <c r="B332">
        <v>36.642000000000003</v>
      </c>
      <c r="C332">
        <v>43.652999999999999</v>
      </c>
      <c r="D332">
        <v>36.082999999999998</v>
      </c>
      <c r="E332">
        <v>42.847999999999999</v>
      </c>
      <c r="F332">
        <v>182731.83</v>
      </c>
      <c r="G332">
        <v>0</v>
      </c>
      <c r="L332" t="s">
        <v>8</v>
      </c>
      <c r="M332" t="s">
        <v>8</v>
      </c>
      <c r="N332" t="s">
        <v>8</v>
      </c>
      <c r="P332">
        <f t="shared" si="970"/>
        <v>0.78731836195508598</v>
      </c>
      <c r="Q332">
        <f t="shared" si="971"/>
        <v>143868.12507265524</v>
      </c>
      <c r="R332">
        <f t="shared" si="972"/>
        <v>4318506.7603459898</v>
      </c>
      <c r="S332">
        <f t="shared" si="973"/>
        <v>43.185067603459899</v>
      </c>
      <c r="T332">
        <f t="shared" si="974"/>
        <v>4.3185067603459901E-2</v>
      </c>
    </row>
    <row r="333" spans="1:20" x14ac:dyDescent="0.25">
      <c r="A333" s="5">
        <v>44260</v>
      </c>
      <c r="B333">
        <v>37.436999999999998</v>
      </c>
      <c r="C333">
        <v>37.457999999999998</v>
      </c>
      <c r="D333">
        <v>34.856999999999999</v>
      </c>
      <c r="E333">
        <v>36.658000000000001</v>
      </c>
      <c r="F333">
        <v>80591.091</v>
      </c>
      <c r="G333">
        <v>0</v>
      </c>
      <c r="L333" t="s">
        <v>7</v>
      </c>
      <c r="M333" t="s">
        <v>7</v>
      </c>
      <c r="N333" t="s">
        <v>8</v>
      </c>
      <c r="P333">
        <f t="shared" si="970"/>
        <v>0.38485198000769133</v>
      </c>
      <c r="Q333">
        <f t="shared" si="971"/>
        <v>31015.640942330032</v>
      </c>
      <c r="R333">
        <f t="shared" si="972"/>
        <v>4174638.6352733346</v>
      </c>
      <c r="S333">
        <f t="shared" si="973"/>
        <v>41.746386352733346</v>
      </c>
      <c r="T333">
        <f t="shared" si="974"/>
        <v>4.1746386352733346E-2</v>
      </c>
    </row>
    <row r="334" spans="1:20" x14ac:dyDescent="0.25">
      <c r="A334" s="5">
        <v>44259</v>
      </c>
      <c r="B334">
        <v>38.5</v>
      </c>
      <c r="C334">
        <v>39.707000000000001</v>
      </c>
      <c r="D334">
        <v>36.433</v>
      </c>
      <c r="E334">
        <v>37.390999999999998</v>
      </c>
      <c r="F334">
        <v>116329.175</v>
      </c>
      <c r="G334">
        <v>0</v>
      </c>
      <c r="L334" t="s">
        <v>7</v>
      </c>
      <c r="M334" t="s">
        <v>8</v>
      </c>
      <c r="N334" t="s">
        <v>8</v>
      </c>
      <c r="P334">
        <f t="shared" si="970"/>
        <v>-0.41478313989004389</v>
      </c>
      <c r="Q334">
        <f t="shared" si="971"/>
        <v>-48251.380467318399</v>
      </c>
      <c r="R334">
        <f t="shared" si="972"/>
        <v>4143622.9943310046</v>
      </c>
      <c r="S334">
        <f t="shared" si="973"/>
        <v>41.436229943310046</v>
      </c>
      <c r="T334">
        <f t="shared" si="974"/>
        <v>4.1436229943310046E-2</v>
      </c>
    </row>
    <row r="335" spans="1:20" x14ac:dyDescent="0.25">
      <c r="A335" s="5">
        <v>44258</v>
      </c>
      <c r="B335">
        <v>36.600999999999999</v>
      </c>
      <c r="C335">
        <v>40.814</v>
      </c>
      <c r="D335">
        <v>36.143000000000001</v>
      </c>
      <c r="E335">
        <v>38.5</v>
      </c>
      <c r="F335">
        <v>219430.17199999999</v>
      </c>
      <c r="G335">
        <v>0</v>
      </c>
      <c r="L335" t="s">
        <v>8</v>
      </c>
      <c r="M335" t="s">
        <v>8</v>
      </c>
      <c r="N335" t="s">
        <v>8</v>
      </c>
      <c r="P335">
        <f t="shared" si="970"/>
        <v>9.205737529436795E-3</v>
      </c>
      <c r="Q335">
        <f t="shared" si="971"/>
        <v>2020.0165694711709</v>
      </c>
      <c r="R335">
        <f t="shared" si="972"/>
        <v>4191874.374798323</v>
      </c>
      <c r="S335">
        <f t="shared" si="973"/>
        <v>41.918743747983228</v>
      </c>
      <c r="T335">
        <f t="shared" si="974"/>
        <v>4.1918743747983225E-2</v>
      </c>
    </row>
    <row r="336" spans="1:20" x14ac:dyDescent="0.25">
      <c r="A336" s="5">
        <v>44257</v>
      </c>
      <c r="B336">
        <v>38.164000000000001</v>
      </c>
      <c r="C336">
        <v>39.29</v>
      </c>
      <c r="D336">
        <v>35.320999999999998</v>
      </c>
      <c r="E336">
        <v>36.600999999999999</v>
      </c>
      <c r="F336">
        <v>130281.478</v>
      </c>
      <c r="G336">
        <v>0</v>
      </c>
      <c r="L336" t="s">
        <v>7</v>
      </c>
      <c r="M336" t="s">
        <v>8</v>
      </c>
      <c r="N336" t="s">
        <v>8</v>
      </c>
      <c r="P336">
        <f t="shared" si="970"/>
        <v>-0.35500125976316416</v>
      </c>
      <c r="Q336">
        <f t="shared" si="971"/>
        <v>-46250.088813806957</v>
      </c>
      <c r="R336">
        <f t="shared" si="972"/>
        <v>4189854.358228852</v>
      </c>
      <c r="S336">
        <f t="shared" si="973"/>
        <v>41.898543582288518</v>
      </c>
      <c r="T336">
        <f t="shared" si="974"/>
        <v>4.1898543582288519E-2</v>
      </c>
    </row>
    <row r="337" spans="1:20" x14ac:dyDescent="0.25">
      <c r="A337" s="5">
        <v>44256</v>
      </c>
      <c r="B337">
        <v>34.520000000000003</v>
      </c>
      <c r="C337">
        <v>41</v>
      </c>
      <c r="D337">
        <v>34.177999999999997</v>
      </c>
      <c r="E337">
        <v>38.176000000000002</v>
      </c>
      <c r="F337">
        <v>105693.682</v>
      </c>
      <c r="G337">
        <v>0</v>
      </c>
      <c r="L337" t="s">
        <v>8</v>
      </c>
      <c r="M337" t="s">
        <v>8</v>
      </c>
      <c r="N337" t="s">
        <v>8</v>
      </c>
      <c r="P337">
        <f t="shared" si="970"/>
        <v>0.17209029610085108</v>
      </c>
      <c r="Q337">
        <f t="shared" si="971"/>
        <v>18188.857031369193</v>
      </c>
      <c r="R337">
        <f t="shared" si="972"/>
        <v>4236104.4470426589</v>
      </c>
      <c r="S337">
        <f t="shared" si="973"/>
        <v>42.361044470426592</v>
      </c>
      <c r="T337">
        <f t="shared" si="974"/>
        <v>4.2361044470426594E-2</v>
      </c>
    </row>
    <row r="338" spans="1:20" x14ac:dyDescent="0.25">
      <c r="A338" s="5">
        <v>44255</v>
      </c>
      <c r="B338">
        <v>36.695999999999998</v>
      </c>
      <c r="C338">
        <v>37.654000000000003</v>
      </c>
      <c r="D338">
        <v>31.928000000000001</v>
      </c>
      <c r="E338">
        <v>34.472999999999999</v>
      </c>
      <c r="F338">
        <v>124185.55899999999</v>
      </c>
      <c r="G338">
        <v>0</v>
      </c>
      <c r="L338" t="s">
        <v>7</v>
      </c>
      <c r="M338" t="s">
        <v>7</v>
      </c>
      <c r="N338" t="s">
        <v>8</v>
      </c>
      <c r="P338">
        <f t="shared" si="970"/>
        <v>-0.11107230178134929</v>
      </c>
      <c r="Q338">
        <f t="shared" si="971"/>
        <v>-13793.575886133556</v>
      </c>
      <c r="R338">
        <f t="shared" si="972"/>
        <v>4217915.5900112893</v>
      </c>
      <c r="S338">
        <f t="shared" si="973"/>
        <v>42.179155900112896</v>
      </c>
      <c r="T338">
        <f t="shared" si="974"/>
        <v>4.2179155900112897E-2</v>
      </c>
    </row>
    <row r="339" spans="1:20" x14ac:dyDescent="0.25">
      <c r="A339" s="5">
        <v>44254</v>
      </c>
      <c r="B339">
        <v>35.408999999999999</v>
      </c>
      <c r="C339">
        <v>39.774000000000001</v>
      </c>
      <c r="D339">
        <v>35.287999999999997</v>
      </c>
      <c r="E339">
        <v>36.622999999999998</v>
      </c>
      <c r="F339">
        <v>164295.899</v>
      </c>
      <c r="G339">
        <v>0</v>
      </c>
      <c r="L339" t="s">
        <v>8</v>
      </c>
      <c r="M339" t="s">
        <v>8</v>
      </c>
      <c r="N339" t="s">
        <v>8</v>
      </c>
      <c r="P339">
        <f t="shared" si="970"/>
        <v>-0.40481497993758375</v>
      </c>
      <c r="Q339">
        <f t="shared" si="971"/>
        <v>-66509.441057512289</v>
      </c>
      <c r="R339">
        <f t="shared" si="972"/>
        <v>4231709.1658974225</v>
      </c>
      <c r="S339">
        <f t="shared" si="973"/>
        <v>42.317091658974228</v>
      </c>
      <c r="T339">
        <f t="shared" si="974"/>
        <v>4.231709165897423E-2</v>
      </c>
    </row>
    <row r="340" spans="1:20" x14ac:dyDescent="0.25">
      <c r="A340" s="5">
        <v>44253</v>
      </c>
      <c r="B340">
        <v>34.595999999999997</v>
      </c>
      <c r="C340">
        <v>37.701000000000001</v>
      </c>
      <c r="D340">
        <v>32.286999999999999</v>
      </c>
      <c r="E340">
        <v>35.491999999999997</v>
      </c>
      <c r="F340">
        <v>127018.686</v>
      </c>
      <c r="G340">
        <v>0</v>
      </c>
      <c r="L340" t="s">
        <v>7</v>
      </c>
      <c r="M340" t="s">
        <v>7</v>
      </c>
      <c r="N340" t="s">
        <v>8</v>
      </c>
      <c r="P340">
        <f t="shared" si="970"/>
        <v>0.18396749168821477</v>
      </c>
      <c r="Q340">
        <f t="shared" si="971"/>
        <v>23367.309060952961</v>
      </c>
      <c r="R340">
        <f t="shared" si="972"/>
        <v>4298218.606954935</v>
      </c>
      <c r="S340">
        <f t="shared" si="973"/>
        <v>42.98218606954935</v>
      </c>
      <c r="T340">
        <f t="shared" si="974"/>
        <v>4.2982186069549351E-2</v>
      </c>
    </row>
    <row r="341" spans="1:20" x14ac:dyDescent="0.25">
      <c r="A341" s="5">
        <v>44252</v>
      </c>
      <c r="B341">
        <v>38.435000000000002</v>
      </c>
      <c r="C341">
        <v>43.33</v>
      </c>
      <c r="D341">
        <v>34.256</v>
      </c>
      <c r="E341">
        <v>34.398000000000003</v>
      </c>
      <c r="F341">
        <v>194913.96400000001</v>
      </c>
      <c r="G341">
        <v>0</v>
      </c>
      <c r="L341" t="s">
        <v>7</v>
      </c>
      <c r="M341" t="s">
        <v>7</v>
      </c>
      <c r="N341" t="s">
        <v>8</v>
      </c>
      <c r="P341">
        <f t="shared" si="970"/>
        <v>-0.96870178532069584</v>
      </c>
      <c r="Q341">
        <f t="shared" si="971"/>
        <v>-188813.50491073384</v>
      </c>
      <c r="R341">
        <f t="shared" si="972"/>
        <v>4274851.2978939824</v>
      </c>
      <c r="S341">
        <f t="shared" si="973"/>
        <v>42.748512978939821</v>
      </c>
      <c r="T341">
        <f t="shared" si="974"/>
        <v>4.274851297893982E-2</v>
      </c>
    </row>
    <row r="342" spans="1:20" x14ac:dyDescent="0.25">
      <c r="A342" s="5">
        <v>44251</v>
      </c>
      <c r="B342">
        <v>35.088000000000001</v>
      </c>
      <c r="C342">
        <v>44.99</v>
      </c>
      <c r="D342">
        <v>33.252000000000002</v>
      </c>
      <c r="E342">
        <v>38.548999999999999</v>
      </c>
      <c r="F342">
        <v>213639.87899999999</v>
      </c>
      <c r="G342">
        <v>0</v>
      </c>
      <c r="L342" t="s">
        <v>8</v>
      </c>
      <c r="M342" t="s">
        <v>8</v>
      </c>
      <c r="N342" t="s">
        <v>8</v>
      </c>
      <c r="P342">
        <f t="shared" si="970"/>
        <v>-9.7461237008008642E-2</v>
      </c>
      <c r="Q342">
        <f t="shared" si="971"/>
        <v>-20821.606881581287</v>
      </c>
      <c r="R342">
        <f t="shared" si="972"/>
        <v>4463664.8028047159</v>
      </c>
      <c r="S342">
        <f t="shared" si="973"/>
        <v>44.636648028047162</v>
      </c>
      <c r="T342">
        <f t="shared" si="974"/>
        <v>4.4636648028047163E-2</v>
      </c>
    </row>
    <row r="343" spans="1:20" x14ac:dyDescent="0.25">
      <c r="A343" s="5">
        <v>44250</v>
      </c>
      <c r="B343">
        <v>41.133000000000003</v>
      </c>
      <c r="C343">
        <v>41.442</v>
      </c>
      <c r="D343">
        <v>28.975000000000001</v>
      </c>
      <c r="E343">
        <v>35.124000000000002</v>
      </c>
      <c r="F343">
        <v>517282.58100000001</v>
      </c>
      <c r="G343">
        <v>0</v>
      </c>
      <c r="L343" t="s">
        <v>7</v>
      </c>
      <c r="M343" t="s">
        <v>7</v>
      </c>
      <c r="N343" t="s">
        <v>7</v>
      </c>
      <c r="P343">
        <f t="shared" si="970"/>
        <v>-1.355578727841477E-2</v>
      </c>
      <c r="Q343">
        <f t="shared" si="971"/>
        <v>-7012.1726308653579</v>
      </c>
      <c r="R343">
        <f t="shared" si="972"/>
        <v>4484486.4096862972</v>
      </c>
      <c r="S343">
        <f t="shared" si="973"/>
        <v>44.84486409686297</v>
      </c>
      <c r="T343">
        <f t="shared" si="974"/>
        <v>4.4844864096862967E-2</v>
      </c>
    </row>
    <row r="344" spans="1:20" x14ac:dyDescent="0.25">
      <c r="A344" s="5">
        <v>44249</v>
      </c>
      <c r="B344">
        <v>45.664000000000001</v>
      </c>
      <c r="C344">
        <v>45.811</v>
      </c>
      <c r="D344">
        <v>34.720999999999997</v>
      </c>
      <c r="E344">
        <v>41.015000000000001</v>
      </c>
      <c r="F344">
        <v>262146.299</v>
      </c>
      <c r="G344">
        <v>0</v>
      </c>
      <c r="L344" t="s">
        <v>7</v>
      </c>
      <c r="M344" t="s">
        <v>7</v>
      </c>
      <c r="N344" t="s">
        <v>7</v>
      </c>
      <c r="P344">
        <f t="shared" si="970"/>
        <v>0.13507664562669108</v>
      </c>
      <c r="Q344">
        <f t="shared" si="971"/>
        <v>35409.842732371602</v>
      </c>
      <c r="R344">
        <f t="shared" si="972"/>
        <v>4491498.5823171623</v>
      </c>
      <c r="S344">
        <f t="shared" si="973"/>
        <v>44.914985823171627</v>
      </c>
      <c r="T344">
        <f t="shared" si="974"/>
        <v>4.4914985823171626E-2</v>
      </c>
    </row>
    <row r="345" spans="1:20" x14ac:dyDescent="0.25">
      <c r="A345" s="5">
        <v>44248</v>
      </c>
      <c r="B345">
        <v>46.24</v>
      </c>
      <c r="C345">
        <v>48.597999999999999</v>
      </c>
      <c r="D345">
        <v>44.767000000000003</v>
      </c>
      <c r="E345">
        <v>45.697000000000003</v>
      </c>
      <c r="F345">
        <v>196201.47200000001</v>
      </c>
      <c r="G345">
        <v>0</v>
      </c>
      <c r="L345" t="s">
        <v>7</v>
      </c>
      <c r="M345" t="s">
        <v>8</v>
      </c>
      <c r="N345" t="s">
        <v>8</v>
      </c>
      <c r="P345">
        <f t="shared" si="970"/>
        <v>-0.51448707909162061</v>
      </c>
      <c r="Q345">
        <f t="shared" si="971"/>
        <v>-100943.12224275639</v>
      </c>
      <c r="R345">
        <f t="shared" si="972"/>
        <v>4456088.7395847905</v>
      </c>
      <c r="S345">
        <f t="shared" si="973"/>
        <v>44.560887395847907</v>
      </c>
      <c r="T345">
        <f t="shared" si="974"/>
        <v>4.4560887395847903E-2</v>
      </c>
    </row>
    <row r="346" spans="1:20" x14ac:dyDescent="0.25">
      <c r="A346" s="5">
        <v>44247</v>
      </c>
      <c r="B346">
        <v>44.191000000000003</v>
      </c>
      <c r="C346">
        <v>50.414000000000001</v>
      </c>
      <c r="D346">
        <v>43</v>
      </c>
      <c r="E346">
        <v>46.139000000000003</v>
      </c>
      <c r="F346">
        <v>398786.94300000003</v>
      </c>
      <c r="G346">
        <v>0</v>
      </c>
      <c r="L346" t="s">
        <v>8</v>
      </c>
      <c r="M346" t="s">
        <v>8</v>
      </c>
      <c r="N346" t="s">
        <v>8</v>
      </c>
      <c r="P346">
        <f t="shared" si="970"/>
        <v>-0.15322363096843747</v>
      </c>
      <c r="Q346">
        <f t="shared" si="971"/>
        <v>-61103.583389263309</v>
      </c>
      <c r="R346">
        <f t="shared" si="972"/>
        <v>4557031.8618275467</v>
      </c>
      <c r="S346">
        <f t="shared" si="973"/>
        <v>45.570318618275465</v>
      </c>
      <c r="T346">
        <f t="shared" si="974"/>
        <v>4.5570318618275464E-2</v>
      </c>
    </row>
    <row r="347" spans="1:20" x14ac:dyDescent="0.25">
      <c r="A347" s="5">
        <v>44246</v>
      </c>
      <c r="B347">
        <v>46.682000000000002</v>
      </c>
      <c r="C347">
        <v>47.573999999999998</v>
      </c>
      <c r="D347">
        <v>43.005000000000003</v>
      </c>
      <c r="E347">
        <v>44.19</v>
      </c>
      <c r="F347">
        <v>185315.351</v>
      </c>
      <c r="G347">
        <v>0</v>
      </c>
      <c r="L347" t="s">
        <v>8</v>
      </c>
      <c r="M347" t="s">
        <v>8</v>
      </c>
      <c r="N347" t="s">
        <v>8</v>
      </c>
      <c r="P347">
        <f t="shared" si="970"/>
        <v>-0.48128693368352099</v>
      </c>
      <c r="Q347">
        <f t="shared" si="971"/>
        <v>-89189.857047275407</v>
      </c>
      <c r="R347">
        <f t="shared" si="972"/>
        <v>4618135.4452168103</v>
      </c>
      <c r="S347">
        <f t="shared" si="973"/>
        <v>46.181354452168101</v>
      </c>
      <c r="T347">
        <f t="shared" si="974"/>
        <v>4.6181354452168102E-2</v>
      </c>
    </row>
    <row r="348" spans="1:20" x14ac:dyDescent="0.25">
      <c r="A348" s="5">
        <v>44245</v>
      </c>
      <c r="B348">
        <v>44.722999999999999</v>
      </c>
      <c r="C348">
        <v>47.24</v>
      </c>
      <c r="D348">
        <v>44.658999999999999</v>
      </c>
      <c r="E348">
        <v>46.703000000000003</v>
      </c>
      <c r="F348">
        <v>199108.23699999999</v>
      </c>
      <c r="G348">
        <v>0</v>
      </c>
      <c r="L348" t="s">
        <v>8</v>
      </c>
      <c r="M348" t="s">
        <v>8</v>
      </c>
      <c r="N348" t="s">
        <v>8</v>
      </c>
      <c r="P348">
        <f t="shared" si="970"/>
        <v>0.58388221619527436</v>
      </c>
      <c r="Q348">
        <f t="shared" si="971"/>
        <v>116255.75868229392</v>
      </c>
      <c r="R348">
        <f t="shared" si="972"/>
        <v>4707325.302264086</v>
      </c>
      <c r="S348">
        <f t="shared" si="973"/>
        <v>47.073253022640863</v>
      </c>
      <c r="T348">
        <f t="shared" si="974"/>
        <v>4.7073253022640864E-2</v>
      </c>
    </row>
    <row r="349" spans="1:20" x14ac:dyDescent="0.25">
      <c r="A349" s="5">
        <v>44244</v>
      </c>
      <c r="B349">
        <v>42.938000000000002</v>
      </c>
      <c r="C349">
        <v>46.6</v>
      </c>
      <c r="D349">
        <v>40.139000000000003</v>
      </c>
      <c r="E349">
        <v>44.692999999999998</v>
      </c>
      <c r="F349">
        <v>592706.12699999998</v>
      </c>
      <c r="G349">
        <v>0</v>
      </c>
      <c r="L349" t="s">
        <v>7</v>
      </c>
      <c r="M349" t="s">
        <v>8</v>
      </c>
      <c r="N349" t="s">
        <v>8</v>
      </c>
      <c r="P349">
        <f t="shared" si="970"/>
        <v>0.40968890264664787</v>
      </c>
      <c r="Q349">
        <f t="shared" si="971"/>
        <v>242825.1227625747</v>
      </c>
      <c r="R349">
        <f t="shared" si="972"/>
        <v>4591069.5435817922</v>
      </c>
      <c r="S349">
        <f t="shared" si="973"/>
        <v>45.910695435817921</v>
      </c>
      <c r="T349">
        <f t="shared" si="974"/>
        <v>4.5910695435817918E-2</v>
      </c>
    </row>
    <row r="350" spans="1:20" x14ac:dyDescent="0.25">
      <c r="A350" s="5">
        <v>44243</v>
      </c>
      <c r="B350">
        <v>43.601999999999997</v>
      </c>
      <c r="C350">
        <v>46.1</v>
      </c>
      <c r="D350">
        <v>41.435000000000002</v>
      </c>
      <c r="E350">
        <v>42.973999999999997</v>
      </c>
      <c r="F350">
        <v>173213.674</v>
      </c>
      <c r="G350">
        <v>0</v>
      </c>
      <c r="L350" t="s">
        <v>8</v>
      </c>
      <c r="M350" t="s">
        <v>8</v>
      </c>
      <c r="N350" t="s">
        <v>8</v>
      </c>
      <c r="P350">
        <f t="shared" si="970"/>
        <v>-0.34019292604501838</v>
      </c>
      <c r="Q350">
        <f t="shared" si="971"/>
        <v>-58926.066589067923</v>
      </c>
      <c r="R350">
        <f t="shared" si="972"/>
        <v>4348244.4208192173</v>
      </c>
      <c r="S350">
        <f t="shared" si="973"/>
        <v>43.48244420819217</v>
      </c>
      <c r="T350">
        <f t="shared" si="974"/>
        <v>4.3482444208192167E-2</v>
      </c>
    </row>
    <row r="351" spans="1:20" x14ac:dyDescent="0.25">
      <c r="A351" s="5">
        <v>44242</v>
      </c>
      <c r="B351">
        <v>44.332000000000001</v>
      </c>
      <c r="C351">
        <v>47.021999999999998</v>
      </c>
      <c r="D351">
        <v>37.665999999999997</v>
      </c>
      <c r="E351">
        <v>43.606000000000002</v>
      </c>
      <c r="F351">
        <v>318702.27500000002</v>
      </c>
      <c r="G351">
        <v>0</v>
      </c>
      <c r="L351" t="s">
        <v>7</v>
      </c>
      <c r="M351" t="s">
        <v>7</v>
      </c>
      <c r="N351" t="s">
        <v>8</v>
      </c>
      <c r="P351">
        <f t="shared" si="970"/>
        <v>0.26977340743907735</v>
      </c>
      <c r="Q351">
        <f t="shared" si="971"/>
        <v>85977.39868533588</v>
      </c>
      <c r="R351">
        <f t="shared" si="972"/>
        <v>4407170.487408285</v>
      </c>
      <c r="S351">
        <f t="shared" si="973"/>
        <v>44.071704874082847</v>
      </c>
      <c r="T351">
        <f t="shared" si="974"/>
        <v>4.4071704874082844E-2</v>
      </c>
    </row>
    <row r="352" spans="1:20" x14ac:dyDescent="0.25">
      <c r="A352" s="5">
        <v>44241</v>
      </c>
      <c r="B352">
        <v>48.582000000000001</v>
      </c>
      <c r="C352">
        <v>49.326999999999998</v>
      </c>
      <c r="D352">
        <v>43.677</v>
      </c>
      <c r="E352">
        <v>44.292999999999999</v>
      </c>
      <c r="F352">
        <v>173898.201</v>
      </c>
      <c r="G352">
        <v>0</v>
      </c>
      <c r="L352" t="s">
        <v>7</v>
      </c>
      <c r="M352" t="s">
        <v>7</v>
      </c>
      <c r="N352" t="s">
        <v>8</v>
      </c>
      <c r="P352">
        <f t="shared" si="970"/>
        <v>-0.78194690265486733</v>
      </c>
      <c r="Q352">
        <f t="shared" si="971"/>
        <v>-135979.15964920356</v>
      </c>
      <c r="R352">
        <f t="shared" si="972"/>
        <v>4321193.0887229489</v>
      </c>
      <c r="S352">
        <f t="shared" si="973"/>
        <v>43.211930887229492</v>
      </c>
      <c r="T352">
        <f t="shared" si="974"/>
        <v>4.3211930887229494E-2</v>
      </c>
    </row>
    <row r="353" spans="1:20" x14ac:dyDescent="0.25">
      <c r="A353" s="5">
        <v>44240</v>
      </c>
      <c r="B353">
        <v>52.042999999999999</v>
      </c>
      <c r="C353">
        <v>52.845999999999997</v>
      </c>
      <c r="D353">
        <v>46.4</v>
      </c>
      <c r="E353">
        <v>48.487000000000002</v>
      </c>
      <c r="F353">
        <v>270615.50699999998</v>
      </c>
      <c r="G353">
        <v>0</v>
      </c>
      <c r="L353" t="s">
        <v>7</v>
      </c>
      <c r="M353" t="s">
        <v>8</v>
      </c>
      <c r="N353" t="s">
        <v>8</v>
      </c>
      <c r="P353">
        <f t="shared" si="970"/>
        <v>-0.35246664598200311</v>
      </c>
      <c r="Q353">
        <f t="shared" si="971"/>
        <v>-95382.940103009285</v>
      </c>
      <c r="R353">
        <f t="shared" si="972"/>
        <v>4457172.2483721524</v>
      </c>
      <c r="S353">
        <f t="shared" si="973"/>
        <v>44.571722483721523</v>
      </c>
      <c r="T353">
        <f t="shared" si="974"/>
        <v>4.4571722483721522E-2</v>
      </c>
    </row>
    <row r="354" spans="1:20" x14ac:dyDescent="0.25">
      <c r="A354" s="5">
        <v>44239</v>
      </c>
      <c r="B354">
        <v>47.424999999999997</v>
      </c>
      <c r="C354">
        <v>53.887999999999998</v>
      </c>
      <c r="D354">
        <v>45.911999999999999</v>
      </c>
      <c r="E354">
        <v>51.963999999999999</v>
      </c>
      <c r="F354">
        <v>324453.71999999997</v>
      </c>
      <c r="G354">
        <v>0</v>
      </c>
      <c r="L354" t="s">
        <v>8</v>
      </c>
      <c r="M354" t="s">
        <v>8</v>
      </c>
      <c r="N354" t="s">
        <v>8</v>
      </c>
      <c r="P354">
        <f t="shared" si="970"/>
        <v>0.5175526579739218</v>
      </c>
      <c r="Q354">
        <f t="shared" si="971"/>
        <v>167921.88517552658</v>
      </c>
      <c r="R354">
        <f t="shared" si="972"/>
        <v>4552555.1884751618</v>
      </c>
      <c r="S354">
        <f t="shared" si="973"/>
        <v>45.525551884751621</v>
      </c>
      <c r="T354">
        <f t="shared" si="974"/>
        <v>4.5525551884751624E-2</v>
      </c>
    </row>
    <row r="355" spans="1:20" x14ac:dyDescent="0.25">
      <c r="A355" s="5">
        <v>44238</v>
      </c>
      <c r="B355">
        <v>42.643999999999998</v>
      </c>
      <c r="C355">
        <v>53</v>
      </c>
      <c r="D355">
        <v>40.680999999999997</v>
      </c>
      <c r="E355">
        <v>47.323</v>
      </c>
      <c r="F355">
        <v>720277.58299999998</v>
      </c>
      <c r="G355">
        <v>0</v>
      </c>
      <c r="L355" t="s">
        <v>8</v>
      </c>
      <c r="M355" t="s">
        <v>8</v>
      </c>
      <c r="N355" t="s">
        <v>8</v>
      </c>
      <c r="P355">
        <f t="shared" si="970"/>
        <v>7.8334280379901228E-2</v>
      </c>
      <c r="Q355">
        <f t="shared" si="971"/>
        <v>56422.42613807958</v>
      </c>
      <c r="R355">
        <f t="shared" si="972"/>
        <v>4384633.3032996356</v>
      </c>
      <c r="S355">
        <f t="shared" si="973"/>
        <v>43.846333032996355</v>
      </c>
      <c r="T355">
        <f t="shared" si="974"/>
        <v>4.3846333032996357E-2</v>
      </c>
    </row>
    <row r="356" spans="1:20" x14ac:dyDescent="0.25">
      <c r="A356" s="5">
        <v>44237</v>
      </c>
      <c r="B356">
        <v>39.420999999999999</v>
      </c>
      <c r="C356">
        <v>43.066000000000003</v>
      </c>
      <c r="D356">
        <v>32.520000000000003</v>
      </c>
      <c r="E356">
        <v>42.645000000000003</v>
      </c>
      <c r="F356">
        <v>681944.47699999996</v>
      </c>
      <c r="G356">
        <v>0</v>
      </c>
      <c r="L356" t="s">
        <v>8</v>
      </c>
      <c r="M356" t="s">
        <v>8</v>
      </c>
      <c r="N356" t="s">
        <v>8</v>
      </c>
      <c r="P356">
        <f t="shared" si="970"/>
        <v>0.92015930210506369</v>
      </c>
      <c r="Q356">
        <f t="shared" si="971"/>
        <v>627497.55403072259</v>
      </c>
      <c r="R356">
        <f t="shared" si="972"/>
        <v>4328210.8771615559</v>
      </c>
      <c r="S356">
        <f t="shared" si="973"/>
        <v>43.282108771615562</v>
      </c>
      <c r="T356">
        <f t="shared" si="974"/>
        <v>4.3282108771615563E-2</v>
      </c>
    </row>
    <row r="357" spans="1:20" x14ac:dyDescent="0.25">
      <c r="A357" s="5">
        <v>44236</v>
      </c>
      <c r="B357">
        <v>37.216999999999999</v>
      </c>
      <c r="C357">
        <v>39.5</v>
      </c>
      <c r="D357">
        <v>34.659999999999997</v>
      </c>
      <c r="E357">
        <v>39.5</v>
      </c>
      <c r="F357">
        <v>445858.70199999999</v>
      </c>
      <c r="G357">
        <v>0</v>
      </c>
      <c r="L357" t="s">
        <v>8</v>
      </c>
      <c r="M357" t="s">
        <v>8</v>
      </c>
      <c r="N357" t="s">
        <v>8</v>
      </c>
      <c r="P357">
        <f t="shared" si="970"/>
        <v>1</v>
      </c>
      <c r="Q357">
        <f t="shared" si="971"/>
        <v>445858.70199999999</v>
      </c>
      <c r="R357">
        <f t="shared" si="972"/>
        <v>3700713.323130833</v>
      </c>
      <c r="S357">
        <f t="shared" si="973"/>
        <v>37.00713323130833</v>
      </c>
      <c r="T357">
        <f t="shared" si="974"/>
        <v>3.7007133231308331E-2</v>
      </c>
    </row>
    <row r="358" spans="1:20" x14ac:dyDescent="0.25">
      <c r="A358" s="5">
        <v>44235</v>
      </c>
      <c r="B358">
        <v>36.24</v>
      </c>
      <c r="C358">
        <v>38.912999999999997</v>
      </c>
      <c r="D358">
        <v>34.447000000000003</v>
      </c>
      <c r="E358">
        <v>37.142000000000003</v>
      </c>
      <c r="F358">
        <v>349693.516</v>
      </c>
      <c r="G358">
        <v>0</v>
      </c>
      <c r="L358" t="s">
        <v>8</v>
      </c>
      <c r="M358" t="s">
        <v>8</v>
      </c>
      <c r="N358" t="s">
        <v>8</v>
      </c>
      <c r="P358">
        <f t="shared" si="970"/>
        <v>0.20689655172413968</v>
      </c>
      <c r="Q358">
        <f t="shared" si="971"/>
        <v>72350.38262069026</v>
      </c>
      <c r="R358">
        <f t="shared" si="972"/>
        <v>3254854.6211308329</v>
      </c>
      <c r="S358">
        <f t="shared" si="973"/>
        <v>32.548546211308327</v>
      </c>
      <c r="T358">
        <f t="shared" si="974"/>
        <v>3.254854621130833E-2</v>
      </c>
    </row>
    <row r="359" spans="1:20" x14ac:dyDescent="0.25">
      <c r="A359" s="5">
        <v>44234</v>
      </c>
      <c r="B359">
        <v>36.023000000000003</v>
      </c>
      <c r="C359">
        <v>38</v>
      </c>
      <c r="D359">
        <v>33.1</v>
      </c>
      <c r="E359">
        <v>36.201999999999998</v>
      </c>
      <c r="F359">
        <v>716320.00300000003</v>
      </c>
      <c r="G359">
        <v>0</v>
      </c>
      <c r="L359" t="s">
        <v>7</v>
      </c>
      <c r="M359" t="s">
        <v>7</v>
      </c>
      <c r="N359" t="s">
        <v>8</v>
      </c>
      <c r="P359">
        <f t="shared" si="970"/>
        <v>0.26612244897959086</v>
      </c>
      <c r="Q359">
        <f t="shared" si="971"/>
        <v>190628.83345142787</v>
      </c>
      <c r="R359">
        <f t="shared" si="972"/>
        <v>3182504.2385101425</v>
      </c>
      <c r="S359">
        <f t="shared" si="973"/>
        <v>31.825042385101426</v>
      </c>
      <c r="T359">
        <f t="shared" si="974"/>
        <v>3.1825042385101428E-2</v>
      </c>
    </row>
    <row r="360" spans="1:20" x14ac:dyDescent="0.25">
      <c r="A360" s="5">
        <v>44233</v>
      </c>
      <c r="B360">
        <v>39.398000000000003</v>
      </c>
      <c r="C360">
        <v>40.779000000000003</v>
      </c>
      <c r="D360">
        <v>35.031999999999996</v>
      </c>
      <c r="E360">
        <v>36.023000000000003</v>
      </c>
      <c r="F360">
        <v>268471.74699999997</v>
      </c>
      <c r="G360">
        <v>0</v>
      </c>
      <c r="L360" t="s">
        <v>7</v>
      </c>
      <c r="M360" t="s">
        <v>7</v>
      </c>
      <c r="N360" t="s">
        <v>8</v>
      </c>
      <c r="P360">
        <f t="shared" si="970"/>
        <v>-0.65512441273707833</v>
      </c>
      <c r="Q360">
        <f t="shared" si="971"/>
        <v>-175882.39558987247</v>
      </c>
      <c r="R360">
        <f t="shared" si="972"/>
        <v>2991875.4050587146</v>
      </c>
      <c r="S360">
        <f t="shared" si="973"/>
        <v>29.918754050587147</v>
      </c>
      <c r="T360">
        <f t="shared" si="974"/>
        <v>2.9918754050587148E-2</v>
      </c>
    </row>
    <row r="361" spans="1:20" x14ac:dyDescent="0.25">
      <c r="A361" s="5">
        <v>44232</v>
      </c>
      <c r="B361">
        <v>33.765000000000001</v>
      </c>
      <c r="C361">
        <v>41.8</v>
      </c>
      <c r="D361">
        <v>33.5</v>
      </c>
      <c r="E361">
        <v>39.353000000000002</v>
      </c>
      <c r="F361">
        <v>385520.94900000002</v>
      </c>
      <c r="G361">
        <v>0</v>
      </c>
      <c r="L361" t="s">
        <v>8</v>
      </c>
      <c r="M361" t="s">
        <v>8</v>
      </c>
      <c r="N361" t="s">
        <v>8</v>
      </c>
      <c r="P361">
        <f t="shared" si="970"/>
        <v>0.41036144578313338</v>
      </c>
      <c r="Q361">
        <f t="shared" si="971"/>
        <v>158202.93401132565</v>
      </c>
      <c r="R361">
        <f t="shared" si="972"/>
        <v>3167757.8006485868</v>
      </c>
      <c r="S361">
        <f t="shared" si="973"/>
        <v>31.677578006485867</v>
      </c>
      <c r="T361">
        <f t="shared" si="974"/>
        <v>3.1677578006485865E-2</v>
      </c>
    </row>
    <row r="362" spans="1:20" x14ac:dyDescent="0.25">
      <c r="A362" s="5">
        <v>44231</v>
      </c>
      <c r="B362">
        <v>35.524999999999999</v>
      </c>
      <c r="C362">
        <v>36.822000000000003</v>
      </c>
      <c r="D362">
        <v>32.064999999999998</v>
      </c>
      <c r="E362">
        <v>33.759</v>
      </c>
      <c r="F362">
        <v>393925.897</v>
      </c>
      <c r="G362">
        <v>0</v>
      </c>
      <c r="L362" t="s">
        <v>8</v>
      </c>
      <c r="M362" t="s">
        <v>8</v>
      </c>
      <c r="N362" t="s">
        <v>8</v>
      </c>
      <c r="P362">
        <f t="shared" si="970"/>
        <v>-0.28778642001261262</v>
      </c>
      <c r="Q362">
        <f t="shared" si="971"/>
        <v>-113366.52364788718</v>
      </c>
      <c r="R362">
        <f t="shared" si="972"/>
        <v>3009554.8666372611</v>
      </c>
      <c r="S362">
        <f t="shared" si="973"/>
        <v>30.095548666372611</v>
      </c>
      <c r="T362">
        <f t="shared" si="974"/>
        <v>3.009554866637261E-2</v>
      </c>
    </row>
    <row r="363" spans="1:20" x14ac:dyDescent="0.25">
      <c r="A363" s="5">
        <v>44230</v>
      </c>
      <c r="B363">
        <v>32.424999999999997</v>
      </c>
      <c r="C363">
        <v>35.835999999999999</v>
      </c>
      <c r="D363">
        <v>31.937000000000001</v>
      </c>
      <c r="E363">
        <v>35.511000000000003</v>
      </c>
      <c r="F363">
        <v>245589.78700000001</v>
      </c>
      <c r="G363">
        <v>0</v>
      </c>
      <c r="L363" t="s">
        <v>8</v>
      </c>
      <c r="M363" t="s">
        <v>8</v>
      </c>
      <c r="N363" t="s">
        <v>8</v>
      </c>
      <c r="P363">
        <f t="shared" si="970"/>
        <v>0.83329058733008676</v>
      </c>
      <c r="Q363">
        <f t="shared" si="971"/>
        <v>204647.6578515009</v>
      </c>
      <c r="R363">
        <f t="shared" si="972"/>
        <v>3122921.3902851483</v>
      </c>
      <c r="S363">
        <f t="shared" si="973"/>
        <v>31.229213902851484</v>
      </c>
      <c r="T363">
        <f t="shared" si="974"/>
        <v>3.1229213902851483E-2</v>
      </c>
    </row>
    <row r="364" spans="1:20" x14ac:dyDescent="0.25">
      <c r="A364" s="5">
        <v>44229</v>
      </c>
      <c r="B364">
        <v>30.378</v>
      </c>
      <c r="C364">
        <v>35.015999999999998</v>
      </c>
      <c r="D364">
        <v>29.472999999999999</v>
      </c>
      <c r="E364">
        <v>32.423000000000002</v>
      </c>
      <c r="F364">
        <v>546847.70499999996</v>
      </c>
      <c r="G364">
        <v>0</v>
      </c>
      <c r="L364" t="s">
        <v>8</v>
      </c>
      <c r="M364" t="s">
        <v>8</v>
      </c>
      <c r="N364" t="s">
        <v>8</v>
      </c>
      <c r="P364">
        <f t="shared" si="970"/>
        <v>6.4405556557821847E-2</v>
      </c>
      <c r="Q364">
        <f t="shared" si="971"/>
        <v>35220.030792892576</v>
      </c>
      <c r="R364">
        <f t="shared" si="972"/>
        <v>2918273.7324336474</v>
      </c>
      <c r="S364">
        <f t="shared" si="973"/>
        <v>29.182737324336475</v>
      </c>
      <c r="T364">
        <f t="shared" si="974"/>
        <v>2.9182737324336475E-2</v>
      </c>
    </row>
    <row r="365" spans="1:20" x14ac:dyDescent="0.25">
      <c r="A365" s="5">
        <v>44228</v>
      </c>
      <c r="B365">
        <v>26.530999999999999</v>
      </c>
      <c r="C365">
        <v>30.646999999999998</v>
      </c>
      <c r="D365">
        <v>25.073</v>
      </c>
      <c r="E365">
        <v>30.375</v>
      </c>
      <c r="F365">
        <v>333404.68800000002</v>
      </c>
      <c r="G365">
        <v>0</v>
      </c>
      <c r="L365" t="s">
        <v>7</v>
      </c>
      <c r="M365" t="s">
        <v>8</v>
      </c>
      <c r="N365" t="s">
        <v>8</v>
      </c>
      <c r="P365">
        <f t="shared" si="970"/>
        <v>0.90240401865805575</v>
      </c>
      <c r="Q365">
        <f t="shared" si="971"/>
        <v>300865.73029063526</v>
      </c>
      <c r="R365">
        <f t="shared" si="972"/>
        <v>2883053.7016407549</v>
      </c>
      <c r="S365">
        <f t="shared" si="973"/>
        <v>28.830537016407551</v>
      </c>
      <c r="T365">
        <f t="shared" si="974"/>
        <v>2.8830537016407552E-2</v>
      </c>
    </row>
    <row r="366" spans="1:20" x14ac:dyDescent="0.25">
      <c r="A366" s="5">
        <v>44227</v>
      </c>
      <c r="B366">
        <v>28.405000000000001</v>
      </c>
      <c r="C366">
        <v>28.797000000000001</v>
      </c>
      <c r="D366">
        <v>25.609000000000002</v>
      </c>
      <c r="E366">
        <v>26.481999999999999</v>
      </c>
      <c r="F366">
        <v>237092.71100000001</v>
      </c>
      <c r="G366">
        <v>0</v>
      </c>
      <c r="L366" t="s">
        <v>7</v>
      </c>
      <c r="M366" t="s">
        <v>8</v>
      </c>
      <c r="N366" t="s">
        <v>8</v>
      </c>
      <c r="P366">
        <f t="shared" si="970"/>
        <v>-0.45232120451693986</v>
      </c>
      <c r="Q366">
        <f t="shared" si="971"/>
        <v>-107242.06062170673</v>
      </c>
      <c r="R366">
        <f t="shared" si="972"/>
        <v>2582187.9713501194</v>
      </c>
      <c r="S366">
        <f t="shared" si="973"/>
        <v>25.821879713501193</v>
      </c>
      <c r="T366">
        <f t="shared" si="974"/>
        <v>2.5821879713501195E-2</v>
      </c>
    </row>
    <row r="367" spans="1:20" x14ac:dyDescent="0.25">
      <c r="A367" s="5">
        <v>44226</v>
      </c>
      <c r="B367">
        <v>26.016999999999999</v>
      </c>
      <c r="C367">
        <v>29.5</v>
      </c>
      <c r="D367">
        <v>24.335000000000001</v>
      </c>
      <c r="E367">
        <v>28.45</v>
      </c>
      <c r="F367">
        <v>292784.06699999998</v>
      </c>
      <c r="G367">
        <v>0</v>
      </c>
      <c r="L367" t="s">
        <v>8</v>
      </c>
      <c r="M367" t="s">
        <v>8</v>
      </c>
      <c r="N367" t="s">
        <v>8</v>
      </c>
      <c r="P367">
        <f t="shared" si="970"/>
        <v>0.59341723136495605</v>
      </c>
      <c r="Q367">
        <f t="shared" si="971"/>
        <v>173743.11042691179</v>
      </c>
      <c r="R367">
        <f t="shared" si="972"/>
        <v>2689430.0319718262</v>
      </c>
      <c r="S367">
        <f t="shared" si="973"/>
        <v>26.894300319718262</v>
      </c>
      <c r="T367">
        <f t="shared" si="974"/>
        <v>2.6894300319718262E-2</v>
      </c>
    </row>
    <row r="368" spans="1:20" x14ac:dyDescent="0.25">
      <c r="A368" s="5">
        <v>44225</v>
      </c>
      <c r="B368">
        <v>23.085999999999999</v>
      </c>
      <c r="C368">
        <v>27</v>
      </c>
      <c r="D368">
        <v>22.373999999999999</v>
      </c>
      <c r="E368">
        <v>26.015999999999998</v>
      </c>
      <c r="F368">
        <v>322268.32500000001</v>
      </c>
      <c r="G368">
        <v>0</v>
      </c>
      <c r="L368" t="s">
        <v>8</v>
      </c>
      <c r="M368" t="s">
        <v>8</v>
      </c>
      <c r="N368" t="s">
        <v>8</v>
      </c>
      <c r="P368">
        <f t="shared" si="970"/>
        <v>0.57457846952010316</v>
      </c>
      <c r="Q368">
        <f t="shared" si="971"/>
        <v>185168.4409533072</v>
      </c>
      <c r="R368">
        <f t="shared" si="972"/>
        <v>2515686.9215449146</v>
      </c>
      <c r="S368">
        <f t="shared" si="973"/>
        <v>25.156869215449145</v>
      </c>
      <c r="T368">
        <f t="shared" si="974"/>
        <v>2.5156869215449146E-2</v>
      </c>
    </row>
    <row r="369" spans="1:20" x14ac:dyDescent="0.25">
      <c r="A369" s="5">
        <v>44224</v>
      </c>
      <c r="B369">
        <v>19.292999999999999</v>
      </c>
      <c r="C369">
        <v>23.606000000000002</v>
      </c>
      <c r="D369">
        <v>18.934999999999999</v>
      </c>
      <c r="E369">
        <v>23.077999999999999</v>
      </c>
      <c r="F369">
        <v>224868.99600000001</v>
      </c>
      <c r="G369">
        <v>0</v>
      </c>
      <c r="L369" t="s">
        <v>8</v>
      </c>
      <c r="M369" t="s">
        <v>8</v>
      </c>
      <c r="N369" t="s">
        <v>8</v>
      </c>
      <c r="P369">
        <f t="shared" si="970"/>
        <v>0.77392421323057081</v>
      </c>
      <c r="Q369">
        <f t="shared" si="971"/>
        <v>174031.56080924839</v>
      </c>
      <c r="R369">
        <f t="shared" si="972"/>
        <v>2330518.4805916073</v>
      </c>
      <c r="S369">
        <f t="shared" si="973"/>
        <v>23.305184805916074</v>
      </c>
      <c r="T369">
        <f t="shared" si="974"/>
        <v>2.3305184805916073E-2</v>
      </c>
    </row>
    <row r="370" spans="1:20" x14ac:dyDescent="0.25">
      <c r="A370" s="5">
        <v>44223</v>
      </c>
      <c r="B370">
        <v>21.783000000000001</v>
      </c>
      <c r="C370">
        <v>21.858000000000001</v>
      </c>
      <c r="D370">
        <v>18.675000000000001</v>
      </c>
      <c r="E370">
        <v>19.369</v>
      </c>
      <c r="F370">
        <v>270302.79300000001</v>
      </c>
      <c r="G370">
        <v>0</v>
      </c>
      <c r="L370" t="s">
        <v>7</v>
      </c>
      <c r="M370" t="s">
        <v>7</v>
      </c>
      <c r="N370" t="s">
        <v>8</v>
      </c>
      <c r="P370">
        <f t="shared" si="970"/>
        <v>-0.56393339616713845</v>
      </c>
      <c r="Q370">
        <f t="shared" si="971"/>
        <v>-152432.77204995303</v>
      </c>
      <c r="R370">
        <f t="shared" si="972"/>
        <v>2156486.9197823587</v>
      </c>
      <c r="S370">
        <f t="shared" si="973"/>
        <v>21.564869197823587</v>
      </c>
      <c r="T370">
        <f t="shared" si="974"/>
        <v>2.1564869197823588E-2</v>
      </c>
    </row>
    <row r="371" spans="1:20" x14ac:dyDescent="0.25">
      <c r="A371" s="5">
        <v>44222</v>
      </c>
      <c r="B371">
        <v>20.971</v>
      </c>
      <c r="C371">
        <v>22.088999999999999</v>
      </c>
      <c r="D371">
        <v>19.611999999999998</v>
      </c>
      <c r="E371">
        <v>21.744</v>
      </c>
      <c r="F371">
        <v>234423.99799999999</v>
      </c>
      <c r="G371">
        <v>0</v>
      </c>
      <c r="L371" t="s">
        <v>7</v>
      </c>
      <c r="M371" t="s">
        <v>7</v>
      </c>
      <c r="N371" t="s">
        <v>8</v>
      </c>
      <c r="P371">
        <f t="shared" si="970"/>
        <v>0.72143722244650887</v>
      </c>
      <c r="Q371">
        <f t="shared" si="971"/>
        <v>169122.19799192593</v>
      </c>
      <c r="R371">
        <f t="shared" si="972"/>
        <v>2308919.6918323119</v>
      </c>
      <c r="S371">
        <f t="shared" si="973"/>
        <v>23.089196918323118</v>
      </c>
      <c r="T371">
        <f t="shared" si="974"/>
        <v>2.3089196918323118E-2</v>
      </c>
    </row>
    <row r="372" spans="1:20" x14ac:dyDescent="0.25">
      <c r="A372" s="5">
        <v>44221</v>
      </c>
      <c r="B372">
        <v>23.018000000000001</v>
      </c>
      <c r="C372">
        <v>24.1</v>
      </c>
      <c r="D372">
        <v>20.817</v>
      </c>
      <c r="E372">
        <v>20.977</v>
      </c>
      <c r="F372">
        <v>206508.61499999999</v>
      </c>
      <c r="G372">
        <v>0</v>
      </c>
      <c r="L372" t="s">
        <v>8</v>
      </c>
      <c r="M372" t="s">
        <v>8</v>
      </c>
      <c r="N372" t="s">
        <v>8</v>
      </c>
      <c r="P372">
        <f t="shared" si="970"/>
        <v>-0.9025281754492841</v>
      </c>
      <c r="Q372">
        <f t="shared" si="971"/>
        <v>-186379.84351050865</v>
      </c>
      <c r="R372">
        <f t="shared" si="972"/>
        <v>2139797.4938403862</v>
      </c>
      <c r="S372">
        <f t="shared" si="973"/>
        <v>21.397974938403863</v>
      </c>
      <c r="T372">
        <f t="shared" si="974"/>
        <v>2.1397974938403862E-2</v>
      </c>
    </row>
    <row r="373" spans="1:20" x14ac:dyDescent="0.25">
      <c r="A373" s="5">
        <v>44220</v>
      </c>
      <c r="B373">
        <v>20.640999999999998</v>
      </c>
      <c r="C373">
        <v>23.164000000000001</v>
      </c>
      <c r="D373">
        <v>20.399999999999999</v>
      </c>
      <c r="E373">
        <v>23.033999999999999</v>
      </c>
      <c r="F373">
        <v>234549.739</v>
      </c>
      <c r="G373">
        <v>0</v>
      </c>
      <c r="L373" t="s">
        <v>8</v>
      </c>
      <c r="M373" t="s">
        <v>8</v>
      </c>
      <c r="N373" t="s">
        <v>7</v>
      </c>
      <c r="P373">
        <f t="shared" si="970"/>
        <v>0.90593342981186509</v>
      </c>
      <c r="Q373">
        <f t="shared" si="971"/>
        <v>212486.44951374776</v>
      </c>
      <c r="R373">
        <f t="shared" si="972"/>
        <v>2326177.3373508947</v>
      </c>
      <c r="S373">
        <f t="shared" si="973"/>
        <v>23.261773373508948</v>
      </c>
      <c r="T373">
        <f t="shared" si="974"/>
        <v>2.3261773373508949E-2</v>
      </c>
    </row>
    <row r="374" spans="1:20" x14ac:dyDescent="0.25">
      <c r="A374" s="5">
        <v>44219</v>
      </c>
      <c r="B374">
        <v>19.933</v>
      </c>
      <c r="C374">
        <v>21.402999999999999</v>
      </c>
      <c r="D374">
        <v>19.626000000000001</v>
      </c>
      <c r="E374">
        <v>20.623000000000001</v>
      </c>
      <c r="F374">
        <v>161626.05100000001</v>
      </c>
      <c r="G374">
        <v>0</v>
      </c>
      <c r="L374" t="s">
        <v>8</v>
      </c>
      <c r="M374" t="s">
        <v>8</v>
      </c>
      <c r="N374" t="s">
        <v>7</v>
      </c>
      <c r="P374">
        <f t="shared" si="970"/>
        <v>0.12211592571750288</v>
      </c>
      <c r="Q374">
        <f t="shared" si="971"/>
        <v>19737.114837929334</v>
      </c>
      <c r="R374">
        <f t="shared" si="972"/>
        <v>2113690.8878371469</v>
      </c>
      <c r="S374">
        <f t="shared" si="973"/>
        <v>21.136908878371468</v>
      </c>
      <c r="T374">
        <f t="shared" si="974"/>
        <v>2.1136908878371469E-2</v>
      </c>
    </row>
    <row r="375" spans="1:20" x14ac:dyDescent="0.25">
      <c r="A375" s="5">
        <v>44218</v>
      </c>
      <c r="B375">
        <v>18.166</v>
      </c>
      <c r="C375">
        <v>20.632000000000001</v>
      </c>
      <c r="D375">
        <v>16.843</v>
      </c>
      <c r="E375">
        <v>19.95</v>
      </c>
      <c r="F375">
        <v>266889.11200000002</v>
      </c>
      <c r="G375">
        <v>0</v>
      </c>
      <c r="L375" t="s">
        <v>7</v>
      </c>
      <c r="M375" t="s">
        <v>7</v>
      </c>
      <c r="N375" t="s">
        <v>7</v>
      </c>
      <c r="P375">
        <f t="shared" si="970"/>
        <v>0.64001055687516395</v>
      </c>
      <c r="Q375">
        <f t="shared" si="971"/>
        <v>170811.84919503803</v>
      </c>
      <c r="R375">
        <f t="shared" si="972"/>
        <v>2093953.7729992175</v>
      </c>
      <c r="S375">
        <f t="shared" si="973"/>
        <v>20.939537729992175</v>
      </c>
      <c r="T375">
        <f t="shared" si="974"/>
        <v>2.0939537729992175E-2</v>
      </c>
    </row>
    <row r="376" spans="1:20" x14ac:dyDescent="0.25">
      <c r="A376" s="5">
        <v>44217</v>
      </c>
      <c r="B376">
        <v>22.295999999999999</v>
      </c>
      <c r="C376">
        <v>22.491</v>
      </c>
      <c r="D376">
        <v>17.643000000000001</v>
      </c>
      <c r="E376">
        <v>18.192</v>
      </c>
      <c r="F376">
        <v>237318.261</v>
      </c>
      <c r="G376">
        <v>0</v>
      </c>
      <c r="L376" t="s">
        <v>7</v>
      </c>
      <c r="M376" t="s">
        <v>7</v>
      </c>
      <c r="N376" t="s">
        <v>8</v>
      </c>
      <c r="P376">
        <f t="shared" si="970"/>
        <v>-0.77351485148514865</v>
      </c>
      <c r="Q376">
        <f t="shared" si="971"/>
        <v>-183569.19941212874</v>
      </c>
      <c r="R376">
        <f t="shared" si="972"/>
        <v>1923141.9238041795</v>
      </c>
      <c r="S376">
        <f t="shared" si="973"/>
        <v>19.231419238041795</v>
      </c>
      <c r="T376">
        <f t="shared" si="974"/>
        <v>1.9231419238041794E-2</v>
      </c>
    </row>
    <row r="377" spans="1:20" x14ac:dyDescent="0.25">
      <c r="A377" s="5">
        <v>44216</v>
      </c>
      <c r="B377">
        <v>22.077000000000002</v>
      </c>
      <c r="C377">
        <v>22.757999999999999</v>
      </c>
      <c r="D377">
        <v>19.858000000000001</v>
      </c>
      <c r="E377">
        <v>22.257000000000001</v>
      </c>
      <c r="F377">
        <v>205727.5</v>
      </c>
      <c r="G377">
        <v>0</v>
      </c>
      <c r="L377" t="s">
        <v>7</v>
      </c>
      <c r="M377" t="s">
        <v>7</v>
      </c>
      <c r="N377" t="s">
        <v>8</v>
      </c>
      <c r="P377">
        <f t="shared" si="970"/>
        <v>0.65448275862069105</v>
      </c>
      <c r="Q377">
        <f t="shared" si="971"/>
        <v>134645.10172413822</v>
      </c>
      <c r="R377">
        <f t="shared" si="972"/>
        <v>2106711.1232163082</v>
      </c>
      <c r="S377">
        <f t="shared" si="973"/>
        <v>21.067111232163082</v>
      </c>
      <c r="T377">
        <f t="shared" si="974"/>
        <v>2.1067111232163083E-2</v>
      </c>
    </row>
    <row r="378" spans="1:20" x14ac:dyDescent="0.25">
      <c r="A378" s="5">
        <v>44215</v>
      </c>
      <c r="B378">
        <v>22.998999999999999</v>
      </c>
      <c r="C378">
        <v>24.988</v>
      </c>
      <c r="D378">
        <v>21.821999999999999</v>
      </c>
      <c r="E378">
        <v>22.135000000000002</v>
      </c>
      <c r="F378">
        <v>264096.24800000002</v>
      </c>
      <c r="G378">
        <v>0</v>
      </c>
      <c r="L378" t="s">
        <v>8</v>
      </c>
      <c r="M378" t="s">
        <v>8</v>
      </c>
      <c r="N378" t="s">
        <v>8</v>
      </c>
      <c r="P378">
        <f t="shared" si="970"/>
        <v>-0.80227416298167886</v>
      </c>
      <c r="Q378">
        <f t="shared" si="971"/>
        <v>-211877.59631080189</v>
      </c>
      <c r="R378">
        <f t="shared" si="972"/>
        <v>1972066.0214921702</v>
      </c>
      <c r="S378">
        <f t="shared" si="973"/>
        <v>19.720660214921701</v>
      </c>
      <c r="T378">
        <f t="shared" si="974"/>
        <v>1.9720660214921699E-2</v>
      </c>
    </row>
    <row r="379" spans="1:20" x14ac:dyDescent="0.25">
      <c r="A379" s="5">
        <v>44214</v>
      </c>
      <c r="B379">
        <v>20.824000000000002</v>
      </c>
      <c r="C379">
        <v>23</v>
      </c>
      <c r="D379">
        <v>20.204999999999998</v>
      </c>
      <c r="E379">
        <v>23</v>
      </c>
      <c r="F379">
        <v>293093.375</v>
      </c>
      <c r="G379">
        <v>0</v>
      </c>
      <c r="L379" t="s">
        <v>8</v>
      </c>
      <c r="M379" t="s">
        <v>8</v>
      </c>
      <c r="N379" t="s">
        <v>8</v>
      </c>
      <c r="P379">
        <f t="shared" si="970"/>
        <v>1</v>
      </c>
      <c r="Q379">
        <f t="shared" si="971"/>
        <v>293093.375</v>
      </c>
      <c r="R379">
        <f t="shared" si="972"/>
        <v>2183943.617802972</v>
      </c>
      <c r="S379">
        <f t="shared" si="973"/>
        <v>21.839436178029718</v>
      </c>
      <c r="T379">
        <f t="shared" si="974"/>
        <v>2.183943617802972E-2</v>
      </c>
    </row>
    <row r="380" spans="1:20" x14ac:dyDescent="0.25">
      <c r="A380" s="5">
        <v>44213</v>
      </c>
      <c r="B380">
        <v>19.36</v>
      </c>
      <c r="C380">
        <v>21.635000000000002</v>
      </c>
      <c r="D380">
        <v>17.983000000000001</v>
      </c>
      <c r="E380">
        <v>20.798999999999999</v>
      </c>
      <c r="F380">
        <v>295474.69</v>
      </c>
      <c r="G380">
        <v>0</v>
      </c>
      <c r="L380" t="s">
        <v>8</v>
      </c>
      <c r="M380" t="s">
        <v>8</v>
      </c>
      <c r="N380" t="s">
        <v>8</v>
      </c>
      <c r="P380">
        <f t="shared" si="970"/>
        <v>0.54216867469879415</v>
      </c>
      <c r="Q380">
        <f t="shared" si="971"/>
        <v>160197.12108433704</v>
      </c>
      <c r="R380">
        <f t="shared" si="972"/>
        <v>1890850.242802972</v>
      </c>
      <c r="S380">
        <f t="shared" si="973"/>
        <v>18.90850242802972</v>
      </c>
      <c r="T380">
        <f t="shared" si="974"/>
        <v>1.890850242802972E-2</v>
      </c>
    </row>
    <row r="381" spans="1:20" x14ac:dyDescent="0.25">
      <c r="A381" s="5">
        <v>44212</v>
      </c>
      <c r="B381">
        <v>17.826000000000001</v>
      </c>
      <c r="C381">
        <v>21</v>
      </c>
      <c r="D381">
        <v>17.734000000000002</v>
      </c>
      <c r="E381">
        <v>19.346</v>
      </c>
      <c r="F381">
        <v>322692.761</v>
      </c>
      <c r="G381">
        <v>0</v>
      </c>
      <c r="L381" t="s">
        <v>8</v>
      </c>
      <c r="M381" t="s">
        <v>8</v>
      </c>
      <c r="N381" t="s">
        <v>8</v>
      </c>
      <c r="P381">
        <f t="shared" si="970"/>
        <v>-1.2859767299449361E-2</v>
      </c>
      <c r="Q381">
        <f t="shared" si="971"/>
        <v>-4149.7538156768278</v>
      </c>
      <c r="R381">
        <f t="shared" si="972"/>
        <v>1730653.1217186349</v>
      </c>
      <c r="S381">
        <f t="shared" si="973"/>
        <v>17.306531217186347</v>
      </c>
      <c r="T381">
        <f t="shared" si="974"/>
        <v>1.7306531217186345E-2</v>
      </c>
    </row>
    <row r="382" spans="1:20" x14ac:dyDescent="0.25">
      <c r="A382" s="5">
        <v>44211</v>
      </c>
      <c r="B382">
        <v>17.812000000000001</v>
      </c>
      <c r="C382">
        <v>18.798999999999999</v>
      </c>
      <c r="D382">
        <v>15.765000000000001</v>
      </c>
      <c r="E382">
        <v>17.792999999999999</v>
      </c>
      <c r="F382">
        <v>214613.25200000001</v>
      </c>
      <c r="G382">
        <v>0</v>
      </c>
      <c r="L382" t="s">
        <v>7</v>
      </c>
      <c r="M382" t="s">
        <v>7</v>
      </c>
      <c r="N382" t="s">
        <v>7</v>
      </c>
      <c r="P382">
        <f t="shared" si="970"/>
        <v>0.33684904416611694</v>
      </c>
      <c r="Q382">
        <f t="shared" si="971"/>
        <v>72292.268801581988</v>
      </c>
      <c r="R382">
        <f t="shared" si="972"/>
        <v>1734802.8755343116</v>
      </c>
      <c r="S382">
        <f t="shared" si="973"/>
        <v>17.348028755343115</v>
      </c>
      <c r="T382">
        <f t="shared" si="974"/>
        <v>1.7348028755343116E-2</v>
      </c>
    </row>
    <row r="383" spans="1:20" x14ac:dyDescent="0.25">
      <c r="A383" s="5">
        <v>44210</v>
      </c>
      <c r="B383">
        <v>17.515999999999998</v>
      </c>
      <c r="C383">
        <v>18.762</v>
      </c>
      <c r="D383">
        <v>16.533999999999999</v>
      </c>
      <c r="E383">
        <v>17.768999999999998</v>
      </c>
      <c r="F383">
        <v>164111.815</v>
      </c>
      <c r="G383">
        <v>0</v>
      </c>
      <c r="L383" t="s">
        <v>8</v>
      </c>
      <c r="M383" t="s">
        <v>8</v>
      </c>
      <c r="N383" t="s">
        <v>7</v>
      </c>
      <c r="P383">
        <f t="shared" si="970"/>
        <v>0.10861759425493589</v>
      </c>
      <c r="Q383">
        <f t="shared" si="971"/>
        <v>17825.430534111103</v>
      </c>
      <c r="R383">
        <f t="shared" si="972"/>
        <v>1662510.6067327296</v>
      </c>
      <c r="S383">
        <f t="shared" si="973"/>
        <v>16.625106067327295</v>
      </c>
      <c r="T383">
        <f t="shared" si="974"/>
        <v>1.6625106067327294E-2</v>
      </c>
    </row>
    <row r="384" spans="1:20" x14ac:dyDescent="0.25">
      <c r="A384" s="5">
        <v>44209</v>
      </c>
      <c r="B384">
        <v>15.358000000000001</v>
      </c>
      <c r="C384">
        <v>17.539000000000001</v>
      </c>
      <c r="D384">
        <v>14.816000000000001</v>
      </c>
      <c r="E384">
        <v>17.52</v>
      </c>
      <c r="F384">
        <v>236926.67199999999</v>
      </c>
      <c r="G384">
        <v>0</v>
      </c>
      <c r="L384" t="s">
        <v>8</v>
      </c>
      <c r="M384" t="s">
        <v>8</v>
      </c>
      <c r="N384" t="s">
        <v>7</v>
      </c>
      <c r="P384">
        <f t="shared" si="970"/>
        <v>0.98604480352552193</v>
      </c>
      <c r="Q384">
        <f t="shared" si="971"/>
        <v>233620.31374219578</v>
      </c>
      <c r="R384">
        <f t="shared" si="972"/>
        <v>1644685.1761986185</v>
      </c>
      <c r="S384">
        <f t="shared" si="973"/>
        <v>16.446851761986185</v>
      </c>
      <c r="T384">
        <f t="shared" si="974"/>
        <v>1.6446851761986184E-2</v>
      </c>
    </row>
    <row r="385" spans="1:20" x14ac:dyDescent="0.25">
      <c r="A385" s="5">
        <v>44208</v>
      </c>
      <c r="B385">
        <v>16.114999999999998</v>
      </c>
      <c r="C385">
        <v>17.248999999999999</v>
      </c>
      <c r="D385">
        <v>14.734</v>
      </c>
      <c r="E385">
        <v>15.32</v>
      </c>
      <c r="F385">
        <v>247235.43100000001</v>
      </c>
      <c r="G385">
        <v>0</v>
      </c>
      <c r="L385" t="s">
        <v>8</v>
      </c>
      <c r="M385" t="s">
        <v>8</v>
      </c>
      <c r="N385" t="s">
        <v>7</v>
      </c>
      <c r="P385">
        <f t="shared" si="970"/>
        <v>-0.5339960238568584</v>
      </c>
      <c r="Q385">
        <f t="shared" si="971"/>
        <v>-132022.73711053666</v>
      </c>
      <c r="R385">
        <f t="shared" si="972"/>
        <v>1411064.8624564228</v>
      </c>
      <c r="S385">
        <f t="shared" si="973"/>
        <v>14.110648624564227</v>
      </c>
      <c r="T385">
        <f t="shared" si="974"/>
        <v>1.4110648624564227E-2</v>
      </c>
    </row>
    <row r="386" spans="1:20" x14ac:dyDescent="0.25">
      <c r="A386" s="5">
        <v>44207</v>
      </c>
      <c r="B386">
        <v>19.166</v>
      </c>
      <c r="C386">
        <v>19.228000000000002</v>
      </c>
      <c r="D386">
        <v>13.555</v>
      </c>
      <c r="E386">
        <v>16.114000000000001</v>
      </c>
      <c r="F386">
        <v>345857.902</v>
      </c>
      <c r="G386">
        <v>0</v>
      </c>
      <c r="L386" t="s">
        <v>7</v>
      </c>
      <c r="M386" t="s">
        <v>7</v>
      </c>
      <c r="N386" t="s">
        <v>7</v>
      </c>
      <c r="P386">
        <f t="shared" si="970"/>
        <v>-9.783183500793223E-2</v>
      </c>
      <c r="Q386">
        <f t="shared" si="971"/>
        <v>-33835.913204653596</v>
      </c>
      <c r="R386">
        <f t="shared" si="972"/>
        <v>1543087.5995669593</v>
      </c>
      <c r="S386">
        <f t="shared" si="973"/>
        <v>15.430875995669593</v>
      </c>
      <c r="T386">
        <f t="shared" si="974"/>
        <v>1.5430875995669594E-2</v>
      </c>
    </row>
    <row r="387" spans="1:20" x14ac:dyDescent="0.25">
      <c r="A387" s="5">
        <v>44206</v>
      </c>
      <c r="B387">
        <v>19.585000000000001</v>
      </c>
      <c r="C387">
        <v>21.559000000000001</v>
      </c>
      <c r="D387">
        <v>17.783000000000001</v>
      </c>
      <c r="E387">
        <v>19.199000000000002</v>
      </c>
      <c r="F387">
        <v>305057.42200000002</v>
      </c>
      <c r="G387">
        <v>0</v>
      </c>
      <c r="L387" t="s">
        <v>8</v>
      </c>
      <c r="M387" t="s">
        <v>8</v>
      </c>
      <c r="N387" t="s">
        <v>8</v>
      </c>
      <c r="P387">
        <f t="shared" si="970"/>
        <v>-0.24999999999999978</v>
      </c>
      <c r="Q387">
        <f t="shared" si="971"/>
        <v>-76264.355499999932</v>
      </c>
      <c r="R387">
        <f t="shared" si="972"/>
        <v>1576923.512771613</v>
      </c>
      <c r="S387">
        <f t="shared" si="973"/>
        <v>15.769235127716129</v>
      </c>
      <c r="T387">
        <f t="shared" si="974"/>
        <v>1.5769235127716129E-2</v>
      </c>
    </row>
    <row r="388" spans="1:20" x14ac:dyDescent="0.25">
      <c r="A388" s="5">
        <v>44205</v>
      </c>
      <c r="B388">
        <v>17.978999999999999</v>
      </c>
      <c r="C388">
        <v>19.937999999999999</v>
      </c>
      <c r="D388">
        <v>17.375</v>
      </c>
      <c r="E388">
        <v>19.579000000000001</v>
      </c>
      <c r="F388">
        <v>342202.42599999998</v>
      </c>
      <c r="G388">
        <v>0</v>
      </c>
      <c r="L388" t="s">
        <v>8</v>
      </c>
      <c r="M388" t="s">
        <v>8</v>
      </c>
      <c r="N388" t="s">
        <v>8</v>
      </c>
      <c r="P388">
        <f t="shared" si="970"/>
        <v>0.7198595396020302</v>
      </c>
      <c r="Q388">
        <f t="shared" si="971"/>
        <v>246337.68083105781</v>
      </c>
      <c r="R388">
        <f t="shared" si="972"/>
        <v>1653187.8682716128</v>
      </c>
      <c r="S388">
        <f t="shared" si="973"/>
        <v>16.53187868271613</v>
      </c>
      <c r="T388">
        <f t="shared" si="974"/>
        <v>1.653187868271613E-2</v>
      </c>
    </row>
    <row r="389" spans="1:20" x14ac:dyDescent="0.25">
      <c r="A389" s="5">
        <v>44204</v>
      </c>
      <c r="B389">
        <v>18.446000000000002</v>
      </c>
      <c r="C389">
        <v>19.173999999999999</v>
      </c>
      <c r="D389">
        <v>15.763</v>
      </c>
      <c r="E389">
        <v>17.952999999999999</v>
      </c>
      <c r="F389">
        <v>356555.49599999998</v>
      </c>
      <c r="G389">
        <v>0</v>
      </c>
      <c r="L389" t="s">
        <v>7</v>
      </c>
      <c r="M389" t="s">
        <v>7</v>
      </c>
      <c r="N389" t="s">
        <v>8</v>
      </c>
      <c r="P389">
        <f t="shared" si="970"/>
        <v>0.28408091468777469</v>
      </c>
      <c r="Q389">
        <f t="shared" si="971"/>
        <v>101290.61144063319</v>
      </c>
      <c r="R389">
        <f t="shared" si="972"/>
        <v>1406850.1874405551</v>
      </c>
      <c r="S389">
        <f t="shared" si="973"/>
        <v>14.06850187440555</v>
      </c>
      <c r="T389">
        <f t="shared" si="974"/>
        <v>1.406850187440555E-2</v>
      </c>
    </row>
    <row r="390" spans="1:20" x14ac:dyDescent="0.25">
      <c r="A390" s="5">
        <v>44203</v>
      </c>
      <c r="B390">
        <v>18.437999999999999</v>
      </c>
      <c r="C390">
        <v>19.373999999999999</v>
      </c>
      <c r="D390">
        <v>15.82</v>
      </c>
      <c r="E390">
        <v>18.385000000000002</v>
      </c>
      <c r="F390">
        <v>395585.68400000001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0.44344400675295575</v>
      </c>
      <c r="Q390">
        <f t="shared" ref="Q390:Q453" si="976">F390*P390</f>
        <v>175420.10072706864</v>
      </c>
      <c r="R390">
        <f t="shared" ref="R390:R453" si="977">R391+Q390</f>
        <v>1305559.5759999219</v>
      </c>
      <c r="S390">
        <f t="shared" ref="S390:S453" si="978">R390/100000</f>
        <v>13.055595759999219</v>
      </c>
      <c r="T390">
        <f t="shared" ref="T390:T453" si="979">S390/1000</f>
        <v>1.305559575999922E-2</v>
      </c>
    </row>
    <row r="391" spans="1:20" x14ac:dyDescent="0.25">
      <c r="A391" s="5">
        <v>44202</v>
      </c>
      <c r="B391">
        <v>16.863</v>
      </c>
      <c r="C391">
        <v>18.556999999999999</v>
      </c>
      <c r="D391">
        <v>16.251999999999999</v>
      </c>
      <c r="E391">
        <v>18.452999999999999</v>
      </c>
      <c r="F391">
        <v>284523.68800000002</v>
      </c>
      <c r="G391">
        <v>0</v>
      </c>
      <c r="L391" t="s">
        <v>8</v>
      </c>
      <c r="M391" t="s">
        <v>8</v>
      </c>
      <c r="N391" t="s">
        <v>8</v>
      </c>
      <c r="P391">
        <f t="shared" si="975"/>
        <v>0.90976138828633468</v>
      </c>
      <c r="Q391">
        <f t="shared" si="976"/>
        <v>258848.66539522796</v>
      </c>
      <c r="R391">
        <f t="shared" si="977"/>
        <v>1130139.4752728532</v>
      </c>
      <c r="S391">
        <f t="shared" si="978"/>
        <v>11.301394752728532</v>
      </c>
      <c r="T391">
        <f t="shared" si="979"/>
        <v>1.1301394752728532E-2</v>
      </c>
    </row>
    <row r="392" spans="1:20" x14ac:dyDescent="0.25">
      <c r="A392" s="5">
        <v>44201</v>
      </c>
      <c r="B392">
        <v>15.797000000000001</v>
      </c>
      <c r="C392">
        <v>17.248999999999999</v>
      </c>
      <c r="D392">
        <v>15.009</v>
      </c>
      <c r="E392">
        <v>16.856000000000002</v>
      </c>
      <c r="F392">
        <v>359584.67300000001</v>
      </c>
      <c r="G392">
        <v>0</v>
      </c>
      <c r="L392" t="s">
        <v>7</v>
      </c>
      <c r="M392" t="s">
        <v>8</v>
      </c>
      <c r="N392" t="s">
        <v>8</v>
      </c>
      <c r="P392">
        <f t="shared" si="975"/>
        <v>0.64910714285714521</v>
      </c>
      <c r="Q392">
        <f t="shared" si="976"/>
        <v>233408.97970625086</v>
      </c>
      <c r="R392">
        <f t="shared" si="977"/>
        <v>871290.8098776252</v>
      </c>
      <c r="S392">
        <f t="shared" si="978"/>
        <v>8.7129080987762517</v>
      </c>
      <c r="T392">
        <f t="shared" si="979"/>
        <v>8.7129080987762512E-3</v>
      </c>
    </row>
    <row r="393" spans="1:20" x14ac:dyDescent="0.25">
      <c r="A393" s="5">
        <v>44200</v>
      </c>
      <c r="B393">
        <v>15.888</v>
      </c>
      <c r="C393">
        <v>17.649999999999999</v>
      </c>
      <c r="D393">
        <v>13.851000000000001</v>
      </c>
      <c r="E393">
        <v>15.781000000000001</v>
      </c>
      <c r="F393">
        <v>397071.397</v>
      </c>
      <c r="G393">
        <v>0</v>
      </c>
      <c r="L393" t="s">
        <v>8</v>
      </c>
      <c r="M393" t="s">
        <v>8</v>
      </c>
      <c r="N393" t="s">
        <v>8</v>
      </c>
      <c r="P393">
        <f t="shared" si="975"/>
        <v>1.6056857067649845E-2</v>
      </c>
      <c r="Q393">
        <f t="shared" si="976"/>
        <v>6375.7186672810476</v>
      </c>
      <c r="R393">
        <f t="shared" si="977"/>
        <v>637881.83017137437</v>
      </c>
      <c r="S393">
        <f t="shared" si="978"/>
        <v>6.3788183017137436</v>
      </c>
      <c r="T393">
        <f t="shared" si="979"/>
        <v>6.3788183017137439E-3</v>
      </c>
    </row>
    <row r="394" spans="1:20" x14ac:dyDescent="0.25">
      <c r="A394" s="5">
        <v>44199</v>
      </c>
      <c r="B394">
        <v>14.715999999999999</v>
      </c>
      <c r="C394">
        <v>16.489999999999998</v>
      </c>
      <c r="D394">
        <v>14.343</v>
      </c>
      <c r="E394">
        <v>15.88</v>
      </c>
      <c r="F394">
        <v>345906.43400000001</v>
      </c>
      <c r="G394">
        <v>0</v>
      </c>
      <c r="L394" t="s">
        <v>8</v>
      </c>
      <c r="M394" t="s">
        <v>8</v>
      </c>
      <c r="N394" t="s">
        <v>8</v>
      </c>
      <c r="P394">
        <f t="shared" si="975"/>
        <v>0.4317652538425728</v>
      </c>
      <c r="Q394">
        <f t="shared" si="976"/>
        <v>149350.37928178915</v>
      </c>
      <c r="R394">
        <f t="shared" si="977"/>
        <v>631506.11150409328</v>
      </c>
      <c r="S394">
        <f t="shared" si="978"/>
        <v>6.3150611150409324</v>
      </c>
      <c r="T394">
        <f t="shared" si="979"/>
        <v>6.3150611150409328E-3</v>
      </c>
    </row>
    <row r="395" spans="1:20" x14ac:dyDescent="0.25">
      <c r="A395" s="5">
        <v>44198</v>
      </c>
      <c r="B395">
        <v>13.95</v>
      </c>
      <c r="C395">
        <v>14.989000000000001</v>
      </c>
      <c r="D395">
        <v>13.532999999999999</v>
      </c>
      <c r="E395">
        <v>14.701000000000001</v>
      </c>
      <c r="F395">
        <v>168018.79800000001</v>
      </c>
      <c r="G395">
        <v>0</v>
      </c>
      <c r="L395" t="s">
        <v>8</v>
      </c>
      <c r="M395" t="s">
        <v>8</v>
      </c>
      <c r="N395" t="s">
        <v>8</v>
      </c>
      <c r="P395">
        <f t="shared" si="975"/>
        <v>0.60439560439560436</v>
      </c>
      <c r="Q395">
        <f t="shared" si="976"/>
        <v>101549.82296703296</v>
      </c>
      <c r="R395">
        <f t="shared" si="977"/>
        <v>482155.73222230416</v>
      </c>
      <c r="S395">
        <f t="shared" si="978"/>
        <v>4.8215573222230415</v>
      </c>
      <c r="T395">
        <f t="shared" si="979"/>
        <v>4.8215573222230414E-3</v>
      </c>
    </row>
    <row r="396" spans="1:20" x14ac:dyDescent="0.25">
      <c r="A396" s="5">
        <v>44197</v>
      </c>
      <c r="B396">
        <v>13.651999999999999</v>
      </c>
      <c r="C396">
        <v>14.45</v>
      </c>
      <c r="D396">
        <v>13.57</v>
      </c>
      <c r="E396">
        <v>13.923</v>
      </c>
      <c r="F396">
        <v>170848.61</v>
      </c>
      <c r="G396">
        <v>0</v>
      </c>
      <c r="L396" t="s">
        <v>8</v>
      </c>
      <c r="M396" t="s">
        <v>8</v>
      </c>
      <c r="N396" t="s">
        <v>8</v>
      </c>
      <c r="P396">
        <f t="shared" si="975"/>
        <v>-0.19772727272727236</v>
      </c>
      <c r="Q396">
        <f t="shared" si="976"/>
        <v>-33781.429704545386</v>
      </c>
      <c r="R396">
        <f t="shared" si="977"/>
        <v>380605.9092552712</v>
      </c>
      <c r="S396">
        <f t="shared" si="978"/>
        <v>3.806059092552712</v>
      </c>
      <c r="T396">
        <f t="shared" si="979"/>
        <v>3.8060590925527121E-3</v>
      </c>
    </row>
    <row r="397" spans="1:20" x14ac:dyDescent="0.25">
      <c r="A397" s="5">
        <v>44196</v>
      </c>
      <c r="B397">
        <v>14.042</v>
      </c>
      <c r="C397">
        <v>14.084</v>
      </c>
      <c r="D397">
        <v>13.118</v>
      </c>
      <c r="E397">
        <v>13.689</v>
      </c>
      <c r="F397">
        <v>100010.012</v>
      </c>
      <c r="G397">
        <v>0</v>
      </c>
      <c r="L397" t="s">
        <v>7</v>
      </c>
      <c r="M397" t="s">
        <v>8</v>
      </c>
      <c r="N397" t="s">
        <v>8</v>
      </c>
      <c r="P397">
        <f t="shared" si="975"/>
        <v>0.18219461697722597</v>
      </c>
      <c r="Q397">
        <f t="shared" si="976"/>
        <v>18221.285830227775</v>
      </c>
      <c r="R397">
        <f t="shared" si="977"/>
        <v>414387.33895981661</v>
      </c>
      <c r="S397">
        <f t="shared" si="978"/>
        <v>4.1438733895981663</v>
      </c>
      <c r="T397">
        <f t="shared" si="979"/>
        <v>4.1438733895981664E-3</v>
      </c>
    </row>
    <row r="398" spans="1:20" x14ac:dyDescent="0.25">
      <c r="A398" s="5">
        <v>44195</v>
      </c>
      <c r="B398">
        <v>13.746</v>
      </c>
      <c r="C398">
        <v>14.199</v>
      </c>
      <c r="D398">
        <v>13.417999999999999</v>
      </c>
      <c r="E398">
        <v>14.041</v>
      </c>
      <c r="F398">
        <v>88042.051000000007</v>
      </c>
      <c r="G398">
        <v>0</v>
      </c>
      <c r="L398" t="s">
        <v>7</v>
      </c>
      <c r="M398" t="s">
        <v>8</v>
      </c>
      <c r="N398" t="s">
        <v>8</v>
      </c>
      <c r="P398">
        <f t="shared" si="975"/>
        <v>0.59539052496799139</v>
      </c>
      <c r="Q398">
        <f t="shared" si="976"/>
        <v>52419.402964148678</v>
      </c>
      <c r="R398">
        <f t="shared" si="977"/>
        <v>396166.05312958884</v>
      </c>
      <c r="S398">
        <f t="shared" si="978"/>
        <v>3.9616605312958884</v>
      </c>
      <c r="T398">
        <f t="shared" si="979"/>
        <v>3.961660531295888E-3</v>
      </c>
    </row>
    <row r="399" spans="1:20" x14ac:dyDescent="0.25">
      <c r="A399" s="5">
        <v>44194</v>
      </c>
      <c r="B399">
        <v>14.231</v>
      </c>
      <c r="C399">
        <v>14.441000000000001</v>
      </c>
      <c r="D399">
        <v>13.183999999999999</v>
      </c>
      <c r="E399">
        <v>13.744</v>
      </c>
      <c r="F399">
        <v>122557.425</v>
      </c>
      <c r="G399">
        <v>0</v>
      </c>
      <c r="L399" t="s">
        <v>7</v>
      </c>
      <c r="M399" t="s">
        <v>8</v>
      </c>
      <c r="N399" t="s">
        <v>8</v>
      </c>
      <c r="P399">
        <f t="shared" si="975"/>
        <v>-0.10898965791567247</v>
      </c>
      <c r="Q399">
        <f t="shared" si="976"/>
        <v>-13357.491825775685</v>
      </c>
      <c r="R399">
        <f t="shared" si="977"/>
        <v>343746.65016544017</v>
      </c>
      <c r="S399">
        <f t="shared" si="978"/>
        <v>3.4374665016544017</v>
      </c>
      <c r="T399">
        <f t="shared" si="979"/>
        <v>3.4374665016544017E-3</v>
      </c>
    </row>
    <row r="400" spans="1:20" x14ac:dyDescent="0.25">
      <c r="A400" s="5">
        <v>44193</v>
      </c>
      <c r="B400">
        <v>13.573</v>
      </c>
      <c r="C400">
        <v>15</v>
      </c>
      <c r="D400">
        <v>13.42</v>
      </c>
      <c r="E400">
        <v>14.226000000000001</v>
      </c>
      <c r="F400">
        <v>129524.444</v>
      </c>
      <c r="G400">
        <v>0</v>
      </c>
      <c r="L400" t="s">
        <v>8</v>
      </c>
      <c r="M400" t="s">
        <v>8</v>
      </c>
      <c r="N400" t="s">
        <v>8</v>
      </c>
      <c r="P400">
        <f t="shared" si="975"/>
        <v>2.0253164556963167E-2</v>
      </c>
      <c r="Q400">
        <f t="shared" si="976"/>
        <v>2623.2798784811607</v>
      </c>
      <c r="R400">
        <f t="shared" si="977"/>
        <v>357104.14199121587</v>
      </c>
      <c r="S400">
        <f t="shared" si="978"/>
        <v>3.571041419912159</v>
      </c>
      <c r="T400">
        <f t="shared" si="979"/>
        <v>3.5710414199121589E-3</v>
      </c>
    </row>
    <row r="401" spans="1:20" x14ac:dyDescent="0.25">
      <c r="A401" s="5">
        <v>44192</v>
      </c>
      <c r="B401">
        <v>12.645</v>
      </c>
      <c r="C401">
        <v>13.936999999999999</v>
      </c>
      <c r="D401">
        <v>12.199</v>
      </c>
      <c r="E401">
        <v>13.5</v>
      </c>
      <c r="F401">
        <v>132197.56</v>
      </c>
      <c r="G401">
        <v>0</v>
      </c>
      <c r="L401" t="s">
        <v>8</v>
      </c>
      <c r="M401" t="s">
        <v>8</v>
      </c>
      <c r="N401" t="s">
        <v>7</v>
      </c>
      <c r="P401">
        <f t="shared" si="975"/>
        <v>0.49712313003452302</v>
      </c>
      <c r="Q401">
        <f t="shared" si="976"/>
        <v>65718.464810126665</v>
      </c>
      <c r="R401">
        <f t="shared" si="977"/>
        <v>354480.8621127347</v>
      </c>
      <c r="S401">
        <f t="shared" si="978"/>
        <v>3.5448086211273471</v>
      </c>
      <c r="T401">
        <f t="shared" si="979"/>
        <v>3.544808621127347E-3</v>
      </c>
    </row>
    <row r="402" spans="1:20" x14ac:dyDescent="0.25">
      <c r="A402" s="5">
        <v>44191</v>
      </c>
      <c r="B402">
        <v>12.404999999999999</v>
      </c>
      <c r="C402">
        <v>12.926</v>
      </c>
      <c r="D402">
        <v>12.092000000000001</v>
      </c>
      <c r="E402">
        <v>12.618</v>
      </c>
      <c r="F402">
        <v>72124.679000000004</v>
      </c>
      <c r="G402">
        <v>0</v>
      </c>
      <c r="L402" t="s">
        <v>8</v>
      </c>
      <c r="M402" t="s">
        <v>8</v>
      </c>
      <c r="N402" t="s">
        <v>7</v>
      </c>
      <c r="P402">
        <f t="shared" si="975"/>
        <v>0.26139088729016796</v>
      </c>
      <c r="Q402">
        <f t="shared" si="976"/>
        <v>18852.733839328546</v>
      </c>
      <c r="R402">
        <f t="shared" si="977"/>
        <v>288762.39730260801</v>
      </c>
      <c r="S402">
        <f t="shared" si="978"/>
        <v>2.8876239730260802</v>
      </c>
      <c r="T402">
        <f t="shared" si="979"/>
        <v>2.88762397302608E-3</v>
      </c>
    </row>
    <row r="403" spans="1:20" x14ac:dyDescent="0.25">
      <c r="A403" s="5">
        <v>44190</v>
      </c>
      <c r="B403">
        <v>12.509</v>
      </c>
      <c r="C403">
        <v>12.628</v>
      </c>
      <c r="D403">
        <v>11.808999999999999</v>
      </c>
      <c r="E403">
        <v>12.403</v>
      </c>
      <c r="F403">
        <v>103087.06200000001</v>
      </c>
      <c r="G403">
        <v>0</v>
      </c>
      <c r="L403" t="s">
        <v>8</v>
      </c>
      <c r="M403" t="s">
        <v>7</v>
      </c>
      <c r="N403" t="s">
        <v>7</v>
      </c>
      <c r="P403">
        <f t="shared" si="975"/>
        <v>0.450549450549452</v>
      </c>
      <c r="Q403">
        <f t="shared" si="976"/>
        <v>46445.819142857297</v>
      </c>
      <c r="R403">
        <f t="shared" si="977"/>
        <v>269909.66346327943</v>
      </c>
      <c r="S403">
        <f t="shared" si="978"/>
        <v>2.6990966346327943</v>
      </c>
      <c r="T403">
        <f t="shared" si="979"/>
        <v>2.6990966346327945E-3</v>
      </c>
    </row>
    <row r="404" spans="1:20" x14ac:dyDescent="0.25">
      <c r="A404" s="5">
        <v>44189</v>
      </c>
      <c r="B404">
        <v>11.648</v>
      </c>
      <c r="C404">
        <v>12.513</v>
      </c>
      <c r="D404">
        <v>11.099</v>
      </c>
      <c r="E404">
        <v>12.462</v>
      </c>
      <c r="F404">
        <v>241153.894</v>
      </c>
      <c r="G404">
        <v>0</v>
      </c>
      <c r="L404" t="s">
        <v>8</v>
      </c>
      <c r="M404" t="s">
        <v>7</v>
      </c>
      <c r="N404" t="s">
        <v>7</v>
      </c>
      <c r="P404">
        <f t="shared" si="975"/>
        <v>0.92786421499292759</v>
      </c>
      <c r="Q404">
        <f t="shared" si="976"/>
        <v>223758.06854879766</v>
      </c>
      <c r="R404">
        <f t="shared" si="977"/>
        <v>223463.84432042215</v>
      </c>
      <c r="S404">
        <f t="shared" si="978"/>
        <v>2.2346384432042217</v>
      </c>
      <c r="T404">
        <f t="shared" si="979"/>
        <v>2.2346384432042217E-3</v>
      </c>
    </row>
    <row r="405" spans="1:20" x14ac:dyDescent="0.25">
      <c r="A405" s="5">
        <v>44188</v>
      </c>
      <c r="B405">
        <v>13.238</v>
      </c>
      <c r="C405">
        <v>13.31</v>
      </c>
      <c r="D405">
        <v>10.814</v>
      </c>
      <c r="E405">
        <v>11.654</v>
      </c>
      <c r="F405">
        <v>134088.84700000001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-0.32692307692307715</v>
      </c>
      <c r="Q405">
        <f t="shared" si="976"/>
        <v>-43836.738442307724</v>
      </c>
      <c r="R405">
        <f t="shared" si="977"/>
        <v>-294.2242283755113</v>
      </c>
      <c r="S405">
        <f t="shared" si="978"/>
        <v>-2.942242283755113E-3</v>
      </c>
      <c r="T405">
        <f t="shared" si="979"/>
        <v>-2.9422422837551131E-6</v>
      </c>
    </row>
    <row r="406" spans="1:20" x14ac:dyDescent="0.25">
      <c r="A406" s="5">
        <v>44187</v>
      </c>
      <c r="B406">
        <v>12.656000000000001</v>
      </c>
      <c r="C406">
        <v>13.6</v>
      </c>
      <c r="D406">
        <v>12.05</v>
      </c>
      <c r="E406">
        <v>13.243</v>
      </c>
      <c r="F406">
        <v>132906.359</v>
      </c>
      <c r="G406">
        <v>0</v>
      </c>
      <c r="L406" t="s">
        <v>7</v>
      </c>
      <c r="M406" t="s">
        <v>7</v>
      </c>
      <c r="N406" t="s">
        <v>7</v>
      </c>
      <c r="P406">
        <f t="shared" si="975"/>
        <v>0.53935483870967793</v>
      </c>
      <c r="Q406">
        <f t="shared" si="976"/>
        <v>71683.687821935557</v>
      </c>
      <c r="R406">
        <f t="shared" si="977"/>
        <v>43542.514213932212</v>
      </c>
      <c r="S406">
        <f t="shared" si="978"/>
        <v>0.43542514213932215</v>
      </c>
      <c r="T406">
        <f t="shared" si="979"/>
        <v>4.3542514213932215E-4</v>
      </c>
    </row>
    <row r="407" spans="1:20" x14ac:dyDescent="0.25">
      <c r="A407" s="5">
        <v>44186</v>
      </c>
      <c r="B407">
        <v>13.231</v>
      </c>
      <c r="C407">
        <v>13.45</v>
      </c>
      <c r="D407">
        <v>12.195</v>
      </c>
      <c r="E407">
        <v>12.654</v>
      </c>
      <c r="F407">
        <v>110074.87</v>
      </c>
      <c r="G407">
        <v>0</v>
      </c>
      <c r="L407" t="s">
        <v>7</v>
      </c>
      <c r="M407" t="s">
        <v>7</v>
      </c>
      <c r="N407" t="s">
        <v>7</v>
      </c>
      <c r="P407">
        <f t="shared" si="975"/>
        <v>-0.26852589641434266</v>
      </c>
      <c r="Q407">
        <f t="shared" si="976"/>
        <v>-29557.953139442234</v>
      </c>
      <c r="R407">
        <f t="shared" si="977"/>
        <v>-28141.173608003348</v>
      </c>
      <c r="S407">
        <f t="shared" si="978"/>
        <v>-0.2814117360800335</v>
      </c>
      <c r="T407">
        <f t="shared" si="979"/>
        <v>-2.8141173608003348E-4</v>
      </c>
    </row>
    <row r="408" spans="1:20" x14ac:dyDescent="0.25">
      <c r="A408" s="5">
        <v>44185</v>
      </c>
      <c r="B408">
        <v>14.162000000000001</v>
      </c>
      <c r="C408">
        <v>14.162000000000001</v>
      </c>
      <c r="D408">
        <v>12.85</v>
      </c>
      <c r="E408">
        <v>13.244999999999999</v>
      </c>
      <c r="F408">
        <v>125604.94</v>
      </c>
      <c r="G408">
        <v>0</v>
      </c>
      <c r="L408" t="s">
        <v>7</v>
      </c>
      <c r="M408" t="s">
        <v>8</v>
      </c>
      <c r="N408" t="s">
        <v>7</v>
      </c>
      <c r="P408">
        <f t="shared" si="975"/>
        <v>-0.39786585365853777</v>
      </c>
      <c r="Q408">
        <f t="shared" si="976"/>
        <v>-49973.916676829416</v>
      </c>
      <c r="R408">
        <f t="shared" si="977"/>
        <v>1416.7795314388859</v>
      </c>
      <c r="S408">
        <f t="shared" si="978"/>
        <v>1.4167795314388859E-2</v>
      </c>
      <c r="T408">
        <f t="shared" si="979"/>
        <v>1.4167795314388858E-5</v>
      </c>
    </row>
    <row r="409" spans="1:20" x14ac:dyDescent="0.25">
      <c r="A409" s="5">
        <v>44184</v>
      </c>
      <c r="B409">
        <v>14.518000000000001</v>
      </c>
      <c r="C409">
        <v>14.832000000000001</v>
      </c>
      <c r="D409">
        <v>14.1</v>
      </c>
      <c r="E409">
        <v>14.176</v>
      </c>
      <c r="F409">
        <v>103642.944</v>
      </c>
      <c r="G409">
        <v>0</v>
      </c>
      <c r="L409" t="s">
        <v>8</v>
      </c>
      <c r="M409" t="s">
        <v>8</v>
      </c>
      <c r="N409" t="s">
        <v>7</v>
      </c>
      <c r="P409">
        <f t="shared" si="975"/>
        <v>-0.79234972677595517</v>
      </c>
      <c r="Q409">
        <f t="shared" si="976"/>
        <v>-82121.458360655626</v>
      </c>
      <c r="R409">
        <f t="shared" si="977"/>
        <v>51390.696208268302</v>
      </c>
      <c r="S409">
        <f t="shared" si="978"/>
        <v>0.51390696208268305</v>
      </c>
      <c r="T409">
        <f t="shared" si="979"/>
        <v>5.1390696208268301E-4</v>
      </c>
    </row>
    <row r="410" spans="1:20" x14ac:dyDescent="0.25">
      <c r="A410" s="5">
        <v>44183</v>
      </c>
      <c r="B410">
        <v>14.138</v>
      </c>
      <c r="C410">
        <v>15</v>
      </c>
      <c r="D410">
        <v>13.734999999999999</v>
      </c>
      <c r="E410">
        <v>14.529</v>
      </c>
      <c r="F410">
        <v>213570.16500000001</v>
      </c>
      <c r="G410">
        <v>0</v>
      </c>
      <c r="L410" t="s">
        <v>8</v>
      </c>
      <c r="M410" t="s">
        <v>8</v>
      </c>
      <c r="N410" t="s">
        <v>7</v>
      </c>
      <c r="P410">
        <f t="shared" si="975"/>
        <v>0.25533596837944683</v>
      </c>
      <c r="Q410">
        <f t="shared" si="976"/>
        <v>54532.144897233244</v>
      </c>
      <c r="R410">
        <f t="shared" si="977"/>
        <v>133512.15456892393</v>
      </c>
      <c r="S410">
        <f t="shared" si="978"/>
        <v>1.3351215456892394</v>
      </c>
      <c r="T410">
        <f t="shared" si="979"/>
        <v>1.3351215456892393E-3</v>
      </c>
    </row>
    <row r="411" spans="1:20" x14ac:dyDescent="0.25">
      <c r="A411" s="5">
        <v>44182</v>
      </c>
      <c r="B411">
        <v>14.07</v>
      </c>
      <c r="C411">
        <v>14.484</v>
      </c>
      <c r="D411">
        <v>13.074</v>
      </c>
      <c r="E411">
        <v>14.137</v>
      </c>
      <c r="F411">
        <v>360285.37699999998</v>
      </c>
      <c r="G411">
        <v>0</v>
      </c>
      <c r="L411" t="s">
        <v>8</v>
      </c>
      <c r="M411" t="s">
        <v>8</v>
      </c>
      <c r="N411" t="s">
        <v>7</v>
      </c>
      <c r="P411">
        <f t="shared" si="975"/>
        <v>0.50780141843971704</v>
      </c>
      <c r="Q411">
        <f t="shared" si="976"/>
        <v>182953.42548368819</v>
      </c>
      <c r="R411">
        <f t="shared" si="977"/>
        <v>78980.009671690699</v>
      </c>
      <c r="S411">
        <f t="shared" si="978"/>
        <v>0.78980009671690699</v>
      </c>
      <c r="T411">
        <f t="shared" si="979"/>
        <v>7.8980009671690695E-4</v>
      </c>
    </row>
    <row r="412" spans="1:20" x14ac:dyDescent="0.25">
      <c r="A412" s="5">
        <v>44181</v>
      </c>
      <c r="B412">
        <v>12.161</v>
      </c>
      <c r="C412">
        <v>14.164999999999999</v>
      </c>
      <c r="D412">
        <v>11.922000000000001</v>
      </c>
      <c r="E412">
        <v>14.042999999999999</v>
      </c>
      <c r="F412">
        <v>376126.29399999999</v>
      </c>
      <c r="G412">
        <v>0</v>
      </c>
      <c r="L412" t="s">
        <v>8</v>
      </c>
      <c r="M412" t="s">
        <v>8</v>
      </c>
      <c r="N412" t="s">
        <v>7</v>
      </c>
      <c r="P412">
        <f t="shared" si="975"/>
        <v>0.89121711992866703</v>
      </c>
      <c r="Q412">
        <f t="shared" si="976"/>
        <v>335210.19246812304</v>
      </c>
      <c r="R412">
        <f t="shared" si="977"/>
        <v>-103973.41581199749</v>
      </c>
      <c r="S412">
        <f t="shared" si="978"/>
        <v>-1.0397341581199748</v>
      </c>
      <c r="T412">
        <f t="shared" si="979"/>
        <v>-1.0397341581199749E-3</v>
      </c>
    </row>
    <row r="413" spans="1:20" x14ac:dyDescent="0.25">
      <c r="A413" s="5">
        <v>44180</v>
      </c>
      <c r="B413">
        <v>12.31</v>
      </c>
      <c r="C413">
        <v>12.592000000000001</v>
      </c>
      <c r="D413">
        <v>11.715</v>
      </c>
      <c r="E413">
        <v>12.164999999999999</v>
      </c>
      <c r="F413">
        <v>93781.266000000003</v>
      </c>
      <c r="G413">
        <v>0</v>
      </c>
      <c r="L413" t="s">
        <v>8</v>
      </c>
      <c r="M413" t="s">
        <v>7</v>
      </c>
      <c r="N413" t="s">
        <v>7</v>
      </c>
      <c r="P413">
        <f t="shared" si="975"/>
        <v>2.6225769669324848E-2</v>
      </c>
      <c r="Q413">
        <f t="shared" si="976"/>
        <v>2459.4858814136855</v>
      </c>
      <c r="R413">
        <f t="shared" si="977"/>
        <v>-439183.60828012053</v>
      </c>
      <c r="S413">
        <f t="shared" si="978"/>
        <v>-4.3918360828012055</v>
      </c>
      <c r="T413">
        <f t="shared" si="979"/>
        <v>-4.3918360828012057E-3</v>
      </c>
    </row>
    <row r="414" spans="1:20" x14ac:dyDescent="0.25">
      <c r="A414" s="5">
        <v>44179</v>
      </c>
      <c r="B414">
        <v>12.515000000000001</v>
      </c>
      <c r="C414">
        <v>12.565</v>
      </c>
      <c r="D414">
        <v>11.9</v>
      </c>
      <c r="E414">
        <v>12.302</v>
      </c>
      <c r="F414">
        <v>53341.802000000003</v>
      </c>
      <c r="G414">
        <v>0</v>
      </c>
      <c r="L414" t="s">
        <v>8</v>
      </c>
      <c r="M414" t="s">
        <v>7</v>
      </c>
      <c r="N414" t="s">
        <v>7</v>
      </c>
      <c r="P414">
        <f t="shared" si="975"/>
        <v>0.20902255639097672</v>
      </c>
      <c r="Q414">
        <f t="shared" si="976"/>
        <v>11149.639816541316</v>
      </c>
      <c r="R414">
        <f t="shared" si="977"/>
        <v>-441643.09416153422</v>
      </c>
      <c r="S414">
        <f t="shared" si="978"/>
        <v>-4.4164309416153422</v>
      </c>
      <c r="T414">
        <f t="shared" si="979"/>
        <v>-4.416430941615342E-3</v>
      </c>
    </row>
    <row r="415" spans="1:20" x14ac:dyDescent="0.25">
      <c r="A415" s="5">
        <v>44178</v>
      </c>
      <c r="B415">
        <v>11.795999999999999</v>
      </c>
      <c r="C415">
        <v>12.571999999999999</v>
      </c>
      <c r="D415">
        <v>11.691000000000001</v>
      </c>
      <c r="E415">
        <v>12.542999999999999</v>
      </c>
      <c r="F415">
        <v>86649.672000000006</v>
      </c>
      <c r="G415">
        <v>0</v>
      </c>
      <c r="L415" t="s">
        <v>8</v>
      </c>
      <c r="M415" t="s">
        <v>7</v>
      </c>
      <c r="N415" t="s">
        <v>7</v>
      </c>
      <c r="P415">
        <f t="shared" si="975"/>
        <v>0.93416572077185023</v>
      </c>
      <c r="Q415">
        <f t="shared" si="976"/>
        <v>80945.153298524412</v>
      </c>
      <c r="R415">
        <f t="shared" si="977"/>
        <v>-452792.73397807556</v>
      </c>
      <c r="S415">
        <f t="shared" si="978"/>
        <v>-4.5279273397807556</v>
      </c>
      <c r="T415">
        <f t="shared" si="979"/>
        <v>-4.5279273397807558E-3</v>
      </c>
    </row>
    <row r="416" spans="1:20" x14ac:dyDescent="0.25">
      <c r="A416" s="5">
        <v>44177</v>
      </c>
      <c r="B416">
        <v>11.2</v>
      </c>
      <c r="C416">
        <v>11.944000000000001</v>
      </c>
      <c r="D416">
        <v>11.173</v>
      </c>
      <c r="E416">
        <v>11.781000000000001</v>
      </c>
      <c r="F416">
        <v>71556.482000000004</v>
      </c>
      <c r="G416">
        <v>0</v>
      </c>
      <c r="L416" t="s">
        <v>8</v>
      </c>
      <c r="M416" t="s">
        <v>7</v>
      </c>
      <c r="N416" t="s">
        <v>7</v>
      </c>
      <c r="P416">
        <f t="shared" si="975"/>
        <v>0.57717250324254188</v>
      </c>
      <c r="Q416">
        <f t="shared" si="976"/>
        <v>41300.433839169891</v>
      </c>
      <c r="R416">
        <f t="shared" si="977"/>
        <v>-533737.8872766</v>
      </c>
      <c r="S416">
        <f t="shared" si="978"/>
        <v>-5.3373788727660001</v>
      </c>
      <c r="T416">
        <f t="shared" si="979"/>
        <v>-5.3373788727660004E-3</v>
      </c>
    </row>
    <row r="417" spans="1:20" x14ac:dyDescent="0.25">
      <c r="A417" s="5">
        <v>44176</v>
      </c>
      <c r="B417">
        <v>12.019</v>
      </c>
      <c r="C417">
        <v>12.039</v>
      </c>
      <c r="D417">
        <v>10.891</v>
      </c>
      <c r="E417">
        <v>11.186</v>
      </c>
      <c r="F417">
        <v>120057.03</v>
      </c>
      <c r="G417">
        <v>0</v>
      </c>
      <c r="L417" t="s">
        <v>7</v>
      </c>
      <c r="M417" t="s">
        <v>7</v>
      </c>
      <c r="N417" t="s">
        <v>7</v>
      </c>
      <c r="P417">
        <f t="shared" si="975"/>
        <v>-0.48606271777003485</v>
      </c>
      <c r="Q417">
        <f t="shared" si="976"/>
        <v>-58355.246289198607</v>
      </c>
      <c r="R417">
        <f t="shared" si="977"/>
        <v>-575038.32111576991</v>
      </c>
      <c r="S417">
        <f t="shared" si="978"/>
        <v>-5.7503832111576987</v>
      </c>
      <c r="T417">
        <f t="shared" si="979"/>
        <v>-5.7503832111576985E-3</v>
      </c>
    </row>
    <row r="418" spans="1:20" x14ac:dyDescent="0.25">
      <c r="A418" s="5">
        <v>44175</v>
      </c>
      <c r="B418">
        <v>12.398999999999999</v>
      </c>
      <c r="C418">
        <v>12.473000000000001</v>
      </c>
      <c r="D418">
        <v>11.595000000000001</v>
      </c>
      <c r="E418">
        <v>12</v>
      </c>
      <c r="F418">
        <v>180268.50399999999</v>
      </c>
      <c r="G418">
        <v>0</v>
      </c>
      <c r="L418" t="s">
        <v>7</v>
      </c>
      <c r="M418" t="s">
        <v>7</v>
      </c>
      <c r="N418" t="s">
        <v>7</v>
      </c>
      <c r="P418">
        <f t="shared" si="975"/>
        <v>-7.7448747152621164E-2</v>
      </c>
      <c r="Q418">
        <f t="shared" si="976"/>
        <v>-13961.569785877276</v>
      </c>
      <c r="R418">
        <f t="shared" si="977"/>
        <v>-516683.07482657128</v>
      </c>
      <c r="S418">
        <f t="shared" si="978"/>
        <v>-5.1668307482657125</v>
      </c>
      <c r="T418">
        <f t="shared" si="979"/>
        <v>-5.1668307482657123E-3</v>
      </c>
    </row>
    <row r="419" spans="1:20" x14ac:dyDescent="0.25">
      <c r="A419" s="5">
        <v>44174</v>
      </c>
      <c r="B419">
        <v>12.417</v>
      </c>
      <c r="C419">
        <v>12.659000000000001</v>
      </c>
      <c r="D419">
        <v>11.708</v>
      </c>
      <c r="E419">
        <v>12.401</v>
      </c>
      <c r="F419">
        <v>83164.251999999993</v>
      </c>
      <c r="G419">
        <v>0</v>
      </c>
      <c r="L419" t="s">
        <v>7</v>
      </c>
      <c r="M419" t="s">
        <v>7</v>
      </c>
      <c r="N419" t="s">
        <v>7</v>
      </c>
      <c r="P419">
        <f t="shared" si="975"/>
        <v>0.4574132492113549</v>
      </c>
      <c r="Q419">
        <f t="shared" si="976"/>
        <v>38040.430725551916</v>
      </c>
      <c r="R419">
        <f t="shared" si="977"/>
        <v>-502721.50504069403</v>
      </c>
      <c r="S419">
        <f t="shared" si="978"/>
        <v>-5.0272150504069399</v>
      </c>
      <c r="T419">
        <f t="shared" si="979"/>
        <v>-5.0272150504069397E-3</v>
      </c>
    </row>
    <row r="420" spans="1:20" x14ac:dyDescent="0.25">
      <c r="A420" s="5">
        <v>44173</v>
      </c>
      <c r="B420">
        <v>13.436</v>
      </c>
      <c r="C420">
        <v>14.099</v>
      </c>
      <c r="D420">
        <v>12.161</v>
      </c>
      <c r="E420">
        <v>12.417</v>
      </c>
      <c r="F420">
        <v>129631.19500000001</v>
      </c>
      <c r="G420">
        <v>0</v>
      </c>
      <c r="L420" t="s">
        <v>7</v>
      </c>
      <c r="M420" t="s">
        <v>7</v>
      </c>
      <c r="N420" t="s">
        <v>7</v>
      </c>
      <c r="P420">
        <f t="shared" si="975"/>
        <v>-0.73581011351909165</v>
      </c>
      <c r="Q420">
        <f t="shared" si="976"/>
        <v>-95383.944308565508</v>
      </c>
      <c r="R420">
        <f t="shared" si="977"/>
        <v>-540761.93576624594</v>
      </c>
      <c r="S420">
        <f t="shared" si="978"/>
        <v>-5.4076193576624592</v>
      </c>
      <c r="T420">
        <f t="shared" si="979"/>
        <v>-5.4076193576624593E-3</v>
      </c>
    </row>
    <row r="421" spans="1:20" x14ac:dyDescent="0.25">
      <c r="A421" s="5">
        <v>44172</v>
      </c>
      <c r="B421">
        <v>13.726000000000001</v>
      </c>
      <c r="C421">
        <v>14.16</v>
      </c>
      <c r="D421">
        <v>13.313000000000001</v>
      </c>
      <c r="E421">
        <v>13.486000000000001</v>
      </c>
      <c r="F421">
        <v>100590.36599999999</v>
      </c>
      <c r="G421">
        <v>0</v>
      </c>
      <c r="L421" t="s">
        <v>8</v>
      </c>
      <c r="M421" t="s">
        <v>8</v>
      </c>
      <c r="N421" t="s">
        <v>7</v>
      </c>
      <c r="P421">
        <f t="shared" si="975"/>
        <v>-0.59149940968122749</v>
      </c>
      <c r="Q421">
        <f t="shared" si="976"/>
        <v>-59499.142108618616</v>
      </c>
      <c r="R421">
        <f t="shared" si="977"/>
        <v>-445377.99145768041</v>
      </c>
      <c r="S421">
        <f t="shared" si="978"/>
        <v>-4.4537799145768044</v>
      </c>
      <c r="T421">
        <f t="shared" si="979"/>
        <v>-4.4537799145768046E-3</v>
      </c>
    </row>
    <row r="422" spans="1:20" x14ac:dyDescent="0.25">
      <c r="A422" s="5">
        <v>44171</v>
      </c>
      <c r="B422">
        <v>13.853999999999999</v>
      </c>
      <c r="C422">
        <v>14.109</v>
      </c>
      <c r="D422">
        <v>13.202</v>
      </c>
      <c r="E422">
        <v>13.717000000000001</v>
      </c>
      <c r="F422">
        <v>66879.883000000002</v>
      </c>
      <c r="G422">
        <v>0</v>
      </c>
      <c r="L422" t="s">
        <v>8</v>
      </c>
      <c r="M422" t="s">
        <v>8</v>
      </c>
      <c r="N422" t="s">
        <v>7</v>
      </c>
      <c r="P422">
        <f t="shared" si="975"/>
        <v>0.1356119073869913</v>
      </c>
      <c r="Q422">
        <f t="shared" si="976"/>
        <v>9069.7084994488141</v>
      </c>
      <c r="R422">
        <f t="shared" si="977"/>
        <v>-385878.84934906178</v>
      </c>
      <c r="S422">
        <f t="shared" si="978"/>
        <v>-3.8587884934906178</v>
      </c>
      <c r="T422">
        <f t="shared" si="979"/>
        <v>-3.8587884934906179E-3</v>
      </c>
    </row>
    <row r="423" spans="1:20" x14ac:dyDescent="0.25">
      <c r="A423" s="5">
        <v>44170</v>
      </c>
      <c r="B423">
        <v>13.122</v>
      </c>
      <c r="C423">
        <v>13.942</v>
      </c>
      <c r="D423">
        <v>12.952</v>
      </c>
      <c r="E423">
        <v>13.83</v>
      </c>
      <c r="F423">
        <v>48926.02</v>
      </c>
      <c r="G423">
        <v>0</v>
      </c>
      <c r="L423" t="s">
        <v>8</v>
      </c>
      <c r="M423" t="s">
        <v>8</v>
      </c>
      <c r="N423" t="s">
        <v>7</v>
      </c>
      <c r="P423">
        <f t="shared" si="975"/>
        <v>0.77373737373737361</v>
      </c>
      <c r="Q423">
        <f t="shared" si="976"/>
        <v>37855.890222222217</v>
      </c>
      <c r="R423">
        <f t="shared" si="977"/>
        <v>-394948.55784851062</v>
      </c>
      <c r="S423">
        <f t="shared" si="978"/>
        <v>-3.9494855784851062</v>
      </c>
      <c r="T423">
        <f t="shared" si="979"/>
        <v>-3.9494855784851061E-3</v>
      </c>
    </row>
    <row r="424" spans="1:20" x14ac:dyDescent="0.25">
      <c r="A424" s="5">
        <v>44169</v>
      </c>
      <c r="B424">
        <v>14.651</v>
      </c>
      <c r="C424">
        <v>14.766999999999999</v>
      </c>
      <c r="D424">
        <v>13.007</v>
      </c>
      <c r="E424">
        <v>13.132999999999999</v>
      </c>
      <c r="F424">
        <v>90000.288</v>
      </c>
      <c r="G424">
        <v>0</v>
      </c>
      <c r="L424" t="s">
        <v>7</v>
      </c>
      <c r="M424" t="s">
        <v>8</v>
      </c>
      <c r="N424" t="s">
        <v>7</v>
      </c>
      <c r="P424">
        <f t="shared" si="975"/>
        <v>-0.85681818181818248</v>
      </c>
      <c r="Q424">
        <f t="shared" si="976"/>
        <v>-77113.883127272784</v>
      </c>
      <c r="R424">
        <f t="shared" si="977"/>
        <v>-432804.44807073282</v>
      </c>
      <c r="S424">
        <f t="shared" si="978"/>
        <v>-4.3280444807073284</v>
      </c>
      <c r="T424">
        <f t="shared" si="979"/>
        <v>-4.3280444807073286E-3</v>
      </c>
    </row>
    <row r="425" spans="1:20" x14ac:dyDescent="0.25">
      <c r="A425" s="5">
        <v>44168</v>
      </c>
      <c r="B425">
        <v>14.452999999999999</v>
      </c>
      <c r="C425">
        <v>15.162000000000001</v>
      </c>
      <c r="D425">
        <v>13.85</v>
      </c>
      <c r="E425">
        <v>14.673</v>
      </c>
      <c r="F425">
        <v>132601.45300000001</v>
      </c>
      <c r="G425">
        <v>0</v>
      </c>
      <c r="L425" t="s">
        <v>8</v>
      </c>
      <c r="M425" t="s">
        <v>8</v>
      </c>
      <c r="N425" t="s">
        <v>7</v>
      </c>
      <c r="P425">
        <f t="shared" si="975"/>
        <v>0.25457317073170682</v>
      </c>
      <c r="Q425">
        <f t="shared" si="976"/>
        <v>33756.7723338414</v>
      </c>
      <c r="R425">
        <f t="shared" si="977"/>
        <v>-355690.56494346005</v>
      </c>
      <c r="S425">
        <f t="shared" si="978"/>
        <v>-3.5569056494346003</v>
      </c>
      <c r="T425">
        <f t="shared" si="979"/>
        <v>-3.5569056494346002E-3</v>
      </c>
    </row>
    <row r="426" spans="1:20" x14ac:dyDescent="0.25">
      <c r="A426" s="5">
        <v>44167</v>
      </c>
      <c r="B426">
        <v>13.506</v>
      </c>
      <c r="C426">
        <v>15.021000000000001</v>
      </c>
      <c r="D426">
        <v>13.242000000000001</v>
      </c>
      <c r="E426">
        <v>14.462</v>
      </c>
      <c r="F426">
        <v>175229.66800000001</v>
      </c>
      <c r="G426">
        <v>0</v>
      </c>
      <c r="L426" t="s">
        <v>7</v>
      </c>
      <c r="M426" t="s">
        <v>8</v>
      </c>
      <c r="N426" t="s">
        <v>7</v>
      </c>
      <c r="P426">
        <f t="shared" si="975"/>
        <v>0.37155705452501286</v>
      </c>
      <c r="Q426">
        <f t="shared" si="976"/>
        <v>65107.819307475904</v>
      </c>
      <c r="R426">
        <f t="shared" si="977"/>
        <v>-389447.33727730147</v>
      </c>
      <c r="S426">
        <f t="shared" si="978"/>
        <v>-3.8944733727730148</v>
      </c>
      <c r="T426">
        <f t="shared" si="979"/>
        <v>-3.8944733727730146E-3</v>
      </c>
    </row>
    <row r="427" spans="1:20" x14ac:dyDescent="0.25">
      <c r="A427" s="5">
        <v>44166</v>
      </c>
      <c r="B427">
        <v>14.906000000000001</v>
      </c>
      <c r="C427">
        <v>15.209</v>
      </c>
      <c r="D427">
        <v>13.363</v>
      </c>
      <c r="E427">
        <v>13.542</v>
      </c>
      <c r="F427">
        <v>173809.22</v>
      </c>
      <c r="G427">
        <v>0</v>
      </c>
      <c r="L427" t="s">
        <v>8</v>
      </c>
      <c r="M427" t="s">
        <v>8</v>
      </c>
      <c r="N427" t="s">
        <v>7</v>
      </c>
      <c r="P427">
        <f t="shared" si="975"/>
        <v>-0.80606717226435509</v>
      </c>
      <c r="Q427">
        <f t="shared" si="976"/>
        <v>-140101.90647887319</v>
      </c>
      <c r="R427">
        <f t="shared" si="977"/>
        <v>-454555.1565847774</v>
      </c>
      <c r="S427">
        <f t="shared" si="978"/>
        <v>-4.5455515658477736</v>
      </c>
      <c r="T427">
        <f t="shared" si="979"/>
        <v>-4.5455515658477733E-3</v>
      </c>
    </row>
    <row r="428" spans="1:20" x14ac:dyDescent="0.25">
      <c r="A428" s="5">
        <v>44165</v>
      </c>
      <c r="B428">
        <v>14.465</v>
      </c>
      <c r="C428">
        <v>14.9</v>
      </c>
      <c r="D428">
        <v>14.042999999999999</v>
      </c>
      <c r="E428">
        <v>14.879</v>
      </c>
      <c r="F428">
        <v>79636.657999999996</v>
      </c>
      <c r="G428">
        <v>0</v>
      </c>
      <c r="L428" t="s">
        <v>8</v>
      </c>
      <c r="M428" t="s">
        <v>8</v>
      </c>
      <c r="N428" t="s">
        <v>7</v>
      </c>
      <c r="P428">
        <f t="shared" si="975"/>
        <v>0.95099183197199355</v>
      </c>
      <c r="Q428">
        <f t="shared" si="976"/>
        <v>75733.811283547111</v>
      </c>
      <c r="R428">
        <f t="shared" si="977"/>
        <v>-314453.25010590418</v>
      </c>
      <c r="S428">
        <f t="shared" si="978"/>
        <v>-3.1445325010590417</v>
      </c>
      <c r="T428">
        <f t="shared" si="979"/>
        <v>-3.1445325010590417E-3</v>
      </c>
    </row>
    <row r="429" spans="1:20" x14ac:dyDescent="0.25">
      <c r="A429" s="5">
        <v>44164</v>
      </c>
      <c r="B429">
        <v>13.342000000000001</v>
      </c>
      <c r="C429">
        <v>14.473000000000001</v>
      </c>
      <c r="D429">
        <v>13.166</v>
      </c>
      <c r="E429">
        <v>14.441000000000001</v>
      </c>
      <c r="F429">
        <v>86368.248000000007</v>
      </c>
      <c r="G429">
        <v>0</v>
      </c>
      <c r="L429" t="s">
        <v>8</v>
      </c>
      <c r="M429" t="s">
        <v>7</v>
      </c>
      <c r="N429" t="s">
        <v>7</v>
      </c>
      <c r="P429">
        <f t="shared" si="975"/>
        <v>0.95103289977046668</v>
      </c>
      <c r="Q429">
        <f t="shared" si="976"/>
        <v>82139.045343534817</v>
      </c>
      <c r="R429">
        <f t="shared" si="977"/>
        <v>-390187.06138945126</v>
      </c>
      <c r="S429">
        <f t="shared" si="978"/>
        <v>-3.9018706138945127</v>
      </c>
      <c r="T429">
        <f t="shared" si="979"/>
        <v>-3.9018706138945129E-3</v>
      </c>
    </row>
    <row r="430" spans="1:20" x14ac:dyDescent="0.25">
      <c r="A430" s="5">
        <v>44163</v>
      </c>
      <c r="B430">
        <v>13.234999999999999</v>
      </c>
      <c r="C430">
        <v>13.984999999999999</v>
      </c>
      <c r="D430">
        <v>12.77</v>
      </c>
      <c r="E430">
        <v>13.329000000000001</v>
      </c>
      <c r="F430">
        <v>274646.71600000001</v>
      </c>
      <c r="G430">
        <v>0</v>
      </c>
      <c r="L430" t="s">
        <v>8</v>
      </c>
      <c r="M430" t="s">
        <v>7</v>
      </c>
      <c r="N430" t="s">
        <v>7</v>
      </c>
      <c r="P430">
        <f t="shared" si="975"/>
        <v>-7.9835390946500218E-2</v>
      </c>
      <c r="Q430">
        <f t="shared" si="976"/>
        <v>-21926.527944032419</v>
      </c>
      <c r="R430">
        <f t="shared" si="977"/>
        <v>-472326.10673298611</v>
      </c>
      <c r="S430">
        <f t="shared" si="978"/>
        <v>-4.7232610673298607</v>
      </c>
      <c r="T430">
        <f t="shared" si="979"/>
        <v>-4.7232610673298607E-3</v>
      </c>
    </row>
    <row r="431" spans="1:20" x14ac:dyDescent="0.25">
      <c r="A431" s="5">
        <v>44162</v>
      </c>
      <c r="B431">
        <v>13.605</v>
      </c>
      <c r="C431">
        <v>13.893000000000001</v>
      </c>
      <c r="D431">
        <v>12.573</v>
      </c>
      <c r="E431">
        <v>13.204000000000001</v>
      </c>
      <c r="F431">
        <v>70363.292000000001</v>
      </c>
      <c r="G431">
        <v>0</v>
      </c>
      <c r="L431" t="s">
        <v>8</v>
      </c>
      <c r="M431" t="s">
        <v>7</v>
      </c>
      <c r="N431" t="s">
        <v>7</v>
      </c>
      <c r="P431">
        <f t="shared" si="975"/>
        <v>-4.3939393939393799E-2</v>
      </c>
      <c r="Q431">
        <f t="shared" si="976"/>
        <v>-3091.7204060605964</v>
      </c>
      <c r="R431">
        <f t="shared" si="977"/>
        <v>-450399.57878895372</v>
      </c>
      <c r="S431">
        <f t="shared" si="978"/>
        <v>-4.5039957878895374</v>
      </c>
      <c r="T431">
        <f t="shared" si="979"/>
        <v>-4.5039957878895377E-3</v>
      </c>
    </row>
    <row r="432" spans="1:20" x14ac:dyDescent="0.25">
      <c r="A432" s="5">
        <v>44161</v>
      </c>
      <c r="B432">
        <v>14.891</v>
      </c>
      <c r="C432">
        <v>15.734999999999999</v>
      </c>
      <c r="D432">
        <v>12.042</v>
      </c>
      <c r="E432">
        <v>13.56</v>
      </c>
      <c r="F432">
        <v>272442.14899999998</v>
      </c>
      <c r="G432">
        <v>0</v>
      </c>
      <c r="L432" t="s">
        <v>7</v>
      </c>
      <c r="M432" t="s">
        <v>7</v>
      </c>
      <c r="N432" t="s">
        <v>7</v>
      </c>
      <c r="P432">
        <f t="shared" si="975"/>
        <v>-0.17790414297319207</v>
      </c>
      <c r="Q432">
        <f t="shared" si="976"/>
        <v>-48468.587027619695</v>
      </c>
      <c r="R432">
        <f t="shared" si="977"/>
        <v>-447307.85838289314</v>
      </c>
      <c r="S432">
        <f t="shared" si="978"/>
        <v>-4.4730785838289311</v>
      </c>
      <c r="T432">
        <f t="shared" si="979"/>
        <v>-4.4730785838289315E-3</v>
      </c>
    </row>
    <row r="433" spans="1:20" x14ac:dyDescent="0.25">
      <c r="A433" s="5">
        <v>44160</v>
      </c>
      <c r="B433">
        <v>15.991</v>
      </c>
      <c r="C433">
        <v>16.166</v>
      </c>
      <c r="D433">
        <v>14.212</v>
      </c>
      <c r="E433">
        <v>14.907999999999999</v>
      </c>
      <c r="F433">
        <v>132514.272</v>
      </c>
      <c r="G433">
        <v>0</v>
      </c>
      <c r="L433" t="s">
        <v>7</v>
      </c>
      <c r="M433" t="s">
        <v>7</v>
      </c>
      <c r="N433" t="s">
        <v>8</v>
      </c>
      <c r="P433">
        <f t="shared" si="975"/>
        <v>-0.28761514841351127</v>
      </c>
      <c r="Q433">
        <f t="shared" si="976"/>
        <v>-38113.1120081884</v>
      </c>
      <c r="R433">
        <f t="shared" si="977"/>
        <v>-398839.27135527343</v>
      </c>
      <c r="S433">
        <f t="shared" si="978"/>
        <v>-3.9883927135527344</v>
      </c>
      <c r="T433">
        <f t="shared" si="979"/>
        <v>-3.9883927135527346E-3</v>
      </c>
    </row>
    <row r="434" spans="1:20" x14ac:dyDescent="0.25">
      <c r="A434" s="5">
        <v>44159</v>
      </c>
      <c r="B434">
        <v>17.239000000000001</v>
      </c>
      <c r="C434">
        <v>17.875</v>
      </c>
      <c r="D434">
        <v>15.659000000000001</v>
      </c>
      <c r="E434">
        <v>16.021999999999998</v>
      </c>
      <c r="F434">
        <v>254780.83900000001</v>
      </c>
      <c r="G434">
        <v>0</v>
      </c>
      <c r="L434" t="s">
        <v>7</v>
      </c>
      <c r="M434" t="s">
        <v>8</v>
      </c>
      <c r="N434" t="s">
        <v>8</v>
      </c>
      <c r="P434">
        <f t="shared" si="975"/>
        <v>-0.6723826714801463</v>
      </c>
      <c r="Q434">
        <f t="shared" si="976"/>
        <v>-171310.22116877305</v>
      </c>
      <c r="R434">
        <f t="shared" si="977"/>
        <v>-360726.15934708505</v>
      </c>
      <c r="S434">
        <f t="shared" si="978"/>
        <v>-3.6072615934708505</v>
      </c>
      <c r="T434">
        <f t="shared" si="979"/>
        <v>-3.6072615934708506E-3</v>
      </c>
    </row>
    <row r="435" spans="1:20" x14ac:dyDescent="0.25">
      <c r="A435" s="5">
        <v>44158</v>
      </c>
      <c r="B435">
        <v>16.898</v>
      </c>
      <c r="C435">
        <v>17.888999999999999</v>
      </c>
      <c r="D435">
        <v>16.25</v>
      </c>
      <c r="E435">
        <v>17.286999999999999</v>
      </c>
      <c r="F435">
        <v>144735.057</v>
      </c>
      <c r="G435">
        <v>0</v>
      </c>
      <c r="L435" t="s">
        <v>7</v>
      </c>
      <c r="M435" t="s">
        <v>8</v>
      </c>
      <c r="N435" t="s">
        <v>8</v>
      </c>
      <c r="P435">
        <f t="shared" si="975"/>
        <v>0.26540573520439226</v>
      </c>
      <c r="Q435">
        <f t="shared" si="976"/>
        <v>38413.51421293462</v>
      </c>
      <c r="R435">
        <f t="shared" si="977"/>
        <v>-189415.93817831198</v>
      </c>
      <c r="S435">
        <f t="shared" si="978"/>
        <v>-1.8941593817831197</v>
      </c>
      <c r="T435">
        <f t="shared" si="979"/>
        <v>-1.8941593817831197E-3</v>
      </c>
    </row>
    <row r="436" spans="1:20" x14ac:dyDescent="0.25">
      <c r="A436" s="5">
        <v>44157</v>
      </c>
      <c r="B436">
        <v>16.202000000000002</v>
      </c>
      <c r="C436">
        <v>18.27</v>
      </c>
      <c r="D436">
        <v>15.228</v>
      </c>
      <c r="E436">
        <v>16.901</v>
      </c>
      <c r="F436">
        <v>429218.11099999998</v>
      </c>
      <c r="G436">
        <v>0</v>
      </c>
      <c r="L436" t="s">
        <v>8</v>
      </c>
      <c r="M436" t="s">
        <v>8</v>
      </c>
      <c r="N436" t="s">
        <v>8</v>
      </c>
      <c r="P436">
        <f t="shared" si="975"/>
        <v>9.9934253780407725E-2</v>
      </c>
      <c r="Q436">
        <f t="shared" si="976"/>
        <v>42893.591631821211</v>
      </c>
      <c r="R436">
        <f t="shared" si="977"/>
        <v>-227829.4523912466</v>
      </c>
      <c r="S436">
        <f t="shared" si="978"/>
        <v>-2.2782945239124661</v>
      </c>
      <c r="T436">
        <f t="shared" si="979"/>
        <v>-2.2782945239124661E-3</v>
      </c>
    </row>
    <row r="437" spans="1:20" x14ac:dyDescent="0.25">
      <c r="A437" s="5">
        <v>44156</v>
      </c>
      <c r="B437">
        <v>15.592000000000001</v>
      </c>
      <c r="C437">
        <v>16.600000000000001</v>
      </c>
      <c r="D437">
        <v>15.207000000000001</v>
      </c>
      <c r="E437">
        <v>16.186</v>
      </c>
      <c r="F437">
        <v>305901.96799999999</v>
      </c>
      <c r="G437">
        <v>0</v>
      </c>
      <c r="L437" t="s">
        <v>8</v>
      </c>
      <c r="M437" t="s">
        <v>8</v>
      </c>
      <c r="N437" t="s">
        <v>8</v>
      </c>
      <c r="P437">
        <f t="shared" si="975"/>
        <v>0.40559942569992641</v>
      </c>
      <c r="Q437">
        <f t="shared" si="976"/>
        <v>124073.66254127727</v>
      </c>
      <c r="R437">
        <f t="shared" si="977"/>
        <v>-270723.04402306781</v>
      </c>
      <c r="S437">
        <f t="shared" si="978"/>
        <v>-2.7072304402306782</v>
      </c>
      <c r="T437">
        <f t="shared" si="979"/>
        <v>-2.707230440230678E-3</v>
      </c>
    </row>
    <row r="438" spans="1:20" x14ac:dyDescent="0.25">
      <c r="A438" s="5">
        <v>44155</v>
      </c>
      <c r="B438">
        <v>13.294</v>
      </c>
      <c r="C438">
        <v>15.95</v>
      </c>
      <c r="D438">
        <v>13.218</v>
      </c>
      <c r="E438">
        <v>15.583</v>
      </c>
      <c r="F438">
        <v>331512.33399999997</v>
      </c>
      <c r="G438">
        <v>0</v>
      </c>
      <c r="L438" t="s">
        <v>8</v>
      </c>
      <c r="M438" t="s">
        <v>8</v>
      </c>
      <c r="N438" t="s">
        <v>8</v>
      </c>
      <c r="P438">
        <f t="shared" si="975"/>
        <v>0.73133235724743839</v>
      </c>
      <c r="Q438">
        <f t="shared" si="976"/>
        <v>242445.69668082011</v>
      </c>
      <c r="R438">
        <f t="shared" si="977"/>
        <v>-394796.70656434505</v>
      </c>
      <c r="S438">
        <f t="shared" si="978"/>
        <v>-3.9479670656434505</v>
      </c>
      <c r="T438">
        <f t="shared" si="979"/>
        <v>-3.9479670656434509E-3</v>
      </c>
    </row>
    <row r="439" spans="1:20" x14ac:dyDescent="0.25">
      <c r="A439" s="5">
        <v>44154</v>
      </c>
      <c r="B439">
        <v>13.433999999999999</v>
      </c>
      <c r="C439">
        <v>13.457000000000001</v>
      </c>
      <c r="D439">
        <v>12.335000000000001</v>
      </c>
      <c r="E439">
        <v>13.292999999999999</v>
      </c>
      <c r="F439">
        <v>250014.111</v>
      </c>
      <c r="G439">
        <v>0</v>
      </c>
      <c r="L439" t="s">
        <v>7</v>
      </c>
      <c r="M439" t="s">
        <v>8</v>
      </c>
      <c r="N439" t="s">
        <v>8</v>
      </c>
      <c r="P439">
        <f t="shared" si="975"/>
        <v>0.70766488413546969</v>
      </c>
      <c r="Q439">
        <f t="shared" si="976"/>
        <v>176926.20689304746</v>
      </c>
      <c r="R439">
        <f t="shared" si="977"/>
        <v>-637242.40324516513</v>
      </c>
      <c r="S439">
        <f t="shared" si="978"/>
        <v>-6.3724240324516517</v>
      </c>
      <c r="T439">
        <f t="shared" si="979"/>
        <v>-6.3724240324516514E-3</v>
      </c>
    </row>
    <row r="440" spans="1:20" x14ac:dyDescent="0.25">
      <c r="A440" s="5">
        <v>44153</v>
      </c>
      <c r="B440">
        <v>13.81</v>
      </c>
      <c r="C440">
        <v>14.113</v>
      </c>
      <c r="D440">
        <v>12.574</v>
      </c>
      <c r="E440">
        <v>13.403</v>
      </c>
      <c r="F440">
        <v>225440.30799999999</v>
      </c>
      <c r="G440">
        <v>0</v>
      </c>
      <c r="L440" t="s">
        <v>7</v>
      </c>
      <c r="M440" t="s">
        <v>8</v>
      </c>
      <c r="N440" t="s">
        <v>8</v>
      </c>
      <c r="P440">
        <f t="shared" si="975"/>
        <v>7.7322936972060802E-2</v>
      </c>
      <c r="Q440">
        <f t="shared" si="976"/>
        <v>17431.706726445973</v>
      </c>
      <c r="R440">
        <f t="shared" si="977"/>
        <v>-814168.61013821256</v>
      </c>
      <c r="S440">
        <f t="shared" si="978"/>
        <v>-8.1416861013821258</v>
      </c>
      <c r="T440">
        <f t="shared" si="979"/>
        <v>-8.1416861013821253E-3</v>
      </c>
    </row>
    <row r="441" spans="1:20" x14ac:dyDescent="0.25">
      <c r="A441" s="5">
        <v>44152</v>
      </c>
      <c r="B441">
        <v>12.994999999999999</v>
      </c>
      <c r="C441">
        <v>14.477</v>
      </c>
      <c r="D441">
        <v>12.97</v>
      </c>
      <c r="E441">
        <v>13.8</v>
      </c>
      <c r="F441">
        <v>268484.07</v>
      </c>
      <c r="G441">
        <v>0</v>
      </c>
      <c r="L441" t="s">
        <v>8</v>
      </c>
      <c r="M441" t="s">
        <v>8</v>
      </c>
      <c r="N441" t="s">
        <v>8</v>
      </c>
      <c r="P441">
        <f t="shared" si="975"/>
        <v>0.10152621101526245</v>
      </c>
      <c r="Q441">
        <f t="shared" si="976"/>
        <v>27258.170345056496</v>
      </c>
      <c r="R441">
        <f t="shared" si="977"/>
        <v>-831600.3168646585</v>
      </c>
      <c r="S441">
        <f t="shared" si="978"/>
        <v>-8.316003168646585</v>
      </c>
      <c r="T441">
        <f t="shared" si="979"/>
        <v>-8.3160031686465852E-3</v>
      </c>
    </row>
    <row r="442" spans="1:20" x14ac:dyDescent="0.25">
      <c r="A442" s="5">
        <v>44151</v>
      </c>
      <c r="B442">
        <v>12.555999999999999</v>
      </c>
      <c r="C442">
        <v>13.368</v>
      </c>
      <c r="D442">
        <v>12.355</v>
      </c>
      <c r="E442">
        <v>13.000999999999999</v>
      </c>
      <c r="F442">
        <v>146450.83600000001</v>
      </c>
      <c r="G442">
        <v>0</v>
      </c>
      <c r="L442" t="s">
        <v>7</v>
      </c>
      <c r="M442" t="s">
        <v>8</v>
      </c>
      <c r="N442" t="s">
        <v>8</v>
      </c>
      <c r="P442">
        <f t="shared" si="975"/>
        <v>0.27541954590325585</v>
      </c>
      <c r="Q442">
        <f t="shared" si="976"/>
        <v>40335.422748272198</v>
      </c>
      <c r="R442">
        <f t="shared" si="977"/>
        <v>-858858.48720971495</v>
      </c>
      <c r="S442">
        <f t="shared" si="978"/>
        <v>-8.5885848720971492</v>
      </c>
      <c r="T442">
        <f t="shared" si="979"/>
        <v>-8.5885848720971495E-3</v>
      </c>
    </row>
    <row r="443" spans="1:20" x14ac:dyDescent="0.25">
      <c r="A443" s="5">
        <v>44150</v>
      </c>
      <c r="B443">
        <v>12.967000000000001</v>
      </c>
      <c r="C443">
        <v>13.763999999999999</v>
      </c>
      <c r="D443">
        <v>12.145</v>
      </c>
      <c r="E443">
        <v>12.6</v>
      </c>
      <c r="F443">
        <v>289084.15299999999</v>
      </c>
      <c r="G443">
        <v>0</v>
      </c>
      <c r="L443" t="s">
        <v>8</v>
      </c>
      <c r="M443" t="s">
        <v>8</v>
      </c>
      <c r="N443" t="s">
        <v>8</v>
      </c>
      <c r="P443">
        <f t="shared" si="975"/>
        <v>-0.43792464484249521</v>
      </c>
      <c r="Q443">
        <f t="shared" si="976"/>
        <v>-126597.07503211855</v>
      </c>
      <c r="R443">
        <f t="shared" si="977"/>
        <v>-899193.90995798714</v>
      </c>
      <c r="S443">
        <f t="shared" si="978"/>
        <v>-8.9919390995798718</v>
      </c>
      <c r="T443">
        <f t="shared" si="979"/>
        <v>-8.9919390995798713E-3</v>
      </c>
    </row>
    <row r="444" spans="1:20" x14ac:dyDescent="0.25">
      <c r="A444" s="5">
        <v>44149</v>
      </c>
      <c r="B444">
        <v>13.372</v>
      </c>
      <c r="C444">
        <v>13.452999999999999</v>
      </c>
      <c r="D444">
        <v>12.090999999999999</v>
      </c>
      <c r="E444">
        <v>12.983000000000001</v>
      </c>
      <c r="F444">
        <v>166685.32699999999</v>
      </c>
      <c r="G444">
        <v>0</v>
      </c>
      <c r="L444" t="s">
        <v>7</v>
      </c>
      <c r="M444" t="s">
        <v>8</v>
      </c>
      <c r="N444" t="s">
        <v>8</v>
      </c>
      <c r="P444">
        <f t="shared" si="975"/>
        <v>0.30983847283406929</v>
      </c>
      <c r="Q444">
        <f t="shared" si="976"/>
        <v>51645.527161527454</v>
      </c>
      <c r="R444">
        <f t="shared" si="977"/>
        <v>-772596.83492586855</v>
      </c>
      <c r="S444">
        <f t="shared" si="978"/>
        <v>-7.7259683492586859</v>
      </c>
      <c r="T444">
        <f t="shared" si="979"/>
        <v>-7.7259683492586859E-3</v>
      </c>
    </row>
    <row r="445" spans="1:20" x14ac:dyDescent="0.25">
      <c r="A445" s="5">
        <v>44148</v>
      </c>
      <c r="B445">
        <v>11.536</v>
      </c>
      <c r="C445">
        <v>13.54</v>
      </c>
      <c r="D445">
        <v>11.356999999999999</v>
      </c>
      <c r="E445">
        <v>13.359</v>
      </c>
      <c r="F445">
        <v>266308.70299999998</v>
      </c>
      <c r="G445">
        <v>0</v>
      </c>
      <c r="L445" t="s">
        <v>8</v>
      </c>
      <c r="M445" t="s">
        <v>8</v>
      </c>
      <c r="N445" t="s">
        <v>8</v>
      </c>
      <c r="P445">
        <f t="shared" si="975"/>
        <v>0.83417315620705523</v>
      </c>
      <c r="Q445">
        <f t="shared" si="976"/>
        <v>222147.57130691726</v>
      </c>
      <c r="R445">
        <f t="shared" si="977"/>
        <v>-824242.36208739597</v>
      </c>
      <c r="S445">
        <f t="shared" si="978"/>
        <v>-8.242423620873959</v>
      </c>
      <c r="T445">
        <f t="shared" si="979"/>
        <v>-8.2424236208739586E-3</v>
      </c>
    </row>
    <row r="446" spans="1:20" x14ac:dyDescent="0.25">
      <c r="A446" s="5">
        <v>44147</v>
      </c>
      <c r="B446">
        <v>11.680999999999999</v>
      </c>
      <c r="C446">
        <v>12.199</v>
      </c>
      <c r="D446">
        <v>11.106999999999999</v>
      </c>
      <c r="E446">
        <v>11.535</v>
      </c>
      <c r="F446">
        <v>125908.549</v>
      </c>
      <c r="G446">
        <v>0</v>
      </c>
      <c r="L446" t="s">
        <v>7</v>
      </c>
      <c r="M446" t="s">
        <v>8</v>
      </c>
      <c r="N446" t="s">
        <v>8</v>
      </c>
      <c r="P446">
        <f t="shared" si="975"/>
        <v>-0.21611721611721499</v>
      </c>
      <c r="Q446">
        <f t="shared" si="976"/>
        <v>-27211.005095237953</v>
      </c>
      <c r="R446">
        <f t="shared" si="977"/>
        <v>-1046389.9333943132</v>
      </c>
      <c r="S446">
        <f t="shared" si="978"/>
        <v>-10.463899333943132</v>
      </c>
      <c r="T446">
        <f t="shared" si="979"/>
        <v>-1.0463899333943132E-2</v>
      </c>
    </row>
    <row r="447" spans="1:20" x14ac:dyDescent="0.25">
      <c r="A447" s="5">
        <v>44146</v>
      </c>
      <c r="B447">
        <v>12.101000000000001</v>
      </c>
      <c r="C447">
        <v>12.701000000000001</v>
      </c>
      <c r="D447">
        <v>11.349</v>
      </c>
      <c r="E447">
        <v>11.65</v>
      </c>
      <c r="F447">
        <v>236342.58199999999</v>
      </c>
      <c r="G447">
        <v>0</v>
      </c>
      <c r="L447" t="s">
        <v>7</v>
      </c>
      <c r="M447" t="s">
        <v>8</v>
      </c>
      <c r="N447" t="s">
        <v>8</v>
      </c>
      <c r="P447">
        <f t="shared" si="975"/>
        <v>-0.55473372781065078</v>
      </c>
      <c r="Q447">
        <f t="shared" si="976"/>
        <v>-131107.20155325442</v>
      </c>
      <c r="R447">
        <f t="shared" si="977"/>
        <v>-1019178.9282990752</v>
      </c>
      <c r="S447">
        <f t="shared" si="978"/>
        <v>-10.191789282990753</v>
      </c>
      <c r="T447">
        <f t="shared" si="979"/>
        <v>-1.0191789282990752E-2</v>
      </c>
    </row>
    <row r="448" spans="1:20" x14ac:dyDescent="0.25">
      <c r="A448" s="5">
        <v>44145</v>
      </c>
      <c r="B448">
        <v>10.361000000000001</v>
      </c>
      <c r="C448">
        <v>12.675000000000001</v>
      </c>
      <c r="D448">
        <v>10.173</v>
      </c>
      <c r="E448">
        <v>12.087999999999999</v>
      </c>
      <c r="F448">
        <v>346564.33100000001</v>
      </c>
      <c r="G448">
        <v>0</v>
      </c>
      <c r="L448" t="s">
        <v>8</v>
      </c>
      <c r="M448" t="s">
        <v>8</v>
      </c>
      <c r="N448" t="s">
        <v>8</v>
      </c>
      <c r="P448">
        <f t="shared" si="975"/>
        <v>0.53077537969624189</v>
      </c>
      <c r="Q448">
        <f t="shared" si="976"/>
        <v>183947.81437569906</v>
      </c>
      <c r="R448">
        <f t="shared" si="977"/>
        <v>-888071.72674582084</v>
      </c>
      <c r="S448">
        <f t="shared" si="978"/>
        <v>-8.8807172674582091</v>
      </c>
      <c r="T448">
        <f t="shared" si="979"/>
        <v>-8.8807172674582099E-3</v>
      </c>
    </row>
    <row r="449" spans="1:20" x14ac:dyDescent="0.25">
      <c r="A449" s="5">
        <v>44144</v>
      </c>
      <c r="B449">
        <v>10.208</v>
      </c>
      <c r="C449">
        <v>10.71</v>
      </c>
      <c r="D449">
        <v>9.65</v>
      </c>
      <c r="E449">
        <v>10.359</v>
      </c>
      <c r="F449">
        <v>129975.215</v>
      </c>
      <c r="G449">
        <v>0</v>
      </c>
      <c r="L449" t="s">
        <v>8</v>
      </c>
      <c r="M449" t="s">
        <v>8</v>
      </c>
      <c r="N449" t="s">
        <v>7</v>
      </c>
      <c r="P449">
        <f t="shared" si="975"/>
        <v>0.33773584905660242</v>
      </c>
      <c r="Q449">
        <f t="shared" si="976"/>
        <v>43897.289594339447</v>
      </c>
      <c r="R449">
        <f t="shared" si="977"/>
        <v>-1072019.5411215199</v>
      </c>
      <c r="S449">
        <f t="shared" si="978"/>
        <v>-10.720195411215199</v>
      </c>
      <c r="T449">
        <f t="shared" si="979"/>
        <v>-1.0720195411215199E-2</v>
      </c>
    </row>
    <row r="450" spans="1:20" x14ac:dyDescent="0.25">
      <c r="A450" s="5">
        <v>44143</v>
      </c>
      <c r="B450">
        <v>9.8670000000000009</v>
      </c>
      <c r="C450">
        <v>10.507999999999999</v>
      </c>
      <c r="D450">
        <v>9.7210000000000001</v>
      </c>
      <c r="E450">
        <v>10.217000000000001</v>
      </c>
      <c r="F450">
        <v>77828.510999999999</v>
      </c>
      <c r="G450">
        <v>0</v>
      </c>
      <c r="L450" t="s">
        <v>7</v>
      </c>
      <c r="M450" t="s">
        <v>8</v>
      </c>
      <c r="N450" t="s">
        <v>7</v>
      </c>
      <c r="P450">
        <f t="shared" si="975"/>
        <v>0.26048284625159096</v>
      </c>
      <c r="Q450">
        <f t="shared" si="976"/>
        <v>20272.992064803257</v>
      </c>
      <c r="R450">
        <f t="shared" si="977"/>
        <v>-1115916.8307158593</v>
      </c>
      <c r="S450">
        <f t="shared" si="978"/>
        <v>-11.159168307158593</v>
      </c>
      <c r="T450">
        <f t="shared" si="979"/>
        <v>-1.1159168307158593E-2</v>
      </c>
    </row>
    <row r="451" spans="1:20" x14ac:dyDescent="0.25">
      <c r="A451" s="5">
        <v>44142</v>
      </c>
      <c r="B451">
        <v>9.9930000000000003</v>
      </c>
      <c r="C451">
        <v>11.159000000000001</v>
      </c>
      <c r="D451">
        <v>9.5030000000000001</v>
      </c>
      <c r="E451">
        <v>9.9019999999999992</v>
      </c>
      <c r="F451">
        <v>248329.14300000001</v>
      </c>
      <c r="G451">
        <v>0</v>
      </c>
      <c r="L451" t="s">
        <v>8</v>
      </c>
      <c r="M451" t="s">
        <v>8</v>
      </c>
      <c r="N451" t="s">
        <v>7</v>
      </c>
      <c r="P451">
        <f t="shared" si="975"/>
        <v>-0.5181159420289867</v>
      </c>
      <c r="Q451">
        <f t="shared" si="976"/>
        <v>-128663.28785869596</v>
      </c>
      <c r="R451">
        <f t="shared" si="977"/>
        <v>-1136189.8227806627</v>
      </c>
      <c r="S451">
        <f t="shared" si="978"/>
        <v>-11.361898227806627</v>
      </c>
      <c r="T451">
        <f t="shared" si="979"/>
        <v>-1.1361898227806626E-2</v>
      </c>
    </row>
    <row r="452" spans="1:20" x14ac:dyDescent="0.25">
      <c r="A452" s="5">
        <v>44141</v>
      </c>
      <c r="B452">
        <v>9.0150000000000006</v>
      </c>
      <c r="C452">
        <v>10.073</v>
      </c>
      <c r="D452">
        <v>9.0150000000000006</v>
      </c>
      <c r="E452">
        <v>9.9979999999999993</v>
      </c>
      <c r="F452">
        <v>116554.77099999999</v>
      </c>
      <c r="G452">
        <v>0</v>
      </c>
      <c r="L452" t="s">
        <v>8</v>
      </c>
      <c r="M452" t="s">
        <v>8</v>
      </c>
      <c r="N452" t="s">
        <v>7</v>
      </c>
      <c r="P452">
        <f t="shared" si="975"/>
        <v>0.85822306238185053</v>
      </c>
      <c r="Q452">
        <f t="shared" si="976"/>
        <v>100029.9925028353</v>
      </c>
      <c r="R452">
        <f t="shared" si="977"/>
        <v>-1007526.5349219667</v>
      </c>
      <c r="S452">
        <f t="shared" si="978"/>
        <v>-10.075265349219666</v>
      </c>
      <c r="T452">
        <f t="shared" si="979"/>
        <v>-1.0075265349219667E-2</v>
      </c>
    </row>
    <row r="453" spans="1:20" x14ac:dyDescent="0.25">
      <c r="A453" s="5">
        <v>44140</v>
      </c>
      <c r="B453">
        <v>8.7720000000000002</v>
      </c>
      <c r="C453">
        <v>9.1999999999999993</v>
      </c>
      <c r="D453">
        <v>8.6</v>
      </c>
      <c r="E453">
        <v>9.0389999999999997</v>
      </c>
      <c r="F453">
        <v>63076.898999999998</v>
      </c>
      <c r="G453">
        <v>0</v>
      </c>
      <c r="L453" t="s">
        <v>8</v>
      </c>
      <c r="M453" t="s">
        <v>7</v>
      </c>
      <c r="N453" t="s">
        <v>7</v>
      </c>
      <c r="P453">
        <f t="shared" si="975"/>
        <v>0.46333333333333437</v>
      </c>
      <c r="Q453">
        <f t="shared" si="976"/>
        <v>29225.629870000066</v>
      </c>
      <c r="R453">
        <f t="shared" si="977"/>
        <v>-1107556.5274248021</v>
      </c>
      <c r="S453">
        <f t="shared" si="978"/>
        <v>-11.075565274248021</v>
      </c>
      <c r="T453">
        <f t="shared" si="979"/>
        <v>-1.1075565274248021E-2</v>
      </c>
    </row>
    <row r="454" spans="1:20" x14ac:dyDescent="0.25">
      <c r="A454" s="5">
        <v>44139</v>
      </c>
      <c r="B454">
        <v>8.8889999999999993</v>
      </c>
      <c r="C454">
        <v>9.11</v>
      </c>
      <c r="D454">
        <v>8.375</v>
      </c>
      <c r="E454">
        <v>8.7620000000000005</v>
      </c>
      <c r="F454">
        <v>46326.769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80">IF(C454=D454,0,((E454-D454)-(C454-E454))/(C454-D454))</f>
        <v>5.306122448979797E-2</v>
      </c>
      <c r="Q454">
        <f t="shared" ref="Q454:Q517" si="981">F454*P454</f>
        <v>2458.1550897960133</v>
      </c>
      <c r="R454">
        <f t="shared" ref="R454:R517" si="982">R455+Q454</f>
        <v>-1136782.1572948021</v>
      </c>
      <c r="S454">
        <f t="shared" ref="S454:S517" si="983">R454/100000</f>
        <v>-11.367821572948021</v>
      </c>
      <c r="T454">
        <f t="shared" ref="T454:T517" si="984">S454/1000</f>
        <v>-1.1367821572948021E-2</v>
      </c>
    </row>
    <row r="455" spans="1:20" x14ac:dyDescent="0.25">
      <c r="A455" s="5">
        <v>44138</v>
      </c>
      <c r="B455">
        <v>9.0890000000000004</v>
      </c>
      <c r="C455">
        <v>9.4060000000000006</v>
      </c>
      <c r="D455">
        <v>8.6509999999999998</v>
      </c>
      <c r="E455">
        <v>8.8719999999999999</v>
      </c>
      <c r="F455">
        <v>58091.756999999998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-0.41456953642384142</v>
      </c>
      <c r="Q455">
        <f t="shared" si="981"/>
        <v>-24083.072769536444</v>
      </c>
      <c r="R455">
        <f t="shared" si="982"/>
        <v>-1139240.3123845982</v>
      </c>
      <c r="S455">
        <f t="shared" si="983"/>
        <v>-11.392403123845982</v>
      </c>
      <c r="T455">
        <f t="shared" si="984"/>
        <v>-1.1392403123845983E-2</v>
      </c>
    </row>
    <row r="456" spans="1:20" x14ac:dyDescent="0.25">
      <c r="A456" s="5">
        <v>44137</v>
      </c>
      <c r="B456">
        <v>9.8689999999999998</v>
      </c>
      <c r="C456">
        <v>10.146000000000001</v>
      </c>
      <c r="D456">
        <v>9.0180000000000007</v>
      </c>
      <c r="E456">
        <v>9.1080000000000005</v>
      </c>
      <c r="F456">
        <v>87251.653999999995</v>
      </c>
      <c r="G456">
        <v>0</v>
      </c>
      <c r="L456" t="s">
        <v>7</v>
      </c>
      <c r="M456" t="s">
        <v>7</v>
      </c>
      <c r="N456" t="s">
        <v>7</v>
      </c>
      <c r="P456">
        <f t="shared" si="980"/>
        <v>-0.84042553191489389</v>
      </c>
      <c r="Q456">
        <f t="shared" si="981"/>
        <v>-73328.517723404279</v>
      </c>
      <c r="R456">
        <f t="shared" si="982"/>
        <v>-1115157.2396150618</v>
      </c>
      <c r="S456">
        <f t="shared" si="983"/>
        <v>-11.151572396150618</v>
      </c>
      <c r="T456">
        <f t="shared" si="984"/>
        <v>-1.1151572396150618E-2</v>
      </c>
    </row>
    <row r="457" spans="1:20" x14ac:dyDescent="0.25">
      <c r="A457" s="5">
        <v>44136</v>
      </c>
      <c r="B457">
        <v>9.9</v>
      </c>
      <c r="C457">
        <v>10.08</v>
      </c>
      <c r="D457">
        <v>9.51</v>
      </c>
      <c r="E457">
        <v>9.8710000000000004</v>
      </c>
      <c r="F457">
        <v>41935.222999999998</v>
      </c>
      <c r="G457">
        <v>0</v>
      </c>
      <c r="L457" t="s">
        <v>7</v>
      </c>
      <c r="M457" t="s">
        <v>7</v>
      </c>
      <c r="N457" t="s">
        <v>7</v>
      </c>
      <c r="P457">
        <f t="shared" si="980"/>
        <v>0.26666666666666833</v>
      </c>
      <c r="Q457">
        <f t="shared" si="981"/>
        <v>11182.726133333403</v>
      </c>
      <c r="R457">
        <f t="shared" si="982"/>
        <v>-1041828.7218916576</v>
      </c>
      <c r="S457">
        <f t="shared" si="983"/>
        <v>-10.418287218916575</v>
      </c>
      <c r="T457">
        <f t="shared" si="984"/>
        <v>-1.0418287218916574E-2</v>
      </c>
    </row>
    <row r="458" spans="1:20" x14ac:dyDescent="0.25">
      <c r="A458" s="5">
        <v>44135</v>
      </c>
      <c r="B458">
        <v>10.145</v>
      </c>
      <c r="C458">
        <v>10.375</v>
      </c>
      <c r="D458">
        <v>9.8719999999999999</v>
      </c>
      <c r="E458">
        <v>9.9</v>
      </c>
      <c r="F458">
        <v>22346.055</v>
      </c>
      <c r="G458">
        <v>0</v>
      </c>
      <c r="L458" t="s">
        <v>7</v>
      </c>
      <c r="M458" t="s">
        <v>7</v>
      </c>
      <c r="N458" t="s">
        <v>7</v>
      </c>
      <c r="P458">
        <f t="shared" si="980"/>
        <v>-0.88866799204771185</v>
      </c>
      <c r="Q458">
        <f t="shared" si="981"/>
        <v>-19858.223827037731</v>
      </c>
      <c r="R458">
        <f t="shared" si="982"/>
        <v>-1053011.448024991</v>
      </c>
      <c r="S458">
        <f t="shared" si="983"/>
        <v>-10.53011448024991</v>
      </c>
      <c r="T458">
        <f t="shared" si="984"/>
        <v>-1.0530114480249909E-2</v>
      </c>
    </row>
    <row r="459" spans="1:20" x14ac:dyDescent="0.25">
      <c r="A459" s="5">
        <v>44134</v>
      </c>
      <c r="B459">
        <v>10.34</v>
      </c>
      <c r="C459">
        <v>10.439</v>
      </c>
      <c r="D459">
        <v>9.7829999999999995</v>
      </c>
      <c r="E459">
        <v>10.162000000000001</v>
      </c>
      <c r="F459">
        <v>70449.930999999997</v>
      </c>
      <c r="G459">
        <v>0</v>
      </c>
      <c r="L459" t="s">
        <v>7</v>
      </c>
      <c r="M459" t="s">
        <v>7</v>
      </c>
      <c r="N459" t="s">
        <v>7</v>
      </c>
      <c r="P459">
        <f t="shared" si="980"/>
        <v>0.15548780487805183</v>
      </c>
      <c r="Q459">
        <f t="shared" si="981"/>
        <v>10954.105125000215</v>
      </c>
      <c r="R459">
        <f t="shared" si="982"/>
        <v>-1033153.2241979532</v>
      </c>
      <c r="S459">
        <f t="shared" si="983"/>
        <v>-10.331532241979533</v>
      </c>
      <c r="T459">
        <f t="shared" si="984"/>
        <v>-1.0331532241979533E-2</v>
      </c>
    </row>
    <row r="460" spans="1:20" x14ac:dyDescent="0.25">
      <c r="A460" s="5">
        <v>44133</v>
      </c>
      <c r="B460">
        <v>10.791</v>
      </c>
      <c r="C460">
        <v>10.853</v>
      </c>
      <c r="D460">
        <v>10.161</v>
      </c>
      <c r="E460">
        <v>10.356</v>
      </c>
      <c r="F460">
        <v>77497.167000000001</v>
      </c>
      <c r="G460">
        <v>0</v>
      </c>
      <c r="L460" t="s">
        <v>7</v>
      </c>
      <c r="M460" t="s">
        <v>7</v>
      </c>
      <c r="N460" t="s">
        <v>7</v>
      </c>
      <c r="P460">
        <f t="shared" si="980"/>
        <v>-0.43641618497109758</v>
      </c>
      <c r="Q460">
        <f t="shared" si="981"/>
        <v>-33821.017968208042</v>
      </c>
      <c r="R460">
        <f t="shared" si="982"/>
        <v>-1044107.3293229535</v>
      </c>
      <c r="S460">
        <f t="shared" si="983"/>
        <v>-10.441073293229534</v>
      </c>
      <c r="T460">
        <f t="shared" si="984"/>
        <v>-1.0441073293229535E-2</v>
      </c>
    </row>
    <row r="461" spans="1:20" x14ac:dyDescent="0.25">
      <c r="A461" s="5">
        <v>44132</v>
      </c>
      <c r="B461">
        <v>12.05</v>
      </c>
      <c r="C461">
        <v>12.141</v>
      </c>
      <c r="D461">
        <v>10.388</v>
      </c>
      <c r="E461">
        <v>10.805</v>
      </c>
      <c r="F461">
        <v>174321.61900000001</v>
      </c>
      <c r="G461">
        <v>0</v>
      </c>
      <c r="L461" t="s">
        <v>7</v>
      </c>
      <c r="M461" t="s">
        <v>7</v>
      </c>
      <c r="N461" t="s">
        <v>7</v>
      </c>
      <c r="P461">
        <f t="shared" si="980"/>
        <v>-0.52424415288077608</v>
      </c>
      <c r="Q461">
        <f t="shared" si="981"/>
        <v>-91387.089481460411</v>
      </c>
      <c r="R461">
        <f t="shared" si="982"/>
        <v>-1010286.3113547454</v>
      </c>
      <c r="S461">
        <f t="shared" si="983"/>
        <v>-10.102863113547453</v>
      </c>
      <c r="T461">
        <f t="shared" si="984"/>
        <v>-1.0102863113547453E-2</v>
      </c>
    </row>
    <row r="462" spans="1:20" x14ac:dyDescent="0.25">
      <c r="A462" s="5">
        <v>44131</v>
      </c>
      <c r="B462">
        <v>11.702</v>
      </c>
      <c r="C462">
        <v>12.452999999999999</v>
      </c>
      <c r="D462">
        <v>11.57</v>
      </c>
      <c r="E462">
        <v>12.05</v>
      </c>
      <c r="F462">
        <v>90093.263999999996</v>
      </c>
      <c r="G462">
        <v>0</v>
      </c>
      <c r="L462" t="s">
        <v>8</v>
      </c>
      <c r="M462" t="s">
        <v>7</v>
      </c>
      <c r="N462" t="s">
        <v>7</v>
      </c>
      <c r="P462">
        <f t="shared" si="980"/>
        <v>8.7202718006797061E-2</v>
      </c>
      <c r="Q462">
        <f t="shared" si="981"/>
        <v>7856.3774949039207</v>
      </c>
      <c r="R462">
        <f t="shared" si="982"/>
        <v>-918899.22187328502</v>
      </c>
      <c r="S462">
        <f t="shared" si="983"/>
        <v>-9.1889922187328494</v>
      </c>
      <c r="T462">
        <f t="shared" si="984"/>
        <v>-9.1889922187328495E-3</v>
      </c>
    </row>
    <row r="463" spans="1:20" x14ac:dyDescent="0.25">
      <c r="A463" s="5">
        <v>44130</v>
      </c>
      <c r="B463">
        <v>12.742000000000001</v>
      </c>
      <c r="C463">
        <v>12.964</v>
      </c>
      <c r="D463">
        <v>11.404</v>
      </c>
      <c r="E463">
        <v>11.701000000000001</v>
      </c>
      <c r="F463">
        <v>169236.67</v>
      </c>
      <c r="G463">
        <v>0</v>
      </c>
      <c r="L463" t="s">
        <v>7</v>
      </c>
      <c r="M463" t="s">
        <v>7</v>
      </c>
      <c r="N463" t="s">
        <v>7</v>
      </c>
      <c r="P463">
        <f t="shared" si="980"/>
        <v>-0.61923076923076859</v>
      </c>
      <c r="Q463">
        <f t="shared" si="981"/>
        <v>-104796.55334615374</v>
      </c>
      <c r="R463">
        <f t="shared" si="982"/>
        <v>-926755.59936818888</v>
      </c>
      <c r="S463">
        <f t="shared" si="983"/>
        <v>-9.2675559936818885</v>
      </c>
      <c r="T463">
        <f t="shared" si="984"/>
        <v>-9.2675559936818887E-3</v>
      </c>
    </row>
    <row r="464" spans="1:20" x14ac:dyDescent="0.25">
      <c r="A464" s="5">
        <v>44129</v>
      </c>
      <c r="B464">
        <v>12.204000000000001</v>
      </c>
      <c r="C464">
        <v>13.101000000000001</v>
      </c>
      <c r="D464">
        <v>12.067</v>
      </c>
      <c r="E464">
        <v>12.749000000000001</v>
      </c>
      <c r="F464">
        <v>197809.10699999999</v>
      </c>
      <c r="G464">
        <v>0</v>
      </c>
      <c r="L464" t="s">
        <v>8</v>
      </c>
      <c r="M464" t="s">
        <v>7</v>
      </c>
      <c r="N464" t="s">
        <v>7</v>
      </c>
      <c r="P464">
        <f t="shared" si="980"/>
        <v>0.31914893617021262</v>
      </c>
      <c r="Q464">
        <f t="shared" si="981"/>
        <v>63130.566063829756</v>
      </c>
      <c r="R464">
        <f t="shared" si="982"/>
        <v>-821959.04602203518</v>
      </c>
      <c r="S464">
        <f t="shared" si="983"/>
        <v>-8.2195904602203527</v>
      </c>
      <c r="T464">
        <f t="shared" si="984"/>
        <v>-8.219590460220352E-3</v>
      </c>
    </row>
    <row r="465" spans="1:20" x14ac:dyDescent="0.25">
      <c r="A465" s="5">
        <v>44128</v>
      </c>
      <c r="B465">
        <v>12.327999999999999</v>
      </c>
      <c r="C465">
        <v>12.574</v>
      </c>
      <c r="D465">
        <v>12.15</v>
      </c>
      <c r="E465">
        <v>12.193</v>
      </c>
      <c r="F465">
        <v>40770.766000000003</v>
      </c>
      <c r="G465">
        <v>0</v>
      </c>
      <c r="L465" t="s">
        <v>7</v>
      </c>
      <c r="M465" t="s">
        <v>7</v>
      </c>
      <c r="N465" t="s">
        <v>7</v>
      </c>
      <c r="P465">
        <f t="shared" si="980"/>
        <v>-0.79716981132075793</v>
      </c>
      <c r="Q465">
        <f t="shared" si="981"/>
        <v>-32501.223839622777</v>
      </c>
      <c r="R465">
        <f t="shared" si="982"/>
        <v>-885089.612085865</v>
      </c>
      <c r="S465">
        <f t="shared" si="983"/>
        <v>-8.8508961208586499</v>
      </c>
      <c r="T465">
        <f t="shared" si="984"/>
        <v>-8.8508961208586499E-3</v>
      </c>
    </row>
    <row r="466" spans="1:20" x14ac:dyDescent="0.25">
      <c r="A466" s="5">
        <v>44127</v>
      </c>
      <c r="B466">
        <v>12.819000000000001</v>
      </c>
      <c r="C466">
        <v>12.824999999999999</v>
      </c>
      <c r="D466">
        <v>11.877000000000001</v>
      </c>
      <c r="E466">
        <v>12.333</v>
      </c>
      <c r="F466">
        <v>75771.884000000005</v>
      </c>
      <c r="G466">
        <v>0</v>
      </c>
      <c r="L466" t="s">
        <v>7</v>
      </c>
      <c r="M466" t="s">
        <v>7</v>
      </c>
      <c r="N466" t="s">
        <v>7</v>
      </c>
      <c r="P466">
        <f t="shared" si="980"/>
        <v>-3.7974683544303417E-2</v>
      </c>
      <c r="Q466">
        <f t="shared" si="981"/>
        <v>-2877.4133164556674</v>
      </c>
      <c r="R466">
        <f t="shared" si="982"/>
        <v>-852588.38824624219</v>
      </c>
      <c r="S466">
        <f t="shared" si="983"/>
        <v>-8.5258838824624217</v>
      </c>
      <c r="T466">
        <f t="shared" si="984"/>
        <v>-8.5258838824624223E-3</v>
      </c>
    </row>
    <row r="467" spans="1:20" x14ac:dyDescent="0.25">
      <c r="A467" s="5">
        <v>44126</v>
      </c>
      <c r="B467">
        <v>12.222</v>
      </c>
      <c r="C467">
        <v>13.266999999999999</v>
      </c>
      <c r="D467">
        <v>12.151999999999999</v>
      </c>
      <c r="E467">
        <v>12.816000000000001</v>
      </c>
      <c r="F467">
        <v>87264.457999999999</v>
      </c>
      <c r="G467">
        <v>0</v>
      </c>
      <c r="L467" t="s">
        <v>8</v>
      </c>
      <c r="M467" t="s">
        <v>7</v>
      </c>
      <c r="N467" t="s">
        <v>7</v>
      </c>
      <c r="P467">
        <f t="shared" si="980"/>
        <v>0.19103139013453158</v>
      </c>
      <c r="Q467">
        <f t="shared" si="981"/>
        <v>16670.250721076445</v>
      </c>
      <c r="R467">
        <f t="shared" si="982"/>
        <v>-849710.97492978652</v>
      </c>
      <c r="S467">
        <f t="shared" si="983"/>
        <v>-8.4971097492978647</v>
      </c>
      <c r="T467">
        <f t="shared" si="984"/>
        <v>-8.4971097492978643E-3</v>
      </c>
    </row>
    <row r="468" spans="1:20" x14ac:dyDescent="0.25">
      <c r="A468" s="5">
        <v>44125</v>
      </c>
      <c r="B468">
        <v>12.315</v>
      </c>
      <c r="C468">
        <v>12.875</v>
      </c>
      <c r="D468">
        <v>12.087</v>
      </c>
      <c r="E468">
        <v>12.247999999999999</v>
      </c>
      <c r="F468">
        <v>64718.296999999999</v>
      </c>
      <c r="G468">
        <v>0</v>
      </c>
      <c r="L468" t="s">
        <v>7</v>
      </c>
      <c r="M468" t="s">
        <v>7</v>
      </c>
      <c r="N468" t="s">
        <v>7</v>
      </c>
      <c r="P468">
        <f t="shared" si="980"/>
        <v>-0.59137055837563568</v>
      </c>
      <c r="Q468">
        <f t="shared" si="981"/>
        <v>-38272.495434010227</v>
      </c>
      <c r="R468">
        <f t="shared" si="982"/>
        <v>-866381.22565086302</v>
      </c>
      <c r="S468">
        <f t="shared" si="983"/>
        <v>-8.6638122565086295</v>
      </c>
      <c r="T468">
        <f t="shared" si="984"/>
        <v>-8.6638122565086302E-3</v>
      </c>
    </row>
    <row r="469" spans="1:20" x14ac:dyDescent="0.25">
      <c r="A469" s="5">
        <v>44124</v>
      </c>
      <c r="B469">
        <v>13.272</v>
      </c>
      <c r="C469">
        <v>13.278</v>
      </c>
      <c r="D469">
        <v>12.19</v>
      </c>
      <c r="E469">
        <v>12.333</v>
      </c>
      <c r="F469">
        <v>87727.513999999996</v>
      </c>
      <c r="G469">
        <v>0</v>
      </c>
      <c r="L469" t="s">
        <v>7</v>
      </c>
      <c r="M469" t="s">
        <v>7</v>
      </c>
      <c r="N469" t="s">
        <v>7</v>
      </c>
      <c r="P469">
        <f t="shared" si="980"/>
        <v>-0.73713235294117541</v>
      </c>
      <c r="Q469">
        <f t="shared" si="981"/>
        <v>-64666.788812499901</v>
      </c>
      <c r="R469">
        <f t="shared" si="982"/>
        <v>-828108.73021685285</v>
      </c>
      <c r="S469">
        <f t="shared" si="983"/>
        <v>-8.2810873021685278</v>
      </c>
      <c r="T469">
        <f t="shared" si="984"/>
        <v>-8.2810873021685275E-3</v>
      </c>
    </row>
    <row r="470" spans="1:20" x14ac:dyDescent="0.25">
      <c r="A470" s="5">
        <v>44123</v>
      </c>
      <c r="B470">
        <v>13.757999999999999</v>
      </c>
      <c r="C470">
        <v>13.832000000000001</v>
      </c>
      <c r="D470">
        <v>13.077999999999999</v>
      </c>
      <c r="E470">
        <v>13.292</v>
      </c>
      <c r="F470">
        <v>58165.951000000001</v>
      </c>
      <c r="G470">
        <v>0</v>
      </c>
      <c r="L470" t="s">
        <v>7</v>
      </c>
      <c r="M470" t="s">
        <v>7</v>
      </c>
      <c r="N470" t="s">
        <v>7</v>
      </c>
      <c r="P470">
        <f t="shared" si="980"/>
        <v>-0.43236074270557018</v>
      </c>
      <c r="Q470">
        <f t="shared" si="981"/>
        <v>-25148.673774535804</v>
      </c>
      <c r="R470">
        <f t="shared" si="982"/>
        <v>-763441.94140435301</v>
      </c>
      <c r="S470">
        <f t="shared" si="983"/>
        <v>-7.6344194140435304</v>
      </c>
      <c r="T470">
        <f t="shared" si="984"/>
        <v>-7.6344194140435303E-3</v>
      </c>
    </row>
    <row r="471" spans="1:20" x14ac:dyDescent="0.25">
      <c r="A471" s="5">
        <v>44122</v>
      </c>
      <c r="B471">
        <v>13.765000000000001</v>
      </c>
      <c r="C471">
        <v>14.063000000000001</v>
      </c>
      <c r="D471">
        <v>13.465</v>
      </c>
      <c r="E471">
        <v>13.747999999999999</v>
      </c>
      <c r="F471">
        <v>44330.408000000003</v>
      </c>
      <c r="G471">
        <v>0</v>
      </c>
      <c r="L471" t="s">
        <v>7</v>
      </c>
      <c r="M471" t="s">
        <v>7</v>
      </c>
      <c r="N471" t="s">
        <v>8</v>
      </c>
      <c r="P471">
        <f t="shared" si="980"/>
        <v>-5.3511705685621677E-2</v>
      </c>
      <c r="Q471">
        <f t="shared" si="981"/>
        <v>-2372.1957458195288</v>
      </c>
      <c r="R471">
        <f t="shared" si="982"/>
        <v>-738293.26762981724</v>
      </c>
      <c r="S471">
        <f t="shared" si="983"/>
        <v>-7.3829326762981724</v>
      </c>
      <c r="T471">
        <f t="shared" si="984"/>
        <v>-7.382932676298172E-3</v>
      </c>
    </row>
    <row r="472" spans="1:20" x14ac:dyDescent="0.25">
      <c r="A472" s="5">
        <v>44121</v>
      </c>
      <c r="B472">
        <v>13.321</v>
      </c>
      <c r="C472">
        <v>13.912000000000001</v>
      </c>
      <c r="D472">
        <v>13.157</v>
      </c>
      <c r="E472">
        <v>13.8</v>
      </c>
      <c r="F472">
        <v>80716.918000000005</v>
      </c>
      <c r="G472">
        <v>0</v>
      </c>
      <c r="L472" t="s">
        <v>7</v>
      </c>
      <c r="M472" t="s">
        <v>7</v>
      </c>
      <c r="N472" t="s">
        <v>8</v>
      </c>
      <c r="P472">
        <f t="shared" si="980"/>
        <v>0.70331125827814578</v>
      </c>
      <c r="Q472">
        <f t="shared" si="981"/>
        <v>56769.117162913921</v>
      </c>
      <c r="R472">
        <f t="shared" si="982"/>
        <v>-735921.07188399776</v>
      </c>
      <c r="S472">
        <f t="shared" si="983"/>
        <v>-7.3592107188399778</v>
      </c>
      <c r="T472">
        <f t="shared" si="984"/>
        <v>-7.3592107188399777E-3</v>
      </c>
    </row>
    <row r="473" spans="1:20" x14ac:dyDescent="0.25">
      <c r="A473" s="5">
        <v>44120</v>
      </c>
      <c r="B473">
        <v>14.01</v>
      </c>
      <c r="C473">
        <v>14.11</v>
      </c>
      <c r="D473">
        <v>13.241</v>
      </c>
      <c r="E473">
        <v>13.319000000000001</v>
      </c>
      <c r="F473">
        <v>56864.945</v>
      </c>
      <c r="G473">
        <v>0</v>
      </c>
      <c r="L473" t="s">
        <v>7</v>
      </c>
      <c r="M473" t="s">
        <v>7</v>
      </c>
      <c r="N473" t="s">
        <v>8</v>
      </c>
      <c r="P473">
        <f t="shared" si="980"/>
        <v>-0.82048331415419751</v>
      </c>
      <c r="Q473">
        <f t="shared" si="981"/>
        <v>-46656.73853279616</v>
      </c>
      <c r="R473">
        <f t="shared" si="982"/>
        <v>-792690.18904691166</v>
      </c>
      <c r="S473">
        <f t="shared" si="983"/>
        <v>-7.9269018904691162</v>
      </c>
      <c r="T473">
        <f t="shared" si="984"/>
        <v>-7.9269018904691169E-3</v>
      </c>
    </row>
    <row r="474" spans="1:20" x14ac:dyDescent="0.25">
      <c r="A474" s="5">
        <v>44119</v>
      </c>
      <c r="B474">
        <v>14.311999999999999</v>
      </c>
      <c r="C474">
        <v>14.311999999999999</v>
      </c>
      <c r="D474">
        <v>13.515000000000001</v>
      </c>
      <c r="E474">
        <v>14.015000000000001</v>
      </c>
      <c r="F474">
        <v>69390.303</v>
      </c>
      <c r="G474">
        <v>0</v>
      </c>
      <c r="L474" t="s">
        <v>7</v>
      </c>
      <c r="M474" t="s">
        <v>8</v>
      </c>
      <c r="N474" t="s">
        <v>8</v>
      </c>
      <c r="P474">
        <f t="shared" si="980"/>
        <v>0.25470514429109348</v>
      </c>
      <c r="Q474">
        <f t="shared" si="981"/>
        <v>17674.067138017697</v>
      </c>
      <c r="R474">
        <f t="shared" si="982"/>
        <v>-746033.45051411551</v>
      </c>
      <c r="S474">
        <f t="shared" si="983"/>
        <v>-7.4603345051411551</v>
      </c>
      <c r="T474">
        <f t="shared" si="984"/>
        <v>-7.4603345051411554E-3</v>
      </c>
    </row>
    <row r="475" spans="1:20" x14ac:dyDescent="0.25">
      <c r="A475" s="5">
        <v>44118</v>
      </c>
      <c r="B475">
        <v>15.298</v>
      </c>
      <c r="C475">
        <v>15.435</v>
      </c>
      <c r="D475">
        <v>14.073</v>
      </c>
      <c r="E475">
        <v>14.321999999999999</v>
      </c>
      <c r="F475">
        <v>77811.157999999996</v>
      </c>
      <c r="G475">
        <v>0</v>
      </c>
      <c r="L475" t="s">
        <v>7</v>
      </c>
      <c r="M475" t="s">
        <v>8</v>
      </c>
      <c r="N475" t="s">
        <v>8</v>
      </c>
      <c r="P475">
        <f t="shared" si="980"/>
        <v>-0.63436123348017803</v>
      </c>
      <c r="Q475">
        <f t="shared" si="981"/>
        <v>-49360.382167401018</v>
      </c>
      <c r="R475">
        <f t="shared" si="982"/>
        <v>-763707.51765213325</v>
      </c>
      <c r="S475">
        <f t="shared" si="983"/>
        <v>-7.6370751765213321</v>
      </c>
      <c r="T475">
        <f t="shared" si="984"/>
        <v>-7.6370751765213324E-3</v>
      </c>
    </row>
    <row r="476" spans="1:20" x14ac:dyDescent="0.25">
      <c r="A476" s="5">
        <v>44117</v>
      </c>
      <c r="B476">
        <v>15.548</v>
      </c>
      <c r="C476">
        <v>15.734</v>
      </c>
      <c r="D476">
        <v>14.941000000000001</v>
      </c>
      <c r="E476">
        <v>15.311999999999999</v>
      </c>
      <c r="F476">
        <v>76564.464999999997</v>
      </c>
      <c r="G476">
        <v>0</v>
      </c>
      <c r="L476" t="s">
        <v>8</v>
      </c>
      <c r="M476" t="s">
        <v>8</v>
      </c>
      <c r="N476" t="s">
        <v>8</v>
      </c>
      <c r="P476">
        <f t="shared" si="980"/>
        <v>-6.4312736443886478E-2</v>
      </c>
      <c r="Q476">
        <f t="shared" si="981"/>
        <v>-4924.0702585121708</v>
      </c>
      <c r="R476">
        <f t="shared" si="982"/>
        <v>-714347.13548473222</v>
      </c>
      <c r="S476">
        <f t="shared" si="983"/>
        <v>-7.1434713548473221</v>
      </c>
      <c r="T476">
        <f t="shared" si="984"/>
        <v>-7.1434713548473219E-3</v>
      </c>
    </row>
    <row r="477" spans="1:20" x14ac:dyDescent="0.25">
      <c r="A477" s="5">
        <v>44116</v>
      </c>
      <c r="B477">
        <v>15.14</v>
      </c>
      <c r="C477">
        <v>15.958</v>
      </c>
      <c r="D477">
        <v>14.744</v>
      </c>
      <c r="E477">
        <v>15.57</v>
      </c>
      <c r="F477">
        <v>107634.621</v>
      </c>
      <c r="G477">
        <v>0</v>
      </c>
      <c r="L477" t="s">
        <v>8</v>
      </c>
      <c r="M477" t="s">
        <v>8</v>
      </c>
      <c r="N477" t="s">
        <v>8</v>
      </c>
      <c r="P477">
        <f t="shared" si="980"/>
        <v>0.36079077429983564</v>
      </c>
      <c r="Q477">
        <f t="shared" si="981"/>
        <v>38833.578252059349</v>
      </c>
      <c r="R477">
        <f t="shared" si="982"/>
        <v>-709423.06522622006</v>
      </c>
      <c r="S477">
        <f t="shared" si="983"/>
        <v>-7.0942306522622003</v>
      </c>
      <c r="T477">
        <f t="shared" si="984"/>
        <v>-7.0942306522622E-3</v>
      </c>
    </row>
    <row r="478" spans="1:20" x14ac:dyDescent="0.25">
      <c r="A478" s="5">
        <v>44115</v>
      </c>
      <c r="B478">
        <v>15.116</v>
      </c>
      <c r="C478">
        <v>15.481</v>
      </c>
      <c r="D478">
        <v>14.766</v>
      </c>
      <c r="E478">
        <v>15.157999999999999</v>
      </c>
      <c r="F478">
        <v>67211.135999999999</v>
      </c>
      <c r="G478">
        <v>0</v>
      </c>
      <c r="L478" t="s">
        <v>7</v>
      </c>
      <c r="M478" t="s">
        <v>8</v>
      </c>
      <c r="N478" t="s">
        <v>8</v>
      </c>
      <c r="P478">
        <f t="shared" si="980"/>
        <v>9.6503496503495212E-2</v>
      </c>
      <c r="Q478">
        <f t="shared" si="981"/>
        <v>6486.1096279719413</v>
      </c>
      <c r="R478">
        <f t="shared" si="982"/>
        <v>-748256.64347827947</v>
      </c>
      <c r="S478">
        <f t="shared" si="983"/>
        <v>-7.4825664347827949</v>
      </c>
      <c r="T478">
        <f t="shared" si="984"/>
        <v>-7.4825664347827952E-3</v>
      </c>
    </row>
    <row r="479" spans="1:20" x14ac:dyDescent="0.25">
      <c r="A479" s="5">
        <v>44114</v>
      </c>
      <c r="B479">
        <v>15.228999999999999</v>
      </c>
      <c r="C479">
        <v>15.896000000000001</v>
      </c>
      <c r="D479">
        <v>15.064</v>
      </c>
      <c r="E479">
        <v>15.134</v>
      </c>
      <c r="F479">
        <v>76863.616999999998</v>
      </c>
      <c r="G479">
        <v>0</v>
      </c>
      <c r="L479" t="s">
        <v>8</v>
      </c>
      <c r="M479" t="s">
        <v>8</v>
      </c>
      <c r="N479" t="s">
        <v>8</v>
      </c>
      <c r="P479">
        <f t="shared" si="980"/>
        <v>-0.83173076923076872</v>
      </c>
      <c r="Q479">
        <f t="shared" si="981"/>
        <v>-63929.835293269192</v>
      </c>
      <c r="R479">
        <f t="shared" si="982"/>
        <v>-754742.75310625136</v>
      </c>
      <c r="S479">
        <f t="shared" si="983"/>
        <v>-7.5474275310625139</v>
      </c>
      <c r="T479">
        <f t="shared" si="984"/>
        <v>-7.5474275310625141E-3</v>
      </c>
    </row>
    <row r="480" spans="1:20" x14ac:dyDescent="0.25">
      <c r="A480" s="5">
        <v>44113</v>
      </c>
      <c r="B480">
        <v>15.000999999999999</v>
      </c>
      <c r="C480">
        <v>15.757</v>
      </c>
      <c r="D480">
        <v>14.706</v>
      </c>
      <c r="E480">
        <v>15.23</v>
      </c>
      <c r="F480">
        <v>139636.42600000001</v>
      </c>
      <c r="G480">
        <v>0</v>
      </c>
      <c r="L480" t="s">
        <v>8</v>
      </c>
      <c r="M480" t="s">
        <v>8</v>
      </c>
      <c r="N480" t="s">
        <v>8</v>
      </c>
      <c r="P480">
        <f t="shared" si="980"/>
        <v>-2.854424357752937E-3</v>
      </c>
      <c r="Q480">
        <f t="shared" si="981"/>
        <v>-398.58161560396553</v>
      </c>
      <c r="R480">
        <f t="shared" si="982"/>
        <v>-690812.91781298211</v>
      </c>
      <c r="S480">
        <f t="shared" si="983"/>
        <v>-6.9081291781298209</v>
      </c>
      <c r="T480">
        <f t="shared" si="984"/>
        <v>-6.9081291781298206E-3</v>
      </c>
    </row>
    <row r="481" spans="1:20" x14ac:dyDescent="0.25">
      <c r="A481" s="5">
        <v>44112</v>
      </c>
      <c r="B481">
        <v>14.353999999999999</v>
      </c>
      <c r="C481">
        <v>15.191000000000001</v>
      </c>
      <c r="D481">
        <v>13.548999999999999</v>
      </c>
      <c r="E481">
        <v>14.992000000000001</v>
      </c>
      <c r="F481">
        <v>207957.75599999999</v>
      </c>
      <c r="G481">
        <v>0</v>
      </c>
      <c r="L481" t="s">
        <v>8</v>
      </c>
      <c r="M481" t="s">
        <v>7</v>
      </c>
      <c r="N481" t="s">
        <v>8</v>
      </c>
      <c r="P481">
        <f t="shared" si="980"/>
        <v>0.75761266747868494</v>
      </c>
      <c r="Q481">
        <f t="shared" si="981"/>
        <v>157551.43024604151</v>
      </c>
      <c r="R481">
        <f t="shared" si="982"/>
        <v>-690414.33619737811</v>
      </c>
      <c r="S481">
        <f t="shared" si="983"/>
        <v>-6.9041433619737811</v>
      </c>
      <c r="T481">
        <f t="shared" si="984"/>
        <v>-6.9041433619737814E-3</v>
      </c>
    </row>
    <row r="482" spans="1:20" x14ac:dyDescent="0.25">
      <c r="A482" s="5">
        <v>44111</v>
      </c>
      <c r="B482">
        <v>13.81</v>
      </c>
      <c r="C482">
        <v>14.817</v>
      </c>
      <c r="D482">
        <v>13.159000000000001</v>
      </c>
      <c r="E482">
        <v>14.359</v>
      </c>
      <c r="F482">
        <v>234482.179</v>
      </c>
      <c r="G482">
        <v>0</v>
      </c>
      <c r="L482" t="s">
        <v>7</v>
      </c>
      <c r="M482" t="s">
        <v>7</v>
      </c>
      <c r="N482" t="s">
        <v>8</v>
      </c>
      <c r="P482">
        <f t="shared" si="980"/>
        <v>0.44752714113389586</v>
      </c>
      <c r="Q482">
        <f t="shared" si="981"/>
        <v>104937.13921471643</v>
      </c>
      <c r="R482">
        <f t="shared" si="982"/>
        <v>-847965.76644341962</v>
      </c>
      <c r="S482">
        <f t="shared" si="983"/>
        <v>-8.4796576644341961</v>
      </c>
      <c r="T482">
        <f t="shared" si="984"/>
        <v>-8.4796576644341967E-3</v>
      </c>
    </row>
    <row r="483" spans="1:20" x14ac:dyDescent="0.25">
      <c r="A483" s="5">
        <v>44110</v>
      </c>
      <c r="B483">
        <v>15.965</v>
      </c>
      <c r="C483">
        <v>16.013999999999999</v>
      </c>
      <c r="D483">
        <v>13.757999999999999</v>
      </c>
      <c r="E483">
        <v>13.807</v>
      </c>
      <c r="F483">
        <v>224018.97200000001</v>
      </c>
      <c r="G483">
        <v>0</v>
      </c>
      <c r="L483" t="s">
        <v>7</v>
      </c>
      <c r="M483" t="s">
        <v>7</v>
      </c>
      <c r="N483" t="s">
        <v>8</v>
      </c>
      <c r="P483">
        <f t="shared" si="980"/>
        <v>-0.9565602836879421</v>
      </c>
      <c r="Q483">
        <f t="shared" si="981"/>
        <v>-214287.65140780117</v>
      </c>
      <c r="R483">
        <f t="shared" si="982"/>
        <v>-952902.90565813601</v>
      </c>
      <c r="S483">
        <f t="shared" si="983"/>
        <v>-9.5290290565813596</v>
      </c>
      <c r="T483">
        <f t="shared" si="984"/>
        <v>-9.529029056581359E-3</v>
      </c>
    </row>
    <row r="484" spans="1:20" x14ac:dyDescent="0.25">
      <c r="A484" s="5">
        <v>44109</v>
      </c>
      <c r="B484">
        <v>16.283999999999999</v>
      </c>
      <c r="C484">
        <v>16.806999999999999</v>
      </c>
      <c r="D484">
        <v>15.859</v>
      </c>
      <c r="E484">
        <v>15.956</v>
      </c>
      <c r="F484">
        <v>97218.498000000007</v>
      </c>
      <c r="G484">
        <v>0</v>
      </c>
      <c r="L484" t="s">
        <v>8</v>
      </c>
      <c r="M484" t="s">
        <v>7</v>
      </c>
      <c r="N484" t="s">
        <v>8</v>
      </c>
      <c r="P484">
        <f t="shared" si="980"/>
        <v>-0.79535864978903026</v>
      </c>
      <c r="Q484">
        <f t="shared" si="981"/>
        <v>-77323.573303797544</v>
      </c>
      <c r="R484">
        <f t="shared" si="982"/>
        <v>-738615.25425033481</v>
      </c>
      <c r="S484">
        <f t="shared" si="983"/>
        <v>-7.3861525425033481</v>
      </c>
      <c r="T484">
        <f t="shared" si="984"/>
        <v>-7.3861525425033478E-3</v>
      </c>
    </row>
    <row r="485" spans="1:20" x14ac:dyDescent="0.25">
      <c r="A485" s="5">
        <v>44108</v>
      </c>
      <c r="B485">
        <v>16.169</v>
      </c>
      <c r="C485">
        <v>16.524999999999999</v>
      </c>
      <c r="D485">
        <v>15.776</v>
      </c>
      <c r="E485">
        <v>16.297999999999998</v>
      </c>
      <c r="F485">
        <v>85672.841</v>
      </c>
      <c r="G485">
        <v>0</v>
      </c>
      <c r="L485" t="s">
        <v>8</v>
      </c>
      <c r="M485" t="s">
        <v>7</v>
      </c>
      <c r="N485" t="s">
        <v>8</v>
      </c>
      <c r="P485">
        <f t="shared" si="980"/>
        <v>0.39385847797062568</v>
      </c>
      <c r="Q485">
        <f t="shared" si="981"/>
        <v>33742.974759679419</v>
      </c>
      <c r="R485">
        <f t="shared" si="982"/>
        <v>-661291.68094653729</v>
      </c>
      <c r="S485">
        <f t="shared" si="983"/>
        <v>-6.6129168094653732</v>
      </c>
      <c r="T485">
        <f t="shared" si="984"/>
        <v>-6.6129168094653731E-3</v>
      </c>
    </row>
    <row r="486" spans="1:20" x14ac:dyDescent="0.25">
      <c r="A486" s="5">
        <v>44107</v>
      </c>
      <c r="B486">
        <v>15.779</v>
      </c>
      <c r="C486">
        <v>16.824000000000002</v>
      </c>
      <c r="D486">
        <v>15.525</v>
      </c>
      <c r="E486">
        <v>16.175000000000001</v>
      </c>
      <c r="F486">
        <v>150895.33799999999</v>
      </c>
      <c r="G486">
        <v>0</v>
      </c>
      <c r="L486" t="s">
        <v>8</v>
      </c>
      <c r="M486" t="s">
        <v>7</v>
      </c>
      <c r="N486" t="s">
        <v>8</v>
      </c>
      <c r="P486">
        <f t="shared" si="980"/>
        <v>7.6982294072320612E-4</v>
      </c>
      <c r="Q486">
        <f t="shared" si="981"/>
        <v>116.16269284058214</v>
      </c>
      <c r="R486">
        <f t="shared" si="982"/>
        <v>-695034.6557062167</v>
      </c>
      <c r="S486">
        <f t="shared" si="983"/>
        <v>-6.9503465570621668</v>
      </c>
      <c r="T486">
        <f t="shared" si="984"/>
        <v>-6.9503465570621668E-3</v>
      </c>
    </row>
    <row r="487" spans="1:20" x14ac:dyDescent="0.25">
      <c r="A487" s="5">
        <v>44106</v>
      </c>
      <c r="B487">
        <v>17.727</v>
      </c>
      <c r="C487">
        <v>18.600000000000001</v>
      </c>
      <c r="D487">
        <v>14.711</v>
      </c>
      <c r="E487">
        <v>15.775</v>
      </c>
      <c r="F487">
        <v>479630.55300000001</v>
      </c>
      <c r="G487">
        <v>0</v>
      </c>
      <c r="L487" t="s">
        <v>7</v>
      </c>
      <c r="M487" t="s">
        <v>7</v>
      </c>
      <c r="N487" t="s">
        <v>8</v>
      </c>
      <c r="P487">
        <f t="shared" si="980"/>
        <v>-0.45281563383903328</v>
      </c>
      <c r="Q487">
        <f t="shared" si="981"/>
        <v>-217184.21286526104</v>
      </c>
      <c r="R487">
        <f t="shared" si="982"/>
        <v>-695150.81839905726</v>
      </c>
      <c r="S487">
        <f t="shared" si="983"/>
        <v>-6.9515081839905726</v>
      </c>
      <c r="T487">
        <f t="shared" si="984"/>
        <v>-6.9515081839905722E-3</v>
      </c>
    </row>
    <row r="488" spans="1:20" x14ac:dyDescent="0.25">
      <c r="A488" s="5">
        <v>44105</v>
      </c>
      <c r="B488">
        <v>15.712999999999999</v>
      </c>
      <c r="C488">
        <v>19.172999999999998</v>
      </c>
      <c r="D488">
        <v>15.654999999999999</v>
      </c>
      <c r="E488">
        <v>17.721</v>
      </c>
      <c r="F488">
        <v>534365.73</v>
      </c>
      <c r="G488">
        <v>0</v>
      </c>
      <c r="L488" t="s">
        <v>8</v>
      </c>
      <c r="M488" t="s">
        <v>8</v>
      </c>
      <c r="N488" t="s">
        <v>8</v>
      </c>
      <c r="P488">
        <f t="shared" si="980"/>
        <v>0.17453098351336063</v>
      </c>
      <c r="Q488">
        <f t="shared" si="981"/>
        <v>93263.376412734913</v>
      </c>
      <c r="R488">
        <f t="shared" si="982"/>
        <v>-477966.60553379619</v>
      </c>
      <c r="S488">
        <f t="shared" si="983"/>
        <v>-4.7796660553379615</v>
      </c>
      <c r="T488">
        <f t="shared" si="984"/>
        <v>-4.7796660553379618E-3</v>
      </c>
    </row>
    <row r="489" spans="1:20" x14ac:dyDescent="0.25">
      <c r="A489" s="5">
        <v>44104</v>
      </c>
      <c r="B489">
        <v>15.704000000000001</v>
      </c>
      <c r="C489">
        <v>15.901</v>
      </c>
      <c r="D489">
        <v>15.177</v>
      </c>
      <c r="E489">
        <v>15.670999999999999</v>
      </c>
      <c r="F489">
        <v>47042.175999999999</v>
      </c>
      <c r="G489">
        <v>0</v>
      </c>
      <c r="L489" t="s">
        <v>8</v>
      </c>
      <c r="M489" t="s">
        <v>8</v>
      </c>
      <c r="N489" t="s">
        <v>7</v>
      </c>
      <c r="P489">
        <f t="shared" si="980"/>
        <v>0.36464088397789957</v>
      </c>
      <c r="Q489">
        <f t="shared" si="981"/>
        <v>17153.500640883933</v>
      </c>
      <c r="R489">
        <f t="shared" si="982"/>
        <v>-571229.9819465311</v>
      </c>
      <c r="S489">
        <f t="shared" si="983"/>
        <v>-5.7122998194653114</v>
      </c>
      <c r="T489">
        <f t="shared" si="984"/>
        <v>-5.7122998194653113E-3</v>
      </c>
    </row>
    <row r="490" spans="1:20" x14ac:dyDescent="0.25">
      <c r="A490" s="5">
        <v>44103</v>
      </c>
      <c r="B490">
        <v>15.195</v>
      </c>
      <c r="C490">
        <v>15.705</v>
      </c>
      <c r="D490">
        <v>14.664</v>
      </c>
      <c r="E490">
        <v>15.704000000000001</v>
      </c>
      <c r="F490">
        <v>69435.694000000003</v>
      </c>
      <c r="G490">
        <v>0</v>
      </c>
      <c r="L490" t="s">
        <v>7</v>
      </c>
      <c r="M490" t="s">
        <v>8</v>
      </c>
      <c r="N490" t="s">
        <v>7</v>
      </c>
      <c r="P490">
        <f t="shared" si="980"/>
        <v>0.99807877041306547</v>
      </c>
      <c r="Q490">
        <f t="shared" si="981"/>
        <v>69302.292090297866</v>
      </c>
      <c r="R490">
        <f t="shared" si="982"/>
        <v>-588383.48258741503</v>
      </c>
      <c r="S490">
        <f t="shared" si="983"/>
        <v>-5.8838348258741506</v>
      </c>
      <c r="T490">
        <f t="shared" si="984"/>
        <v>-5.8838348258741504E-3</v>
      </c>
    </row>
    <row r="491" spans="1:20" x14ac:dyDescent="0.25">
      <c r="A491" s="5">
        <v>44102</v>
      </c>
      <c r="B491">
        <v>15.048999999999999</v>
      </c>
      <c r="C491">
        <v>16.201000000000001</v>
      </c>
      <c r="D491">
        <v>14.946999999999999</v>
      </c>
      <c r="E491">
        <v>15.202999999999999</v>
      </c>
      <c r="F491">
        <v>102637.72900000001</v>
      </c>
      <c r="G491">
        <v>0</v>
      </c>
      <c r="L491" t="s">
        <v>8</v>
      </c>
      <c r="M491" t="s">
        <v>8</v>
      </c>
      <c r="N491" t="s">
        <v>7</v>
      </c>
      <c r="P491">
        <f t="shared" si="980"/>
        <v>-0.59170653907496018</v>
      </c>
      <c r="Q491">
        <f t="shared" si="981"/>
        <v>-60731.415405103675</v>
      </c>
      <c r="R491">
        <f t="shared" si="982"/>
        <v>-657685.77467771294</v>
      </c>
      <c r="S491">
        <f t="shared" si="983"/>
        <v>-6.5768577467771294</v>
      </c>
      <c r="T491">
        <f t="shared" si="984"/>
        <v>-6.576857746777129E-3</v>
      </c>
    </row>
    <row r="492" spans="1:20" x14ac:dyDescent="0.25">
      <c r="A492" s="5">
        <v>44101</v>
      </c>
      <c r="B492">
        <v>15.48</v>
      </c>
      <c r="C492">
        <v>15.69</v>
      </c>
      <c r="D492">
        <v>14.57</v>
      </c>
      <c r="E492">
        <v>15.019</v>
      </c>
      <c r="F492">
        <v>63574.292000000001</v>
      </c>
      <c r="G492">
        <v>0</v>
      </c>
      <c r="L492" t="s">
        <v>7</v>
      </c>
      <c r="M492" t="s">
        <v>8</v>
      </c>
      <c r="N492" t="s">
        <v>7</v>
      </c>
      <c r="P492">
        <f t="shared" si="980"/>
        <v>-0.19821428571428543</v>
      </c>
      <c r="Q492">
        <f t="shared" si="981"/>
        <v>-12601.332878571411</v>
      </c>
      <c r="R492">
        <f t="shared" si="982"/>
        <v>-596954.35927260923</v>
      </c>
      <c r="S492">
        <f t="shared" si="983"/>
        <v>-5.969543592726092</v>
      </c>
      <c r="T492">
        <f t="shared" si="984"/>
        <v>-5.9695435927260921E-3</v>
      </c>
    </row>
    <row r="493" spans="1:20" x14ac:dyDescent="0.25">
      <c r="A493" s="5">
        <v>44100</v>
      </c>
      <c r="B493">
        <v>15.337</v>
      </c>
      <c r="C493">
        <v>15.826000000000001</v>
      </c>
      <c r="D493">
        <v>14.775</v>
      </c>
      <c r="E493">
        <v>15.47</v>
      </c>
      <c r="F493">
        <v>61843.747000000003</v>
      </c>
      <c r="G493">
        <v>0</v>
      </c>
      <c r="L493" t="s">
        <v>8</v>
      </c>
      <c r="M493" t="s">
        <v>8</v>
      </c>
      <c r="N493" t="s">
        <v>7</v>
      </c>
      <c r="P493">
        <f t="shared" si="980"/>
        <v>0.32254995242626106</v>
      </c>
      <c r="Q493">
        <f t="shared" si="981"/>
        <v>19947.697652711726</v>
      </c>
      <c r="R493">
        <f t="shared" si="982"/>
        <v>-584353.02639403788</v>
      </c>
      <c r="S493">
        <f t="shared" si="983"/>
        <v>-5.8435302639403792</v>
      </c>
      <c r="T493">
        <f t="shared" si="984"/>
        <v>-5.8435302639403795E-3</v>
      </c>
    </row>
    <row r="494" spans="1:20" x14ac:dyDescent="0.25">
      <c r="A494" s="5">
        <v>44099</v>
      </c>
      <c r="B494">
        <v>15.4</v>
      </c>
      <c r="C494">
        <v>15.827</v>
      </c>
      <c r="D494">
        <v>14.574999999999999</v>
      </c>
      <c r="E494">
        <v>15.302</v>
      </c>
      <c r="F494">
        <v>92986.555999999997</v>
      </c>
      <c r="G494">
        <v>0</v>
      </c>
      <c r="L494" t="s">
        <v>7</v>
      </c>
      <c r="M494" t="s">
        <v>8</v>
      </c>
      <c r="N494" t="s">
        <v>7</v>
      </c>
      <c r="P494">
        <f t="shared" si="980"/>
        <v>0.16134185303514365</v>
      </c>
      <c r="Q494">
        <f t="shared" si="981"/>
        <v>15002.623252396153</v>
      </c>
      <c r="R494">
        <f t="shared" si="982"/>
        <v>-604300.72404674964</v>
      </c>
      <c r="S494">
        <f t="shared" si="983"/>
        <v>-6.0430072404674968</v>
      </c>
      <c r="T494">
        <f t="shared" si="984"/>
        <v>-6.043007240467497E-3</v>
      </c>
    </row>
    <row r="495" spans="1:20" x14ac:dyDescent="0.25">
      <c r="A495" s="5">
        <v>44098</v>
      </c>
      <c r="B495">
        <v>13.099</v>
      </c>
      <c r="C495">
        <v>15.913</v>
      </c>
      <c r="D495">
        <v>12.91</v>
      </c>
      <c r="E495">
        <v>15.375</v>
      </c>
      <c r="F495">
        <v>291050.93300000002</v>
      </c>
      <c r="G495">
        <v>0</v>
      </c>
      <c r="L495" t="s">
        <v>8</v>
      </c>
      <c r="M495" t="s">
        <v>8</v>
      </c>
      <c r="N495" t="s">
        <v>7</v>
      </c>
      <c r="P495">
        <f t="shared" si="980"/>
        <v>0.6416916416916415</v>
      </c>
      <c r="Q495">
        <f t="shared" si="981"/>
        <v>186764.95101265397</v>
      </c>
      <c r="R495">
        <f t="shared" si="982"/>
        <v>-619303.34729914577</v>
      </c>
      <c r="S495">
        <f t="shared" si="983"/>
        <v>-6.1930334729914573</v>
      </c>
      <c r="T495">
        <f t="shared" si="984"/>
        <v>-6.1930334729914573E-3</v>
      </c>
    </row>
    <row r="496" spans="1:20" x14ac:dyDescent="0.25">
      <c r="A496" s="5">
        <v>44097</v>
      </c>
      <c r="B496">
        <v>14.71</v>
      </c>
      <c r="C496">
        <v>14.846</v>
      </c>
      <c r="D496">
        <v>12.988</v>
      </c>
      <c r="E496">
        <v>13.061999999999999</v>
      </c>
      <c r="F496">
        <v>132060.23000000001</v>
      </c>
      <c r="G496">
        <v>0</v>
      </c>
      <c r="L496" t="s">
        <v>7</v>
      </c>
      <c r="M496" t="s">
        <v>7</v>
      </c>
      <c r="N496" t="s">
        <v>7</v>
      </c>
      <c r="P496">
        <f t="shared" si="980"/>
        <v>-0.9203444564047365</v>
      </c>
      <c r="Q496">
        <f t="shared" si="981"/>
        <v>-121540.90059203448</v>
      </c>
      <c r="R496">
        <f t="shared" si="982"/>
        <v>-806068.29831179976</v>
      </c>
      <c r="S496">
        <f t="shared" si="983"/>
        <v>-8.0606829831179976</v>
      </c>
      <c r="T496">
        <f t="shared" si="984"/>
        <v>-8.060682983117998E-3</v>
      </c>
    </row>
    <row r="497" spans="1:20" x14ac:dyDescent="0.25">
      <c r="A497" s="5">
        <v>44096</v>
      </c>
      <c r="B497">
        <v>14.944000000000001</v>
      </c>
      <c r="C497">
        <v>15.303000000000001</v>
      </c>
      <c r="D497">
        <v>14.420999999999999</v>
      </c>
      <c r="E497">
        <v>14.680999999999999</v>
      </c>
      <c r="F497">
        <v>86816.392999999996</v>
      </c>
      <c r="G497">
        <v>0</v>
      </c>
      <c r="L497" t="s">
        <v>7</v>
      </c>
      <c r="M497" t="s">
        <v>7</v>
      </c>
      <c r="N497" t="s">
        <v>7</v>
      </c>
      <c r="P497">
        <f t="shared" si="980"/>
        <v>-0.41043083900226901</v>
      </c>
      <c r="Q497">
        <f t="shared" si="981"/>
        <v>-35632.125018140716</v>
      </c>
      <c r="R497">
        <f t="shared" si="982"/>
        <v>-684527.39771976531</v>
      </c>
      <c r="S497">
        <f t="shared" si="983"/>
        <v>-6.8452739771976532</v>
      </c>
      <c r="T497">
        <f t="shared" si="984"/>
        <v>-6.8452739771976533E-3</v>
      </c>
    </row>
    <row r="498" spans="1:20" x14ac:dyDescent="0.25">
      <c r="A498" s="5">
        <v>44095</v>
      </c>
      <c r="B498">
        <v>17.178000000000001</v>
      </c>
      <c r="C498">
        <v>17.373999999999999</v>
      </c>
      <c r="D498">
        <v>14.43</v>
      </c>
      <c r="E498">
        <v>14.872999999999999</v>
      </c>
      <c r="F498">
        <v>192474.736</v>
      </c>
      <c r="G498">
        <v>0</v>
      </c>
      <c r="L498" t="s">
        <v>7</v>
      </c>
      <c r="M498" t="s">
        <v>7</v>
      </c>
      <c r="N498" t="s">
        <v>7</v>
      </c>
      <c r="P498">
        <f t="shared" si="980"/>
        <v>-0.69904891304347838</v>
      </c>
      <c r="Q498">
        <f t="shared" si="981"/>
        <v>-134549.25498913045</v>
      </c>
      <c r="R498">
        <f t="shared" si="982"/>
        <v>-648895.27270162455</v>
      </c>
      <c r="S498">
        <f t="shared" si="983"/>
        <v>-6.4889527270162457</v>
      </c>
      <c r="T498">
        <f t="shared" si="984"/>
        <v>-6.4889527270162459E-3</v>
      </c>
    </row>
    <row r="499" spans="1:20" x14ac:dyDescent="0.25">
      <c r="A499" s="5">
        <v>44094</v>
      </c>
      <c r="B499">
        <v>18.440000000000001</v>
      </c>
      <c r="C499">
        <v>18.77</v>
      </c>
      <c r="D499">
        <v>16.759</v>
      </c>
      <c r="E499">
        <v>17.173999999999999</v>
      </c>
      <c r="F499">
        <v>167146.147</v>
      </c>
      <c r="G499">
        <v>0</v>
      </c>
      <c r="L499" t="s">
        <v>7</v>
      </c>
      <c r="M499" t="s">
        <v>7</v>
      </c>
      <c r="N499" t="s">
        <v>7</v>
      </c>
      <c r="P499">
        <f t="shared" si="980"/>
        <v>-0.58727001491795194</v>
      </c>
      <c r="Q499">
        <f t="shared" si="981"/>
        <v>-98159.920242168184</v>
      </c>
      <c r="R499">
        <f t="shared" si="982"/>
        <v>-514346.01771249407</v>
      </c>
      <c r="S499">
        <f t="shared" si="983"/>
        <v>-5.1434601771249406</v>
      </c>
      <c r="T499">
        <f t="shared" si="984"/>
        <v>-5.1434601771249405E-3</v>
      </c>
    </row>
    <row r="500" spans="1:20" x14ac:dyDescent="0.25">
      <c r="A500" s="5">
        <v>44093</v>
      </c>
      <c r="B500">
        <v>20.238</v>
      </c>
      <c r="C500">
        <v>20.341000000000001</v>
      </c>
      <c r="D500">
        <v>17.91</v>
      </c>
      <c r="E500">
        <v>18.423999999999999</v>
      </c>
      <c r="F500">
        <v>239294.524</v>
      </c>
      <c r="G500">
        <v>0</v>
      </c>
      <c r="L500" t="s">
        <v>7</v>
      </c>
      <c r="M500" t="s">
        <v>7</v>
      </c>
      <c r="N500" t="s">
        <v>7</v>
      </c>
      <c r="P500">
        <f t="shared" si="980"/>
        <v>-0.57712875359934257</v>
      </c>
      <c r="Q500">
        <f t="shared" si="981"/>
        <v>-138103.75037926796</v>
      </c>
      <c r="R500">
        <f t="shared" si="982"/>
        <v>-416186.09747032588</v>
      </c>
      <c r="S500">
        <f t="shared" si="983"/>
        <v>-4.1618609747032584</v>
      </c>
      <c r="T500">
        <f t="shared" si="984"/>
        <v>-4.1618609747032581E-3</v>
      </c>
    </row>
    <row r="501" spans="1:20" x14ac:dyDescent="0.25">
      <c r="A501" s="5">
        <v>44092</v>
      </c>
      <c r="B501">
        <v>22.597999999999999</v>
      </c>
      <c r="C501">
        <v>22.742000000000001</v>
      </c>
      <c r="D501">
        <v>19.759</v>
      </c>
      <c r="E501">
        <v>20.239000000000001</v>
      </c>
      <c r="F501">
        <v>179616.976</v>
      </c>
      <c r="G501">
        <v>0</v>
      </c>
      <c r="L501" t="s">
        <v>7</v>
      </c>
      <c r="M501" t="s">
        <v>7</v>
      </c>
      <c r="N501" t="s">
        <v>8</v>
      </c>
      <c r="P501">
        <f t="shared" si="980"/>
        <v>-0.67817633255112275</v>
      </c>
      <c r="Q501">
        <f t="shared" si="981"/>
        <v>-121811.98204760303</v>
      </c>
      <c r="R501">
        <f t="shared" si="982"/>
        <v>-278082.34709105792</v>
      </c>
      <c r="S501">
        <f t="shared" si="983"/>
        <v>-2.7808234709105792</v>
      </c>
      <c r="T501">
        <f t="shared" si="984"/>
        <v>-2.7808234709105792E-3</v>
      </c>
    </row>
    <row r="502" spans="1:20" x14ac:dyDescent="0.25">
      <c r="A502" s="5">
        <v>44091</v>
      </c>
      <c r="B502">
        <v>21.007999999999999</v>
      </c>
      <c r="C502">
        <v>23.9</v>
      </c>
      <c r="D502">
        <v>20.201000000000001</v>
      </c>
      <c r="E502">
        <v>22.622</v>
      </c>
      <c r="F502">
        <v>112487.876</v>
      </c>
      <c r="G502">
        <v>0</v>
      </c>
      <c r="L502" t="s">
        <v>7</v>
      </c>
      <c r="M502" t="s">
        <v>8</v>
      </c>
      <c r="N502" t="s">
        <v>8</v>
      </c>
      <c r="P502">
        <f t="shared" si="980"/>
        <v>0.30900243309002468</v>
      </c>
      <c r="Q502">
        <f t="shared" si="981"/>
        <v>34759.027377128994</v>
      </c>
      <c r="R502">
        <f t="shared" si="982"/>
        <v>-156270.36504345492</v>
      </c>
      <c r="S502">
        <f t="shared" si="983"/>
        <v>-1.5627036504345493</v>
      </c>
      <c r="T502">
        <f t="shared" si="984"/>
        <v>-1.5627036504345492E-3</v>
      </c>
    </row>
    <row r="503" spans="1:20" x14ac:dyDescent="0.25">
      <c r="A503" s="5">
        <v>44090</v>
      </c>
      <c r="B503">
        <v>21.536999999999999</v>
      </c>
      <c r="C503">
        <v>21.582999999999998</v>
      </c>
      <c r="D503">
        <v>20.3</v>
      </c>
      <c r="E503">
        <v>21.007999999999999</v>
      </c>
      <c r="F503">
        <v>74482.289000000004</v>
      </c>
      <c r="G503">
        <v>0</v>
      </c>
      <c r="L503" t="s">
        <v>7</v>
      </c>
      <c r="M503" t="s">
        <v>7</v>
      </c>
      <c r="N503" t="s">
        <v>8</v>
      </c>
      <c r="P503">
        <f t="shared" si="980"/>
        <v>0.10366328916601665</v>
      </c>
      <c r="Q503">
        <f t="shared" si="981"/>
        <v>7721.0790623538214</v>
      </c>
      <c r="R503">
        <f t="shared" si="982"/>
        <v>-191029.39242058393</v>
      </c>
      <c r="S503">
        <f t="shared" si="983"/>
        <v>-1.9102939242058392</v>
      </c>
      <c r="T503">
        <f t="shared" si="984"/>
        <v>-1.9102939242058392E-3</v>
      </c>
    </row>
    <row r="504" spans="1:20" x14ac:dyDescent="0.25">
      <c r="A504" s="5">
        <v>44089</v>
      </c>
      <c r="B504">
        <v>24.649000000000001</v>
      </c>
      <c r="C504">
        <v>24.771000000000001</v>
      </c>
      <c r="D504">
        <v>21.079000000000001</v>
      </c>
      <c r="E504">
        <v>21.516999999999999</v>
      </c>
      <c r="F504">
        <v>129026.43399999999</v>
      </c>
      <c r="G504">
        <v>0</v>
      </c>
      <c r="L504" t="s">
        <v>7</v>
      </c>
      <c r="M504" t="s">
        <v>7</v>
      </c>
      <c r="N504" t="s">
        <v>8</v>
      </c>
      <c r="P504">
        <f t="shared" si="980"/>
        <v>-0.76273022751896058</v>
      </c>
      <c r="Q504">
        <f t="shared" si="981"/>
        <v>-98412.361360780153</v>
      </c>
      <c r="R504">
        <f t="shared" si="982"/>
        <v>-198750.47148293775</v>
      </c>
      <c r="S504">
        <f t="shared" si="983"/>
        <v>-1.9875047148293774</v>
      </c>
      <c r="T504">
        <f t="shared" si="984"/>
        <v>-1.9875047148293773E-3</v>
      </c>
    </row>
    <row r="505" spans="1:20" x14ac:dyDescent="0.25">
      <c r="A505" s="5">
        <v>44088</v>
      </c>
      <c r="B505">
        <v>22.504000000000001</v>
      </c>
      <c r="C505">
        <v>24.727</v>
      </c>
      <c r="D505">
        <v>21.640999999999998</v>
      </c>
      <c r="E505">
        <v>24.655000000000001</v>
      </c>
      <c r="F505">
        <v>143124.80600000001</v>
      </c>
      <c r="G505">
        <v>0</v>
      </c>
      <c r="L505" t="s">
        <v>7</v>
      </c>
      <c r="M505" t="s">
        <v>8</v>
      </c>
      <c r="N505" t="s">
        <v>8</v>
      </c>
      <c r="P505">
        <f t="shared" si="980"/>
        <v>0.95333765392093384</v>
      </c>
      <c r="Q505">
        <f t="shared" si="981"/>
        <v>136446.2667699288</v>
      </c>
      <c r="R505">
        <f t="shared" si="982"/>
        <v>-100338.11012215761</v>
      </c>
      <c r="S505">
        <f t="shared" si="983"/>
        <v>-1.0033811012215761</v>
      </c>
      <c r="T505">
        <f t="shared" si="984"/>
        <v>-1.0033811012215761E-3</v>
      </c>
    </row>
    <row r="506" spans="1:20" x14ac:dyDescent="0.25">
      <c r="A506" s="5">
        <v>44087</v>
      </c>
      <c r="B506">
        <v>23.702000000000002</v>
      </c>
      <c r="C506">
        <v>25.591999999999999</v>
      </c>
      <c r="D506">
        <v>21.568000000000001</v>
      </c>
      <c r="E506">
        <v>22.547999999999998</v>
      </c>
      <c r="F506">
        <v>294634.31199999998</v>
      </c>
      <c r="G506">
        <v>0</v>
      </c>
      <c r="L506" t="s">
        <v>8</v>
      </c>
      <c r="M506" t="s">
        <v>8</v>
      </c>
      <c r="N506" t="s">
        <v>8</v>
      </c>
      <c r="P506">
        <f t="shared" si="980"/>
        <v>-0.51292246520874873</v>
      </c>
      <c r="Q506">
        <f t="shared" si="981"/>
        <v>-151124.55764612361</v>
      </c>
      <c r="R506">
        <f t="shared" si="982"/>
        <v>-236784.37689208641</v>
      </c>
      <c r="S506">
        <f t="shared" si="983"/>
        <v>-2.367843768920864</v>
      </c>
      <c r="T506">
        <f t="shared" si="984"/>
        <v>-2.3678437689208642E-3</v>
      </c>
    </row>
    <row r="507" spans="1:20" x14ac:dyDescent="0.25">
      <c r="A507" s="5">
        <v>44086</v>
      </c>
      <c r="B507">
        <v>20.722999999999999</v>
      </c>
      <c r="C507">
        <v>24</v>
      </c>
      <c r="D507">
        <v>20.178999999999998</v>
      </c>
      <c r="E507">
        <v>23.67</v>
      </c>
      <c r="F507">
        <v>163273.318</v>
      </c>
      <c r="G507">
        <v>0</v>
      </c>
      <c r="L507" t="s">
        <v>8</v>
      </c>
      <c r="M507" t="s">
        <v>8</v>
      </c>
      <c r="N507" t="s">
        <v>8</v>
      </c>
      <c r="P507">
        <f t="shared" si="980"/>
        <v>0.82727034807642075</v>
      </c>
      <c r="Q507">
        <f t="shared" si="981"/>
        <v>135071.17461345214</v>
      </c>
      <c r="R507">
        <f t="shared" si="982"/>
        <v>-85659.819245962804</v>
      </c>
      <c r="S507">
        <f t="shared" si="983"/>
        <v>-0.85659819245962809</v>
      </c>
      <c r="T507">
        <f t="shared" si="984"/>
        <v>-8.5659819245962807E-4</v>
      </c>
    </row>
    <row r="508" spans="1:20" x14ac:dyDescent="0.25">
      <c r="A508" s="5">
        <v>44085</v>
      </c>
      <c r="B508">
        <v>21.029</v>
      </c>
      <c r="C508">
        <v>21.282</v>
      </c>
      <c r="D508">
        <v>20.015999999999998</v>
      </c>
      <c r="E508">
        <v>20.739000000000001</v>
      </c>
      <c r="F508">
        <v>75512.019</v>
      </c>
      <c r="G508">
        <v>0</v>
      </c>
      <c r="L508" t="s">
        <v>7</v>
      </c>
      <c r="M508" t="s">
        <v>8</v>
      </c>
      <c r="N508" t="s">
        <v>8</v>
      </c>
      <c r="P508">
        <f t="shared" si="980"/>
        <v>0.14218009478673224</v>
      </c>
      <c r="Q508">
        <f t="shared" si="981"/>
        <v>10736.306018957526</v>
      </c>
      <c r="R508">
        <f t="shared" si="982"/>
        <v>-220730.99385941494</v>
      </c>
      <c r="S508">
        <f t="shared" si="983"/>
        <v>-2.2073099385941495</v>
      </c>
      <c r="T508">
        <f t="shared" si="984"/>
        <v>-2.2073099385941496E-3</v>
      </c>
    </row>
    <row r="509" spans="1:20" x14ac:dyDescent="0.25">
      <c r="A509" s="5">
        <v>44084</v>
      </c>
      <c r="B509">
        <v>21.021999999999998</v>
      </c>
      <c r="C509">
        <v>23.689</v>
      </c>
      <c r="D509">
        <v>20.738</v>
      </c>
      <c r="E509">
        <v>21.03</v>
      </c>
      <c r="F509">
        <v>123668.649</v>
      </c>
      <c r="G509">
        <v>0</v>
      </c>
      <c r="L509" t="s">
        <v>8</v>
      </c>
      <c r="M509" t="s">
        <v>8</v>
      </c>
      <c r="N509" t="s">
        <v>8</v>
      </c>
      <c r="P509">
        <f t="shared" si="980"/>
        <v>-0.80210098271772179</v>
      </c>
      <c r="Q509">
        <f t="shared" si="981"/>
        <v>-99194.744894273012</v>
      </c>
      <c r="R509">
        <f t="shared" si="982"/>
        <v>-231467.29987837246</v>
      </c>
      <c r="S509">
        <f t="shared" si="983"/>
        <v>-2.3146729987837245</v>
      </c>
      <c r="T509">
        <f t="shared" si="984"/>
        <v>-2.3146729987837244E-3</v>
      </c>
    </row>
    <row r="510" spans="1:20" x14ac:dyDescent="0.25">
      <c r="A510" s="5">
        <v>44083</v>
      </c>
      <c r="B510">
        <v>20.050999999999998</v>
      </c>
      <c r="C510">
        <v>22.12</v>
      </c>
      <c r="D510">
        <v>18.77</v>
      </c>
      <c r="E510">
        <v>21.082999999999998</v>
      </c>
      <c r="F510">
        <v>131512.41200000001</v>
      </c>
      <c r="G510">
        <v>0</v>
      </c>
      <c r="L510" t="s">
        <v>7</v>
      </c>
      <c r="M510" t="s">
        <v>8</v>
      </c>
      <c r="N510" t="s">
        <v>7</v>
      </c>
      <c r="P510">
        <f t="shared" si="980"/>
        <v>0.38089552238805841</v>
      </c>
      <c r="Q510">
        <f t="shared" si="981"/>
        <v>50092.488869253568</v>
      </c>
      <c r="R510">
        <f t="shared" si="982"/>
        <v>-132272.55498409944</v>
      </c>
      <c r="S510">
        <f t="shared" si="983"/>
        <v>-1.3227255498409944</v>
      </c>
      <c r="T510">
        <f t="shared" si="984"/>
        <v>-1.3227255498409944E-3</v>
      </c>
    </row>
    <row r="511" spans="1:20" x14ac:dyDescent="0.25">
      <c r="A511" s="5">
        <v>44082</v>
      </c>
      <c r="B511">
        <v>21.846</v>
      </c>
      <c r="C511">
        <v>22.260999999999999</v>
      </c>
      <c r="D511">
        <v>19.346</v>
      </c>
      <c r="E511">
        <v>20.045999999999999</v>
      </c>
      <c r="F511">
        <v>91456.554000000004</v>
      </c>
      <c r="G511">
        <v>0</v>
      </c>
      <c r="L511" t="s">
        <v>7</v>
      </c>
      <c r="M511" t="s">
        <v>8</v>
      </c>
      <c r="N511" t="s">
        <v>7</v>
      </c>
      <c r="P511">
        <f t="shared" si="980"/>
        <v>-0.51972555746140692</v>
      </c>
      <c r="Q511">
        <f t="shared" si="981"/>
        <v>-47532.308511149269</v>
      </c>
      <c r="R511">
        <f t="shared" si="982"/>
        <v>-182365.04385335301</v>
      </c>
      <c r="S511">
        <f t="shared" si="983"/>
        <v>-1.8236504385335301</v>
      </c>
      <c r="T511">
        <f t="shared" si="984"/>
        <v>-1.8236504385335302E-3</v>
      </c>
    </row>
    <row r="512" spans="1:20" x14ac:dyDescent="0.25">
      <c r="A512" s="5">
        <v>44081</v>
      </c>
      <c r="B512">
        <v>21.257000000000001</v>
      </c>
      <c r="C512">
        <v>22</v>
      </c>
      <c r="D512">
        <v>19.251999999999999</v>
      </c>
      <c r="E512">
        <v>21.861000000000001</v>
      </c>
      <c r="F512">
        <v>115631.001</v>
      </c>
      <c r="G512">
        <v>0</v>
      </c>
      <c r="L512" t="s">
        <v>8</v>
      </c>
      <c r="M512" t="s">
        <v>8</v>
      </c>
      <c r="N512" t="s">
        <v>7</v>
      </c>
      <c r="P512">
        <f t="shared" si="980"/>
        <v>0.89883551673944739</v>
      </c>
      <c r="Q512">
        <f t="shared" si="981"/>
        <v>103933.25053493456</v>
      </c>
      <c r="R512">
        <f t="shared" si="982"/>
        <v>-134832.73534220376</v>
      </c>
      <c r="S512">
        <f t="shared" si="983"/>
        <v>-1.3483273534220375</v>
      </c>
      <c r="T512">
        <f t="shared" si="984"/>
        <v>-1.3483273534220374E-3</v>
      </c>
    </row>
    <row r="513" spans="1:20" x14ac:dyDescent="0.25">
      <c r="A513" s="5">
        <v>44080</v>
      </c>
      <c r="B513">
        <v>18.452999999999999</v>
      </c>
      <c r="C513">
        <v>21.754000000000001</v>
      </c>
      <c r="D513">
        <v>17.257000000000001</v>
      </c>
      <c r="E513">
        <v>21.35</v>
      </c>
      <c r="F513">
        <v>121681.43399999999</v>
      </c>
      <c r="G513">
        <v>0</v>
      </c>
      <c r="L513" t="s">
        <v>8</v>
      </c>
      <c r="M513" t="s">
        <v>8</v>
      </c>
      <c r="N513" t="s">
        <v>7</v>
      </c>
      <c r="P513">
        <f t="shared" si="980"/>
        <v>0.82032466088503453</v>
      </c>
      <c r="Q513">
        <f t="shared" si="981"/>
        <v>99818.281082054702</v>
      </c>
      <c r="R513">
        <f t="shared" si="982"/>
        <v>-238765.98587713833</v>
      </c>
      <c r="S513">
        <f t="shared" si="983"/>
        <v>-2.3876598587713831</v>
      </c>
      <c r="T513">
        <f t="shared" si="984"/>
        <v>-2.3876598587713833E-3</v>
      </c>
    </row>
    <row r="514" spans="1:20" x14ac:dyDescent="0.25">
      <c r="A514" s="5">
        <v>44079</v>
      </c>
      <c r="B514">
        <v>22.11</v>
      </c>
      <c r="C514">
        <v>23.248999999999999</v>
      </c>
      <c r="D514">
        <v>16.693000000000001</v>
      </c>
      <c r="E514">
        <v>18.532</v>
      </c>
      <c r="F514">
        <v>216221.272</v>
      </c>
      <c r="G514">
        <v>0</v>
      </c>
      <c r="L514" t="s">
        <v>7</v>
      </c>
      <c r="M514" t="s">
        <v>7</v>
      </c>
      <c r="N514" t="s">
        <v>7</v>
      </c>
      <c r="P514">
        <f t="shared" si="980"/>
        <v>-0.43898718730933517</v>
      </c>
      <c r="Q514">
        <f t="shared" si="981"/>
        <v>-94918.368031726714</v>
      </c>
      <c r="R514">
        <f t="shared" si="982"/>
        <v>-338584.26695919305</v>
      </c>
      <c r="S514">
        <f t="shared" si="983"/>
        <v>-3.3858426695919306</v>
      </c>
      <c r="T514">
        <f t="shared" si="984"/>
        <v>-3.3858426695919305E-3</v>
      </c>
    </row>
    <row r="515" spans="1:20" x14ac:dyDescent="0.25">
      <c r="A515" s="5">
        <v>44078</v>
      </c>
      <c r="B515">
        <v>23.37</v>
      </c>
      <c r="C515">
        <v>24</v>
      </c>
      <c r="D515">
        <v>20.55</v>
      </c>
      <c r="E515">
        <v>22.103000000000002</v>
      </c>
      <c r="F515">
        <v>144576.166</v>
      </c>
      <c r="G515">
        <v>0</v>
      </c>
      <c r="L515" t="s">
        <v>8</v>
      </c>
      <c r="M515" t="s">
        <v>8</v>
      </c>
      <c r="N515" t="s">
        <v>7</v>
      </c>
      <c r="P515">
        <f t="shared" si="980"/>
        <v>-9.9710144927535563E-2</v>
      </c>
      <c r="Q515">
        <f t="shared" si="981"/>
        <v>-14415.710464927439</v>
      </c>
      <c r="R515">
        <f t="shared" si="982"/>
        <v>-243665.8989274663</v>
      </c>
      <c r="S515">
        <f t="shared" si="983"/>
        <v>-2.4366589892746631</v>
      </c>
      <c r="T515">
        <f t="shared" si="984"/>
        <v>-2.436658989274663E-3</v>
      </c>
    </row>
    <row r="516" spans="1:20" x14ac:dyDescent="0.25">
      <c r="A516" s="5">
        <v>44077</v>
      </c>
      <c r="B516">
        <v>32.088000000000001</v>
      </c>
      <c r="C516">
        <v>32.948</v>
      </c>
      <c r="D516">
        <v>20.323</v>
      </c>
      <c r="E516">
        <v>23.241</v>
      </c>
      <c r="F516">
        <v>233999.41</v>
      </c>
      <c r="G516">
        <v>0</v>
      </c>
      <c r="L516" t="s">
        <v>7</v>
      </c>
      <c r="M516" t="s">
        <v>7</v>
      </c>
      <c r="N516" t="s">
        <v>7</v>
      </c>
      <c r="P516">
        <f t="shared" si="980"/>
        <v>-0.53774257425742589</v>
      </c>
      <c r="Q516">
        <f t="shared" si="981"/>
        <v>-125831.44510811885</v>
      </c>
      <c r="R516">
        <f t="shared" si="982"/>
        <v>-229250.18846253888</v>
      </c>
      <c r="S516">
        <f t="shared" si="983"/>
        <v>-2.2925018846253886</v>
      </c>
      <c r="T516">
        <f t="shared" si="984"/>
        <v>-2.2925018846253887E-3</v>
      </c>
    </row>
    <row r="517" spans="1:20" x14ac:dyDescent="0.25">
      <c r="A517" s="5">
        <v>44076</v>
      </c>
      <c r="B517">
        <v>34.777000000000001</v>
      </c>
      <c r="C517">
        <v>36.676000000000002</v>
      </c>
      <c r="D517">
        <v>30.734999999999999</v>
      </c>
      <c r="E517">
        <v>32.133000000000003</v>
      </c>
      <c r="F517">
        <v>267954.83399999997</v>
      </c>
      <c r="G517">
        <v>0</v>
      </c>
      <c r="L517" t="s">
        <v>8</v>
      </c>
      <c r="M517" t="s">
        <v>7</v>
      </c>
      <c r="N517" t="s">
        <v>8</v>
      </c>
      <c r="P517">
        <f t="shared" si="980"/>
        <v>-0.52937215956909522</v>
      </c>
      <c r="Q517">
        <f t="shared" si="981"/>
        <v>-141847.82914155841</v>
      </c>
      <c r="R517">
        <f t="shared" si="982"/>
        <v>-103418.74335442003</v>
      </c>
      <c r="S517">
        <f t="shared" si="983"/>
        <v>-1.0341874335442003</v>
      </c>
      <c r="T517">
        <f t="shared" si="984"/>
        <v>-1.0341874335442003E-3</v>
      </c>
    </row>
    <row r="518" spans="1:20" x14ac:dyDescent="0.25">
      <c r="A518" s="5">
        <v>44075</v>
      </c>
      <c r="B518">
        <v>32.799999999999997</v>
      </c>
      <c r="C518">
        <v>38.131999999999998</v>
      </c>
      <c r="D518">
        <v>30.585999999999999</v>
      </c>
      <c r="E518">
        <v>34.777000000000001</v>
      </c>
      <c r="F518">
        <v>266631.179</v>
      </c>
      <c r="G518">
        <v>0</v>
      </c>
      <c r="L518" t="s">
        <v>7</v>
      </c>
      <c r="M518" t="s">
        <v>8</v>
      </c>
      <c r="N518" t="s">
        <v>8</v>
      </c>
      <c r="P518">
        <f t="shared" ref="P518:P581" si="985">IF(C518=D518,0,((E518-D518)-(C518-E518))/(C518-D518))</f>
        <v>0.11078717201166256</v>
      </c>
      <c r="Q518">
        <f t="shared" ref="Q518:Q581" si="986">F518*P518</f>
        <v>29539.31429154539</v>
      </c>
      <c r="R518">
        <f t="shared" ref="R518:R581" si="987">R519+Q518</f>
        <v>38429.085787138378</v>
      </c>
      <c r="S518">
        <f t="shared" ref="S518:S581" si="988">R518/100000</f>
        <v>0.38429085787138378</v>
      </c>
      <c r="T518">
        <f t="shared" ref="T518:T581" si="989">S518/1000</f>
        <v>3.8429085787138376E-4</v>
      </c>
    </row>
    <row r="519" spans="1:20" x14ac:dyDescent="0.25">
      <c r="A519" s="5">
        <v>44074</v>
      </c>
      <c r="B519">
        <v>33.304000000000002</v>
      </c>
      <c r="C519">
        <v>36.5</v>
      </c>
      <c r="D519">
        <v>31.914000000000001</v>
      </c>
      <c r="E519">
        <v>32.814</v>
      </c>
      <c r="F519">
        <v>80638.866999999998</v>
      </c>
      <c r="G519">
        <v>0</v>
      </c>
      <c r="L519" t="s">
        <v>7</v>
      </c>
      <c r="M519" t="s">
        <v>7</v>
      </c>
      <c r="N519" t="s">
        <v>8</v>
      </c>
      <c r="P519">
        <f t="shared" si="985"/>
        <v>-0.60750109027474974</v>
      </c>
      <c r="Q519">
        <f t="shared" si="986"/>
        <v>-48988.19962102054</v>
      </c>
      <c r="R519">
        <f t="shared" si="987"/>
        <v>8889.7714955929841</v>
      </c>
      <c r="S519">
        <f t="shared" si="988"/>
        <v>8.8897714955929838E-2</v>
      </c>
      <c r="T519">
        <f t="shared" si="989"/>
        <v>8.889771495592984E-5</v>
      </c>
    </row>
    <row r="520" spans="1:20" x14ac:dyDescent="0.25">
      <c r="A520" s="5">
        <v>44073</v>
      </c>
      <c r="B520">
        <v>32.057000000000002</v>
      </c>
      <c r="C520">
        <v>37.628</v>
      </c>
      <c r="D520">
        <v>31.356000000000002</v>
      </c>
      <c r="E520">
        <v>33.351999999999997</v>
      </c>
      <c r="F520">
        <v>204560.72</v>
      </c>
      <c r="G520">
        <v>0</v>
      </c>
      <c r="L520" t="s">
        <v>8</v>
      </c>
      <c r="M520" t="s">
        <v>8</v>
      </c>
      <c r="N520" t="s">
        <v>8</v>
      </c>
      <c r="P520">
        <f t="shared" si="985"/>
        <v>-0.3635204081632667</v>
      </c>
      <c r="Q520">
        <f t="shared" si="986"/>
        <v>-74361.996428571714</v>
      </c>
      <c r="R520">
        <f t="shared" si="987"/>
        <v>57877.971116613524</v>
      </c>
      <c r="S520">
        <f t="shared" si="988"/>
        <v>0.57877971116613525</v>
      </c>
      <c r="T520">
        <f t="shared" si="989"/>
        <v>5.7877971116613528E-4</v>
      </c>
    </row>
    <row r="521" spans="1:20" x14ac:dyDescent="0.25">
      <c r="A521" s="5">
        <v>44072</v>
      </c>
      <c r="B521">
        <v>27.843</v>
      </c>
      <c r="C521">
        <v>34.5</v>
      </c>
      <c r="D521">
        <v>27.27</v>
      </c>
      <c r="E521">
        <v>32.127000000000002</v>
      </c>
      <c r="F521">
        <v>103439.03599999999</v>
      </c>
      <c r="G521">
        <v>0</v>
      </c>
      <c r="L521" t="s">
        <v>8</v>
      </c>
      <c r="M521" t="s">
        <v>8</v>
      </c>
      <c r="N521" t="s">
        <v>8</v>
      </c>
      <c r="P521">
        <f t="shared" si="985"/>
        <v>0.34356846473029118</v>
      </c>
      <c r="Q521">
        <f t="shared" si="986"/>
        <v>35538.39079170132</v>
      </c>
      <c r="R521">
        <f t="shared" si="987"/>
        <v>132239.96754518524</v>
      </c>
      <c r="S521">
        <f t="shared" si="988"/>
        <v>1.3223996754518523</v>
      </c>
      <c r="T521">
        <f t="shared" si="989"/>
        <v>1.3223996754518524E-3</v>
      </c>
    </row>
    <row r="522" spans="1:20" x14ac:dyDescent="0.25">
      <c r="A522" s="5">
        <v>44071</v>
      </c>
      <c r="B522">
        <v>25.637</v>
      </c>
      <c r="C522">
        <v>30</v>
      </c>
      <c r="D522">
        <v>25.536000000000001</v>
      </c>
      <c r="E522">
        <v>27.843</v>
      </c>
      <c r="F522">
        <v>79899.19</v>
      </c>
      <c r="G522">
        <v>0</v>
      </c>
      <c r="L522" t="s">
        <v>8</v>
      </c>
      <c r="M522" t="s">
        <v>8</v>
      </c>
      <c r="N522" t="s">
        <v>8</v>
      </c>
      <c r="P522">
        <f t="shared" si="985"/>
        <v>3.3602150537634101E-2</v>
      </c>
      <c r="Q522">
        <f t="shared" si="986"/>
        <v>2684.7846102150293</v>
      </c>
      <c r="R522">
        <f t="shared" si="987"/>
        <v>96701.576753483911</v>
      </c>
      <c r="S522">
        <f t="shared" si="988"/>
        <v>0.96701576753483909</v>
      </c>
      <c r="T522">
        <f t="shared" si="989"/>
        <v>9.6701576753483907E-4</v>
      </c>
    </row>
    <row r="523" spans="1:20" x14ac:dyDescent="0.25">
      <c r="A523" s="5">
        <v>44070</v>
      </c>
      <c r="B523">
        <v>26.803999999999998</v>
      </c>
      <c r="C523">
        <v>27.172999999999998</v>
      </c>
      <c r="D523">
        <v>24.216000000000001</v>
      </c>
      <c r="E523">
        <v>25.581</v>
      </c>
      <c r="F523">
        <v>79871.909</v>
      </c>
      <c r="G523">
        <v>0</v>
      </c>
      <c r="L523" t="s">
        <v>7</v>
      </c>
      <c r="M523" t="s">
        <v>8</v>
      </c>
      <c r="N523" t="s">
        <v>8</v>
      </c>
      <c r="P523">
        <f t="shared" si="985"/>
        <v>-7.6766993574568995E-2</v>
      </c>
      <c r="Q523">
        <f t="shared" si="986"/>
        <v>-6131.5263249915597</v>
      </c>
      <c r="R523">
        <f t="shared" si="987"/>
        <v>94016.792143268874</v>
      </c>
      <c r="S523">
        <f t="shared" si="988"/>
        <v>0.94016792143268879</v>
      </c>
      <c r="T523">
        <f t="shared" si="989"/>
        <v>9.4016792143268883E-4</v>
      </c>
    </row>
    <row r="524" spans="1:20" x14ac:dyDescent="0.25">
      <c r="A524" s="5">
        <v>44069</v>
      </c>
      <c r="B524">
        <v>23.379000000000001</v>
      </c>
      <c r="C524">
        <v>27</v>
      </c>
      <c r="D524">
        <v>22.562000000000001</v>
      </c>
      <c r="E524">
        <v>26.757999999999999</v>
      </c>
      <c r="F524">
        <v>73278.031000000003</v>
      </c>
      <c r="G524">
        <v>0</v>
      </c>
      <c r="L524" t="s">
        <v>8</v>
      </c>
      <c r="M524" t="s">
        <v>8</v>
      </c>
      <c r="N524" t="s">
        <v>8</v>
      </c>
      <c r="P524">
        <f t="shared" si="985"/>
        <v>0.89094186570527223</v>
      </c>
      <c r="Q524">
        <f t="shared" si="986"/>
        <v>65286.46565434878</v>
      </c>
      <c r="R524">
        <f t="shared" si="987"/>
        <v>100148.31846826043</v>
      </c>
      <c r="S524">
        <f t="shared" si="988"/>
        <v>1.0014831846826044</v>
      </c>
      <c r="T524">
        <f t="shared" si="989"/>
        <v>1.0014831846826043E-3</v>
      </c>
    </row>
    <row r="525" spans="1:20" x14ac:dyDescent="0.25">
      <c r="A525" s="5">
        <v>44068</v>
      </c>
      <c r="B525">
        <v>24.204000000000001</v>
      </c>
      <c r="C525">
        <v>25.724</v>
      </c>
      <c r="D525">
        <v>22</v>
      </c>
      <c r="E525">
        <v>23.359000000000002</v>
      </c>
      <c r="F525">
        <v>61985.385999999999</v>
      </c>
      <c r="G525">
        <v>0</v>
      </c>
      <c r="L525" t="s">
        <v>7</v>
      </c>
      <c r="M525" t="s">
        <v>7</v>
      </c>
      <c r="N525" t="s">
        <v>8</v>
      </c>
      <c r="P525">
        <f t="shared" si="985"/>
        <v>-0.27013963480128805</v>
      </c>
      <c r="Q525">
        <f t="shared" si="986"/>
        <v>-16744.709537056871</v>
      </c>
      <c r="R525">
        <f t="shared" si="987"/>
        <v>34861.852813911661</v>
      </c>
      <c r="S525">
        <f t="shared" si="988"/>
        <v>0.34861852813911659</v>
      </c>
      <c r="T525">
        <f t="shared" si="989"/>
        <v>3.4861852813911662E-4</v>
      </c>
    </row>
    <row r="526" spans="1:20" x14ac:dyDescent="0.25">
      <c r="A526" s="5">
        <v>44067</v>
      </c>
      <c r="B526">
        <v>24.334</v>
      </c>
      <c r="C526">
        <v>27.231999999999999</v>
      </c>
      <c r="D526">
        <v>23.335000000000001</v>
      </c>
      <c r="E526">
        <v>24.224</v>
      </c>
      <c r="F526">
        <v>79489.792000000001</v>
      </c>
      <c r="G526">
        <v>0</v>
      </c>
      <c r="L526" t="s">
        <v>8</v>
      </c>
      <c r="M526" t="s">
        <v>8</v>
      </c>
      <c r="N526" t="s">
        <v>8</v>
      </c>
      <c r="P526">
        <f t="shared" si="985"/>
        <v>-0.5437516037977933</v>
      </c>
      <c r="Q526">
        <f t="shared" si="986"/>
        <v>-43222.701885552997</v>
      </c>
      <c r="R526">
        <f t="shared" si="987"/>
        <v>51606.562350968532</v>
      </c>
      <c r="S526">
        <f t="shared" si="988"/>
        <v>0.51606562350968532</v>
      </c>
      <c r="T526">
        <f t="shared" si="989"/>
        <v>5.160656235096853E-4</v>
      </c>
    </row>
    <row r="527" spans="1:20" x14ac:dyDescent="0.25">
      <c r="A527" s="5">
        <v>44066</v>
      </c>
      <c r="B527">
        <v>25.998999999999999</v>
      </c>
      <c r="C527">
        <v>26.195</v>
      </c>
      <c r="D527">
        <v>22.481000000000002</v>
      </c>
      <c r="E527">
        <v>24.559000000000001</v>
      </c>
      <c r="F527">
        <v>130954.402</v>
      </c>
      <c r="G527">
        <v>0</v>
      </c>
      <c r="L527" t="s">
        <v>8</v>
      </c>
      <c r="M527" t="s">
        <v>7</v>
      </c>
      <c r="N527" t="s">
        <v>8</v>
      </c>
      <c r="P527">
        <f t="shared" si="985"/>
        <v>0.11900915455035012</v>
      </c>
      <c r="Q527">
        <f t="shared" si="986"/>
        <v>15584.772666666679</v>
      </c>
      <c r="R527">
        <f t="shared" si="987"/>
        <v>94829.264236521529</v>
      </c>
      <c r="S527">
        <f t="shared" si="988"/>
        <v>0.94829264236521527</v>
      </c>
      <c r="T527">
        <f t="shared" si="989"/>
        <v>9.4829264236521527E-4</v>
      </c>
    </row>
    <row r="528" spans="1:20" x14ac:dyDescent="0.25">
      <c r="A528" s="5">
        <v>44065</v>
      </c>
      <c r="B528">
        <v>19.856999999999999</v>
      </c>
      <c r="C528">
        <v>26.568999999999999</v>
      </c>
      <c r="D528">
        <v>19.335000000000001</v>
      </c>
      <c r="E528">
        <v>25.998999999999999</v>
      </c>
      <c r="F528">
        <v>170992.943</v>
      </c>
      <c r="G528">
        <v>0</v>
      </c>
      <c r="L528" t="s">
        <v>7</v>
      </c>
      <c r="M528" t="s">
        <v>8</v>
      </c>
      <c r="N528" t="s">
        <v>8</v>
      </c>
      <c r="P528">
        <f t="shared" si="985"/>
        <v>0.84241083771080993</v>
      </c>
      <c r="Q528">
        <f t="shared" si="986"/>
        <v>144046.30835526678</v>
      </c>
      <c r="R528">
        <f t="shared" si="987"/>
        <v>79244.491569854843</v>
      </c>
      <c r="S528">
        <f t="shared" si="988"/>
        <v>0.79244491569854847</v>
      </c>
      <c r="T528">
        <f t="shared" si="989"/>
        <v>7.9244491569854846E-4</v>
      </c>
    </row>
    <row r="529" spans="1:20" x14ac:dyDescent="0.25">
      <c r="A529" s="5">
        <v>44064</v>
      </c>
      <c r="B529">
        <v>22.849</v>
      </c>
      <c r="C529">
        <v>22.849</v>
      </c>
      <c r="D529">
        <v>19.555</v>
      </c>
      <c r="E529">
        <v>19.739999999999998</v>
      </c>
      <c r="F529">
        <v>103993.323</v>
      </c>
      <c r="G529">
        <v>0</v>
      </c>
      <c r="L529" t="s">
        <v>7</v>
      </c>
      <c r="M529" t="s">
        <v>7</v>
      </c>
      <c r="N529" t="s">
        <v>7</v>
      </c>
      <c r="P529">
        <f t="shared" si="985"/>
        <v>-0.88767455980570809</v>
      </c>
      <c r="Q529">
        <f t="shared" si="986"/>
        <v>-92312.227216757819</v>
      </c>
      <c r="R529">
        <f t="shared" si="987"/>
        <v>-64801.816785411938</v>
      </c>
      <c r="S529">
        <f t="shared" si="988"/>
        <v>-0.64801816785411936</v>
      </c>
      <c r="T529">
        <f t="shared" si="989"/>
        <v>-6.4801816785411937E-4</v>
      </c>
    </row>
    <row r="530" spans="1:20" x14ac:dyDescent="0.25">
      <c r="A530" s="5">
        <v>44063</v>
      </c>
      <c r="B530">
        <v>17.971</v>
      </c>
      <c r="C530">
        <v>22.991</v>
      </c>
      <c r="D530">
        <v>17.550999999999998</v>
      </c>
      <c r="E530">
        <v>22.785</v>
      </c>
      <c r="F530">
        <v>128185.129</v>
      </c>
      <c r="G530">
        <v>0</v>
      </c>
      <c r="L530" t="s">
        <v>8</v>
      </c>
      <c r="M530" t="s">
        <v>8</v>
      </c>
      <c r="N530" t="s">
        <v>7</v>
      </c>
      <c r="P530">
        <f t="shared" si="985"/>
        <v>0.9242647058823531</v>
      </c>
      <c r="Q530">
        <f t="shared" si="986"/>
        <v>118476.99055367649</v>
      </c>
      <c r="R530">
        <f t="shared" si="987"/>
        <v>27510.410431345881</v>
      </c>
      <c r="S530">
        <f t="shared" si="988"/>
        <v>0.27510410431345883</v>
      </c>
      <c r="T530">
        <f t="shared" si="989"/>
        <v>2.7510410431345883E-4</v>
      </c>
    </row>
    <row r="531" spans="1:20" x14ac:dyDescent="0.25">
      <c r="A531" s="5">
        <v>44062</v>
      </c>
      <c r="B531">
        <v>20.271999999999998</v>
      </c>
      <c r="C531">
        <v>20.399999999999999</v>
      </c>
      <c r="D531">
        <v>17</v>
      </c>
      <c r="E531">
        <v>17.893999999999998</v>
      </c>
      <c r="F531">
        <v>71392.660999999993</v>
      </c>
      <c r="G531">
        <v>0</v>
      </c>
      <c r="L531" t="s">
        <v>7</v>
      </c>
      <c r="M531" t="s">
        <v>7</v>
      </c>
      <c r="N531" t="s">
        <v>7</v>
      </c>
      <c r="P531">
        <f t="shared" si="985"/>
        <v>-0.47411764705882425</v>
      </c>
      <c r="Q531">
        <f t="shared" si="986"/>
        <v>-33848.520450588287</v>
      </c>
      <c r="R531">
        <f t="shared" si="987"/>
        <v>-90966.580122330604</v>
      </c>
      <c r="S531">
        <f t="shared" si="988"/>
        <v>-0.90966580122330609</v>
      </c>
      <c r="T531">
        <f t="shared" si="989"/>
        <v>-9.0966580122330606E-4</v>
      </c>
    </row>
    <row r="532" spans="1:20" x14ac:dyDescent="0.25">
      <c r="A532" s="5">
        <v>44061</v>
      </c>
      <c r="B532">
        <v>19.824999999999999</v>
      </c>
      <c r="C532">
        <v>22.5</v>
      </c>
      <c r="D532">
        <v>19.016999999999999</v>
      </c>
      <c r="E532">
        <v>20.181000000000001</v>
      </c>
      <c r="F532">
        <v>89167.13</v>
      </c>
      <c r="G532">
        <v>0</v>
      </c>
      <c r="L532" t="s">
        <v>8</v>
      </c>
      <c r="M532" t="s">
        <v>8</v>
      </c>
      <c r="N532" t="s">
        <v>8</v>
      </c>
      <c r="P532">
        <f t="shared" si="985"/>
        <v>-0.33161068044788899</v>
      </c>
      <c r="Q532">
        <f t="shared" si="986"/>
        <v>-29568.772652885378</v>
      </c>
      <c r="R532">
        <f t="shared" si="987"/>
        <v>-57118.059671742318</v>
      </c>
      <c r="S532">
        <f t="shared" si="988"/>
        <v>-0.57118059671742316</v>
      </c>
      <c r="T532">
        <f t="shared" si="989"/>
        <v>-5.7118059671742321E-4</v>
      </c>
    </row>
    <row r="533" spans="1:20" x14ac:dyDescent="0.25">
      <c r="A533" s="5">
        <v>44060</v>
      </c>
      <c r="B533">
        <v>19.629000000000001</v>
      </c>
      <c r="C533">
        <v>20.847999999999999</v>
      </c>
      <c r="D533">
        <v>18.946000000000002</v>
      </c>
      <c r="E533">
        <v>19.72</v>
      </c>
      <c r="F533">
        <v>49016.845999999998</v>
      </c>
      <c r="G533">
        <v>0</v>
      </c>
      <c r="L533" t="s">
        <v>8</v>
      </c>
      <c r="M533" t="s">
        <v>7</v>
      </c>
      <c r="N533" t="s">
        <v>8</v>
      </c>
      <c r="P533">
        <f t="shared" si="985"/>
        <v>-0.1861198738170364</v>
      </c>
      <c r="Q533">
        <f t="shared" si="986"/>
        <v>-9123.0091924291046</v>
      </c>
      <c r="R533">
        <f t="shared" si="987"/>
        <v>-27549.287018856936</v>
      </c>
      <c r="S533">
        <f t="shared" si="988"/>
        <v>-0.27549287018856938</v>
      </c>
      <c r="T533">
        <f t="shared" si="989"/>
        <v>-2.7549287018856938E-4</v>
      </c>
    </row>
    <row r="534" spans="1:20" x14ac:dyDescent="0.25">
      <c r="A534" s="5">
        <v>44059</v>
      </c>
      <c r="B534">
        <v>19.5</v>
      </c>
      <c r="C534">
        <v>19.864999999999998</v>
      </c>
      <c r="D534">
        <v>18</v>
      </c>
      <c r="E534">
        <v>19.62</v>
      </c>
      <c r="F534">
        <v>35899.805</v>
      </c>
      <c r="G534">
        <v>0</v>
      </c>
      <c r="L534" t="s">
        <v>7</v>
      </c>
      <c r="M534" t="s">
        <v>7</v>
      </c>
      <c r="N534" t="s">
        <v>8</v>
      </c>
      <c r="P534">
        <f t="shared" si="985"/>
        <v>0.73726541554960034</v>
      </c>
      <c r="Q534">
        <f t="shared" si="986"/>
        <v>26467.684651474621</v>
      </c>
      <c r="R534">
        <f t="shared" si="987"/>
        <v>-18426.277826427831</v>
      </c>
      <c r="S534">
        <f t="shared" si="988"/>
        <v>-0.18426277826427831</v>
      </c>
      <c r="T534">
        <f t="shared" si="989"/>
        <v>-1.842627782642783E-4</v>
      </c>
    </row>
    <row r="535" spans="1:20" x14ac:dyDescent="0.25">
      <c r="A535" s="5">
        <v>44058</v>
      </c>
      <c r="B535">
        <v>21.542000000000002</v>
      </c>
      <c r="C535">
        <v>21.626000000000001</v>
      </c>
      <c r="D535">
        <v>19.062999999999999</v>
      </c>
      <c r="E535">
        <v>19.518999999999998</v>
      </c>
      <c r="F535">
        <v>46574.525999999998</v>
      </c>
      <c r="G535">
        <v>0</v>
      </c>
      <c r="L535" t="s">
        <v>7</v>
      </c>
      <c r="M535" t="s">
        <v>7</v>
      </c>
      <c r="N535" t="s">
        <v>8</v>
      </c>
      <c r="P535">
        <f t="shared" si="985"/>
        <v>-0.64416699180647752</v>
      </c>
      <c r="Q535">
        <f t="shared" si="986"/>
        <v>-30001.772308232572</v>
      </c>
      <c r="R535">
        <f t="shared" si="987"/>
        <v>-44893.962477902453</v>
      </c>
      <c r="S535">
        <f t="shared" si="988"/>
        <v>-0.44893962477902455</v>
      </c>
      <c r="T535">
        <f t="shared" si="989"/>
        <v>-4.4893962477902456E-4</v>
      </c>
    </row>
    <row r="536" spans="1:20" x14ac:dyDescent="0.25">
      <c r="A536" s="5">
        <v>44057</v>
      </c>
      <c r="B536">
        <v>21.338000000000001</v>
      </c>
      <c r="C536">
        <v>23</v>
      </c>
      <c r="D536">
        <v>20.387</v>
      </c>
      <c r="E536">
        <v>21.542000000000002</v>
      </c>
      <c r="F536">
        <v>34621.887000000002</v>
      </c>
      <c r="G536">
        <v>0</v>
      </c>
      <c r="L536" t="s">
        <v>8</v>
      </c>
      <c r="M536" t="s">
        <v>8</v>
      </c>
      <c r="N536" t="s">
        <v>8</v>
      </c>
      <c r="P536">
        <f t="shared" si="985"/>
        <v>-0.11595866819747315</v>
      </c>
      <c r="Q536">
        <f t="shared" si="986"/>
        <v>-4014.7079070034092</v>
      </c>
      <c r="R536">
        <f t="shared" si="987"/>
        <v>-14892.190169669879</v>
      </c>
      <c r="S536">
        <f t="shared" si="988"/>
        <v>-0.14892190169669878</v>
      </c>
      <c r="T536">
        <f t="shared" si="989"/>
        <v>-1.4892190169669877E-4</v>
      </c>
    </row>
    <row r="537" spans="1:20" x14ac:dyDescent="0.25">
      <c r="A537" s="5">
        <v>44056</v>
      </c>
      <c r="B537">
        <v>22.457000000000001</v>
      </c>
      <c r="C537">
        <v>23.733000000000001</v>
      </c>
      <c r="D537">
        <v>19.5</v>
      </c>
      <c r="E537">
        <v>21.344999999999999</v>
      </c>
      <c r="F537">
        <v>72791.612999999998</v>
      </c>
      <c r="G537">
        <v>0</v>
      </c>
      <c r="L537" t="s">
        <v>7</v>
      </c>
      <c r="M537" t="s">
        <v>7</v>
      </c>
      <c r="N537" t="s">
        <v>8</v>
      </c>
      <c r="P537">
        <f t="shared" si="985"/>
        <v>-0.12827781715095743</v>
      </c>
      <c r="Q537">
        <f t="shared" si="986"/>
        <v>-9337.5492225372564</v>
      </c>
      <c r="R537">
        <f t="shared" si="987"/>
        <v>-10877.48226266647</v>
      </c>
      <c r="S537">
        <f t="shared" si="988"/>
        <v>-0.1087748226266647</v>
      </c>
      <c r="T537">
        <f t="shared" si="989"/>
        <v>-1.087748226266647E-4</v>
      </c>
    </row>
    <row r="538" spans="1:20" x14ac:dyDescent="0.25">
      <c r="A538" s="5">
        <v>44055</v>
      </c>
      <c r="B538">
        <v>20.106000000000002</v>
      </c>
      <c r="C538">
        <v>24.9</v>
      </c>
      <c r="D538">
        <v>19.001000000000001</v>
      </c>
      <c r="E538">
        <v>22.396999999999998</v>
      </c>
      <c r="F538">
        <v>122728.156</v>
      </c>
      <c r="G538">
        <v>0</v>
      </c>
      <c r="L538" t="s">
        <v>8</v>
      </c>
      <c r="M538" t="s">
        <v>8</v>
      </c>
      <c r="N538" t="s">
        <v>8</v>
      </c>
      <c r="P538">
        <f t="shared" si="985"/>
        <v>0.15138159010001653</v>
      </c>
      <c r="Q538">
        <f t="shared" si="986"/>
        <v>18578.783405322883</v>
      </c>
      <c r="R538">
        <f t="shared" si="987"/>
        <v>-1539.9330401292136</v>
      </c>
      <c r="S538">
        <f t="shared" si="988"/>
        <v>-1.5399330401292136E-2</v>
      </c>
      <c r="T538">
        <f t="shared" si="989"/>
        <v>-1.5399330401292137E-5</v>
      </c>
    </row>
    <row r="539" spans="1:20" x14ac:dyDescent="0.25">
      <c r="A539" s="5">
        <v>44054</v>
      </c>
      <c r="B539">
        <v>21.59</v>
      </c>
      <c r="C539">
        <v>26</v>
      </c>
      <c r="D539">
        <v>18.501999999999999</v>
      </c>
      <c r="E539">
        <v>20.373000000000001</v>
      </c>
      <c r="F539">
        <v>40162.442999999999</v>
      </c>
      <c r="G539">
        <v>0</v>
      </c>
      <c r="P539">
        <f t="shared" si="985"/>
        <v>-0.50093358228860974</v>
      </c>
      <c r="Q539">
        <f t="shared" si="986"/>
        <v>-20118.716445452097</v>
      </c>
      <c r="R539">
        <f t="shared" si="987"/>
        <v>-20118.716445452097</v>
      </c>
      <c r="S539">
        <f t="shared" si="988"/>
        <v>-0.20118716445452098</v>
      </c>
      <c r="T539">
        <f t="shared" si="989"/>
        <v>-2.0118716445452099E-4</v>
      </c>
    </row>
    <row r="540" spans="1:20" x14ac:dyDescent="0.25">
      <c r="A540" s="5"/>
      <c r="C540"/>
      <c r="D540"/>
      <c r="P540">
        <f t="shared" si="985"/>
        <v>0</v>
      </c>
      <c r="Q540">
        <f t="shared" si="986"/>
        <v>0</v>
      </c>
      <c r="R540">
        <f t="shared" si="987"/>
        <v>0</v>
      </c>
      <c r="S540">
        <f t="shared" si="988"/>
        <v>0</v>
      </c>
      <c r="T540">
        <f t="shared" si="989"/>
        <v>0</v>
      </c>
    </row>
    <row r="541" spans="1:20" x14ac:dyDescent="0.25">
      <c r="A541" s="5"/>
      <c r="C541"/>
      <c r="D541"/>
      <c r="P541">
        <f t="shared" si="985"/>
        <v>0</v>
      </c>
      <c r="Q541">
        <f t="shared" si="986"/>
        <v>0</v>
      </c>
      <c r="R541">
        <f t="shared" si="987"/>
        <v>0</v>
      </c>
      <c r="S541">
        <f t="shared" si="988"/>
        <v>0</v>
      </c>
      <c r="T541">
        <f t="shared" si="989"/>
        <v>0</v>
      </c>
    </row>
    <row r="542" spans="1:20" x14ac:dyDescent="0.25">
      <c r="A542" s="5"/>
      <c r="C542"/>
      <c r="D542"/>
      <c r="P542">
        <f t="shared" si="985"/>
        <v>0</v>
      </c>
      <c r="Q542">
        <f t="shared" si="986"/>
        <v>0</v>
      </c>
      <c r="R542">
        <f t="shared" si="987"/>
        <v>0</v>
      </c>
      <c r="S542">
        <f t="shared" si="988"/>
        <v>0</v>
      </c>
      <c r="T542">
        <f t="shared" si="989"/>
        <v>0</v>
      </c>
    </row>
    <row r="543" spans="1:20" x14ac:dyDescent="0.25">
      <c r="A543" s="5"/>
      <c r="C543"/>
      <c r="D543"/>
      <c r="P543">
        <f t="shared" si="985"/>
        <v>0</v>
      </c>
      <c r="Q543">
        <f t="shared" si="986"/>
        <v>0</v>
      </c>
      <c r="R543">
        <f t="shared" si="987"/>
        <v>0</v>
      </c>
      <c r="S543">
        <f t="shared" si="988"/>
        <v>0</v>
      </c>
      <c r="T543">
        <f t="shared" si="989"/>
        <v>0</v>
      </c>
    </row>
    <row r="544" spans="1:20" x14ac:dyDescent="0.25">
      <c r="A544" s="5"/>
      <c r="C544"/>
      <c r="D544"/>
      <c r="P544">
        <f t="shared" si="985"/>
        <v>0</v>
      </c>
      <c r="Q544">
        <f t="shared" si="986"/>
        <v>0</v>
      </c>
      <c r="R544">
        <f t="shared" si="987"/>
        <v>0</v>
      </c>
      <c r="S544">
        <f t="shared" si="988"/>
        <v>0</v>
      </c>
      <c r="T544">
        <f t="shared" si="989"/>
        <v>0</v>
      </c>
    </row>
    <row r="545" spans="1:20" x14ac:dyDescent="0.25">
      <c r="A545" s="5"/>
      <c r="C545"/>
      <c r="D545"/>
      <c r="P545">
        <f t="shared" si="985"/>
        <v>0</v>
      </c>
      <c r="Q545">
        <f t="shared" si="986"/>
        <v>0</v>
      </c>
      <c r="R545">
        <f t="shared" si="987"/>
        <v>0</v>
      </c>
      <c r="S545">
        <f t="shared" si="988"/>
        <v>0</v>
      </c>
      <c r="T545">
        <f t="shared" si="989"/>
        <v>0</v>
      </c>
    </row>
    <row r="546" spans="1:20" x14ac:dyDescent="0.25">
      <c r="A546" s="5"/>
      <c r="C546"/>
      <c r="D546"/>
      <c r="P546">
        <f t="shared" si="985"/>
        <v>0</v>
      </c>
      <c r="Q546">
        <f t="shared" si="986"/>
        <v>0</v>
      </c>
      <c r="R546">
        <f t="shared" si="987"/>
        <v>0</v>
      </c>
      <c r="S546">
        <f t="shared" si="988"/>
        <v>0</v>
      </c>
      <c r="T546">
        <f t="shared" si="989"/>
        <v>0</v>
      </c>
    </row>
    <row r="547" spans="1:20" x14ac:dyDescent="0.25">
      <c r="A547" s="5"/>
      <c r="C547"/>
      <c r="D547"/>
      <c r="P547">
        <f t="shared" si="985"/>
        <v>0</v>
      </c>
      <c r="Q547">
        <f t="shared" si="986"/>
        <v>0</v>
      </c>
      <c r="R547">
        <f t="shared" si="987"/>
        <v>0</v>
      </c>
      <c r="S547">
        <f t="shared" si="988"/>
        <v>0</v>
      </c>
      <c r="T547">
        <f t="shared" si="989"/>
        <v>0</v>
      </c>
    </row>
    <row r="548" spans="1:20" x14ac:dyDescent="0.25">
      <c r="A548" s="5"/>
      <c r="C548"/>
      <c r="D548"/>
      <c r="P548">
        <f t="shared" si="985"/>
        <v>0</v>
      </c>
      <c r="Q548">
        <f t="shared" si="986"/>
        <v>0</v>
      </c>
      <c r="R548">
        <f t="shared" si="987"/>
        <v>0</v>
      </c>
      <c r="S548">
        <f t="shared" si="988"/>
        <v>0</v>
      </c>
      <c r="T548">
        <f t="shared" si="989"/>
        <v>0</v>
      </c>
    </row>
    <row r="549" spans="1:20" x14ac:dyDescent="0.25">
      <c r="A549" s="5"/>
      <c r="P549">
        <f t="shared" si="985"/>
        <v>0</v>
      </c>
      <c r="Q549">
        <f t="shared" si="986"/>
        <v>0</v>
      </c>
      <c r="R549">
        <f t="shared" si="987"/>
        <v>0</v>
      </c>
      <c r="S549">
        <f t="shared" si="988"/>
        <v>0</v>
      </c>
      <c r="T549">
        <f t="shared" si="989"/>
        <v>0</v>
      </c>
    </row>
    <row r="550" spans="1:20" x14ac:dyDescent="0.25">
      <c r="A550" s="5"/>
      <c r="P550">
        <f t="shared" si="985"/>
        <v>0</v>
      </c>
      <c r="Q550">
        <f t="shared" si="986"/>
        <v>0</v>
      </c>
      <c r="R550">
        <f t="shared" si="987"/>
        <v>0</v>
      </c>
      <c r="S550">
        <f t="shared" si="988"/>
        <v>0</v>
      </c>
      <c r="T550">
        <f t="shared" si="989"/>
        <v>0</v>
      </c>
    </row>
    <row r="551" spans="1:20" x14ac:dyDescent="0.25">
      <c r="A551" s="5"/>
      <c r="P551">
        <f t="shared" si="985"/>
        <v>0</v>
      </c>
      <c r="Q551">
        <f t="shared" si="986"/>
        <v>0</v>
      </c>
      <c r="R551">
        <f t="shared" si="987"/>
        <v>0</v>
      </c>
      <c r="S551">
        <f t="shared" si="988"/>
        <v>0</v>
      </c>
      <c r="T551">
        <f t="shared" si="989"/>
        <v>0</v>
      </c>
    </row>
    <row r="552" spans="1:20" x14ac:dyDescent="0.25">
      <c r="A552" s="5"/>
      <c r="P552">
        <f t="shared" si="985"/>
        <v>0</v>
      </c>
      <c r="Q552">
        <f t="shared" si="986"/>
        <v>0</v>
      </c>
      <c r="R552">
        <f t="shared" si="987"/>
        <v>0</v>
      </c>
      <c r="S552">
        <f t="shared" si="988"/>
        <v>0</v>
      </c>
      <c r="T552">
        <f t="shared" si="989"/>
        <v>0</v>
      </c>
    </row>
    <row r="553" spans="1:20" x14ac:dyDescent="0.25">
      <c r="A553" s="5"/>
      <c r="P553">
        <f t="shared" si="985"/>
        <v>0</v>
      </c>
      <c r="Q553">
        <f t="shared" si="986"/>
        <v>0</v>
      </c>
      <c r="R553">
        <f t="shared" si="987"/>
        <v>0</v>
      </c>
      <c r="S553">
        <f t="shared" si="988"/>
        <v>0</v>
      </c>
      <c r="T553">
        <f t="shared" si="989"/>
        <v>0</v>
      </c>
    </row>
    <row r="554" spans="1:20" x14ac:dyDescent="0.25">
      <c r="A554" s="5"/>
      <c r="P554">
        <f t="shared" si="985"/>
        <v>0</v>
      </c>
      <c r="Q554">
        <f t="shared" si="986"/>
        <v>0</v>
      </c>
      <c r="R554">
        <f t="shared" si="987"/>
        <v>0</v>
      </c>
      <c r="S554">
        <f t="shared" si="988"/>
        <v>0</v>
      </c>
      <c r="T554">
        <f t="shared" si="989"/>
        <v>0</v>
      </c>
    </row>
    <row r="555" spans="1:20" x14ac:dyDescent="0.25">
      <c r="A555" s="5"/>
      <c r="P555">
        <f t="shared" si="985"/>
        <v>0</v>
      </c>
      <c r="Q555">
        <f t="shared" si="986"/>
        <v>0</v>
      </c>
      <c r="R555">
        <f t="shared" si="987"/>
        <v>0</v>
      </c>
      <c r="S555">
        <f t="shared" si="988"/>
        <v>0</v>
      </c>
      <c r="T555">
        <f t="shared" si="989"/>
        <v>0</v>
      </c>
    </row>
    <row r="556" spans="1:20" x14ac:dyDescent="0.25">
      <c r="A556" s="5"/>
      <c r="P556">
        <f t="shared" si="985"/>
        <v>0</v>
      </c>
      <c r="Q556">
        <f t="shared" si="986"/>
        <v>0</v>
      </c>
      <c r="R556">
        <f t="shared" si="987"/>
        <v>0</v>
      </c>
      <c r="S556">
        <f t="shared" si="988"/>
        <v>0</v>
      </c>
      <c r="T556">
        <f t="shared" si="989"/>
        <v>0</v>
      </c>
    </row>
    <row r="557" spans="1:20" x14ac:dyDescent="0.25">
      <c r="A557" s="5"/>
      <c r="P557">
        <f t="shared" si="985"/>
        <v>0</v>
      </c>
      <c r="Q557">
        <f t="shared" si="986"/>
        <v>0</v>
      </c>
      <c r="R557">
        <f t="shared" si="987"/>
        <v>0</v>
      </c>
      <c r="S557">
        <f t="shared" si="988"/>
        <v>0</v>
      </c>
      <c r="T557">
        <f t="shared" si="989"/>
        <v>0</v>
      </c>
    </row>
    <row r="558" spans="1:20" x14ac:dyDescent="0.25">
      <c r="A558" s="5"/>
      <c r="P558">
        <f t="shared" si="985"/>
        <v>0</v>
      </c>
      <c r="Q558">
        <f t="shared" si="986"/>
        <v>0</v>
      </c>
      <c r="R558">
        <f t="shared" si="987"/>
        <v>0</v>
      </c>
      <c r="S558">
        <f t="shared" si="988"/>
        <v>0</v>
      </c>
      <c r="T558">
        <f t="shared" si="989"/>
        <v>0</v>
      </c>
    </row>
    <row r="559" spans="1:20" x14ac:dyDescent="0.25">
      <c r="A559" s="5"/>
      <c r="P559">
        <f t="shared" si="985"/>
        <v>0</v>
      </c>
      <c r="Q559">
        <f t="shared" si="986"/>
        <v>0</v>
      </c>
      <c r="R559">
        <f t="shared" si="987"/>
        <v>0</v>
      </c>
      <c r="S559">
        <f t="shared" si="988"/>
        <v>0</v>
      </c>
      <c r="T559">
        <f t="shared" si="989"/>
        <v>0</v>
      </c>
    </row>
    <row r="560" spans="1:20" x14ac:dyDescent="0.25">
      <c r="A560" s="5"/>
      <c r="P560">
        <f t="shared" si="985"/>
        <v>0</v>
      </c>
      <c r="Q560">
        <f t="shared" si="986"/>
        <v>0</v>
      </c>
      <c r="R560">
        <f t="shared" si="987"/>
        <v>0</v>
      </c>
      <c r="S560">
        <f t="shared" si="988"/>
        <v>0</v>
      </c>
      <c r="T560">
        <f t="shared" si="989"/>
        <v>0</v>
      </c>
    </row>
    <row r="561" spans="1:104" x14ac:dyDescent="0.25">
      <c r="A561" s="5"/>
      <c r="P561">
        <f t="shared" si="985"/>
        <v>0</v>
      </c>
      <c r="Q561">
        <f t="shared" si="986"/>
        <v>0</v>
      </c>
      <c r="R561">
        <f t="shared" si="987"/>
        <v>0</v>
      </c>
      <c r="S561">
        <f t="shared" si="988"/>
        <v>0</v>
      </c>
      <c r="T561">
        <f t="shared" si="989"/>
        <v>0</v>
      </c>
      <c r="CZ561" t="s">
        <v>7</v>
      </c>
    </row>
    <row r="562" spans="1:104" x14ac:dyDescent="0.25">
      <c r="A562" s="5"/>
      <c r="P562">
        <f t="shared" si="985"/>
        <v>0</v>
      </c>
      <c r="Q562">
        <f t="shared" si="986"/>
        <v>0</v>
      </c>
      <c r="R562">
        <f t="shared" si="987"/>
        <v>0</v>
      </c>
      <c r="S562">
        <f t="shared" si="988"/>
        <v>0</v>
      </c>
      <c r="T562">
        <f t="shared" si="989"/>
        <v>0</v>
      </c>
      <c r="CZ562" t="s">
        <v>7</v>
      </c>
    </row>
    <row r="563" spans="1:104" x14ac:dyDescent="0.25">
      <c r="A563" s="5"/>
      <c r="P563">
        <f t="shared" si="985"/>
        <v>0</v>
      </c>
      <c r="Q563">
        <f t="shared" si="986"/>
        <v>0</v>
      </c>
      <c r="R563">
        <f t="shared" si="987"/>
        <v>0</v>
      </c>
      <c r="S563">
        <f t="shared" si="988"/>
        <v>0</v>
      </c>
      <c r="T563">
        <f t="shared" si="989"/>
        <v>0</v>
      </c>
      <c r="CZ563" t="s">
        <v>7</v>
      </c>
    </row>
    <row r="564" spans="1:104" x14ac:dyDescent="0.25">
      <c r="A564" s="5"/>
      <c r="P564">
        <f t="shared" si="985"/>
        <v>0</v>
      </c>
      <c r="Q564">
        <f t="shared" si="986"/>
        <v>0</v>
      </c>
      <c r="R564">
        <f t="shared" si="987"/>
        <v>0</v>
      </c>
      <c r="S564">
        <f t="shared" si="988"/>
        <v>0</v>
      </c>
      <c r="T564">
        <f t="shared" si="989"/>
        <v>0</v>
      </c>
    </row>
    <row r="565" spans="1:104" x14ac:dyDescent="0.25">
      <c r="A565" s="5"/>
      <c r="C565"/>
      <c r="D565"/>
      <c r="P565">
        <f t="shared" si="985"/>
        <v>0</v>
      </c>
      <c r="Q565">
        <f t="shared" si="986"/>
        <v>0</v>
      </c>
      <c r="R565">
        <f t="shared" si="987"/>
        <v>0</v>
      </c>
      <c r="S565">
        <f t="shared" si="988"/>
        <v>0</v>
      </c>
      <c r="T565">
        <f t="shared" si="989"/>
        <v>0</v>
      </c>
    </row>
    <row r="566" spans="1:104" x14ac:dyDescent="0.25">
      <c r="A566" s="5"/>
      <c r="C566"/>
      <c r="D566"/>
      <c r="P566">
        <f t="shared" si="985"/>
        <v>0</v>
      </c>
      <c r="Q566">
        <f t="shared" si="986"/>
        <v>0</v>
      </c>
      <c r="R566">
        <f t="shared" si="987"/>
        <v>0</v>
      </c>
      <c r="S566">
        <f t="shared" si="988"/>
        <v>0</v>
      </c>
      <c r="T566">
        <f t="shared" si="989"/>
        <v>0</v>
      </c>
    </row>
    <row r="567" spans="1:104" x14ac:dyDescent="0.25">
      <c r="A567" s="5"/>
      <c r="C567"/>
      <c r="D567"/>
      <c r="P567">
        <f t="shared" si="985"/>
        <v>0</v>
      </c>
      <c r="Q567">
        <f t="shared" si="986"/>
        <v>0</v>
      </c>
      <c r="R567">
        <f t="shared" si="987"/>
        <v>0</v>
      </c>
      <c r="S567">
        <f t="shared" si="988"/>
        <v>0</v>
      </c>
      <c r="T567">
        <f t="shared" si="989"/>
        <v>0</v>
      </c>
    </row>
    <row r="568" spans="1:104" x14ac:dyDescent="0.25">
      <c r="A568" s="5"/>
      <c r="C568"/>
      <c r="D568"/>
      <c r="P568">
        <f t="shared" si="985"/>
        <v>0</v>
      </c>
      <c r="Q568">
        <f t="shared" si="986"/>
        <v>0</v>
      </c>
      <c r="R568">
        <f t="shared" si="987"/>
        <v>0</v>
      </c>
      <c r="S568">
        <f t="shared" si="988"/>
        <v>0</v>
      </c>
      <c r="T568">
        <f t="shared" si="989"/>
        <v>0</v>
      </c>
    </row>
    <row r="569" spans="1:104" x14ac:dyDescent="0.25">
      <c r="A569" s="5"/>
      <c r="C569"/>
      <c r="D569"/>
      <c r="P569">
        <f t="shared" si="985"/>
        <v>0</v>
      </c>
      <c r="Q569">
        <f t="shared" si="986"/>
        <v>0</v>
      </c>
      <c r="R569">
        <f t="shared" si="987"/>
        <v>0</v>
      </c>
      <c r="S569">
        <f t="shared" si="988"/>
        <v>0</v>
      </c>
      <c r="T569">
        <f t="shared" si="989"/>
        <v>0</v>
      </c>
    </row>
    <row r="570" spans="1:104" x14ac:dyDescent="0.25">
      <c r="A570" s="5"/>
      <c r="C570"/>
      <c r="D570"/>
      <c r="P570">
        <f t="shared" si="985"/>
        <v>0</v>
      </c>
      <c r="Q570">
        <f t="shared" si="986"/>
        <v>0</v>
      </c>
      <c r="R570">
        <f t="shared" si="987"/>
        <v>0</v>
      </c>
      <c r="S570">
        <f t="shared" si="988"/>
        <v>0</v>
      </c>
      <c r="T570">
        <f t="shared" si="989"/>
        <v>0</v>
      </c>
    </row>
    <row r="571" spans="1:104" x14ac:dyDescent="0.25">
      <c r="A571" s="5"/>
      <c r="C571"/>
      <c r="D571"/>
      <c r="P571">
        <f t="shared" si="985"/>
        <v>0</v>
      </c>
      <c r="Q571">
        <f t="shared" si="986"/>
        <v>0</v>
      </c>
      <c r="R571">
        <f t="shared" si="987"/>
        <v>0</v>
      </c>
      <c r="S571">
        <f t="shared" si="988"/>
        <v>0</v>
      </c>
      <c r="T571">
        <f t="shared" si="989"/>
        <v>0</v>
      </c>
    </row>
    <row r="572" spans="1:104" x14ac:dyDescent="0.25">
      <c r="A572" s="5"/>
      <c r="C572"/>
      <c r="D572"/>
      <c r="P572">
        <f t="shared" si="985"/>
        <v>0</v>
      </c>
      <c r="Q572">
        <f t="shared" si="986"/>
        <v>0</v>
      </c>
      <c r="R572">
        <f t="shared" si="987"/>
        <v>0</v>
      </c>
      <c r="S572">
        <f t="shared" si="988"/>
        <v>0</v>
      </c>
      <c r="T572">
        <f t="shared" si="989"/>
        <v>0</v>
      </c>
    </row>
    <row r="573" spans="1:104" x14ac:dyDescent="0.25">
      <c r="A573" s="5"/>
      <c r="C573"/>
      <c r="D573"/>
      <c r="P573">
        <f t="shared" si="985"/>
        <v>0</v>
      </c>
      <c r="Q573">
        <f t="shared" si="986"/>
        <v>0</v>
      </c>
      <c r="R573">
        <f t="shared" si="987"/>
        <v>0</v>
      </c>
      <c r="S573">
        <f t="shared" si="988"/>
        <v>0</v>
      </c>
      <c r="T573">
        <f t="shared" si="989"/>
        <v>0</v>
      </c>
    </row>
    <row r="574" spans="1:104" x14ac:dyDescent="0.25">
      <c r="A574" s="5"/>
      <c r="C574"/>
      <c r="D574"/>
      <c r="P574">
        <f t="shared" si="985"/>
        <v>0</v>
      </c>
      <c r="Q574">
        <f t="shared" si="986"/>
        <v>0</v>
      </c>
      <c r="R574">
        <f t="shared" si="987"/>
        <v>0</v>
      </c>
      <c r="S574">
        <f t="shared" si="988"/>
        <v>0</v>
      </c>
      <c r="T574">
        <f t="shared" si="989"/>
        <v>0</v>
      </c>
    </row>
    <row r="575" spans="1:104" x14ac:dyDescent="0.25">
      <c r="A575" s="5"/>
      <c r="C575"/>
      <c r="D575"/>
      <c r="P575">
        <f t="shared" si="985"/>
        <v>0</v>
      </c>
      <c r="Q575">
        <f t="shared" si="986"/>
        <v>0</v>
      </c>
      <c r="R575">
        <f t="shared" si="987"/>
        <v>0</v>
      </c>
      <c r="S575">
        <f t="shared" si="988"/>
        <v>0</v>
      </c>
      <c r="T575">
        <f t="shared" si="989"/>
        <v>0</v>
      </c>
    </row>
    <row r="576" spans="1:104" x14ac:dyDescent="0.25">
      <c r="A576" s="5"/>
      <c r="C576"/>
      <c r="D576"/>
      <c r="P576">
        <f t="shared" si="985"/>
        <v>0</v>
      </c>
      <c r="Q576">
        <f t="shared" si="986"/>
        <v>0</v>
      </c>
      <c r="R576">
        <f t="shared" si="987"/>
        <v>0</v>
      </c>
      <c r="S576">
        <f t="shared" si="988"/>
        <v>0</v>
      </c>
      <c r="T576">
        <f t="shared" si="989"/>
        <v>0</v>
      </c>
    </row>
    <row r="577" spans="1:20" x14ac:dyDescent="0.25">
      <c r="A577" s="5"/>
      <c r="C577"/>
      <c r="D577"/>
      <c r="P577">
        <f t="shared" si="985"/>
        <v>0</v>
      </c>
      <c r="Q577">
        <f t="shared" si="986"/>
        <v>0</v>
      </c>
      <c r="R577">
        <f t="shared" si="987"/>
        <v>0</v>
      </c>
      <c r="S577">
        <f t="shared" si="988"/>
        <v>0</v>
      </c>
      <c r="T577">
        <f t="shared" si="989"/>
        <v>0</v>
      </c>
    </row>
    <row r="578" spans="1:20" x14ac:dyDescent="0.25">
      <c r="A578" s="5"/>
      <c r="C578"/>
      <c r="D578"/>
      <c r="P578">
        <f t="shared" si="985"/>
        <v>0</v>
      </c>
      <c r="Q578">
        <f t="shared" si="986"/>
        <v>0</v>
      </c>
      <c r="R578">
        <f t="shared" si="987"/>
        <v>0</v>
      </c>
      <c r="S578">
        <f t="shared" si="988"/>
        <v>0</v>
      </c>
      <c r="T578">
        <f t="shared" si="989"/>
        <v>0</v>
      </c>
    </row>
    <row r="579" spans="1:20" x14ac:dyDescent="0.25">
      <c r="A579" s="5"/>
      <c r="C579"/>
      <c r="D579"/>
      <c r="P579">
        <f t="shared" si="985"/>
        <v>0</v>
      </c>
      <c r="Q579">
        <f t="shared" si="986"/>
        <v>0</v>
      </c>
      <c r="R579">
        <f t="shared" si="987"/>
        <v>0</v>
      </c>
      <c r="S579">
        <f t="shared" si="988"/>
        <v>0</v>
      </c>
      <c r="T579">
        <f t="shared" si="989"/>
        <v>0</v>
      </c>
    </row>
    <row r="580" spans="1:20" x14ac:dyDescent="0.25">
      <c r="A580" s="5"/>
      <c r="C580"/>
      <c r="D580"/>
      <c r="P580">
        <f t="shared" si="985"/>
        <v>0</v>
      </c>
      <c r="Q580">
        <f t="shared" si="986"/>
        <v>0</v>
      </c>
      <c r="R580">
        <f t="shared" si="987"/>
        <v>0</v>
      </c>
      <c r="S580">
        <f t="shared" si="988"/>
        <v>0</v>
      </c>
      <c r="T580">
        <f t="shared" si="989"/>
        <v>0</v>
      </c>
    </row>
    <row r="581" spans="1:20" x14ac:dyDescent="0.25">
      <c r="A581" s="5"/>
      <c r="C581"/>
      <c r="D581"/>
      <c r="P581">
        <f t="shared" si="985"/>
        <v>0</v>
      </c>
      <c r="Q581">
        <f t="shared" si="986"/>
        <v>0</v>
      </c>
      <c r="R581">
        <f t="shared" si="987"/>
        <v>0</v>
      </c>
      <c r="S581">
        <f t="shared" si="988"/>
        <v>0</v>
      </c>
      <c r="T581">
        <f t="shared" si="989"/>
        <v>0</v>
      </c>
    </row>
    <row r="582" spans="1:20" x14ac:dyDescent="0.25">
      <c r="A582" s="5"/>
      <c r="C582"/>
      <c r="D582"/>
      <c r="P582">
        <f t="shared" ref="P582:P645" si="990">IF(C582=D582,0,((E582-D582)-(C582-E582))/(C582-D582))</f>
        <v>0</v>
      </c>
      <c r="Q582">
        <f t="shared" ref="Q582:Q645" si="991">F582*P582</f>
        <v>0</v>
      </c>
      <c r="R582">
        <f t="shared" ref="R582:R645" si="992">R583+Q582</f>
        <v>0</v>
      </c>
      <c r="S582">
        <f t="shared" ref="S582:S645" si="993">R582/100000</f>
        <v>0</v>
      </c>
      <c r="T582">
        <f t="shared" ref="T582:T645" si="994">S582/1000</f>
        <v>0</v>
      </c>
    </row>
    <row r="583" spans="1:20" x14ac:dyDescent="0.25">
      <c r="A583" s="5"/>
      <c r="C583"/>
      <c r="D583"/>
      <c r="P583">
        <f t="shared" si="990"/>
        <v>0</v>
      </c>
      <c r="Q583">
        <f t="shared" si="991"/>
        <v>0</v>
      </c>
      <c r="R583">
        <f t="shared" si="992"/>
        <v>0</v>
      </c>
      <c r="S583">
        <f t="shared" si="993"/>
        <v>0</v>
      </c>
      <c r="T583">
        <f t="shared" si="994"/>
        <v>0</v>
      </c>
    </row>
    <row r="584" spans="1:20" x14ac:dyDescent="0.25">
      <c r="A584" s="5"/>
      <c r="C584"/>
      <c r="D584"/>
      <c r="P584">
        <f t="shared" si="990"/>
        <v>0</v>
      </c>
      <c r="Q584">
        <f t="shared" si="991"/>
        <v>0</v>
      </c>
      <c r="R584">
        <f t="shared" si="992"/>
        <v>0</v>
      </c>
      <c r="S584">
        <f t="shared" si="993"/>
        <v>0</v>
      </c>
      <c r="T584">
        <f t="shared" si="994"/>
        <v>0</v>
      </c>
    </row>
    <row r="585" spans="1:20" x14ac:dyDescent="0.25">
      <c r="A585" s="5"/>
      <c r="C585"/>
      <c r="D585"/>
      <c r="P585">
        <f t="shared" si="990"/>
        <v>0</v>
      </c>
      <c r="Q585">
        <f t="shared" si="991"/>
        <v>0</v>
      </c>
      <c r="R585">
        <f t="shared" si="992"/>
        <v>0</v>
      </c>
      <c r="S585">
        <f t="shared" si="993"/>
        <v>0</v>
      </c>
      <c r="T585">
        <f t="shared" si="994"/>
        <v>0</v>
      </c>
    </row>
    <row r="586" spans="1:20" x14ac:dyDescent="0.25">
      <c r="A586" s="5"/>
      <c r="C586"/>
      <c r="D586"/>
      <c r="P586">
        <f t="shared" si="990"/>
        <v>0</v>
      </c>
      <c r="Q586">
        <f t="shared" si="991"/>
        <v>0</v>
      </c>
      <c r="R586">
        <f t="shared" si="992"/>
        <v>0</v>
      </c>
      <c r="S586">
        <f t="shared" si="993"/>
        <v>0</v>
      </c>
      <c r="T586">
        <f t="shared" si="994"/>
        <v>0</v>
      </c>
    </row>
    <row r="587" spans="1:20" x14ac:dyDescent="0.25">
      <c r="A587" s="5"/>
      <c r="C587"/>
      <c r="D587"/>
      <c r="P587">
        <f t="shared" si="990"/>
        <v>0</v>
      </c>
      <c r="Q587">
        <f t="shared" si="991"/>
        <v>0</v>
      </c>
      <c r="R587">
        <f t="shared" si="992"/>
        <v>0</v>
      </c>
      <c r="S587">
        <f t="shared" si="993"/>
        <v>0</v>
      </c>
      <c r="T587">
        <f t="shared" si="994"/>
        <v>0</v>
      </c>
    </row>
    <row r="588" spans="1:20" x14ac:dyDescent="0.25">
      <c r="A588" s="5"/>
      <c r="C588"/>
      <c r="D588"/>
      <c r="P588">
        <f t="shared" si="990"/>
        <v>0</v>
      </c>
      <c r="Q588">
        <f t="shared" si="991"/>
        <v>0</v>
      </c>
      <c r="R588">
        <f t="shared" si="992"/>
        <v>0</v>
      </c>
      <c r="S588">
        <f t="shared" si="993"/>
        <v>0</v>
      </c>
      <c r="T588">
        <f t="shared" si="994"/>
        <v>0</v>
      </c>
    </row>
    <row r="589" spans="1:20" x14ac:dyDescent="0.25">
      <c r="A589" s="5"/>
      <c r="C589"/>
      <c r="D589"/>
      <c r="P589">
        <f t="shared" si="990"/>
        <v>0</v>
      </c>
      <c r="Q589">
        <f t="shared" si="991"/>
        <v>0</v>
      </c>
      <c r="R589">
        <f t="shared" si="992"/>
        <v>0</v>
      </c>
      <c r="S589">
        <f t="shared" si="993"/>
        <v>0</v>
      </c>
      <c r="T589">
        <f t="shared" si="994"/>
        <v>0</v>
      </c>
    </row>
    <row r="590" spans="1:20" x14ac:dyDescent="0.25">
      <c r="A590" s="5"/>
      <c r="C590"/>
      <c r="D590"/>
      <c r="P590">
        <f t="shared" si="990"/>
        <v>0</v>
      </c>
      <c r="Q590">
        <f t="shared" si="991"/>
        <v>0</v>
      </c>
      <c r="R590">
        <f t="shared" si="992"/>
        <v>0</v>
      </c>
      <c r="S590">
        <f t="shared" si="993"/>
        <v>0</v>
      </c>
      <c r="T590">
        <f t="shared" si="994"/>
        <v>0</v>
      </c>
    </row>
    <row r="591" spans="1:20" x14ac:dyDescent="0.25">
      <c r="A591" s="5"/>
      <c r="C591"/>
      <c r="D591"/>
      <c r="P591">
        <f t="shared" si="990"/>
        <v>0</v>
      </c>
      <c r="Q591">
        <f t="shared" si="991"/>
        <v>0</v>
      </c>
      <c r="R591">
        <f t="shared" si="992"/>
        <v>0</v>
      </c>
      <c r="S591">
        <f t="shared" si="993"/>
        <v>0</v>
      </c>
      <c r="T591">
        <f t="shared" si="994"/>
        <v>0</v>
      </c>
    </row>
    <row r="592" spans="1:20" x14ac:dyDescent="0.25">
      <c r="A592" s="5"/>
      <c r="C592"/>
      <c r="D592"/>
      <c r="P592">
        <f t="shared" si="990"/>
        <v>0</v>
      </c>
      <c r="Q592">
        <f t="shared" si="991"/>
        <v>0</v>
      </c>
      <c r="R592">
        <f t="shared" si="992"/>
        <v>0</v>
      </c>
      <c r="S592">
        <f t="shared" si="993"/>
        <v>0</v>
      </c>
      <c r="T592">
        <f t="shared" si="994"/>
        <v>0</v>
      </c>
    </row>
    <row r="593" spans="1:20" x14ac:dyDescent="0.25">
      <c r="A593" s="5"/>
      <c r="C593"/>
      <c r="D593"/>
      <c r="P593">
        <f t="shared" si="990"/>
        <v>0</v>
      </c>
      <c r="Q593">
        <f t="shared" si="991"/>
        <v>0</v>
      </c>
      <c r="R593">
        <f t="shared" si="992"/>
        <v>0</v>
      </c>
      <c r="S593">
        <f t="shared" si="993"/>
        <v>0</v>
      </c>
      <c r="T593">
        <f t="shared" si="994"/>
        <v>0</v>
      </c>
    </row>
    <row r="594" spans="1:20" x14ac:dyDescent="0.25">
      <c r="A594" s="5"/>
      <c r="C594"/>
      <c r="D594"/>
      <c r="P594">
        <f t="shared" si="990"/>
        <v>0</v>
      </c>
      <c r="Q594">
        <f t="shared" si="991"/>
        <v>0</v>
      </c>
      <c r="R594">
        <f t="shared" si="992"/>
        <v>0</v>
      </c>
      <c r="S594">
        <f t="shared" si="993"/>
        <v>0</v>
      </c>
      <c r="T594">
        <f t="shared" si="994"/>
        <v>0</v>
      </c>
    </row>
    <row r="595" spans="1:20" x14ac:dyDescent="0.25">
      <c r="A595" s="5"/>
      <c r="C595"/>
      <c r="D595"/>
      <c r="P595">
        <f t="shared" si="990"/>
        <v>0</v>
      </c>
      <c r="Q595">
        <f t="shared" si="991"/>
        <v>0</v>
      </c>
      <c r="R595">
        <f t="shared" si="992"/>
        <v>0</v>
      </c>
      <c r="S595">
        <f t="shared" si="993"/>
        <v>0</v>
      </c>
      <c r="T595">
        <f t="shared" si="994"/>
        <v>0</v>
      </c>
    </row>
    <row r="596" spans="1:20" x14ac:dyDescent="0.25">
      <c r="A596" s="5"/>
      <c r="C596"/>
      <c r="D596"/>
      <c r="P596">
        <f t="shared" si="990"/>
        <v>0</v>
      </c>
      <c r="Q596">
        <f t="shared" si="991"/>
        <v>0</v>
      </c>
      <c r="R596">
        <f t="shared" si="992"/>
        <v>0</v>
      </c>
      <c r="S596">
        <f t="shared" si="993"/>
        <v>0</v>
      </c>
      <c r="T596">
        <f t="shared" si="994"/>
        <v>0</v>
      </c>
    </row>
    <row r="597" spans="1:20" x14ac:dyDescent="0.25">
      <c r="A597" s="5"/>
      <c r="C597"/>
      <c r="D597"/>
      <c r="P597">
        <f t="shared" si="990"/>
        <v>0</v>
      </c>
      <c r="Q597">
        <f t="shared" si="991"/>
        <v>0</v>
      </c>
      <c r="R597">
        <f t="shared" si="992"/>
        <v>0</v>
      </c>
      <c r="S597">
        <f t="shared" si="993"/>
        <v>0</v>
      </c>
      <c r="T597">
        <f t="shared" si="994"/>
        <v>0</v>
      </c>
    </row>
    <row r="598" spans="1:20" x14ac:dyDescent="0.25">
      <c r="A598" s="5"/>
      <c r="C598"/>
      <c r="D598"/>
      <c r="P598">
        <f t="shared" si="990"/>
        <v>0</v>
      </c>
      <c r="Q598">
        <f t="shared" si="991"/>
        <v>0</v>
      </c>
      <c r="R598">
        <f t="shared" si="992"/>
        <v>0</v>
      </c>
      <c r="S598">
        <f t="shared" si="993"/>
        <v>0</v>
      </c>
      <c r="T598">
        <f t="shared" si="994"/>
        <v>0</v>
      </c>
    </row>
    <row r="599" spans="1:20" x14ac:dyDescent="0.25">
      <c r="A599" s="5"/>
      <c r="C599"/>
      <c r="D599"/>
      <c r="P599">
        <f t="shared" si="990"/>
        <v>0</v>
      </c>
      <c r="Q599">
        <f t="shared" si="991"/>
        <v>0</v>
      </c>
      <c r="R599">
        <f t="shared" si="992"/>
        <v>0</v>
      </c>
      <c r="S599">
        <f t="shared" si="993"/>
        <v>0</v>
      </c>
      <c r="T599">
        <f t="shared" si="994"/>
        <v>0</v>
      </c>
    </row>
    <row r="600" spans="1:20" x14ac:dyDescent="0.25">
      <c r="A600" s="5"/>
      <c r="C600"/>
      <c r="D600"/>
      <c r="P600">
        <f t="shared" si="990"/>
        <v>0</v>
      </c>
      <c r="Q600">
        <f t="shared" si="991"/>
        <v>0</v>
      </c>
      <c r="R600">
        <f t="shared" si="992"/>
        <v>0</v>
      </c>
      <c r="S600">
        <f t="shared" si="993"/>
        <v>0</v>
      </c>
      <c r="T600">
        <f t="shared" si="994"/>
        <v>0</v>
      </c>
    </row>
    <row r="601" spans="1:20" x14ac:dyDescent="0.25">
      <c r="A601" s="5"/>
      <c r="C601"/>
      <c r="D601"/>
      <c r="P601">
        <f t="shared" si="990"/>
        <v>0</v>
      </c>
      <c r="Q601">
        <f t="shared" si="991"/>
        <v>0</v>
      </c>
      <c r="R601">
        <f t="shared" si="992"/>
        <v>0</v>
      </c>
      <c r="S601">
        <f t="shared" si="993"/>
        <v>0</v>
      </c>
      <c r="T601">
        <f t="shared" si="994"/>
        <v>0</v>
      </c>
    </row>
    <row r="602" spans="1:20" x14ac:dyDescent="0.25">
      <c r="A602" s="5"/>
      <c r="C602"/>
      <c r="D602"/>
      <c r="P602">
        <f t="shared" si="990"/>
        <v>0</v>
      </c>
      <c r="Q602">
        <f t="shared" si="991"/>
        <v>0</v>
      </c>
      <c r="R602">
        <f t="shared" si="992"/>
        <v>0</v>
      </c>
      <c r="S602">
        <f t="shared" si="993"/>
        <v>0</v>
      </c>
      <c r="T602">
        <f t="shared" si="994"/>
        <v>0</v>
      </c>
    </row>
    <row r="603" spans="1:20" x14ac:dyDescent="0.25">
      <c r="A603" s="5"/>
      <c r="C603"/>
      <c r="D603"/>
      <c r="P603">
        <f t="shared" si="990"/>
        <v>0</v>
      </c>
      <c r="Q603">
        <f t="shared" si="991"/>
        <v>0</v>
      </c>
      <c r="R603">
        <f t="shared" si="992"/>
        <v>0</v>
      </c>
      <c r="S603">
        <f t="shared" si="993"/>
        <v>0</v>
      </c>
      <c r="T603">
        <f t="shared" si="994"/>
        <v>0</v>
      </c>
    </row>
    <row r="604" spans="1:20" x14ac:dyDescent="0.25">
      <c r="A604" s="5"/>
      <c r="C604"/>
      <c r="D604"/>
      <c r="P604">
        <f t="shared" si="990"/>
        <v>0</v>
      </c>
      <c r="Q604">
        <f t="shared" si="991"/>
        <v>0</v>
      </c>
      <c r="R604">
        <f t="shared" si="992"/>
        <v>0</v>
      </c>
      <c r="S604">
        <f t="shared" si="993"/>
        <v>0</v>
      </c>
      <c r="T604">
        <f t="shared" si="994"/>
        <v>0</v>
      </c>
    </row>
    <row r="605" spans="1:20" x14ac:dyDescent="0.25">
      <c r="A605" s="5"/>
      <c r="C605"/>
      <c r="D605"/>
      <c r="P605">
        <f t="shared" si="990"/>
        <v>0</v>
      </c>
      <c r="Q605">
        <f t="shared" si="991"/>
        <v>0</v>
      </c>
      <c r="R605">
        <f t="shared" si="992"/>
        <v>0</v>
      </c>
      <c r="S605">
        <f t="shared" si="993"/>
        <v>0</v>
      </c>
      <c r="T605">
        <f t="shared" si="994"/>
        <v>0</v>
      </c>
    </row>
    <row r="606" spans="1:20" x14ac:dyDescent="0.25">
      <c r="A606" s="5"/>
      <c r="C606"/>
      <c r="D606"/>
      <c r="P606">
        <f t="shared" si="990"/>
        <v>0</v>
      </c>
      <c r="Q606">
        <f t="shared" si="991"/>
        <v>0</v>
      </c>
      <c r="R606">
        <f t="shared" si="992"/>
        <v>0</v>
      </c>
      <c r="S606">
        <f t="shared" si="993"/>
        <v>0</v>
      </c>
      <c r="T606">
        <f t="shared" si="994"/>
        <v>0</v>
      </c>
    </row>
    <row r="607" spans="1:20" x14ac:dyDescent="0.25">
      <c r="A607" s="5"/>
      <c r="C607"/>
      <c r="D607"/>
      <c r="P607">
        <f t="shared" si="990"/>
        <v>0</v>
      </c>
      <c r="Q607">
        <f t="shared" si="991"/>
        <v>0</v>
      </c>
      <c r="R607">
        <f t="shared" si="992"/>
        <v>0</v>
      </c>
      <c r="S607">
        <f t="shared" si="993"/>
        <v>0</v>
      </c>
      <c r="T607">
        <f t="shared" si="994"/>
        <v>0</v>
      </c>
    </row>
    <row r="608" spans="1:20" x14ac:dyDescent="0.25">
      <c r="A608" s="5"/>
      <c r="C608"/>
      <c r="D608"/>
      <c r="P608">
        <f t="shared" si="990"/>
        <v>0</v>
      </c>
      <c r="Q608">
        <f t="shared" si="991"/>
        <v>0</v>
      </c>
      <c r="R608">
        <f t="shared" si="992"/>
        <v>0</v>
      </c>
      <c r="S608">
        <f t="shared" si="993"/>
        <v>0</v>
      </c>
      <c r="T608">
        <f t="shared" si="994"/>
        <v>0</v>
      </c>
    </row>
    <row r="609" spans="1:20" x14ac:dyDescent="0.25">
      <c r="A609" s="5"/>
      <c r="C609"/>
      <c r="D609"/>
      <c r="P609">
        <f t="shared" si="990"/>
        <v>0</v>
      </c>
      <c r="Q609">
        <f t="shared" si="991"/>
        <v>0</v>
      </c>
      <c r="R609">
        <f t="shared" si="992"/>
        <v>0</v>
      </c>
      <c r="S609">
        <f t="shared" si="993"/>
        <v>0</v>
      </c>
      <c r="T609">
        <f t="shared" si="994"/>
        <v>0</v>
      </c>
    </row>
    <row r="610" spans="1:20" x14ac:dyDescent="0.25">
      <c r="A610" s="5"/>
      <c r="C610"/>
      <c r="D610"/>
      <c r="P610">
        <f t="shared" si="990"/>
        <v>0</v>
      </c>
      <c r="Q610">
        <f t="shared" si="991"/>
        <v>0</v>
      </c>
      <c r="R610">
        <f t="shared" si="992"/>
        <v>0</v>
      </c>
      <c r="S610">
        <f t="shared" si="993"/>
        <v>0</v>
      </c>
      <c r="T610">
        <f t="shared" si="994"/>
        <v>0</v>
      </c>
    </row>
    <row r="611" spans="1:20" x14ac:dyDescent="0.25">
      <c r="A611" s="5"/>
      <c r="C611"/>
      <c r="D611"/>
      <c r="P611">
        <f t="shared" si="990"/>
        <v>0</v>
      </c>
      <c r="Q611">
        <f t="shared" si="991"/>
        <v>0</v>
      </c>
      <c r="R611">
        <f t="shared" si="992"/>
        <v>0</v>
      </c>
      <c r="S611">
        <f t="shared" si="993"/>
        <v>0</v>
      </c>
      <c r="T611">
        <f t="shared" si="994"/>
        <v>0</v>
      </c>
    </row>
    <row r="612" spans="1:20" x14ac:dyDescent="0.25">
      <c r="A612" s="5"/>
      <c r="C612"/>
      <c r="D612"/>
      <c r="P612">
        <f t="shared" si="990"/>
        <v>0</v>
      </c>
      <c r="Q612">
        <f t="shared" si="991"/>
        <v>0</v>
      </c>
      <c r="R612">
        <f t="shared" si="992"/>
        <v>0</v>
      </c>
      <c r="S612">
        <f t="shared" si="993"/>
        <v>0</v>
      </c>
      <c r="T612">
        <f t="shared" si="994"/>
        <v>0</v>
      </c>
    </row>
    <row r="613" spans="1:20" x14ac:dyDescent="0.25">
      <c r="A613" s="5"/>
      <c r="C613"/>
      <c r="D613"/>
      <c r="P613">
        <f t="shared" si="990"/>
        <v>0</v>
      </c>
      <c r="Q613">
        <f t="shared" si="991"/>
        <v>0</v>
      </c>
      <c r="R613">
        <f t="shared" si="992"/>
        <v>0</v>
      </c>
      <c r="S613">
        <f t="shared" si="993"/>
        <v>0</v>
      </c>
      <c r="T613">
        <f t="shared" si="994"/>
        <v>0</v>
      </c>
    </row>
    <row r="614" spans="1:20" x14ac:dyDescent="0.25">
      <c r="A614" s="5"/>
      <c r="C614"/>
      <c r="D614"/>
      <c r="P614">
        <f t="shared" si="990"/>
        <v>0</v>
      </c>
      <c r="Q614">
        <f t="shared" si="991"/>
        <v>0</v>
      </c>
      <c r="R614">
        <f t="shared" si="992"/>
        <v>0</v>
      </c>
      <c r="S614">
        <f t="shared" si="993"/>
        <v>0</v>
      </c>
      <c r="T614">
        <f t="shared" si="994"/>
        <v>0</v>
      </c>
    </row>
    <row r="615" spans="1:20" x14ac:dyDescent="0.25">
      <c r="A615" s="5"/>
      <c r="C615"/>
      <c r="D615"/>
      <c r="P615">
        <f t="shared" si="990"/>
        <v>0</v>
      </c>
      <c r="Q615">
        <f t="shared" si="991"/>
        <v>0</v>
      </c>
      <c r="R615">
        <f t="shared" si="992"/>
        <v>0</v>
      </c>
      <c r="S615">
        <f t="shared" si="993"/>
        <v>0</v>
      </c>
      <c r="T615">
        <f t="shared" si="994"/>
        <v>0</v>
      </c>
    </row>
    <row r="616" spans="1:20" x14ac:dyDescent="0.25">
      <c r="A616" s="5"/>
      <c r="C616"/>
      <c r="D616"/>
      <c r="P616">
        <f t="shared" si="990"/>
        <v>0</v>
      </c>
      <c r="Q616">
        <f t="shared" si="991"/>
        <v>0</v>
      </c>
      <c r="R616">
        <f t="shared" si="992"/>
        <v>0</v>
      </c>
      <c r="S616">
        <f t="shared" si="993"/>
        <v>0</v>
      </c>
      <c r="T616">
        <f t="shared" si="994"/>
        <v>0</v>
      </c>
    </row>
    <row r="617" spans="1:20" x14ac:dyDescent="0.25">
      <c r="A617" s="5"/>
      <c r="C617"/>
      <c r="D617"/>
      <c r="P617">
        <f t="shared" si="990"/>
        <v>0</v>
      </c>
      <c r="Q617">
        <f t="shared" si="991"/>
        <v>0</v>
      </c>
      <c r="R617">
        <f t="shared" si="992"/>
        <v>0</v>
      </c>
      <c r="S617">
        <f t="shared" si="993"/>
        <v>0</v>
      </c>
      <c r="T617">
        <f t="shared" si="994"/>
        <v>0</v>
      </c>
    </row>
    <row r="618" spans="1:20" x14ac:dyDescent="0.25">
      <c r="A618" s="5"/>
      <c r="C618"/>
      <c r="D618"/>
      <c r="P618">
        <f t="shared" si="990"/>
        <v>0</v>
      </c>
      <c r="Q618">
        <f t="shared" si="991"/>
        <v>0</v>
      </c>
      <c r="R618">
        <f t="shared" si="992"/>
        <v>0</v>
      </c>
      <c r="S618">
        <f t="shared" si="993"/>
        <v>0</v>
      </c>
      <c r="T618">
        <f t="shared" si="994"/>
        <v>0</v>
      </c>
    </row>
    <row r="619" spans="1:20" x14ac:dyDescent="0.25">
      <c r="A619" s="5"/>
      <c r="C619"/>
      <c r="D619"/>
      <c r="P619">
        <f t="shared" si="990"/>
        <v>0</v>
      </c>
      <c r="Q619">
        <f t="shared" si="991"/>
        <v>0</v>
      </c>
      <c r="R619">
        <f t="shared" si="992"/>
        <v>0</v>
      </c>
      <c r="S619">
        <f t="shared" si="993"/>
        <v>0</v>
      </c>
      <c r="T619">
        <f t="shared" si="994"/>
        <v>0</v>
      </c>
    </row>
    <row r="620" spans="1:20" x14ac:dyDescent="0.25">
      <c r="A620" s="5"/>
      <c r="C620"/>
      <c r="D620"/>
      <c r="P620">
        <f t="shared" si="990"/>
        <v>0</v>
      </c>
      <c r="Q620">
        <f t="shared" si="991"/>
        <v>0</v>
      </c>
      <c r="R620">
        <f t="shared" si="992"/>
        <v>0</v>
      </c>
      <c r="S620">
        <f t="shared" si="993"/>
        <v>0</v>
      </c>
      <c r="T620">
        <f t="shared" si="994"/>
        <v>0</v>
      </c>
    </row>
    <row r="621" spans="1:20" x14ac:dyDescent="0.25">
      <c r="A621" s="5"/>
      <c r="C621"/>
      <c r="D621"/>
      <c r="P621">
        <f t="shared" si="990"/>
        <v>0</v>
      </c>
      <c r="Q621">
        <f t="shared" si="991"/>
        <v>0</v>
      </c>
      <c r="R621">
        <f t="shared" si="992"/>
        <v>0</v>
      </c>
      <c r="S621">
        <f t="shared" si="993"/>
        <v>0</v>
      </c>
      <c r="T621">
        <f t="shared" si="994"/>
        <v>0</v>
      </c>
    </row>
    <row r="622" spans="1:20" x14ac:dyDescent="0.25">
      <c r="A622" s="5"/>
      <c r="C622"/>
      <c r="D622"/>
      <c r="P622">
        <f t="shared" si="990"/>
        <v>0</v>
      </c>
      <c r="Q622">
        <f t="shared" si="991"/>
        <v>0</v>
      </c>
      <c r="R622">
        <f t="shared" si="992"/>
        <v>0</v>
      </c>
      <c r="S622">
        <f t="shared" si="993"/>
        <v>0</v>
      </c>
      <c r="T622">
        <f t="shared" si="994"/>
        <v>0</v>
      </c>
    </row>
    <row r="623" spans="1:20" x14ac:dyDescent="0.25">
      <c r="A623" s="5"/>
      <c r="C623"/>
      <c r="D623"/>
      <c r="P623">
        <f t="shared" si="990"/>
        <v>0</v>
      </c>
      <c r="Q623">
        <f t="shared" si="991"/>
        <v>0</v>
      </c>
      <c r="R623">
        <f t="shared" si="992"/>
        <v>0</v>
      </c>
      <c r="S623">
        <f t="shared" si="993"/>
        <v>0</v>
      </c>
      <c r="T623">
        <f t="shared" si="994"/>
        <v>0</v>
      </c>
    </row>
    <row r="624" spans="1:20" x14ac:dyDescent="0.25">
      <c r="A624" s="5"/>
      <c r="C624"/>
      <c r="D624"/>
      <c r="P624">
        <f t="shared" si="990"/>
        <v>0</v>
      </c>
      <c r="Q624">
        <f t="shared" si="991"/>
        <v>0</v>
      </c>
      <c r="R624">
        <f t="shared" si="992"/>
        <v>0</v>
      </c>
      <c r="S624">
        <f t="shared" si="993"/>
        <v>0</v>
      </c>
      <c r="T624">
        <f t="shared" si="994"/>
        <v>0</v>
      </c>
    </row>
    <row r="625" spans="1:20" x14ac:dyDescent="0.25">
      <c r="A625" s="5"/>
      <c r="C625"/>
      <c r="D625"/>
      <c r="P625">
        <f t="shared" si="990"/>
        <v>0</v>
      </c>
      <c r="Q625">
        <f t="shared" si="991"/>
        <v>0</v>
      </c>
      <c r="R625">
        <f t="shared" si="992"/>
        <v>0</v>
      </c>
      <c r="S625">
        <f t="shared" si="993"/>
        <v>0</v>
      </c>
      <c r="T625">
        <f t="shared" si="994"/>
        <v>0</v>
      </c>
    </row>
    <row r="626" spans="1:20" x14ac:dyDescent="0.25">
      <c r="A626" s="5"/>
      <c r="C626"/>
      <c r="D626"/>
      <c r="P626">
        <f t="shared" si="990"/>
        <v>0</v>
      </c>
      <c r="Q626">
        <f t="shared" si="991"/>
        <v>0</v>
      </c>
      <c r="R626">
        <f t="shared" si="992"/>
        <v>0</v>
      </c>
      <c r="S626">
        <f t="shared" si="993"/>
        <v>0</v>
      </c>
      <c r="T626">
        <f t="shared" si="994"/>
        <v>0</v>
      </c>
    </row>
    <row r="627" spans="1:20" x14ac:dyDescent="0.25">
      <c r="A627" s="5"/>
      <c r="C627"/>
      <c r="D627"/>
      <c r="P627">
        <f t="shared" si="990"/>
        <v>0</v>
      </c>
      <c r="Q627">
        <f t="shared" si="991"/>
        <v>0</v>
      </c>
      <c r="R627">
        <f t="shared" si="992"/>
        <v>0</v>
      </c>
      <c r="S627">
        <f t="shared" si="993"/>
        <v>0</v>
      </c>
      <c r="T627">
        <f t="shared" si="994"/>
        <v>0</v>
      </c>
    </row>
    <row r="628" spans="1:20" x14ac:dyDescent="0.25">
      <c r="A628" s="5"/>
      <c r="C628"/>
      <c r="D628"/>
      <c r="P628">
        <f t="shared" si="990"/>
        <v>0</v>
      </c>
      <c r="Q628">
        <f t="shared" si="991"/>
        <v>0</v>
      </c>
      <c r="R628">
        <f t="shared" si="992"/>
        <v>0</v>
      </c>
      <c r="S628">
        <f t="shared" si="993"/>
        <v>0</v>
      </c>
      <c r="T628">
        <f t="shared" si="994"/>
        <v>0</v>
      </c>
    </row>
    <row r="629" spans="1:20" x14ac:dyDescent="0.25">
      <c r="A629" s="5"/>
      <c r="C629"/>
      <c r="D629"/>
      <c r="P629">
        <f t="shared" si="990"/>
        <v>0</v>
      </c>
      <c r="Q629">
        <f t="shared" si="991"/>
        <v>0</v>
      </c>
      <c r="R629">
        <f t="shared" si="992"/>
        <v>0</v>
      </c>
      <c r="S629">
        <f t="shared" si="993"/>
        <v>0</v>
      </c>
      <c r="T629">
        <f t="shared" si="994"/>
        <v>0</v>
      </c>
    </row>
    <row r="630" spans="1:20" x14ac:dyDescent="0.25">
      <c r="A630" s="5"/>
      <c r="C630"/>
      <c r="D630"/>
      <c r="P630">
        <f t="shared" si="990"/>
        <v>0</v>
      </c>
      <c r="Q630">
        <f t="shared" si="991"/>
        <v>0</v>
      </c>
      <c r="R630">
        <f t="shared" si="992"/>
        <v>0</v>
      </c>
      <c r="S630">
        <f t="shared" si="993"/>
        <v>0</v>
      </c>
      <c r="T630">
        <f t="shared" si="994"/>
        <v>0</v>
      </c>
    </row>
    <row r="631" spans="1:20" x14ac:dyDescent="0.25">
      <c r="A631" s="5"/>
      <c r="C631"/>
      <c r="D631"/>
      <c r="P631">
        <f t="shared" si="990"/>
        <v>0</v>
      </c>
      <c r="Q631">
        <f t="shared" si="991"/>
        <v>0</v>
      </c>
      <c r="R631">
        <f t="shared" si="992"/>
        <v>0</v>
      </c>
      <c r="S631">
        <f t="shared" si="993"/>
        <v>0</v>
      </c>
      <c r="T631">
        <f t="shared" si="994"/>
        <v>0</v>
      </c>
    </row>
    <row r="632" spans="1:20" x14ac:dyDescent="0.25">
      <c r="A632" s="5"/>
      <c r="C632"/>
      <c r="D632"/>
      <c r="P632">
        <f t="shared" si="990"/>
        <v>0</v>
      </c>
      <c r="Q632">
        <f t="shared" si="991"/>
        <v>0</v>
      </c>
      <c r="R632">
        <f t="shared" si="992"/>
        <v>0</v>
      </c>
      <c r="S632">
        <f t="shared" si="993"/>
        <v>0</v>
      </c>
      <c r="T632">
        <f t="shared" si="994"/>
        <v>0</v>
      </c>
    </row>
    <row r="633" spans="1:20" x14ac:dyDescent="0.25">
      <c r="A633" s="5"/>
      <c r="C633"/>
      <c r="D633"/>
      <c r="P633">
        <f t="shared" si="990"/>
        <v>0</v>
      </c>
      <c r="Q633">
        <f t="shared" si="991"/>
        <v>0</v>
      </c>
      <c r="R633">
        <f t="shared" si="992"/>
        <v>0</v>
      </c>
      <c r="S633">
        <f t="shared" si="993"/>
        <v>0</v>
      </c>
      <c r="T633">
        <f t="shared" si="994"/>
        <v>0</v>
      </c>
    </row>
    <row r="634" spans="1:20" x14ac:dyDescent="0.25">
      <c r="A634" s="5"/>
      <c r="C634"/>
      <c r="D634"/>
      <c r="P634">
        <f t="shared" si="990"/>
        <v>0</v>
      </c>
      <c r="Q634">
        <f t="shared" si="991"/>
        <v>0</v>
      </c>
      <c r="R634">
        <f t="shared" si="992"/>
        <v>0</v>
      </c>
      <c r="S634">
        <f t="shared" si="993"/>
        <v>0</v>
      </c>
      <c r="T634">
        <f t="shared" si="994"/>
        <v>0</v>
      </c>
    </row>
    <row r="635" spans="1:20" x14ac:dyDescent="0.25">
      <c r="A635" s="5"/>
      <c r="C635"/>
      <c r="D635"/>
      <c r="P635">
        <f t="shared" si="990"/>
        <v>0</v>
      </c>
      <c r="Q635">
        <f t="shared" si="991"/>
        <v>0</v>
      </c>
      <c r="R635">
        <f t="shared" si="992"/>
        <v>0</v>
      </c>
      <c r="S635">
        <f t="shared" si="993"/>
        <v>0</v>
      </c>
      <c r="T635">
        <f t="shared" si="994"/>
        <v>0</v>
      </c>
    </row>
    <row r="636" spans="1:20" x14ac:dyDescent="0.25">
      <c r="A636" s="5"/>
      <c r="C636"/>
      <c r="D636"/>
      <c r="P636">
        <f t="shared" si="990"/>
        <v>0</v>
      </c>
      <c r="Q636">
        <f t="shared" si="991"/>
        <v>0</v>
      </c>
      <c r="R636">
        <f t="shared" si="992"/>
        <v>0</v>
      </c>
      <c r="S636">
        <f t="shared" si="993"/>
        <v>0</v>
      </c>
      <c r="T636">
        <f t="shared" si="994"/>
        <v>0</v>
      </c>
    </row>
    <row r="637" spans="1:20" x14ac:dyDescent="0.25">
      <c r="A637" s="5"/>
      <c r="C637"/>
      <c r="D637"/>
      <c r="P637">
        <f t="shared" si="990"/>
        <v>0</v>
      </c>
      <c r="Q637">
        <f t="shared" si="991"/>
        <v>0</v>
      </c>
      <c r="R637">
        <f t="shared" si="992"/>
        <v>0</v>
      </c>
      <c r="S637">
        <f t="shared" si="993"/>
        <v>0</v>
      </c>
      <c r="T637">
        <f t="shared" si="994"/>
        <v>0</v>
      </c>
    </row>
    <row r="638" spans="1:20" x14ac:dyDescent="0.25">
      <c r="A638" s="5"/>
      <c r="C638"/>
      <c r="D638"/>
      <c r="P638">
        <f t="shared" si="990"/>
        <v>0</v>
      </c>
      <c r="Q638">
        <f t="shared" si="991"/>
        <v>0</v>
      </c>
      <c r="R638">
        <f t="shared" si="992"/>
        <v>0</v>
      </c>
      <c r="S638">
        <f t="shared" si="993"/>
        <v>0</v>
      </c>
      <c r="T638">
        <f t="shared" si="994"/>
        <v>0</v>
      </c>
    </row>
    <row r="639" spans="1:20" x14ac:dyDescent="0.25">
      <c r="A639" s="5"/>
      <c r="C639"/>
      <c r="D639"/>
      <c r="P639">
        <f t="shared" si="990"/>
        <v>0</v>
      </c>
      <c r="Q639">
        <f t="shared" si="991"/>
        <v>0</v>
      </c>
      <c r="R639">
        <f t="shared" si="992"/>
        <v>0</v>
      </c>
      <c r="S639">
        <f t="shared" si="993"/>
        <v>0</v>
      </c>
      <c r="T639">
        <f t="shared" si="994"/>
        <v>0</v>
      </c>
    </row>
    <row r="640" spans="1:20" x14ac:dyDescent="0.25">
      <c r="A640" s="5"/>
      <c r="C640"/>
      <c r="D640"/>
      <c r="P640">
        <f t="shared" si="990"/>
        <v>0</v>
      </c>
      <c r="Q640">
        <f t="shared" si="991"/>
        <v>0</v>
      </c>
      <c r="R640">
        <f t="shared" si="992"/>
        <v>0</v>
      </c>
      <c r="S640">
        <f t="shared" si="993"/>
        <v>0</v>
      </c>
      <c r="T640">
        <f t="shared" si="994"/>
        <v>0</v>
      </c>
    </row>
    <row r="641" spans="1:20" x14ac:dyDescent="0.25">
      <c r="A641" s="5"/>
      <c r="C641"/>
      <c r="D641"/>
      <c r="P641">
        <f t="shared" si="990"/>
        <v>0</v>
      </c>
      <c r="Q641">
        <f t="shared" si="991"/>
        <v>0</v>
      </c>
      <c r="R641">
        <f t="shared" si="992"/>
        <v>0</v>
      </c>
      <c r="S641">
        <f t="shared" si="993"/>
        <v>0</v>
      </c>
      <c r="T641">
        <f t="shared" si="994"/>
        <v>0</v>
      </c>
    </row>
    <row r="642" spans="1:20" x14ac:dyDescent="0.25">
      <c r="A642" s="5"/>
      <c r="C642"/>
      <c r="D642"/>
      <c r="P642">
        <f t="shared" si="990"/>
        <v>0</v>
      </c>
      <c r="Q642">
        <f t="shared" si="991"/>
        <v>0</v>
      </c>
      <c r="R642">
        <f t="shared" si="992"/>
        <v>0</v>
      </c>
      <c r="S642">
        <f t="shared" si="993"/>
        <v>0</v>
      </c>
      <c r="T642">
        <f t="shared" si="994"/>
        <v>0</v>
      </c>
    </row>
    <row r="643" spans="1:20" x14ac:dyDescent="0.25">
      <c r="A643" s="5"/>
      <c r="C643"/>
      <c r="D643"/>
      <c r="P643">
        <f t="shared" si="990"/>
        <v>0</v>
      </c>
      <c r="Q643">
        <f t="shared" si="991"/>
        <v>0</v>
      </c>
      <c r="R643">
        <f t="shared" si="992"/>
        <v>0</v>
      </c>
      <c r="S643">
        <f t="shared" si="993"/>
        <v>0</v>
      </c>
      <c r="T643">
        <f t="shared" si="994"/>
        <v>0</v>
      </c>
    </row>
    <row r="644" spans="1:20" x14ac:dyDescent="0.25">
      <c r="A644" s="5"/>
      <c r="C644"/>
      <c r="D644"/>
      <c r="P644">
        <f t="shared" si="990"/>
        <v>0</v>
      </c>
      <c r="Q644">
        <f t="shared" si="991"/>
        <v>0</v>
      </c>
      <c r="R644">
        <f t="shared" si="992"/>
        <v>0</v>
      </c>
      <c r="S644">
        <f t="shared" si="993"/>
        <v>0</v>
      </c>
      <c r="T644">
        <f t="shared" si="994"/>
        <v>0</v>
      </c>
    </row>
    <row r="645" spans="1:20" x14ac:dyDescent="0.25">
      <c r="A645" s="5"/>
      <c r="C645"/>
      <c r="D645"/>
      <c r="P645">
        <f t="shared" si="990"/>
        <v>0</v>
      </c>
      <c r="Q645">
        <f t="shared" si="991"/>
        <v>0</v>
      </c>
      <c r="R645">
        <f t="shared" si="992"/>
        <v>0</v>
      </c>
      <c r="S645">
        <f t="shared" si="993"/>
        <v>0</v>
      </c>
      <c r="T645">
        <f t="shared" si="994"/>
        <v>0</v>
      </c>
    </row>
    <row r="646" spans="1:20" x14ac:dyDescent="0.25">
      <c r="A646" s="5"/>
      <c r="C646"/>
      <c r="D646"/>
      <c r="P646">
        <f t="shared" ref="P646:P709" si="995">IF(C646=D646,0,((E646-D646)-(C646-E646))/(C646-D646))</f>
        <v>0</v>
      </c>
      <c r="Q646">
        <f t="shared" ref="Q646:Q709" si="996">F646*P646</f>
        <v>0</v>
      </c>
      <c r="R646">
        <f t="shared" ref="R646:R709" si="997">R647+Q646</f>
        <v>0</v>
      </c>
      <c r="S646">
        <f t="shared" ref="S646:S709" si="998">R646/100000</f>
        <v>0</v>
      </c>
      <c r="T646">
        <f t="shared" ref="T646:T709" si="999">S646/1000</f>
        <v>0</v>
      </c>
    </row>
    <row r="647" spans="1:20" x14ac:dyDescent="0.25">
      <c r="A647" s="5"/>
      <c r="C647"/>
      <c r="D647"/>
      <c r="P647">
        <f t="shared" si="995"/>
        <v>0</v>
      </c>
      <c r="Q647">
        <f t="shared" si="996"/>
        <v>0</v>
      </c>
      <c r="R647">
        <f t="shared" si="997"/>
        <v>0</v>
      </c>
      <c r="S647">
        <f t="shared" si="998"/>
        <v>0</v>
      </c>
      <c r="T647">
        <f t="shared" si="999"/>
        <v>0</v>
      </c>
    </row>
    <row r="648" spans="1:20" x14ac:dyDescent="0.25">
      <c r="A648" s="5"/>
      <c r="C648"/>
      <c r="D648"/>
      <c r="P648">
        <f t="shared" si="995"/>
        <v>0</v>
      </c>
      <c r="Q648">
        <f t="shared" si="996"/>
        <v>0</v>
      </c>
      <c r="R648">
        <f t="shared" si="997"/>
        <v>0</v>
      </c>
      <c r="S648">
        <f t="shared" si="998"/>
        <v>0</v>
      </c>
      <c r="T648">
        <f t="shared" si="999"/>
        <v>0</v>
      </c>
    </row>
    <row r="649" spans="1:20" x14ac:dyDescent="0.25">
      <c r="A649" s="5"/>
      <c r="C649"/>
      <c r="D649"/>
      <c r="P649">
        <f t="shared" si="995"/>
        <v>0</v>
      </c>
      <c r="Q649">
        <f t="shared" si="996"/>
        <v>0</v>
      </c>
      <c r="R649">
        <f t="shared" si="997"/>
        <v>0</v>
      </c>
      <c r="S649">
        <f t="shared" si="998"/>
        <v>0</v>
      </c>
      <c r="T649">
        <f t="shared" si="999"/>
        <v>0</v>
      </c>
    </row>
    <row r="650" spans="1:20" x14ac:dyDescent="0.25">
      <c r="A650" s="5"/>
      <c r="C650"/>
      <c r="D650"/>
      <c r="P650">
        <f t="shared" si="995"/>
        <v>0</v>
      </c>
      <c r="Q650">
        <f t="shared" si="996"/>
        <v>0</v>
      </c>
      <c r="R650">
        <f t="shared" si="997"/>
        <v>0</v>
      </c>
      <c r="S650">
        <f t="shared" si="998"/>
        <v>0</v>
      </c>
      <c r="T650">
        <f t="shared" si="999"/>
        <v>0</v>
      </c>
    </row>
    <row r="651" spans="1:20" x14ac:dyDescent="0.25">
      <c r="A651" s="5"/>
      <c r="C651"/>
      <c r="D651"/>
      <c r="P651">
        <f t="shared" si="995"/>
        <v>0</v>
      </c>
      <c r="Q651">
        <f t="shared" si="996"/>
        <v>0</v>
      </c>
      <c r="R651">
        <f t="shared" si="997"/>
        <v>0</v>
      </c>
      <c r="S651">
        <f t="shared" si="998"/>
        <v>0</v>
      </c>
      <c r="T651">
        <f t="shared" si="999"/>
        <v>0</v>
      </c>
    </row>
    <row r="652" spans="1:20" x14ac:dyDescent="0.25">
      <c r="A652" s="5"/>
      <c r="C652"/>
      <c r="D652"/>
      <c r="P652">
        <f t="shared" si="995"/>
        <v>0</v>
      </c>
      <c r="Q652">
        <f t="shared" si="996"/>
        <v>0</v>
      </c>
      <c r="R652">
        <f t="shared" si="997"/>
        <v>0</v>
      </c>
      <c r="S652">
        <f t="shared" si="998"/>
        <v>0</v>
      </c>
      <c r="T652">
        <f t="shared" si="999"/>
        <v>0</v>
      </c>
    </row>
    <row r="653" spans="1:20" x14ac:dyDescent="0.25">
      <c r="A653" s="5"/>
      <c r="C653"/>
      <c r="D653"/>
      <c r="P653">
        <f t="shared" si="995"/>
        <v>0</v>
      </c>
      <c r="Q653">
        <f t="shared" si="996"/>
        <v>0</v>
      </c>
      <c r="R653">
        <f t="shared" si="997"/>
        <v>0</v>
      </c>
      <c r="S653">
        <f t="shared" si="998"/>
        <v>0</v>
      </c>
      <c r="T653">
        <f t="shared" si="999"/>
        <v>0</v>
      </c>
    </row>
    <row r="654" spans="1:20" x14ac:dyDescent="0.25">
      <c r="A654" s="5"/>
      <c r="C654"/>
      <c r="D654"/>
      <c r="P654">
        <f t="shared" si="995"/>
        <v>0</v>
      </c>
      <c r="Q654">
        <f t="shared" si="996"/>
        <v>0</v>
      </c>
      <c r="R654">
        <f t="shared" si="997"/>
        <v>0</v>
      </c>
      <c r="S654">
        <f t="shared" si="998"/>
        <v>0</v>
      </c>
      <c r="T654">
        <f t="shared" si="999"/>
        <v>0</v>
      </c>
    </row>
    <row r="655" spans="1:20" x14ac:dyDescent="0.25">
      <c r="A655" s="5"/>
      <c r="C655"/>
      <c r="D655"/>
      <c r="P655">
        <f t="shared" si="995"/>
        <v>0</v>
      </c>
      <c r="Q655">
        <f t="shared" si="996"/>
        <v>0</v>
      </c>
      <c r="R655">
        <f t="shared" si="997"/>
        <v>0</v>
      </c>
      <c r="S655">
        <f t="shared" si="998"/>
        <v>0</v>
      </c>
      <c r="T655">
        <f t="shared" si="999"/>
        <v>0</v>
      </c>
    </row>
    <row r="656" spans="1:20" x14ac:dyDescent="0.25">
      <c r="A656" s="5"/>
      <c r="C656"/>
      <c r="D656"/>
      <c r="P656">
        <f t="shared" si="995"/>
        <v>0</v>
      </c>
      <c r="Q656">
        <f t="shared" si="996"/>
        <v>0</v>
      </c>
      <c r="R656">
        <f t="shared" si="997"/>
        <v>0</v>
      </c>
      <c r="S656">
        <f t="shared" si="998"/>
        <v>0</v>
      </c>
      <c r="T656">
        <f t="shared" si="999"/>
        <v>0</v>
      </c>
    </row>
    <row r="657" spans="1:20" x14ac:dyDescent="0.25">
      <c r="A657" s="5"/>
      <c r="C657"/>
      <c r="D657"/>
      <c r="P657">
        <f t="shared" si="995"/>
        <v>0</v>
      </c>
      <c r="Q657">
        <f t="shared" si="996"/>
        <v>0</v>
      </c>
      <c r="R657">
        <f t="shared" si="997"/>
        <v>0</v>
      </c>
      <c r="S657">
        <f t="shared" si="998"/>
        <v>0</v>
      </c>
      <c r="T657">
        <f t="shared" si="999"/>
        <v>0</v>
      </c>
    </row>
    <row r="658" spans="1:20" x14ac:dyDescent="0.25">
      <c r="A658" s="5"/>
      <c r="C658"/>
      <c r="D658"/>
      <c r="P658">
        <f t="shared" si="995"/>
        <v>0</v>
      </c>
      <c r="Q658">
        <f t="shared" si="996"/>
        <v>0</v>
      </c>
      <c r="R658">
        <f t="shared" si="997"/>
        <v>0</v>
      </c>
      <c r="S658">
        <f t="shared" si="998"/>
        <v>0</v>
      </c>
      <c r="T658">
        <f t="shared" si="999"/>
        <v>0</v>
      </c>
    </row>
    <row r="659" spans="1:20" x14ac:dyDescent="0.25">
      <c r="A659" s="5"/>
      <c r="C659"/>
      <c r="D659"/>
      <c r="P659">
        <f t="shared" si="995"/>
        <v>0</v>
      </c>
      <c r="Q659">
        <f t="shared" si="996"/>
        <v>0</v>
      </c>
      <c r="R659">
        <f t="shared" si="997"/>
        <v>0</v>
      </c>
      <c r="S659">
        <f t="shared" si="998"/>
        <v>0</v>
      </c>
      <c r="T659">
        <f t="shared" si="999"/>
        <v>0</v>
      </c>
    </row>
    <row r="660" spans="1:20" x14ac:dyDescent="0.25">
      <c r="A660" s="5"/>
      <c r="C660"/>
      <c r="D660"/>
      <c r="P660">
        <f t="shared" si="995"/>
        <v>0</v>
      </c>
      <c r="Q660">
        <f t="shared" si="996"/>
        <v>0</v>
      </c>
      <c r="R660">
        <f t="shared" si="997"/>
        <v>0</v>
      </c>
      <c r="S660">
        <f t="shared" si="998"/>
        <v>0</v>
      </c>
      <c r="T660">
        <f t="shared" si="999"/>
        <v>0</v>
      </c>
    </row>
    <row r="661" spans="1:20" x14ac:dyDescent="0.25">
      <c r="A661" s="5"/>
      <c r="P661">
        <f t="shared" si="995"/>
        <v>0</v>
      </c>
      <c r="Q661">
        <f t="shared" si="996"/>
        <v>0</v>
      </c>
      <c r="R661">
        <f t="shared" si="997"/>
        <v>0</v>
      </c>
      <c r="S661">
        <f t="shared" si="998"/>
        <v>0</v>
      </c>
      <c r="T661">
        <f t="shared" si="999"/>
        <v>0</v>
      </c>
    </row>
    <row r="662" spans="1:20" x14ac:dyDescent="0.25">
      <c r="A662" s="5"/>
      <c r="P662">
        <f t="shared" si="995"/>
        <v>0</v>
      </c>
      <c r="Q662">
        <f t="shared" si="996"/>
        <v>0</v>
      </c>
      <c r="R662">
        <f t="shared" si="997"/>
        <v>0</v>
      </c>
      <c r="S662">
        <f t="shared" si="998"/>
        <v>0</v>
      </c>
      <c r="T662">
        <f t="shared" si="999"/>
        <v>0</v>
      </c>
    </row>
    <row r="663" spans="1:20" x14ac:dyDescent="0.25">
      <c r="A663" s="5"/>
      <c r="P663">
        <f t="shared" si="995"/>
        <v>0</v>
      </c>
      <c r="Q663">
        <f t="shared" si="996"/>
        <v>0</v>
      </c>
      <c r="R663">
        <f t="shared" si="997"/>
        <v>0</v>
      </c>
      <c r="S663">
        <f t="shared" si="998"/>
        <v>0</v>
      </c>
      <c r="T663">
        <f t="shared" si="999"/>
        <v>0</v>
      </c>
    </row>
    <row r="664" spans="1:20" x14ac:dyDescent="0.25">
      <c r="A664" s="5"/>
      <c r="C664" s="4"/>
      <c r="D664" s="4"/>
      <c r="P664">
        <f t="shared" si="995"/>
        <v>0</v>
      </c>
      <c r="Q664">
        <f t="shared" si="996"/>
        <v>0</v>
      </c>
      <c r="R664">
        <f t="shared" si="997"/>
        <v>0</v>
      </c>
      <c r="S664">
        <f t="shared" si="998"/>
        <v>0</v>
      </c>
      <c r="T664">
        <f t="shared" si="999"/>
        <v>0</v>
      </c>
    </row>
    <row r="665" spans="1:20" x14ac:dyDescent="0.25">
      <c r="A665" s="5"/>
      <c r="C665" s="4"/>
      <c r="D665" s="4"/>
      <c r="P665">
        <f t="shared" si="995"/>
        <v>0</v>
      </c>
      <c r="Q665">
        <f t="shared" si="996"/>
        <v>0</v>
      </c>
      <c r="R665">
        <f t="shared" si="997"/>
        <v>0</v>
      </c>
      <c r="S665">
        <f t="shared" si="998"/>
        <v>0</v>
      </c>
      <c r="T665">
        <f t="shared" si="999"/>
        <v>0</v>
      </c>
    </row>
    <row r="666" spans="1:20" x14ac:dyDescent="0.25">
      <c r="A666" s="5"/>
      <c r="C666" s="4"/>
      <c r="D666" s="4"/>
      <c r="P666">
        <f t="shared" si="995"/>
        <v>0</v>
      </c>
      <c r="Q666">
        <f t="shared" si="996"/>
        <v>0</v>
      </c>
      <c r="R666">
        <f t="shared" si="997"/>
        <v>0</v>
      </c>
      <c r="S666">
        <f t="shared" si="998"/>
        <v>0</v>
      </c>
      <c r="T666">
        <f t="shared" si="999"/>
        <v>0</v>
      </c>
    </row>
    <row r="667" spans="1:20" x14ac:dyDescent="0.25">
      <c r="A667" s="5"/>
      <c r="C667" s="4"/>
      <c r="D667" s="4"/>
      <c r="P667">
        <f t="shared" si="995"/>
        <v>0</v>
      </c>
      <c r="Q667">
        <f t="shared" si="996"/>
        <v>0</v>
      </c>
      <c r="R667">
        <f t="shared" si="997"/>
        <v>0</v>
      </c>
      <c r="S667">
        <f t="shared" si="998"/>
        <v>0</v>
      </c>
      <c r="T667">
        <f t="shared" si="999"/>
        <v>0</v>
      </c>
    </row>
    <row r="668" spans="1:20" x14ac:dyDescent="0.25">
      <c r="A668" s="5"/>
      <c r="C668" s="4"/>
      <c r="D668" s="4"/>
      <c r="P668">
        <f t="shared" si="995"/>
        <v>0</v>
      </c>
      <c r="Q668">
        <f t="shared" si="996"/>
        <v>0</v>
      </c>
      <c r="R668">
        <f t="shared" si="997"/>
        <v>0</v>
      </c>
      <c r="S668">
        <f t="shared" si="998"/>
        <v>0</v>
      </c>
      <c r="T668">
        <f t="shared" si="999"/>
        <v>0</v>
      </c>
    </row>
    <row r="669" spans="1:20" x14ac:dyDescent="0.25">
      <c r="A669" s="5"/>
      <c r="C669" s="4"/>
      <c r="D669" s="4"/>
      <c r="P669">
        <f t="shared" si="995"/>
        <v>0</v>
      </c>
      <c r="Q669">
        <f t="shared" si="996"/>
        <v>0</v>
      </c>
      <c r="R669">
        <f t="shared" si="997"/>
        <v>0</v>
      </c>
      <c r="S669">
        <f t="shared" si="998"/>
        <v>0</v>
      </c>
      <c r="T669">
        <f t="shared" si="999"/>
        <v>0</v>
      </c>
    </row>
    <row r="670" spans="1:20" x14ac:dyDescent="0.25">
      <c r="A670" s="5"/>
      <c r="C670" s="4"/>
      <c r="D670" s="4"/>
      <c r="P670">
        <f t="shared" si="995"/>
        <v>0</v>
      </c>
      <c r="Q670">
        <f t="shared" si="996"/>
        <v>0</v>
      </c>
      <c r="R670">
        <f t="shared" si="997"/>
        <v>0</v>
      </c>
      <c r="S670">
        <f t="shared" si="998"/>
        <v>0</v>
      </c>
      <c r="T670">
        <f t="shared" si="999"/>
        <v>0</v>
      </c>
    </row>
    <row r="671" spans="1:20" x14ac:dyDescent="0.25">
      <c r="A671" s="5"/>
      <c r="C671" s="4"/>
      <c r="D671" s="4"/>
      <c r="P671">
        <f t="shared" si="995"/>
        <v>0</v>
      </c>
      <c r="Q671">
        <f t="shared" si="996"/>
        <v>0</v>
      </c>
      <c r="R671">
        <f t="shared" si="997"/>
        <v>0</v>
      </c>
      <c r="S671">
        <f t="shared" si="998"/>
        <v>0</v>
      </c>
      <c r="T671">
        <f t="shared" si="999"/>
        <v>0</v>
      </c>
    </row>
    <row r="672" spans="1:20" x14ac:dyDescent="0.25">
      <c r="A672" s="5"/>
      <c r="C672" s="4"/>
      <c r="D672" s="4"/>
      <c r="P672">
        <f t="shared" si="995"/>
        <v>0</v>
      </c>
      <c r="Q672">
        <f t="shared" si="996"/>
        <v>0</v>
      </c>
      <c r="R672">
        <f t="shared" si="997"/>
        <v>0</v>
      </c>
      <c r="S672">
        <f t="shared" si="998"/>
        <v>0</v>
      </c>
      <c r="T672">
        <f t="shared" si="999"/>
        <v>0</v>
      </c>
    </row>
    <row r="673" spans="1:20" x14ac:dyDescent="0.25">
      <c r="A673" s="5"/>
      <c r="C673" s="4"/>
      <c r="D673" s="4"/>
      <c r="P673">
        <f t="shared" si="995"/>
        <v>0</v>
      </c>
      <c r="Q673">
        <f t="shared" si="996"/>
        <v>0</v>
      </c>
      <c r="R673">
        <f t="shared" si="997"/>
        <v>0</v>
      </c>
      <c r="S673">
        <f t="shared" si="998"/>
        <v>0</v>
      </c>
      <c r="T673">
        <f t="shared" si="999"/>
        <v>0</v>
      </c>
    </row>
    <row r="674" spans="1:20" x14ac:dyDescent="0.25">
      <c r="A674" s="5"/>
      <c r="C674" s="4"/>
      <c r="D674" s="4"/>
      <c r="P674">
        <f t="shared" si="995"/>
        <v>0</v>
      </c>
      <c r="Q674">
        <f t="shared" si="996"/>
        <v>0</v>
      </c>
      <c r="R674">
        <f t="shared" si="997"/>
        <v>0</v>
      </c>
      <c r="S674">
        <f t="shared" si="998"/>
        <v>0</v>
      </c>
      <c r="T674">
        <f t="shared" si="999"/>
        <v>0</v>
      </c>
    </row>
    <row r="675" spans="1:20" x14ac:dyDescent="0.25">
      <c r="A675" s="5"/>
      <c r="C675" s="4"/>
      <c r="D675" s="4"/>
      <c r="P675">
        <f t="shared" si="995"/>
        <v>0</v>
      </c>
      <c r="Q675">
        <f t="shared" si="996"/>
        <v>0</v>
      </c>
      <c r="R675">
        <f t="shared" si="997"/>
        <v>0</v>
      </c>
      <c r="S675">
        <f t="shared" si="998"/>
        <v>0</v>
      </c>
      <c r="T675">
        <f t="shared" si="999"/>
        <v>0</v>
      </c>
    </row>
    <row r="676" spans="1:20" x14ac:dyDescent="0.25">
      <c r="A676" s="5"/>
      <c r="C676" s="4"/>
      <c r="D676" s="4"/>
      <c r="P676">
        <f t="shared" si="995"/>
        <v>0</v>
      </c>
      <c r="Q676">
        <f t="shared" si="996"/>
        <v>0</v>
      </c>
      <c r="R676">
        <f t="shared" si="997"/>
        <v>0</v>
      </c>
      <c r="S676">
        <f t="shared" si="998"/>
        <v>0</v>
      </c>
      <c r="T676">
        <f t="shared" si="999"/>
        <v>0</v>
      </c>
    </row>
    <row r="677" spans="1:20" x14ac:dyDescent="0.25">
      <c r="A677" s="5"/>
      <c r="C677" s="4"/>
      <c r="D677" s="4"/>
      <c r="P677">
        <f t="shared" si="995"/>
        <v>0</v>
      </c>
      <c r="Q677">
        <f t="shared" si="996"/>
        <v>0</v>
      </c>
      <c r="R677">
        <f t="shared" si="997"/>
        <v>0</v>
      </c>
      <c r="S677">
        <f t="shared" si="998"/>
        <v>0</v>
      </c>
      <c r="T677">
        <f t="shared" si="999"/>
        <v>0</v>
      </c>
    </row>
    <row r="678" spans="1:20" x14ac:dyDescent="0.25">
      <c r="A678" s="5"/>
      <c r="C678" s="4"/>
      <c r="D678" s="4"/>
      <c r="P678">
        <f t="shared" si="995"/>
        <v>0</v>
      </c>
      <c r="Q678">
        <f t="shared" si="996"/>
        <v>0</v>
      </c>
      <c r="R678">
        <f t="shared" si="997"/>
        <v>0</v>
      </c>
      <c r="S678">
        <f t="shared" si="998"/>
        <v>0</v>
      </c>
      <c r="T678">
        <f t="shared" si="999"/>
        <v>0</v>
      </c>
    </row>
    <row r="679" spans="1:20" x14ac:dyDescent="0.25">
      <c r="A679" s="5"/>
      <c r="C679" s="4"/>
      <c r="D679" s="4"/>
      <c r="P679">
        <f t="shared" si="995"/>
        <v>0</v>
      </c>
      <c r="Q679">
        <f t="shared" si="996"/>
        <v>0</v>
      </c>
      <c r="R679">
        <f t="shared" si="997"/>
        <v>0</v>
      </c>
      <c r="S679">
        <f t="shared" si="998"/>
        <v>0</v>
      </c>
      <c r="T679">
        <f t="shared" si="999"/>
        <v>0</v>
      </c>
    </row>
    <row r="680" spans="1:20" x14ac:dyDescent="0.25">
      <c r="A680" s="5"/>
      <c r="C680" s="4"/>
      <c r="D680" s="4"/>
      <c r="P680">
        <f t="shared" si="995"/>
        <v>0</v>
      </c>
      <c r="Q680">
        <f t="shared" si="996"/>
        <v>0</v>
      </c>
      <c r="R680">
        <f t="shared" si="997"/>
        <v>0</v>
      </c>
      <c r="S680">
        <f t="shared" si="998"/>
        <v>0</v>
      </c>
      <c r="T680">
        <f t="shared" si="999"/>
        <v>0</v>
      </c>
    </row>
    <row r="681" spans="1:20" x14ac:dyDescent="0.25">
      <c r="A681" s="5"/>
      <c r="C681" s="4"/>
      <c r="D681" s="4"/>
      <c r="P681">
        <f t="shared" si="995"/>
        <v>0</v>
      </c>
      <c r="Q681">
        <f t="shared" si="996"/>
        <v>0</v>
      </c>
      <c r="R681">
        <f t="shared" si="997"/>
        <v>0</v>
      </c>
      <c r="S681">
        <f t="shared" si="998"/>
        <v>0</v>
      </c>
      <c r="T681">
        <f t="shared" si="999"/>
        <v>0</v>
      </c>
    </row>
    <row r="682" spans="1:20" x14ac:dyDescent="0.25">
      <c r="A682" s="5"/>
      <c r="C682" s="4"/>
      <c r="D682" s="4"/>
      <c r="P682">
        <f t="shared" si="995"/>
        <v>0</v>
      </c>
      <c r="Q682">
        <f t="shared" si="996"/>
        <v>0</v>
      </c>
      <c r="R682">
        <f t="shared" si="997"/>
        <v>0</v>
      </c>
      <c r="S682">
        <f t="shared" si="998"/>
        <v>0</v>
      </c>
      <c r="T682">
        <f t="shared" si="999"/>
        <v>0</v>
      </c>
    </row>
    <row r="683" spans="1:20" x14ac:dyDescent="0.25">
      <c r="A683" s="5"/>
      <c r="C683" s="4"/>
      <c r="D683" s="4"/>
      <c r="P683">
        <f t="shared" si="995"/>
        <v>0</v>
      </c>
      <c r="Q683">
        <f t="shared" si="996"/>
        <v>0</v>
      </c>
      <c r="R683">
        <f t="shared" si="997"/>
        <v>0</v>
      </c>
      <c r="S683">
        <f t="shared" si="998"/>
        <v>0</v>
      </c>
      <c r="T683">
        <f t="shared" si="999"/>
        <v>0</v>
      </c>
    </row>
    <row r="684" spans="1:20" x14ac:dyDescent="0.25">
      <c r="A684" s="5"/>
      <c r="C684" s="4"/>
      <c r="D684" s="4"/>
      <c r="P684">
        <f t="shared" si="995"/>
        <v>0</v>
      </c>
      <c r="Q684">
        <f t="shared" si="996"/>
        <v>0</v>
      </c>
      <c r="R684">
        <f t="shared" si="997"/>
        <v>0</v>
      </c>
      <c r="S684">
        <f t="shared" si="998"/>
        <v>0</v>
      </c>
      <c r="T684">
        <f t="shared" si="999"/>
        <v>0</v>
      </c>
    </row>
    <row r="685" spans="1:20" x14ac:dyDescent="0.25">
      <c r="A685" s="5"/>
      <c r="C685" s="4"/>
      <c r="D685" s="4"/>
      <c r="P685">
        <f t="shared" si="995"/>
        <v>0</v>
      </c>
      <c r="Q685">
        <f t="shared" si="996"/>
        <v>0</v>
      </c>
      <c r="R685">
        <f t="shared" si="997"/>
        <v>0</v>
      </c>
      <c r="S685">
        <f t="shared" si="998"/>
        <v>0</v>
      </c>
      <c r="T685">
        <f t="shared" si="999"/>
        <v>0</v>
      </c>
    </row>
    <row r="686" spans="1:20" x14ac:dyDescent="0.25">
      <c r="A686" s="5"/>
      <c r="C686" s="4"/>
      <c r="D686" s="4"/>
      <c r="P686">
        <f t="shared" si="995"/>
        <v>0</v>
      </c>
      <c r="Q686">
        <f t="shared" si="996"/>
        <v>0</v>
      </c>
      <c r="R686">
        <f t="shared" si="997"/>
        <v>0</v>
      </c>
      <c r="S686">
        <f t="shared" si="998"/>
        <v>0</v>
      </c>
      <c r="T686">
        <f t="shared" si="999"/>
        <v>0</v>
      </c>
    </row>
    <row r="687" spans="1:20" x14ac:dyDescent="0.25">
      <c r="A687" s="5"/>
      <c r="C687" s="4"/>
      <c r="D687" s="4"/>
      <c r="P687">
        <f t="shared" si="995"/>
        <v>0</v>
      </c>
      <c r="Q687">
        <f t="shared" si="996"/>
        <v>0</v>
      </c>
      <c r="R687">
        <f t="shared" si="997"/>
        <v>0</v>
      </c>
      <c r="S687">
        <f t="shared" si="998"/>
        <v>0</v>
      </c>
      <c r="T687">
        <f t="shared" si="999"/>
        <v>0</v>
      </c>
    </row>
    <row r="688" spans="1:20" x14ac:dyDescent="0.25">
      <c r="A688" s="5"/>
      <c r="C688" s="4"/>
      <c r="D688" s="4"/>
      <c r="P688">
        <f t="shared" si="995"/>
        <v>0</v>
      </c>
      <c r="Q688">
        <f t="shared" si="996"/>
        <v>0</v>
      </c>
      <c r="R688">
        <f t="shared" si="997"/>
        <v>0</v>
      </c>
      <c r="S688">
        <f t="shared" si="998"/>
        <v>0</v>
      </c>
      <c r="T688">
        <f t="shared" si="999"/>
        <v>0</v>
      </c>
    </row>
    <row r="689" spans="1:20" x14ac:dyDescent="0.25">
      <c r="A689" s="5"/>
      <c r="C689" s="4"/>
      <c r="D689" s="4"/>
      <c r="P689">
        <f t="shared" si="995"/>
        <v>0</v>
      </c>
      <c r="Q689">
        <f t="shared" si="996"/>
        <v>0</v>
      </c>
      <c r="R689">
        <f t="shared" si="997"/>
        <v>0</v>
      </c>
      <c r="S689">
        <f t="shared" si="998"/>
        <v>0</v>
      </c>
      <c r="T689">
        <f t="shared" si="999"/>
        <v>0</v>
      </c>
    </row>
    <row r="690" spans="1:20" x14ac:dyDescent="0.25">
      <c r="A690" s="5"/>
      <c r="C690" s="4"/>
      <c r="D690" s="4"/>
      <c r="P690">
        <f t="shared" si="995"/>
        <v>0</v>
      </c>
      <c r="Q690">
        <f t="shared" si="996"/>
        <v>0</v>
      </c>
      <c r="R690">
        <f t="shared" si="997"/>
        <v>0</v>
      </c>
      <c r="S690">
        <f t="shared" si="998"/>
        <v>0</v>
      </c>
      <c r="T690">
        <f t="shared" si="999"/>
        <v>0</v>
      </c>
    </row>
    <row r="691" spans="1:20" x14ac:dyDescent="0.25">
      <c r="A691" s="5"/>
      <c r="C691" s="4"/>
      <c r="D691" s="4"/>
      <c r="P691">
        <f t="shared" si="995"/>
        <v>0</v>
      </c>
      <c r="Q691">
        <f t="shared" si="996"/>
        <v>0</v>
      </c>
      <c r="R691">
        <f t="shared" si="997"/>
        <v>0</v>
      </c>
      <c r="S691">
        <f t="shared" si="998"/>
        <v>0</v>
      </c>
      <c r="T691">
        <f t="shared" si="999"/>
        <v>0</v>
      </c>
    </row>
    <row r="692" spans="1:20" x14ac:dyDescent="0.25">
      <c r="A692" s="5"/>
      <c r="C692" s="4"/>
      <c r="D692" s="4"/>
      <c r="P692">
        <f t="shared" si="995"/>
        <v>0</v>
      </c>
      <c r="Q692">
        <f t="shared" si="996"/>
        <v>0</v>
      </c>
      <c r="R692">
        <f t="shared" si="997"/>
        <v>0</v>
      </c>
      <c r="S692">
        <f t="shared" si="998"/>
        <v>0</v>
      </c>
      <c r="T692">
        <f t="shared" si="999"/>
        <v>0</v>
      </c>
    </row>
    <row r="693" spans="1:20" x14ac:dyDescent="0.25">
      <c r="A693" s="5"/>
      <c r="C693" s="4"/>
      <c r="D693" s="4"/>
      <c r="P693">
        <f t="shared" si="995"/>
        <v>0</v>
      </c>
      <c r="Q693">
        <f t="shared" si="996"/>
        <v>0</v>
      </c>
      <c r="R693">
        <f t="shared" si="997"/>
        <v>0</v>
      </c>
      <c r="S693">
        <f t="shared" si="998"/>
        <v>0</v>
      </c>
      <c r="T693">
        <f t="shared" si="999"/>
        <v>0</v>
      </c>
    </row>
    <row r="694" spans="1:20" x14ac:dyDescent="0.25">
      <c r="A694" s="5"/>
      <c r="C694" s="4"/>
      <c r="D694" s="4"/>
      <c r="P694">
        <f t="shared" si="995"/>
        <v>0</v>
      </c>
      <c r="Q694">
        <f t="shared" si="996"/>
        <v>0</v>
      </c>
      <c r="R694">
        <f t="shared" si="997"/>
        <v>0</v>
      </c>
      <c r="S694">
        <f t="shared" si="998"/>
        <v>0</v>
      </c>
      <c r="T694">
        <f t="shared" si="999"/>
        <v>0</v>
      </c>
    </row>
    <row r="695" spans="1:20" x14ac:dyDescent="0.25">
      <c r="A695" s="5"/>
      <c r="C695" s="4"/>
      <c r="D695" s="4"/>
      <c r="P695">
        <f t="shared" si="995"/>
        <v>0</v>
      </c>
      <c r="Q695">
        <f t="shared" si="996"/>
        <v>0</v>
      </c>
      <c r="R695">
        <f t="shared" si="997"/>
        <v>0</v>
      </c>
      <c r="S695">
        <f t="shared" si="998"/>
        <v>0</v>
      </c>
      <c r="T695">
        <f t="shared" si="999"/>
        <v>0</v>
      </c>
    </row>
    <row r="696" spans="1:20" x14ac:dyDescent="0.25">
      <c r="A696" s="5"/>
      <c r="C696" s="4"/>
      <c r="D696" s="4"/>
      <c r="P696">
        <f t="shared" si="995"/>
        <v>0</v>
      </c>
      <c r="Q696">
        <f t="shared" si="996"/>
        <v>0</v>
      </c>
      <c r="R696">
        <f t="shared" si="997"/>
        <v>0</v>
      </c>
      <c r="S696">
        <f t="shared" si="998"/>
        <v>0</v>
      </c>
      <c r="T696">
        <f t="shared" si="999"/>
        <v>0</v>
      </c>
    </row>
    <row r="697" spans="1:20" x14ac:dyDescent="0.25">
      <c r="A697" s="5"/>
      <c r="C697" s="4"/>
      <c r="D697" s="4"/>
      <c r="P697">
        <f t="shared" si="995"/>
        <v>0</v>
      </c>
      <c r="Q697">
        <f t="shared" si="996"/>
        <v>0</v>
      </c>
      <c r="R697">
        <f t="shared" si="997"/>
        <v>0</v>
      </c>
      <c r="S697">
        <f t="shared" si="998"/>
        <v>0</v>
      </c>
      <c r="T697">
        <f t="shared" si="999"/>
        <v>0</v>
      </c>
    </row>
    <row r="698" spans="1:20" x14ac:dyDescent="0.25">
      <c r="A698" s="5"/>
      <c r="C698" s="4"/>
      <c r="D698" s="4"/>
      <c r="P698">
        <f t="shared" si="995"/>
        <v>0</v>
      </c>
      <c r="Q698">
        <f t="shared" si="996"/>
        <v>0</v>
      </c>
      <c r="R698">
        <f t="shared" si="997"/>
        <v>0</v>
      </c>
      <c r="S698">
        <f t="shared" si="998"/>
        <v>0</v>
      </c>
      <c r="T698">
        <f t="shared" si="999"/>
        <v>0</v>
      </c>
    </row>
    <row r="699" spans="1:20" x14ac:dyDescent="0.25">
      <c r="A699" s="5"/>
      <c r="C699" s="4"/>
      <c r="D699" s="4"/>
      <c r="P699">
        <f t="shared" si="995"/>
        <v>0</v>
      </c>
      <c r="Q699">
        <f t="shared" si="996"/>
        <v>0</v>
      </c>
      <c r="R699">
        <f t="shared" si="997"/>
        <v>0</v>
      </c>
      <c r="S699">
        <f t="shared" si="998"/>
        <v>0</v>
      </c>
      <c r="T699">
        <f t="shared" si="999"/>
        <v>0</v>
      </c>
    </row>
    <row r="700" spans="1:20" x14ac:dyDescent="0.25">
      <c r="A700" s="5"/>
      <c r="C700" s="4"/>
      <c r="D700" s="4"/>
      <c r="P700">
        <f t="shared" si="995"/>
        <v>0</v>
      </c>
      <c r="Q700">
        <f t="shared" si="996"/>
        <v>0</v>
      </c>
      <c r="R700">
        <f t="shared" si="997"/>
        <v>0</v>
      </c>
      <c r="S700">
        <f t="shared" si="998"/>
        <v>0</v>
      </c>
      <c r="T700">
        <f t="shared" si="999"/>
        <v>0</v>
      </c>
    </row>
    <row r="701" spans="1:20" x14ac:dyDescent="0.25">
      <c r="A701" s="5"/>
      <c r="C701" s="4"/>
      <c r="D701" s="4"/>
      <c r="P701">
        <f t="shared" si="995"/>
        <v>0</v>
      </c>
      <c r="Q701">
        <f t="shared" si="996"/>
        <v>0</v>
      </c>
      <c r="R701">
        <f t="shared" si="997"/>
        <v>0</v>
      </c>
      <c r="S701">
        <f t="shared" si="998"/>
        <v>0</v>
      </c>
      <c r="T701">
        <f t="shared" si="999"/>
        <v>0</v>
      </c>
    </row>
    <row r="702" spans="1:20" x14ac:dyDescent="0.25">
      <c r="A702" s="5"/>
      <c r="C702" s="4"/>
      <c r="D702" s="4"/>
      <c r="P702">
        <f t="shared" si="995"/>
        <v>0</v>
      </c>
      <c r="Q702">
        <f t="shared" si="996"/>
        <v>0</v>
      </c>
      <c r="R702">
        <f t="shared" si="997"/>
        <v>0</v>
      </c>
      <c r="S702">
        <f t="shared" si="998"/>
        <v>0</v>
      </c>
      <c r="T702">
        <f t="shared" si="999"/>
        <v>0</v>
      </c>
    </row>
    <row r="703" spans="1:20" x14ac:dyDescent="0.25">
      <c r="A703" s="5"/>
      <c r="C703" s="4"/>
      <c r="D703" s="4"/>
      <c r="P703">
        <f t="shared" si="995"/>
        <v>0</v>
      </c>
      <c r="Q703">
        <f t="shared" si="996"/>
        <v>0</v>
      </c>
      <c r="R703">
        <f t="shared" si="997"/>
        <v>0</v>
      </c>
      <c r="S703">
        <f t="shared" si="998"/>
        <v>0</v>
      </c>
      <c r="T703">
        <f t="shared" si="999"/>
        <v>0</v>
      </c>
    </row>
    <row r="704" spans="1:20" x14ac:dyDescent="0.25">
      <c r="A704" s="5"/>
      <c r="C704" s="4"/>
      <c r="D704" s="4"/>
      <c r="P704">
        <f t="shared" si="995"/>
        <v>0</v>
      </c>
      <c r="Q704">
        <f t="shared" si="996"/>
        <v>0</v>
      </c>
      <c r="R704">
        <f t="shared" si="997"/>
        <v>0</v>
      </c>
      <c r="S704">
        <f t="shared" si="998"/>
        <v>0</v>
      </c>
      <c r="T704">
        <f t="shared" si="999"/>
        <v>0</v>
      </c>
    </row>
    <row r="705" spans="1:20" x14ac:dyDescent="0.25">
      <c r="A705" s="5"/>
      <c r="C705" s="4"/>
      <c r="D705" s="4"/>
      <c r="P705">
        <f t="shared" si="995"/>
        <v>0</v>
      </c>
      <c r="Q705">
        <f t="shared" si="996"/>
        <v>0</v>
      </c>
      <c r="R705">
        <f t="shared" si="997"/>
        <v>0</v>
      </c>
      <c r="S705">
        <f t="shared" si="998"/>
        <v>0</v>
      </c>
      <c r="T705">
        <f t="shared" si="999"/>
        <v>0</v>
      </c>
    </row>
    <row r="706" spans="1:20" x14ac:dyDescent="0.25">
      <c r="A706" s="5"/>
      <c r="C706" s="4"/>
      <c r="D706" s="4"/>
      <c r="P706">
        <f t="shared" si="995"/>
        <v>0</v>
      </c>
      <c r="Q706">
        <f t="shared" si="996"/>
        <v>0</v>
      </c>
      <c r="R706">
        <f t="shared" si="997"/>
        <v>0</v>
      </c>
      <c r="S706">
        <f t="shared" si="998"/>
        <v>0</v>
      </c>
      <c r="T706">
        <f t="shared" si="999"/>
        <v>0</v>
      </c>
    </row>
    <row r="707" spans="1:20" x14ac:dyDescent="0.25">
      <c r="A707" s="5"/>
      <c r="C707" s="4"/>
      <c r="D707" s="4"/>
      <c r="P707">
        <f t="shared" si="995"/>
        <v>0</v>
      </c>
      <c r="Q707">
        <f t="shared" si="996"/>
        <v>0</v>
      </c>
      <c r="R707">
        <f t="shared" si="997"/>
        <v>0</v>
      </c>
      <c r="S707">
        <f t="shared" si="998"/>
        <v>0</v>
      </c>
      <c r="T707">
        <f t="shared" si="999"/>
        <v>0</v>
      </c>
    </row>
    <row r="708" spans="1:20" x14ac:dyDescent="0.25">
      <c r="A708" s="5"/>
      <c r="C708" s="4"/>
      <c r="D708" s="4"/>
      <c r="P708">
        <f t="shared" si="995"/>
        <v>0</v>
      </c>
      <c r="Q708">
        <f t="shared" si="996"/>
        <v>0</v>
      </c>
      <c r="R708">
        <f t="shared" si="997"/>
        <v>0</v>
      </c>
      <c r="S708">
        <f t="shared" si="998"/>
        <v>0</v>
      </c>
      <c r="T708">
        <f t="shared" si="999"/>
        <v>0</v>
      </c>
    </row>
    <row r="709" spans="1:20" x14ac:dyDescent="0.25">
      <c r="A709" s="5"/>
      <c r="C709" s="4"/>
      <c r="D709" s="4"/>
      <c r="P709">
        <f t="shared" si="995"/>
        <v>0</v>
      </c>
      <c r="Q709">
        <f t="shared" si="996"/>
        <v>0</v>
      </c>
      <c r="R709">
        <f t="shared" si="997"/>
        <v>0</v>
      </c>
      <c r="S709">
        <f t="shared" si="998"/>
        <v>0</v>
      </c>
      <c r="T709">
        <f t="shared" si="999"/>
        <v>0</v>
      </c>
    </row>
    <row r="710" spans="1:20" x14ac:dyDescent="0.25">
      <c r="A710" s="5"/>
      <c r="C710" s="4"/>
      <c r="D710" s="4"/>
      <c r="P710">
        <f t="shared" ref="P710:P766" si="1000">IF(C710=D710,0,((E710-D710)-(C710-E710))/(C710-D710))</f>
        <v>0</v>
      </c>
      <c r="Q710">
        <f t="shared" ref="Q710:Q766" si="1001">F710*P710</f>
        <v>0</v>
      </c>
      <c r="R710">
        <f t="shared" ref="R710:R766" si="1002">R711+Q710</f>
        <v>0</v>
      </c>
      <c r="S710">
        <f t="shared" ref="S710:S766" si="1003">R710/100000</f>
        <v>0</v>
      </c>
      <c r="T710">
        <f t="shared" ref="T710:T766" si="1004">S710/1000</f>
        <v>0</v>
      </c>
    </row>
    <row r="711" spans="1:20" x14ac:dyDescent="0.25">
      <c r="A711" s="5"/>
      <c r="C711" s="4"/>
      <c r="D711" s="4"/>
      <c r="P711">
        <f t="shared" si="1000"/>
        <v>0</v>
      </c>
      <c r="Q711">
        <f t="shared" si="1001"/>
        <v>0</v>
      </c>
      <c r="R711">
        <f t="shared" si="1002"/>
        <v>0</v>
      </c>
      <c r="S711">
        <f t="shared" si="1003"/>
        <v>0</v>
      </c>
      <c r="T711">
        <f t="shared" si="1004"/>
        <v>0</v>
      </c>
    </row>
    <row r="712" spans="1:20" x14ac:dyDescent="0.25">
      <c r="A712" s="5"/>
      <c r="C712" s="4"/>
      <c r="D712" s="4"/>
      <c r="P712">
        <f t="shared" si="1000"/>
        <v>0</v>
      </c>
      <c r="Q712">
        <f t="shared" si="1001"/>
        <v>0</v>
      </c>
      <c r="R712">
        <f t="shared" si="1002"/>
        <v>0</v>
      </c>
      <c r="S712">
        <f t="shared" si="1003"/>
        <v>0</v>
      </c>
      <c r="T712">
        <f t="shared" si="1004"/>
        <v>0</v>
      </c>
    </row>
    <row r="713" spans="1:20" x14ac:dyDescent="0.25">
      <c r="A713" s="5"/>
      <c r="C713" s="4"/>
      <c r="D713" s="4"/>
      <c r="P713">
        <f t="shared" si="1000"/>
        <v>0</v>
      </c>
      <c r="Q713">
        <f t="shared" si="1001"/>
        <v>0</v>
      </c>
      <c r="R713">
        <f t="shared" si="1002"/>
        <v>0</v>
      </c>
      <c r="S713">
        <f t="shared" si="1003"/>
        <v>0</v>
      </c>
      <c r="T713">
        <f t="shared" si="1004"/>
        <v>0</v>
      </c>
    </row>
    <row r="714" spans="1:20" x14ac:dyDescent="0.25">
      <c r="A714" s="5"/>
      <c r="C714" s="4"/>
      <c r="D714" s="4"/>
      <c r="P714">
        <f t="shared" si="1000"/>
        <v>0</v>
      </c>
      <c r="Q714">
        <f t="shared" si="1001"/>
        <v>0</v>
      </c>
      <c r="R714">
        <f t="shared" si="1002"/>
        <v>0</v>
      </c>
      <c r="S714">
        <f t="shared" si="1003"/>
        <v>0</v>
      </c>
      <c r="T714">
        <f t="shared" si="1004"/>
        <v>0</v>
      </c>
    </row>
    <row r="715" spans="1:20" x14ac:dyDescent="0.25">
      <c r="A715" s="5"/>
      <c r="C715" s="4"/>
      <c r="D715" s="4"/>
      <c r="P715">
        <f t="shared" si="1000"/>
        <v>0</v>
      </c>
      <c r="Q715">
        <f t="shared" si="1001"/>
        <v>0</v>
      </c>
      <c r="R715">
        <f t="shared" si="1002"/>
        <v>0</v>
      </c>
      <c r="S715">
        <f t="shared" si="1003"/>
        <v>0</v>
      </c>
      <c r="T715">
        <f t="shared" si="1004"/>
        <v>0</v>
      </c>
    </row>
    <row r="716" spans="1:20" x14ac:dyDescent="0.25">
      <c r="A716" s="5"/>
      <c r="C716" s="4"/>
      <c r="D716" s="4"/>
      <c r="P716">
        <f t="shared" si="1000"/>
        <v>0</v>
      </c>
      <c r="Q716">
        <f t="shared" si="1001"/>
        <v>0</v>
      </c>
      <c r="R716">
        <f t="shared" si="1002"/>
        <v>0</v>
      </c>
      <c r="S716">
        <f t="shared" si="1003"/>
        <v>0</v>
      </c>
      <c r="T716">
        <f t="shared" si="1004"/>
        <v>0</v>
      </c>
    </row>
    <row r="717" spans="1:20" x14ac:dyDescent="0.25">
      <c r="A717" s="5"/>
      <c r="C717" s="4"/>
      <c r="D717" s="4"/>
      <c r="P717">
        <f t="shared" si="1000"/>
        <v>0</v>
      </c>
      <c r="Q717">
        <f t="shared" si="1001"/>
        <v>0</v>
      </c>
      <c r="R717">
        <f t="shared" si="1002"/>
        <v>0</v>
      </c>
      <c r="S717">
        <f t="shared" si="1003"/>
        <v>0</v>
      </c>
      <c r="T717">
        <f t="shared" si="1004"/>
        <v>0</v>
      </c>
    </row>
    <row r="718" spans="1:20" x14ac:dyDescent="0.25">
      <c r="A718" s="5"/>
      <c r="C718" s="4"/>
      <c r="D718" s="4"/>
      <c r="P718">
        <f t="shared" si="1000"/>
        <v>0</v>
      </c>
      <c r="Q718">
        <f t="shared" si="1001"/>
        <v>0</v>
      </c>
      <c r="R718">
        <f t="shared" si="1002"/>
        <v>0</v>
      </c>
      <c r="S718">
        <f t="shared" si="1003"/>
        <v>0</v>
      </c>
      <c r="T718">
        <f t="shared" si="1004"/>
        <v>0</v>
      </c>
    </row>
    <row r="719" spans="1:20" x14ac:dyDescent="0.25">
      <c r="A719" s="5"/>
      <c r="C719" s="4"/>
      <c r="D719" s="4"/>
      <c r="P719">
        <f t="shared" si="1000"/>
        <v>0</v>
      </c>
      <c r="Q719">
        <f t="shared" si="1001"/>
        <v>0</v>
      </c>
      <c r="R719">
        <f t="shared" si="1002"/>
        <v>0</v>
      </c>
      <c r="S719">
        <f t="shared" si="1003"/>
        <v>0</v>
      </c>
      <c r="T719">
        <f t="shared" si="1004"/>
        <v>0</v>
      </c>
    </row>
    <row r="720" spans="1:20" x14ac:dyDescent="0.25">
      <c r="A720" s="5"/>
      <c r="C720" s="4"/>
      <c r="D720" s="4"/>
      <c r="P720">
        <f t="shared" si="1000"/>
        <v>0</v>
      </c>
      <c r="Q720">
        <f t="shared" si="1001"/>
        <v>0</v>
      </c>
      <c r="R720">
        <f t="shared" si="1002"/>
        <v>0</v>
      </c>
      <c r="S720">
        <f t="shared" si="1003"/>
        <v>0</v>
      </c>
      <c r="T720">
        <f t="shared" si="1004"/>
        <v>0</v>
      </c>
    </row>
    <row r="721" spans="1:20" x14ac:dyDescent="0.25">
      <c r="A721" s="5"/>
      <c r="C721" s="4"/>
      <c r="D721" s="4"/>
      <c r="P721">
        <f t="shared" si="1000"/>
        <v>0</v>
      </c>
      <c r="Q721">
        <f t="shared" si="1001"/>
        <v>0</v>
      </c>
      <c r="R721">
        <f t="shared" si="1002"/>
        <v>0</v>
      </c>
      <c r="S721">
        <f t="shared" si="1003"/>
        <v>0</v>
      </c>
      <c r="T721">
        <f t="shared" si="1004"/>
        <v>0</v>
      </c>
    </row>
    <row r="722" spans="1:20" x14ac:dyDescent="0.25">
      <c r="A722" s="5"/>
      <c r="C722" s="4"/>
      <c r="D722" s="4"/>
      <c r="P722">
        <f t="shared" si="1000"/>
        <v>0</v>
      </c>
      <c r="Q722">
        <f t="shared" si="1001"/>
        <v>0</v>
      </c>
      <c r="R722">
        <f t="shared" si="1002"/>
        <v>0</v>
      </c>
      <c r="S722">
        <f t="shared" si="1003"/>
        <v>0</v>
      </c>
      <c r="T722">
        <f t="shared" si="1004"/>
        <v>0</v>
      </c>
    </row>
    <row r="723" spans="1:20" x14ac:dyDescent="0.25">
      <c r="A723" s="5"/>
      <c r="C723" s="4"/>
      <c r="D723" s="4"/>
      <c r="P723">
        <f t="shared" si="1000"/>
        <v>0</v>
      </c>
      <c r="Q723">
        <f t="shared" si="1001"/>
        <v>0</v>
      </c>
      <c r="R723">
        <f t="shared" si="1002"/>
        <v>0</v>
      </c>
      <c r="S723">
        <f t="shared" si="1003"/>
        <v>0</v>
      </c>
      <c r="T723">
        <f t="shared" si="1004"/>
        <v>0</v>
      </c>
    </row>
    <row r="724" spans="1:20" x14ac:dyDescent="0.25">
      <c r="A724" s="5"/>
      <c r="C724" s="4"/>
      <c r="D724" s="4"/>
      <c r="P724">
        <f t="shared" si="1000"/>
        <v>0</v>
      </c>
      <c r="Q724">
        <f t="shared" si="1001"/>
        <v>0</v>
      </c>
      <c r="R724">
        <f t="shared" si="1002"/>
        <v>0</v>
      </c>
      <c r="S724">
        <f t="shared" si="1003"/>
        <v>0</v>
      </c>
      <c r="T724">
        <f t="shared" si="1004"/>
        <v>0</v>
      </c>
    </row>
    <row r="725" spans="1:20" x14ac:dyDescent="0.25">
      <c r="A725" s="5"/>
      <c r="C725" s="4"/>
      <c r="D725" s="4"/>
      <c r="P725">
        <f t="shared" si="1000"/>
        <v>0</v>
      </c>
      <c r="Q725">
        <f t="shared" si="1001"/>
        <v>0</v>
      </c>
      <c r="R725">
        <f t="shared" si="1002"/>
        <v>0</v>
      </c>
      <c r="S725">
        <f t="shared" si="1003"/>
        <v>0</v>
      </c>
      <c r="T725">
        <f t="shared" si="1004"/>
        <v>0</v>
      </c>
    </row>
    <row r="726" spans="1:20" x14ac:dyDescent="0.25">
      <c r="A726" s="5"/>
      <c r="C726" s="4"/>
      <c r="D726" s="4"/>
      <c r="P726">
        <f t="shared" si="1000"/>
        <v>0</v>
      </c>
      <c r="Q726">
        <f t="shared" si="1001"/>
        <v>0</v>
      </c>
      <c r="R726">
        <f t="shared" si="1002"/>
        <v>0</v>
      </c>
      <c r="S726">
        <f t="shared" si="1003"/>
        <v>0</v>
      </c>
      <c r="T726">
        <f t="shared" si="1004"/>
        <v>0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N463" sqref="IN46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$A$462</v>
      </c>
      <c r="D111" s="1" t="str">
        <f>ADDRESS(C121-1,D121,1,1)</f>
        <v>$IN$462</v>
      </c>
      <c r="E111"/>
    </row>
    <row r="112" spans="1:5" x14ac:dyDescent="0.25">
      <c r="A112" s="7">
        <v>12164.144957890772</v>
      </c>
      <c r="C112" s="1" t="str">
        <f>ADDRESS(C121,1,1,1)</f>
        <v>$A$463</v>
      </c>
      <c r="D112" s="1" t="str">
        <f>ADDRESS(C121,D121-1,1,1)</f>
        <v>$IM$463</v>
      </c>
      <c r="E112"/>
    </row>
    <row r="113" spans="1:5" x14ac:dyDescent="0.25">
      <c r="A113" s="7">
        <v>11925.63231165762</v>
      </c>
      <c r="C113" s="1" t="str">
        <f>ADDRESS(C121+1,1,1,1)</f>
        <v>$A$464</v>
      </c>
      <c r="D113" s="1" t="str">
        <f>ADDRESS(C121-1,D121+1,1,1)</f>
        <v>$IO$462</v>
      </c>
    </row>
    <row r="114" spans="1:5" x14ac:dyDescent="0.25">
      <c r="A114" s="7">
        <v>11691.796383978059</v>
      </c>
      <c r="C114" s="1" t="str">
        <f>ADDRESS(C121,D121,1,1)</f>
        <v>$IN$463</v>
      </c>
      <c r="D114" s="1" t="str">
        <f>ADDRESS(C121+1,D121+1,1,1)</f>
        <v>$IO$464</v>
      </c>
    </row>
    <row r="115" spans="1:5" x14ac:dyDescent="0.25">
      <c r="A115" s="7">
        <v>11462.545474488292</v>
      </c>
      <c r="C115" s="1" t="str">
        <f>ADDRESS(C121+1,D121,1,1)</f>
        <v>$IN$464</v>
      </c>
    </row>
    <row r="116" spans="1:5" x14ac:dyDescent="0.25">
      <c r="A116" s="7">
        <v>11237.789680870874</v>
      </c>
      <c r="C116" s="1">
        <f>C117-1</f>
        <v>462</v>
      </c>
    </row>
    <row r="117" spans="1:5" x14ac:dyDescent="0.25">
      <c r="A117" s="7">
        <v>11017.440863598895</v>
      </c>
      <c r="C117" s="1">
        <f>C121</f>
        <v>463</v>
      </c>
      <c r="D117" s="1">
        <f>D121</f>
        <v>248</v>
      </c>
    </row>
    <row r="118" spans="1:5" x14ac:dyDescent="0.25">
      <c r="A118" s="7">
        <v>10801.412611371465</v>
      </c>
      <c r="C118" s="1">
        <f>C117+1</f>
        <v>464</v>
      </c>
      <c r="D118" s="1">
        <f>D117+1</f>
        <v>249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463</v>
      </c>
      <c r="D121" s="19">
        <v>248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R463</v>
      </c>
      <c r="D123" s="1" t="str">
        <f>"C"&amp;D121</f>
        <v>C248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11.652558675863176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137" x14ac:dyDescent="0.25">
      <c r="A369" s="7">
        <v>74.961357735566622</v>
      </c>
      <c r="B369"/>
      <c r="C369"/>
      <c r="D369"/>
      <c r="E369"/>
      <c r="DY369" s="27" t="s">
        <v>8</v>
      </c>
    </row>
    <row r="370" spans="1:137" x14ac:dyDescent="0.25">
      <c r="A370" s="7">
        <v>73.491527191731976</v>
      </c>
      <c r="B370"/>
      <c r="C370"/>
      <c r="D370"/>
      <c r="E370"/>
      <c r="DY370" s="27" t="s">
        <v>8</v>
      </c>
      <c r="DZ370" s="27" t="s">
        <v>7</v>
      </c>
      <c r="EC370" s="27" t="s">
        <v>8</v>
      </c>
    </row>
    <row r="371" spans="1:137" x14ac:dyDescent="0.25">
      <c r="A371" s="7">
        <v>72.050516854639184</v>
      </c>
      <c r="B371"/>
      <c r="C371"/>
      <c r="D371"/>
      <c r="E371"/>
      <c r="DM371" s="27" t="s">
        <v>8</v>
      </c>
      <c r="DY371" s="27" t="s">
        <v>8</v>
      </c>
      <c r="DZ371" s="27" t="s">
        <v>7</v>
      </c>
      <c r="EC371" s="27" t="s">
        <v>8</v>
      </c>
      <c r="ED371" s="27" t="s">
        <v>7</v>
      </c>
    </row>
    <row r="372" spans="1:137" x14ac:dyDescent="0.25">
      <c r="A372" s="7">
        <v>70.637761622195271</v>
      </c>
      <c r="B372"/>
      <c r="C372"/>
      <c r="D372"/>
      <c r="E372"/>
      <c r="DM372" s="27" t="s">
        <v>8</v>
      </c>
      <c r="DN372" s="27" t="s">
        <v>7</v>
      </c>
      <c r="DY372" s="27" t="s">
        <v>8</v>
      </c>
      <c r="DZ372" s="27" t="s">
        <v>7</v>
      </c>
      <c r="EA372" s="27" t="s">
        <v>8</v>
      </c>
      <c r="EC372" s="27" t="s">
        <v>8</v>
      </c>
      <c r="ED372" s="27" t="s">
        <v>7</v>
      </c>
    </row>
    <row r="373" spans="1:137" x14ac:dyDescent="0.25">
      <c r="A373" s="7">
        <v>69.252707472740454</v>
      </c>
      <c r="B373"/>
      <c r="C373"/>
      <c r="D373"/>
      <c r="E373"/>
      <c r="DM373" s="27" t="s">
        <v>8</v>
      </c>
      <c r="DN373" s="27" t="s">
        <v>7</v>
      </c>
      <c r="DY373" s="27" t="s">
        <v>8</v>
      </c>
      <c r="DZ373" s="27" t="s">
        <v>7</v>
      </c>
      <c r="EA373" s="27" t="s">
        <v>8</v>
      </c>
      <c r="EB373" s="27" t="s">
        <v>7</v>
      </c>
      <c r="EC373" s="27" t="s">
        <v>8</v>
      </c>
      <c r="ED373" s="27" t="s">
        <v>7</v>
      </c>
    </row>
    <row r="374" spans="1:137" x14ac:dyDescent="0.25">
      <c r="A374" s="7">
        <v>67.894811247784759</v>
      </c>
      <c r="B374"/>
      <c r="C374"/>
      <c r="D374"/>
      <c r="E374"/>
      <c r="DM374" s="27" t="s">
        <v>8</v>
      </c>
      <c r="DN374" s="27" t="s">
        <v>7</v>
      </c>
      <c r="DY374" s="27" t="s">
        <v>8</v>
      </c>
      <c r="DZ374" s="27" t="s">
        <v>7</v>
      </c>
      <c r="EA374" s="27" t="s">
        <v>8</v>
      </c>
      <c r="EB374" s="27" t="s">
        <v>7</v>
      </c>
      <c r="EC374" s="27" t="s">
        <v>8</v>
      </c>
      <c r="ED374" s="27" t="s">
        <v>7</v>
      </c>
    </row>
    <row r="375" spans="1:137" x14ac:dyDescent="0.25">
      <c r="A375" s="7">
        <v>66.563540439004669</v>
      </c>
      <c r="B375"/>
      <c r="C375"/>
      <c r="D375"/>
      <c r="E375"/>
      <c r="DM375" s="27" t="s">
        <v>8</v>
      </c>
      <c r="DN375" s="27" t="s">
        <v>7</v>
      </c>
      <c r="DY375" s="27" t="s">
        <v>8</v>
      </c>
      <c r="DZ375" s="27" t="s">
        <v>7</v>
      </c>
      <c r="EA375" s="27" t="s">
        <v>8</v>
      </c>
      <c r="EB375" s="27" t="s">
        <v>7</v>
      </c>
      <c r="EC375" s="27" t="s">
        <v>8</v>
      </c>
      <c r="ED375" s="27" t="s">
        <v>7</v>
      </c>
    </row>
    <row r="376" spans="1:137" x14ac:dyDescent="0.25">
      <c r="A376" s="7">
        <v>65.258372979416336</v>
      </c>
      <c r="B376"/>
      <c r="C376"/>
      <c r="D376"/>
      <c r="E376"/>
      <c r="DM376" s="27" t="s">
        <v>8</v>
      </c>
      <c r="DN376" s="27" t="s">
        <v>7</v>
      </c>
      <c r="DO376" s="27" t="s">
        <v>8</v>
      </c>
      <c r="DY376" s="27" t="s">
        <v>8</v>
      </c>
      <c r="DZ376" s="27" t="s">
        <v>7</v>
      </c>
      <c r="EA376" s="27" t="s">
        <v>8</v>
      </c>
      <c r="EB376" s="27" t="s">
        <v>7</v>
      </c>
      <c r="EC376" s="27" t="s">
        <v>8</v>
      </c>
      <c r="ED376" s="27" t="s">
        <v>7</v>
      </c>
      <c r="EE376" s="27" t="s">
        <v>8</v>
      </c>
    </row>
    <row r="377" spans="1:137" x14ac:dyDescent="0.25">
      <c r="A377" s="7">
        <v>63.978797038643471</v>
      </c>
      <c r="B377"/>
      <c r="C377"/>
      <c r="D377"/>
      <c r="E377"/>
      <c r="DA377" s="27" t="s">
        <v>8</v>
      </c>
      <c r="DM377" s="27" t="s">
        <v>8</v>
      </c>
      <c r="DN377" s="27" t="s">
        <v>7</v>
      </c>
      <c r="DO377" s="27" t="s">
        <v>8</v>
      </c>
      <c r="DP377" s="27" t="s">
        <v>7</v>
      </c>
      <c r="DW377" s="27" t="s">
        <v>8</v>
      </c>
      <c r="DY377" s="27" t="s">
        <v>8</v>
      </c>
      <c r="DZ377" s="27" t="s">
        <v>7</v>
      </c>
      <c r="EB377" s="27" t="s">
        <v>7</v>
      </c>
      <c r="EC377" s="27" t="s">
        <v>8</v>
      </c>
      <c r="ED377" s="27" t="s">
        <v>7</v>
      </c>
      <c r="EE377" s="27" t="s">
        <v>8</v>
      </c>
      <c r="EF377" s="27" t="s">
        <v>7</v>
      </c>
    </row>
    <row r="378" spans="1:137" x14ac:dyDescent="0.25">
      <c r="A378" s="7">
        <v>62.724310822199477</v>
      </c>
      <c r="B378"/>
      <c r="C378"/>
      <c r="D378"/>
      <c r="E378"/>
      <c r="CY378" s="27" t="s">
        <v>8</v>
      </c>
      <c r="DA378" s="27" t="s">
        <v>8</v>
      </c>
      <c r="DB378" s="27" t="s">
        <v>7</v>
      </c>
      <c r="DM378" s="27" t="s">
        <v>8</v>
      </c>
      <c r="DN378" s="27" t="s">
        <v>7</v>
      </c>
      <c r="DO378" s="27" t="s">
        <v>8</v>
      </c>
      <c r="DP378" s="27" t="s">
        <v>7</v>
      </c>
      <c r="DS378" s="27" t="s">
        <v>8</v>
      </c>
      <c r="DU378" s="27" t="s">
        <v>8</v>
      </c>
      <c r="DW378" s="27" t="s">
        <v>8</v>
      </c>
      <c r="DX378" s="27" t="s">
        <v>7</v>
      </c>
      <c r="DY378" s="27" t="s">
        <v>8</v>
      </c>
      <c r="EB378" s="27" t="s">
        <v>7</v>
      </c>
      <c r="EC378" s="27" t="s">
        <v>8</v>
      </c>
      <c r="ED378" s="27" t="s">
        <v>7</v>
      </c>
      <c r="EE378" s="27" t="s">
        <v>8</v>
      </c>
      <c r="EF378" s="27" t="s">
        <v>7</v>
      </c>
    </row>
    <row r="379" spans="1:137" x14ac:dyDescent="0.25">
      <c r="A379" s="7">
        <v>61.494422374705366</v>
      </c>
      <c r="B379"/>
      <c r="C379"/>
      <c r="D379"/>
      <c r="E379"/>
      <c r="CY379" s="27" t="s">
        <v>8</v>
      </c>
      <c r="CZ379" s="27" t="s">
        <v>7</v>
      </c>
      <c r="DA379" s="27" t="s">
        <v>8</v>
      </c>
      <c r="DB379" s="27" t="s">
        <v>7</v>
      </c>
      <c r="DG379" s="27" t="s">
        <v>8</v>
      </c>
      <c r="DM379" s="27" t="s">
        <v>8</v>
      </c>
      <c r="DN379" s="27" t="s">
        <v>7</v>
      </c>
      <c r="DP379" s="27" t="s">
        <v>7</v>
      </c>
      <c r="DQ379" s="27" t="s">
        <v>8</v>
      </c>
      <c r="DS379" s="27" t="s">
        <v>8</v>
      </c>
      <c r="DT379" s="27" t="s">
        <v>7</v>
      </c>
      <c r="DU379" s="27" t="s">
        <v>8</v>
      </c>
      <c r="DV379" s="27" t="s">
        <v>7</v>
      </c>
      <c r="DW379" s="27" t="s">
        <v>8</v>
      </c>
      <c r="DX379" s="27" t="s">
        <v>7</v>
      </c>
      <c r="DY379" s="27" t="s">
        <v>8</v>
      </c>
      <c r="EB379" s="27" t="s">
        <v>7</v>
      </c>
      <c r="EC379" s="27" t="s">
        <v>8</v>
      </c>
      <c r="ED379" s="27" t="s">
        <v>7</v>
      </c>
      <c r="EE379" s="27" t="s">
        <v>8</v>
      </c>
      <c r="EF379" s="27" t="s">
        <v>7</v>
      </c>
    </row>
    <row r="380" spans="1:137" x14ac:dyDescent="0.25">
      <c r="A380" s="7">
        <v>60.288649386966043</v>
      </c>
      <c r="B380"/>
      <c r="C380"/>
      <c r="D380"/>
      <c r="E380"/>
      <c r="CY380" s="27" t="s">
        <v>8</v>
      </c>
      <c r="CZ380" s="27" t="s">
        <v>7</v>
      </c>
      <c r="DA380" s="27" t="s">
        <v>8</v>
      </c>
      <c r="DB380" s="27" t="s">
        <v>7</v>
      </c>
      <c r="DG380" s="27" t="s">
        <v>8</v>
      </c>
      <c r="DH380" s="27" t="s">
        <v>7</v>
      </c>
      <c r="DI380" s="27" t="s">
        <v>8</v>
      </c>
      <c r="DM380" s="27" t="s">
        <v>8</v>
      </c>
      <c r="DP380" s="27" t="s">
        <v>7</v>
      </c>
      <c r="DQ380" s="27" t="s">
        <v>8</v>
      </c>
      <c r="DR380" s="27" t="s">
        <v>7</v>
      </c>
      <c r="DS380" s="27" t="s">
        <v>8</v>
      </c>
      <c r="DT380" s="27" t="s">
        <v>7</v>
      </c>
      <c r="DU380" s="27" t="s">
        <v>8</v>
      </c>
      <c r="DV380" s="27" t="s">
        <v>7</v>
      </c>
      <c r="DW380" s="27" t="s">
        <v>8</v>
      </c>
      <c r="DX380" s="27" t="s">
        <v>7</v>
      </c>
      <c r="EB380" s="27" t="s">
        <v>7</v>
      </c>
      <c r="EC380" s="27" t="s">
        <v>8</v>
      </c>
      <c r="ED380" s="27" t="s">
        <v>7</v>
      </c>
      <c r="EE380" s="27" t="s">
        <v>8</v>
      </c>
      <c r="EF380" s="27" t="s">
        <v>7</v>
      </c>
    </row>
    <row r="381" spans="1:137" x14ac:dyDescent="0.25">
      <c r="A381" s="7">
        <v>59.106519006829451</v>
      </c>
      <c r="B381"/>
      <c r="C381"/>
      <c r="D381"/>
      <c r="E381"/>
      <c r="CY381" s="27" t="s">
        <v>8</v>
      </c>
      <c r="CZ381" s="27" t="s">
        <v>7</v>
      </c>
      <c r="DA381" s="27" t="s">
        <v>8</v>
      </c>
      <c r="DB381" s="27" t="s">
        <v>7</v>
      </c>
      <c r="DE381" s="27" t="s">
        <v>8</v>
      </c>
      <c r="DG381" s="27" t="s">
        <v>8</v>
      </c>
      <c r="DH381" s="27" t="s">
        <v>7</v>
      </c>
      <c r="DI381" s="27" t="s">
        <v>8</v>
      </c>
      <c r="DJ381" s="27" t="s">
        <v>7</v>
      </c>
      <c r="DM381" s="27" t="s">
        <v>8</v>
      </c>
      <c r="DP381" s="27" t="s">
        <v>7</v>
      </c>
      <c r="DQ381" s="27" t="s">
        <v>8</v>
      </c>
      <c r="DR381" s="27" t="s">
        <v>7</v>
      </c>
      <c r="DS381" s="27" t="s">
        <v>8</v>
      </c>
      <c r="DT381" s="27" t="s">
        <v>7</v>
      </c>
      <c r="DU381" s="27" t="s">
        <v>8</v>
      </c>
      <c r="DV381" s="27" t="s">
        <v>7</v>
      </c>
      <c r="DW381" s="27" t="s">
        <v>8</v>
      </c>
      <c r="EB381" s="27" t="s">
        <v>7</v>
      </c>
      <c r="EC381" s="27" t="s">
        <v>8</v>
      </c>
      <c r="ED381" s="27" t="s">
        <v>7</v>
      </c>
      <c r="EE381" s="27" t="s">
        <v>8</v>
      </c>
      <c r="EF381" s="27" t="s">
        <v>7</v>
      </c>
    </row>
    <row r="382" spans="1:137" x14ac:dyDescent="0.25">
      <c r="A382" s="7">
        <v>57.947567653754362</v>
      </c>
      <c r="B382"/>
      <c r="C382"/>
      <c r="D382"/>
      <c r="E382"/>
      <c r="CY382" s="27" t="s">
        <v>8</v>
      </c>
      <c r="CZ382" s="27" t="s">
        <v>7</v>
      </c>
      <c r="DA382" s="27" t="s">
        <v>8</v>
      </c>
      <c r="DB382" s="27" t="s">
        <v>7</v>
      </c>
      <c r="DE382" s="27" t="s">
        <v>8</v>
      </c>
      <c r="DF382" s="27" t="s">
        <v>7</v>
      </c>
      <c r="DG382" s="27" t="s">
        <v>8</v>
      </c>
      <c r="DH382" s="27" t="s">
        <v>7</v>
      </c>
      <c r="DI382" s="27" t="s">
        <v>8</v>
      </c>
      <c r="DJ382" s="27" t="s">
        <v>7</v>
      </c>
      <c r="DM382" s="27" t="s">
        <v>8</v>
      </c>
      <c r="DP382" s="27" t="s">
        <v>7</v>
      </c>
      <c r="DQ382" s="27" t="s">
        <v>8</v>
      </c>
      <c r="DR382" s="27" t="s">
        <v>7</v>
      </c>
      <c r="DS382" s="27" t="s">
        <v>8</v>
      </c>
      <c r="DT382" s="27" t="s">
        <v>7</v>
      </c>
      <c r="DU382" s="27" t="s">
        <v>8</v>
      </c>
      <c r="DV382" s="27" t="s">
        <v>7</v>
      </c>
      <c r="DW382" s="27" t="s">
        <v>8</v>
      </c>
      <c r="EB382" s="27" t="s">
        <v>7</v>
      </c>
      <c r="ED382" s="27" t="s">
        <v>7</v>
      </c>
      <c r="EE382" s="27" t="s">
        <v>8</v>
      </c>
      <c r="EF382" s="27" t="s">
        <v>7</v>
      </c>
    </row>
    <row r="383" spans="1:137" x14ac:dyDescent="0.25">
      <c r="A383" s="7">
        <v>56.811340837014079</v>
      </c>
      <c r="B383"/>
      <c r="C383"/>
      <c r="D383"/>
      <c r="E383"/>
      <c r="CY383" s="27" t="s">
        <v>8</v>
      </c>
      <c r="CZ383" s="27" t="s">
        <v>7</v>
      </c>
      <c r="DA383" s="27" t="s">
        <v>8</v>
      </c>
      <c r="DB383" s="27" t="s">
        <v>7</v>
      </c>
      <c r="DE383" s="27" t="s">
        <v>8</v>
      </c>
      <c r="DF383" s="27" t="s">
        <v>7</v>
      </c>
      <c r="DG383" s="27" t="s">
        <v>8</v>
      </c>
      <c r="DH383" s="27" t="s">
        <v>7</v>
      </c>
      <c r="DI383" s="27" t="s">
        <v>8</v>
      </c>
      <c r="DJ383" s="27" t="s">
        <v>7</v>
      </c>
      <c r="DM383" s="27" t="s">
        <v>8</v>
      </c>
      <c r="DP383" s="27" t="s">
        <v>7</v>
      </c>
      <c r="DQ383" s="27" t="s">
        <v>8</v>
      </c>
      <c r="DR383" s="27" t="s">
        <v>7</v>
      </c>
      <c r="DS383" s="27" t="s">
        <v>8</v>
      </c>
      <c r="DT383" s="27" t="s">
        <v>7</v>
      </c>
      <c r="DU383" s="27" t="s">
        <v>8</v>
      </c>
      <c r="DV383" s="27" t="s">
        <v>7</v>
      </c>
      <c r="ED383" s="27" t="s">
        <v>7</v>
      </c>
      <c r="EF383" s="27" t="s">
        <v>7</v>
      </c>
    </row>
    <row r="384" spans="1:137" x14ac:dyDescent="0.25">
      <c r="A384" s="7">
        <v>55.69739297746478</v>
      </c>
      <c r="B384"/>
      <c r="C384"/>
      <c r="D384"/>
      <c r="E384"/>
      <c r="CY384" s="27" t="s">
        <v>8</v>
      </c>
      <c r="CZ384" s="27" t="s">
        <v>7</v>
      </c>
      <c r="DA384" s="27" t="s">
        <v>8</v>
      </c>
      <c r="DB384" s="27" t="s">
        <v>7</v>
      </c>
      <c r="DE384" s="27" t="s">
        <v>8</v>
      </c>
      <c r="DF384" s="27" t="s">
        <v>7</v>
      </c>
      <c r="DG384" s="27" t="s">
        <v>8</v>
      </c>
      <c r="DH384" s="27" t="s">
        <v>7</v>
      </c>
      <c r="DJ384" s="27" t="s">
        <v>7</v>
      </c>
      <c r="DM384" s="27" t="s">
        <v>8</v>
      </c>
      <c r="DP384" s="27" t="s">
        <v>7</v>
      </c>
      <c r="DQ384" s="27" t="s">
        <v>8</v>
      </c>
      <c r="DR384" s="27" t="s">
        <v>7</v>
      </c>
      <c r="DS384" s="27" t="s">
        <v>8</v>
      </c>
      <c r="DT384" s="27" t="s">
        <v>7</v>
      </c>
      <c r="DU384" s="27" t="s">
        <v>8</v>
      </c>
      <c r="EF384" s="27" t="s">
        <v>7</v>
      </c>
      <c r="EG384" s="27" t="s">
        <v>8</v>
      </c>
    </row>
    <row r="385" spans="1:139" x14ac:dyDescent="0.25">
      <c r="A385" s="7">
        <v>54.605287232808607</v>
      </c>
      <c r="B385"/>
      <c r="C385"/>
      <c r="D385"/>
      <c r="E385"/>
      <c r="CY385" s="27" t="s">
        <v>8</v>
      </c>
      <c r="CZ385" s="27" t="s">
        <v>7</v>
      </c>
      <c r="DA385" s="27" t="s">
        <v>8</v>
      </c>
      <c r="DB385" s="27" t="s">
        <v>7</v>
      </c>
      <c r="DE385" s="27" t="s">
        <v>8</v>
      </c>
      <c r="DF385" s="27" t="s">
        <v>7</v>
      </c>
      <c r="DJ385" s="27" t="s">
        <v>7</v>
      </c>
      <c r="DM385" s="27" t="s">
        <v>8</v>
      </c>
      <c r="DP385" s="27" t="s">
        <v>7</v>
      </c>
      <c r="DQ385" s="27" t="s">
        <v>8</v>
      </c>
      <c r="DR385" s="27" t="s">
        <v>7</v>
      </c>
      <c r="DS385" s="27" t="s">
        <v>8</v>
      </c>
      <c r="DT385" s="27" t="s">
        <v>7</v>
      </c>
      <c r="DU385" s="27" t="s">
        <v>8</v>
      </c>
      <c r="EF385" s="27" t="s">
        <v>7</v>
      </c>
      <c r="EG385" s="27" t="s">
        <v>8</v>
      </c>
      <c r="EH385" s="27" t="s">
        <v>7</v>
      </c>
    </row>
    <row r="386" spans="1:139" x14ac:dyDescent="0.25">
      <c r="A386" s="7">
        <v>53.534595326282947</v>
      </c>
      <c r="B386"/>
      <c r="C386"/>
      <c r="D386"/>
      <c r="E386"/>
      <c r="CI386" s="27" t="s">
        <v>8</v>
      </c>
      <c r="CY386" s="27" t="s">
        <v>8</v>
      </c>
      <c r="CZ386" s="27" t="s">
        <v>7</v>
      </c>
      <c r="DA386" s="27" t="s">
        <v>8</v>
      </c>
      <c r="DB386" s="27" t="s">
        <v>7</v>
      </c>
      <c r="DC386" s="27" t="s">
        <v>8</v>
      </c>
      <c r="DE386" s="27" t="s">
        <v>8</v>
      </c>
      <c r="DJ386" s="27" t="s">
        <v>7</v>
      </c>
      <c r="DK386" s="27" t="s">
        <v>8</v>
      </c>
      <c r="DM386" s="27" t="s">
        <v>8</v>
      </c>
      <c r="DP386" s="27" t="s">
        <v>7</v>
      </c>
      <c r="DQ386" s="27" t="s">
        <v>8</v>
      </c>
      <c r="DR386" s="27" t="s">
        <v>7</v>
      </c>
      <c r="DS386" s="27" t="s">
        <v>8</v>
      </c>
      <c r="DT386" s="27" t="s">
        <v>7</v>
      </c>
      <c r="DU386" s="27" t="s">
        <v>8</v>
      </c>
      <c r="EF386" s="27" t="s">
        <v>7</v>
      </c>
      <c r="EG386" s="27" t="s">
        <v>8</v>
      </c>
      <c r="EH386" s="27" t="s">
        <v>7</v>
      </c>
    </row>
    <row r="387" spans="1:139" x14ac:dyDescent="0.25">
      <c r="A387" s="7">
        <v>52.484897378708773</v>
      </c>
      <c r="B387"/>
      <c r="C387"/>
      <c r="D387"/>
      <c r="E387"/>
      <c r="CI387" s="27" t="s">
        <v>8</v>
      </c>
      <c r="CJ387" s="27" t="s">
        <v>7</v>
      </c>
      <c r="CY387" s="27" t="s">
        <v>8</v>
      </c>
      <c r="CZ387" s="27" t="s">
        <v>7</v>
      </c>
      <c r="DA387" s="27" t="s">
        <v>8</v>
      </c>
      <c r="DB387" s="27" t="s">
        <v>7</v>
      </c>
      <c r="DC387" s="27" t="s">
        <v>8</v>
      </c>
      <c r="DD387" s="27" t="s">
        <v>7</v>
      </c>
      <c r="DE387" s="27" t="s">
        <v>8</v>
      </c>
      <c r="DJ387" s="27" t="s">
        <v>7</v>
      </c>
      <c r="DK387" s="27" t="s">
        <v>8</v>
      </c>
      <c r="DL387" s="27" t="s">
        <v>7</v>
      </c>
      <c r="DM387" s="27" t="s">
        <v>8</v>
      </c>
      <c r="DP387" s="27" t="s">
        <v>7</v>
      </c>
      <c r="DQ387" s="27" t="s">
        <v>8</v>
      </c>
      <c r="DR387" s="27" t="s">
        <v>7</v>
      </c>
      <c r="DS387" s="27" t="s">
        <v>8</v>
      </c>
      <c r="DT387" s="27" t="s">
        <v>7</v>
      </c>
      <c r="DU387" s="27" t="s">
        <v>8</v>
      </c>
      <c r="EF387" s="27" t="s">
        <v>7</v>
      </c>
      <c r="EG387" s="27" t="s">
        <v>8</v>
      </c>
      <c r="EH387" s="27" t="s">
        <v>7</v>
      </c>
    </row>
    <row r="388" spans="1:139" x14ac:dyDescent="0.25">
      <c r="A388" s="7">
        <v>51.455781743832127</v>
      </c>
      <c r="B388"/>
      <c r="C388"/>
      <c r="D388"/>
      <c r="E388"/>
      <c r="CI388" s="27" t="s">
        <v>8</v>
      </c>
      <c r="CJ388" s="27" t="s">
        <v>7</v>
      </c>
      <c r="CW388" s="27" t="s">
        <v>8</v>
      </c>
      <c r="CY388" s="27" t="s">
        <v>8</v>
      </c>
      <c r="CZ388" s="27" t="s">
        <v>7</v>
      </c>
      <c r="DB388" s="27" t="s">
        <v>7</v>
      </c>
      <c r="DC388" s="27" t="s">
        <v>8</v>
      </c>
      <c r="DD388" s="27" t="s">
        <v>7</v>
      </c>
      <c r="DE388" s="27" t="s">
        <v>8</v>
      </c>
      <c r="DJ388" s="27" t="s">
        <v>7</v>
      </c>
      <c r="DK388" s="27" t="s">
        <v>8</v>
      </c>
      <c r="DL388" s="27" t="s">
        <v>7</v>
      </c>
      <c r="DM388" s="27" t="s">
        <v>8</v>
      </c>
      <c r="DP388" s="27" t="s">
        <v>7</v>
      </c>
      <c r="DQ388" s="27" t="s">
        <v>8</v>
      </c>
      <c r="DR388" s="27" t="s">
        <v>7</v>
      </c>
      <c r="DS388" s="27" t="s">
        <v>8</v>
      </c>
      <c r="DT388" s="27" t="s">
        <v>7</v>
      </c>
      <c r="DU388" s="27" t="s">
        <v>8</v>
      </c>
      <c r="EF388" s="27" t="s">
        <v>7</v>
      </c>
      <c r="EG388" s="27" t="s">
        <v>8</v>
      </c>
      <c r="EH388" s="27" t="s">
        <v>7</v>
      </c>
    </row>
    <row r="389" spans="1:139" x14ac:dyDescent="0.25">
      <c r="A389" s="7">
        <v>50.446844846894244</v>
      </c>
      <c r="B389"/>
      <c r="C389"/>
      <c r="D389"/>
      <c r="E389"/>
      <c r="CI389" s="27" t="s">
        <v>8</v>
      </c>
      <c r="CJ389" s="27" t="s">
        <v>7</v>
      </c>
      <c r="CW389" s="27" t="s">
        <v>8</v>
      </c>
      <c r="CX389" s="27" t="s">
        <v>7</v>
      </c>
      <c r="CY389" s="27" t="s">
        <v>8</v>
      </c>
      <c r="DB389" s="27" t="s">
        <v>7</v>
      </c>
      <c r="DC389" s="27" t="s">
        <v>8</v>
      </c>
      <c r="DD389" s="27" t="s">
        <v>7</v>
      </c>
      <c r="DJ389" s="27" t="s">
        <v>7</v>
      </c>
      <c r="DK389" s="27" t="s">
        <v>8</v>
      </c>
      <c r="DL389" s="27" t="s">
        <v>7</v>
      </c>
      <c r="DP389" s="27" t="s">
        <v>7</v>
      </c>
      <c r="DQ389" s="27" t="s">
        <v>8</v>
      </c>
      <c r="DR389" s="27" t="s">
        <v>7</v>
      </c>
      <c r="DS389" s="27" t="s">
        <v>8</v>
      </c>
      <c r="DT389" s="27" t="s">
        <v>7</v>
      </c>
      <c r="DU389" s="27" t="s">
        <v>8</v>
      </c>
      <c r="EF389" s="27" t="s">
        <v>7</v>
      </c>
      <c r="EG389" s="27" t="s">
        <v>8</v>
      </c>
      <c r="EH389" s="27" t="s">
        <v>7</v>
      </c>
    </row>
    <row r="390" spans="1:139" x14ac:dyDescent="0.25">
      <c r="A390" s="7">
        <v>49.457691026366902</v>
      </c>
      <c r="B390"/>
      <c r="C390"/>
      <c r="D390"/>
      <c r="E390"/>
      <c r="CI390" s="27" t="s">
        <v>8</v>
      </c>
      <c r="CJ390" s="27" t="s">
        <v>7</v>
      </c>
      <c r="CM390" s="27" t="s">
        <v>8</v>
      </c>
      <c r="CW390" s="27" t="s">
        <v>8</v>
      </c>
      <c r="CX390" s="27" t="s">
        <v>7</v>
      </c>
      <c r="CY390" s="27" t="s">
        <v>8</v>
      </c>
      <c r="DB390" s="27" t="s">
        <v>7</v>
      </c>
      <c r="DC390" s="27" t="s">
        <v>8</v>
      </c>
      <c r="DJ390" s="27" t="s">
        <v>7</v>
      </c>
      <c r="DK390" s="27" t="s">
        <v>8</v>
      </c>
      <c r="DP390" s="27" t="s">
        <v>7</v>
      </c>
      <c r="DQ390" s="27" t="s">
        <v>8</v>
      </c>
      <c r="DR390" s="27" t="s">
        <v>7</v>
      </c>
      <c r="DS390" s="27" t="s">
        <v>8</v>
      </c>
      <c r="DT390" s="27" t="s">
        <v>7</v>
      </c>
      <c r="DU390" s="27" t="s">
        <v>8</v>
      </c>
      <c r="EF390" s="27" t="s">
        <v>7</v>
      </c>
      <c r="EG390" s="27" t="s">
        <v>8</v>
      </c>
      <c r="EH390" s="27" t="s">
        <v>7</v>
      </c>
    </row>
    <row r="391" spans="1:139" x14ac:dyDescent="0.25">
      <c r="A391" s="7">
        <v>48.487932378791079</v>
      </c>
      <c r="B391"/>
      <c r="C391"/>
      <c r="D391"/>
      <c r="E391"/>
      <c r="CI391" s="27" t="s">
        <v>8</v>
      </c>
      <c r="CJ391" s="27" t="s">
        <v>7</v>
      </c>
      <c r="CM391" s="27" t="s">
        <v>8</v>
      </c>
      <c r="CN391" s="27" t="s">
        <v>7</v>
      </c>
      <c r="CW391" s="27" t="s">
        <v>8</v>
      </c>
      <c r="CX391" s="27" t="s">
        <v>7</v>
      </c>
      <c r="CY391" s="27" t="s">
        <v>8</v>
      </c>
      <c r="DB391" s="27" t="s">
        <v>7</v>
      </c>
      <c r="DC391" s="27" t="s">
        <v>8</v>
      </c>
      <c r="DJ391" s="27" t="s">
        <v>7</v>
      </c>
      <c r="DP391" s="27" t="s">
        <v>7</v>
      </c>
      <c r="DQ391" s="27" t="s">
        <v>8</v>
      </c>
      <c r="DR391" s="27" t="s">
        <v>7</v>
      </c>
      <c r="DT391" s="27" t="s">
        <v>7</v>
      </c>
      <c r="DU391" s="27" t="s">
        <v>8</v>
      </c>
      <c r="EF391" s="27" t="s">
        <v>7</v>
      </c>
      <c r="EG391" s="27" t="s">
        <v>8</v>
      </c>
      <c r="EH391" s="27" t="s">
        <v>7</v>
      </c>
    </row>
    <row r="392" spans="1:139" x14ac:dyDescent="0.25">
      <c r="A392" s="7">
        <v>47.537188606657921</v>
      </c>
      <c r="B392"/>
      <c r="C392"/>
      <c r="D392"/>
      <c r="E392"/>
      <c r="CI392" s="27" t="s">
        <v>8</v>
      </c>
      <c r="CJ392" s="27" t="s">
        <v>7</v>
      </c>
      <c r="CM392" s="27" t="s">
        <v>8</v>
      </c>
      <c r="CN392" s="27" t="s">
        <v>7</v>
      </c>
      <c r="CW392" s="27" t="s">
        <v>8</v>
      </c>
      <c r="CX392" s="27" t="s">
        <v>7</v>
      </c>
      <c r="CY392" s="27" t="s">
        <v>8</v>
      </c>
      <c r="DB392" s="27" t="s">
        <v>7</v>
      </c>
      <c r="DC392" s="27" t="s">
        <v>8</v>
      </c>
      <c r="DP392" s="27" t="s">
        <v>7</v>
      </c>
      <c r="DQ392" s="27" t="s">
        <v>8</v>
      </c>
      <c r="DT392" s="27" t="s">
        <v>7</v>
      </c>
      <c r="DU392" s="27" t="s">
        <v>8</v>
      </c>
      <c r="EF392" s="27" t="s">
        <v>7</v>
      </c>
      <c r="EH392" s="27" t="s">
        <v>7</v>
      </c>
    </row>
    <row r="393" spans="1:139" x14ac:dyDescent="0.25">
      <c r="A393" s="7">
        <v>46.605086869272469</v>
      </c>
      <c r="B393"/>
      <c r="C393"/>
      <c r="D393"/>
      <c r="E393"/>
      <c r="CI393" s="27" t="s">
        <v>8</v>
      </c>
      <c r="CJ393" s="27" t="s">
        <v>7</v>
      </c>
      <c r="CM393" s="27" t="s">
        <v>8</v>
      </c>
      <c r="CN393" s="27" t="s">
        <v>7</v>
      </c>
      <c r="CW393" s="27" t="s">
        <v>8</v>
      </c>
      <c r="CX393" s="27" t="s">
        <v>7</v>
      </c>
      <c r="CY393" s="27" t="s">
        <v>8</v>
      </c>
      <c r="DB393" s="27" t="s">
        <v>7</v>
      </c>
      <c r="DC393" s="27" t="s">
        <v>8</v>
      </c>
      <c r="DP393" s="27" t="s">
        <v>7</v>
      </c>
      <c r="DT393" s="27" t="s">
        <v>7</v>
      </c>
      <c r="DU393" s="27" t="s">
        <v>8</v>
      </c>
      <c r="EH393" s="27" t="s">
        <v>7</v>
      </c>
    </row>
    <row r="394" spans="1:139" x14ac:dyDescent="0.25">
      <c r="A394" s="7">
        <v>45.691261636541633</v>
      </c>
      <c r="B394"/>
      <c r="C394"/>
      <c r="D394"/>
      <c r="E394"/>
      <c r="CI394" s="27" t="s">
        <v>8</v>
      </c>
      <c r="CJ394" s="27" t="s">
        <v>7</v>
      </c>
      <c r="CK394" s="27" t="s">
        <v>8</v>
      </c>
      <c r="CM394" s="27" t="s">
        <v>8</v>
      </c>
      <c r="CN394" s="27" t="s">
        <v>7</v>
      </c>
      <c r="CW394" s="27" t="s">
        <v>8</v>
      </c>
      <c r="CX394" s="27" t="s">
        <v>7</v>
      </c>
      <c r="CY394" s="27" t="s">
        <v>8</v>
      </c>
      <c r="DB394" s="27" t="s">
        <v>7</v>
      </c>
      <c r="DT394" s="27" t="s">
        <v>7</v>
      </c>
      <c r="DU394" s="27" t="s">
        <v>8</v>
      </c>
      <c r="EH394" s="27" t="s">
        <v>7</v>
      </c>
    </row>
    <row r="395" spans="1:139" x14ac:dyDescent="0.25">
      <c r="A395" s="7">
        <v>44.795354545629053</v>
      </c>
      <c r="B395"/>
      <c r="C395"/>
      <c r="D395"/>
      <c r="E395"/>
      <c r="CI395" s="27" t="s">
        <v>8</v>
      </c>
      <c r="CJ395" s="27" t="s">
        <v>7</v>
      </c>
      <c r="CK395" s="27" t="s">
        <v>8</v>
      </c>
      <c r="CL395" s="27" t="s">
        <v>7</v>
      </c>
      <c r="CM395" s="27" t="s">
        <v>8</v>
      </c>
      <c r="CN395" s="27" t="s">
        <v>7</v>
      </c>
      <c r="CO395" s="27" t="s">
        <v>8</v>
      </c>
      <c r="CW395" s="27" t="s">
        <v>8</v>
      </c>
      <c r="CX395" s="27" t="s">
        <v>7</v>
      </c>
      <c r="CY395" s="27" t="s">
        <v>8</v>
      </c>
      <c r="DT395" s="27" t="s">
        <v>7</v>
      </c>
      <c r="EH395" s="27" t="s">
        <v>7</v>
      </c>
    </row>
    <row r="396" spans="1:139" x14ac:dyDescent="0.25">
      <c r="A396" s="7">
        <v>43.917014260420636</v>
      </c>
      <c r="B396"/>
      <c r="C396"/>
      <c r="D396"/>
      <c r="E396"/>
      <c r="CI396" s="27" t="s">
        <v>8</v>
      </c>
      <c r="CJ396" s="27" t="s">
        <v>7</v>
      </c>
      <c r="CK396" s="27" t="s">
        <v>8</v>
      </c>
      <c r="CL396" s="27" t="s">
        <v>7</v>
      </c>
      <c r="CM396" s="27" t="s">
        <v>8</v>
      </c>
      <c r="CN396" s="27" t="s">
        <v>7</v>
      </c>
      <c r="CO396" s="27" t="s">
        <v>8</v>
      </c>
      <c r="CP396" s="27" t="s">
        <v>7</v>
      </c>
      <c r="CW396" s="27" t="s">
        <v>8</v>
      </c>
      <c r="CX396" s="27" t="s">
        <v>7</v>
      </c>
      <c r="CY396" s="27" t="s">
        <v>8</v>
      </c>
      <c r="EH396" s="27" t="s">
        <v>7</v>
      </c>
    </row>
    <row r="397" spans="1:139" x14ac:dyDescent="0.25">
      <c r="A397" s="7">
        <v>43.055896333745721</v>
      </c>
      <c r="B397"/>
      <c r="C397"/>
      <c r="D397"/>
      <c r="E397"/>
      <c r="CI397" s="27" t="s">
        <v>8</v>
      </c>
      <c r="CJ397" s="27" t="s">
        <v>7</v>
      </c>
      <c r="CK397" s="27" t="s">
        <v>8</v>
      </c>
      <c r="CL397" s="27" t="s">
        <v>7</v>
      </c>
      <c r="CM397" s="27" t="s">
        <v>8</v>
      </c>
      <c r="CN397" s="27" t="s">
        <v>7</v>
      </c>
      <c r="CO397" s="27" t="s">
        <v>8</v>
      </c>
      <c r="CP397" s="27" t="s">
        <v>7</v>
      </c>
      <c r="CW397" s="27" t="s">
        <v>8</v>
      </c>
      <c r="CX397" s="27" t="s">
        <v>7</v>
      </c>
      <c r="EH397" s="27" t="s">
        <v>7</v>
      </c>
    </row>
    <row r="398" spans="1:139" x14ac:dyDescent="0.25">
      <c r="A398" s="7">
        <v>42.211663072299729</v>
      </c>
      <c r="B398"/>
      <c r="C398"/>
      <c r="D398"/>
      <c r="E398"/>
      <c r="CI398" s="27" t="s">
        <v>8</v>
      </c>
      <c r="CJ398" s="27" t="s">
        <v>7</v>
      </c>
      <c r="CK398" s="27" t="s">
        <v>8</v>
      </c>
      <c r="CL398" s="27" t="s">
        <v>7</v>
      </c>
      <c r="CM398" s="27" t="s">
        <v>8</v>
      </c>
      <c r="CN398" s="27" t="s">
        <v>7</v>
      </c>
      <c r="CO398" s="27" t="s">
        <v>8</v>
      </c>
      <c r="CP398" s="27" t="s">
        <v>7</v>
      </c>
      <c r="CW398" s="27" t="s">
        <v>8</v>
      </c>
      <c r="EH398" s="27" t="s">
        <v>7</v>
      </c>
    </row>
    <row r="399" spans="1:139" x14ac:dyDescent="0.25">
      <c r="A399" s="7">
        <v>41.383983404215421</v>
      </c>
      <c r="B399"/>
      <c r="C399"/>
      <c r="D399"/>
      <c r="E399"/>
      <c r="CG399" s="27" t="s">
        <v>8</v>
      </c>
      <c r="CI399" s="27" t="s">
        <v>8</v>
      </c>
      <c r="CJ399" s="27" t="s">
        <v>7</v>
      </c>
      <c r="CK399" s="27" t="s">
        <v>8</v>
      </c>
      <c r="CL399" s="27" t="s">
        <v>7</v>
      </c>
      <c r="CM399" s="27" t="s">
        <v>8</v>
      </c>
      <c r="CN399" s="27" t="s">
        <v>7</v>
      </c>
      <c r="CO399" s="27" t="s">
        <v>8</v>
      </c>
      <c r="CP399" s="27" t="s">
        <v>7</v>
      </c>
      <c r="CW399" s="27" t="s">
        <v>8</v>
      </c>
      <c r="EH399" s="27" t="s">
        <v>7</v>
      </c>
    </row>
    <row r="400" spans="1:139" x14ac:dyDescent="0.25">
      <c r="A400" s="7">
        <v>40.572532749230803</v>
      </c>
      <c r="B400"/>
      <c r="C400"/>
      <c r="D400"/>
      <c r="E400"/>
      <c r="CG400" s="27" t="s">
        <v>8</v>
      </c>
      <c r="CH400" s="27" t="s">
        <v>7</v>
      </c>
      <c r="CI400" s="27" t="s">
        <v>8</v>
      </c>
      <c r="CJ400" s="27" t="s">
        <v>7</v>
      </c>
      <c r="CK400" s="27" t="s">
        <v>8</v>
      </c>
      <c r="CL400" s="27" t="s">
        <v>7</v>
      </c>
      <c r="CN400" s="27" t="s">
        <v>7</v>
      </c>
      <c r="CO400" s="27" t="s">
        <v>8</v>
      </c>
      <c r="CP400" s="27" t="s">
        <v>7</v>
      </c>
      <c r="CS400" s="27" t="s">
        <v>8</v>
      </c>
      <c r="CU400" s="27" t="s">
        <v>8</v>
      </c>
      <c r="CW400" s="27" t="s">
        <v>8</v>
      </c>
      <c r="EH400" s="27" t="s">
        <v>7</v>
      </c>
      <c r="EI400" s="27" t="s">
        <v>8</v>
      </c>
    </row>
    <row r="401" spans="1:191" x14ac:dyDescent="0.25">
      <c r="A401" s="7">
        <v>39.776992891402749</v>
      </c>
      <c r="B401"/>
      <c r="C401"/>
      <c r="D401"/>
      <c r="E401"/>
      <c r="CG401" s="27" t="s">
        <v>8</v>
      </c>
      <c r="CH401" s="27" t="s">
        <v>7</v>
      </c>
      <c r="CI401" s="27" t="s">
        <v>8</v>
      </c>
      <c r="CJ401" s="27" t="s">
        <v>7</v>
      </c>
      <c r="CK401" s="27" t="s">
        <v>8</v>
      </c>
      <c r="CN401" s="27" t="s">
        <v>7</v>
      </c>
      <c r="CO401" s="27" t="s">
        <v>8</v>
      </c>
      <c r="CP401" s="27" t="s">
        <v>7</v>
      </c>
      <c r="CS401" s="27" t="s">
        <v>8</v>
      </c>
      <c r="CT401" s="27" t="s">
        <v>7</v>
      </c>
      <c r="CU401" s="27" t="s">
        <v>8</v>
      </c>
      <c r="CV401" s="27" t="s">
        <v>7</v>
      </c>
      <c r="CW401" s="27" t="s">
        <v>8</v>
      </c>
      <c r="EH401" s="27" t="s">
        <v>7</v>
      </c>
      <c r="EI401" s="27" t="s">
        <v>8</v>
      </c>
      <c r="EJ401" s="27" t="s">
        <v>7</v>
      </c>
    </row>
    <row r="402" spans="1:191" x14ac:dyDescent="0.25">
      <c r="A402" s="7">
        <v>38.997051854316418</v>
      </c>
      <c r="B402"/>
      <c r="C402"/>
      <c r="D402"/>
      <c r="E402"/>
      <c r="CG402" s="27" t="s">
        <v>8</v>
      </c>
      <c r="CH402" s="27" t="s">
        <v>7</v>
      </c>
      <c r="CI402" s="27" t="s">
        <v>8</v>
      </c>
      <c r="CJ402" s="27" t="s">
        <v>7</v>
      </c>
      <c r="CK402" s="27" t="s">
        <v>8</v>
      </c>
      <c r="CN402" s="27" t="s">
        <v>7</v>
      </c>
      <c r="CO402" s="27" t="s">
        <v>8</v>
      </c>
      <c r="CP402" s="27" t="s">
        <v>7</v>
      </c>
      <c r="CQ402" s="27" t="s">
        <v>8</v>
      </c>
      <c r="CS402" s="27" t="s">
        <v>8</v>
      </c>
      <c r="CT402" s="27" t="s">
        <v>7</v>
      </c>
      <c r="CU402" s="27" t="s">
        <v>8</v>
      </c>
      <c r="CV402" s="27" t="s">
        <v>7</v>
      </c>
      <c r="CW402" s="27" t="s">
        <v>8</v>
      </c>
      <c r="EH402" s="27" t="s">
        <v>7</v>
      </c>
      <c r="EI402" s="27" t="s">
        <v>8</v>
      </c>
      <c r="EJ402" s="27" t="s">
        <v>7</v>
      </c>
    </row>
    <row r="403" spans="1:191" x14ac:dyDescent="0.25">
      <c r="A403" s="7">
        <v>38.232403778741585</v>
      </c>
      <c r="B403"/>
      <c r="C403"/>
      <c r="D403"/>
      <c r="E403"/>
      <c r="CG403" s="27" t="s">
        <v>8</v>
      </c>
      <c r="CH403" s="27" t="s">
        <v>7</v>
      </c>
      <c r="CI403" s="27" t="s">
        <v>8</v>
      </c>
      <c r="CJ403" s="27" t="s">
        <v>7</v>
      </c>
      <c r="CN403" s="27" t="s">
        <v>7</v>
      </c>
      <c r="CO403" s="27" t="s">
        <v>8</v>
      </c>
      <c r="CP403" s="27" t="s">
        <v>7</v>
      </c>
      <c r="CQ403" s="27" t="s">
        <v>8</v>
      </c>
      <c r="CR403" s="27" t="s">
        <v>7</v>
      </c>
      <c r="CS403" s="27" t="s">
        <v>8</v>
      </c>
      <c r="CT403" s="27" t="s">
        <v>7</v>
      </c>
      <c r="CU403" s="27" t="s">
        <v>8</v>
      </c>
      <c r="CV403" s="27" t="s">
        <v>7</v>
      </c>
      <c r="CW403" s="27" t="s">
        <v>8</v>
      </c>
      <c r="EH403" s="27" t="s">
        <v>7</v>
      </c>
      <c r="EI403" s="27" t="s">
        <v>8</v>
      </c>
      <c r="EJ403" s="27" t="s">
        <v>7</v>
      </c>
    </row>
    <row r="404" spans="1:191" x14ac:dyDescent="0.25">
      <c r="A404" s="7">
        <v>37.48274880268783</v>
      </c>
      <c r="B404"/>
      <c r="C404"/>
      <c r="D404"/>
      <c r="E404"/>
      <c r="Q404" s="27" t="s">
        <v>8</v>
      </c>
      <c r="CG404" s="27" t="s">
        <v>8</v>
      </c>
      <c r="CH404" s="27" t="s">
        <v>7</v>
      </c>
      <c r="CI404" s="27" t="s">
        <v>8</v>
      </c>
      <c r="CN404" s="27" t="s">
        <v>7</v>
      </c>
      <c r="CO404" s="27" t="s">
        <v>8</v>
      </c>
      <c r="CP404" s="27" t="s">
        <v>7</v>
      </c>
      <c r="CQ404" s="27" t="s">
        <v>8</v>
      </c>
      <c r="CR404" s="27" t="s">
        <v>7</v>
      </c>
      <c r="CS404" s="27" t="s">
        <v>8</v>
      </c>
      <c r="CT404" s="27" t="s">
        <v>7</v>
      </c>
      <c r="CU404" s="27" t="s">
        <v>8</v>
      </c>
      <c r="CV404" s="27" t="s">
        <v>7</v>
      </c>
      <c r="CW404" s="27" t="s">
        <v>8</v>
      </c>
      <c r="EH404" s="27" t="s">
        <v>7</v>
      </c>
      <c r="EI404" s="27" t="s">
        <v>8</v>
      </c>
      <c r="EJ404" s="27" t="s">
        <v>7</v>
      </c>
    </row>
    <row r="405" spans="1:191" x14ac:dyDescent="0.25">
      <c r="A405" s="7">
        <v>36.747792943811596</v>
      </c>
      <c r="B405"/>
      <c r="C405"/>
      <c r="D405"/>
      <c r="E405"/>
      <c r="Q405" s="27" t="s">
        <v>8</v>
      </c>
      <c r="R405" s="27" t="s">
        <v>7</v>
      </c>
      <c r="CG405" s="27" t="s">
        <v>8</v>
      </c>
      <c r="CH405" s="27" t="s">
        <v>7</v>
      </c>
      <c r="CI405" s="27" t="s">
        <v>8</v>
      </c>
      <c r="CN405" s="27" t="s">
        <v>7</v>
      </c>
      <c r="CO405" s="27" t="s">
        <v>8</v>
      </c>
      <c r="CP405" s="27" t="s">
        <v>7</v>
      </c>
      <c r="CQ405" s="27" t="s">
        <v>8</v>
      </c>
      <c r="CR405" s="27" t="s">
        <v>7</v>
      </c>
      <c r="CS405" s="27" t="s">
        <v>8</v>
      </c>
      <c r="CT405" s="27" t="s">
        <v>7</v>
      </c>
      <c r="CU405" s="27" t="s">
        <v>8</v>
      </c>
      <c r="CV405" s="27" t="s">
        <v>7</v>
      </c>
      <c r="CW405" s="27" t="s">
        <v>8</v>
      </c>
      <c r="EH405" s="27" t="s">
        <v>7</v>
      </c>
      <c r="EI405" s="27" t="s">
        <v>8</v>
      </c>
      <c r="EJ405" s="27" t="s">
        <v>7</v>
      </c>
    </row>
    <row r="406" spans="1:191" x14ac:dyDescent="0.25">
      <c r="A406" s="7">
        <v>36.027247984129012</v>
      </c>
      <c r="B406"/>
      <c r="C406"/>
      <c r="D406"/>
      <c r="E406"/>
      <c r="Q406" s="27" t="s">
        <v>8</v>
      </c>
      <c r="R406" s="27" t="s">
        <v>7</v>
      </c>
      <c r="S406" s="27" t="s">
        <v>8</v>
      </c>
      <c r="CG406" s="27" t="s">
        <v>8</v>
      </c>
      <c r="CH406" s="27" t="s">
        <v>7</v>
      </c>
      <c r="CI406" s="27" t="s">
        <v>8</v>
      </c>
      <c r="CN406" s="27" t="s">
        <v>7</v>
      </c>
      <c r="CO406" s="27" t="s">
        <v>8</v>
      </c>
      <c r="CP406" s="27" t="s">
        <v>7</v>
      </c>
      <c r="CQ406" s="27" t="s">
        <v>8</v>
      </c>
      <c r="CR406" s="27" t="s">
        <v>7</v>
      </c>
      <c r="CS406" s="27" t="s">
        <v>8</v>
      </c>
      <c r="CT406" s="27" t="s">
        <v>7</v>
      </c>
      <c r="CV406" s="27" t="s">
        <v>7</v>
      </c>
      <c r="CW406" s="27" t="s">
        <v>8</v>
      </c>
      <c r="EH406" s="27" t="s">
        <v>7</v>
      </c>
      <c r="EI406" s="27" t="s">
        <v>8</v>
      </c>
      <c r="EJ406" s="27" t="s">
        <v>7</v>
      </c>
    </row>
    <row r="407" spans="1:191" x14ac:dyDescent="0.25">
      <c r="A407" s="7">
        <v>35.320831356989224</v>
      </c>
      <c r="B407"/>
      <c r="C407"/>
      <c r="D407"/>
      <c r="E407"/>
      <c r="Q407" s="27" t="s">
        <v>8</v>
      </c>
      <c r="R407" s="27" t="s">
        <v>7</v>
      </c>
      <c r="S407" s="27" t="s">
        <v>8</v>
      </c>
      <c r="T407" s="27" t="s">
        <v>7</v>
      </c>
      <c r="CG407" s="27" t="s">
        <v>8</v>
      </c>
      <c r="CH407" s="27" t="s">
        <v>7</v>
      </c>
      <c r="CI407" s="27" t="s">
        <v>8</v>
      </c>
      <c r="CN407" s="27" t="s">
        <v>7</v>
      </c>
      <c r="CO407" s="27" t="s">
        <v>8</v>
      </c>
      <c r="CP407" s="27" t="s">
        <v>7</v>
      </c>
      <c r="CQ407" s="27" t="s">
        <v>8</v>
      </c>
      <c r="CR407" s="27" t="s">
        <v>7</v>
      </c>
      <c r="CS407" s="27" t="s">
        <v>8</v>
      </c>
      <c r="CV407" s="27" t="s">
        <v>7</v>
      </c>
      <c r="EH407" s="27" t="s">
        <v>7</v>
      </c>
      <c r="EI407" s="27" t="s">
        <v>8</v>
      </c>
      <c r="EJ407" s="27" t="s">
        <v>7</v>
      </c>
      <c r="GA407" s="27" t="s">
        <v>8</v>
      </c>
    </row>
    <row r="408" spans="1:191" x14ac:dyDescent="0.25">
      <c r="A408" s="7">
        <v>34.628266036263945</v>
      </c>
      <c r="B408"/>
      <c r="C408"/>
      <c r="D408"/>
      <c r="E408"/>
      <c r="Q408" s="27" t="s">
        <v>8</v>
      </c>
      <c r="R408" s="27" t="s">
        <v>7</v>
      </c>
      <c r="S408" s="27" t="s">
        <v>8</v>
      </c>
      <c r="T408" s="27" t="s">
        <v>7</v>
      </c>
      <c r="CG408" s="27" t="s">
        <v>8</v>
      </c>
      <c r="CH408" s="27" t="s">
        <v>7</v>
      </c>
      <c r="CI408" s="27" t="s">
        <v>8</v>
      </c>
      <c r="CN408" s="27" t="s">
        <v>7</v>
      </c>
      <c r="CO408" s="27" t="s">
        <v>8</v>
      </c>
      <c r="CP408" s="27" t="s">
        <v>7</v>
      </c>
      <c r="CQ408" s="27" t="s">
        <v>8</v>
      </c>
      <c r="CR408" s="27" t="s">
        <v>7</v>
      </c>
      <c r="CS408" s="27" t="s">
        <v>8</v>
      </c>
      <c r="EH408" s="27" t="s">
        <v>7</v>
      </c>
      <c r="EI408" s="27" t="s">
        <v>8</v>
      </c>
      <c r="EJ408" s="27" t="s">
        <v>7</v>
      </c>
      <c r="GA408" s="27" t="s">
        <v>8</v>
      </c>
      <c r="GB408" s="27" t="s">
        <v>7</v>
      </c>
    </row>
    <row r="409" spans="1:191" x14ac:dyDescent="0.25">
      <c r="A409" s="7">
        <v>33.949280427709752</v>
      </c>
      <c r="B409"/>
      <c r="C409"/>
      <c r="D409"/>
      <c r="E409"/>
      <c r="Q409" s="27" t="s">
        <v>8</v>
      </c>
      <c r="R409" s="27" t="s">
        <v>7</v>
      </c>
      <c r="S409" s="27" t="s">
        <v>8</v>
      </c>
      <c r="T409" s="27" t="s">
        <v>7</v>
      </c>
      <c r="CG409" s="27" t="s">
        <v>8</v>
      </c>
      <c r="CH409" s="27" t="s">
        <v>7</v>
      </c>
      <c r="CI409" s="27" t="s">
        <v>8</v>
      </c>
      <c r="CN409" s="27" t="s">
        <v>7</v>
      </c>
      <c r="CO409" s="27" t="s">
        <v>8</v>
      </c>
      <c r="CP409" s="27" t="s">
        <v>7</v>
      </c>
      <c r="CQ409" s="27" t="s">
        <v>8</v>
      </c>
      <c r="CR409" s="27" t="s">
        <v>7</v>
      </c>
      <c r="CS409" s="27" t="s">
        <v>8</v>
      </c>
      <c r="EH409" s="27" t="s">
        <v>7</v>
      </c>
      <c r="EI409" s="27" t="s">
        <v>8</v>
      </c>
      <c r="EJ409" s="27" t="s">
        <v>7</v>
      </c>
      <c r="EM409" s="27" t="s">
        <v>8</v>
      </c>
      <c r="GA409" s="27" t="s">
        <v>8</v>
      </c>
      <c r="GB409" s="27" t="s">
        <v>7</v>
      </c>
      <c r="GC409" s="27" t="s">
        <v>8</v>
      </c>
    </row>
    <row r="410" spans="1:191" x14ac:dyDescent="0.25">
      <c r="A410" s="7">
        <v>33.28360826246054</v>
      </c>
      <c r="B410"/>
      <c r="C410"/>
      <c r="D410"/>
      <c r="E410"/>
      <c r="Q410" s="27" t="s">
        <v>8</v>
      </c>
      <c r="R410" s="27" t="s">
        <v>7</v>
      </c>
      <c r="S410" s="27" t="s">
        <v>8</v>
      </c>
      <c r="T410" s="27" t="s">
        <v>7</v>
      </c>
      <c r="CG410" s="27" t="s">
        <v>8</v>
      </c>
      <c r="CH410" s="27" t="s">
        <v>7</v>
      </c>
      <c r="CN410" s="27" t="s">
        <v>7</v>
      </c>
      <c r="CO410" s="27" t="s">
        <v>8</v>
      </c>
      <c r="CP410" s="27" t="s">
        <v>7</v>
      </c>
      <c r="CQ410" s="27" t="s">
        <v>8</v>
      </c>
      <c r="CR410" s="27" t="s">
        <v>7</v>
      </c>
      <c r="CS410" s="27" t="s">
        <v>8</v>
      </c>
      <c r="EH410" s="27" t="s">
        <v>7</v>
      </c>
      <c r="EI410" s="27" t="s">
        <v>8</v>
      </c>
      <c r="EJ410" s="27" t="s">
        <v>7</v>
      </c>
      <c r="EK410" s="27" t="s">
        <v>8</v>
      </c>
      <c r="EM410" s="27" t="s">
        <v>8</v>
      </c>
      <c r="EN410" s="27" t="s">
        <v>7</v>
      </c>
      <c r="GA410" s="27" t="s">
        <v>8</v>
      </c>
      <c r="GB410" s="27" t="s">
        <v>7</v>
      </c>
      <c r="GC410" s="27" t="s">
        <v>8</v>
      </c>
      <c r="GD410" s="27" t="s">
        <v>7</v>
      </c>
    </row>
    <row r="411" spans="1:191" x14ac:dyDescent="0.25">
      <c r="A411" s="7">
        <v>32.630988492608374</v>
      </c>
      <c r="B411"/>
      <c r="C411"/>
      <c r="D411"/>
      <c r="E411"/>
      <c r="Q411" s="27" t="s">
        <v>8</v>
      </c>
      <c r="R411" s="27" t="s">
        <v>7</v>
      </c>
      <c r="S411" s="27" t="s">
        <v>8</v>
      </c>
      <c r="T411" s="27" t="s">
        <v>7</v>
      </c>
      <c r="CG411" s="27" t="s">
        <v>8</v>
      </c>
      <c r="CN411" s="27" t="s">
        <v>7</v>
      </c>
      <c r="CO411" s="27" t="s">
        <v>8</v>
      </c>
      <c r="CP411" s="27" t="s">
        <v>7</v>
      </c>
      <c r="CR411" s="27" t="s">
        <v>7</v>
      </c>
      <c r="CS411" s="27" t="s">
        <v>8</v>
      </c>
      <c r="EH411" s="27" t="s">
        <v>7</v>
      </c>
      <c r="EI411" s="27" t="s">
        <v>8</v>
      </c>
      <c r="EJ411" s="27" t="s">
        <v>7</v>
      </c>
      <c r="EK411" s="27" t="s">
        <v>8</v>
      </c>
      <c r="EL411" s="27" t="s">
        <v>7</v>
      </c>
      <c r="EM411" s="27" t="s">
        <v>8</v>
      </c>
      <c r="EN411" s="27" t="s">
        <v>7</v>
      </c>
      <c r="GA411" s="27" t="s">
        <v>8</v>
      </c>
      <c r="GB411" s="27" t="s">
        <v>7</v>
      </c>
      <c r="GC411" s="27" t="s">
        <v>8</v>
      </c>
      <c r="GD411" s="27" t="s">
        <v>7</v>
      </c>
    </row>
    <row r="412" spans="1:191" x14ac:dyDescent="0.25">
      <c r="A412" s="7">
        <v>31.99116518883174</v>
      </c>
      <c r="B412"/>
      <c r="C412"/>
      <c r="D412"/>
      <c r="E412"/>
      <c r="Q412" s="27" t="s">
        <v>8</v>
      </c>
      <c r="R412" s="27" t="s">
        <v>7</v>
      </c>
      <c r="S412" s="27" t="s">
        <v>8</v>
      </c>
      <c r="T412" s="27" t="s">
        <v>7</v>
      </c>
      <c r="CG412" s="27" t="s">
        <v>8</v>
      </c>
      <c r="CN412" s="27" t="s">
        <v>7</v>
      </c>
      <c r="CO412" s="27" t="s">
        <v>8</v>
      </c>
      <c r="CR412" s="27" t="s">
        <v>7</v>
      </c>
      <c r="EH412" s="27" t="s">
        <v>7</v>
      </c>
      <c r="EI412" s="27" t="s">
        <v>8</v>
      </c>
      <c r="EJ412" s="27" t="s">
        <v>7</v>
      </c>
      <c r="EK412" s="27" t="s">
        <v>8</v>
      </c>
      <c r="EL412" s="27" t="s">
        <v>7</v>
      </c>
      <c r="EM412" s="27" t="s">
        <v>8</v>
      </c>
      <c r="EN412" s="27" t="s">
        <v>7</v>
      </c>
      <c r="EQ412" s="27" t="s">
        <v>8</v>
      </c>
      <c r="FU412" s="27" t="s">
        <v>8</v>
      </c>
      <c r="GA412" s="27" t="s">
        <v>8</v>
      </c>
      <c r="GB412" s="27" t="s">
        <v>7</v>
      </c>
      <c r="GD412" s="27" t="s">
        <v>7</v>
      </c>
    </row>
    <row r="413" spans="1:191" x14ac:dyDescent="0.25">
      <c r="A413" s="7">
        <v>31.363887440031117</v>
      </c>
      <c r="B413"/>
      <c r="C413"/>
      <c r="D413"/>
      <c r="E413"/>
      <c r="Q413" s="27" t="s">
        <v>8</v>
      </c>
      <c r="R413" s="27" t="s">
        <v>7</v>
      </c>
      <c r="S413" s="27" t="s">
        <v>8</v>
      </c>
      <c r="T413" s="27" t="s">
        <v>7</v>
      </c>
      <c r="CG413" s="27" t="s">
        <v>8</v>
      </c>
      <c r="CN413" s="27" t="s">
        <v>7</v>
      </c>
      <c r="CO413" s="27" t="s">
        <v>8</v>
      </c>
      <c r="EH413" s="27" t="s">
        <v>7</v>
      </c>
      <c r="EI413" s="27" t="s">
        <v>8</v>
      </c>
      <c r="EJ413" s="27" t="s">
        <v>7</v>
      </c>
      <c r="EK413" s="27" t="s">
        <v>8</v>
      </c>
      <c r="EL413" s="27" t="s">
        <v>7</v>
      </c>
      <c r="EM413" s="27" t="s">
        <v>8</v>
      </c>
      <c r="EN413" s="27" t="s">
        <v>7</v>
      </c>
      <c r="EQ413" s="27" t="s">
        <v>8</v>
      </c>
      <c r="ER413" s="27" t="s">
        <v>7</v>
      </c>
      <c r="FU413" s="27" t="s">
        <v>8</v>
      </c>
      <c r="FV413" s="27" t="s">
        <v>7</v>
      </c>
      <c r="FW413" s="27" t="s">
        <v>8</v>
      </c>
      <c r="GA413" s="27" t="s">
        <v>8</v>
      </c>
      <c r="GD413" s="27" t="s">
        <v>7</v>
      </c>
    </row>
    <row r="414" spans="1:191" x14ac:dyDescent="0.25">
      <c r="A414" s="7">
        <v>30.748909254932467</v>
      </c>
      <c r="B414"/>
      <c r="C414"/>
      <c r="D414"/>
      <c r="E414"/>
      <c r="Q414" s="27" t="s">
        <v>8</v>
      </c>
      <c r="R414" s="27" t="s">
        <v>7</v>
      </c>
      <c r="T414" s="27" t="s">
        <v>7</v>
      </c>
      <c r="CG414" s="27" t="s">
        <v>8</v>
      </c>
      <c r="CN414" s="27" t="s">
        <v>7</v>
      </c>
      <c r="CO414" s="27" t="s">
        <v>8</v>
      </c>
      <c r="EH414" s="27" t="s">
        <v>7</v>
      </c>
      <c r="EI414" s="27" t="s">
        <v>8</v>
      </c>
      <c r="EJ414" s="27" t="s">
        <v>7</v>
      </c>
      <c r="EK414" s="27" t="s">
        <v>8</v>
      </c>
      <c r="EL414" s="27" t="s">
        <v>7</v>
      </c>
      <c r="EM414" s="27" t="s">
        <v>8</v>
      </c>
      <c r="EN414" s="27" t="s">
        <v>7</v>
      </c>
      <c r="EO414" s="27" t="s">
        <v>8</v>
      </c>
      <c r="EQ414" s="27" t="s">
        <v>8</v>
      </c>
      <c r="ER414" s="27" t="s">
        <v>7</v>
      </c>
      <c r="FU414" s="27" t="s">
        <v>8</v>
      </c>
      <c r="FV414" s="27" t="s">
        <v>7</v>
      </c>
      <c r="FW414" s="27" t="s">
        <v>8</v>
      </c>
      <c r="FX414" s="27" t="s">
        <v>7</v>
      </c>
      <c r="GA414" s="27" t="s">
        <v>8</v>
      </c>
      <c r="GD414" s="27" t="s">
        <v>7</v>
      </c>
    </row>
    <row r="415" spans="1:191" x14ac:dyDescent="0.25">
      <c r="A415" s="7">
        <v>30.145989465620065</v>
      </c>
      <c r="B415"/>
      <c r="C415"/>
      <c r="D415"/>
      <c r="E415"/>
      <c r="Q415" s="27" t="s">
        <v>8</v>
      </c>
      <c r="T415" s="27" t="s">
        <v>7</v>
      </c>
      <c r="CG415" s="27" t="s">
        <v>8</v>
      </c>
      <c r="CN415" s="27" t="s">
        <v>7</v>
      </c>
      <c r="CO415" s="27" t="s">
        <v>8</v>
      </c>
      <c r="EH415" s="27" t="s">
        <v>7</v>
      </c>
      <c r="EI415" s="27" t="s">
        <v>8</v>
      </c>
      <c r="EJ415" s="27" t="s">
        <v>7</v>
      </c>
      <c r="EK415" s="27" t="s">
        <v>8</v>
      </c>
      <c r="EL415" s="27" t="s">
        <v>7</v>
      </c>
      <c r="EM415" s="27" t="s">
        <v>8</v>
      </c>
      <c r="EN415" s="27" t="s">
        <v>7</v>
      </c>
      <c r="EO415" s="27" t="s">
        <v>8</v>
      </c>
      <c r="EP415" s="27" t="s">
        <v>7</v>
      </c>
      <c r="EQ415" s="27" t="s">
        <v>8</v>
      </c>
      <c r="ER415" s="27" t="s">
        <v>7</v>
      </c>
      <c r="FS415" s="27" t="s">
        <v>8</v>
      </c>
      <c r="FU415" s="27" t="s">
        <v>8</v>
      </c>
      <c r="FV415" s="27" t="s">
        <v>7</v>
      </c>
      <c r="FW415" s="27" t="s">
        <v>8</v>
      </c>
      <c r="FX415" s="27" t="s">
        <v>7</v>
      </c>
      <c r="GA415" s="27" t="s">
        <v>8</v>
      </c>
      <c r="GD415" s="27" t="s">
        <v>7</v>
      </c>
    </row>
    <row r="416" spans="1:191" x14ac:dyDescent="0.25">
      <c r="A416" s="7">
        <v>29.55489163296085</v>
      </c>
      <c r="B416"/>
      <c r="C416"/>
      <c r="D416"/>
      <c r="E416"/>
      <c r="Q416" s="27" t="s">
        <v>8</v>
      </c>
      <c r="T416" s="27" t="s">
        <v>7</v>
      </c>
      <c r="CG416" s="27" t="s">
        <v>8</v>
      </c>
      <c r="CN416" s="27" t="s">
        <v>7</v>
      </c>
      <c r="CO416" s="27" t="s">
        <v>8</v>
      </c>
      <c r="EH416" s="27" t="s">
        <v>7</v>
      </c>
      <c r="EI416" s="27" t="s">
        <v>8</v>
      </c>
      <c r="EJ416" s="27" t="s">
        <v>7</v>
      </c>
      <c r="EK416" s="27" t="s">
        <v>8</v>
      </c>
      <c r="EL416" s="27" t="s">
        <v>7</v>
      </c>
      <c r="EM416" s="27" t="s">
        <v>8</v>
      </c>
      <c r="EN416" s="27" t="s">
        <v>7</v>
      </c>
      <c r="EO416" s="27" t="s">
        <v>8</v>
      </c>
      <c r="EP416" s="27" t="s">
        <v>7</v>
      </c>
      <c r="EQ416" s="27" t="s">
        <v>8</v>
      </c>
      <c r="ER416" s="27" t="s">
        <v>7</v>
      </c>
      <c r="FS416" s="27" t="s">
        <v>8</v>
      </c>
      <c r="FT416" s="27" t="s">
        <v>7</v>
      </c>
      <c r="FU416" s="27" t="s">
        <v>8</v>
      </c>
      <c r="FV416" s="27" t="s">
        <v>7</v>
      </c>
      <c r="FX416" s="27" t="s">
        <v>7</v>
      </c>
      <c r="GA416" s="27" t="s">
        <v>8</v>
      </c>
      <c r="GD416" s="27" t="s">
        <v>7</v>
      </c>
      <c r="GI416" s="27" t="s">
        <v>8</v>
      </c>
    </row>
    <row r="417" spans="1:222" x14ac:dyDescent="0.25">
      <c r="A417" s="7">
        <v>28.975383953883185</v>
      </c>
      <c r="B417"/>
      <c r="C417"/>
      <c r="D417"/>
      <c r="E417"/>
      <c r="Q417" s="27" t="s">
        <v>8</v>
      </c>
      <c r="T417" s="27" t="s">
        <v>7</v>
      </c>
      <c r="CE417" s="27" t="s">
        <v>8</v>
      </c>
      <c r="CG417" s="27" t="s">
        <v>8</v>
      </c>
      <c r="CN417" s="27" t="s">
        <v>7</v>
      </c>
      <c r="EH417" s="27" t="s">
        <v>7</v>
      </c>
      <c r="EI417" s="27" t="s">
        <v>8</v>
      </c>
      <c r="EJ417" s="27" t="s">
        <v>7</v>
      </c>
      <c r="EL417" s="27" t="s">
        <v>7</v>
      </c>
      <c r="EM417" s="27" t="s">
        <v>8</v>
      </c>
      <c r="EN417" s="27" t="s">
        <v>7</v>
      </c>
      <c r="EO417" s="27" t="s">
        <v>8</v>
      </c>
      <c r="EP417" s="27" t="s">
        <v>7</v>
      </c>
      <c r="EQ417" s="27" t="s">
        <v>8</v>
      </c>
      <c r="ER417" s="27" t="s">
        <v>7</v>
      </c>
      <c r="FS417" s="27" t="s">
        <v>8</v>
      </c>
      <c r="FT417" s="27" t="s">
        <v>7</v>
      </c>
      <c r="FU417" s="27" t="s">
        <v>8</v>
      </c>
      <c r="FX417" s="27" t="s">
        <v>7</v>
      </c>
      <c r="GA417" s="27" t="s">
        <v>8</v>
      </c>
      <c r="GD417" s="27" t="s">
        <v>7</v>
      </c>
      <c r="GI417" s="27" t="s">
        <v>8</v>
      </c>
      <c r="GJ417" s="27" t="s">
        <v>7</v>
      </c>
      <c r="GY417" s="27" t="s">
        <v>8</v>
      </c>
    </row>
    <row r="418" spans="1:222" x14ac:dyDescent="0.25">
      <c r="A418" s="7">
        <v>28.407239170473709</v>
      </c>
      <c r="B418"/>
      <c r="C418"/>
      <c r="D418"/>
      <c r="E418"/>
      <c r="Q418" s="27" t="s">
        <v>8</v>
      </c>
      <c r="T418" s="27" t="s">
        <v>7</v>
      </c>
      <c r="CE418" s="27" t="s">
        <v>8</v>
      </c>
      <c r="CF418" s="27" t="s">
        <v>7</v>
      </c>
      <c r="CG418" s="27" t="s">
        <v>8</v>
      </c>
      <c r="EH418" s="27" t="s">
        <v>7</v>
      </c>
      <c r="EI418" s="27" t="s">
        <v>8</v>
      </c>
      <c r="EL418" s="27" t="s">
        <v>7</v>
      </c>
      <c r="EM418" s="27" t="s">
        <v>8</v>
      </c>
      <c r="EN418" s="27" t="s">
        <v>7</v>
      </c>
      <c r="EO418" s="27" t="s">
        <v>8</v>
      </c>
      <c r="EP418" s="27" t="s">
        <v>7</v>
      </c>
      <c r="ER418" s="27" t="s">
        <v>7</v>
      </c>
      <c r="FS418" s="27" t="s">
        <v>8</v>
      </c>
      <c r="FT418" s="27" t="s">
        <v>7</v>
      </c>
      <c r="FU418" s="27" t="s">
        <v>8</v>
      </c>
      <c r="FX418" s="27" t="s">
        <v>7</v>
      </c>
      <c r="FY418" s="27" t="s">
        <v>8</v>
      </c>
      <c r="GA418" s="27" t="s">
        <v>8</v>
      </c>
      <c r="GD418" s="27" t="s">
        <v>7</v>
      </c>
      <c r="GI418" s="27" t="s">
        <v>8</v>
      </c>
      <c r="GJ418" s="27" t="s">
        <v>7</v>
      </c>
      <c r="GY418" s="27" t="s">
        <v>8</v>
      </c>
      <c r="GZ418" s="27" t="s">
        <v>7</v>
      </c>
    </row>
    <row r="419" spans="1:222" x14ac:dyDescent="0.25">
      <c r="A419" s="7">
        <v>27.850234480856578</v>
      </c>
      <c r="B419"/>
      <c r="C419"/>
      <c r="D419"/>
      <c r="E419"/>
      <c r="Q419" s="27" t="s">
        <v>8</v>
      </c>
      <c r="T419" s="27" t="s">
        <v>7</v>
      </c>
      <c r="CE419" s="27" t="s">
        <v>8</v>
      </c>
      <c r="CF419" s="27" t="s">
        <v>7</v>
      </c>
      <c r="CG419" s="27" t="s">
        <v>8</v>
      </c>
      <c r="EH419" s="27" t="s">
        <v>7</v>
      </c>
      <c r="EI419" s="27" t="s">
        <v>8</v>
      </c>
      <c r="EL419" s="27" t="s">
        <v>7</v>
      </c>
      <c r="EM419" s="27" t="s">
        <v>8</v>
      </c>
      <c r="EN419" s="27" t="s">
        <v>7</v>
      </c>
      <c r="EO419" s="27" t="s">
        <v>8</v>
      </c>
      <c r="ER419" s="27" t="s">
        <v>7</v>
      </c>
      <c r="FS419" s="27" t="s">
        <v>8</v>
      </c>
      <c r="FT419" s="27" t="s">
        <v>7</v>
      </c>
      <c r="FU419" s="27" t="s">
        <v>8</v>
      </c>
      <c r="FX419" s="27" t="s">
        <v>7</v>
      </c>
      <c r="FY419" s="27" t="s">
        <v>8</v>
      </c>
      <c r="FZ419" s="27" t="s">
        <v>7</v>
      </c>
      <c r="GA419" s="27" t="s">
        <v>8</v>
      </c>
      <c r="GD419" s="27" t="s">
        <v>7</v>
      </c>
      <c r="GG419" s="27" t="s">
        <v>8</v>
      </c>
      <c r="GI419" s="27" t="s">
        <v>8</v>
      </c>
      <c r="GJ419" s="27" t="s">
        <v>7</v>
      </c>
      <c r="GY419" s="27" t="s">
        <v>8</v>
      </c>
      <c r="GZ419" s="27" t="s">
        <v>7</v>
      </c>
      <c r="HA419" s="27" t="s">
        <v>8</v>
      </c>
    </row>
    <row r="420" spans="1:222" x14ac:dyDescent="0.25">
      <c r="A420" s="7">
        <v>27.304151451820175</v>
      </c>
      <c r="B420"/>
      <c r="C420"/>
      <c r="D420"/>
      <c r="E420"/>
      <c r="Q420" s="27" t="s">
        <v>8</v>
      </c>
      <c r="T420" s="27" t="s">
        <v>7</v>
      </c>
      <c r="CE420" s="27" t="s">
        <v>8</v>
      </c>
      <c r="CF420" s="27" t="s">
        <v>7</v>
      </c>
      <c r="CG420" s="27" t="s">
        <v>8</v>
      </c>
      <c r="EH420" s="27" t="s">
        <v>7</v>
      </c>
      <c r="EI420" s="27" t="s">
        <v>8</v>
      </c>
      <c r="EL420" s="27" t="s">
        <v>7</v>
      </c>
      <c r="EM420" s="27" t="s">
        <v>8</v>
      </c>
      <c r="EN420" s="27" t="s">
        <v>7</v>
      </c>
      <c r="EO420" s="27" t="s">
        <v>8</v>
      </c>
      <c r="ER420" s="27" t="s">
        <v>7</v>
      </c>
      <c r="FS420" s="27" t="s">
        <v>8</v>
      </c>
      <c r="FT420" s="27" t="s">
        <v>7</v>
      </c>
      <c r="FU420" s="27" t="s">
        <v>8</v>
      </c>
      <c r="FX420" s="27" t="s">
        <v>7</v>
      </c>
      <c r="FY420" s="27" t="s">
        <v>8</v>
      </c>
      <c r="FZ420" s="27" t="s">
        <v>7</v>
      </c>
      <c r="GA420" s="27" t="s">
        <v>8</v>
      </c>
      <c r="GD420" s="27" t="s">
        <v>7</v>
      </c>
      <c r="GE420" s="27" t="s">
        <v>8</v>
      </c>
      <c r="GG420" s="27" t="s">
        <v>8</v>
      </c>
      <c r="GH420" s="27" t="s">
        <v>7</v>
      </c>
      <c r="GI420" s="27" t="s">
        <v>8</v>
      </c>
      <c r="GJ420" s="27" t="s">
        <v>7</v>
      </c>
      <c r="GY420" s="27" t="s">
        <v>8</v>
      </c>
      <c r="GZ420" s="27" t="s">
        <v>7</v>
      </c>
      <c r="HA420" s="27" t="s">
        <v>8</v>
      </c>
      <c r="HB420" s="27" t="s">
        <v>7</v>
      </c>
    </row>
    <row r="421" spans="1:222" x14ac:dyDescent="0.25">
      <c r="A421" s="7">
        <v>26.768775933157034</v>
      </c>
      <c r="B421"/>
      <c r="C421"/>
      <c r="D421"/>
      <c r="E421"/>
      <c r="M421" s="27" t="s">
        <v>8</v>
      </c>
      <c r="O421" s="27" t="s">
        <v>8</v>
      </c>
      <c r="Q421" s="27" t="s">
        <v>8</v>
      </c>
      <c r="T421" s="27" t="s">
        <v>7</v>
      </c>
      <c r="CE421" s="27" t="s">
        <v>8</v>
      </c>
      <c r="CF421" s="27" t="s">
        <v>7</v>
      </c>
      <c r="CG421" s="27" t="s">
        <v>8</v>
      </c>
      <c r="EH421" s="27" t="s">
        <v>7</v>
      </c>
      <c r="EI421" s="27" t="s">
        <v>8</v>
      </c>
      <c r="EL421" s="27" t="s">
        <v>7</v>
      </c>
      <c r="EM421" s="27" t="s">
        <v>8</v>
      </c>
      <c r="EN421" s="27" t="s">
        <v>7</v>
      </c>
      <c r="EO421" s="27" t="s">
        <v>8</v>
      </c>
      <c r="ER421" s="27" t="s">
        <v>7</v>
      </c>
      <c r="FO421" s="27" t="s">
        <v>8</v>
      </c>
      <c r="FQ421" s="27" t="s">
        <v>8</v>
      </c>
      <c r="FS421" s="27" t="s">
        <v>8</v>
      </c>
      <c r="FT421" s="27" t="s">
        <v>7</v>
      </c>
      <c r="FU421" s="27" t="s">
        <v>8</v>
      </c>
      <c r="FX421" s="27" t="s">
        <v>7</v>
      </c>
      <c r="FY421" s="27" t="s">
        <v>8</v>
      </c>
      <c r="FZ421" s="27" t="s">
        <v>7</v>
      </c>
      <c r="GA421" s="27" t="s">
        <v>8</v>
      </c>
      <c r="GD421" s="27" t="s">
        <v>7</v>
      </c>
      <c r="GE421" s="27" t="s">
        <v>8</v>
      </c>
      <c r="GF421" s="27" t="s">
        <v>7</v>
      </c>
      <c r="GG421" s="27" t="s">
        <v>8</v>
      </c>
      <c r="GH421" s="27" t="s">
        <v>7</v>
      </c>
      <c r="GI421" s="27" t="s">
        <v>8</v>
      </c>
      <c r="GJ421" s="27" t="s">
        <v>7</v>
      </c>
      <c r="GW421" s="27" t="s">
        <v>8</v>
      </c>
      <c r="GY421" s="27" t="s">
        <v>8</v>
      </c>
      <c r="GZ421" s="27" t="s">
        <v>7</v>
      </c>
      <c r="HA421" s="27" t="s">
        <v>8</v>
      </c>
      <c r="HB421" s="27" t="s">
        <v>7</v>
      </c>
    </row>
    <row r="422" spans="1:222" x14ac:dyDescent="0.25">
      <c r="A422" s="7">
        <v>26.243897973683367</v>
      </c>
      <c r="B422"/>
      <c r="C422"/>
      <c r="D422"/>
      <c r="E422"/>
      <c r="M422" s="27" t="s">
        <v>8</v>
      </c>
      <c r="N422" s="27" t="s">
        <v>7</v>
      </c>
      <c r="O422" s="27" t="s">
        <v>8</v>
      </c>
      <c r="P422" s="27" t="s">
        <v>7</v>
      </c>
      <c r="Q422" s="27" t="s">
        <v>8</v>
      </c>
      <c r="T422" s="27" t="s">
        <v>7</v>
      </c>
      <c r="CE422" s="27" t="s">
        <v>8</v>
      </c>
      <c r="CF422" s="27" t="s">
        <v>7</v>
      </c>
      <c r="CG422" s="27" t="s">
        <v>8</v>
      </c>
      <c r="EH422" s="27" t="s">
        <v>7</v>
      </c>
      <c r="EI422" s="27" t="s">
        <v>8</v>
      </c>
      <c r="EL422" s="27" t="s">
        <v>7</v>
      </c>
      <c r="EM422" s="27" t="s">
        <v>8</v>
      </c>
      <c r="EN422" s="27" t="s">
        <v>7</v>
      </c>
      <c r="EO422" s="27" t="s">
        <v>8</v>
      </c>
      <c r="ER422" s="27" t="s">
        <v>7</v>
      </c>
      <c r="ES422" s="27" t="s">
        <v>8</v>
      </c>
      <c r="FC422" s="27" t="s">
        <v>8</v>
      </c>
      <c r="FO422" s="27" t="s">
        <v>8</v>
      </c>
      <c r="FP422" s="27" t="s">
        <v>7</v>
      </c>
      <c r="FQ422" s="27" t="s">
        <v>8</v>
      </c>
      <c r="FR422" s="27" t="s">
        <v>7</v>
      </c>
      <c r="FS422" s="27" t="s">
        <v>8</v>
      </c>
      <c r="FT422" s="27" t="s">
        <v>7</v>
      </c>
      <c r="FU422" s="27" t="s">
        <v>8</v>
      </c>
      <c r="FX422" s="27" t="s">
        <v>7</v>
      </c>
      <c r="FY422" s="27" t="s">
        <v>8</v>
      </c>
      <c r="FZ422" s="27" t="s">
        <v>7</v>
      </c>
      <c r="GD422" s="27" t="s">
        <v>7</v>
      </c>
      <c r="GE422" s="27" t="s">
        <v>8</v>
      </c>
      <c r="GF422" s="27" t="s">
        <v>7</v>
      </c>
      <c r="GG422" s="27" t="s">
        <v>8</v>
      </c>
      <c r="GH422" s="27" t="s">
        <v>7</v>
      </c>
      <c r="GI422" s="27" t="s">
        <v>8</v>
      </c>
      <c r="GJ422" s="27" t="s">
        <v>7</v>
      </c>
      <c r="GW422" s="27" t="s">
        <v>8</v>
      </c>
      <c r="GX422" s="27" t="s">
        <v>7</v>
      </c>
      <c r="GY422" s="27" t="s">
        <v>8</v>
      </c>
      <c r="GZ422" s="27" t="s">
        <v>7</v>
      </c>
      <c r="HA422" s="27" t="s">
        <v>8</v>
      </c>
      <c r="HB422" s="27" t="s">
        <v>7</v>
      </c>
    </row>
    <row r="423" spans="1:222" x14ac:dyDescent="0.25">
      <c r="A423" s="7">
        <v>25.729311738905263</v>
      </c>
      <c r="B423"/>
      <c r="C423"/>
      <c r="D423"/>
      <c r="E423"/>
      <c r="M423" s="27" t="s">
        <v>8</v>
      </c>
      <c r="N423" s="27" t="s">
        <v>7</v>
      </c>
      <c r="O423" s="27" t="s">
        <v>8</v>
      </c>
      <c r="P423" s="27" t="s">
        <v>7</v>
      </c>
      <c r="Q423" s="27" t="s">
        <v>8</v>
      </c>
      <c r="T423" s="27" t="s">
        <v>7</v>
      </c>
      <c r="CE423" s="27" t="s">
        <v>8</v>
      </c>
      <c r="CF423" s="27" t="s">
        <v>7</v>
      </c>
      <c r="CG423" s="27" t="s">
        <v>8</v>
      </c>
      <c r="EH423" s="27" t="s">
        <v>7</v>
      </c>
      <c r="EI423" s="27" t="s">
        <v>8</v>
      </c>
      <c r="EL423" s="27" t="s">
        <v>7</v>
      </c>
      <c r="EM423" s="27" t="s">
        <v>8</v>
      </c>
      <c r="EN423" s="27" t="s">
        <v>7</v>
      </c>
      <c r="ER423" s="27" t="s">
        <v>7</v>
      </c>
      <c r="ES423" s="27" t="s">
        <v>8</v>
      </c>
      <c r="ET423" s="27" t="s">
        <v>7</v>
      </c>
      <c r="FA423" s="27" t="s">
        <v>8</v>
      </c>
      <c r="FC423" s="27" t="s">
        <v>8</v>
      </c>
      <c r="FD423" s="27" t="s">
        <v>7</v>
      </c>
      <c r="FO423" s="27" t="s">
        <v>8</v>
      </c>
      <c r="FP423" s="27" t="s">
        <v>7</v>
      </c>
      <c r="FQ423" s="27" t="s">
        <v>8</v>
      </c>
      <c r="FR423" s="27" t="s">
        <v>7</v>
      </c>
      <c r="FS423" s="27" t="s">
        <v>8</v>
      </c>
      <c r="FT423" s="27" t="s">
        <v>7</v>
      </c>
      <c r="FU423" s="27" t="s">
        <v>8</v>
      </c>
      <c r="FX423" s="27" t="s">
        <v>7</v>
      </c>
      <c r="FY423" s="27" t="s">
        <v>8</v>
      </c>
      <c r="GD423" s="27" t="s">
        <v>7</v>
      </c>
      <c r="GE423" s="27" t="s">
        <v>8</v>
      </c>
      <c r="GF423" s="27" t="s">
        <v>7</v>
      </c>
      <c r="GG423" s="27" t="s">
        <v>8</v>
      </c>
      <c r="GH423" s="27" t="s">
        <v>7</v>
      </c>
      <c r="GI423" s="27" t="s">
        <v>8</v>
      </c>
      <c r="GJ423" s="27" t="s">
        <v>7</v>
      </c>
      <c r="GW423" s="27" t="s">
        <v>8</v>
      </c>
      <c r="GX423" s="27" t="s">
        <v>7</v>
      </c>
      <c r="GY423" s="27" t="s">
        <v>8</v>
      </c>
      <c r="GZ423" s="27" t="s">
        <v>7</v>
      </c>
      <c r="HB423" s="27" t="s">
        <v>7</v>
      </c>
    </row>
    <row r="424" spans="1:222" x14ac:dyDescent="0.25">
      <c r="A424" s="7">
        <v>25.224815430299277</v>
      </c>
      <c r="B424"/>
      <c r="C424"/>
      <c r="D424"/>
      <c r="E424"/>
      <c r="M424" s="27" t="s">
        <v>8</v>
      </c>
      <c r="N424" s="27" t="s">
        <v>7</v>
      </c>
      <c r="O424" s="27" t="s">
        <v>8</v>
      </c>
      <c r="P424" s="27" t="s">
        <v>7</v>
      </c>
      <c r="Q424" s="27" t="s">
        <v>8</v>
      </c>
      <c r="T424" s="27" t="s">
        <v>7</v>
      </c>
      <c r="AA424" s="27" t="s">
        <v>8</v>
      </c>
      <c r="CE424" s="27" t="s">
        <v>8</v>
      </c>
      <c r="CF424" s="27" t="s">
        <v>7</v>
      </c>
      <c r="EH424" s="27" t="s">
        <v>7</v>
      </c>
      <c r="EL424" s="27" t="s">
        <v>7</v>
      </c>
      <c r="EM424" s="27" t="s">
        <v>8</v>
      </c>
      <c r="ER424" s="27" t="s">
        <v>7</v>
      </c>
      <c r="ES424" s="27" t="s">
        <v>8</v>
      </c>
      <c r="ET424" s="27" t="s">
        <v>7</v>
      </c>
      <c r="FA424" s="27" t="s">
        <v>8</v>
      </c>
      <c r="FB424" s="27" t="s">
        <v>7</v>
      </c>
      <c r="FC424" s="27" t="s">
        <v>8</v>
      </c>
      <c r="FD424" s="27" t="s">
        <v>7</v>
      </c>
      <c r="FO424" s="27" t="s">
        <v>8</v>
      </c>
      <c r="FP424" s="27" t="s">
        <v>7</v>
      </c>
      <c r="FQ424" s="27" t="s">
        <v>8</v>
      </c>
      <c r="FR424" s="27" t="s">
        <v>7</v>
      </c>
      <c r="FS424" s="27" t="s">
        <v>8</v>
      </c>
      <c r="FT424" s="27" t="s">
        <v>7</v>
      </c>
      <c r="FX424" s="27" t="s">
        <v>7</v>
      </c>
      <c r="GD424" s="27" t="s">
        <v>7</v>
      </c>
      <c r="GE424" s="27" t="s">
        <v>8</v>
      </c>
      <c r="GF424" s="27" t="s">
        <v>7</v>
      </c>
      <c r="GG424" s="27" t="s">
        <v>8</v>
      </c>
      <c r="GH424" s="27" t="s">
        <v>7</v>
      </c>
      <c r="GI424" s="27" t="s">
        <v>8</v>
      </c>
      <c r="GJ424" s="27" t="s">
        <v>7</v>
      </c>
      <c r="GW424" s="27" t="s">
        <v>8</v>
      </c>
      <c r="GX424" s="27" t="s">
        <v>7</v>
      </c>
      <c r="GY424" s="27" t="s">
        <v>8</v>
      </c>
      <c r="HB424" s="27" t="s">
        <v>7</v>
      </c>
      <c r="HC424" s="27" t="s">
        <v>8</v>
      </c>
    </row>
    <row r="425" spans="1:222" x14ac:dyDescent="0.25">
      <c r="A425" s="7">
        <v>24.73021120617576</v>
      </c>
      <c r="B425"/>
      <c r="C425"/>
      <c r="D425"/>
      <c r="E425" t="s">
        <v>8</v>
      </c>
      <c r="M425" s="27" t="s">
        <v>8</v>
      </c>
      <c r="N425" s="27" t="s">
        <v>7</v>
      </c>
      <c r="O425" s="27" t="s">
        <v>8</v>
      </c>
      <c r="P425" s="27" t="s">
        <v>7</v>
      </c>
      <c r="Q425" s="27" t="s">
        <v>8</v>
      </c>
      <c r="T425" s="27" t="s">
        <v>7</v>
      </c>
      <c r="AA425" s="27" t="s">
        <v>8</v>
      </c>
      <c r="AB425" s="27" t="s">
        <v>7</v>
      </c>
      <c r="CA425" s="27" t="s">
        <v>8</v>
      </c>
      <c r="CE425" s="27" t="s">
        <v>8</v>
      </c>
      <c r="EL425" s="27" t="s">
        <v>7</v>
      </c>
      <c r="EM425" s="27" t="s">
        <v>8</v>
      </c>
      <c r="ER425" s="27" t="s">
        <v>7</v>
      </c>
      <c r="ES425" s="27" t="s">
        <v>8</v>
      </c>
      <c r="ET425" s="27" t="s">
        <v>7</v>
      </c>
      <c r="EU425" s="27" t="s">
        <v>8</v>
      </c>
      <c r="FA425" s="27" t="s">
        <v>8</v>
      </c>
      <c r="FB425" s="27" t="s">
        <v>7</v>
      </c>
      <c r="FC425" s="27" t="s">
        <v>8</v>
      </c>
      <c r="FD425" s="27" t="s">
        <v>7</v>
      </c>
      <c r="FO425" s="27" t="s">
        <v>8</v>
      </c>
      <c r="FP425" s="27" t="s">
        <v>7</v>
      </c>
      <c r="FQ425" s="27" t="s">
        <v>8</v>
      </c>
      <c r="FR425" s="27" t="s">
        <v>7</v>
      </c>
      <c r="FS425" s="27" t="s">
        <v>8</v>
      </c>
      <c r="GD425" s="27" t="s">
        <v>7</v>
      </c>
      <c r="GE425" s="27" t="s">
        <v>8</v>
      </c>
      <c r="GF425" s="27" t="s">
        <v>7</v>
      </c>
      <c r="GG425" s="27" t="s">
        <v>8</v>
      </c>
      <c r="GH425" s="27" t="s">
        <v>7</v>
      </c>
      <c r="GI425" s="27" t="s">
        <v>8</v>
      </c>
      <c r="GJ425" s="27" t="s">
        <v>7</v>
      </c>
      <c r="GS425" s="27" t="s">
        <v>8</v>
      </c>
      <c r="GW425" s="27" t="s">
        <v>8</v>
      </c>
      <c r="GX425" s="27" t="s">
        <v>7</v>
      </c>
      <c r="GY425" s="27" t="s">
        <v>8</v>
      </c>
      <c r="HB425" s="27" t="s">
        <v>7</v>
      </c>
      <c r="HC425" s="27" t="s">
        <v>8</v>
      </c>
      <c r="HD425" s="27" t="s">
        <v>7</v>
      </c>
    </row>
    <row r="426" spans="1:222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M426" s="27" t="s">
        <v>8</v>
      </c>
      <c r="N426" s="27" t="s">
        <v>7</v>
      </c>
      <c r="O426" s="27" t="s">
        <v>8</v>
      </c>
      <c r="P426" s="27" t="s">
        <v>7</v>
      </c>
      <c r="T426" s="27" t="s">
        <v>7</v>
      </c>
      <c r="AA426" s="27" t="s">
        <v>8</v>
      </c>
      <c r="AB426" s="27" t="s">
        <v>7</v>
      </c>
      <c r="CA426" s="27" t="s">
        <v>8</v>
      </c>
      <c r="CB426" s="27" t="s">
        <v>7</v>
      </c>
      <c r="CE426" s="27" t="s">
        <v>8</v>
      </c>
      <c r="EL426" s="27" t="s">
        <v>7</v>
      </c>
      <c r="EM426" s="27" t="s">
        <v>8</v>
      </c>
      <c r="ER426" s="27" t="s">
        <v>7</v>
      </c>
      <c r="ES426" s="27" t="s">
        <v>8</v>
      </c>
      <c r="ET426" s="27" t="s">
        <v>7</v>
      </c>
      <c r="EU426" s="27" t="s">
        <v>8</v>
      </c>
      <c r="EV426" s="27" t="s">
        <v>7</v>
      </c>
      <c r="FA426" s="27" t="s">
        <v>8</v>
      </c>
      <c r="FB426" s="27" t="s">
        <v>7</v>
      </c>
      <c r="FC426" s="27" t="s">
        <v>8</v>
      </c>
      <c r="FD426" s="27" t="s">
        <v>7</v>
      </c>
      <c r="FO426" s="27" t="s">
        <v>8</v>
      </c>
      <c r="FP426" s="27" t="s">
        <v>7</v>
      </c>
      <c r="FQ426" s="27" t="s">
        <v>8</v>
      </c>
      <c r="FR426" s="27" t="s">
        <v>7</v>
      </c>
      <c r="GD426" s="27" t="s">
        <v>7</v>
      </c>
      <c r="GE426" s="27" t="s">
        <v>8</v>
      </c>
      <c r="GF426" s="27" t="s">
        <v>7</v>
      </c>
      <c r="GG426" s="27" t="s">
        <v>8</v>
      </c>
      <c r="GH426" s="27" t="s">
        <v>7</v>
      </c>
      <c r="GI426" s="27" t="s">
        <v>8</v>
      </c>
      <c r="GJ426" s="27" t="s">
        <v>7</v>
      </c>
      <c r="GS426" s="27" t="s">
        <v>8</v>
      </c>
      <c r="GT426" s="27" t="s">
        <v>7</v>
      </c>
      <c r="GW426" s="27" t="s">
        <v>8</v>
      </c>
      <c r="GX426" s="27" t="s">
        <v>7</v>
      </c>
      <c r="GY426" s="27" t="s">
        <v>8</v>
      </c>
      <c r="HB426" s="27" t="s">
        <v>7</v>
      </c>
      <c r="HC426" s="27" t="s">
        <v>8</v>
      </c>
      <c r="HD426" s="27" t="s">
        <v>7</v>
      </c>
    </row>
    <row r="427" spans="1:222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M427" s="27" t="s">
        <v>8</v>
      </c>
      <c r="N427" s="27" t="s">
        <v>7</v>
      </c>
      <c r="O427" s="27" t="s">
        <v>8</v>
      </c>
      <c r="T427" s="27" t="s">
        <v>7</v>
      </c>
      <c r="U427" s="27" t="s">
        <v>8</v>
      </c>
      <c r="AA427" s="27" t="s">
        <v>8</v>
      </c>
      <c r="AB427" s="27" t="s">
        <v>7</v>
      </c>
      <c r="CA427" s="27" t="s">
        <v>8</v>
      </c>
      <c r="CB427" s="27" t="s">
        <v>7</v>
      </c>
      <c r="CC427" s="27" t="s">
        <v>8</v>
      </c>
      <c r="CE427" s="27" t="s">
        <v>8</v>
      </c>
      <c r="EL427" s="27" t="s">
        <v>7</v>
      </c>
      <c r="EM427" s="27" t="s">
        <v>8</v>
      </c>
      <c r="ER427" s="27" t="s">
        <v>7</v>
      </c>
      <c r="ET427" s="27" t="s">
        <v>7</v>
      </c>
      <c r="EU427" s="27" t="s">
        <v>8</v>
      </c>
      <c r="EV427" s="27" t="s">
        <v>7</v>
      </c>
      <c r="FA427" s="27" t="s">
        <v>8</v>
      </c>
      <c r="FB427" s="27" t="s">
        <v>7</v>
      </c>
      <c r="FD427" s="27" t="s">
        <v>7</v>
      </c>
      <c r="FO427" s="27" t="s">
        <v>8</v>
      </c>
      <c r="FP427" s="27" t="s">
        <v>7</v>
      </c>
      <c r="FQ427" s="27" t="s">
        <v>8</v>
      </c>
      <c r="GD427" s="27" t="s">
        <v>7</v>
      </c>
      <c r="GE427" s="27" t="s">
        <v>8</v>
      </c>
      <c r="GF427" s="27" t="s">
        <v>7</v>
      </c>
      <c r="GH427" s="27" t="s">
        <v>7</v>
      </c>
      <c r="GJ427" s="27" t="s">
        <v>7</v>
      </c>
      <c r="GS427" s="27" t="s">
        <v>8</v>
      </c>
      <c r="GT427" s="27" t="s">
        <v>7</v>
      </c>
      <c r="GW427" s="27" t="s">
        <v>8</v>
      </c>
      <c r="GX427" s="27" t="s">
        <v>7</v>
      </c>
      <c r="HB427" s="27" t="s">
        <v>7</v>
      </c>
      <c r="HC427" s="27" t="s">
        <v>8</v>
      </c>
      <c r="HD427" s="27" t="s">
        <v>7</v>
      </c>
    </row>
    <row r="428" spans="1:222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M428" s="27" t="s">
        <v>8</v>
      </c>
      <c r="N428" s="27" t="s">
        <v>7</v>
      </c>
      <c r="O428" s="27" t="s">
        <v>8</v>
      </c>
      <c r="T428" s="27" t="s">
        <v>7</v>
      </c>
      <c r="U428" s="27" t="s">
        <v>8</v>
      </c>
      <c r="V428" s="27" t="s">
        <v>7</v>
      </c>
      <c r="Y428" s="27" t="s">
        <v>8</v>
      </c>
      <c r="AA428" s="27" t="s">
        <v>8</v>
      </c>
      <c r="AB428" s="27" t="s">
        <v>7</v>
      </c>
      <c r="CA428" s="27" t="s">
        <v>8</v>
      </c>
      <c r="CB428" s="27" t="s">
        <v>7</v>
      </c>
      <c r="CC428" s="27" t="s">
        <v>8</v>
      </c>
      <c r="CD428" s="27" t="s">
        <v>7</v>
      </c>
      <c r="CE428" s="27" t="s">
        <v>8</v>
      </c>
      <c r="EL428" s="27" t="s">
        <v>7</v>
      </c>
      <c r="EM428" s="27" t="s">
        <v>8</v>
      </c>
      <c r="ET428" s="27" t="s">
        <v>7</v>
      </c>
      <c r="EU428" s="27" t="s">
        <v>8</v>
      </c>
      <c r="EV428" s="27" t="s">
        <v>7</v>
      </c>
      <c r="FA428" s="27" t="s">
        <v>8</v>
      </c>
      <c r="FD428" s="27" t="s">
        <v>7</v>
      </c>
      <c r="FO428" s="27" t="s">
        <v>8</v>
      </c>
      <c r="FP428" s="27" t="s">
        <v>7</v>
      </c>
      <c r="GD428" s="27" t="s">
        <v>7</v>
      </c>
      <c r="GE428" s="27" t="s">
        <v>8</v>
      </c>
      <c r="GJ428" s="27" t="s">
        <v>7</v>
      </c>
      <c r="GS428" s="27" t="s">
        <v>8</v>
      </c>
      <c r="GT428" s="27" t="s">
        <v>7</v>
      </c>
      <c r="GU428" s="27" t="s">
        <v>8</v>
      </c>
      <c r="GW428" s="27" t="s">
        <v>8</v>
      </c>
      <c r="HB428" s="27" t="s">
        <v>7</v>
      </c>
      <c r="HC428" s="27" t="s">
        <v>8</v>
      </c>
      <c r="HD428" s="27" t="s">
        <v>7</v>
      </c>
    </row>
    <row r="429" spans="1:222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G429" s="27" t="s">
        <v>8</v>
      </c>
      <c r="K429" s="27" t="s">
        <v>8</v>
      </c>
      <c r="M429" s="27" t="s">
        <v>8</v>
      </c>
      <c r="N429" s="27" t="s">
        <v>7</v>
      </c>
      <c r="O429" s="27" t="s">
        <v>8</v>
      </c>
      <c r="T429" s="27" t="s">
        <v>7</v>
      </c>
      <c r="U429" s="27" t="s">
        <v>8</v>
      </c>
      <c r="V429" s="27" t="s">
        <v>7</v>
      </c>
      <c r="Y429" s="27" t="s">
        <v>8</v>
      </c>
      <c r="Z429" s="27" t="s">
        <v>7</v>
      </c>
      <c r="AA429" s="27" t="s">
        <v>8</v>
      </c>
      <c r="AB429" s="27" t="s">
        <v>7</v>
      </c>
      <c r="CA429" s="27" t="s">
        <v>8</v>
      </c>
      <c r="CB429" s="27" t="s">
        <v>7</v>
      </c>
      <c r="CC429" s="27" t="s">
        <v>8</v>
      </c>
      <c r="CD429" s="27" t="s">
        <v>7</v>
      </c>
      <c r="CE429" s="27" t="s">
        <v>8</v>
      </c>
      <c r="EL429" s="27" t="s">
        <v>7</v>
      </c>
      <c r="EM429" s="27" t="s">
        <v>8</v>
      </c>
      <c r="ET429" s="27" t="s">
        <v>7</v>
      </c>
      <c r="EU429" s="27" t="s">
        <v>8</v>
      </c>
      <c r="EV429" s="27" t="s">
        <v>7</v>
      </c>
      <c r="FA429" s="27" t="s">
        <v>8</v>
      </c>
      <c r="FD429" s="27" t="s">
        <v>7</v>
      </c>
      <c r="FE429" s="27" t="s">
        <v>8</v>
      </c>
      <c r="FM429" s="27" t="s">
        <v>8</v>
      </c>
      <c r="FO429" s="27" t="s">
        <v>8</v>
      </c>
      <c r="GD429" s="27" t="s">
        <v>7</v>
      </c>
      <c r="GE429" s="27" t="s">
        <v>8</v>
      </c>
      <c r="GJ429" s="27" t="s">
        <v>7</v>
      </c>
      <c r="GO429" s="27" t="s">
        <v>8</v>
      </c>
      <c r="GQ429" s="27" t="s">
        <v>8</v>
      </c>
      <c r="GS429" s="27" t="s">
        <v>8</v>
      </c>
      <c r="GT429" s="27" t="s">
        <v>7</v>
      </c>
      <c r="GU429" s="27" t="s">
        <v>8</v>
      </c>
      <c r="GV429" s="27" t="s">
        <v>7</v>
      </c>
      <c r="GW429" s="27" t="s">
        <v>8</v>
      </c>
      <c r="HB429" s="27" t="s">
        <v>7</v>
      </c>
      <c r="HC429" s="27" t="s">
        <v>8</v>
      </c>
      <c r="HD429" s="27" t="s">
        <v>7</v>
      </c>
      <c r="HI429" s="27" t="s">
        <v>8</v>
      </c>
    </row>
    <row r="430" spans="1:222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G430" s="27" t="s">
        <v>8</v>
      </c>
      <c r="H430" s="27" t="s">
        <v>7</v>
      </c>
      <c r="I430" s="27" t="s">
        <v>8</v>
      </c>
      <c r="K430" s="27" t="s">
        <v>8</v>
      </c>
      <c r="L430" s="27" t="s">
        <v>7</v>
      </c>
      <c r="M430" s="27" t="s">
        <v>8</v>
      </c>
      <c r="N430" s="27" t="s">
        <v>7</v>
      </c>
      <c r="T430" s="27" t="s">
        <v>7</v>
      </c>
      <c r="U430" s="27" t="s">
        <v>8</v>
      </c>
      <c r="V430" s="27" t="s">
        <v>7</v>
      </c>
      <c r="Y430" s="27" t="s">
        <v>8</v>
      </c>
      <c r="Z430" s="27" t="s">
        <v>7</v>
      </c>
      <c r="AA430" s="27" t="s">
        <v>8</v>
      </c>
      <c r="AB430" s="27" t="s">
        <v>7</v>
      </c>
      <c r="CA430" s="27" t="s">
        <v>8</v>
      </c>
      <c r="CB430" s="27" t="s">
        <v>7</v>
      </c>
      <c r="CC430" s="27" t="s">
        <v>8</v>
      </c>
      <c r="CD430" s="27" t="s">
        <v>7</v>
      </c>
      <c r="CE430" s="27" t="s">
        <v>8</v>
      </c>
      <c r="EL430" s="27" t="s">
        <v>7</v>
      </c>
      <c r="EM430" s="27" t="s">
        <v>8</v>
      </c>
      <c r="ET430" s="27" t="s">
        <v>7</v>
      </c>
      <c r="EU430" s="27" t="s">
        <v>8</v>
      </c>
      <c r="EV430" s="27" t="s">
        <v>7</v>
      </c>
      <c r="EY430" s="27" t="s">
        <v>8</v>
      </c>
      <c r="FA430" s="27" t="s">
        <v>8</v>
      </c>
      <c r="FD430" s="27" t="s">
        <v>7</v>
      </c>
      <c r="FE430" s="27" t="s">
        <v>8</v>
      </c>
      <c r="FF430" s="27" t="s">
        <v>7</v>
      </c>
      <c r="FM430" s="27" t="s">
        <v>8</v>
      </c>
      <c r="FN430" s="27" t="s">
        <v>7</v>
      </c>
      <c r="FO430" s="27" t="s">
        <v>8</v>
      </c>
      <c r="GD430" s="27" t="s">
        <v>7</v>
      </c>
      <c r="GJ430" s="27" t="s">
        <v>7</v>
      </c>
      <c r="GO430" s="27" t="s">
        <v>8</v>
      </c>
      <c r="GP430" s="27" t="s">
        <v>7</v>
      </c>
      <c r="GQ430" s="27" t="s">
        <v>8</v>
      </c>
      <c r="GR430" s="27" t="s">
        <v>7</v>
      </c>
      <c r="GS430" s="27" t="s">
        <v>8</v>
      </c>
      <c r="GT430" s="27" t="s">
        <v>7</v>
      </c>
      <c r="GU430" s="27" t="s">
        <v>8</v>
      </c>
      <c r="GV430" s="27" t="s">
        <v>7</v>
      </c>
      <c r="GW430" s="27" t="s">
        <v>8</v>
      </c>
      <c r="HB430" s="27" t="s">
        <v>7</v>
      </c>
      <c r="HD430" s="27" t="s">
        <v>7</v>
      </c>
      <c r="HI430" s="27" t="s">
        <v>8</v>
      </c>
      <c r="HJ430" s="27" t="s">
        <v>7</v>
      </c>
    </row>
    <row r="431" spans="1:222" x14ac:dyDescent="0.25">
      <c r="A431" s="7">
        <v>21.959719826504344</v>
      </c>
      <c r="B431"/>
      <c r="C431"/>
      <c r="D431"/>
      <c r="E431" t="s">
        <v>8</v>
      </c>
      <c r="F431" s="27" t="s">
        <v>7</v>
      </c>
      <c r="G431" s="27" t="s">
        <v>8</v>
      </c>
      <c r="H431" s="27" t="s">
        <v>7</v>
      </c>
      <c r="I431" s="27" t="s">
        <v>8</v>
      </c>
      <c r="J431" s="27" t="s">
        <v>7</v>
      </c>
      <c r="K431" s="27" t="s">
        <v>8</v>
      </c>
      <c r="L431" s="27" t="s">
        <v>7</v>
      </c>
      <c r="M431" s="27" t="s">
        <v>8</v>
      </c>
      <c r="T431" s="27" t="s">
        <v>7</v>
      </c>
      <c r="U431" s="27" t="s">
        <v>8</v>
      </c>
      <c r="V431" s="27" t="s">
        <v>7</v>
      </c>
      <c r="W431" s="27" t="s">
        <v>8</v>
      </c>
      <c r="Y431" s="27" t="s">
        <v>8</v>
      </c>
      <c r="Z431" s="27" t="s">
        <v>7</v>
      </c>
      <c r="AA431" s="27" t="s">
        <v>8</v>
      </c>
      <c r="AB431" s="27" t="s">
        <v>7</v>
      </c>
      <c r="CA431" s="27" t="s">
        <v>8</v>
      </c>
      <c r="CB431" s="27" t="s">
        <v>7</v>
      </c>
      <c r="CC431" s="27" t="s">
        <v>8</v>
      </c>
      <c r="CD431" s="27" t="s">
        <v>7</v>
      </c>
      <c r="CE431" s="27" t="s">
        <v>8</v>
      </c>
      <c r="EL431" s="27" t="s">
        <v>7</v>
      </c>
      <c r="EM431" s="27" t="s">
        <v>8</v>
      </c>
      <c r="ET431" s="27" t="s">
        <v>7</v>
      </c>
      <c r="EV431" s="27" t="s">
        <v>7</v>
      </c>
      <c r="EY431" s="27" t="s">
        <v>8</v>
      </c>
      <c r="EZ431" s="27" t="s">
        <v>7</v>
      </c>
      <c r="FA431" s="27" t="s">
        <v>8</v>
      </c>
      <c r="FD431" s="27" t="s">
        <v>7</v>
      </c>
      <c r="FE431" s="27" t="s">
        <v>8</v>
      </c>
      <c r="FF431" s="27" t="s">
        <v>7</v>
      </c>
      <c r="FM431" s="27" t="s">
        <v>8</v>
      </c>
      <c r="FN431" s="27" t="s">
        <v>7</v>
      </c>
      <c r="FO431" s="27" t="s">
        <v>8</v>
      </c>
      <c r="GJ431" s="27" t="s">
        <v>7</v>
      </c>
      <c r="GK431" s="27" t="s">
        <v>8</v>
      </c>
      <c r="GM431" s="27" t="s">
        <v>8</v>
      </c>
      <c r="GO431" s="27" t="s">
        <v>8</v>
      </c>
      <c r="GP431" s="27" t="s">
        <v>7</v>
      </c>
      <c r="GQ431" s="27" t="s">
        <v>8</v>
      </c>
      <c r="GR431" s="27" t="s">
        <v>7</v>
      </c>
      <c r="GS431" s="27" t="s">
        <v>8</v>
      </c>
      <c r="GT431" s="27" t="s">
        <v>7</v>
      </c>
      <c r="GU431" s="27" t="s">
        <v>8</v>
      </c>
      <c r="GV431" s="27" t="s">
        <v>7</v>
      </c>
      <c r="GW431" s="27" t="s">
        <v>8</v>
      </c>
      <c r="HD431" s="27" t="s">
        <v>7</v>
      </c>
      <c r="HG431" s="27" t="s">
        <v>8</v>
      </c>
      <c r="HI431" s="27" t="s">
        <v>8</v>
      </c>
      <c r="HJ431" s="27" t="s">
        <v>7</v>
      </c>
      <c r="HM431" s="27" t="s">
        <v>8</v>
      </c>
    </row>
    <row r="432" spans="1:222" x14ac:dyDescent="0.25">
      <c r="A432" s="7">
        <v>21.52913708480818</v>
      </c>
      <c r="B432"/>
      <c r="C432"/>
      <c r="D432"/>
      <c r="E432" t="s">
        <v>8</v>
      </c>
      <c r="F432" s="27" t="s">
        <v>7</v>
      </c>
      <c r="G432" s="27" t="s">
        <v>8</v>
      </c>
      <c r="H432" s="27" t="s">
        <v>7</v>
      </c>
      <c r="I432" s="27" t="s">
        <v>8</v>
      </c>
      <c r="J432" s="27" t="s">
        <v>7</v>
      </c>
      <c r="K432" s="27" t="s">
        <v>8</v>
      </c>
      <c r="L432" s="27" t="s">
        <v>7</v>
      </c>
      <c r="M432" s="27" t="s">
        <v>8</v>
      </c>
      <c r="T432" s="27" t="s">
        <v>7</v>
      </c>
      <c r="U432" s="27" t="s">
        <v>8</v>
      </c>
      <c r="V432" s="27" t="s">
        <v>7</v>
      </c>
      <c r="W432" s="27" t="s">
        <v>8</v>
      </c>
      <c r="X432" s="27" t="s">
        <v>7</v>
      </c>
      <c r="Y432" s="27" t="s">
        <v>8</v>
      </c>
      <c r="Z432" s="27" t="s">
        <v>7</v>
      </c>
      <c r="AA432" s="27" t="s">
        <v>8</v>
      </c>
      <c r="AB432" s="27" t="s">
        <v>7</v>
      </c>
      <c r="BW432" s="27" t="s">
        <v>8</v>
      </c>
      <c r="CA432" s="27" t="s">
        <v>8</v>
      </c>
      <c r="CB432" s="27" t="s">
        <v>7</v>
      </c>
      <c r="CC432" s="27" t="s">
        <v>8</v>
      </c>
      <c r="CD432" s="27" t="s">
        <v>7</v>
      </c>
      <c r="CE432" s="27" t="s">
        <v>8</v>
      </c>
      <c r="EL432" s="27" t="s">
        <v>7</v>
      </c>
      <c r="EV432" s="27" t="s">
        <v>7</v>
      </c>
      <c r="EY432" s="27" t="s">
        <v>8</v>
      </c>
      <c r="EZ432" s="27" t="s">
        <v>7</v>
      </c>
      <c r="FA432" s="27" t="s">
        <v>8</v>
      </c>
      <c r="FD432" s="27" t="s">
        <v>7</v>
      </c>
      <c r="FF432" s="27" t="s">
        <v>7</v>
      </c>
      <c r="FK432" s="27" t="s">
        <v>8</v>
      </c>
      <c r="FM432" s="27" t="s">
        <v>8</v>
      </c>
      <c r="FN432" s="27" t="s">
        <v>7</v>
      </c>
      <c r="FO432" s="27" t="s">
        <v>8</v>
      </c>
      <c r="GJ432" s="27" t="s">
        <v>7</v>
      </c>
      <c r="GK432" s="27" t="s">
        <v>8</v>
      </c>
      <c r="GL432" s="27" t="s">
        <v>7</v>
      </c>
      <c r="GM432" s="27" t="s">
        <v>8</v>
      </c>
      <c r="GN432" s="27" t="s">
        <v>7</v>
      </c>
      <c r="GO432" s="27" t="s">
        <v>8</v>
      </c>
      <c r="GP432" s="27" t="s">
        <v>7</v>
      </c>
      <c r="GQ432" s="27" t="s">
        <v>8</v>
      </c>
      <c r="GR432" s="27" t="s">
        <v>7</v>
      </c>
      <c r="GS432" s="27" t="s">
        <v>8</v>
      </c>
      <c r="GT432" s="27" t="s">
        <v>7</v>
      </c>
      <c r="GV432" s="27" t="s">
        <v>7</v>
      </c>
      <c r="GW432" s="27" t="s">
        <v>8</v>
      </c>
      <c r="HD432" s="27" t="s">
        <v>7</v>
      </c>
      <c r="HE432" s="27" t="s">
        <v>8</v>
      </c>
      <c r="HG432" s="27" t="s">
        <v>8</v>
      </c>
      <c r="HH432" s="27" t="s">
        <v>7</v>
      </c>
      <c r="HI432" s="27" t="s">
        <v>8</v>
      </c>
      <c r="HJ432" s="27" t="s">
        <v>7</v>
      </c>
      <c r="HM432" s="27" t="s">
        <v>8</v>
      </c>
      <c r="HN432" s="27" t="s">
        <v>7</v>
      </c>
    </row>
    <row r="433" spans="1:244" x14ac:dyDescent="0.25">
      <c r="A433" s="7">
        <v>21.106997141968804</v>
      </c>
      <c r="B433"/>
      <c r="C433"/>
      <c r="D433"/>
      <c r="E433" t="s">
        <v>8</v>
      </c>
      <c r="F433" s="27" t="s">
        <v>7</v>
      </c>
      <c r="G433" s="27" t="s">
        <v>8</v>
      </c>
      <c r="H433" s="27" t="s">
        <v>7</v>
      </c>
      <c r="I433" s="27" t="s">
        <v>8</v>
      </c>
      <c r="J433" s="27" t="s">
        <v>7</v>
      </c>
      <c r="K433" s="27" t="s">
        <v>8</v>
      </c>
      <c r="L433" s="27" t="s">
        <v>7</v>
      </c>
      <c r="M433" s="27" t="s">
        <v>8</v>
      </c>
      <c r="T433" s="27" t="s">
        <v>7</v>
      </c>
      <c r="U433" s="27" t="s">
        <v>8</v>
      </c>
      <c r="V433" s="27" t="s">
        <v>7</v>
      </c>
      <c r="W433" s="27" t="s">
        <v>8</v>
      </c>
      <c r="X433" s="27" t="s">
        <v>7</v>
      </c>
      <c r="Y433" s="27" t="s">
        <v>8</v>
      </c>
      <c r="Z433" s="27" t="s">
        <v>7</v>
      </c>
      <c r="AA433" s="27" t="s">
        <v>8</v>
      </c>
      <c r="AB433" s="27" t="s">
        <v>7</v>
      </c>
      <c r="BW433" s="27" t="s">
        <v>8</v>
      </c>
      <c r="BX433" s="27" t="s">
        <v>7</v>
      </c>
      <c r="CA433" s="27" t="s">
        <v>8</v>
      </c>
      <c r="CB433" s="27" t="s">
        <v>7</v>
      </c>
      <c r="CC433" s="27" t="s">
        <v>8</v>
      </c>
      <c r="CD433" s="27" t="s">
        <v>7</v>
      </c>
      <c r="CE433" s="27" t="s">
        <v>8</v>
      </c>
      <c r="EV433" s="27" t="s">
        <v>7</v>
      </c>
      <c r="EY433" s="27" t="s">
        <v>8</v>
      </c>
      <c r="EZ433" s="27" t="s">
        <v>7</v>
      </c>
      <c r="FA433" s="27" t="s">
        <v>8</v>
      </c>
      <c r="FF433" s="27" t="s">
        <v>7</v>
      </c>
      <c r="FK433" s="27" t="s">
        <v>8</v>
      </c>
      <c r="FL433" s="27" t="s">
        <v>7</v>
      </c>
      <c r="FM433" s="27" t="s">
        <v>8</v>
      </c>
      <c r="FN433" s="27" t="s">
        <v>7</v>
      </c>
      <c r="FO433" s="27" t="s">
        <v>8</v>
      </c>
      <c r="GJ433" s="27" t="s">
        <v>7</v>
      </c>
      <c r="GK433" s="27" t="s">
        <v>8</v>
      </c>
      <c r="GL433" s="27" t="s">
        <v>7</v>
      </c>
      <c r="GM433" s="27" t="s">
        <v>8</v>
      </c>
      <c r="GN433" s="27" t="s">
        <v>7</v>
      </c>
      <c r="GO433" s="27" t="s">
        <v>8</v>
      </c>
      <c r="GP433" s="27" t="s">
        <v>7</v>
      </c>
      <c r="GQ433" s="27" t="s">
        <v>8</v>
      </c>
      <c r="GR433" s="27" t="s">
        <v>7</v>
      </c>
      <c r="GS433" s="27" t="s">
        <v>8</v>
      </c>
      <c r="GV433" s="27" t="s">
        <v>7</v>
      </c>
      <c r="HD433" s="27" t="s">
        <v>7</v>
      </c>
      <c r="HE433" s="27" t="s">
        <v>8</v>
      </c>
      <c r="HF433" s="27" t="s">
        <v>7</v>
      </c>
      <c r="HG433" s="27" t="s">
        <v>8</v>
      </c>
      <c r="HH433" s="27" t="s">
        <v>7</v>
      </c>
      <c r="HI433" s="27" t="s">
        <v>8</v>
      </c>
      <c r="HJ433" s="27" t="s">
        <v>7</v>
      </c>
      <c r="HM433" s="27" t="s">
        <v>8</v>
      </c>
      <c r="HN433" s="27" t="s">
        <v>7</v>
      </c>
    </row>
    <row r="434" spans="1:244" x14ac:dyDescent="0.25">
      <c r="A434" s="7">
        <v>20.693134452910591</v>
      </c>
      <c r="B434"/>
      <c r="C434"/>
      <c r="D434"/>
      <c r="E434" t="s">
        <v>8</v>
      </c>
      <c r="F434" s="27" t="s">
        <v>7</v>
      </c>
      <c r="G434" s="27" t="s">
        <v>8</v>
      </c>
      <c r="H434" s="27" t="s">
        <v>7</v>
      </c>
      <c r="I434" s="27" t="s">
        <v>8</v>
      </c>
      <c r="J434" s="27" t="s">
        <v>7</v>
      </c>
      <c r="K434" s="27" t="s">
        <v>8</v>
      </c>
      <c r="L434" s="27" t="s">
        <v>7</v>
      </c>
      <c r="M434" s="27" t="s">
        <v>8</v>
      </c>
      <c r="T434" s="27" t="s">
        <v>7</v>
      </c>
      <c r="V434" s="27" t="s">
        <v>7</v>
      </c>
      <c r="W434" s="27" t="s">
        <v>8</v>
      </c>
      <c r="X434" s="27" t="s">
        <v>7</v>
      </c>
      <c r="Y434" s="27" t="s">
        <v>8</v>
      </c>
      <c r="Z434" s="27" t="s">
        <v>7</v>
      </c>
      <c r="AA434" s="27" t="s">
        <v>8</v>
      </c>
      <c r="AB434" s="27" t="s">
        <v>7</v>
      </c>
      <c r="BW434" s="27" t="s">
        <v>8</v>
      </c>
      <c r="BX434" s="27" t="s">
        <v>7</v>
      </c>
      <c r="CA434" s="27" t="s">
        <v>8</v>
      </c>
      <c r="CB434" s="27" t="s">
        <v>7</v>
      </c>
      <c r="CC434" s="27" t="s">
        <v>8</v>
      </c>
      <c r="CD434" s="27" t="s">
        <v>7</v>
      </c>
      <c r="CE434" s="27" t="s">
        <v>8</v>
      </c>
      <c r="EV434" s="27" t="s">
        <v>7</v>
      </c>
      <c r="EY434" s="27" t="s">
        <v>8</v>
      </c>
      <c r="EZ434" s="27" t="s">
        <v>7</v>
      </c>
      <c r="FA434" s="27" t="s">
        <v>8</v>
      </c>
      <c r="FF434" s="27" t="s">
        <v>7</v>
      </c>
      <c r="FK434" s="27" t="s">
        <v>8</v>
      </c>
      <c r="FL434" s="27" t="s">
        <v>7</v>
      </c>
      <c r="FM434" s="27" t="s">
        <v>8</v>
      </c>
      <c r="FN434" s="27" t="s">
        <v>7</v>
      </c>
      <c r="GJ434" s="27" t="s">
        <v>7</v>
      </c>
      <c r="GK434" s="27" t="s">
        <v>8</v>
      </c>
      <c r="GL434" s="27" t="s">
        <v>7</v>
      </c>
      <c r="GM434" s="27" t="s">
        <v>8</v>
      </c>
      <c r="GN434" s="27" t="s">
        <v>7</v>
      </c>
      <c r="GO434" s="27" t="s">
        <v>8</v>
      </c>
      <c r="GP434" s="27" t="s">
        <v>7</v>
      </c>
      <c r="GR434" s="27" t="s">
        <v>7</v>
      </c>
      <c r="GS434" s="27" t="s">
        <v>8</v>
      </c>
      <c r="HD434" s="27" t="s">
        <v>7</v>
      </c>
      <c r="HE434" s="27" t="s">
        <v>8</v>
      </c>
      <c r="HF434" s="27" t="s">
        <v>7</v>
      </c>
      <c r="HG434" s="27" t="s">
        <v>8</v>
      </c>
      <c r="HH434" s="27" t="s">
        <v>7</v>
      </c>
      <c r="HI434" s="27" t="s">
        <v>8</v>
      </c>
      <c r="HJ434" s="27" t="s">
        <v>7</v>
      </c>
      <c r="HK434" s="27" t="s">
        <v>8</v>
      </c>
      <c r="HM434" s="27" t="s">
        <v>8</v>
      </c>
      <c r="HN434" s="27" t="s">
        <v>7</v>
      </c>
    </row>
    <row r="435" spans="1:244" x14ac:dyDescent="0.25">
      <c r="A435" s="7">
        <v>20.287386718539796</v>
      </c>
      <c r="B435"/>
      <c r="C435"/>
      <c r="D435"/>
      <c r="E435" t="s">
        <v>8</v>
      </c>
      <c r="F435" s="27" t="s">
        <v>7</v>
      </c>
      <c r="G435" s="27" t="s">
        <v>8</v>
      </c>
      <c r="H435" s="27" t="s">
        <v>7</v>
      </c>
      <c r="I435" s="27" t="s">
        <v>8</v>
      </c>
      <c r="J435" s="27" t="s">
        <v>7</v>
      </c>
      <c r="K435" s="27" t="s">
        <v>8</v>
      </c>
      <c r="L435" s="27" t="s">
        <v>7</v>
      </c>
      <c r="M435" s="27" t="s">
        <v>8</v>
      </c>
      <c r="V435" s="27" t="s">
        <v>7</v>
      </c>
      <c r="W435" s="27" t="s">
        <v>8</v>
      </c>
      <c r="X435" s="27" t="s">
        <v>7</v>
      </c>
      <c r="Y435" s="27" t="s">
        <v>8</v>
      </c>
      <c r="Z435" s="27" t="s">
        <v>7</v>
      </c>
      <c r="AB435" s="27" t="s">
        <v>7</v>
      </c>
      <c r="BW435" s="27" t="s">
        <v>8</v>
      </c>
      <c r="BX435" s="27" t="s">
        <v>7</v>
      </c>
      <c r="CA435" s="27" t="s">
        <v>8</v>
      </c>
      <c r="CB435" s="27" t="s">
        <v>7</v>
      </c>
      <c r="CC435" s="27" t="s">
        <v>8</v>
      </c>
      <c r="CD435" s="27" t="s">
        <v>7</v>
      </c>
      <c r="CE435" s="27" t="s">
        <v>8</v>
      </c>
      <c r="EV435" s="27" t="s">
        <v>7</v>
      </c>
      <c r="EY435" s="27" t="s">
        <v>8</v>
      </c>
      <c r="EZ435" s="27" t="s">
        <v>7</v>
      </c>
      <c r="FA435" s="27" t="s">
        <v>8</v>
      </c>
      <c r="FF435" s="27" t="s">
        <v>7</v>
      </c>
      <c r="FG435" s="27" t="s">
        <v>8</v>
      </c>
      <c r="FI435" s="27" t="s">
        <v>8</v>
      </c>
      <c r="FK435" s="27" t="s">
        <v>8</v>
      </c>
      <c r="FL435" s="27" t="s">
        <v>7</v>
      </c>
      <c r="FM435" s="27" t="s">
        <v>8</v>
      </c>
      <c r="GJ435" s="27" t="s">
        <v>7</v>
      </c>
      <c r="GK435" s="27" t="s">
        <v>8</v>
      </c>
      <c r="GL435" s="27" t="s">
        <v>7</v>
      </c>
      <c r="GM435" s="27" t="s">
        <v>8</v>
      </c>
      <c r="GN435" s="27" t="s">
        <v>7</v>
      </c>
      <c r="GO435" s="27" t="s">
        <v>8</v>
      </c>
      <c r="GR435" s="27" t="s">
        <v>7</v>
      </c>
      <c r="GS435" s="27" t="s">
        <v>8</v>
      </c>
      <c r="HD435" s="27" t="s">
        <v>7</v>
      </c>
      <c r="HF435" s="27" t="s">
        <v>7</v>
      </c>
      <c r="HG435" s="27" t="s">
        <v>8</v>
      </c>
      <c r="HH435" s="27" t="s">
        <v>7</v>
      </c>
      <c r="HI435" s="27" t="s">
        <v>8</v>
      </c>
      <c r="HJ435" s="27" t="s">
        <v>7</v>
      </c>
      <c r="HK435" s="27" t="s">
        <v>8</v>
      </c>
      <c r="HL435" s="27" t="s">
        <v>7</v>
      </c>
      <c r="HM435" s="27" t="s">
        <v>8</v>
      </c>
      <c r="HN435" s="27" t="s">
        <v>7</v>
      </c>
      <c r="IC435" s="27" t="s">
        <v>8</v>
      </c>
    </row>
    <row r="436" spans="1:244" x14ac:dyDescent="0.25">
      <c r="A436" s="7">
        <v>19.889594822097838</v>
      </c>
      <c r="B436"/>
      <c r="C436"/>
      <c r="D436"/>
      <c r="E436" t="s">
        <v>8</v>
      </c>
      <c r="F436" s="27" t="s">
        <v>7</v>
      </c>
      <c r="H436" s="27" t="s">
        <v>7</v>
      </c>
      <c r="I436" s="27" t="s">
        <v>8</v>
      </c>
      <c r="J436" s="27" t="s">
        <v>7</v>
      </c>
      <c r="K436" s="27" t="s">
        <v>8</v>
      </c>
      <c r="L436" s="27" t="s">
        <v>7</v>
      </c>
      <c r="M436" s="27" t="s">
        <v>8</v>
      </c>
      <c r="V436" s="27" t="s">
        <v>7</v>
      </c>
      <c r="W436" s="27" t="s">
        <v>8</v>
      </c>
      <c r="X436" s="27" t="s">
        <v>7</v>
      </c>
      <c r="Y436" s="27" t="s">
        <v>8</v>
      </c>
      <c r="AB436" s="27" t="s">
        <v>7</v>
      </c>
      <c r="BW436" s="27" t="s">
        <v>8</v>
      </c>
      <c r="BX436" s="27" t="s">
        <v>7</v>
      </c>
      <c r="CA436" s="27" t="s">
        <v>8</v>
      </c>
      <c r="CB436" s="27" t="s">
        <v>7</v>
      </c>
      <c r="CC436" s="27" t="s">
        <v>8</v>
      </c>
      <c r="CD436" s="27" t="s">
        <v>7</v>
      </c>
      <c r="CE436" s="27" t="s">
        <v>8</v>
      </c>
      <c r="EV436" s="27" t="s">
        <v>7</v>
      </c>
      <c r="EY436" s="27" t="s">
        <v>8</v>
      </c>
      <c r="EZ436" s="27" t="s">
        <v>7</v>
      </c>
      <c r="FA436" s="27" t="s">
        <v>8</v>
      </c>
      <c r="FF436" s="27" t="s">
        <v>7</v>
      </c>
      <c r="FG436" s="27" t="s">
        <v>8</v>
      </c>
      <c r="FH436" s="27" t="s">
        <v>7</v>
      </c>
      <c r="FI436" s="27" t="s">
        <v>8</v>
      </c>
      <c r="FJ436" s="27" t="s">
        <v>7</v>
      </c>
      <c r="FK436" s="27" t="s">
        <v>8</v>
      </c>
      <c r="FL436" s="27" t="s">
        <v>7</v>
      </c>
      <c r="FM436" s="27" t="s">
        <v>8</v>
      </c>
      <c r="GJ436" s="27" t="s">
        <v>7</v>
      </c>
      <c r="GK436" s="27" t="s">
        <v>8</v>
      </c>
      <c r="GL436" s="27" t="s">
        <v>7</v>
      </c>
      <c r="GM436" s="27" t="s">
        <v>8</v>
      </c>
      <c r="GN436" s="27" t="s">
        <v>7</v>
      </c>
      <c r="GO436" s="27" t="s">
        <v>8</v>
      </c>
      <c r="GR436" s="27" t="s">
        <v>7</v>
      </c>
      <c r="GS436" s="27" t="s">
        <v>8</v>
      </c>
      <c r="HF436" s="27" t="s">
        <v>7</v>
      </c>
      <c r="HG436" s="27" t="s">
        <v>8</v>
      </c>
      <c r="HH436" s="27" t="s">
        <v>7</v>
      </c>
      <c r="HJ436" s="27" t="s">
        <v>7</v>
      </c>
      <c r="HK436" s="27" t="s">
        <v>8</v>
      </c>
      <c r="HL436" s="27" t="s">
        <v>7</v>
      </c>
      <c r="HM436" s="27" t="s">
        <v>8</v>
      </c>
      <c r="HN436" s="27" t="s">
        <v>7</v>
      </c>
      <c r="IC436" s="27" t="s">
        <v>8</v>
      </c>
      <c r="ID436" s="27" t="s">
        <v>7</v>
      </c>
    </row>
    <row r="437" spans="1:244" x14ac:dyDescent="0.25">
      <c r="A437" s="7">
        <v>19.499602766762585</v>
      </c>
      <c r="B437"/>
      <c r="C437"/>
      <c r="D437"/>
      <c r="E437" t="s">
        <v>8</v>
      </c>
      <c r="H437" s="27" t="s">
        <v>7</v>
      </c>
      <c r="I437" s="27" t="s">
        <v>8</v>
      </c>
      <c r="J437" s="27" t="s">
        <v>7</v>
      </c>
      <c r="K437" s="27" t="s">
        <v>8</v>
      </c>
      <c r="L437" s="27" t="s">
        <v>7</v>
      </c>
      <c r="V437" s="27" t="s">
        <v>7</v>
      </c>
      <c r="W437" s="27" t="s">
        <v>8</v>
      </c>
      <c r="X437" s="27" t="s">
        <v>7</v>
      </c>
      <c r="Y437" s="27" t="s">
        <v>8</v>
      </c>
      <c r="AB437" s="27" t="s">
        <v>7</v>
      </c>
      <c r="BW437" s="27" t="s">
        <v>8</v>
      </c>
      <c r="BX437" s="27" t="s">
        <v>7</v>
      </c>
      <c r="CA437" s="27" t="s">
        <v>8</v>
      </c>
      <c r="CB437" s="27" t="s">
        <v>7</v>
      </c>
      <c r="CC437" s="27" t="s">
        <v>8</v>
      </c>
      <c r="CD437" s="27" t="s">
        <v>7</v>
      </c>
      <c r="CE437" s="27" t="s">
        <v>8</v>
      </c>
      <c r="EV437" s="27" t="s">
        <v>7</v>
      </c>
      <c r="EY437" s="27" t="s">
        <v>8</v>
      </c>
      <c r="EZ437" s="27" t="s">
        <v>7</v>
      </c>
      <c r="FF437" s="27" t="s">
        <v>7</v>
      </c>
      <c r="FG437" s="27" t="s">
        <v>8</v>
      </c>
      <c r="FH437" s="27" t="s">
        <v>7</v>
      </c>
      <c r="FI437" s="27" t="s">
        <v>8</v>
      </c>
      <c r="FJ437" s="27" t="s">
        <v>7</v>
      </c>
      <c r="FK437" s="27" t="s">
        <v>8</v>
      </c>
      <c r="FL437" s="27" t="s">
        <v>7</v>
      </c>
      <c r="FM437" s="27" t="s">
        <v>8</v>
      </c>
      <c r="GJ437" s="27" t="s">
        <v>7</v>
      </c>
      <c r="GK437" s="27" t="s">
        <v>8</v>
      </c>
      <c r="GL437" s="27" t="s">
        <v>7</v>
      </c>
      <c r="GM437" s="27" t="s">
        <v>8</v>
      </c>
      <c r="GN437" s="27" t="s">
        <v>7</v>
      </c>
      <c r="GO437" s="27" t="s">
        <v>8</v>
      </c>
      <c r="GR437" s="27" t="s">
        <v>7</v>
      </c>
      <c r="HF437" s="27" t="s">
        <v>7</v>
      </c>
      <c r="HG437" s="27" t="s">
        <v>8</v>
      </c>
      <c r="HJ437" s="27" t="s">
        <v>7</v>
      </c>
      <c r="HL437" s="27" t="s">
        <v>7</v>
      </c>
      <c r="HM437" s="27" t="s">
        <v>8</v>
      </c>
      <c r="HN437" s="27" t="s">
        <v>7</v>
      </c>
      <c r="IC437" s="27" t="s">
        <v>8</v>
      </c>
      <c r="ID437" s="27" t="s">
        <v>7</v>
      </c>
    </row>
    <row r="438" spans="1:244" x14ac:dyDescent="0.25">
      <c r="A438" s="7">
        <v>19.117257614473122</v>
      </c>
      <c r="B438"/>
      <c r="C438"/>
      <c r="D438"/>
      <c r="E438" t="s">
        <v>8</v>
      </c>
      <c r="H438" s="27" t="s">
        <v>7</v>
      </c>
      <c r="I438" s="27" t="s">
        <v>8</v>
      </c>
      <c r="J438" s="27" t="s">
        <v>7</v>
      </c>
      <c r="K438" s="27" t="s">
        <v>8</v>
      </c>
      <c r="V438" s="27" t="s">
        <v>7</v>
      </c>
      <c r="W438" s="27" t="s">
        <v>8</v>
      </c>
      <c r="X438" s="27" t="s">
        <v>7</v>
      </c>
      <c r="AB438" s="27" t="s">
        <v>7</v>
      </c>
      <c r="AI438" s="27" t="s">
        <v>8</v>
      </c>
      <c r="BU438" s="27" t="s">
        <v>8</v>
      </c>
      <c r="BW438" s="27" t="s">
        <v>8</v>
      </c>
      <c r="BX438" s="27" t="s">
        <v>7</v>
      </c>
      <c r="CA438" s="27" t="s">
        <v>8</v>
      </c>
      <c r="CB438" s="27" t="s">
        <v>7</v>
      </c>
      <c r="CC438" s="27" t="s">
        <v>8</v>
      </c>
      <c r="CD438" s="27" t="s">
        <v>7</v>
      </c>
      <c r="CE438" s="27" t="s">
        <v>8</v>
      </c>
      <c r="EV438" s="27" t="s">
        <v>7</v>
      </c>
      <c r="EY438" s="27" t="s">
        <v>8</v>
      </c>
      <c r="FF438" s="27" t="s">
        <v>7</v>
      </c>
      <c r="FG438" s="27" t="s">
        <v>8</v>
      </c>
      <c r="FH438" s="27" t="s">
        <v>7</v>
      </c>
      <c r="FI438" s="27" t="s">
        <v>8</v>
      </c>
      <c r="FJ438" s="27" t="s">
        <v>7</v>
      </c>
      <c r="FK438" s="27" t="s">
        <v>8</v>
      </c>
      <c r="FL438" s="27" t="s">
        <v>7</v>
      </c>
      <c r="GJ438" s="27" t="s">
        <v>7</v>
      </c>
      <c r="GL438" s="27" t="s">
        <v>7</v>
      </c>
      <c r="GN438" s="27" t="s">
        <v>7</v>
      </c>
      <c r="GO438" s="27" t="s">
        <v>8</v>
      </c>
      <c r="HF438" s="27" t="s">
        <v>7</v>
      </c>
      <c r="HG438" s="27" t="s">
        <v>8</v>
      </c>
      <c r="HL438" s="27" t="s">
        <v>7</v>
      </c>
      <c r="HM438" s="27" t="s">
        <v>8</v>
      </c>
      <c r="HN438" s="27" t="s">
        <v>7</v>
      </c>
      <c r="HY438" s="27" t="s">
        <v>8</v>
      </c>
      <c r="IC438" s="27" t="s">
        <v>8</v>
      </c>
      <c r="ID438" s="27" t="s">
        <v>7</v>
      </c>
    </row>
    <row r="439" spans="1:244" x14ac:dyDescent="0.25">
      <c r="A439" s="7">
        <v>18.74240942595404</v>
      </c>
      <c r="B439"/>
      <c r="C439"/>
      <c r="D439"/>
      <c r="E439" t="s">
        <v>8</v>
      </c>
      <c r="H439" s="27" t="s">
        <v>7</v>
      </c>
      <c r="I439" s="27" t="s">
        <v>8</v>
      </c>
      <c r="J439" s="27" t="s">
        <v>7</v>
      </c>
      <c r="K439" s="27" t="s">
        <v>8</v>
      </c>
      <c r="V439" s="27" t="s">
        <v>7</v>
      </c>
      <c r="W439" s="27" t="s">
        <v>8</v>
      </c>
      <c r="AB439" s="27" t="s">
        <v>7</v>
      </c>
      <c r="AI439" s="27" t="s">
        <v>8</v>
      </c>
      <c r="AJ439" s="27" t="s">
        <v>7</v>
      </c>
      <c r="BU439" s="27" t="s">
        <v>8</v>
      </c>
      <c r="BV439" s="27" t="s">
        <v>7</v>
      </c>
      <c r="BW439" s="27" t="s">
        <v>8</v>
      </c>
      <c r="BX439" s="27" t="s">
        <v>7</v>
      </c>
      <c r="BY439" s="27" t="s">
        <v>8</v>
      </c>
      <c r="CA439" s="27" t="s">
        <v>8</v>
      </c>
      <c r="CB439" s="27" t="s">
        <v>7</v>
      </c>
      <c r="CC439" s="27" t="s">
        <v>8</v>
      </c>
      <c r="CD439" s="27" t="s">
        <v>7</v>
      </c>
      <c r="EV439" s="27" t="s">
        <v>7</v>
      </c>
      <c r="EY439" s="27" t="s">
        <v>8</v>
      </c>
      <c r="FF439" s="27" t="s">
        <v>7</v>
      </c>
      <c r="FH439" s="27" t="s">
        <v>7</v>
      </c>
      <c r="FI439" s="27" t="s">
        <v>8</v>
      </c>
      <c r="FJ439" s="27" t="s">
        <v>7</v>
      </c>
      <c r="FK439" s="27" t="s">
        <v>8</v>
      </c>
      <c r="GN439" s="27" t="s">
        <v>7</v>
      </c>
      <c r="HF439" s="27" t="s">
        <v>7</v>
      </c>
      <c r="HL439" s="27" t="s">
        <v>7</v>
      </c>
      <c r="HN439" s="27" t="s">
        <v>7</v>
      </c>
      <c r="HW439" s="27" t="s">
        <v>8</v>
      </c>
      <c r="HY439" s="27" t="s">
        <v>8</v>
      </c>
      <c r="HZ439" s="27" t="s">
        <v>7</v>
      </c>
      <c r="IA439" s="27" t="s">
        <v>8</v>
      </c>
      <c r="IC439" s="27" t="s">
        <v>8</v>
      </c>
      <c r="ID439" s="27" t="s">
        <v>7</v>
      </c>
      <c r="IE439" s="27" t="s">
        <v>8</v>
      </c>
    </row>
    <row r="440" spans="1:244" x14ac:dyDescent="0.25">
      <c r="A440" s="7">
        <v>18.374911201915726</v>
      </c>
      <c r="B440"/>
      <c r="C440"/>
      <c r="D440"/>
      <c r="E440" t="s">
        <v>8</v>
      </c>
      <c r="H440" s="27" t="s">
        <v>7</v>
      </c>
      <c r="I440" s="27" t="s">
        <v>8</v>
      </c>
      <c r="J440" s="27" t="s">
        <v>7</v>
      </c>
      <c r="K440" s="27" t="s">
        <v>8</v>
      </c>
      <c r="V440" s="27" t="s">
        <v>7</v>
      </c>
      <c r="W440" s="27" t="s">
        <v>8</v>
      </c>
      <c r="AB440" s="27" t="s">
        <v>7</v>
      </c>
      <c r="AI440" s="27" t="s">
        <v>8</v>
      </c>
      <c r="AJ440" s="27" t="s">
        <v>7</v>
      </c>
      <c r="BU440" s="27" t="s">
        <v>8</v>
      </c>
      <c r="BV440" s="27" t="s">
        <v>7</v>
      </c>
      <c r="BW440" s="27" t="s">
        <v>8</v>
      </c>
      <c r="BX440" s="27" t="s">
        <v>7</v>
      </c>
      <c r="BY440" s="27" t="s">
        <v>8</v>
      </c>
      <c r="BZ440" s="27" t="s">
        <v>7</v>
      </c>
      <c r="CA440" s="27" t="s">
        <v>8</v>
      </c>
      <c r="CB440" s="27" t="s">
        <v>7</v>
      </c>
      <c r="CC440" s="27" t="s">
        <v>8</v>
      </c>
      <c r="EV440" s="27" t="s">
        <v>7</v>
      </c>
      <c r="EY440" s="27" t="s">
        <v>8</v>
      </c>
      <c r="FH440" s="27" t="s">
        <v>7</v>
      </c>
      <c r="FI440" s="27" t="s">
        <v>8</v>
      </c>
      <c r="FJ440" s="27" t="s">
        <v>7</v>
      </c>
      <c r="FK440" s="27" t="s">
        <v>8</v>
      </c>
      <c r="HN440" s="27" t="s">
        <v>7</v>
      </c>
      <c r="HW440" s="27" t="s">
        <v>8</v>
      </c>
      <c r="HX440" s="27" t="s">
        <v>7</v>
      </c>
      <c r="HY440" s="27" t="s">
        <v>8</v>
      </c>
      <c r="HZ440" s="27" t="s">
        <v>7</v>
      </c>
      <c r="IA440" s="27" t="s">
        <v>8</v>
      </c>
      <c r="IB440" s="27" t="s">
        <v>7</v>
      </c>
      <c r="IC440" s="27" t="s">
        <v>8</v>
      </c>
      <c r="ID440" s="27" t="s">
        <v>7</v>
      </c>
      <c r="IE440" s="27" t="s">
        <v>8</v>
      </c>
      <c r="IF440" s="27" t="s">
        <v>7</v>
      </c>
      <c r="II440" s="27" t="s">
        <v>8</v>
      </c>
    </row>
    <row r="441" spans="1:244" x14ac:dyDescent="0.25">
      <c r="A441" s="7">
        <v>18.014618825407574</v>
      </c>
      <c r="B441"/>
      <c r="C441"/>
      <c r="D441"/>
      <c r="E441" t="s">
        <v>8</v>
      </c>
      <c r="H441" s="27" t="s">
        <v>7</v>
      </c>
      <c r="J441" s="27" t="s">
        <v>7</v>
      </c>
      <c r="K441" s="27" t="s">
        <v>8</v>
      </c>
      <c r="V441" s="27" t="s">
        <v>7</v>
      </c>
      <c r="W441" s="27" t="s">
        <v>8</v>
      </c>
      <c r="AB441" s="27" t="s">
        <v>7</v>
      </c>
      <c r="AI441" s="27" t="s">
        <v>8</v>
      </c>
      <c r="AJ441" s="27" t="s">
        <v>7</v>
      </c>
      <c r="BG441" s="27" t="s">
        <v>8</v>
      </c>
      <c r="BU441" s="27" t="s">
        <v>8</v>
      </c>
      <c r="BV441" s="27" t="s">
        <v>7</v>
      </c>
      <c r="BW441" s="27" t="s">
        <v>8</v>
      </c>
      <c r="BX441" s="27" t="s">
        <v>7</v>
      </c>
      <c r="BY441" s="27" t="s">
        <v>8</v>
      </c>
      <c r="BZ441" s="27" t="s">
        <v>7</v>
      </c>
      <c r="CA441" s="27" t="s">
        <v>8</v>
      </c>
      <c r="CB441" s="27" t="s">
        <v>7</v>
      </c>
      <c r="CC441" s="27" t="s">
        <v>8</v>
      </c>
      <c r="EV441" s="27" t="s">
        <v>7</v>
      </c>
      <c r="EW441" s="27" t="s">
        <v>8</v>
      </c>
      <c r="EY441" s="27" t="s">
        <v>8</v>
      </c>
      <c r="FH441" s="27" t="s">
        <v>7</v>
      </c>
      <c r="FI441" s="27" t="s">
        <v>8</v>
      </c>
      <c r="FJ441" s="27" t="s">
        <v>7</v>
      </c>
      <c r="FK441" s="27" t="s">
        <v>8</v>
      </c>
      <c r="HN441" s="27" t="s">
        <v>7</v>
      </c>
      <c r="HW441" s="27" t="s">
        <v>8</v>
      </c>
      <c r="HX441" s="27" t="s">
        <v>7</v>
      </c>
      <c r="HY441" s="27" t="s">
        <v>8</v>
      </c>
      <c r="HZ441" s="27" t="s">
        <v>7</v>
      </c>
      <c r="IA441" s="27" t="s">
        <v>8</v>
      </c>
      <c r="IB441" s="27" t="s">
        <v>7</v>
      </c>
      <c r="IC441" s="27" t="s">
        <v>8</v>
      </c>
      <c r="ID441" s="27" t="s">
        <v>7</v>
      </c>
      <c r="IE441" s="27" t="s">
        <v>8</v>
      </c>
      <c r="IF441" s="27" t="s">
        <v>7</v>
      </c>
      <c r="IG441" s="27" t="s">
        <v>8</v>
      </c>
      <c r="II441" s="27" t="s">
        <v>8</v>
      </c>
      <c r="IJ441" s="27" t="s">
        <v>7</v>
      </c>
    </row>
    <row r="442" spans="1:244" x14ac:dyDescent="0.25">
      <c r="A442" s="7">
        <v>17.661391005301542</v>
      </c>
      <c r="B442"/>
      <c r="C442"/>
      <c r="D442"/>
      <c r="E442" t="s">
        <v>8</v>
      </c>
      <c r="J442" s="27" t="s">
        <v>7</v>
      </c>
      <c r="K442" s="27" t="s">
        <v>8</v>
      </c>
      <c r="V442" s="27" t="s">
        <v>7</v>
      </c>
      <c r="W442" s="27" t="s">
        <v>8</v>
      </c>
      <c r="AB442" s="27" t="s">
        <v>7</v>
      </c>
      <c r="AI442" s="27" t="s">
        <v>8</v>
      </c>
      <c r="AJ442" s="27" t="s">
        <v>7</v>
      </c>
      <c r="BG442" s="27" t="s">
        <v>8</v>
      </c>
      <c r="BH442" s="27" t="s">
        <v>7</v>
      </c>
      <c r="BU442" s="27" t="s">
        <v>8</v>
      </c>
      <c r="BV442" s="27" t="s">
        <v>7</v>
      </c>
      <c r="BW442" s="27" t="s">
        <v>8</v>
      </c>
      <c r="BX442" s="27" t="s">
        <v>7</v>
      </c>
      <c r="BY442" s="27" t="s">
        <v>8</v>
      </c>
      <c r="BZ442" s="27" t="s">
        <v>7</v>
      </c>
      <c r="CA442" s="27" t="s">
        <v>8</v>
      </c>
      <c r="CB442" s="27" t="s">
        <v>7</v>
      </c>
      <c r="CC442" s="27" t="s">
        <v>8</v>
      </c>
      <c r="EV442" s="27" t="s">
        <v>7</v>
      </c>
      <c r="EW442" s="27" t="s">
        <v>8</v>
      </c>
      <c r="EX442" s="27" t="s">
        <v>7</v>
      </c>
      <c r="EY442" s="27" t="s">
        <v>8</v>
      </c>
      <c r="FH442" s="27" t="s">
        <v>7</v>
      </c>
      <c r="FJ442" s="27" t="s">
        <v>7</v>
      </c>
      <c r="FK442" s="27" t="s">
        <v>8</v>
      </c>
      <c r="HN442" s="27" t="s">
        <v>7</v>
      </c>
      <c r="HW442" s="27" t="s">
        <v>8</v>
      </c>
      <c r="HX442" s="27" t="s">
        <v>7</v>
      </c>
      <c r="HY442" s="27" t="s">
        <v>8</v>
      </c>
      <c r="HZ442" s="27" t="s">
        <v>7</v>
      </c>
      <c r="IB442" s="27" t="s">
        <v>7</v>
      </c>
      <c r="IC442" s="27" t="s">
        <v>8</v>
      </c>
      <c r="ID442" s="27" t="s">
        <v>7</v>
      </c>
      <c r="IE442" s="27" t="s">
        <v>8</v>
      </c>
      <c r="IF442" s="27" t="s">
        <v>7</v>
      </c>
      <c r="IG442" s="27" t="s">
        <v>8</v>
      </c>
      <c r="IH442" s="27" t="s">
        <v>7</v>
      </c>
      <c r="II442" s="27" t="s">
        <v>8</v>
      </c>
      <c r="IJ442" s="27" t="s">
        <v>7</v>
      </c>
    </row>
    <row r="443" spans="1:244" x14ac:dyDescent="0.25">
      <c r="A443" s="7">
        <v>17.315089220883866</v>
      </c>
      <c r="B443"/>
      <c r="C443"/>
      <c r="D443"/>
      <c r="E443" t="s">
        <v>8</v>
      </c>
      <c r="J443" s="27" t="s">
        <v>7</v>
      </c>
      <c r="V443" s="27" t="s">
        <v>7</v>
      </c>
      <c r="W443" s="27" t="s">
        <v>8</v>
      </c>
      <c r="AB443" s="27" t="s">
        <v>7</v>
      </c>
      <c r="AI443" s="27" t="s">
        <v>8</v>
      </c>
      <c r="AJ443" s="27" t="s">
        <v>7</v>
      </c>
      <c r="BG443" s="27" t="s">
        <v>8</v>
      </c>
      <c r="BH443" s="27" t="s">
        <v>7</v>
      </c>
      <c r="BS443" s="27" t="s">
        <v>8</v>
      </c>
      <c r="BU443" s="27" t="s">
        <v>8</v>
      </c>
      <c r="BV443" s="27" t="s">
        <v>7</v>
      </c>
      <c r="BW443" s="27" t="s">
        <v>8</v>
      </c>
      <c r="BX443" s="27" t="s">
        <v>7</v>
      </c>
      <c r="BY443" s="27" t="s">
        <v>8</v>
      </c>
      <c r="BZ443" s="27" t="s">
        <v>7</v>
      </c>
      <c r="CA443" s="27" t="s">
        <v>8</v>
      </c>
      <c r="CB443" s="27" t="s">
        <v>7</v>
      </c>
      <c r="CC443" s="27" t="s">
        <v>8</v>
      </c>
      <c r="EV443" s="27" t="s">
        <v>7</v>
      </c>
      <c r="EW443" s="27" t="s">
        <v>8</v>
      </c>
      <c r="EX443" s="27" t="s">
        <v>7</v>
      </c>
      <c r="EY443" s="27" t="s">
        <v>8</v>
      </c>
      <c r="FJ443" s="27" t="s">
        <v>7</v>
      </c>
      <c r="FK443" s="27" t="s">
        <v>8</v>
      </c>
      <c r="HN443" s="27" t="s">
        <v>7</v>
      </c>
      <c r="HW443" s="27" t="s">
        <v>8</v>
      </c>
      <c r="HX443" s="27" t="s">
        <v>7</v>
      </c>
      <c r="HY443" s="27" t="s">
        <v>8</v>
      </c>
      <c r="IB443" s="27" t="s">
        <v>7</v>
      </c>
      <c r="IC443" s="27" t="s">
        <v>8</v>
      </c>
      <c r="ID443" s="27" t="s">
        <v>7</v>
      </c>
      <c r="IE443" s="27" t="s">
        <v>8</v>
      </c>
      <c r="IF443" s="27" t="s">
        <v>7</v>
      </c>
      <c r="IG443" s="27" t="s">
        <v>8</v>
      </c>
      <c r="IH443" s="27" t="s">
        <v>7</v>
      </c>
      <c r="II443" s="27" t="s">
        <v>8</v>
      </c>
      <c r="IJ443" s="27" t="s">
        <v>7</v>
      </c>
    </row>
    <row r="444" spans="1:244" x14ac:dyDescent="0.25">
      <c r="A444" s="7">
        <v>16.975577667533202</v>
      </c>
      <c r="B444"/>
      <c r="C444"/>
      <c r="D444"/>
      <c r="E444" t="s">
        <v>8</v>
      </c>
      <c r="V444" s="27" t="s">
        <v>7</v>
      </c>
      <c r="AB444" s="27" t="s">
        <v>7</v>
      </c>
      <c r="AI444" s="27" t="s">
        <v>8</v>
      </c>
      <c r="AJ444" s="27" t="s">
        <v>7</v>
      </c>
      <c r="BG444" s="27" t="s">
        <v>8</v>
      </c>
      <c r="BH444" s="27" t="s">
        <v>7</v>
      </c>
      <c r="BS444" s="27" t="s">
        <v>8</v>
      </c>
      <c r="BT444" s="27" t="s">
        <v>7</v>
      </c>
      <c r="BU444" s="27" t="s">
        <v>8</v>
      </c>
      <c r="BV444" s="27" t="s">
        <v>7</v>
      </c>
      <c r="BW444" s="27" t="s">
        <v>8</v>
      </c>
      <c r="BX444" s="27" t="s">
        <v>7</v>
      </c>
      <c r="BY444" s="27" t="s">
        <v>8</v>
      </c>
      <c r="BZ444" s="27" t="s">
        <v>7</v>
      </c>
      <c r="CA444" s="27" t="s">
        <v>8</v>
      </c>
      <c r="CB444" s="27" t="s">
        <v>7</v>
      </c>
      <c r="EV444" s="27" t="s">
        <v>7</v>
      </c>
      <c r="EW444" s="27" t="s">
        <v>8</v>
      </c>
      <c r="EX444" s="27" t="s">
        <v>7</v>
      </c>
      <c r="EY444" s="27" t="s">
        <v>8</v>
      </c>
      <c r="FJ444" s="18" t="s">
        <v>7</v>
      </c>
      <c r="FK444" s="27" t="s">
        <v>8</v>
      </c>
      <c r="HN444" s="27" t="s">
        <v>7</v>
      </c>
      <c r="HO444" s="27" t="s">
        <v>8</v>
      </c>
      <c r="HS444" s="27" t="s">
        <v>8</v>
      </c>
      <c r="HW444" s="27" t="s">
        <v>8</v>
      </c>
      <c r="HX444" s="27" t="s">
        <v>7</v>
      </c>
      <c r="IB444" s="27" t="s">
        <v>7</v>
      </c>
      <c r="IC444" s="27" t="s">
        <v>8</v>
      </c>
      <c r="ID444" s="27" t="s">
        <v>7</v>
      </c>
      <c r="IE444" s="27" t="s">
        <v>8</v>
      </c>
      <c r="IF444" s="27" t="s">
        <v>7</v>
      </c>
      <c r="IH444" s="27" t="s">
        <v>7</v>
      </c>
      <c r="IJ444" s="27" t="s">
        <v>7</v>
      </c>
    </row>
    <row r="445" spans="1:244" x14ac:dyDescent="0.25">
      <c r="A445" s="7">
        <v>16.642723203463923</v>
      </c>
      <c r="B445"/>
      <c r="C445"/>
      <c r="D445"/>
      <c r="E445" t="s">
        <v>8</v>
      </c>
      <c r="AB445" s="27" t="s">
        <v>7</v>
      </c>
      <c r="AI445" s="27" t="s">
        <v>8</v>
      </c>
      <c r="AJ445" s="27" t="s">
        <v>7</v>
      </c>
      <c r="AK445" s="27" t="s">
        <v>8</v>
      </c>
      <c r="BG445" s="27" t="s">
        <v>8</v>
      </c>
      <c r="BH445" s="27" t="s">
        <v>7</v>
      </c>
      <c r="BS445" s="27" t="s">
        <v>8</v>
      </c>
      <c r="BT445" s="27" t="s">
        <v>7</v>
      </c>
      <c r="BU445" s="27" t="s">
        <v>8</v>
      </c>
      <c r="BV445" s="27" t="s">
        <v>7</v>
      </c>
      <c r="BW445" s="27" t="s">
        <v>8</v>
      </c>
      <c r="BX445" s="27" t="s">
        <v>7</v>
      </c>
      <c r="BY445" s="27" t="s">
        <v>8</v>
      </c>
      <c r="BZ445" s="27" t="s">
        <v>7</v>
      </c>
      <c r="CA445" s="27" t="s">
        <v>8</v>
      </c>
      <c r="EV445" s="27" t="s">
        <v>7</v>
      </c>
      <c r="EW445" s="27" t="s">
        <v>8</v>
      </c>
      <c r="EX445" s="27" t="s">
        <v>7</v>
      </c>
      <c r="EY445" s="27" t="s">
        <v>8</v>
      </c>
      <c r="FJ445" s="27" t="s">
        <v>7</v>
      </c>
      <c r="FK445" s="27" t="s">
        <v>8</v>
      </c>
      <c r="HN445" s="27" t="s">
        <v>7</v>
      </c>
      <c r="HO445" s="27" t="s">
        <v>8</v>
      </c>
      <c r="HP445" s="27" t="s">
        <v>7</v>
      </c>
      <c r="HS445" s="27" t="s">
        <v>8</v>
      </c>
      <c r="HT445" s="27" t="s">
        <v>7</v>
      </c>
      <c r="HW445" s="27" t="s">
        <v>8</v>
      </c>
      <c r="IB445" s="27" t="s">
        <v>7</v>
      </c>
      <c r="IC445" s="27" t="s">
        <v>8</v>
      </c>
      <c r="ID445" s="27" t="s">
        <v>7</v>
      </c>
      <c r="IJ445" s="27" t="s">
        <v>7</v>
      </c>
    </row>
    <row r="446" spans="1:244" x14ac:dyDescent="0.25">
      <c r="A446" s="7">
        <v>16.316395297513651</v>
      </c>
      <c r="B446"/>
      <c r="C446"/>
      <c r="D446"/>
      <c r="E446" t="s">
        <v>8</v>
      </c>
      <c r="AB446" s="27" t="s">
        <v>7</v>
      </c>
      <c r="AI446" s="27" t="s">
        <v>8</v>
      </c>
      <c r="AJ446" s="27" t="s">
        <v>7</v>
      </c>
      <c r="AK446" s="27" t="s">
        <v>8</v>
      </c>
      <c r="AL446" s="27" t="s">
        <v>7</v>
      </c>
      <c r="BG446" s="27" t="s">
        <v>8</v>
      </c>
      <c r="BH446" s="27" t="s">
        <v>7</v>
      </c>
      <c r="BS446" s="27" t="s">
        <v>8</v>
      </c>
      <c r="BT446" s="27" t="s">
        <v>7</v>
      </c>
      <c r="BU446" s="27" t="s">
        <v>8</v>
      </c>
      <c r="BV446" s="27" t="s">
        <v>7</v>
      </c>
      <c r="BW446" s="27" t="s">
        <v>8</v>
      </c>
      <c r="BX446" s="27" t="s">
        <v>7</v>
      </c>
      <c r="BY446" s="27" t="s">
        <v>8</v>
      </c>
      <c r="BZ446" s="27" t="s">
        <v>7</v>
      </c>
      <c r="CA446" s="27" t="s">
        <v>8</v>
      </c>
      <c r="EV446" s="27" t="s">
        <v>7</v>
      </c>
      <c r="EW446" s="27" t="s">
        <v>8</v>
      </c>
      <c r="EX446" s="27" t="s">
        <v>7</v>
      </c>
      <c r="EY446" s="27" t="s">
        <v>8</v>
      </c>
      <c r="FJ446" s="27" t="s">
        <v>7</v>
      </c>
      <c r="FK446" s="27" t="s">
        <v>8</v>
      </c>
      <c r="HN446" s="27" t="s">
        <v>7</v>
      </c>
      <c r="HO446" s="27" t="s">
        <v>8</v>
      </c>
      <c r="HP446" s="27" t="s">
        <v>7</v>
      </c>
      <c r="HQ446" s="27" t="s">
        <v>8</v>
      </c>
      <c r="HS446" s="27" t="s">
        <v>8</v>
      </c>
      <c r="HT446" s="27" t="s">
        <v>7</v>
      </c>
      <c r="HW446" s="27" t="s">
        <v>8</v>
      </c>
      <c r="IB446" s="27" t="s">
        <v>7</v>
      </c>
      <c r="IC446" s="27" t="s">
        <v>8</v>
      </c>
      <c r="IJ446" s="27" t="s">
        <v>7</v>
      </c>
    </row>
    <row r="447" spans="1:244" x14ac:dyDescent="0.25">
      <c r="A447" s="7">
        <v>15.996465977954561</v>
      </c>
      <c r="B447"/>
      <c r="C447"/>
      <c r="D447"/>
      <c r="E447" t="s">
        <v>8</v>
      </c>
      <c r="AB447" s="27" t="s">
        <v>7</v>
      </c>
      <c r="AG447" s="27" t="s">
        <v>8</v>
      </c>
      <c r="AI447" s="27" t="s">
        <v>8</v>
      </c>
      <c r="AJ447" s="27" t="s">
        <v>7</v>
      </c>
      <c r="AK447" s="27" t="s">
        <v>8</v>
      </c>
      <c r="AL447" s="27" t="s">
        <v>7</v>
      </c>
      <c r="BG447" s="27" t="s">
        <v>8</v>
      </c>
      <c r="BH447" s="27" t="s">
        <v>7</v>
      </c>
      <c r="BS447" s="27" t="s">
        <v>8</v>
      </c>
      <c r="BT447" s="27" t="s">
        <v>7</v>
      </c>
      <c r="BU447" s="27" t="s">
        <v>8</v>
      </c>
      <c r="BV447" s="27" t="s">
        <v>7</v>
      </c>
      <c r="BX447" s="27" t="s">
        <v>7</v>
      </c>
      <c r="BY447" s="27" t="s">
        <v>8</v>
      </c>
      <c r="BZ447" s="27" t="s">
        <v>7</v>
      </c>
      <c r="EV447" s="27" t="s">
        <v>7</v>
      </c>
      <c r="EW447" s="27" t="s">
        <v>8</v>
      </c>
      <c r="EX447" s="27" t="s">
        <v>7</v>
      </c>
      <c r="EY447" s="27" t="s">
        <v>8</v>
      </c>
      <c r="FJ447" s="27" t="s">
        <v>7</v>
      </c>
      <c r="HN447" s="27" t="s">
        <v>7</v>
      </c>
      <c r="HO447" s="27" t="s">
        <v>8</v>
      </c>
      <c r="HP447" s="27" t="s">
        <v>7</v>
      </c>
      <c r="HQ447" s="27" t="s">
        <v>8</v>
      </c>
      <c r="HR447" s="27" t="s">
        <v>7</v>
      </c>
      <c r="HS447" s="27" t="s">
        <v>8</v>
      </c>
      <c r="HT447" s="27" t="s">
        <v>7</v>
      </c>
      <c r="HW447" s="27" t="s">
        <v>8</v>
      </c>
      <c r="IB447" s="27" t="s">
        <v>7</v>
      </c>
      <c r="IC447" s="27" t="s">
        <v>8</v>
      </c>
      <c r="IJ447" s="27" t="s">
        <v>7</v>
      </c>
    </row>
    <row r="448" spans="1:244" x14ac:dyDescent="0.25">
      <c r="A448" s="7">
        <v>15.682809782308393</v>
      </c>
      <c r="B448"/>
      <c r="C448"/>
      <c r="D448"/>
      <c r="E448" t="s">
        <v>8</v>
      </c>
      <c r="AB448" s="27" t="s">
        <v>7</v>
      </c>
      <c r="AC448" s="27" t="s">
        <v>8</v>
      </c>
      <c r="AE448" s="27" t="s">
        <v>8</v>
      </c>
      <c r="AG448" s="27" t="s">
        <v>8</v>
      </c>
      <c r="AH448" s="27" t="s">
        <v>7</v>
      </c>
      <c r="AI448" s="27" t="s">
        <v>8</v>
      </c>
      <c r="AJ448" s="27" t="s">
        <v>7</v>
      </c>
      <c r="AK448" s="27" t="s">
        <v>8</v>
      </c>
      <c r="AL448" s="27" t="s">
        <v>7</v>
      </c>
      <c r="AM448" s="27" t="s">
        <v>8</v>
      </c>
      <c r="AO448" s="27" t="s">
        <v>8</v>
      </c>
      <c r="BG448" s="27" t="s">
        <v>8</v>
      </c>
      <c r="BH448" s="27" t="s">
        <v>7</v>
      </c>
      <c r="BS448" s="27" t="s">
        <v>8</v>
      </c>
      <c r="BT448" s="27" t="s">
        <v>7</v>
      </c>
      <c r="BU448" s="27" t="s">
        <v>8</v>
      </c>
      <c r="BX448" s="27" t="s">
        <v>7</v>
      </c>
      <c r="BY448" s="27" t="s">
        <v>8</v>
      </c>
      <c r="EV448" s="27" t="s">
        <v>7</v>
      </c>
      <c r="EW448" s="27" t="s">
        <v>8</v>
      </c>
      <c r="EX448" s="27" t="s">
        <v>7</v>
      </c>
      <c r="EY448" s="27" t="s">
        <v>8</v>
      </c>
      <c r="HN448" s="27" t="s">
        <v>7</v>
      </c>
      <c r="HO448" s="27" t="s">
        <v>8</v>
      </c>
      <c r="HP448" s="27" t="s">
        <v>7</v>
      </c>
      <c r="HQ448" s="27" t="s">
        <v>8</v>
      </c>
      <c r="HR448" s="27" t="s">
        <v>7</v>
      </c>
      <c r="HS448" s="27" t="s">
        <v>8</v>
      </c>
      <c r="HT448" s="27" t="s">
        <v>7</v>
      </c>
      <c r="HW448" s="27" t="s">
        <v>8</v>
      </c>
      <c r="IB448" s="27" t="s">
        <v>7</v>
      </c>
      <c r="IJ448" s="27" t="s">
        <v>7</v>
      </c>
    </row>
    <row r="449" spans="1:248" x14ac:dyDescent="0.25">
      <c r="A449" s="7">
        <v>15.375303708145482</v>
      </c>
      <c r="B449"/>
      <c r="C449"/>
      <c r="D449"/>
      <c r="E449" t="s">
        <v>8</v>
      </c>
      <c r="AB449" s="27" t="s">
        <v>7</v>
      </c>
      <c r="AC449" s="27" t="s">
        <v>8</v>
      </c>
      <c r="AD449" s="27" t="s">
        <v>7</v>
      </c>
      <c r="AE449" s="27" t="s">
        <v>8</v>
      </c>
      <c r="AF449" s="27" t="s">
        <v>7</v>
      </c>
      <c r="AG449" s="27" t="s">
        <v>8</v>
      </c>
      <c r="AH449" s="27" t="s">
        <v>7</v>
      </c>
      <c r="AI449" s="27" t="s">
        <v>8</v>
      </c>
      <c r="AJ449" s="27" t="s">
        <v>7</v>
      </c>
      <c r="AK449" s="27" t="s">
        <v>8</v>
      </c>
      <c r="AL449" s="27" t="s">
        <v>7</v>
      </c>
      <c r="AM449" s="27" t="s">
        <v>8</v>
      </c>
      <c r="AN449" s="27" t="s">
        <v>7</v>
      </c>
      <c r="AO449" s="27" t="s">
        <v>8</v>
      </c>
      <c r="AP449" s="27" t="s">
        <v>7</v>
      </c>
      <c r="BG449" s="27" t="s">
        <v>8</v>
      </c>
      <c r="BH449" s="27" t="s">
        <v>7</v>
      </c>
      <c r="BS449" s="27" t="s">
        <v>8</v>
      </c>
      <c r="BT449" s="27" t="s">
        <v>7</v>
      </c>
      <c r="BU449" s="27" t="s">
        <v>8</v>
      </c>
      <c r="BX449" s="27" t="s">
        <v>7</v>
      </c>
      <c r="BY449" s="27" t="s">
        <v>8</v>
      </c>
      <c r="EV449" s="27" t="s">
        <v>7</v>
      </c>
      <c r="EW449" s="27" t="s">
        <v>8</v>
      </c>
      <c r="EX449" s="27" t="s">
        <v>7</v>
      </c>
      <c r="EY449" s="27" t="s">
        <v>8</v>
      </c>
      <c r="HN449" s="27" t="s">
        <v>7</v>
      </c>
      <c r="HO449" s="27" t="s">
        <v>8</v>
      </c>
      <c r="HP449" s="27" t="s">
        <v>7</v>
      </c>
      <c r="HQ449" s="27" t="s">
        <v>8</v>
      </c>
      <c r="HR449" s="27" t="s">
        <v>7</v>
      </c>
      <c r="HT449" s="27" t="s">
        <v>7</v>
      </c>
      <c r="HU449" s="27" t="s">
        <v>8</v>
      </c>
      <c r="HW449" s="27" t="s">
        <v>8</v>
      </c>
      <c r="IJ449" s="27" t="s">
        <v>7</v>
      </c>
    </row>
    <row r="450" spans="1:248" x14ac:dyDescent="0.25">
      <c r="A450" s="7">
        <v>15.073827164848511</v>
      </c>
      <c r="B450"/>
      <c r="C450"/>
      <c r="D450"/>
      <c r="E450" t="s">
        <v>8</v>
      </c>
      <c r="AB450" s="27" t="s">
        <v>7</v>
      </c>
      <c r="AC450" s="27" t="s">
        <v>8</v>
      </c>
      <c r="AD450" s="27" t="s">
        <v>7</v>
      </c>
      <c r="AE450" s="27" t="s">
        <v>8</v>
      </c>
      <c r="AF450" s="27" t="s">
        <v>7</v>
      </c>
      <c r="AG450" s="27" t="s">
        <v>8</v>
      </c>
      <c r="AH450" s="27" t="s">
        <v>7</v>
      </c>
      <c r="AI450" s="27" t="s">
        <v>8</v>
      </c>
      <c r="AJ450" s="27" t="s">
        <v>7</v>
      </c>
      <c r="AK450" s="27" t="s">
        <v>8</v>
      </c>
      <c r="AL450" s="27" t="s">
        <v>7</v>
      </c>
      <c r="AM450" s="27" t="s">
        <v>8</v>
      </c>
      <c r="AN450" s="27" t="s">
        <v>7</v>
      </c>
      <c r="AO450" s="27" t="s">
        <v>8</v>
      </c>
      <c r="AP450" s="27" t="s">
        <v>7</v>
      </c>
      <c r="BG450" s="27" t="s">
        <v>8</v>
      </c>
      <c r="BH450" s="27" t="s">
        <v>7</v>
      </c>
      <c r="BI450" s="27" t="s">
        <v>8</v>
      </c>
      <c r="BK450" s="27" t="s">
        <v>8</v>
      </c>
      <c r="BS450" s="27" t="s">
        <v>8</v>
      </c>
      <c r="BT450" s="27" t="s">
        <v>7</v>
      </c>
      <c r="BX450" s="27" t="s">
        <v>7</v>
      </c>
      <c r="BY450" s="27" t="s">
        <v>8</v>
      </c>
      <c r="EV450" s="27" t="s">
        <v>7</v>
      </c>
      <c r="EW450" s="27" t="s">
        <v>8</v>
      </c>
      <c r="EX450" s="27" t="s">
        <v>7</v>
      </c>
      <c r="EY450" s="27" t="s">
        <v>8</v>
      </c>
      <c r="HN450" s="27" t="s">
        <v>7</v>
      </c>
      <c r="HO450" s="27" t="s">
        <v>8</v>
      </c>
      <c r="HP450" s="27" t="s">
        <v>7</v>
      </c>
      <c r="HQ450" s="27" t="s">
        <v>8</v>
      </c>
      <c r="HT450" s="27" t="s">
        <v>7</v>
      </c>
      <c r="HU450" s="27" t="s">
        <v>8</v>
      </c>
      <c r="HV450" s="27" t="s">
        <v>7</v>
      </c>
      <c r="HW450" s="27" t="s">
        <v>8</v>
      </c>
      <c r="IJ450" s="27" t="s">
        <v>7</v>
      </c>
    </row>
    <row r="451" spans="1:248" x14ac:dyDescent="0.25">
      <c r="A451" s="7">
        <v>14.77826192632207</v>
      </c>
      <c r="B451"/>
      <c r="C451"/>
      <c r="D451"/>
      <c r="E451" t="s">
        <v>8</v>
      </c>
      <c r="AB451" s="27" t="s">
        <v>7</v>
      </c>
      <c r="AC451" s="27" t="s">
        <v>8</v>
      </c>
      <c r="AD451" s="27" t="s">
        <v>7</v>
      </c>
      <c r="AF451" s="27" t="s">
        <v>7</v>
      </c>
      <c r="AH451" s="27" t="s">
        <v>7</v>
      </c>
      <c r="AJ451" s="27" t="s">
        <v>7</v>
      </c>
      <c r="AL451" s="27" t="s">
        <v>7</v>
      </c>
      <c r="AM451" s="27" t="s">
        <v>8</v>
      </c>
      <c r="AN451" s="27" t="s">
        <v>7</v>
      </c>
      <c r="AP451" s="27" t="s">
        <v>7</v>
      </c>
      <c r="BG451" s="27" t="s">
        <v>8</v>
      </c>
      <c r="BH451" s="27" t="s">
        <v>7</v>
      </c>
      <c r="BI451" s="27" t="s">
        <v>8</v>
      </c>
      <c r="BJ451" s="27" t="s">
        <v>7</v>
      </c>
      <c r="BK451" s="27" t="s">
        <v>8</v>
      </c>
      <c r="BL451" s="27" t="s">
        <v>7</v>
      </c>
      <c r="BO451" s="27" t="s">
        <v>8</v>
      </c>
      <c r="BQ451" s="27" t="s">
        <v>8</v>
      </c>
      <c r="BS451" s="27" t="s">
        <v>8</v>
      </c>
      <c r="BX451" s="27" t="s">
        <v>7</v>
      </c>
      <c r="BY451" s="27" t="s">
        <v>8</v>
      </c>
      <c r="EV451" s="27" t="s">
        <v>7</v>
      </c>
      <c r="EW451" s="27" t="s">
        <v>8</v>
      </c>
      <c r="EX451" s="27" t="s">
        <v>7</v>
      </c>
      <c r="HN451" s="27" t="s">
        <v>7</v>
      </c>
      <c r="HO451" s="27" t="s">
        <v>8</v>
      </c>
      <c r="HP451" s="27" t="s">
        <v>7</v>
      </c>
      <c r="HQ451" s="27" t="s">
        <v>8</v>
      </c>
      <c r="HT451" s="27" t="s">
        <v>7</v>
      </c>
      <c r="HU451" s="27" t="s">
        <v>8</v>
      </c>
      <c r="HV451" s="27" t="s">
        <v>7</v>
      </c>
      <c r="HW451" s="27" t="s">
        <v>8</v>
      </c>
      <c r="IJ451" s="27" t="s">
        <v>7</v>
      </c>
    </row>
    <row r="452" spans="1:248" x14ac:dyDescent="0.25">
      <c r="A452" s="7">
        <v>14.488492084629481</v>
      </c>
      <c r="B452"/>
      <c r="C452"/>
      <c r="D452"/>
      <c r="E452" t="s">
        <v>8</v>
      </c>
      <c r="AB452" s="27" t="s">
        <v>7</v>
      </c>
      <c r="AC452" s="27" t="s">
        <v>8</v>
      </c>
      <c r="AL452" s="27" t="s">
        <v>7</v>
      </c>
      <c r="AM452" s="27" t="s">
        <v>8</v>
      </c>
      <c r="AP452" s="27" t="s">
        <v>7</v>
      </c>
      <c r="BG452" s="27" t="s">
        <v>8</v>
      </c>
      <c r="BH452" s="27" t="s">
        <v>7</v>
      </c>
      <c r="BI452" s="27" t="s">
        <v>8</v>
      </c>
      <c r="BJ452" s="27" t="s">
        <v>7</v>
      </c>
      <c r="BK452" s="27" t="s">
        <v>8</v>
      </c>
      <c r="BL452" s="27" t="s">
        <v>7</v>
      </c>
      <c r="BO452" s="27" t="s">
        <v>8</v>
      </c>
      <c r="BP452" s="27" t="s">
        <v>7</v>
      </c>
      <c r="BQ452" s="27" t="s">
        <v>8</v>
      </c>
      <c r="BR452" s="27" t="s">
        <v>7</v>
      </c>
      <c r="BS452" s="27" t="s">
        <v>8</v>
      </c>
      <c r="BX452" s="27" t="s">
        <v>7</v>
      </c>
      <c r="BY452" s="27" t="s">
        <v>8</v>
      </c>
      <c r="EV452" s="27" t="s">
        <v>7</v>
      </c>
      <c r="EW452" s="27" t="s">
        <v>8</v>
      </c>
      <c r="HN452" s="27" t="s">
        <v>7</v>
      </c>
      <c r="HO452" s="27" t="s">
        <v>8</v>
      </c>
      <c r="HP452" s="27" t="s">
        <v>7</v>
      </c>
      <c r="HT452" s="27" t="s">
        <v>7</v>
      </c>
      <c r="HV452" s="27" t="s">
        <v>7</v>
      </c>
      <c r="HW452" s="27" t="s">
        <v>8</v>
      </c>
      <c r="IJ452" s="27" t="s">
        <v>7</v>
      </c>
    </row>
    <row r="453" spans="1:248" x14ac:dyDescent="0.25">
      <c r="A453" s="7">
        <v>14.204404004538707</v>
      </c>
      <c r="B453"/>
      <c r="C453"/>
      <c r="D453"/>
      <c r="E453" t="s">
        <v>8</v>
      </c>
      <c r="AB453" s="27" t="s">
        <v>7</v>
      </c>
      <c r="AC453" s="27" t="s">
        <v>8</v>
      </c>
      <c r="AL453" s="27" t="s">
        <v>7</v>
      </c>
      <c r="AM453" s="27" t="s">
        <v>8</v>
      </c>
      <c r="AP453" s="27" t="s">
        <v>7</v>
      </c>
      <c r="BE453" s="27" t="s">
        <v>8</v>
      </c>
      <c r="BG453" s="27" t="s">
        <v>8</v>
      </c>
      <c r="BH453" s="27" t="s">
        <v>7</v>
      </c>
      <c r="BI453" s="27" t="s">
        <v>8</v>
      </c>
      <c r="BJ453" s="27" t="s">
        <v>7</v>
      </c>
      <c r="BK453" s="27" t="s">
        <v>8</v>
      </c>
      <c r="BL453" s="27" t="s">
        <v>7</v>
      </c>
      <c r="BO453" s="27" t="s">
        <v>8</v>
      </c>
      <c r="BP453" s="27" t="s">
        <v>7</v>
      </c>
      <c r="BQ453" s="27" t="s">
        <v>8</v>
      </c>
      <c r="BR453" s="27" t="s">
        <v>7</v>
      </c>
      <c r="BS453" s="27" t="s">
        <v>8</v>
      </c>
      <c r="BX453" s="27" t="s">
        <v>7</v>
      </c>
      <c r="BY453" s="27" t="s">
        <v>8</v>
      </c>
      <c r="EV453" s="27" t="s">
        <v>7</v>
      </c>
      <c r="EW453" s="27" t="s">
        <v>8</v>
      </c>
      <c r="HN453" s="27" t="s">
        <v>7</v>
      </c>
      <c r="HO453" s="27" t="s">
        <v>8</v>
      </c>
      <c r="HV453" s="27" t="s">
        <v>7</v>
      </c>
      <c r="HW453" s="27" t="s">
        <v>8</v>
      </c>
      <c r="IJ453" s="27" t="s">
        <v>7</v>
      </c>
    </row>
    <row r="454" spans="1:248" x14ac:dyDescent="0.25">
      <c r="A454" s="7">
        <v>13.925886278959517</v>
      </c>
      <c r="B454"/>
      <c r="C454"/>
      <c r="D454"/>
      <c r="E454" t="s">
        <v>8</v>
      </c>
      <c r="AB454" s="27" t="s">
        <v>7</v>
      </c>
      <c r="AC454" s="27" t="s">
        <v>8</v>
      </c>
      <c r="AL454" s="27" t="s">
        <v>7</v>
      </c>
      <c r="AM454" s="27" t="s">
        <v>8</v>
      </c>
      <c r="AP454" s="27" t="s">
        <v>7</v>
      </c>
      <c r="BE454" s="27" t="s">
        <v>8</v>
      </c>
      <c r="BF454" s="27" t="s">
        <v>7</v>
      </c>
      <c r="BG454" s="27" t="s">
        <v>8</v>
      </c>
      <c r="BH454" s="27" t="s">
        <v>7</v>
      </c>
      <c r="BI454" s="27" t="s">
        <v>8</v>
      </c>
      <c r="BJ454" s="27" t="s">
        <v>7</v>
      </c>
      <c r="BK454" s="27" t="s">
        <v>8</v>
      </c>
      <c r="BL454" s="27" t="s">
        <v>7</v>
      </c>
      <c r="BM454" s="27" t="s">
        <v>8</v>
      </c>
      <c r="BO454" s="27" t="s">
        <v>8</v>
      </c>
      <c r="BP454" s="27" t="s">
        <v>7</v>
      </c>
      <c r="BQ454" s="27" t="s">
        <v>8</v>
      </c>
      <c r="BR454" s="27" t="s">
        <v>7</v>
      </c>
      <c r="BS454" s="27" t="s">
        <v>8</v>
      </c>
      <c r="BX454" s="27" t="s">
        <v>7</v>
      </c>
      <c r="BY454" s="27" t="s">
        <v>8</v>
      </c>
      <c r="EV454" s="27" t="s">
        <v>7</v>
      </c>
      <c r="EW454" s="27" t="s">
        <v>8</v>
      </c>
      <c r="HN454" s="27" t="s">
        <v>7</v>
      </c>
      <c r="HO454" s="27" t="s">
        <v>8</v>
      </c>
      <c r="HV454" s="27" t="s">
        <v>7</v>
      </c>
      <c r="HW454" s="27" t="s">
        <v>8</v>
      </c>
      <c r="IJ454" s="27" t="s">
        <v>7</v>
      </c>
    </row>
    <row r="455" spans="1:248" x14ac:dyDescent="0.25">
      <c r="A455" s="7">
        <v>13.652829685254428</v>
      </c>
      <c r="B455"/>
      <c r="C455"/>
      <c r="D455"/>
      <c r="E455" t="s">
        <v>8</v>
      </c>
      <c r="AB455" s="27" t="s">
        <v>7</v>
      </c>
      <c r="AC455" s="27" t="s">
        <v>8</v>
      </c>
      <c r="AL455" s="27" t="s">
        <v>7</v>
      </c>
      <c r="AM455" s="27" t="s">
        <v>8</v>
      </c>
      <c r="AP455" s="27" t="s">
        <v>7</v>
      </c>
      <c r="BC455" s="27" t="s">
        <v>8</v>
      </c>
      <c r="BE455" s="27" t="s">
        <v>8</v>
      </c>
      <c r="BF455" s="27" t="s">
        <v>7</v>
      </c>
      <c r="BG455" s="27" t="s">
        <v>8</v>
      </c>
      <c r="BH455" s="27" t="s">
        <v>7</v>
      </c>
      <c r="BI455" s="27" t="s">
        <v>8</v>
      </c>
      <c r="BJ455" s="27" t="s">
        <v>7</v>
      </c>
      <c r="BK455" s="27" t="s">
        <v>8</v>
      </c>
      <c r="BL455" s="27" t="s">
        <v>7</v>
      </c>
      <c r="BM455" s="27" t="s">
        <v>8</v>
      </c>
      <c r="BN455" s="27" t="s">
        <v>7</v>
      </c>
      <c r="BO455" s="27" t="s">
        <v>8</v>
      </c>
      <c r="BP455" s="27" t="s">
        <v>7</v>
      </c>
      <c r="BQ455" s="27" t="s">
        <v>8</v>
      </c>
      <c r="BR455" s="27" t="s">
        <v>7</v>
      </c>
      <c r="BS455" s="27" t="s">
        <v>8</v>
      </c>
      <c r="BX455" s="27" t="s">
        <v>7</v>
      </c>
      <c r="EV455" s="27" t="s">
        <v>7</v>
      </c>
      <c r="HN455" s="27" t="s">
        <v>7</v>
      </c>
      <c r="HO455" s="27" t="s">
        <v>8</v>
      </c>
      <c r="HV455" s="27" t="s">
        <v>7</v>
      </c>
      <c r="HW455" s="27" t="s">
        <v>8</v>
      </c>
      <c r="IJ455" s="27" t="s">
        <v>7</v>
      </c>
    </row>
    <row r="456" spans="1:248" x14ac:dyDescent="0.25">
      <c r="A456" s="7">
        <v>13.385127142406303</v>
      </c>
      <c r="B456"/>
      <c r="C456"/>
      <c r="D456"/>
      <c r="E456" t="s">
        <v>8</v>
      </c>
      <c r="AB456" s="27" t="s">
        <v>7</v>
      </c>
      <c r="AC456" s="27" t="s">
        <v>8</v>
      </c>
      <c r="AL456" s="27" t="s">
        <v>7</v>
      </c>
      <c r="AP456" s="27" t="s">
        <v>7</v>
      </c>
      <c r="BA456" s="27" t="s">
        <v>8</v>
      </c>
      <c r="BC456" s="27" t="s">
        <v>8</v>
      </c>
      <c r="BD456" s="27" t="s">
        <v>7</v>
      </c>
      <c r="BE456" s="27" t="s">
        <v>8</v>
      </c>
      <c r="BF456" s="27" t="s">
        <v>7</v>
      </c>
      <c r="BG456" s="27" t="s">
        <v>8</v>
      </c>
      <c r="BH456" s="27" t="s">
        <v>7</v>
      </c>
      <c r="BI456" s="27" t="s">
        <v>8</v>
      </c>
      <c r="BJ456" s="27" t="s">
        <v>7</v>
      </c>
      <c r="BL456" s="27" t="s">
        <v>7</v>
      </c>
      <c r="BM456" s="27" t="s">
        <v>8</v>
      </c>
      <c r="BN456" s="27" t="s">
        <v>7</v>
      </c>
      <c r="BO456" s="27" t="s">
        <v>8</v>
      </c>
      <c r="BP456" s="27" t="s">
        <v>7</v>
      </c>
      <c r="BQ456" s="27" t="s">
        <v>8</v>
      </c>
      <c r="BR456" s="27" t="s">
        <v>7</v>
      </c>
      <c r="BS456" s="27" t="s">
        <v>8</v>
      </c>
      <c r="HN456" s="27" t="s">
        <v>7</v>
      </c>
      <c r="HO456" s="27" t="s">
        <v>8</v>
      </c>
      <c r="HV456" s="27" t="s">
        <v>7</v>
      </c>
      <c r="IJ456" s="27" t="s">
        <v>7</v>
      </c>
    </row>
    <row r="457" spans="1:248" x14ac:dyDescent="0.25">
      <c r="A457" s="7">
        <v>13.122673669025787</v>
      </c>
      <c r="B457"/>
      <c r="C457"/>
      <c r="D457"/>
      <c r="E457" t="s">
        <v>8</v>
      </c>
      <c r="AB457" s="27" t="s">
        <v>7</v>
      </c>
      <c r="AP457" s="27" t="s">
        <v>7</v>
      </c>
      <c r="AQ457" s="27" t="s">
        <v>8</v>
      </c>
      <c r="BA457" s="27" t="s">
        <v>8</v>
      </c>
      <c r="BB457" s="27" t="s">
        <v>7</v>
      </c>
      <c r="BC457" s="27" t="s">
        <v>8</v>
      </c>
      <c r="BD457" s="27" t="s">
        <v>7</v>
      </c>
      <c r="BE457" s="27" t="s">
        <v>8</v>
      </c>
      <c r="BF457" s="27" t="s">
        <v>7</v>
      </c>
      <c r="BG457" s="27" t="s">
        <v>8</v>
      </c>
      <c r="BH457" s="27" t="s">
        <v>7</v>
      </c>
      <c r="BI457" s="27" t="s">
        <v>8</v>
      </c>
      <c r="BL457" s="27" t="s">
        <v>7</v>
      </c>
      <c r="BN457" s="27" t="s">
        <v>7</v>
      </c>
      <c r="BO457" s="27" t="s">
        <v>8</v>
      </c>
      <c r="BP457" s="27" t="s">
        <v>7</v>
      </c>
      <c r="BQ457" s="27" t="s">
        <v>8</v>
      </c>
      <c r="BR457" s="27" t="s">
        <v>7</v>
      </c>
      <c r="HN457" s="27" t="s">
        <v>7</v>
      </c>
      <c r="IJ457" s="27" t="s">
        <v>7</v>
      </c>
    </row>
    <row r="458" spans="1:248" x14ac:dyDescent="0.25">
      <c r="A458" s="7">
        <v>12.865366342182144</v>
      </c>
      <c r="B458"/>
      <c r="C458"/>
      <c r="D458"/>
      <c r="E458" t="s">
        <v>8</v>
      </c>
      <c r="AP458" s="27" t="s">
        <v>7</v>
      </c>
      <c r="AQ458" s="27" t="s">
        <v>8</v>
      </c>
      <c r="AR458" s="27" t="s">
        <v>7</v>
      </c>
      <c r="AS458" s="27" t="s">
        <v>8</v>
      </c>
      <c r="BA458" s="27" t="s">
        <v>8</v>
      </c>
      <c r="BB458" s="27" t="s">
        <v>7</v>
      </c>
      <c r="BC458" s="27" t="s">
        <v>8</v>
      </c>
      <c r="BD458" s="27" t="s">
        <v>7</v>
      </c>
      <c r="BE458" s="27" t="s">
        <v>8</v>
      </c>
      <c r="BF458" s="27" t="s">
        <v>7</v>
      </c>
      <c r="BG458" s="27" t="s">
        <v>8</v>
      </c>
      <c r="BH458" s="27" t="s">
        <v>7</v>
      </c>
      <c r="BI458" s="27" t="s">
        <v>8</v>
      </c>
      <c r="BN458" s="27" t="s">
        <v>7</v>
      </c>
      <c r="BO458" s="27" t="s">
        <v>8</v>
      </c>
      <c r="BP458" s="27" t="s">
        <v>7</v>
      </c>
      <c r="BQ458" s="27" t="s">
        <v>8</v>
      </c>
      <c r="IJ458" s="27" t="s">
        <v>7</v>
      </c>
      <c r="IM458" s="27" t="s">
        <v>8</v>
      </c>
    </row>
    <row r="459" spans="1:248" x14ac:dyDescent="0.25">
      <c r="A459" s="7">
        <v>12.613104257041318</v>
      </c>
      <c r="B459"/>
      <c r="C459"/>
      <c r="D459"/>
      <c r="E459" t="s">
        <v>8</v>
      </c>
      <c r="AP459" s="27" t="s">
        <v>7</v>
      </c>
      <c r="AQ459" s="27" t="s">
        <v>8</v>
      </c>
      <c r="AR459" s="27" t="s">
        <v>7</v>
      </c>
      <c r="AS459" s="27" t="s">
        <v>8</v>
      </c>
      <c r="AT459" s="27" t="s">
        <v>7</v>
      </c>
      <c r="AY459" s="27" t="s">
        <v>8</v>
      </c>
      <c r="BA459" s="27" t="s">
        <v>8</v>
      </c>
      <c r="BB459" s="27" t="s">
        <v>7</v>
      </c>
      <c r="BC459" s="27" t="s">
        <v>8</v>
      </c>
      <c r="BD459" s="27" t="s">
        <v>7</v>
      </c>
      <c r="BE459" s="27" t="s">
        <v>8</v>
      </c>
      <c r="BF459" s="27" t="s">
        <v>7</v>
      </c>
      <c r="BG459" s="27" t="s">
        <v>8</v>
      </c>
      <c r="BH459" s="27" t="s">
        <v>7</v>
      </c>
      <c r="BI459" s="27" t="s">
        <v>8</v>
      </c>
      <c r="BN459" s="27" t="s">
        <v>7</v>
      </c>
      <c r="BO459" s="27" t="s">
        <v>8</v>
      </c>
      <c r="BP459" s="27" t="s">
        <v>7</v>
      </c>
      <c r="BQ459" s="27" t="s">
        <v>8</v>
      </c>
      <c r="IJ459" s="27" t="s">
        <v>7</v>
      </c>
      <c r="IM459" s="27" t="s">
        <v>8</v>
      </c>
      <c r="IN459" s="27" t="s">
        <v>7</v>
      </c>
    </row>
    <row r="460" spans="1:248" x14ac:dyDescent="0.25">
      <c r="A460" s="7">
        <v>12.36578848729541</v>
      </c>
      <c r="B460"/>
      <c r="C460"/>
      <c r="D460"/>
      <c r="E460" t="s">
        <v>8</v>
      </c>
      <c r="AP460" s="27" t="s">
        <v>7</v>
      </c>
      <c r="AQ460" s="27" t="s">
        <v>8</v>
      </c>
      <c r="AR460" s="27" t="s">
        <v>7</v>
      </c>
      <c r="AS460" s="27" t="s">
        <v>8</v>
      </c>
      <c r="AT460" s="27" t="s">
        <v>7</v>
      </c>
      <c r="AU460" s="27" t="s">
        <v>8</v>
      </c>
      <c r="AY460" s="27" t="s">
        <v>8</v>
      </c>
      <c r="AZ460" s="27" t="s">
        <v>7</v>
      </c>
      <c r="BA460" s="27" t="s">
        <v>8</v>
      </c>
      <c r="BB460" s="27" t="s">
        <v>7</v>
      </c>
      <c r="BC460" s="27" t="s">
        <v>8</v>
      </c>
      <c r="BD460" s="27" t="s">
        <v>7</v>
      </c>
      <c r="BF460" s="27" t="s">
        <v>7</v>
      </c>
      <c r="BH460" s="27" t="s">
        <v>7</v>
      </c>
      <c r="BI460" s="27" t="s">
        <v>8</v>
      </c>
      <c r="BN460" s="27" t="s">
        <v>7</v>
      </c>
      <c r="BO460" s="27" t="s">
        <v>8</v>
      </c>
      <c r="BP460" s="27" t="s">
        <v>7</v>
      </c>
      <c r="BQ460" s="27" t="s">
        <v>8</v>
      </c>
      <c r="IJ460" s="27" t="s">
        <v>7</v>
      </c>
      <c r="IM460" s="27" t="s">
        <v>8</v>
      </c>
      <c r="IN460" s="27" t="s">
        <v>7</v>
      </c>
    </row>
    <row r="461" spans="1:248" x14ac:dyDescent="0.25">
      <c r="A461" s="7">
        <v>12.123322046368049</v>
      </c>
      <c r="B461"/>
      <c r="C461"/>
      <c r="D461"/>
      <c r="E461" t="s">
        <v>8</v>
      </c>
      <c r="AP461" s="27" t="s">
        <v>7</v>
      </c>
      <c r="AR461" s="27" t="s">
        <v>7</v>
      </c>
      <c r="AS461" s="27" t="s">
        <v>8</v>
      </c>
      <c r="AT461" s="27" t="s">
        <v>7</v>
      </c>
      <c r="AU461" s="27" t="s">
        <v>8</v>
      </c>
      <c r="AV461" s="27" t="s">
        <v>7</v>
      </c>
      <c r="AY461" s="27" t="s">
        <v>8</v>
      </c>
      <c r="AZ461" s="27" t="s">
        <v>7</v>
      </c>
      <c r="BA461" s="27" t="s">
        <v>8</v>
      </c>
      <c r="BB461" s="27" t="s">
        <v>7</v>
      </c>
      <c r="BH461" s="27" t="s">
        <v>7</v>
      </c>
      <c r="BN461" s="27" t="s">
        <v>7</v>
      </c>
      <c r="BO461" s="27" t="s">
        <v>8</v>
      </c>
      <c r="BP461" s="27" t="s">
        <v>7</v>
      </c>
      <c r="BQ461" s="27" t="s">
        <v>8</v>
      </c>
      <c r="IJ461" s="27" t="s">
        <v>7</v>
      </c>
      <c r="IK461" s="27" t="s">
        <v>8</v>
      </c>
      <c r="IM461" s="27" t="s">
        <v>8</v>
      </c>
      <c r="IN461" s="27" t="s">
        <v>7</v>
      </c>
    </row>
    <row r="462" spans="1:248" x14ac:dyDescent="0.25">
      <c r="A462" s="7">
        <v>11.88560984938044</v>
      </c>
      <c r="B462"/>
      <c r="C462"/>
      <c r="D462"/>
      <c r="E462" t="s">
        <v>8</v>
      </c>
      <c r="AR462" s="27" t="s">
        <v>7</v>
      </c>
      <c r="AT462" s="27" t="s">
        <v>7</v>
      </c>
      <c r="AU462" s="27" t="s">
        <v>8</v>
      </c>
      <c r="AV462" s="27" t="s">
        <v>7</v>
      </c>
      <c r="AY462" s="27" t="s">
        <v>8</v>
      </c>
      <c r="AZ462" s="27" t="s">
        <v>7</v>
      </c>
      <c r="BA462" s="27" t="s">
        <v>8</v>
      </c>
      <c r="BN462" s="27" t="s">
        <v>7</v>
      </c>
      <c r="BO462" s="27" t="s">
        <v>8</v>
      </c>
      <c r="BP462" s="27" t="s">
        <v>7</v>
      </c>
      <c r="BQ462" s="27" t="s">
        <v>8</v>
      </c>
      <c r="IJ462" s="27" t="s">
        <v>7</v>
      </c>
      <c r="IK462" s="27" t="s">
        <v>8</v>
      </c>
      <c r="IL462" s="27" t="s">
        <v>7</v>
      </c>
      <c r="IM462" s="27" t="s">
        <v>8</v>
      </c>
      <c r="IN462" s="27" t="s">
        <v>7</v>
      </c>
    </row>
    <row r="463" spans="1:248" x14ac:dyDescent="0.25">
      <c r="A463" s="7">
        <v>11.652558675863176</v>
      </c>
      <c r="B463"/>
      <c r="C463"/>
      <c r="D463"/>
      <c r="E463" t="s">
        <v>8</v>
      </c>
      <c r="AT463" s="27" t="s">
        <v>7</v>
      </c>
      <c r="AU463" s="27" t="s">
        <v>8</v>
      </c>
      <c r="AV463" s="27" t="s">
        <v>7</v>
      </c>
      <c r="AY463" s="27" t="s">
        <v>8</v>
      </c>
      <c r="AZ463" s="27" t="s">
        <v>7</v>
      </c>
      <c r="BA463" s="27" t="s">
        <v>8</v>
      </c>
      <c r="BN463" s="27" t="s">
        <v>7</v>
      </c>
      <c r="BO463" s="27" t="s">
        <v>8</v>
      </c>
      <c r="BP463" s="27" t="s">
        <v>7</v>
      </c>
      <c r="BQ463" s="27" t="s">
        <v>8</v>
      </c>
      <c r="IJ463" s="27" t="s">
        <v>7</v>
      </c>
      <c r="IK463" s="27" t="s">
        <v>8</v>
      </c>
      <c r="IL463" s="27" t="s">
        <v>7</v>
      </c>
      <c r="IM463" s="27" t="s">
        <v>8</v>
      </c>
      <c r="IN463" s="27" t="s">
        <v>7</v>
      </c>
    </row>
    <row r="464" spans="1:248" x14ac:dyDescent="0.25">
      <c r="A464" s="7">
        <v>11.424077133199193</v>
      </c>
      <c r="B464"/>
      <c r="C464"/>
      <c r="D464"/>
      <c r="E464" t="s">
        <v>8</v>
      </c>
      <c r="AT464" s="27" t="s">
        <v>7</v>
      </c>
      <c r="AV464" s="27" t="s">
        <v>7</v>
      </c>
      <c r="AY464" s="27" t="s">
        <v>8</v>
      </c>
      <c r="AZ464" s="27" t="s">
        <v>7</v>
      </c>
      <c r="BA464" s="27" t="s">
        <v>8</v>
      </c>
      <c r="BN464" s="27" t="s">
        <v>7</v>
      </c>
      <c r="BO464" s="27" t="s">
        <v>8</v>
      </c>
      <c r="BP464" s="27" t="s">
        <v>7</v>
      </c>
      <c r="BQ464" s="27" t="s">
        <v>8</v>
      </c>
      <c r="IJ464" s="27" t="s">
        <v>7</v>
      </c>
      <c r="IK464" s="27" t="s">
        <v>8</v>
      </c>
      <c r="IL464" s="27" t="s">
        <v>7</v>
      </c>
      <c r="IM464" s="27" t="s">
        <v>8</v>
      </c>
    </row>
    <row r="465" spans="1:247" x14ac:dyDescent="0.25">
      <c r="A465" s="7">
        <v>11.200075620783522</v>
      </c>
      <c r="B465"/>
      <c r="C465"/>
      <c r="D465"/>
      <c r="E465" t="s">
        <v>8</v>
      </c>
      <c r="AV465" s="27" t="s">
        <v>7</v>
      </c>
      <c r="AY465" s="27" t="s">
        <v>8</v>
      </c>
      <c r="AZ465" s="27" t="s">
        <v>7</v>
      </c>
      <c r="BN465" s="27" t="s">
        <v>7</v>
      </c>
      <c r="BO465" s="27" t="s">
        <v>8</v>
      </c>
      <c r="BP465" s="27" t="s">
        <v>7</v>
      </c>
      <c r="BQ465" s="27" t="s">
        <v>8</v>
      </c>
      <c r="IJ465" s="27" t="s">
        <v>7</v>
      </c>
      <c r="IK465" s="27" t="s">
        <v>8</v>
      </c>
      <c r="IL465" s="27" t="s">
        <v>7</v>
      </c>
      <c r="IM465" s="27" t="s">
        <v>8</v>
      </c>
    </row>
    <row r="466" spans="1:247" x14ac:dyDescent="0.25">
      <c r="A466" s="7">
        <v>10.980466294885806</v>
      </c>
      <c r="B466"/>
      <c r="C466"/>
      <c r="D466"/>
      <c r="E466" t="s">
        <v>8</v>
      </c>
      <c r="AV466" s="27" t="s">
        <v>7</v>
      </c>
      <c r="AW466" s="27" t="s">
        <v>8</v>
      </c>
      <c r="AY466" s="27" t="s">
        <v>8</v>
      </c>
      <c r="BN466" s="27" t="s">
        <v>7</v>
      </c>
      <c r="BP466" s="27" t="s">
        <v>7</v>
      </c>
      <c r="IJ466" s="27" t="s">
        <v>7</v>
      </c>
      <c r="IL466" s="27" t="s">
        <v>7</v>
      </c>
      <c r="IM466" s="27" t="s">
        <v>8</v>
      </c>
    </row>
    <row r="467" spans="1:247" x14ac:dyDescent="0.25">
      <c r="A467" s="7">
        <v>10.765163034201771</v>
      </c>
      <c r="B467"/>
      <c r="C467"/>
      <c r="D467"/>
      <c r="E467" t="s">
        <v>8</v>
      </c>
      <c r="AV467" s="27" t="s">
        <v>7</v>
      </c>
      <c r="AW467" s="27" t="s">
        <v>8</v>
      </c>
      <c r="AX467" s="27" t="s">
        <v>7</v>
      </c>
      <c r="AY467" s="27" t="s">
        <v>8</v>
      </c>
      <c r="IL467" s="27" t="s">
        <v>7</v>
      </c>
      <c r="IM467" s="27" t="s">
        <v>8</v>
      </c>
    </row>
    <row r="468" spans="1:247" x14ac:dyDescent="0.25">
      <c r="A468" s="7">
        <v>10.554081406080169</v>
      </c>
      <c r="B468"/>
      <c r="C468"/>
      <c r="D468"/>
      <c r="E468" t="s">
        <v>8</v>
      </c>
      <c r="AV468" s="27" t="s">
        <v>7</v>
      </c>
      <c r="AW468" s="27" t="s">
        <v>8</v>
      </c>
      <c r="AX468" s="27" t="s">
        <v>7</v>
      </c>
      <c r="AY468" s="27" t="s">
        <v>8</v>
      </c>
      <c r="IL468" s="27" t="s">
        <v>7</v>
      </c>
    </row>
    <row r="469" spans="1:247" x14ac:dyDescent="0.25">
      <c r="A469" s="7">
        <v>10.34713863341193</v>
      </c>
      <c r="B469"/>
      <c r="C469"/>
      <c r="D469"/>
      <c r="E469" t="s">
        <v>8</v>
      </c>
      <c r="AV469" s="27" t="s">
        <v>7</v>
      </c>
      <c r="AW469" s="27" t="s">
        <v>8</v>
      </c>
      <c r="AX469" s="27" t="s">
        <v>7</v>
      </c>
      <c r="AY469" s="27" t="s">
        <v>8</v>
      </c>
    </row>
    <row r="470" spans="1:247" x14ac:dyDescent="0.25">
      <c r="A470" s="7">
        <v>10.14425356216856</v>
      </c>
      <c r="B470"/>
      <c r="C470"/>
      <c r="D470"/>
      <c r="E470" t="s">
        <v>8</v>
      </c>
      <c r="AV470" s="27" t="s">
        <v>7</v>
      </c>
      <c r="AW470" s="27" t="s">
        <v>8</v>
      </c>
      <c r="AX470" s="27" t="s">
        <v>7</v>
      </c>
      <c r="AY470" s="27" t="s">
        <v>8</v>
      </c>
    </row>
    <row r="471" spans="1:247" x14ac:dyDescent="0.25">
      <c r="A471" s="7">
        <v>9.9453466295770188</v>
      </c>
      <c r="B471"/>
      <c r="C471"/>
      <c r="D471"/>
      <c r="E471" t="s">
        <v>8</v>
      </c>
      <c r="AV471" s="27" t="s">
        <v>7</v>
      </c>
      <c r="AW471" s="27" t="s">
        <v>8</v>
      </c>
      <c r="AX471" s="27" t="s">
        <v>7</v>
      </c>
      <c r="AY471" s="27" t="s">
        <v>8</v>
      </c>
    </row>
    <row r="472" spans="1:247" x14ac:dyDescent="0.25">
      <c r="A472" s="7">
        <v>9.7503398329186464</v>
      </c>
      <c r="B472"/>
      <c r="C472"/>
      <c r="D472"/>
      <c r="E472" t="s">
        <v>8</v>
      </c>
      <c r="AV472" s="27" t="s">
        <v>7</v>
      </c>
      <c r="AW472" s="27" t="s">
        <v>8</v>
      </c>
      <c r="AX472" s="27" t="s">
        <v>7</v>
      </c>
    </row>
    <row r="473" spans="1:247" x14ac:dyDescent="0.25">
      <c r="A473" s="7">
        <v>9.5591566989398498</v>
      </c>
      <c r="B473"/>
      <c r="C473"/>
      <c r="D473"/>
      <c r="E473" t="s">
        <v>8</v>
      </c>
      <c r="AV473" s="27" t="s">
        <v>7</v>
      </c>
      <c r="AW473" s="27" t="s">
        <v>8</v>
      </c>
    </row>
    <row r="474" spans="1:247" x14ac:dyDescent="0.25">
      <c r="A474" s="7">
        <v>9.3717222538625968</v>
      </c>
      <c r="B474"/>
      <c r="C474"/>
      <c r="D474"/>
      <c r="E474" t="s">
        <v>8</v>
      </c>
      <c r="AV474" s="27" t="s">
        <v>7</v>
      </c>
      <c r="AW474" s="27" t="s">
        <v>8</v>
      </c>
    </row>
    <row r="475" spans="1:247" x14ac:dyDescent="0.25">
      <c r="A475" s="7">
        <v>9.1879629939829375</v>
      </c>
      <c r="B475"/>
      <c r="C475"/>
      <c r="D475"/>
      <c r="E475" t="s">
        <v>8</v>
      </c>
      <c r="AV475" s="27" t="s">
        <v>7</v>
      </c>
      <c r="AW475" s="27" t="s">
        <v>8</v>
      </c>
    </row>
    <row r="476" spans="1:247" x14ac:dyDescent="0.25">
      <c r="A476" s="7">
        <v>9.0078068568460168</v>
      </c>
      <c r="B476"/>
      <c r="C476"/>
      <c r="D476"/>
      <c r="E476" t="s">
        <v>8</v>
      </c>
      <c r="AV476" s="27" t="s">
        <v>7</v>
      </c>
      <c r="AW476" s="27" t="s">
        <v>8</v>
      </c>
    </row>
    <row r="477" spans="1:247" x14ac:dyDescent="0.25">
      <c r="A477" s="7">
        <v>8.8311831929862912</v>
      </c>
      <c r="B477"/>
      <c r="C477"/>
      <c r="D477"/>
      <c r="E477" t="s">
        <v>8</v>
      </c>
      <c r="AV477" s="27" t="s">
        <v>7</v>
      </c>
      <c r="AW477" s="27" t="s">
        <v>8</v>
      </c>
    </row>
    <row r="478" spans="1:247" x14ac:dyDescent="0.25">
      <c r="A478" s="7">
        <v>8.6580227382218542</v>
      </c>
      <c r="B478"/>
      <c r="C478"/>
      <c r="D478"/>
      <c r="E478" t="s">
        <v>8</v>
      </c>
      <c r="AV478" s="27" t="s">
        <v>7</v>
      </c>
      <c r="AW478" s="27" t="s">
        <v>8</v>
      </c>
    </row>
    <row r="479" spans="1:247" x14ac:dyDescent="0.25">
      <c r="A479" s="7">
        <v>8.4882575864920131</v>
      </c>
      <c r="B479"/>
      <c r="C479"/>
      <c r="D479"/>
      <c r="E479" t="s">
        <v>8</v>
      </c>
      <c r="AV479" s="27" t="s">
        <v>7</v>
      </c>
    </row>
    <row r="480" spans="1:247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40" operator="equal">
      <formula>$U$1</formula>
    </cfRule>
    <cfRule type="cellIs" dxfId="89" priority="941" operator="equal">
      <formula>$S$1</formula>
    </cfRule>
  </conditionalFormatting>
  <conditionalFormatting sqref="D27">
    <cfRule type="cellIs" dxfId="88" priority="938" operator="equal">
      <formula>$S$1</formula>
    </cfRule>
    <cfRule type="cellIs" dxfId="87" priority="939" operator="equal">
      <formula>$U$1</formula>
    </cfRule>
  </conditionalFormatting>
  <conditionalFormatting sqref="C164">
    <cfRule type="cellIs" dxfId="86" priority="936" operator="equal">
      <formula>$U$1</formula>
    </cfRule>
    <cfRule type="cellIs" dxfId="85" priority="937" operator="equal">
      <formula>$S$1</formula>
    </cfRule>
  </conditionalFormatting>
  <conditionalFormatting sqref="D164">
    <cfRule type="cellIs" dxfId="84" priority="934" operator="equal">
      <formula>$S$1</formula>
    </cfRule>
    <cfRule type="cellIs" dxfId="83" priority="935" operator="equal">
      <formula>$U$1</formula>
    </cfRule>
  </conditionalFormatting>
  <conditionalFormatting sqref="C55">
    <cfRule type="cellIs" dxfId="82" priority="932" operator="equal">
      <formula>$U$1</formula>
    </cfRule>
    <cfRule type="cellIs" dxfId="81" priority="933" operator="equal">
      <formula>$S$1</formula>
    </cfRule>
  </conditionalFormatting>
  <conditionalFormatting sqref="D55">
    <cfRule type="cellIs" dxfId="80" priority="930" operator="equal">
      <formula>$S$1</formula>
    </cfRule>
    <cfRule type="cellIs" dxfId="79" priority="931" operator="equal">
      <formula>$U$1</formula>
    </cfRule>
  </conditionalFormatting>
  <conditionalFormatting sqref="C89">
    <cfRule type="cellIs" dxfId="78" priority="928" operator="equal">
      <formula>$U$1</formula>
    </cfRule>
    <cfRule type="cellIs" dxfId="77" priority="929" operator="equal">
      <formula>$S$1</formula>
    </cfRule>
  </conditionalFormatting>
  <conditionalFormatting sqref="D89">
    <cfRule type="cellIs" dxfId="76" priority="926" operator="equal">
      <formula>$S$1</formula>
    </cfRule>
    <cfRule type="cellIs" dxfId="75" priority="927" operator="equal">
      <formula>$U$1</formula>
    </cfRule>
  </conditionalFormatting>
  <conditionalFormatting sqref="C136">
    <cfRule type="cellIs" dxfId="74" priority="924" operator="equal">
      <formula>$U$1</formula>
    </cfRule>
    <cfRule type="cellIs" dxfId="73" priority="925" operator="equal">
      <formula>$S$1</formula>
    </cfRule>
  </conditionalFormatting>
  <conditionalFormatting sqref="D136">
    <cfRule type="cellIs" dxfId="72" priority="922" operator="equal">
      <formula>$S$1</formula>
    </cfRule>
    <cfRule type="cellIs" dxfId="71" priority="923" operator="equal">
      <formula>$U$1</formula>
    </cfRule>
  </conditionalFormatting>
  <conditionalFormatting sqref="C1">
    <cfRule type="cellIs" dxfId="70" priority="92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9" zoomScale="90" zoomScaleNormal="90" workbookViewId="0">
      <pane xSplit="4" topLeftCell="BV1" activePane="topRight" state="frozen"/>
      <selection activeCell="A109" sqref="A109"/>
      <selection pane="topRight" activeCell="DK188" sqref="DK18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$A$187</v>
      </c>
      <c r="D111" s="1" t="str">
        <f>ADDRESS(C121-1,D121,1,1)</f>
        <v>$DK$187</v>
      </c>
      <c r="E111"/>
    </row>
    <row r="112" spans="1:5" x14ac:dyDescent="0.25">
      <c r="A112" s="30">
        <v>515.50191262726139</v>
      </c>
      <c r="C112" s="1" t="str">
        <f>ADDRESS(C121,1,1,1)</f>
        <v>$A$188</v>
      </c>
      <c r="D112" s="1" t="str">
        <f>ADDRESS(C121,D121-1,1,1)</f>
        <v>$DJ$188</v>
      </c>
      <c r="E112"/>
    </row>
    <row r="113" spans="1:5" x14ac:dyDescent="0.25">
      <c r="A113" s="30">
        <v>490.95420250215363</v>
      </c>
      <c r="C113" s="1" t="str">
        <f>ADDRESS(C121+1,1,1,1)</f>
        <v>$A$189</v>
      </c>
      <c r="D113" s="1" t="str">
        <f>ADDRESS(C121-1,D121+1,1,1)</f>
        <v>$DL$187</v>
      </c>
    </row>
    <row r="114" spans="1:5" x14ac:dyDescent="0.25">
      <c r="A114" s="30">
        <v>467.57543095443202</v>
      </c>
      <c r="C114" s="1" t="str">
        <f>ADDRESS(C121,D121,1,1)</f>
        <v>$DK$188</v>
      </c>
      <c r="D114" s="1" t="str">
        <f>ADDRESS(C121+1,D121+1,1,1)</f>
        <v>$DL$189</v>
      </c>
    </row>
    <row r="115" spans="1:5" x14ac:dyDescent="0.25">
      <c r="A115" s="30">
        <v>445.30993424231622</v>
      </c>
      <c r="C115" s="1" t="str">
        <f>ADDRESS(C121+1,D121,1,1)</f>
        <v>$DK$189</v>
      </c>
    </row>
    <row r="116" spans="1:5" x14ac:dyDescent="0.25">
      <c r="A116" s="30">
        <v>424.10469927839637</v>
      </c>
      <c r="C116" s="1">
        <f>C117-1</f>
        <v>187</v>
      </c>
    </row>
    <row r="117" spans="1:5" x14ac:dyDescent="0.25">
      <c r="A117" s="30">
        <v>403.9092374079965</v>
      </c>
      <c r="C117" s="1">
        <f>C121</f>
        <v>188</v>
      </c>
      <c r="D117" s="1">
        <f>D121</f>
        <v>115</v>
      </c>
    </row>
    <row r="118" spans="1:5" x14ac:dyDescent="0.25">
      <c r="A118" s="30">
        <v>384.6754641980919</v>
      </c>
      <c r="C118" s="1">
        <f>C117+1</f>
        <v>189</v>
      </c>
      <c r="D118" s="1">
        <f>D117+1</f>
        <v>116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188</v>
      </c>
      <c r="D121" s="19">
        <v>115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R188</v>
      </c>
      <c r="D123" s="1" t="str">
        <f>"C"&amp;D121</f>
        <v>C115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12.64280826379346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83" x14ac:dyDescent="0.25">
      <c r="A145" s="30">
        <v>103.03467644609493</v>
      </c>
      <c r="E145"/>
    </row>
    <row r="146" spans="1:83" x14ac:dyDescent="0.25">
      <c r="A146" s="30">
        <v>98.128263281995174</v>
      </c>
      <c r="E146"/>
    </row>
    <row r="147" spans="1:83" x14ac:dyDescent="0.25">
      <c r="A147" s="30">
        <v>93.455488839995397</v>
      </c>
      <c r="E147"/>
    </row>
    <row r="148" spans="1:83" x14ac:dyDescent="0.25">
      <c r="A148" s="30">
        <v>89.005227466662276</v>
      </c>
      <c r="E148"/>
    </row>
    <row r="149" spans="1:83" x14ac:dyDescent="0.25">
      <c r="A149" s="30">
        <v>84.766883301583121</v>
      </c>
      <c r="E149"/>
    </row>
    <row r="150" spans="1:83" x14ac:dyDescent="0.25">
      <c r="A150" s="30">
        <v>80.730365049126775</v>
      </c>
      <c r="E150"/>
    </row>
    <row r="151" spans="1:83" x14ac:dyDescent="0.25">
      <c r="A151" s="30">
        <v>76.886061951549308</v>
      </c>
      <c r="E151"/>
    </row>
    <row r="152" spans="1:83" x14ac:dyDescent="0.25">
      <c r="A152" s="30">
        <v>73.22482090623744</v>
      </c>
      <c r="E152"/>
      <c r="BU152" s="32" t="s">
        <v>8</v>
      </c>
      <c r="BW152" s="32" t="s">
        <v>8</v>
      </c>
    </row>
    <row r="153" spans="1:83" x14ac:dyDescent="0.25">
      <c r="A153" s="30">
        <v>69.737924672607079</v>
      </c>
      <c r="C153" s="7"/>
      <c r="D153"/>
      <c r="E153"/>
      <c r="BO153" s="27" t="s">
        <v>8</v>
      </c>
      <c r="BU153" s="27" t="s">
        <v>8</v>
      </c>
      <c r="BV153" s="27" t="s">
        <v>7</v>
      </c>
      <c r="BW153" s="27" t="s">
        <v>8</v>
      </c>
      <c r="BX153" s="31" t="s">
        <v>7</v>
      </c>
    </row>
    <row r="154" spans="1:83" x14ac:dyDescent="0.25">
      <c r="A154" s="30">
        <v>66.417071116768639</v>
      </c>
      <c r="E154"/>
      <c r="BO154" s="27" t="s">
        <v>8</v>
      </c>
      <c r="BP154" s="27" t="s">
        <v>7</v>
      </c>
      <c r="BU154" s="27" t="s">
        <v>8</v>
      </c>
      <c r="BV154" s="27" t="s">
        <v>7</v>
      </c>
      <c r="BW154" s="27" t="s">
        <v>8</v>
      </c>
      <c r="BX154" s="27" t="s">
        <v>7</v>
      </c>
      <c r="BY154" s="31"/>
    </row>
    <row r="155" spans="1:83" x14ac:dyDescent="0.25">
      <c r="A155" s="30">
        <v>63.254353444541557</v>
      </c>
      <c r="E155"/>
      <c r="BK155" s="27" t="s">
        <v>8</v>
      </c>
      <c r="BO155" s="27" t="s">
        <v>8</v>
      </c>
      <c r="BP155" s="27" t="s">
        <v>7</v>
      </c>
      <c r="BU155" s="27" t="s">
        <v>8</v>
      </c>
      <c r="BV155" s="27" t="s">
        <v>7</v>
      </c>
      <c r="BW155" s="27" t="s">
        <v>8</v>
      </c>
      <c r="BX155" s="27" t="s">
        <v>7</v>
      </c>
      <c r="BZ155" s="31"/>
    </row>
    <row r="156" spans="1:83" x14ac:dyDescent="0.25">
      <c r="A156" s="30">
        <v>60.242241375753864</v>
      </c>
      <c r="C156"/>
      <c r="D156"/>
      <c r="E156"/>
      <c r="BI156" s="27" t="s">
        <v>8</v>
      </c>
      <c r="BK156" s="27" t="s">
        <v>8</v>
      </c>
      <c r="BL156" s="27" t="s">
        <v>7</v>
      </c>
      <c r="BM156" s="27" t="s">
        <v>8</v>
      </c>
      <c r="BO156" s="27" t="s">
        <v>8</v>
      </c>
      <c r="BP156" s="27" t="s">
        <v>7</v>
      </c>
      <c r="BQ156" s="32" t="s">
        <v>8</v>
      </c>
      <c r="BS156" s="32" t="s">
        <v>8</v>
      </c>
      <c r="BU156" s="27" t="s">
        <v>8</v>
      </c>
      <c r="BV156" s="27" t="s">
        <v>7</v>
      </c>
      <c r="BW156" s="27" t="s">
        <v>8</v>
      </c>
      <c r="BX156" s="27" t="s">
        <v>7</v>
      </c>
      <c r="CA156" s="31"/>
    </row>
    <row r="157" spans="1:83" x14ac:dyDescent="0.25">
      <c r="A157" s="30">
        <v>57.373563215003678</v>
      </c>
      <c r="E157"/>
      <c r="BI157" s="27" t="s">
        <v>8</v>
      </c>
      <c r="BJ157" s="27" t="s">
        <v>7</v>
      </c>
      <c r="BK157" s="27" t="s">
        <v>8</v>
      </c>
      <c r="BL157" s="27" t="s">
        <v>7</v>
      </c>
      <c r="BM157" s="27" t="s">
        <v>8</v>
      </c>
      <c r="BN157" s="27" t="s">
        <v>7</v>
      </c>
      <c r="BO157" s="27" t="s">
        <v>8</v>
      </c>
      <c r="BP157" s="27" t="s">
        <v>7</v>
      </c>
      <c r="BQ157" s="27" t="s">
        <v>8</v>
      </c>
      <c r="BR157" s="27" t="s">
        <v>7</v>
      </c>
      <c r="BS157" s="27" t="s">
        <v>8</v>
      </c>
      <c r="BT157" s="27" t="s">
        <v>7</v>
      </c>
      <c r="BU157" s="27" t="s">
        <v>8</v>
      </c>
      <c r="BV157" s="27" t="s">
        <v>7</v>
      </c>
      <c r="BX157" s="27" t="s">
        <v>7</v>
      </c>
      <c r="CB157" s="31"/>
    </row>
    <row r="158" spans="1:83" x14ac:dyDescent="0.25">
      <c r="A158" s="30">
        <v>54.641488776193974</v>
      </c>
      <c r="E158"/>
      <c r="BI158" s="27" t="s">
        <v>8</v>
      </c>
      <c r="BJ158" s="27" t="s">
        <v>7</v>
      </c>
      <c r="BK158" s="27" t="s">
        <v>8</v>
      </c>
      <c r="BL158" s="27" t="s">
        <v>7</v>
      </c>
      <c r="BM158" s="27" t="s">
        <v>8</v>
      </c>
      <c r="BN158" s="27" t="s">
        <v>7</v>
      </c>
      <c r="BO158" s="27" t="s">
        <v>8</v>
      </c>
      <c r="BP158" s="27" t="s">
        <v>7</v>
      </c>
      <c r="BQ158" s="27" t="s">
        <v>8</v>
      </c>
      <c r="BR158" s="27" t="s">
        <v>7</v>
      </c>
      <c r="BS158" s="27" t="s">
        <v>8</v>
      </c>
      <c r="BT158" s="27" t="s">
        <v>7</v>
      </c>
      <c r="BU158" s="27" t="s">
        <v>8</v>
      </c>
      <c r="BX158" s="27" t="s">
        <v>7</v>
      </c>
      <c r="CC158" s="31"/>
    </row>
    <row r="159" spans="1:83" x14ac:dyDescent="0.25">
      <c r="A159" s="30">
        <v>52.039513120184736</v>
      </c>
      <c r="E159"/>
      <c r="AW159" s="27" t="s">
        <v>8</v>
      </c>
      <c r="BI159" s="27" t="s">
        <v>8</v>
      </c>
      <c r="BJ159" s="27" t="s">
        <v>7</v>
      </c>
      <c r="BL159" s="27" t="s">
        <v>7</v>
      </c>
      <c r="BM159" s="27" t="s">
        <v>8</v>
      </c>
      <c r="BN159" s="27" t="s">
        <v>7</v>
      </c>
      <c r="BO159" s="27" t="s">
        <v>8</v>
      </c>
      <c r="BP159" s="31" t="s">
        <v>7</v>
      </c>
      <c r="BQ159" s="27" t="s">
        <v>8</v>
      </c>
      <c r="BR159" s="27" t="s">
        <v>7</v>
      </c>
      <c r="BS159" s="27" t="s">
        <v>8</v>
      </c>
      <c r="BT159" s="27" t="s">
        <v>7</v>
      </c>
      <c r="BU159" s="27" t="s">
        <v>8</v>
      </c>
      <c r="BX159" s="27" t="s">
        <v>7</v>
      </c>
      <c r="CD159" s="31"/>
    </row>
    <row r="160" spans="1:83" x14ac:dyDescent="0.25">
      <c r="A160" s="30">
        <v>49.561441066842605</v>
      </c>
      <c r="C160"/>
      <c r="E160"/>
      <c r="AW160" s="27" t="s">
        <v>8</v>
      </c>
      <c r="AX160" s="27" t="s">
        <v>7</v>
      </c>
      <c r="AY160" s="27" t="s">
        <v>8</v>
      </c>
      <c r="BG160" s="27" t="s">
        <v>8</v>
      </c>
      <c r="BI160" s="27" t="s">
        <v>8</v>
      </c>
      <c r="BL160" s="27" t="s">
        <v>7</v>
      </c>
      <c r="BM160" s="27" t="s">
        <v>8</v>
      </c>
      <c r="BN160" s="27" t="s">
        <v>7</v>
      </c>
      <c r="BO160" s="31"/>
      <c r="BP160" s="27" t="s">
        <v>7</v>
      </c>
      <c r="BQ160" s="27" t="s">
        <v>8</v>
      </c>
      <c r="BR160" s="27" t="s">
        <v>7</v>
      </c>
      <c r="BT160" s="27" t="s">
        <v>7</v>
      </c>
      <c r="BU160" s="27" t="s">
        <v>8</v>
      </c>
      <c r="BX160" s="27" t="s">
        <v>7</v>
      </c>
      <c r="CE160" s="31"/>
    </row>
    <row r="161" spans="1:103" x14ac:dyDescent="0.25">
      <c r="A161" s="30">
        <v>47.201372444612005</v>
      </c>
      <c r="E161"/>
      <c r="AW161" s="27" t="s">
        <v>8</v>
      </c>
      <c r="AX161" s="27" t="s">
        <v>7</v>
      </c>
      <c r="AY161" s="27" t="s">
        <v>8</v>
      </c>
      <c r="AZ161" s="27" t="s">
        <v>7</v>
      </c>
      <c r="BG161" s="27" t="s">
        <v>8</v>
      </c>
      <c r="BH161" s="27" t="s">
        <v>7</v>
      </c>
      <c r="BI161" s="27" t="s">
        <v>8</v>
      </c>
      <c r="BL161" s="27" t="s">
        <v>7</v>
      </c>
      <c r="BN161" s="31"/>
      <c r="BP161" s="27" t="s">
        <v>7</v>
      </c>
      <c r="BT161" s="27" t="s">
        <v>7</v>
      </c>
      <c r="BU161" s="27" t="s">
        <v>8</v>
      </c>
      <c r="BX161" s="27" t="s">
        <v>7</v>
      </c>
      <c r="CF161" s="31"/>
    </row>
    <row r="162" spans="1:103" x14ac:dyDescent="0.25">
      <c r="A162" s="30">
        <v>44.95368804248762</v>
      </c>
      <c r="E162"/>
      <c r="AW162" s="27" t="s">
        <v>8</v>
      </c>
      <c r="AX162" s="27" t="s">
        <v>7</v>
      </c>
      <c r="AY162" s="27" t="s">
        <v>8</v>
      </c>
      <c r="AZ162" s="27" t="s">
        <v>7</v>
      </c>
      <c r="BA162" s="27" t="s">
        <v>8</v>
      </c>
      <c r="BG162" s="27" t="s">
        <v>8</v>
      </c>
      <c r="BH162" s="27" t="s">
        <v>7</v>
      </c>
      <c r="BI162" s="27" t="s">
        <v>8</v>
      </c>
      <c r="BM162" s="31"/>
      <c r="BT162" s="27" t="s">
        <v>7</v>
      </c>
      <c r="BX162" s="27" t="s">
        <v>7</v>
      </c>
      <c r="CG162" s="31"/>
    </row>
    <row r="163" spans="1:103" x14ac:dyDescent="0.25">
      <c r="A163" s="30">
        <v>42.81303623094059</v>
      </c>
      <c r="E163"/>
      <c r="AW163" s="27" t="s">
        <v>8</v>
      </c>
      <c r="AX163" s="27" t="s">
        <v>7</v>
      </c>
      <c r="AY163" s="27" t="s">
        <v>8</v>
      </c>
      <c r="AZ163" s="27" t="s">
        <v>7</v>
      </c>
      <c r="BA163" s="27" t="s">
        <v>8</v>
      </c>
      <c r="BB163" s="27" t="s">
        <v>7</v>
      </c>
      <c r="BG163" s="27" t="s">
        <v>8</v>
      </c>
      <c r="BH163" s="27" t="s">
        <v>7</v>
      </c>
      <c r="BL163" s="31"/>
      <c r="BX163" s="27" t="s">
        <v>7</v>
      </c>
      <c r="CH163" s="31"/>
    </row>
    <row r="164" spans="1:103" x14ac:dyDescent="0.25">
      <c r="A164" s="30">
        <v>40.774320219943419</v>
      </c>
      <c r="E164"/>
      <c r="AU164" s="27" t="s">
        <v>8</v>
      </c>
      <c r="AW164" s="27" t="s">
        <v>8</v>
      </c>
      <c r="AX164" s="27" t="s">
        <v>7</v>
      </c>
      <c r="AY164" s="27" t="s">
        <v>8</v>
      </c>
      <c r="AZ164" s="27" t="s">
        <v>7</v>
      </c>
      <c r="BA164" s="27" t="s">
        <v>8</v>
      </c>
      <c r="BB164" s="27" t="s">
        <v>7</v>
      </c>
      <c r="BE164" s="27" t="s">
        <v>8</v>
      </c>
      <c r="BG164" s="27" t="s">
        <v>8</v>
      </c>
      <c r="BK164" s="31"/>
      <c r="BX164" s="27" t="s">
        <v>7</v>
      </c>
      <c r="BY164" s="27" t="s">
        <v>8</v>
      </c>
      <c r="CI164" s="31"/>
    </row>
    <row r="165" spans="1:103" x14ac:dyDescent="0.25">
      <c r="A165" s="30">
        <v>38.832685923755633</v>
      </c>
      <c r="E165"/>
      <c r="AU165" s="27" t="s">
        <v>8</v>
      </c>
      <c r="AV165" s="27" t="s">
        <v>7</v>
      </c>
      <c r="AW165" s="27" t="s">
        <v>8</v>
      </c>
      <c r="AX165" s="27" t="s">
        <v>7</v>
      </c>
      <c r="AZ165" s="27" t="s">
        <v>7</v>
      </c>
      <c r="BA165" s="27" t="s">
        <v>8</v>
      </c>
      <c r="BB165" s="27" t="s">
        <v>7</v>
      </c>
      <c r="BC165" s="27" t="s">
        <v>8</v>
      </c>
      <c r="BE165" s="27" t="s">
        <v>8</v>
      </c>
      <c r="BF165" s="27" t="s">
        <v>7</v>
      </c>
      <c r="BG165" s="27" t="s">
        <v>8</v>
      </c>
      <c r="BJ165" s="31"/>
      <c r="BX165" s="27" t="s">
        <v>7</v>
      </c>
      <c r="BY165" s="27" t="s">
        <v>8</v>
      </c>
      <c r="BZ165" s="27" t="s">
        <v>7</v>
      </c>
      <c r="CJ165" s="31"/>
    </row>
    <row r="166" spans="1:103" x14ac:dyDescent="0.25">
      <c r="A166" s="30">
        <v>36.983510403576794</v>
      </c>
      <c r="E166"/>
      <c r="Q166" s="27" t="s">
        <v>8</v>
      </c>
      <c r="S166" s="27" t="s">
        <v>8</v>
      </c>
      <c r="AU166" s="27" t="s">
        <v>8</v>
      </c>
      <c r="AV166" s="27" t="s">
        <v>7</v>
      </c>
      <c r="AW166" s="27" t="s">
        <v>8</v>
      </c>
      <c r="AZ166" s="27" t="s">
        <v>7</v>
      </c>
      <c r="BA166" s="27" t="s">
        <v>8</v>
      </c>
      <c r="BB166" s="27" t="s">
        <v>7</v>
      </c>
      <c r="BC166" s="27" t="s">
        <v>8</v>
      </c>
      <c r="BD166" s="27" t="s">
        <v>7</v>
      </c>
      <c r="BE166" s="27" t="s">
        <v>8</v>
      </c>
      <c r="BF166" s="27" t="s">
        <v>7</v>
      </c>
      <c r="BG166" s="27" t="s">
        <v>8</v>
      </c>
      <c r="BI166" s="31"/>
      <c r="BX166" s="27" t="s">
        <v>7</v>
      </c>
      <c r="BY166" s="27" t="s">
        <v>8</v>
      </c>
      <c r="BZ166" s="27" t="s">
        <v>7</v>
      </c>
      <c r="CK166" s="31"/>
    </row>
    <row r="167" spans="1:103" x14ac:dyDescent="0.25">
      <c r="A167" s="30">
        <v>35.222390860549325</v>
      </c>
      <c r="E167"/>
      <c r="Q167" s="27" t="s">
        <v>8</v>
      </c>
      <c r="R167" s="27" t="s">
        <v>7</v>
      </c>
      <c r="S167" s="27" t="s">
        <v>8</v>
      </c>
      <c r="T167" s="27" t="s">
        <v>7</v>
      </c>
      <c r="AU167" s="27" t="s">
        <v>8</v>
      </c>
      <c r="AV167" s="27" t="s">
        <v>7</v>
      </c>
      <c r="AW167" s="27" t="s">
        <v>8</v>
      </c>
      <c r="AZ167" s="27" t="s">
        <v>7</v>
      </c>
      <c r="BA167" s="27" t="s">
        <v>8</v>
      </c>
      <c r="BB167" s="27" t="s">
        <v>7</v>
      </c>
      <c r="BC167" s="27" t="s">
        <v>8</v>
      </c>
      <c r="BD167" s="27" t="s">
        <v>7</v>
      </c>
      <c r="BE167" s="27" t="s">
        <v>8</v>
      </c>
      <c r="BF167" s="27" t="s">
        <v>7</v>
      </c>
      <c r="BH167" s="31"/>
      <c r="BX167" s="27" t="s">
        <v>7</v>
      </c>
      <c r="BY167" s="27" t="s">
        <v>8</v>
      </c>
      <c r="BZ167" s="27" t="s">
        <v>7</v>
      </c>
      <c r="CL167" s="31"/>
      <c r="CM167" s="27" t="s">
        <v>8</v>
      </c>
    </row>
    <row r="168" spans="1:103" x14ac:dyDescent="0.25">
      <c r="A168" s="30">
        <v>33.545134152904119</v>
      </c>
      <c r="E168"/>
      <c r="Q168" s="27" t="s">
        <v>8</v>
      </c>
      <c r="R168" s="27" t="s">
        <v>7</v>
      </c>
      <c r="S168" s="27" t="s">
        <v>8</v>
      </c>
      <c r="T168" s="27" t="s">
        <v>7</v>
      </c>
      <c r="AU168" s="27" t="s">
        <v>8</v>
      </c>
      <c r="AV168" s="27" t="s">
        <v>7</v>
      </c>
      <c r="AZ168" s="27" t="s">
        <v>7</v>
      </c>
      <c r="BA168" s="27" t="s">
        <v>8</v>
      </c>
      <c r="BB168" s="27" t="s">
        <v>7</v>
      </c>
      <c r="BD168" s="27" t="s">
        <v>7</v>
      </c>
      <c r="BE168" s="27" t="s">
        <v>8</v>
      </c>
      <c r="BG168" s="31"/>
      <c r="BX168" s="27" t="s">
        <v>7</v>
      </c>
      <c r="BY168" s="27" t="s">
        <v>8</v>
      </c>
      <c r="BZ168" s="27" t="s">
        <v>7</v>
      </c>
      <c r="CA168" s="27" t="s">
        <v>8</v>
      </c>
      <c r="CM168" s="33" t="s">
        <v>8</v>
      </c>
      <c r="CN168" s="33" t="s">
        <v>7</v>
      </c>
    </row>
    <row r="169" spans="1:103" x14ac:dyDescent="0.25">
      <c r="A169" s="30">
        <v>31.947746812289637</v>
      </c>
      <c r="E169"/>
      <c r="Q169" s="27" t="s">
        <v>8</v>
      </c>
      <c r="R169" s="27" t="s">
        <v>7</v>
      </c>
      <c r="T169" s="27" t="s">
        <v>7</v>
      </c>
      <c r="AU169" s="27" t="s">
        <v>8</v>
      </c>
      <c r="AZ169" s="27" t="s">
        <v>7</v>
      </c>
      <c r="BA169" s="27" t="s">
        <v>8</v>
      </c>
      <c r="BD169" s="27" t="s">
        <v>7</v>
      </c>
      <c r="BF169" s="31"/>
      <c r="BX169" s="27" t="s">
        <v>7</v>
      </c>
      <c r="BY169" s="27" t="s">
        <v>8</v>
      </c>
      <c r="BZ169" s="27" t="s">
        <v>7</v>
      </c>
      <c r="CA169" s="27" t="s">
        <v>8</v>
      </c>
      <c r="CB169" s="27" t="s">
        <v>7</v>
      </c>
      <c r="CC169" s="27" t="s">
        <v>8</v>
      </c>
      <c r="CK169" s="27" t="s">
        <v>8</v>
      </c>
      <c r="CM169" s="27" t="s">
        <v>8</v>
      </c>
      <c r="CN169" s="27" t="s">
        <v>7</v>
      </c>
      <c r="CO169" s="33"/>
    </row>
    <row r="170" spans="1:103" x14ac:dyDescent="0.25">
      <c r="A170" s="30">
        <v>30.426425535513939</v>
      </c>
      <c r="E170"/>
      <c r="Q170" s="27" t="s">
        <v>8</v>
      </c>
      <c r="T170" s="27" t="s">
        <v>7</v>
      </c>
      <c r="AU170" s="27" t="s">
        <v>8</v>
      </c>
      <c r="AZ170" s="27" t="s">
        <v>7</v>
      </c>
      <c r="BA170" s="27" t="s">
        <v>8</v>
      </c>
      <c r="BE170" s="31"/>
      <c r="BX170" s="27" t="s">
        <v>7</v>
      </c>
      <c r="BY170" s="27" t="s">
        <v>8</v>
      </c>
      <c r="BZ170" s="27" t="s">
        <v>7</v>
      </c>
      <c r="CA170" s="27" t="s">
        <v>8</v>
      </c>
      <c r="CB170" s="27" t="s">
        <v>7</v>
      </c>
      <c r="CC170" s="27" t="s">
        <v>8</v>
      </c>
      <c r="CD170" s="27" t="s">
        <v>7</v>
      </c>
      <c r="CI170" s="27" t="s">
        <v>8</v>
      </c>
      <c r="CK170" s="27" t="s">
        <v>8</v>
      </c>
      <c r="CL170" s="27" t="s">
        <v>7</v>
      </c>
      <c r="CM170" s="27" t="s">
        <v>8</v>
      </c>
      <c r="CN170" s="27" t="s">
        <v>7</v>
      </c>
      <c r="CP170" s="33"/>
    </row>
    <row r="171" spans="1:103" x14ac:dyDescent="0.25">
      <c r="A171" s="30">
        <v>28.977548129060892</v>
      </c>
      <c r="E171"/>
      <c r="Q171" s="27" t="s">
        <v>8</v>
      </c>
      <c r="T171" s="27" t="s">
        <v>7</v>
      </c>
      <c r="AU171" s="27" t="s">
        <v>8</v>
      </c>
      <c r="AZ171" s="27" t="s">
        <v>7</v>
      </c>
      <c r="BD171" s="31"/>
      <c r="BX171" s="27" t="s">
        <v>7</v>
      </c>
      <c r="BY171" s="27" t="s">
        <v>8</v>
      </c>
      <c r="BZ171" s="27" t="s">
        <v>7</v>
      </c>
      <c r="CA171" s="27" t="s">
        <v>8</v>
      </c>
      <c r="CB171" s="27" t="s">
        <v>7</v>
      </c>
      <c r="CC171" s="27" t="s">
        <v>8</v>
      </c>
      <c r="CD171" s="27" t="s">
        <v>7</v>
      </c>
      <c r="CI171" s="27" t="s">
        <v>8</v>
      </c>
      <c r="CJ171" s="27" t="s">
        <v>7</v>
      </c>
      <c r="CK171" s="27" t="s">
        <v>8</v>
      </c>
      <c r="CL171" s="27" t="s">
        <v>7</v>
      </c>
      <c r="CM171" s="27" t="s">
        <v>8</v>
      </c>
      <c r="CN171" s="27" t="s">
        <v>7</v>
      </c>
      <c r="CQ171" s="33" t="s">
        <v>8</v>
      </c>
      <c r="CW171" s="27" t="s">
        <v>8</v>
      </c>
    </row>
    <row r="172" spans="1:103" x14ac:dyDescent="0.25">
      <c r="A172" s="30">
        <v>27.597664884819896</v>
      </c>
      <c r="E172"/>
      <c r="Q172" s="27" t="s">
        <v>8</v>
      </c>
      <c r="T172" s="27" t="s">
        <v>7</v>
      </c>
      <c r="AU172" s="27" t="s">
        <v>8</v>
      </c>
      <c r="BC172" s="31"/>
      <c r="BX172" s="27" t="s">
        <v>7</v>
      </c>
      <c r="BY172" s="27" t="s">
        <v>8</v>
      </c>
      <c r="BZ172" s="27" t="s">
        <v>7</v>
      </c>
      <c r="CA172" s="27" t="s">
        <v>8</v>
      </c>
      <c r="CB172" s="27" t="s">
        <v>7</v>
      </c>
      <c r="CC172" s="27" t="s">
        <v>8</v>
      </c>
      <c r="CD172" s="27" t="s">
        <v>7</v>
      </c>
      <c r="CI172" s="27" t="s">
        <v>8</v>
      </c>
      <c r="CJ172" s="27" t="s">
        <v>7</v>
      </c>
      <c r="CK172" s="27" t="s">
        <v>8</v>
      </c>
      <c r="CL172" s="27" t="s">
        <v>7</v>
      </c>
      <c r="CM172" s="27" t="s">
        <v>8</v>
      </c>
      <c r="CN172" s="27" t="s">
        <v>7</v>
      </c>
      <c r="CO172" s="27" t="s">
        <v>8</v>
      </c>
      <c r="CQ172" s="27" t="s">
        <v>8</v>
      </c>
      <c r="CR172" s="27" t="s">
        <v>7</v>
      </c>
      <c r="CW172" s="27" t="s">
        <v>8</v>
      </c>
      <c r="CX172" s="27" t="s">
        <v>7</v>
      </c>
    </row>
    <row r="173" spans="1:103" x14ac:dyDescent="0.25">
      <c r="A173" s="30">
        <v>26.283490366495137</v>
      </c>
      <c r="E173"/>
      <c r="M173" s="27" t="s">
        <v>8</v>
      </c>
      <c r="O173" s="27" t="s">
        <v>8</v>
      </c>
      <c r="Q173" s="27" t="s">
        <v>8</v>
      </c>
      <c r="T173" s="27" t="s">
        <v>7</v>
      </c>
      <c r="AU173" s="27" t="s">
        <v>8</v>
      </c>
      <c r="BB173" s="31"/>
      <c r="BX173" s="27" t="s">
        <v>7</v>
      </c>
      <c r="BY173" s="27" t="s">
        <v>8</v>
      </c>
      <c r="BZ173" s="27" t="s">
        <v>7</v>
      </c>
      <c r="CA173" s="27" t="s">
        <v>8</v>
      </c>
      <c r="CB173" s="27" t="s">
        <v>7</v>
      </c>
      <c r="CD173" s="27" t="s">
        <v>7</v>
      </c>
      <c r="CG173" s="27" t="s">
        <v>8</v>
      </c>
      <c r="CI173" s="27" t="s">
        <v>8</v>
      </c>
      <c r="CJ173" s="27" t="s">
        <v>7</v>
      </c>
      <c r="CL173" s="27" t="s">
        <v>7</v>
      </c>
      <c r="CM173" s="27" t="s">
        <v>8</v>
      </c>
      <c r="CN173" s="27" t="s">
        <v>7</v>
      </c>
      <c r="CO173" s="27" t="s">
        <v>8</v>
      </c>
      <c r="CP173" s="27" t="s">
        <v>7</v>
      </c>
      <c r="CQ173" s="27" t="s">
        <v>8</v>
      </c>
      <c r="CR173" s="33" t="s">
        <v>7</v>
      </c>
      <c r="CW173" s="27" t="s">
        <v>8</v>
      </c>
      <c r="CX173" s="27" t="s">
        <v>7</v>
      </c>
    </row>
    <row r="174" spans="1:103" x14ac:dyDescent="0.25">
      <c r="A174" s="30">
        <v>25.031895587138223</v>
      </c>
      <c r="E174"/>
      <c r="M174" s="27" t="s">
        <v>8</v>
      </c>
      <c r="N174" s="27" t="s">
        <v>7</v>
      </c>
      <c r="O174" s="27" t="s">
        <v>8</v>
      </c>
      <c r="P174" s="27" t="s">
        <v>7</v>
      </c>
      <c r="Q174" s="27" t="s">
        <v>8</v>
      </c>
      <c r="T174" s="27" t="s">
        <v>7</v>
      </c>
      <c r="W174" s="27" t="s">
        <v>8</v>
      </c>
      <c r="AU174" s="27" t="s">
        <v>8</v>
      </c>
      <c r="BA174" s="31"/>
      <c r="BX174" s="27" t="s">
        <v>7</v>
      </c>
      <c r="BZ174" s="27" t="s">
        <v>7</v>
      </c>
      <c r="CA174" s="27" t="s">
        <v>8</v>
      </c>
      <c r="CD174" s="34" t="s">
        <v>7</v>
      </c>
      <c r="CG174" s="27" t="s">
        <v>8</v>
      </c>
      <c r="CH174" s="27" t="s">
        <v>7</v>
      </c>
      <c r="CI174" s="27" t="s">
        <v>8</v>
      </c>
      <c r="CL174" s="27" t="s">
        <v>7</v>
      </c>
      <c r="CN174" s="27" t="s">
        <v>7</v>
      </c>
      <c r="CO174" s="27" t="s">
        <v>8</v>
      </c>
      <c r="CP174" s="27" t="s">
        <v>7</v>
      </c>
      <c r="CQ174" s="33" t="s">
        <v>8</v>
      </c>
      <c r="CR174" s="27" t="s">
        <v>7</v>
      </c>
      <c r="CW174" s="27" t="s">
        <v>8</v>
      </c>
      <c r="CX174" s="27" t="s">
        <v>7</v>
      </c>
    </row>
    <row r="175" spans="1:103" x14ac:dyDescent="0.25">
      <c r="A175" s="30">
        <v>23.839900559179259</v>
      </c>
      <c r="E175" t="s">
        <v>8</v>
      </c>
      <c r="M175" s="27" t="s">
        <v>8</v>
      </c>
      <c r="N175" s="27" t="s">
        <v>7</v>
      </c>
      <c r="O175" s="27" t="s">
        <v>8</v>
      </c>
      <c r="P175" s="27" t="s">
        <v>7</v>
      </c>
      <c r="Q175" s="27" t="s">
        <v>8</v>
      </c>
      <c r="T175" s="27" t="s">
        <v>7</v>
      </c>
      <c r="U175" s="27" t="s">
        <v>8</v>
      </c>
      <c r="W175" s="27" t="s">
        <v>8</v>
      </c>
      <c r="X175" s="27" t="s">
        <v>7</v>
      </c>
      <c r="Y175" s="27" t="s">
        <v>8</v>
      </c>
      <c r="AQ175" s="32" t="s">
        <v>8</v>
      </c>
      <c r="AS175" s="32" t="s">
        <v>8</v>
      </c>
      <c r="AU175" s="27" t="s">
        <v>8</v>
      </c>
      <c r="AZ175" s="31"/>
      <c r="BZ175" s="27" t="s">
        <v>7</v>
      </c>
      <c r="CA175" s="27" t="s">
        <v>8</v>
      </c>
      <c r="CD175" s="27" t="s">
        <v>7</v>
      </c>
      <c r="CG175" s="27" t="s">
        <v>8</v>
      </c>
      <c r="CH175" s="27" t="s">
        <v>7</v>
      </c>
      <c r="CI175" s="27" t="s">
        <v>8</v>
      </c>
      <c r="CN175" s="27" t="s">
        <v>7</v>
      </c>
      <c r="CO175" s="27" t="s">
        <v>8</v>
      </c>
      <c r="CP175" s="33" t="s">
        <v>7</v>
      </c>
      <c r="CR175" s="27" t="s">
        <v>7</v>
      </c>
      <c r="CW175" s="27" t="s">
        <v>8</v>
      </c>
      <c r="CX175" s="27" t="s">
        <v>7</v>
      </c>
    </row>
    <row r="176" spans="1:103" x14ac:dyDescent="0.25">
      <c r="A176" s="30">
        <v>22.704667199218342</v>
      </c>
      <c r="E176" t="s">
        <v>8</v>
      </c>
      <c r="F176" s="27" t="s">
        <v>7</v>
      </c>
      <c r="G176" s="27" t="s">
        <v>8</v>
      </c>
      <c r="K176" s="27" t="s">
        <v>8</v>
      </c>
      <c r="M176" s="27" t="s">
        <v>8</v>
      </c>
      <c r="N176" s="27" t="s">
        <v>7</v>
      </c>
      <c r="P176" s="27" t="s">
        <v>7</v>
      </c>
      <c r="T176" s="27" t="s">
        <v>7</v>
      </c>
      <c r="U176" s="27" t="s">
        <v>8</v>
      </c>
      <c r="V176" s="27" t="s">
        <v>7</v>
      </c>
      <c r="W176" s="27" t="s">
        <v>8</v>
      </c>
      <c r="X176" s="27" t="s">
        <v>7</v>
      </c>
      <c r="Y176" s="27" t="s">
        <v>8</v>
      </c>
      <c r="Z176" s="27" t="s">
        <v>7</v>
      </c>
      <c r="AQ176" s="27" t="s">
        <v>8</v>
      </c>
      <c r="AR176" s="27" t="s">
        <v>7</v>
      </c>
      <c r="AS176" s="27" t="s">
        <v>8</v>
      </c>
      <c r="AT176" s="27" t="s">
        <v>7</v>
      </c>
      <c r="AU176" s="27" t="s">
        <v>8</v>
      </c>
      <c r="AY176" s="31"/>
      <c r="BZ176" s="27" t="s">
        <v>7</v>
      </c>
      <c r="CA176" s="27" t="s">
        <v>8</v>
      </c>
      <c r="CD176" s="27" t="s">
        <v>7</v>
      </c>
      <c r="CG176" s="27" t="s">
        <v>8</v>
      </c>
      <c r="CH176" s="27" t="s">
        <v>7</v>
      </c>
      <c r="CI176" s="27" t="s">
        <v>8</v>
      </c>
      <c r="CN176" s="27" t="s">
        <v>7</v>
      </c>
      <c r="CO176" s="33"/>
      <c r="CR176" s="27" t="s">
        <v>7</v>
      </c>
      <c r="CU176" s="27" t="s">
        <v>8</v>
      </c>
      <c r="CW176" s="27" t="s">
        <v>8</v>
      </c>
      <c r="CX176" s="27" t="s">
        <v>7</v>
      </c>
      <c r="CY176" s="27" t="s">
        <v>8</v>
      </c>
    </row>
    <row r="177" spans="1:115" x14ac:dyDescent="0.25">
      <c r="A177" s="30">
        <v>21.623492570684135</v>
      </c>
      <c r="E177" t="s">
        <v>8</v>
      </c>
      <c r="F177" s="27" t="s">
        <v>7</v>
      </c>
      <c r="G177" s="27" t="s">
        <v>8</v>
      </c>
      <c r="H177" s="27" t="s">
        <v>7</v>
      </c>
      <c r="I177" s="27" t="s">
        <v>8</v>
      </c>
      <c r="K177" s="27" t="s">
        <v>8</v>
      </c>
      <c r="L177" s="27" t="s">
        <v>7</v>
      </c>
      <c r="M177" s="27" t="s">
        <v>8</v>
      </c>
      <c r="T177" s="27" t="s">
        <v>7</v>
      </c>
      <c r="U177" s="27" t="s">
        <v>8</v>
      </c>
      <c r="V177" s="27" t="s">
        <v>7</v>
      </c>
      <c r="W177" s="27" t="s">
        <v>8</v>
      </c>
      <c r="X177" s="27" t="s">
        <v>7</v>
      </c>
      <c r="Y177" s="27" t="s">
        <v>8</v>
      </c>
      <c r="Z177" s="27" t="s">
        <v>7</v>
      </c>
      <c r="AQ177" s="27" t="s">
        <v>8</v>
      </c>
      <c r="AR177" s="27" t="s">
        <v>7</v>
      </c>
      <c r="AS177" s="27" t="s">
        <v>8</v>
      </c>
      <c r="AT177" s="27" t="s">
        <v>7</v>
      </c>
      <c r="AU177" s="27" t="s">
        <v>8</v>
      </c>
      <c r="AX177" s="31"/>
      <c r="BZ177" s="27" t="s">
        <v>7</v>
      </c>
      <c r="CD177" s="27" t="s">
        <v>7</v>
      </c>
      <c r="CG177" s="27" t="s">
        <v>8</v>
      </c>
      <c r="CH177" s="27" t="s">
        <v>7</v>
      </c>
      <c r="CI177" s="27" t="s">
        <v>8</v>
      </c>
      <c r="CN177" s="33"/>
      <c r="CR177" s="27" t="s">
        <v>7</v>
      </c>
      <c r="CS177" s="27" t="s">
        <v>8</v>
      </c>
      <c r="CU177" s="27" t="s">
        <v>8</v>
      </c>
      <c r="CV177" s="27" t="s">
        <v>7</v>
      </c>
      <c r="CW177" s="27" t="s">
        <v>8</v>
      </c>
      <c r="CX177" s="27" t="s">
        <v>7</v>
      </c>
      <c r="CY177" s="27" t="s">
        <v>8</v>
      </c>
      <c r="CZ177" s="27" t="s">
        <v>7</v>
      </c>
      <c r="DA177" s="27" t="s">
        <v>8</v>
      </c>
    </row>
    <row r="178" spans="1:115" x14ac:dyDescent="0.25">
      <c r="A178" s="30">
        <v>20.593802448270605</v>
      </c>
      <c r="C178" s="7"/>
      <c r="D178"/>
      <c r="E178" t="s">
        <v>8</v>
      </c>
      <c r="F178" s="27" t="s">
        <v>7</v>
      </c>
      <c r="G178" s="27" t="s">
        <v>8</v>
      </c>
      <c r="H178" s="27" t="s">
        <v>7</v>
      </c>
      <c r="I178" s="27" t="s">
        <v>8</v>
      </c>
      <c r="J178" s="27" t="s">
        <v>7</v>
      </c>
      <c r="K178" s="27" t="s">
        <v>8</v>
      </c>
      <c r="L178" s="27" t="s">
        <v>7</v>
      </c>
      <c r="M178" s="27" t="s">
        <v>8</v>
      </c>
      <c r="T178" s="27" t="s">
        <v>7</v>
      </c>
      <c r="V178" s="27" t="s">
        <v>7</v>
      </c>
      <c r="W178" s="27" t="s">
        <v>8</v>
      </c>
      <c r="X178" s="27" t="s">
        <v>7</v>
      </c>
      <c r="Z178" s="27" t="s">
        <v>7</v>
      </c>
      <c r="AM178" s="27" t="s">
        <v>8</v>
      </c>
      <c r="AQ178" s="27" t="s">
        <v>8</v>
      </c>
      <c r="AR178" s="27" t="s">
        <v>7</v>
      </c>
      <c r="AS178" s="27" t="s">
        <v>8</v>
      </c>
      <c r="AT178" s="27" t="s">
        <v>7</v>
      </c>
      <c r="AU178" s="27" t="s">
        <v>8</v>
      </c>
      <c r="AW178" s="31"/>
      <c r="CD178" s="27" t="s">
        <v>7</v>
      </c>
      <c r="CG178" s="27" t="s">
        <v>8</v>
      </c>
      <c r="CH178" s="27" t="s">
        <v>7</v>
      </c>
      <c r="CI178" s="27" t="s">
        <v>8</v>
      </c>
      <c r="CM178" s="33"/>
      <c r="CR178" s="27" t="s">
        <v>7</v>
      </c>
      <c r="CS178" s="27" t="s">
        <v>8</v>
      </c>
      <c r="CT178" s="27" t="s">
        <v>7</v>
      </c>
      <c r="CU178" s="27" t="s">
        <v>8</v>
      </c>
      <c r="CV178" s="27" t="s">
        <v>7</v>
      </c>
      <c r="CW178" s="27" t="s">
        <v>8</v>
      </c>
      <c r="CX178" s="27" t="s">
        <v>7</v>
      </c>
      <c r="CY178" s="27" t="s">
        <v>8</v>
      </c>
      <c r="CZ178" s="27" t="s">
        <v>7</v>
      </c>
      <c r="DA178" s="27" t="s">
        <v>8</v>
      </c>
      <c r="DB178" s="27" t="s">
        <v>7</v>
      </c>
    </row>
    <row r="179" spans="1:115" x14ac:dyDescent="0.25">
      <c r="A179" s="30">
        <v>19.613145188829147</v>
      </c>
      <c r="E179" t="s">
        <v>8</v>
      </c>
      <c r="F179" s="27" t="s">
        <v>7</v>
      </c>
      <c r="H179" s="27" t="s">
        <v>7</v>
      </c>
      <c r="I179" s="27" t="s">
        <v>8</v>
      </c>
      <c r="J179" s="27" t="s">
        <v>7</v>
      </c>
      <c r="K179" s="27" t="s">
        <v>8</v>
      </c>
      <c r="L179" s="27" t="s">
        <v>7</v>
      </c>
      <c r="V179" s="27" t="s">
        <v>7</v>
      </c>
      <c r="W179" s="27" t="s">
        <v>8</v>
      </c>
      <c r="Z179" s="27" t="s">
        <v>7</v>
      </c>
      <c r="AM179" s="27" t="s">
        <v>8</v>
      </c>
      <c r="AN179" s="27" t="s">
        <v>7</v>
      </c>
      <c r="AQ179" s="27" t="s">
        <v>8</v>
      </c>
      <c r="AR179" s="27" t="s">
        <v>7</v>
      </c>
      <c r="AS179" s="27" t="s">
        <v>8</v>
      </c>
      <c r="AT179" s="27" t="s">
        <v>7</v>
      </c>
      <c r="AU179" s="27" t="s">
        <v>8</v>
      </c>
      <c r="AV179" s="31"/>
      <c r="CD179" s="27" t="s">
        <v>7</v>
      </c>
      <c r="CG179" s="27" t="s">
        <v>8</v>
      </c>
      <c r="CH179" s="27" t="s">
        <v>7</v>
      </c>
      <c r="CI179" s="27" t="s">
        <v>8</v>
      </c>
      <c r="CL179" s="33"/>
      <c r="CR179" s="27" t="s">
        <v>7</v>
      </c>
      <c r="CS179" s="27" t="s">
        <v>8</v>
      </c>
      <c r="CT179" s="27" t="s">
        <v>7</v>
      </c>
      <c r="CU179" s="27" t="s">
        <v>8</v>
      </c>
      <c r="CV179" s="27" t="s">
        <v>7</v>
      </c>
      <c r="CX179" s="27" t="s">
        <v>7</v>
      </c>
      <c r="CY179" s="27" t="s">
        <v>8</v>
      </c>
      <c r="CZ179" s="27" t="s">
        <v>7</v>
      </c>
      <c r="DA179" s="27" t="s">
        <v>8</v>
      </c>
      <c r="DB179" s="27" t="s">
        <v>7</v>
      </c>
      <c r="DI179" s="27" t="s">
        <v>8</v>
      </c>
    </row>
    <row r="180" spans="1:115" x14ac:dyDescent="0.25">
      <c r="A180" s="30">
        <v>18.679185894122998</v>
      </c>
      <c r="E180" t="s">
        <v>8</v>
      </c>
      <c r="H180" s="27" t="s">
        <v>7</v>
      </c>
      <c r="J180" s="27" t="s">
        <v>7</v>
      </c>
      <c r="K180" s="27" t="s">
        <v>8</v>
      </c>
      <c r="V180" s="27" t="s">
        <v>7</v>
      </c>
      <c r="W180" s="27" t="s">
        <v>8</v>
      </c>
      <c r="Z180" s="27" t="s">
        <v>7</v>
      </c>
      <c r="AA180" s="27" t="s">
        <v>8</v>
      </c>
      <c r="AK180" s="27" t="s">
        <v>8</v>
      </c>
      <c r="AM180" s="27" t="s">
        <v>8</v>
      </c>
      <c r="AN180" s="27" t="s">
        <v>7</v>
      </c>
      <c r="AO180" s="27" t="s">
        <v>8</v>
      </c>
      <c r="AQ180" s="27" t="s">
        <v>8</v>
      </c>
      <c r="AR180" s="27" t="s">
        <v>7</v>
      </c>
      <c r="AS180" s="27" t="s">
        <v>8</v>
      </c>
      <c r="AT180" s="27" t="s">
        <v>7</v>
      </c>
      <c r="AU180" s="31"/>
      <c r="CD180" s="27" t="s">
        <v>7</v>
      </c>
      <c r="CG180" s="35" t="s">
        <v>8</v>
      </c>
      <c r="CH180" s="27" t="s">
        <v>7</v>
      </c>
      <c r="CI180" s="27" t="s">
        <v>8</v>
      </c>
      <c r="CK180" s="33"/>
      <c r="CR180" s="27" t="s">
        <v>7</v>
      </c>
      <c r="CT180" s="27" t="s">
        <v>7</v>
      </c>
      <c r="CX180" s="27" t="s">
        <v>7</v>
      </c>
      <c r="CZ180" s="27" t="s">
        <v>7</v>
      </c>
      <c r="DB180" s="27" t="s">
        <v>7</v>
      </c>
      <c r="DG180" s="27" t="s">
        <v>8</v>
      </c>
      <c r="DI180" s="27" t="s">
        <v>8</v>
      </c>
      <c r="DJ180" s="27" t="s">
        <v>7</v>
      </c>
    </row>
    <row r="181" spans="1:115" x14ac:dyDescent="0.25">
      <c r="A181" s="30">
        <v>17.78970085154571</v>
      </c>
      <c r="C181"/>
      <c r="D181"/>
      <c r="E181" t="s">
        <v>8</v>
      </c>
      <c r="J181" s="27" t="s">
        <v>7</v>
      </c>
      <c r="V181" s="27" t="s">
        <v>7</v>
      </c>
      <c r="W181" s="27" t="s">
        <v>8</v>
      </c>
      <c r="Z181" s="27" t="s">
        <v>7</v>
      </c>
      <c r="AA181" s="27" t="s">
        <v>8</v>
      </c>
      <c r="AB181" s="27" t="s">
        <v>7</v>
      </c>
      <c r="AE181" s="27" t="s">
        <v>8</v>
      </c>
      <c r="AK181" s="27" t="s">
        <v>8</v>
      </c>
      <c r="AL181" s="27" t="s">
        <v>7</v>
      </c>
      <c r="AM181" s="27" t="s">
        <v>8</v>
      </c>
      <c r="AN181" s="27" t="s">
        <v>7</v>
      </c>
      <c r="AO181" s="27" t="s">
        <v>8</v>
      </c>
      <c r="AP181" s="27" t="s">
        <v>7</v>
      </c>
      <c r="AQ181" s="27" t="s">
        <v>8</v>
      </c>
      <c r="AR181" s="27" t="s">
        <v>7</v>
      </c>
      <c r="AS181" s="27" t="s">
        <v>8</v>
      </c>
      <c r="AT181" s="31"/>
      <c r="CD181" s="27" t="s">
        <v>7</v>
      </c>
      <c r="CE181" s="27" t="s">
        <v>8</v>
      </c>
      <c r="CG181" s="27" t="s">
        <v>8</v>
      </c>
      <c r="CH181" s="27" t="s">
        <v>7</v>
      </c>
      <c r="CI181" s="27" t="s">
        <v>8</v>
      </c>
      <c r="CJ181" s="33"/>
      <c r="DB181" s="27" t="s">
        <v>7</v>
      </c>
      <c r="DG181" s="27" t="s">
        <v>8</v>
      </c>
      <c r="DH181" s="27" t="s">
        <v>7</v>
      </c>
      <c r="DI181" s="27" t="s">
        <v>8</v>
      </c>
      <c r="DJ181" s="27" t="s">
        <v>7</v>
      </c>
    </row>
    <row r="182" spans="1:115" x14ac:dyDescent="0.25">
      <c r="A182" s="30">
        <v>16.942572239567344</v>
      </c>
      <c r="E182" t="s">
        <v>8</v>
      </c>
      <c r="V182" s="27" t="s">
        <v>7</v>
      </c>
      <c r="Z182" s="27" t="s">
        <v>7</v>
      </c>
      <c r="AA182" s="27" t="s">
        <v>8</v>
      </c>
      <c r="AB182" s="27" t="s">
        <v>7</v>
      </c>
      <c r="AE182" s="27" t="s">
        <v>8</v>
      </c>
      <c r="AF182" s="27" t="s">
        <v>7</v>
      </c>
      <c r="AK182" s="27" t="s">
        <v>8</v>
      </c>
      <c r="AL182" s="27" t="s">
        <v>7</v>
      </c>
      <c r="AM182" s="27" t="s">
        <v>8</v>
      </c>
      <c r="AN182" s="27" t="s">
        <v>7</v>
      </c>
      <c r="AO182" s="27" t="s">
        <v>8</v>
      </c>
      <c r="AP182" s="27" t="s">
        <v>7</v>
      </c>
      <c r="AQ182" s="27" t="s">
        <v>8</v>
      </c>
      <c r="AR182" s="27" t="s">
        <v>7</v>
      </c>
      <c r="AS182" s="31"/>
      <c r="CD182" s="27" t="s">
        <v>7</v>
      </c>
      <c r="CE182" s="27" t="s">
        <v>8</v>
      </c>
      <c r="CF182" s="27" t="s">
        <v>7</v>
      </c>
      <c r="CG182" s="27" t="s">
        <v>8</v>
      </c>
      <c r="CH182" s="18" t="s">
        <v>7</v>
      </c>
      <c r="CI182" s="33" t="s">
        <v>8</v>
      </c>
      <c r="DB182" s="27" t="s">
        <v>7</v>
      </c>
      <c r="DC182" s="27" t="s">
        <v>8</v>
      </c>
      <c r="DE182" s="27" t="s">
        <v>8</v>
      </c>
      <c r="DG182" s="27" t="s">
        <v>8</v>
      </c>
      <c r="DH182" s="27" t="s">
        <v>7</v>
      </c>
      <c r="DI182" s="27" t="s">
        <v>8</v>
      </c>
      <c r="DJ182" s="27" t="s">
        <v>7</v>
      </c>
    </row>
    <row r="183" spans="1:115" x14ac:dyDescent="0.25">
      <c r="A183" s="30">
        <v>16.135783085302233</v>
      </c>
      <c r="E183" t="s">
        <v>8</v>
      </c>
      <c r="Z183" s="27" t="s">
        <v>7</v>
      </c>
      <c r="AA183" s="27" t="s">
        <v>8</v>
      </c>
      <c r="AB183" s="27" t="s">
        <v>7</v>
      </c>
      <c r="AE183" s="27" t="s">
        <v>8</v>
      </c>
      <c r="AF183" s="27" t="s">
        <v>7</v>
      </c>
      <c r="AK183" s="27" t="s">
        <v>8</v>
      </c>
      <c r="AL183" s="27" t="s">
        <v>7</v>
      </c>
      <c r="AN183" s="27" t="s">
        <v>7</v>
      </c>
      <c r="AO183" s="27" t="s">
        <v>8</v>
      </c>
      <c r="AP183" s="27" t="s">
        <v>7</v>
      </c>
      <c r="AR183" s="31"/>
      <c r="CD183" s="27" t="s">
        <v>7</v>
      </c>
      <c r="CE183" s="27" t="s">
        <v>8</v>
      </c>
      <c r="CF183" s="27" t="s">
        <v>7</v>
      </c>
      <c r="CG183" s="27" t="s">
        <v>8</v>
      </c>
      <c r="CH183" s="33" t="s">
        <v>7</v>
      </c>
      <c r="DB183" s="27" t="s">
        <v>7</v>
      </c>
      <c r="DC183" s="27" t="s">
        <v>8</v>
      </c>
      <c r="DD183" s="27" t="s">
        <v>7</v>
      </c>
      <c r="DE183" s="27" t="s">
        <v>8</v>
      </c>
      <c r="DF183" s="27" t="s">
        <v>7</v>
      </c>
      <c r="DG183" s="27" t="s">
        <v>8</v>
      </c>
      <c r="DH183" s="27" t="s">
        <v>7</v>
      </c>
      <c r="DJ183" s="27" t="s">
        <v>7</v>
      </c>
    </row>
    <row r="184" spans="1:115" x14ac:dyDescent="0.25">
      <c r="A184" s="30">
        <v>15.367412462192602</v>
      </c>
      <c r="E184" t="s">
        <v>8</v>
      </c>
      <c r="Z184" s="27" t="s">
        <v>7</v>
      </c>
      <c r="AA184" s="27" t="s">
        <v>8</v>
      </c>
      <c r="AB184" s="27" t="s">
        <v>7</v>
      </c>
      <c r="AC184" s="27" t="s">
        <v>8</v>
      </c>
      <c r="AE184" s="27" t="s">
        <v>8</v>
      </c>
      <c r="AF184" s="27" t="s">
        <v>7</v>
      </c>
      <c r="AK184" s="27" t="s">
        <v>8</v>
      </c>
      <c r="AN184" s="27" t="s">
        <v>7</v>
      </c>
      <c r="AO184" s="27" t="s">
        <v>8</v>
      </c>
      <c r="AQ184" s="31"/>
      <c r="CD184" s="27" t="s">
        <v>7</v>
      </c>
      <c r="CE184" s="27" t="s">
        <v>8</v>
      </c>
      <c r="CF184" s="27" t="s">
        <v>7</v>
      </c>
      <c r="CG184" s="33" t="s">
        <v>8</v>
      </c>
      <c r="DB184" s="27" t="s">
        <v>7</v>
      </c>
      <c r="DC184" s="27" t="s">
        <v>8</v>
      </c>
      <c r="DD184" s="27" t="s">
        <v>7</v>
      </c>
      <c r="DE184" s="27" t="s">
        <v>8</v>
      </c>
      <c r="DF184" s="27" t="s">
        <v>7</v>
      </c>
      <c r="DG184" s="27" t="s">
        <v>8</v>
      </c>
      <c r="DJ184" s="27" t="s">
        <v>7</v>
      </c>
    </row>
    <row r="185" spans="1:115" x14ac:dyDescent="0.25">
      <c r="A185" s="30">
        <v>14.635630916373906</v>
      </c>
      <c r="C185"/>
      <c r="E185" t="s">
        <v>8</v>
      </c>
      <c r="Z185" s="27" t="s">
        <v>7</v>
      </c>
      <c r="AA185" s="27" t="s">
        <v>8</v>
      </c>
      <c r="AB185" s="27" t="s">
        <v>7</v>
      </c>
      <c r="AC185" s="27" t="s">
        <v>8</v>
      </c>
      <c r="AD185" s="27" t="s">
        <v>7</v>
      </c>
      <c r="AE185" s="27" t="s">
        <v>8</v>
      </c>
      <c r="AF185" s="27" t="s">
        <v>7</v>
      </c>
      <c r="AG185" s="27" t="s">
        <v>8</v>
      </c>
      <c r="AI185" s="27" t="s">
        <v>8</v>
      </c>
      <c r="AK185" s="27" t="s">
        <v>8</v>
      </c>
      <c r="AN185" s="27" t="s">
        <v>7</v>
      </c>
      <c r="AO185" s="27" t="s">
        <v>8</v>
      </c>
      <c r="AP185" s="31"/>
      <c r="CD185" s="27" t="s">
        <v>7</v>
      </c>
      <c r="CE185" s="27" t="s">
        <v>8</v>
      </c>
      <c r="CF185" s="33" t="s">
        <v>7</v>
      </c>
      <c r="DB185" s="27" t="s">
        <v>7</v>
      </c>
      <c r="DC185" s="27" t="s">
        <v>8</v>
      </c>
      <c r="DD185" s="27" t="s">
        <v>7</v>
      </c>
      <c r="DF185" s="27" t="s">
        <v>7</v>
      </c>
      <c r="DG185" s="27" t="s">
        <v>8</v>
      </c>
      <c r="DJ185" s="27" t="s">
        <v>7</v>
      </c>
    </row>
    <row r="186" spans="1:115" x14ac:dyDescent="0.25">
      <c r="A186" s="30">
        <v>13.938696110832291</v>
      </c>
      <c r="E186" t="s">
        <v>8</v>
      </c>
      <c r="Z186" s="27" t="s">
        <v>7</v>
      </c>
      <c r="AA186" s="27" t="s">
        <v>8</v>
      </c>
      <c r="AB186" s="27" t="s">
        <v>7</v>
      </c>
      <c r="AC186" s="27" t="s">
        <v>8</v>
      </c>
      <c r="AD186" s="27" t="s">
        <v>7</v>
      </c>
      <c r="AE186" s="27" t="s">
        <v>8</v>
      </c>
      <c r="AF186" s="27" t="s">
        <v>7</v>
      </c>
      <c r="AG186" s="27" t="s">
        <v>8</v>
      </c>
      <c r="AH186" s="27" t="s">
        <v>7</v>
      </c>
      <c r="AI186" s="27" t="s">
        <v>8</v>
      </c>
      <c r="AJ186" s="27" t="s">
        <v>7</v>
      </c>
      <c r="AK186" s="27" t="s">
        <v>8</v>
      </c>
      <c r="AN186" s="27" t="s">
        <v>7</v>
      </c>
      <c r="AO186" s="31"/>
      <c r="CD186" s="27" t="s">
        <v>7</v>
      </c>
      <c r="DB186" s="27" t="s">
        <v>7</v>
      </c>
      <c r="DC186" s="27" t="s">
        <v>8</v>
      </c>
      <c r="DF186" s="27" t="s">
        <v>7</v>
      </c>
      <c r="DG186" s="27" t="s">
        <v>8</v>
      </c>
      <c r="DJ186" s="27" t="s">
        <v>7</v>
      </c>
    </row>
    <row r="187" spans="1:11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Z187" s="27" t="s">
        <v>7</v>
      </c>
      <c r="AB187" s="27" t="s">
        <v>7</v>
      </c>
      <c r="AD187" s="27" t="s">
        <v>7</v>
      </c>
      <c r="AE187" s="27" t="s">
        <v>8</v>
      </c>
      <c r="AF187" s="27" t="s">
        <v>7</v>
      </c>
      <c r="AG187" s="27" t="s">
        <v>8</v>
      </c>
      <c r="AH187" s="27" t="s">
        <v>7</v>
      </c>
      <c r="AI187" s="27" t="s">
        <v>8</v>
      </c>
      <c r="AJ187" s="27" t="s">
        <v>7</v>
      </c>
      <c r="AK187" s="27" t="s">
        <v>8</v>
      </c>
      <c r="AN187" s="31"/>
      <c r="DB187" s="27" t="s">
        <v>7</v>
      </c>
      <c r="DF187" s="27" t="s">
        <v>7</v>
      </c>
      <c r="DJ187" s="27" t="s">
        <v>7</v>
      </c>
    </row>
    <row r="188" spans="1:115" x14ac:dyDescent="0.25">
      <c r="A188" s="30">
        <v>12.64280826379346</v>
      </c>
      <c r="E188" t="s">
        <v>8</v>
      </c>
      <c r="AD188" s="27" t="s">
        <v>7</v>
      </c>
      <c r="AE188" s="27" t="s">
        <v>8</v>
      </c>
      <c r="AF188" s="27" t="s">
        <v>7</v>
      </c>
      <c r="AH188" s="27" t="s">
        <v>7</v>
      </c>
      <c r="AI188" s="27" t="s">
        <v>8</v>
      </c>
      <c r="AJ188" s="27" t="s">
        <v>7</v>
      </c>
      <c r="AK188" s="27" t="s">
        <v>8</v>
      </c>
      <c r="AM188" s="31"/>
      <c r="DJ188" s="27" t="s">
        <v>7</v>
      </c>
      <c r="DK188" s="27" t="s">
        <v>8</v>
      </c>
    </row>
    <row r="189" spans="1:115" x14ac:dyDescent="0.25">
      <c r="A189" s="30">
        <v>12.04076977504139</v>
      </c>
      <c r="E189" t="s">
        <v>8</v>
      </c>
      <c r="AD189" s="27" t="s">
        <v>7</v>
      </c>
      <c r="AE189" s="27" t="s">
        <v>8</v>
      </c>
      <c r="AH189" s="27" t="s">
        <v>7</v>
      </c>
      <c r="AI189" s="27" t="s">
        <v>8</v>
      </c>
      <c r="AJ189" s="27" t="s">
        <v>7</v>
      </c>
      <c r="AK189" s="27" t="s">
        <v>8</v>
      </c>
      <c r="AL189" s="31"/>
      <c r="DJ189" s="27" t="s">
        <v>7</v>
      </c>
      <c r="DK189" s="27" t="s">
        <v>8</v>
      </c>
    </row>
    <row r="190" spans="1:115" x14ac:dyDescent="0.25">
      <c r="A190" s="30">
        <v>11.467399785753704</v>
      </c>
      <c r="E190" t="s">
        <v>8</v>
      </c>
      <c r="AD190" s="27" t="s">
        <v>7</v>
      </c>
      <c r="AE190" s="27" t="s">
        <v>8</v>
      </c>
      <c r="AH190" s="27" t="s">
        <v>7</v>
      </c>
      <c r="AI190" s="27" t="s">
        <v>8</v>
      </c>
      <c r="AJ190" s="31" t="s">
        <v>7</v>
      </c>
      <c r="AK190" s="31" t="s">
        <v>8</v>
      </c>
      <c r="DJ190" s="27" t="s">
        <v>7</v>
      </c>
      <c r="DK190" s="27" t="s">
        <v>8</v>
      </c>
    </row>
    <row r="191" spans="1:115" x14ac:dyDescent="0.25">
      <c r="A191" s="30">
        <v>10.921333129289241</v>
      </c>
      <c r="E191" t="s">
        <v>8</v>
      </c>
      <c r="AD191" s="27" t="s">
        <v>7</v>
      </c>
      <c r="AE191" s="27" t="s">
        <v>8</v>
      </c>
      <c r="AH191" s="27" t="s">
        <v>7</v>
      </c>
      <c r="AI191" s="31"/>
      <c r="AJ191" s="27" t="s">
        <v>7</v>
      </c>
      <c r="DJ191" s="27" t="s">
        <v>7</v>
      </c>
      <c r="DK191" s="27" t="s">
        <v>8</v>
      </c>
    </row>
    <row r="192" spans="1:115" x14ac:dyDescent="0.25">
      <c r="A192" s="30">
        <v>10.401269646942135</v>
      </c>
      <c r="E192" t="s">
        <v>8</v>
      </c>
      <c r="AD192" s="27" t="s">
        <v>7</v>
      </c>
      <c r="AE192" s="27" t="s">
        <v>8</v>
      </c>
      <c r="AH192" s="31"/>
      <c r="DJ192" s="27" t="s">
        <v>7</v>
      </c>
    </row>
    <row r="193" spans="1:33" x14ac:dyDescent="0.25">
      <c r="A193" s="30">
        <v>9.9059710923258422</v>
      </c>
      <c r="E193" t="s">
        <v>8</v>
      </c>
      <c r="AD193" s="27" t="s">
        <v>7</v>
      </c>
      <c r="AE193" s="27" t="s">
        <v>8</v>
      </c>
      <c r="AG193" s="31"/>
    </row>
    <row r="194" spans="1:33" x14ac:dyDescent="0.25">
      <c r="A194" s="30">
        <v>9.4342581831674686</v>
      </c>
      <c r="E194" t="s">
        <v>8</v>
      </c>
      <c r="AD194" s="27" t="s">
        <v>7</v>
      </c>
      <c r="AE194" s="27" t="s">
        <v>8</v>
      </c>
      <c r="AF194" s="31"/>
    </row>
    <row r="195" spans="1:33" x14ac:dyDescent="0.25">
      <c r="A195" s="30">
        <v>8.9850077934928265</v>
      </c>
      <c r="E195" t="s">
        <v>8</v>
      </c>
      <c r="AD195" s="27" t="s">
        <v>7</v>
      </c>
      <c r="AE195" s="31" t="s">
        <v>8</v>
      </c>
    </row>
    <row r="196" spans="1:33" x14ac:dyDescent="0.25">
      <c r="A196" s="30">
        <v>8.5571502795169767</v>
      </c>
      <c r="E196" t="s">
        <v>8</v>
      </c>
      <c r="AD196" s="31" t="s">
        <v>7</v>
      </c>
    </row>
    <row r="197" spans="1:33" x14ac:dyDescent="0.25">
      <c r="A197" s="30">
        <v>8.1496669328733109</v>
      </c>
      <c r="E197" t="s">
        <v>8</v>
      </c>
    </row>
    <row r="198" spans="1:33" x14ac:dyDescent="0.25">
      <c r="A198" s="30">
        <v>7.7615875551174378</v>
      </c>
      <c r="E198" t="s">
        <v>8</v>
      </c>
    </row>
    <row r="199" spans="1:33" x14ac:dyDescent="0.25">
      <c r="A199" s="30">
        <v>7.3919881477308929</v>
      </c>
      <c r="E199" t="s">
        <v>8</v>
      </c>
    </row>
    <row r="200" spans="1:33" x14ac:dyDescent="0.25">
      <c r="A200" s="30">
        <v>7.0399887121246598</v>
      </c>
      <c r="E200" t="s">
        <v>8</v>
      </c>
    </row>
    <row r="201" spans="1:33" x14ac:dyDescent="0.25">
      <c r="A201" s="30">
        <v>6.7047511544044376</v>
      </c>
      <c r="E201" t="s">
        <v>8</v>
      </c>
    </row>
    <row r="202" spans="1:33" x14ac:dyDescent="0.25">
      <c r="A202" s="30">
        <v>6.3854772899089882</v>
      </c>
      <c r="E202" t="s">
        <v>8</v>
      </c>
    </row>
    <row r="203" spans="1:33" x14ac:dyDescent="0.25">
      <c r="A203" s="30">
        <v>6.0814069427704647</v>
      </c>
      <c r="C203" s="7"/>
      <c r="D203"/>
      <c r="E203" t="s">
        <v>8</v>
      </c>
    </row>
    <row r="204" spans="1:33" x14ac:dyDescent="0.25">
      <c r="A204" s="30">
        <v>5.7918161359718709</v>
      </c>
      <c r="E204" t="s">
        <v>8</v>
      </c>
    </row>
    <row r="205" spans="1:33" x14ac:dyDescent="0.25">
      <c r="A205" s="30">
        <v>5.5160153675922574</v>
      </c>
      <c r="E205" t="s">
        <v>8</v>
      </c>
    </row>
    <row r="206" spans="1:33" x14ac:dyDescent="0.25">
      <c r="A206" s="30">
        <v>5.2533479691354827</v>
      </c>
      <c r="C206"/>
      <c r="D206"/>
      <c r="E206" t="s">
        <v>8</v>
      </c>
    </row>
    <row r="207" spans="1:33" x14ac:dyDescent="0.25">
      <c r="A207" s="30">
        <v>5.0031885420337927</v>
      </c>
      <c r="E207" t="s">
        <v>8</v>
      </c>
    </row>
    <row r="208" spans="1:33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5" operator="equal">
      <formula>$U$1</formula>
    </cfRule>
    <cfRule type="cellIs" dxfId="67" priority="956" operator="equal">
      <formula>$S$1</formula>
    </cfRule>
  </conditionalFormatting>
  <conditionalFormatting sqref="D136">
    <cfRule type="cellIs" dxfId="66" priority="953" operator="equal">
      <formula>$S$1</formula>
    </cfRule>
    <cfRule type="cellIs" dxfId="65" priority="954" operator="equal">
      <formula>$U$1</formula>
    </cfRule>
  </conditionalFormatting>
  <conditionalFormatting sqref="C162">
    <cfRule type="cellIs" dxfId="64" priority="951" operator="equal">
      <formula>$U$1</formula>
    </cfRule>
    <cfRule type="cellIs" dxfId="63" priority="952" operator="equal">
      <formula>$S$1</formula>
    </cfRule>
  </conditionalFormatting>
  <conditionalFormatting sqref="D162">
    <cfRule type="cellIs" dxfId="62" priority="949" operator="equal">
      <formula>$S$1</formula>
    </cfRule>
    <cfRule type="cellIs" dxfId="61" priority="950" operator="equal">
      <formula>$U$1</formula>
    </cfRule>
  </conditionalFormatting>
  <conditionalFormatting sqref="C187">
    <cfRule type="cellIs" dxfId="60" priority="947" operator="equal">
      <formula>$U$1</formula>
    </cfRule>
    <cfRule type="cellIs" dxfId="59" priority="948" operator="equal">
      <formula>$S$1</formula>
    </cfRule>
  </conditionalFormatting>
  <conditionalFormatting sqref="D187">
    <cfRule type="cellIs" dxfId="58" priority="945" operator="equal">
      <formula>$S$1</formula>
    </cfRule>
    <cfRule type="cellIs" dxfId="57" priority="946" operator="equal">
      <formula>$U$1</formula>
    </cfRule>
  </conditionalFormatting>
  <conditionalFormatting sqref="C212">
    <cfRule type="cellIs" dxfId="56" priority="943" operator="equal">
      <formula>$U$1</formula>
    </cfRule>
    <cfRule type="cellIs" dxfId="55" priority="944" operator="equal">
      <formula>$S$1</formula>
    </cfRule>
  </conditionalFormatting>
  <conditionalFormatting sqref="D212">
    <cfRule type="cellIs" dxfId="54" priority="941" operator="equal">
      <formula>$S$1</formula>
    </cfRule>
    <cfRule type="cellIs" dxfId="53" priority="942" operator="equal">
      <formula>$U$1</formula>
    </cfRule>
  </conditionalFormatting>
  <conditionalFormatting sqref="C237">
    <cfRule type="cellIs" dxfId="52" priority="939" operator="equal">
      <formula>$U$1</formula>
    </cfRule>
    <cfRule type="cellIs" dxfId="51" priority="940" operator="equal">
      <formula>$S$1</formula>
    </cfRule>
  </conditionalFormatting>
  <conditionalFormatting sqref="D237">
    <cfRule type="cellIs" dxfId="50" priority="937" operator="equal">
      <formula>$S$1</formula>
    </cfRule>
    <cfRule type="cellIs" dxfId="49" priority="938" operator="equal">
      <formula>$U$1</formula>
    </cfRule>
  </conditionalFormatting>
  <conditionalFormatting sqref="C106">
    <cfRule type="cellIs" dxfId="48" priority="935" operator="equal">
      <formula>$U$1</formula>
    </cfRule>
    <cfRule type="cellIs" dxfId="47" priority="936" operator="equal">
      <formula>$S$1</formula>
    </cfRule>
  </conditionalFormatting>
  <conditionalFormatting sqref="D106">
    <cfRule type="cellIs" dxfId="46" priority="933" operator="equal">
      <formula>$S$1</formula>
    </cfRule>
    <cfRule type="cellIs" dxfId="45" priority="934" operator="equal">
      <formula>$U$1</formula>
    </cfRule>
  </conditionalFormatting>
  <conditionalFormatting sqref="C81">
    <cfRule type="cellIs" dxfId="44" priority="931" operator="equal">
      <formula>$U$1</formula>
    </cfRule>
    <cfRule type="cellIs" dxfId="43" priority="932" operator="equal">
      <formula>$S$1</formula>
    </cfRule>
  </conditionalFormatting>
  <conditionalFormatting sqref="D81">
    <cfRule type="cellIs" dxfId="42" priority="929" operator="equal">
      <formula>$S$1</formula>
    </cfRule>
    <cfRule type="cellIs" dxfId="41" priority="930" operator="equal">
      <formula>$U$1</formula>
    </cfRule>
  </conditionalFormatting>
  <conditionalFormatting sqref="C56">
    <cfRule type="cellIs" dxfId="40" priority="927" operator="equal">
      <formula>$U$1</formula>
    </cfRule>
    <cfRule type="cellIs" dxfId="39" priority="928" operator="equal">
      <formula>$S$1</formula>
    </cfRule>
  </conditionalFormatting>
  <conditionalFormatting sqref="D56">
    <cfRule type="cellIs" dxfId="38" priority="925" operator="equal">
      <formula>$S$1</formula>
    </cfRule>
    <cfRule type="cellIs" dxfId="37" priority="926" operator="equal">
      <formula>$U$1</formula>
    </cfRule>
  </conditionalFormatting>
  <conditionalFormatting sqref="C31">
    <cfRule type="cellIs" dxfId="36" priority="923" operator="equal">
      <formula>$U$1</formula>
    </cfRule>
    <cfRule type="cellIs" dxfId="35" priority="924" operator="equal">
      <formula>$S$1</formula>
    </cfRule>
  </conditionalFormatting>
  <conditionalFormatting sqref="D31">
    <cfRule type="cellIs" dxfId="34" priority="921" operator="equal">
      <formula>$S$1</formula>
    </cfRule>
    <cfRule type="cellIs" dxfId="33" priority="92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8" zoomScale="90" zoomScaleNormal="90" workbookViewId="0">
      <pane xSplit="4" topLeftCell="G1" activePane="topRight" state="frozen"/>
      <selection activeCell="A109" sqref="A109"/>
      <selection pane="topRight" activeCell="AL96" sqref="AL9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29" x14ac:dyDescent="0.25">
      <c r="A65" s="30">
        <v>207.96505671840671</v>
      </c>
      <c r="E65"/>
    </row>
    <row r="66" spans="1:29" x14ac:dyDescent="0.25">
      <c r="A66" s="30">
        <v>189.05914247127882</v>
      </c>
      <c r="E66"/>
    </row>
    <row r="67" spans="1:29" x14ac:dyDescent="0.25">
      <c r="A67" s="30">
        <v>171.87194770116255</v>
      </c>
      <c r="C67" s="1" t="s">
        <v>15</v>
      </c>
      <c r="E67"/>
    </row>
    <row r="68" spans="1:29" x14ac:dyDescent="0.25">
      <c r="A68" s="30">
        <v>156.24722518287504</v>
      </c>
      <c r="C68" s="7">
        <v>0.11167815779424731</v>
      </c>
      <c r="D68"/>
      <c r="E68"/>
    </row>
    <row r="69" spans="1:29" x14ac:dyDescent="0.25">
      <c r="A69" s="30">
        <v>142.04293198443185</v>
      </c>
      <c r="E69"/>
    </row>
    <row r="70" spans="1:29" x14ac:dyDescent="0.25">
      <c r="A70" s="30">
        <v>129.1299381676653</v>
      </c>
      <c r="C70" s="1" t="s">
        <v>11</v>
      </c>
      <c r="D70" s="1" t="s">
        <v>12</v>
      </c>
      <c r="E70"/>
    </row>
    <row r="71" spans="1:29" x14ac:dyDescent="0.25">
      <c r="A71" s="30">
        <v>117.39085287969573</v>
      </c>
      <c r="C71"/>
      <c r="D71"/>
      <c r="E71"/>
    </row>
    <row r="72" spans="1:29" x14ac:dyDescent="0.25">
      <c r="A72" s="30">
        <v>106.71895716335975</v>
      </c>
      <c r="E72"/>
    </row>
    <row r="73" spans="1:29" x14ac:dyDescent="0.25">
      <c r="A73" s="30">
        <v>97.017233784872488</v>
      </c>
      <c r="C73" s="1" t="s">
        <v>13</v>
      </c>
      <c r="E73"/>
    </row>
    <row r="74" spans="1:29" x14ac:dyDescent="0.25">
      <c r="A74" s="30">
        <v>88.197485258974979</v>
      </c>
      <c r="C74" s="1">
        <f>C63</f>
        <v>0</v>
      </c>
      <c r="E74"/>
    </row>
    <row r="75" spans="1:29" x14ac:dyDescent="0.25">
      <c r="A75" s="30">
        <v>80.179532053613613</v>
      </c>
      <c r="C75"/>
      <c r="D75"/>
      <c r="E75"/>
    </row>
    <row r="76" spans="1:29" x14ac:dyDescent="0.25">
      <c r="A76" s="30">
        <v>72.890483685103277</v>
      </c>
      <c r="C76" s="1" t="s">
        <v>14</v>
      </c>
      <c r="E76"/>
      <c r="Y76" s="33" t="s">
        <v>8</v>
      </c>
    </row>
    <row r="77" spans="1:29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W77" s="27" t="s">
        <v>8</v>
      </c>
      <c r="Y77" s="27" t="s">
        <v>8</v>
      </c>
      <c r="Z77" s="33" t="s">
        <v>7</v>
      </c>
    </row>
    <row r="78" spans="1:29" x14ac:dyDescent="0.25">
      <c r="A78" s="30">
        <v>60.240069161242367</v>
      </c>
      <c r="E78"/>
      <c r="U78" s="27" t="s">
        <v>8</v>
      </c>
      <c r="W78" s="27" t="s">
        <v>8</v>
      </c>
      <c r="X78" s="27" t="s">
        <v>7</v>
      </c>
      <c r="Y78" s="27" t="s">
        <v>8</v>
      </c>
      <c r="Z78" s="27" t="s">
        <v>7</v>
      </c>
      <c r="AA78" s="33"/>
    </row>
    <row r="79" spans="1:29" x14ac:dyDescent="0.25">
      <c r="A79" s="30">
        <v>54.763699237493057</v>
      </c>
      <c r="E79"/>
      <c r="U79" s="27" t="s">
        <v>8</v>
      </c>
      <c r="V79" s="27" t="s">
        <v>7</v>
      </c>
      <c r="W79" s="27" t="s">
        <v>8</v>
      </c>
      <c r="X79" s="27" t="s">
        <v>7</v>
      </c>
      <c r="Y79" s="27" t="s">
        <v>8</v>
      </c>
      <c r="Z79" s="27" t="s">
        <v>7</v>
      </c>
      <c r="AB79" s="33"/>
    </row>
    <row r="80" spans="1:29" x14ac:dyDescent="0.25">
      <c r="A80" s="30">
        <v>49.785181124993684</v>
      </c>
      <c r="E80"/>
      <c r="S80" s="27" t="s">
        <v>8</v>
      </c>
      <c r="U80" s="27" t="s">
        <v>8</v>
      </c>
      <c r="V80" s="27" t="s">
        <v>7</v>
      </c>
      <c r="W80" s="27" t="s">
        <v>8</v>
      </c>
      <c r="X80" s="27" t="s">
        <v>7</v>
      </c>
      <c r="Y80" s="27" t="s">
        <v>8</v>
      </c>
      <c r="Z80" s="27" t="s">
        <v>7</v>
      </c>
      <c r="AC80" s="33"/>
    </row>
    <row r="81" spans="1:38" x14ac:dyDescent="0.25">
      <c r="A81" s="30">
        <v>45.259255568176073</v>
      </c>
      <c r="E81"/>
      <c r="S81" s="27" t="s">
        <v>8</v>
      </c>
      <c r="T81" s="27" t="s">
        <v>7</v>
      </c>
      <c r="U81" s="27" t="s">
        <v>8</v>
      </c>
      <c r="V81" s="27" t="s">
        <v>7</v>
      </c>
      <c r="X81" s="27" t="s">
        <v>7</v>
      </c>
      <c r="Z81" s="27" t="s">
        <v>7</v>
      </c>
      <c r="AD81" s="33"/>
    </row>
    <row r="82" spans="1:38" x14ac:dyDescent="0.25">
      <c r="A82" s="30">
        <v>41.144777789250973</v>
      </c>
      <c r="E82"/>
      <c r="S82" s="27" t="s">
        <v>8</v>
      </c>
      <c r="T82" s="27" t="s">
        <v>7</v>
      </c>
      <c r="U82" s="27" t="s">
        <v>8</v>
      </c>
      <c r="Z82" s="27" t="s">
        <v>7</v>
      </c>
      <c r="AA82" s="27" t="s">
        <v>8</v>
      </c>
      <c r="AE82" s="33"/>
    </row>
    <row r="83" spans="1:38" x14ac:dyDescent="0.25">
      <c r="A83" s="30">
        <v>37.404343444773609</v>
      </c>
      <c r="E83"/>
      <c r="G83" s="27" t="s">
        <v>8</v>
      </c>
      <c r="S83" s="27" t="s">
        <v>8</v>
      </c>
      <c r="T83" s="27" t="s">
        <v>7</v>
      </c>
      <c r="U83" s="27" t="s">
        <v>8</v>
      </c>
      <c r="Z83" s="27" t="s">
        <v>7</v>
      </c>
      <c r="AA83" s="27" t="s">
        <v>8</v>
      </c>
      <c r="AB83" s="27" t="s">
        <v>7</v>
      </c>
      <c r="AF83" s="33"/>
    </row>
    <row r="84" spans="1:38" x14ac:dyDescent="0.25">
      <c r="A84" s="30">
        <v>34.003948586157826</v>
      </c>
      <c r="E84"/>
      <c r="G84" s="27" t="s">
        <v>8</v>
      </c>
      <c r="H84" s="27" t="s">
        <v>7</v>
      </c>
      <c r="S84" s="27" t="s">
        <v>8</v>
      </c>
      <c r="T84" s="27" t="s">
        <v>7</v>
      </c>
      <c r="U84" s="27" t="s">
        <v>8</v>
      </c>
      <c r="Z84" s="27" t="s">
        <v>7</v>
      </c>
      <c r="AA84" s="27" t="s">
        <v>8</v>
      </c>
      <c r="AB84" s="27" t="s">
        <v>7</v>
      </c>
      <c r="AC84" s="27" t="s">
        <v>8</v>
      </c>
      <c r="AG84" s="33" t="s">
        <v>8</v>
      </c>
    </row>
    <row r="85" spans="1:38" x14ac:dyDescent="0.25">
      <c r="A85" s="30">
        <v>30.912680532870748</v>
      </c>
      <c r="E85"/>
      <c r="G85" s="27" t="s">
        <v>8</v>
      </c>
      <c r="H85" s="27" t="s">
        <v>7</v>
      </c>
      <c r="S85" s="27" t="s">
        <v>8</v>
      </c>
      <c r="T85" s="27" t="s">
        <v>7</v>
      </c>
      <c r="Z85" s="27" t="s">
        <v>7</v>
      </c>
      <c r="AA85" s="27" t="s">
        <v>8</v>
      </c>
      <c r="AB85" s="27" t="s">
        <v>7</v>
      </c>
      <c r="AC85" s="27" t="s">
        <v>8</v>
      </c>
      <c r="AD85" s="27" t="s">
        <v>7</v>
      </c>
      <c r="AG85" s="27" t="s">
        <v>8</v>
      </c>
      <c r="AH85" s="33" t="s">
        <v>7</v>
      </c>
    </row>
    <row r="86" spans="1:38" x14ac:dyDescent="0.25">
      <c r="A86" s="30">
        <v>28.102436848064315</v>
      </c>
      <c r="E86"/>
      <c r="G86" s="27" t="s">
        <v>8</v>
      </c>
      <c r="H86" s="27" t="s">
        <v>7</v>
      </c>
      <c r="S86" s="27" t="s">
        <v>8</v>
      </c>
      <c r="Z86" s="27" t="s">
        <v>7</v>
      </c>
      <c r="AA86" s="27" t="s">
        <v>8</v>
      </c>
      <c r="AB86" s="27" t="s">
        <v>7</v>
      </c>
      <c r="AC86" s="27" t="s">
        <v>8</v>
      </c>
      <c r="AD86" s="27" t="s">
        <v>7</v>
      </c>
      <c r="AG86" s="27" t="s">
        <v>8</v>
      </c>
      <c r="AH86" s="27" t="s">
        <v>7</v>
      </c>
      <c r="AI86" s="33" t="s">
        <v>8</v>
      </c>
    </row>
    <row r="87" spans="1:38" x14ac:dyDescent="0.25">
      <c r="A87" s="30">
        <v>25.547669861876649</v>
      </c>
      <c r="E87"/>
      <c r="G87" s="27" t="s">
        <v>8</v>
      </c>
      <c r="H87" s="27" t="s">
        <v>7</v>
      </c>
      <c r="I87" s="27" t="s">
        <v>8</v>
      </c>
      <c r="S87" s="27" t="s">
        <v>8</v>
      </c>
      <c r="Z87" s="27" t="s">
        <v>7</v>
      </c>
      <c r="AB87" s="27" t="s">
        <v>7</v>
      </c>
      <c r="AC87" s="27" t="s">
        <v>8</v>
      </c>
      <c r="AD87" s="27" t="s">
        <v>7</v>
      </c>
      <c r="AE87" s="27" t="s">
        <v>8</v>
      </c>
      <c r="AG87" s="27" t="s">
        <v>8</v>
      </c>
      <c r="AH87" s="27" t="s">
        <v>7</v>
      </c>
      <c r="AI87" s="27" t="s">
        <v>8</v>
      </c>
      <c r="AJ87" s="33" t="s">
        <v>7</v>
      </c>
    </row>
    <row r="88" spans="1:38" x14ac:dyDescent="0.25">
      <c r="A88" s="30">
        <v>23.225154419887861</v>
      </c>
      <c r="E88" t="s">
        <v>8</v>
      </c>
      <c r="G88" s="27" t="s">
        <v>8</v>
      </c>
      <c r="H88" s="27" t="s">
        <v>7</v>
      </c>
      <c r="I88" s="27" t="s">
        <v>8</v>
      </c>
      <c r="J88" s="27" t="s">
        <v>7</v>
      </c>
      <c r="Q88" s="27" t="s">
        <v>8</v>
      </c>
      <c r="S88" s="27" t="s">
        <v>8</v>
      </c>
      <c r="AB88" s="27" t="s">
        <v>7</v>
      </c>
      <c r="AD88" s="27" t="s">
        <v>7</v>
      </c>
      <c r="AE88" s="27" t="s">
        <v>8</v>
      </c>
      <c r="AF88" s="27" t="s">
        <v>7</v>
      </c>
      <c r="AG88" s="27" t="s">
        <v>8</v>
      </c>
      <c r="AH88" s="27" t="s">
        <v>7</v>
      </c>
      <c r="AI88" s="27" t="s">
        <v>8</v>
      </c>
      <c r="AJ88" s="27" t="s">
        <v>7</v>
      </c>
    </row>
    <row r="89" spans="1:38" x14ac:dyDescent="0.25">
      <c r="A89" s="30">
        <v>21.113776745352599</v>
      </c>
      <c r="E89" t="s">
        <v>8</v>
      </c>
      <c r="F89" s="27" t="s">
        <v>7</v>
      </c>
      <c r="G89" s="27" t="s">
        <v>8</v>
      </c>
      <c r="H89" s="27" t="s">
        <v>7</v>
      </c>
      <c r="I89" s="27" t="s">
        <v>8</v>
      </c>
      <c r="J89" s="27" t="s">
        <v>7</v>
      </c>
      <c r="O89" s="27" t="s">
        <v>8</v>
      </c>
      <c r="Q89" s="27" t="s">
        <v>8</v>
      </c>
      <c r="R89" s="27" t="s">
        <v>7</v>
      </c>
      <c r="S89" s="27" t="s">
        <v>8</v>
      </c>
      <c r="AD89" s="27" t="s">
        <v>7</v>
      </c>
      <c r="AE89" s="27" t="s">
        <v>8</v>
      </c>
      <c r="AF89" s="27" t="s">
        <v>7</v>
      </c>
      <c r="AG89" s="27" t="s">
        <v>8</v>
      </c>
      <c r="AH89" s="27" t="s">
        <v>7</v>
      </c>
      <c r="AI89" s="27" t="s">
        <v>8</v>
      </c>
      <c r="AJ89" s="27" t="s">
        <v>7</v>
      </c>
    </row>
    <row r="90" spans="1:38" x14ac:dyDescent="0.25">
      <c r="A90" s="30">
        <v>19.194342495775089</v>
      </c>
      <c r="E90" t="s">
        <v>8</v>
      </c>
      <c r="F90" s="27" t="s">
        <v>7</v>
      </c>
      <c r="G90" s="27" t="s">
        <v>8</v>
      </c>
      <c r="H90" s="27" t="s">
        <v>7</v>
      </c>
      <c r="I90" s="27" t="s">
        <v>8</v>
      </c>
      <c r="J90" s="27" t="s">
        <v>7</v>
      </c>
      <c r="O90" s="27" t="s">
        <v>8</v>
      </c>
      <c r="P90" s="27" t="s">
        <v>7</v>
      </c>
      <c r="Q90" s="27" t="s">
        <v>8</v>
      </c>
      <c r="R90" s="27" t="s">
        <v>7</v>
      </c>
      <c r="S90" s="27" t="s">
        <v>8</v>
      </c>
      <c r="AD90" s="27" t="s">
        <v>7</v>
      </c>
      <c r="AE90" s="27" t="s">
        <v>8</v>
      </c>
      <c r="AF90" s="27" t="s">
        <v>7</v>
      </c>
      <c r="AG90" s="27" t="s">
        <v>8</v>
      </c>
      <c r="AH90" s="27" t="s">
        <v>7</v>
      </c>
      <c r="AJ90" s="27" t="s">
        <v>7</v>
      </c>
      <c r="AK90" s="27" t="s">
        <v>8</v>
      </c>
    </row>
    <row r="91" spans="1:38" x14ac:dyDescent="0.25">
      <c r="A91" s="30">
        <v>17.449402268886445</v>
      </c>
      <c r="E91" t="s">
        <v>8</v>
      </c>
      <c r="F91" s="27" t="s">
        <v>7</v>
      </c>
      <c r="H91" s="27" t="s">
        <v>7</v>
      </c>
      <c r="J91" s="27" t="s">
        <v>7</v>
      </c>
      <c r="K91" s="27" t="s">
        <v>8</v>
      </c>
      <c r="M91" s="27" t="s">
        <v>8</v>
      </c>
      <c r="O91" s="27" t="s">
        <v>8</v>
      </c>
      <c r="P91" s="27" t="s">
        <v>7</v>
      </c>
      <c r="Q91" s="27" t="s">
        <v>8</v>
      </c>
      <c r="R91" s="27" t="s">
        <v>7</v>
      </c>
      <c r="AD91" s="27" t="s">
        <v>7</v>
      </c>
      <c r="AE91" s="27" t="s">
        <v>8</v>
      </c>
      <c r="AF91" s="18" t="s">
        <v>7</v>
      </c>
      <c r="AG91" s="27" t="s">
        <v>8</v>
      </c>
      <c r="AJ91" s="27" t="s">
        <v>7</v>
      </c>
      <c r="AK91" s="27" t="s">
        <v>8</v>
      </c>
      <c r="AL91" s="27" t="s">
        <v>7</v>
      </c>
    </row>
    <row r="92" spans="1:38" x14ac:dyDescent="0.25">
      <c r="A92" s="30">
        <v>15.863092971714948</v>
      </c>
      <c r="C92" s="1" t="s">
        <v>15</v>
      </c>
      <c r="E92" t="s">
        <v>8</v>
      </c>
      <c r="J92" s="27" t="s">
        <v>7</v>
      </c>
      <c r="K92" s="27" t="s">
        <v>8</v>
      </c>
      <c r="L92" s="27" t="s">
        <v>7</v>
      </c>
      <c r="M92" s="27" t="s">
        <v>8</v>
      </c>
      <c r="N92" s="27" t="s">
        <v>7</v>
      </c>
      <c r="O92" s="27" t="s">
        <v>8</v>
      </c>
      <c r="P92" s="27" t="s">
        <v>7</v>
      </c>
      <c r="Q92" s="27" t="s">
        <v>8</v>
      </c>
      <c r="AD92" s="27" t="s">
        <v>7</v>
      </c>
      <c r="AE92" s="27" t="s">
        <v>8</v>
      </c>
      <c r="AF92" s="27" t="s">
        <v>7</v>
      </c>
      <c r="AJ92" s="27" t="s">
        <v>7</v>
      </c>
      <c r="AK92" s="27" t="s">
        <v>8</v>
      </c>
      <c r="AL92" s="27" t="s">
        <v>7</v>
      </c>
    </row>
    <row r="93" spans="1:38" x14ac:dyDescent="0.25">
      <c r="A93" s="30">
        <v>14.420993610649951</v>
      </c>
      <c r="C93" s="7">
        <v>0.11167815779424731</v>
      </c>
      <c r="D93"/>
      <c r="E93" t="s">
        <v>8</v>
      </c>
      <c r="J93" s="27" t="s">
        <v>7</v>
      </c>
      <c r="K93" s="27" t="s">
        <v>8</v>
      </c>
      <c r="L93" s="27" t="s">
        <v>7</v>
      </c>
      <c r="M93" s="27" t="s">
        <v>8</v>
      </c>
      <c r="N93" s="27" t="s">
        <v>7</v>
      </c>
      <c r="O93" s="27" t="s">
        <v>8</v>
      </c>
      <c r="P93" s="27" t="s">
        <v>7</v>
      </c>
      <c r="AD93" s="27" t="s">
        <v>7</v>
      </c>
      <c r="AJ93" s="27" t="s">
        <v>7</v>
      </c>
      <c r="AK93" s="27" t="s">
        <v>8</v>
      </c>
      <c r="AL93" s="27" t="s">
        <v>7</v>
      </c>
    </row>
    <row r="94" spans="1:38" x14ac:dyDescent="0.25">
      <c r="A94" s="30">
        <v>13.109994191499954</v>
      </c>
      <c r="E94" t="s">
        <v>8</v>
      </c>
      <c r="J94" s="27" t="s">
        <v>7</v>
      </c>
      <c r="L94" s="27" t="s">
        <v>7</v>
      </c>
      <c r="M94" s="27" t="s">
        <v>8</v>
      </c>
      <c r="N94" s="27" t="s">
        <v>7</v>
      </c>
      <c r="O94" s="27" t="s">
        <v>8</v>
      </c>
      <c r="AJ94" s="27" t="s">
        <v>7</v>
      </c>
      <c r="AL94" s="27" t="s">
        <v>7</v>
      </c>
    </row>
    <row r="95" spans="1:38" x14ac:dyDescent="0.25">
      <c r="A95" s="30">
        <v>11.918176537727231</v>
      </c>
      <c r="C95" s="1" t="s">
        <v>11</v>
      </c>
      <c r="D95" s="1" t="s">
        <v>12</v>
      </c>
      <c r="E95" t="s">
        <v>8</v>
      </c>
      <c r="L95" s="27" t="s">
        <v>7</v>
      </c>
      <c r="M95" s="27" t="s">
        <v>8</v>
      </c>
      <c r="N95" s="27" t="s">
        <v>7</v>
      </c>
      <c r="O95" s="27" t="s">
        <v>8</v>
      </c>
      <c r="AL95" s="27" t="s">
        <v>7</v>
      </c>
    </row>
    <row r="96" spans="1:38" x14ac:dyDescent="0.25">
      <c r="A96" s="30">
        <v>10.834705943388391</v>
      </c>
      <c r="C96"/>
      <c r="D96"/>
      <c r="E96" t="s">
        <v>8</v>
      </c>
      <c r="L96" s="27" t="s">
        <v>7</v>
      </c>
      <c r="M96" s="27" t="s">
        <v>8</v>
      </c>
      <c r="N96" s="27" t="s">
        <v>7</v>
      </c>
      <c r="AL96" s="27" t="s">
        <v>7</v>
      </c>
    </row>
    <row r="97" spans="1:13" x14ac:dyDescent="0.25">
      <c r="A97" s="30">
        <v>9.849732675807628</v>
      </c>
      <c r="E97" t="s">
        <v>8</v>
      </c>
      <c r="L97" s="27" t="s">
        <v>7</v>
      </c>
      <c r="M97" s="27" t="s">
        <v>8</v>
      </c>
    </row>
    <row r="98" spans="1:13" x14ac:dyDescent="0.25">
      <c r="A98" s="30">
        <v>8.9543024325523888</v>
      </c>
      <c r="C98" s="1" t="s">
        <v>13</v>
      </c>
      <c r="E98" t="s">
        <v>8</v>
      </c>
      <c r="L98" s="27" t="s">
        <v>7</v>
      </c>
    </row>
    <row r="99" spans="1:13" x14ac:dyDescent="0.25">
      <c r="A99" s="30">
        <v>8.140274938683989</v>
      </c>
      <c r="C99" s="1">
        <f>C88</f>
        <v>0</v>
      </c>
      <c r="E99" t="s">
        <v>8</v>
      </c>
    </row>
    <row r="100" spans="1:13" x14ac:dyDescent="0.25">
      <c r="A100" s="30">
        <v>7.4002499442581717</v>
      </c>
      <c r="C100"/>
      <c r="D100"/>
      <c r="E100" t="s">
        <v>8</v>
      </c>
    </row>
    <row r="101" spans="1:13" x14ac:dyDescent="0.25">
      <c r="A101" s="30">
        <v>6.72749994932561</v>
      </c>
      <c r="C101" s="1" t="s">
        <v>14</v>
      </c>
      <c r="E101" t="s">
        <v>8</v>
      </c>
    </row>
    <row r="102" spans="1:1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13" x14ac:dyDescent="0.25">
      <c r="A103" s="30">
        <v>5.5599173134922388</v>
      </c>
      <c r="E103" t="s">
        <v>8</v>
      </c>
    </row>
    <row r="104" spans="1:13" x14ac:dyDescent="0.25">
      <c r="A104" s="30">
        <v>5.0544702849929442</v>
      </c>
      <c r="E104" t="s">
        <v>8</v>
      </c>
    </row>
    <row r="105" spans="1:13" x14ac:dyDescent="0.25">
      <c r="A105" s="30">
        <v>4.594972986357222</v>
      </c>
      <c r="E105" t="s">
        <v>8</v>
      </c>
    </row>
    <row r="106" spans="1:13" x14ac:dyDescent="0.25">
      <c r="A106" s="30">
        <v>4.1772481694156562</v>
      </c>
      <c r="E106" t="s">
        <v>8</v>
      </c>
    </row>
    <row r="107" spans="1:13" x14ac:dyDescent="0.25">
      <c r="A107" s="30">
        <v>3.7974983358324148</v>
      </c>
      <c r="E107" t="s">
        <v>8</v>
      </c>
    </row>
    <row r="108" spans="1:13" x14ac:dyDescent="0.25">
      <c r="A108" s="30">
        <v>3.4522712143931042</v>
      </c>
      <c r="E108" t="s">
        <v>8</v>
      </c>
    </row>
    <row r="109" spans="1:13" x14ac:dyDescent="0.25">
      <c r="A109" s="30">
        <v>3.1384283767210035</v>
      </c>
      <c r="E109" t="s">
        <v>8</v>
      </c>
    </row>
    <row r="110" spans="1:13" x14ac:dyDescent="0.25">
      <c r="A110" s="30">
        <v>2.8531167061100029</v>
      </c>
      <c r="E110" t="s">
        <v>8</v>
      </c>
    </row>
    <row r="111" spans="1:13" x14ac:dyDescent="0.25">
      <c r="A111" s="30">
        <v>2.5937424601000023</v>
      </c>
      <c r="C111" s="1" t="str">
        <f>ADDRESS(C121-1,1,1,1)</f>
        <v>$A$95</v>
      </c>
      <c r="D111" s="1" t="str">
        <f>ADDRESS(C121-1,D121,1,1)</f>
        <v>$AL$95</v>
      </c>
      <c r="E111" t="s">
        <v>8</v>
      </c>
    </row>
    <row r="112" spans="1:13" x14ac:dyDescent="0.25">
      <c r="A112" s="30">
        <v>2.3579476910000019</v>
      </c>
      <c r="C112" s="1" t="str">
        <f>ADDRESS(C121,1,1,1)</f>
        <v>$A$96</v>
      </c>
      <c r="D112" s="1" t="str">
        <f>ADDRESS(C121,D121-1,1,1)</f>
        <v>$AK$96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$A$97</v>
      </c>
      <c r="D113" s="1" t="str">
        <f>ADDRESS(C121-1,D121+1,1,1)</f>
        <v>$AM$95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$AL$96</v>
      </c>
      <c r="D114" s="1" t="str">
        <f>ADDRESS(C121+1,D121+1,1,1)</f>
        <v>$AM$97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$AL$97</v>
      </c>
      <c r="E115" s="1" t="s">
        <v>8</v>
      </c>
    </row>
    <row r="116" spans="1:5" x14ac:dyDescent="0.25">
      <c r="A116" s="30">
        <v>1.6105100000000008</v>
      </c>
      <c r="C116" s="1">
        <f>C117-1</f>
        <v>95</v>
      </c>
      <c r="E116" s="1" t="s">
        <v>8</v>
      </c>
    </row>
    <row r="117" spans="1:5" x14ac:dyDescent="0.25">
      <c r="A117" s="30">
        <v>1.4641000000000006</v>
      </c>
      <c r="C117" s="1">
        <f>C121</f>
        <v>96</v>
      </c>
      <c r="D117" s="1">
        <f>D121</f>
        <v>38</v>
      </c>
      <c r="E117" s="1" t="s">
        <v>8</v>
      </c>
    </row>
    <row r="118" spans="1:5" x14ac:dyDescent="0.25">
      <c r="A118" s="30">
        <v>1.3310000000000004</v>
      </c>
      <c r="C118" s="1">
        <f>C117+1</f>
        <v>97</v>
      </c>
      <c r="D118" s="1">
        <f>D117+1</f>
        <v>39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96</v>
      </c>
      <c r="D121" s="19">
        <v>38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R96</v>
      </c>
      <c r="D123" s="1" t="str">
        <f>"C"&amp;D121</f>
        <v>C38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10.834705943388391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9" operator="equal">
      <formula>$U$1</formula>
    </cfRule>
    <cfRule type="cellIs" dxfId="30" priority="940" operator="equal">
      <formula>$S$1</formula>
    </cfRule>
  </conditionalFormatting>
  <conditionalFormatting sqref="D136">
    <cfRule type="cellIs" dxfId="29" priority="937" operator="equal">
      <formula>$S$1</formula>
    </cfRule>
    <cfRule type="cellIs" dxfId="28" priority="938" operator="equal">
      <formula>$U$1</formula>
    </cfRule>
  </conditionalFormatting>
  <conditionalFormatting sqref="C102">
    <cfRule type="cellIs" dxfId="27" priority="935" operator="equal">
      <formula>$U$1</formula>
    </cfRule>
    <cfRule type="cellIs" dxfId="26" priority="936" operator="equal">
      <formula>$S$1</formula>
    </cfRule>
  </conditionalFormatting>
  <conditionalFormatting sqref="D102">
    <cfRule type="cellIs" dxfId="25" priority="933" operator="equal">
      <formula>$S$1</formula>
    </cfRule>
    <cfRule type="cellIs" dxfId="24" priority="934" operator="equal">
      <formula>$U$1</formula>
    </cfRule>
  </conditionalFormatting>
  <conditionalFormatting sqref="C77">
    <cfRule type="cellIs" dxfId="23" priority="931" operator="equal">
      <formula>$U$1</formula>
    </cfRule>
    <cfRule type="cellIs" dxfId="22" priority="932" operator="equal">
      <formula>$S$1</formula>
    </cfRule>
  </conditionalFormatting>
  <conditionalFormatting sqref="D77">
    <cfRule type="cellIs" dxfId="21" priority="929" operator="equal">
      <formula>$S$1</formula>
    </cfRule>
    <cfRule type="cellIs" dxfId="20" priority="930" operator="equal">
      <formula>$U$1</formula>
    </cfRule>
  </conditionalFormatting>
  <conditionalFormatting sqref="C52">
    <cfRule type="cellIs" dxfId="19" priority="927" operator="equal">
      <formula>$U$1</formula>
    </cfRule>
    <cfRule type="cellIs" dxfId="18" priority="928" operator="equal">
      <formula>$S$1</formula>
    </cfRule>
  </conditionalFormatting>
  <conditionalFormatting sqref="D52">
    <cfRule type="cellIs" dxfId="17" priority="925" operator="equal">
      <formula>$S$1</formula>
    </cfRule>
    <cfRule type="cellIs" dxfId="16" priority="926" operator="equal">
      <formula>$U$1</formula>
    </cfRule>
  </conditionalFormatting>
  <conditionalFormatting sqref="C26">
    <cfRule type="cellIs" dxfId="15" priority="923" operator="equal">
      <formula>$U$1</formula>
    </cfRule>
    <cfRule type="cellIs" dxfId="14" priority="924" operator="equal">
      <formula>$S$1</formula>
    </cfRule>
  </conditionalFormatting>
  <conditionalFormatting sqref="D26">
    <cfRule type="cellIs" dxfId="13" priority="921" operator="equal">
      <formula>$S$1</formula>
    </cfRule>
    <cfRule type="cellIs" dxfId="12" priority="92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13.938696110832291</v>
      </c>
      <c r="F3" s="30">
        <v>15.367412462192602</v>
      </c>
      <c r="G3" s="30">
        <v>26.283490366495137</v>
      </c>
      <c r="H3" s="25">
        <f>IF(G3="","",(3*(G3-F3))+E3)</f>
        <v>46.686929823739895</v>
      </c>
      <c r="I3" s="7"/>
      <c r="J3" s="7">
        <f>(E3+G3)/2</f>
        <v>20.111093238663713</v>
      </c>
      <c r="K3" s="7">
        <f>H3/2</f>
        <v>23.343464911869948</v>
      </c>
      <c r="M3" s="26">
        <f>IF(OR(J3="",H3=""),"",H3/J3)</f>
        <v>2.3214516122864945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2022-01-28T01:14:11Z</dcterms:modified>
</cp:coreProperties>
</file>