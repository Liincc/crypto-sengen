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6959467-7475-42E1-93BB-10C74597BDB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22" i="5"/>
  <c r="C133" i="5" s="1"/>
  <c r="C136" i="5" s="1"/>
  <c r="C118" i="4"/>
  <c r="C116" i="5"/>
  <c r="C122" i="3"/>
  <c r="C133" i="3" s="1"/>
  <c r="D136" i="3" s="1"/>
  <c r="C116" i="3"/>
  <c r="R765" i="1"/>
  <c r="C136" i="4" l="1"/>
  <c r="C138" i="4" s="1"/>
  <c r="D136" i="5"/>
  <c r="C138" i="5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<sst xmlns="http://schemas.openxmlformats.org/spreadsheetml/2006/main" count="7802" uniqueCount="34">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</sst>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0.29980000000000001</c:v>
                </c:pt>
                <c:pt idx="1">
                  <c:v>0.30919999999999997</c:v>
                </c:pt>
                <c:pt idx="2">
                  <c:v>0.31159999999999999</c:v>
                </c:pt>
                <c:pt idx="3">
                  <c:v>0.31209999999999999</c:v>
                </c:pt>
                <c:pt idx="4">
                  <c:v>0.32300000000000001</c:v>
                </c:pt>
                <c:pt idx="5">
                  <c:v>0.31369999999999998</c:v>
                </c:pt>
                <c:pt idx="6">
                  <c:v>0.33829999999999999</c:v>
                </c:pt>
                <c:pt idx="7">
                  <c:v>0.41139999999999999</c:v>
                </c:pt>
                <c:pt idx="8">
                  <c:v>0.43880000000000002</c:v>
                </c:pt>
                <c:pt idx="9">
                  <c:v>0.44309999999999999</c:v>
                </c:pt>
                <c:pt idx="10">
                  <c:v>0.44879999999999998</c:v>
                </c:pt>
                <c:pt idx="11">
                  <c:v>0.4677</c:v>
                </c:pt>
                <c:pt idx="12">
                  <c:v>0.47170000000000001</c:v>
                </c:pt>
                <c:pt idx="13">
                  <c:v>0.47</c:v>
                </c:pt>
                <c:pt idx="14">
                  <c:v>0.4607</c:v>
                </c:pt>
                <c:pt idx="15">
                  <c:v>0.49120000000000003</c:v>
                </c:pt>
                <c:pt idx="16">
                  <c:v>0.47510000000000002</c:v>
                </c:pt>
                <c:pt idx="17">
                  <c:v>0.45250000000000001</c:v>
                </c:pt>
                <c:pt idx="18">
                  <c:v>0.48170000000000002</c:v>
                </c:pt>
                <c:pt idx="19">
                  <c:v>0.46910000000000002</c:v>
                </c:pt>
                <c:pt idx="20">
                  <c:v>0.497</c:v>
                </c:pt>
                <c:pt idx="21">
                  <c:v>0.52559999999999996</c:v>
                </c:pt>
                <c:pt idx="22">
                  <c:v>0.53390000000000004</c:v>
                </c:pt>
                <c:pt idx="23">
                  <c:v>0.58640000000000003</c:v>
                </c:pt>
                <c:pt idx="24">
                  <c:v>0.59340000000000004</c:v>
                </c:pt>
                <c:pt idx="25">
                  <c:v>0.60109999999999997</c:v>
                </c:pt>
                <c:pt idx="26">
                  <c:v>0.58620000000000005</c:v>
                </c:pt>
                <c:pt idx="27">
                  <c:v>0.57679999999999998</c:v>
                </c:pt>
                <c:pt idx="28">
                  <c:v>0.58499999999999996</c:v>
                </c:pt>
                <c:pt idx="29">
                  <c:v>0.58150000000000002</c:v>
                </c:pt>
                <c:pt idx="30">
                  <c:v>0.59219999999999995</c:v>
                </c:pt>
                <c:pt idx="31">
                  <c:v>0.6643</c:v>
                </c:pt>
                <c:pt idx="32">
                  <c:v>0.63939999999999997</c:v>
                </c:pt>
                <c:pt idx="33">
                  <c:v>0.62250000000000005</c:v>
                </c:pt>
                <c:pt idx="34">
                  <c:v>0.60640000000000005</c:v>
                </c:pt>
                <c:pt idx="35">
                  <c:v>0.63160000000000005</c:v>
                </c:pt>
                <c:pt idx="36">
                  <c:v>0.60609999999999997</c:v>
                </c:pt>
                <c:pt idx="37">
                  <c:v>0.60060000000000002</c:v>
                </c:pt>
                <c:pt idx="38">
                  <c:v>0.60260000000000002</c:v>
                </c:pt>
                <c:pt idx="39">
                  <c:v>0.61439999999999995</c:v>
                </c:pt>
                <c:pt idx="40">
                  <c:v>0.62409999999999999</c:v>
                </c:pt>
                <c:pt idx="41">
                  <c:v>0.66369999999999996</c:v>
                </c:pt>
                <c:pt idx="42">
                  <c:v>0.60729999999999995</c:v>
                </c:pt>
                <c:pt idx="43">
                  <c:v>0.5847</c:v>
                </c:pt>
                <c:pt idx="44">
                  <c:v>0.55959999999999999</c:v>
                </c:pt>
                <c:pt idx="45">
                  <c:v>0.5766</c:v>
                </c:pt>
                <c:pt idx="46">
                  <c:v>0.66659999999999997</c:v>
                </c:pt>
                <c:pt idx="47">
                  <c:v>0.65890000000000004</c:v>
                </c:pt>
                <c:pt idx="48">
                  <c:v>0.65580000000000005</c:v>
                </c:pt>
                <c:pt idx="49">
                  <c:v>0.71140000000000003</c:v>
                </c:pt>
                <c:pt idx="50">
                  <c:v>0.79110000000000003</c:v>
                </c:pt>
                <c:pt idx="51">
                  <c:v>0.74350000000000005</c:v>
                </c:pt>
                <c:pt idx="52">
                  <c:v>0.75470000000000004</c:v>
                </c:pt>
                <c:pt idx="53">
                  <c:v>0.84450000000000003</c:v>
                </c:pt>
                <c:pt idx="54">
                  <c:v>0.72989999999999999</c:v>
                </c:pt>
                <c:pt idx="55">
                  <c:v>0.85340000000000005</c:v>
                </c:pt>
                <c:pt idx="56">
                  <c:v>0.96</c:v>
                </c:pt>
                <c:pt idx="57">
                  <c:v>0.62539999999999996</c:v>
                </c:pt>
                <c:pt idx="58">
                  <c:v>0.63390000000000002</c:v>
                </c:pt>
                <c:pt idx="59">
                  <c:v>0.63729999999999998</c:v>
                </c:pt>
                <c:pt idx="60">
                  <c:v>0.62119999999999997</c:v>
                </c:pt>
                <c:pt idx="61">
                  <c:v>0.63539999999999996</c:v>
                </c:pt>
                <c:pt idx="62">
                  <c:v>0.59940000000000004</c:v>
                </c:pt>
                <c:pt idx="63">
                  <c:v>0.65859999999999996</c:v>
                </c:pt>
                <c:pt idx="64">
                  <c:v>0.65310000000000001</c:v>
                </c:pt>
                <c:pt idx="65">
                  <c:v>0.66810000000000003</c:v>
                </c:pt>
                <c:pt idx="66">
                  <c:v>0.68149999999999999</c:v>
                </c:pt>
                <c:pt idx="67">
                  <c:v>0.68869999999999998</c:v>
                </c:pt>
                <c:pt idx="68">
                  <c:v>0.70930000000000004</c:v>
                </c:pt>
                <c:pt idx="69">
                  <c:v>0.6159</c:v>
                </c:pt>
                <c:pt idx="70">
                  <c:v>0.57340000000000002</c:v>
                </c:pt>
                <c:pt idx="71">
                  <c:v>0.63090000000000002</c:v>
                </c:pt>
                <c:pt idx="72">
                  <c:v>0.61799999999999999</c:v>
                </c:pt>
                <c:pt idx="73">
                  <c:v>0.69220000000000004</c:v>
                </c:pt>
                <c:pt idx="74">
                  <c:v>0.70520000000000005</c:v>
                </c:pt>
                <c:pt idx="75">
                  <c:v>0.7218</c:v>
                </c:pt>
                <c:pt idx="76">
                  <c:v>0.71760000000000002</c:v>
                </c:pt>
                <c:pt idx="77">
                  <c:v>0.73280000000000001</c:v>
                </c:pt>
                <c:pt idx="78">
                  <c:v>0.68230000000000002</c:v>
                </c:pt>
                <c:pt idx="79">
                  <c:v>0.73540000000000005</c:v>
                </c:pt>
                <c:pt idx="80">
                  <c:v>0.71599999999999997</c:v>
                </c:pt>
                <c:pt idx="81">
                  <c:v>0.72740000000000005</c:v>
                </c:pt>
                <c:pt idx="82">
                  <c:v>0.72009999999999996</c:v>
                </c:pt>
                <c:pt idx="83">
                  <c:v>0.72870000000000001</c:v>
                </c:pt>
                <c:pt idx="84">
                  <c:v>0.76329999999999998</c:v>
                </c:pt>
                <c:pt idx="85">
                  <c:v>0.7278</c:v>
                </c:pt>
                <c:pt idx="86">
                  <c:v>0.73609999999999998</c:v>
                </c:pt>
                <c:pt idx="87">
                  <c:v>0.72529999999999994</c:v>
                </c:pt>
                <c:pt idx="88">
                  <c:v>0.7077</c:v>
                </c:pt>
                <c:pt idx="89">
                  <c:v>0.71199999999999997</c:v>
                </c:pt>
                <c:pt idx="90">
                  <c:v>0.73370000000000002</c:v>
                </c:pt>
                <c:pt idx="91">
                  <c:v>0.70509999999999995</c:v>
                </c:pt>
                <c:pt idx="92">
                  <c:v>0.70699999999999996</c:v>
                </c:pt>
                <c:pt idx="93">
                  <c:v>0.78200000000000003</c:v>
                </c:pt>
                <c:pt idx="94">
                  <c:v>0.78349999999999997</c:v>
                </c:pt>
                <c:pt idx="95">
                  <c:v>0.75129999999999997</c:v>
                </c:pt>
                <c:pt idx="96">
                  <c:v>0.76759999999999995</c:v>
                </c:pt>
                <c:pt idx="97">
                  <c:v>0.78600000000000003</c:v>
                </c:pt>
                <c:pt idx="98">
                  <c:v>0.80530000000000002</c:v>
                </c:pt>
                <c:pt idx="99">
                  <c:v>0.89090000000000003</c:v>
                </c:pt>
                <c:pt idx="100">
                  <c:v>0.87319999999999998</c:v>
                </c:pt>
                <c:pt idx="101">
                  <c:v>0.92230000000000001</c:v>
                </c:pt>
                <c:pt idx="102">
                  <c:v>0.8659</c:v>
                </c:pt>
                <c:pt idx="103">
                  <c:v>0.8236</c:v>
                </c:pt>
                <c:pt idx="104">
                  <c:v>0.77490000000000003</c:v>
                </c:pt>
                <c:pt idx="105">
                  <c:v>0.80310000000000004</c:v>
                </c:pt>
                <c:pt idx="106">
                  <c:v>0.74</c:v>
                </c:pt>
                <c:pt idx="107">
                  <c:v>0.74409999999999998</c:v>
                </c:pt>
                <c:pt idx="108">
                  <c:v>0.69540000000000002</c:v>
                </c:pt>
                <c:pt idx="109">
                  <c:v>0.6694</c:v>
                </c:pt>
                <c:pt idx="110">
                  <c:v>0.70679999999999998</c:v>
                </c:pt>
                <c:pt idx="111">
                  <c:v>0.745</c:v>
                </c:pt>
                <c:pt idx="112">
                  <c:v>0.63490000000000002</c:v>
                </c:pt>
                <c:pt idx="113">
                  <c:v>0.59619999999999995</c:v>
                </c:pt>
                <c:pt idx="114">
                  <c:v>0.59440000000000004</c:v>
                </c:pt>
                <c:pt idx="115">
                  <c:v>0.58350000000000002</c:v>
                </c:pt>
                <c:pt idx="116">
                  <c:v>0.58489999999999998</c:v>
                </c:pt>
                <c:pt idx="117">
                  <c:v>0.58699999999999997</c:v>
                </c:pt>
                <c:pt idx="118">
                  <c:v>0.57589999999999997</c:v>
                </c:pt>
                <c:pt idx="119">
                  <c:v>0.54459999999999997</c:v>
                </c:pt>
                <c:pt idx="120">
                  <c:v>0.5222</c:v>
                </c:pt>
                <c:pt idx="121">
                  <c:v>0.51160000000000005</c:v>
                </c:pt>
                <c:pt idx="122">
                  <c:v>0.52710000000000001</c:v>
                </c:pt>
                <c:pt idx="123">
                  <c:v>0.55479999999999996</c:v>
                </c:pt>
                <c:pt idx="124">
                  <c:v>0.60970000000000002</c:v>
                </c:pt>
                <c:pt idx="125">
                  <c:v>0.5403</c:v>
                </c:pt>
                <c:pt idx="126">
                  <c:v>0.59130000000000005</c:v>
                </c:pt>
                <c:pt idx="127">
                  <c:v>0.58020000000000005</c:v>
                </c:pt>
                <c:pt idx="128">
                  <c:v>0.51500000000000001</c:v>
                </c:pt>
                <c:pt idx="129">
                  <c:v>0.61880000000000002</c:v>
                </c:pt>
                <c:pt idx="130">
                  <c:v>0.66959999999999997</c:v>
                </c:pt>
                <c:pt idx="131">
                  <c:v>0.71660000000000001</c:v>
                </c:pt>
                <c:pt idx="132">
                  <c:v>0.67479999999999996</c:v>
                </c:pt>
                <c:pt idx="133">
                  <c:v>0.71</c:v>
                </c:pt>
                <c:pt idx="134">
                  <c:v>0.71009999999999995</c:v>
                </c:pt>
                <c:pt idx="135">
                  <c:v>0.69679999999999997</c:v>
                </c:pt>
                <c:pt idx="136">
                  <c:v>0.67549999999999999</c:v>
                </c:pt>
                <c:pt idx="137">
                  <c:v>0.7288</c:v>
                </c:pt>
                <c:pt idx="138">
                  <c:v>0.75209999999999999</c:v>
                </c:pt>
                <c:pt idx="139">
                  <c:v>0.73729999999999996</c:v>
                </c:pt>
                <c:pt idx="140">
                  <c:v>0.745</c:v>
                </c:pt>
                <c:pt idx="141">
                  <c:v>0.65259999999999996</c:v>
                </c:pt>
                <c:pt idx="142">
                  <c:v>0.68479999999999996</c:v>
                </c:pt>
                <c:pt idx="143">
                  <c:v>0.80320000000000003</c:v>
                </c:pt>
                <c:pt idx="144">
                  <c:v>0.75319999999999998</c:v>
                </c:pt>
                <c:pt idx="145">
                  <c:v>0.74280000000000002</c:v>
                </c:pt>
                <c:pt idx="146">
                  <c:v>0.69530000000000003</c:v>
                </c:pt>
                <c:pt idx="147">
                  <c:v>0.68869999999999998</c:v>
                </c:pt>
                <c:pt idx="148">
                  <c:v>0.6784</c:v>
                </c:pt>
                <c:pt idx="149">
                  <c:v>0.65769999999999995</c:v>
                </c:pt>
                <c:pt idx="150">
                  <c:v>0.66149999999999998</c:v>
                </c:pt>
                <c:pt idx="151">
                  <c:v>0.69669999999999999</c:v>
                </c:pt>
                <c:pt idx="152">
                  <c:v>0.6905</c:v>
                </c:pt>
                <c:pt idx="153">
                  <c:v>0.70860000000000001</c:v>
                </c:pt>
                <c:pt idx="154">
                  <c:v>0.67479999999999996</c:v>
                </c:pt>
                <c:pt idx="155">
                  <c:v>0.74380000000000002</c:v>
                </c:pt>
                <c:pt idx="156">
                  <c:v>0.72060000000000002</c:v>
                </c:pt>
                <c:pt idx="157">
                  <c:v>0.75719999999999998</c:v>
                </c:pt>
                <c:pt idx="158">
                  <c:v>0.73170000000000002</c:v>
                </c:pt>
                <c:pt idx="159">
                  <c:v>0.71260000000000001</c:v>
                </c:pt>
                <c:pt idx="160">
                  <c:v>0.73560000000000003</c:v>
                </c:pt>
                <c:pt idx="161">
                  <c:v>0.71460000000000001</c:v>
                </c:pt>
                <c:pt idx="162">
                  <c:v>0.66859999999999997</c:v>
                </c:pt>
                <c:pt idx="163">
                  <c:v>0.68069999999999997</c:v>
                </c:pt>
                <c:pt idx="164">
                  <c:v>0.74319999999999997</c:v>
                </c:pt>
                <c:pt idx="165">
                  <c:v>0.75129999999999997</c:v>
                </c:pt>
                <c:pt idx="166">
                  <c:v>0.74150000000000005</c:v>
                </c:pt>
                <c:pt idx="167">
                  <c:v>0.69950000000000001</c:v>
                </c:pt>
                <c:pt idx="168">
                  <c:v>0.64170000000000005</c:v>
                </c:pt>
                <c:pt idx="169">
                  <c:v>0.68269999999999997</c:v>
                </c:pt>
                <c:pt idx="170">
                  <c:v>0.65569999999999995</c:v>
                </c:pt>
                <c:pt idx="171">
                  <c:v>0.67010000000000003</c:v>
                </c:pt>
                <c:pt idx="172">
                  <c:v>0.66469999999999996</c:v>
                </c:pt>
                <c:pt idx="173">
                  <c:v>0.61450000000000005</c:v>
                </c:pt>
                <c:pt idx="174">
                  <c:v>0.62270000000000003</c:v>
                </c:pt>
                <c:pt idx="175">
                  <c:v>0.60329999999999995</c:v>
                </c:pt>
                <c:pt idx="176">
                  <c:v>0.5413</c:v>
                </c:pt>
                <c:pt idx="177">
                  <c:v>0.53180000000000005</c:v>
                </c:pt>
                <c:pt idx="178">
                  <c:v>0.54420000000000002</c:v>
                </c:pt>
                <c:pt idx="179">
                  <c:v>0.53120000000000001</c:v>
                </c:pt>
                <c:pt idx="180">
                  <c:v>0.55700000000000005</c:v>
                </c:pt>
                <c:pt idx="181">
                  <c:v>0.52580000000000005</c:v>
                </c:pt>
                <c:pt idx="182">
                  <c:v>0.505</c:v>
                </c:pt>
                <c:pt idx="183">
                  <c:v>0.4728</c:v>
                </c:pt>
                <c:pt idx="184">
                  <c:v>0.47470000000000001</c:v>
                </c:pt>
                <c:pt idx="185">
                  <c:v>0.45829999999999999</c:v>
                </c:pt>
                <c:pt idx="186">
                  <c:v>0.46060000000000001</c:v>
                </c:pt>
                <c:pt idx="187">
                  <c:v>0.46200000000000002</c:v>
                </c:pt>
                <c:pt idx="188">
                  <c:v>0.4446</c:v>
                </c:pt>
                <c:pt idx="189">
                  <c:v>0.39500000000000002</c:v>
                </c:pt>
                <c:pt idx="190">
                  <c:v>0.37869999999999998</c:v>
                </c:pt>
                <c:pt idx="191">
                  <c:v>0.35470000000000002</c:v>
                </c:pt>
                <c:pt idx="192">
                  <c:v>0.39069999999999999</c:v>
                </c:pt>
                <c:pt idx="193">
                  <c:v>0.41699999999999998</c:v>
                </c:pt>
                <c:pt idx="194">
                  <c:v>0.43090000000000001</c:v>
                </c:pt>
                <c:pt idx="195">
                  <c:v>0.435</c:v>
                </c:pt>
                <c:pt idx="196">
                  <c:v>0.46529999999999999</c:v>
                </c:pt>
                <c:pt idx="197">
                  <c:v>0.48110000000000003</c:v>
                </c:pt>
                <c:pt idx="198">
                  <c:v>0.47360000000000002</c:v>
                </c:pt>
                <c:pt idx="199">
                  <c:v>0.49149999999999999</c:v>
                </c:pt>
                <c:pt idx="200">
                  <c:v>0.50939999999999996</c:v>
                </c:pt>
                <c:pt idx="201">
                  <c:v>0.46260000000000001</c:v>
                </c:pt>
                <c:pt idx="202">
                  <c:v>0.4219</c:v>
                </c:pt>
                <c:pt idx="203">
                  <c:v>0.41470000000000001</c:v>
                </c:pt>
                <c:pt idx="204">
                  <c:v>0.44469999999999998</c:v>
                </c:pt>
                <c:pt idx="205">
                  <c:v>0.42880000000000001</c:v>
                </c:pt>
                <c:pt idx="206">
                  <c:v>0.41210000000000002</c:v>
                </c:pt>
                <c:pt idx="207">
                  <c:v>0.43719999999999998</c:v>
                </c:pt>
                <c:pt idx="208">
                  <c:v>0.42130000000000001</c:v>
                </c:pt>
                <c:pt idx="209">
                  <c:v>0.4194</c:v>
                </c:pt>
                <c:pt idx="210">
                  <c:v>0.40710000000000002</c:v>
                </c:pt>
                <c:pt idx="211">
                  <c:v>0.43659999999999999</c:v>
                </c:pt>
                <c:pt idx="212">
                  <c:v>0.45590000000000003</c:v>
                </c:pt>
                <c:pt idx="213">
                  <c:v>0.41760000000000003</c:v>
                </c:pt>
                <c:pt idx="214">
                  <c:v>0.41410000000000002</c:v>
                </c:pt>
                <c:pt idx="215">
                  <c:v>0.39960000000000001</c:v>
                </c:pt>
                <c:pt idx="216">
                  <c:v>0.40089999999999998</c:v>
                </c:pt>
                <c:pt idx="217">
                  <c:v>0.44500000000000001</c:v>
                </c:pt>
                <c:pt idx="218">
                  <c:v>0.41880000000000001</c:v>
                </c:pt>
                <c:pt idx="219">
                  <c:v>0.39960000000000001</c:v>
                </c:pt>
                <c:pt idx="220">
                  <c:v>0.442</c:v>
                </c:pt>
                <c:pt idx="221">
                  <c:v>0.57150000000000001</c:v>
                </c:pt>
                <c:pt idx="222">
                  <c:v>0.60019999999999996</c:v>
                </c:pt>
                <c:pt idx="223">
                  <c:v>0.61760000000000004</c:v>
                </c:pt>
                <c:pt idx="224">
                  <c:v>0.63700000000000001</c:v>
                </c:pt>
                <c:pt idx="225">
                  <c:v>0.62219999999999998</c:v>
                </c:pt>
                <c:pt idx="226">
                  <c:v>0.66579999999999995</c:v>
                </c:pt>
                <c:pt idx="227">
                  <c:v>0.66949999999999998</c:v>
                </c:pt>
                <c:pt idx="228">
                  <c:v>0.67269999999999996</c:v>
                </c:pt>
                <c:pt idx="229">
                  <c:v>0.63529999999999998</c:v>
                </c:pt>
                <c:pt idx="230">
                  <c:v>0.61609999999999998</c:v>
                </c:pt>
                <c:pt idx="231">
                  <c:v>0.69420000000000004</c:v>
                </c:pt>
                <c:pt idx="232">
                  <c:v>0.67549999999999999</c:v>
                </c:pt>
                <c:pt idx="233">
                  <c:v>0.62790000000000001</c:v>
                </c:pt>
                <c:pt idx="234">
                  <c:v>0.62709999999999999</c:v>
                </c:pt>
                <c:pt idx="235">
                  <c:v>0.749</c:v>
                </c:pt>
                <c:pt idx="236">
                  <c:v>0.69230000000000003</c:v>
                </c:pt>
                <c:pt idx="237">
                  <c:v>0.72489999999999999</c:v>
                </c:pt>
                <c:pt idx="238">
                  <c:v>0.83819999999999995</c:v>
                </c:pt>
                <c:pt idx="239">
                  <c:v>0.80469999999999997</c:v>
                </c:pt>
                <c:pt idx="240">
                  <c:v>0.84719999999999995</c:v>
                </c:pt>
                <c:pt idx="241">
                  <c:v>0.76990000000000003</c:v>
                </c:pt>
                <c:pt idx="242">
                  <c:v>0.73370000000000002</c:v>
                </c:pt>
                <c:pt idx="243">
                  <c:v>0.7399</c:v>
                </c:pt>
                <c:pt idx="244">
                  <c:v>0.84360000000000002</c:v>
                </c:pt>
                <c:pt idx="245">
                  <c:v>0.69610000000000005</c:v>
                </c:pt>
                <c:pt idx="246">
                  <c:v>0.73380000000000001</c:v>
                </c:pt>
                <c:pt idx="247">
                  <c:v>0.70750000000000002</c:v>
                </c:pt>
                <c:pt idx="248">
                  <c:v>0.68140000000000001</c:v>
                </c:pt>
                <c:pt idx="249">
                  <c:v>0.55940000000000001</c:v>
                </c:pt>
                <c:pt idx="250">
                  <c:v>0.71319999999999995</c:v>
                </c:pt>
                <c:pt idx="251">
                  <c:v>0.77929999999999999</c:v>
                </c:pt>
                <c:pt idx="252">
                  <c:v>0.97130000000000005</c:v>
                </c:pt>
                <c:pt idx="253">
                  <c:v>0.84040000000000004</c:v>
                </c:pt>
                <c:pt idx="254">
                  <c:v>1.2989999999999999</c:v>
                </c:pt>
                <c:pt idx="255">
                  <c:v>1.3401000000000001</c:v>
                </c:pt>
                <c:pt idx="256">
                  <c:v>1.4691000000000001</c:v>
                </c:pt>
                <c:pt idx="257">
                  <c:v>1.2745</c:v>
                </c:pt>
                <c:pt idx="258">
                  <c:v>1.4359</c:v>
                </c:pt>
                <c:pt idx="259">
                  <c:v>1.4533</c:v>
                </c:pt>
                <c:pt idx="260">
                  <c:v>1.2327999999999999</c:v>
                </c:pt>
                <c:pt idx="261">
                  <c:v>1.3499000000000001</c:v>
                </c:pt>
                <c:pt idx="262">
                  <c:v>1.3051999999999999</c:v>
                </c:pt>
                <c:pt idx="263">
                  <c:v>1.5119</c:v>
                </c:pt>
                <c:pt idx="264">
                  <c:v>1.56</c:v>
                </c:pt>
                <c:pt idx="265">
                  <c:v>1.5790999999999999</c:v>
                </c:pt>
                <c:pt idx="266">
                  <c:v>1.4816</c:v>
                </c:pt>
                <c:pt idx="267">
                  <c:v>1.5032000000000001</c:v>
                </c:pt>
                <c:pt idx="268">
                  <c:v>1.3872</c:v>
                </c:pt>
                <c:pt idx="269">
                  <c:v>1.5161</c:v>
                </c:pt>
                <c:pt idx="270">
                  <c:v>1.4730000000000001</c:v>
                </c:pt>
                <c:pt idx="271">
                  <c:v>1.4369000000000001</c:v>
                </c:pt>
                <c:pt idx="272">
                  <c:v>1.3121</c:v>
                </c:pt>
                <c:pt idx="273">
                  <c:v>1.3103</c:v>
                </c:pt>
                <c:pt idx="274">
                  <c:v>1.2715000000000001</c:v>
                </c:pt>
                <c:pt idx="275">
                  <c:v>1.3521000000000001</c:v>
                </c:pt>
                <c:pt idx="276">
                  <c:v>1.3110999999999999</c:v>
                </c:pt>
                <c:pt idx="277">
                  <c:v>1.0801000000000001</c:v>
                </c:pt>
                <c:pt idx="278">
                  <c:v>1.0739000000000001</c:v>
                </c:pt>
                <c:pt idx="279">
                  <c:v>1.25</c:v>
                </c:pt>
                <c:pt idx="280">
                  <c:v>1.4397</c:v>
                </c:pt>
                <c:pt idx="281">
                  <c:v>1.4891000000000001</c:v>
                </c:pt>
                <c:pt idx="282">
                  <c:v>1.5306</c:v>
                </c:pt>
                <c:pt idx="283">
                  <c:v>1.5708</c:v>
                </c:pt>
                <c:pt idx="284">
                  <c:v>1.55</c:v>
                </c:pt>
                <c:pt idx="285">
                  <c:v>1.722</c:v>
                </c:pt>
                <c:pt idx="286">
                  <c:v>1.5666</c:v>
                </c:pt>
                <c:pt idx="287">
                  <c:v>1.7162999999999999</c:v>
                </c:pt>
                <c:pt idx="288">
                  <c:v>1.6775</c:v>
                </c:pt>
                <c:pt idx="289">
                  <c:v>1.915</c:v>
                </c:pt>
                <c:pt idx="290">
                  <c:v>1.4676</c:v>
                </c:pt>
                <c:pt idx="291">
                  <c:v>1.6155999999999999</c:v>
                </c:pt>
                <c:pt idx="292">
                  <c:v>1.5181</c:v>
                </c:pt>
                <c:pt idx="293">
                  <c:v>1.2949999999999999</c:v>
                </c:pt>
                <c:pt idx="294">
                  <c:v>1.2228000000000001</c:v>
                </c:pt>
                <c:pt idx="295">
                  <c:v>1.1148</c:v>
                </c:pt>
                <c:pt idx="296">
                  <c:v>1.2110000000000001</c:v>
                </c:pt>
                <c:pt idx="297">
                  <c:v>1.2855000000000001</c:v>
                </c:pt>
                <c:pt idx="298">
                  <c:v>1.2073</c:v>
                </c:pt>
                <c:pt idx="299">
                  <c:v>1.0987</c:v>
                </c:pt>
                <c:pt idx="300">
                  <c:v>1.1888000000000001</c:v>
                </c:pt>
                <c:pt idx="301">
                  <c:v>1.2485999999999999</c:v>
                </c:pt>
                <c:pt idx="302">
                  <c:v>1.2878000000000001</c:v>
                </c:pt>
                <c:pt idx="303">
                  <c:v>1.3973</c:v>
                </c:pt>
                <c:pt idx="304">
                  <c:v>1.2052</c:v>
                </c:pt>
                <c:pt idx="305">
                  <c:v>1.2202</c:v>
                </c:pt>
                <c:pt idx="306">
                  <c:v>1.0192000000000001</c:v>
                </c:pt>
                <c:pt idx="307">
                  <c:v>1.0586</c:v>
                </c:pt>
                <c:pt idx="308">
                  <c:v>0.97</c:v>
                </c:pt>
                <c:pt idx="309">
                  <c:v>0.93710000000000004</c:v>
                </c:pt>
                <c:pt idx="310">
                  <c:v>1.0539000000000001</c:v>
                </c:pt>
                <c:pt idx="311">
                  <c:v>1.1272</c:v>
                </c:pt>
                <c:pt idx="312">
                  <c:v>1.3925000000000001</c:v>
                </c:pt>
                <c:pt idx="313">
                  <c:v>1.1188</c:v>
                </c:pt>
                <c:pt idx="314">
                  <c:v>1.1286</c:v>
                </c:pt>
                <c:pt idx="315">
                  <c:v>1.0138</c:v>
                </c:pt>
                <c:pt idx="316">
                  <c:v>0.92290000000000005</c:v>
                </c:pt>
                <c:pt idx="317">
                  <c:v>1.0118</c:v>
                </c:pt>
                <c:pt idx="318">
                  <c:v>0.88570000000000004</c:v>
                </c:pt>
                <c:pt idx="319">
                  <c:v>0.9</c:v>
                </c:pt>
                <c:pt idx="320">
                  <c:v>0.90710000000000002</c:v>
                </c:pt>
                <c:pt idx="321">
                  <c:v>0.73699999999999999</c:v>
                </c:pt>
                <c:pt idx="322">
                  <c:v>0.71970000000000001</c:v>
                </c:pt>
                <c:pt idx="323">
                  <c:v>0.68930000000000002</c:v>
                </c:pt>
                <c:pt idx="324">
                  <c:v>0.7349</c:v>
                </c:pt>
                <c:pt idx="325">
                  <c:v>0.67530000000000001</c:v>
                </c:pt>
                <c:pt idx="326">
                  <c:v>0.61609999999999998</c:v>
                </c:pt>
                <c:pt idx="327">
                  <c:v>0.60040000000000004</c:v>
                </c:pt>
                <c:pt idx="328">
                  <c:v>0.60440000000000005</c:v>
                </c:pt>
                <c:pt idx="329">
                  <c:v>0.55579999999999996</c:v>
                </c:pt>
                <c:pt idx="330">
                  <c:v>0.59030000000000005</c:v>
                </c:pt>
                <c:pt idx="331">
                  <c:v>0.53839999999999999</c:v>
                </c:pt>
                <c:pt idx="332">
                  <c:v>0.56630000000000003</c:v>
                </c:pt>
                <c:pt idx="333">
                  <c:v>0.50470000000000004</c:v>
                </c:pt>
                <c:pt idx="334">
                  <c:v>0.54830000000000001</c:v>
                </c:pt>
                <c:pt idx="335">
                  <c:v>0.49730000000000002</c:v>
                </c:pt>
                <c:pt idx="336">
                  <c:v>0.53869999999999996</c:v>
                </c:pt>
                <c:pt idx="337">
                  <c:v>0.55789999999999995</c:v>
                </c:pt>
                <c:pt idx="338">
                  <c:v>0.56100000000000005</c:v>
                </c:pt>
                <c:pt idx="339">
                  <c:v>0.72819999999999996</c:v>
                </c:pt>
                <c:pt idx="340">
                  <c:v>0.85609999999999997</c:v>
                </c:pt>
                <c:pt idx="341">
                  <c:v>0.73499999999999999</c:v>
                </c:pt>
                <c:pt idx="342">
                  <c:v>0.70289999999999997</c:v>
                </c:pt>
                <c:pt idx="343">
                  <c:v>0.68289999999999995</c:v>
                </c:pt>
                <c:pt idx="344">
                  <c:v>0.70289999999999997</c:v>
                </c:pt>
                <c:pt idx="345">
                  <c:v>0.66090000000000004</c:v>
                </c:pt>
                <c:pt idx="346">
                  <c:v>0.62080000000000002</c:v>
                </c:pt>
                <c:pt idx="347">
                  <c:v>0.63429999999999997</c:v>
                </c:pt>
                <c:pt idx="348">
                  <c:v>0.75070000000000003</c:v>
                </c:pt>
                <c:pt idx="349">
                  <c:v>0.67420000000000002</c:v>
                </c:pt>
                <c:pt idx="350">
                  <c:v>0.66379999999999995</c:v>
                </c:pt>
                <c:pt idx="351">
                  <c:v>0.57450000000000001</c:v>
                </c:pt>
                <c:pt idx="352">
                  <c:v>0.51129999999999998</c:v>
                </c:pt>
                <c:pt idx="353">
                  <c:v>0.45739999999999997</c:v>
                </c:pt>
                <c:pt idx="354">
                  <c:v>0.41660000000000003</c:v>
                </c:pt>
                <c:pt idx="355">
                  <c:v>0.44219999999999998</c:v>
                </c:pt>
                <c:pt idx="356">
                  <c:v>0.47139999999999999</c:v>
                </c:pt>
                <c:pt idx="357">
                  <c:v>0.42059999999999997</c:v>
                </c:pt>
                <c:pt idx="358">
                  <c:v>0.41</c:v>
                </c:pt>
                <c:pt idx="359">
                  <c:v>0.39410000000000001</c:v>
                </c:pt>
                <c:pt idx="360">
                  <c:v>0.39219999999999999</c:v>
                </c:pt>
                <c:pt idx="361">
                  <c:v>0.4042</c:v>
                </c:pt>
                <c:pt idx="362">
                  <c:v>0.35730000000000001</c:v>
                </c:pt>
                <c:pt idx="363">
                  <c:v>0.34799999999999998</c:v>
                </c:pt>
                <c:pt idx="364">
                  <c:v>0.35360000000000003</c:v>
                </c:pt>
                <c:pt idx="365">
                  <c:v>0.3357</c:v>
                </c:pt>
                <c:pt idx="366">
                  <c:v>0.34339999999999998</c:v>
                </c:pt>
                <c:pt idx="367">
                  <c:v>0.35339999999999999</c:v>
                </c:pt>
                <c:pt idx="368">
                  <c:v>0.36749999999999999</c:v>
                </c:pt>
                <c:pt idx="369">
                  <c:v>0.35399999999999998</c:v>
                </c:pt>
                <c:pt idx="370">
                  <c:v>0.36959999999999998</c:v>
                </c:pt>
                <c:pt idx="371">
                  <c:v>0.36349999999999999</c:v>
                </c:pt>
                <c:pt idx="372">
                  <c:v>0.37459999999999999</c:v>
                </c:pt>
                <c:pt idx="373">
                  <c:v>0.3619</c:v>
                </c:pt>
                <c:pt idx="374">
                  <c:v>0.3962</c:v>
                </c:pt>
                <c:pt idx="375">
                  <c:v>0.33929999999999999</c:v>
                </c:pt>
                <c:pt idx="376">
                  <c:v>0.3332</c:v>
                </c:pt>
                <c:pt idx="377">
                  <c:v>0.3337</c:v>
                </c:pt>
                <c:pt idx="378">
                  <c:v>0.33119999999999999</c:v>
                </c:pt>
                <c:pt idx="379">
                  <c:v>0.35020000000000001</c:v>
                </c:pt>
                <c:pt idx="380">
                  <c:v>0.32079999999999997</c:v>
                </c:pt>
                <c:pt idx="381">
                  <c:v>0.33979999999999999</c:v>
                </c:pt>
                <c:pt idx="382">
                  <c:v>0.37709999999999999</c:v>
                </c:pt>
                <c:pt idx="383">
                  <c:v>0.33829999999999999</c:v>
                </c:pt>
                <c:pt idx="384">
                  <c:v>0.32169999999999999</c:v>
                </c:pt>
                <c:pt idx="385">
                  <c:v>0.31240000000000001</c:v>
                </c:pt>
                <c:pt idx="386">
                  <c:v>0.32290000000000002</c:v>
                </c:pt>
                <c:pt idx="387">
                  <c:v>0.32340000000000002</c:v>
                </c:pt>
                <c:pt idx="388">
                  <c:v>0.27700000000000002</c:v>
                </c:pt>
                <c:pt idx="389">
                  <c:v>0.2853</c:v>
                </c:pt>
                <c:pt idx="390">
                  <c:v>0.27010000000000001</c:v>
                </c:pt>
                <c:pt idx="391">
                  <c:v>0.27189999999999998</c:v>
                </c:pt>
                <c:pt idx="392">
                  <c:v>0.30030000000000001</c:v>
                </c:pt>
                <c:pt idx="393">
                  <c:v>0.2661</c:v>
                </c:pt>
                <c:pt idx="394">
                  <c:v>0.25790000000000002</c:v>
                </c:pt>
                <c:pt idx="395">
                  <c:v>0.2752</c:v>
                </c:pt>
                <c:pt idx="396">
                  <c:v>0.2772</c:v>
                </c:pt>
                <c:pt idx="397">
                  <c:v>0.28939999999999999</c:v>
                </c:pt>
                <c:pt idx="398">
                  <c:v>0.28370000000000001</c:v>
                </c:pt>
                <c:pt idx="399">
                  <c:v>0.28649999999999998</c:v>
                </c:pt>
                <c:pt idx="400">
                  <c:v>0.27410000000000001</c:v>
                </c:pt>
                <c:pt idx="401">
                  <c:v>0.32429999999999998</c:v>
                </c:pt>
                <c:pt idx="402">
                  <c:v>0.33650000000000002</c:v>
                </c:pt>
                <c:pt idx="403">
                  <c:v>0.39279999999999998</c:v>
                </c:pt>
                <c:pt idx="404">
                  <c:v>0.39439999999999997</c:v>
                </c:pt>
                <c:pt idx="405">
                  <c:v>0.379</c:v>
                </c:pt>
                <c:pt idx="406">
                  <c:v>0.4143</c:v>
                </c:pt>
                <c:pt idx="407">
                  <c:v>0.30719999999999997</c:v>
                </c:pt>
                <c:pt idx="408">
                  <c:v>0.29759999999999998</c:v>
                </c:pt>
                <c:pt idx="409">
                  <c:v>0.27339999999999998</c:v>
                </c:pt>
                <c:pt idx="410">
                  <c:v>0.2651</c:v>
                </c:pt>
                <c:pt idx="411">
                  <c:v>0.26490000000000002</c:v>
                </c:pt>
                <c:pt idx="412">
                  <c:v>0.25609999999999999</c:v>
                </c:pt>
                <c:pt idx="413">
                  <c:v>0.26650000000000001</c:v>
                </c:pt>
                <c:pt idx="414">
                  <c:v>0.25990000000000002</c:v>
                </c:pt>
                <c:pt idx="415">
                  <c:v>0.24129999999999999</c:v>
                </c:pt>
                <c:pt idx="416">
                  <c:v>0.26300000000000001</c:v>
                </c:pt>
                <c:pt idx="417">
                  <c:v>0.2626</c:v>
                </c:pt>
                <c:pt idx="418">
                  <c:v>0.26879999999999998</c:v>
                </c:pt>
                <c:pt idx="419">
                  <c:v>0.25929999999999997</c:v>
                </c:pt>
                <c:pt idx="420">
                  <c:v>0.27400000000000002</c:v>
                </c:pt>
                <c:pt idx="421">
                  <c:v>0.2732</c:v>
                </c:pt>
                <c:pt idx="422">
                  <c:v>0.26569999999999999</c:v>
                </c:pt>
                <c:pt idx="423">
                  <c:v>0.28110000000000002</c:v>
                </c:pt>
                <c:pt idx="424">
                  <c:v>0.27489999999999998</c:v>
                </c:pt>
                <c:pt idx="425">
                  <c:v>0.27589999999999998</c:v>
                </c:pt>
                <c:pt idx="426">
                  <c:v>0.26669999999999999</c:v>
                </c:pt>
                <c:pt idx="427">
                  <c:v>0.2676</c:v>
                </c:pt>
                <c:pt idx="428">
                  <c:v>0.309</c:v>
                </c:pt>
                <c:pt idx="429">
                  <c:v>0.32400000000000001</c:v>
                </c:pt>
                <c:pt idx="430">
                  <c:v>0.28199999999999997</c:v>
                </c:pt>
                <c:pt idx="431">
                  <c:v>0.26</c:v>
                </c:pt>
                <c:pt idx="432">
                  <c:v>0.2666</c:v>
                </c:pt>
                <c:pt idx="433">
                  <c:v>0.25140000000000001</c:v>
                </c:pt>
                <c:pt idx="434">
                  <c:v>0.2482</c:v>
                </c:pt>
                <c:pt idx="435">
                  <c:v>0.26469999999999999</c:v>
                </c:pt>
                <c:pt idx="436">
                  <c:v>0.26340000000000002</c:v>
                </c:pt>
                <c:pt idx="437">
                  <c:v>0.25850000000000001</c:v>
                </c:pt>
                <c:pt idx="438">
                  <c:v>0.24990000000000001</c:v>
                </c:pt>
                <c:pt idx="439">
                  <c:v>0.26300000000000001</c:v>
                </c:pt>
                <c:pt idx="440">
                  <c:v>0.26600000000000001</c:v>
                </c:pt>
                <c:pt idx="441">
                  <c:v>0.24329999999999999</c:v>
                </c:pt>
                <c:pt idx="442">
                  <c:v>0.24909999999999999</c:v>
                </c:pt>
                <c:pt idx="443">
                  <c:v>0.26029999999999998</c:v>
                </c:pt>
                <c:pt idx="444">
                  <c:v>0.23649999999999999</c:v>
                </c:pt>
                <c:pt idx="445">
                  <c:v>0.24249999999999999</c:v>
                </c:pt>
                <c:pt idx="446">
                  <c:v>0.22159999999999999</c:v>
                </c:pt>
                <c:pt idx="447">
                  <c:v>0.23880000000000001</c:v>
                </c:pt>
                <c:pt idx="448">
                  <c:v>0.21579999999999999</c:v>
                </c:pt>
                <c:pt idx="449">
                  <c:v>0.2109</c:v>
                </c:pt>
                <c:pt idx="450">
                  <c:v>0.21940000000000001</c:v>
                </c:pt>
                <c:pt idx="451">
                  <c:v>0.2258</c:v>
                </c:pt>
                <c:pt idx="452">
                  <c:v>0.23649999999999999</c:v>
                </c:pt>
                <c:pt idx="453">
                  <c:v>0.23599999999999999</c:v>
                </c:pt>
                <c:pt idx="454">
                  <c:v>0.2351</c:v>
                </c:pt>
                <c:pt idx="455">
                  <c:v>0.23580000000000001</c:v>
                </c:pt>
                <c:pt idx="456">
                  <c:v>0.23749999999999999</c:v>
                </c:pt>
                <c:pt idx="457">
                  <c:v>0.23699999999999999</c:v>
                </c:pt>
                <c:pt idx="458">
                  <c:v>0.247</c:v>
                </c:pt>
                <c:pt idx="459">
                  <c:v>0.2462</c:v>
                </c:pt>
                <c:pt idx="460">
                  <c:v>0.2525</c:v>
                </c:pt>
                <c:pt idx="461">
                  <c:v>0.25380000000000003</c:v>
                </c:pt>
                <c:pt idx="462">
                  <c:v>0.2555</c:v>
                </c:pt>
                <c:pt idx="463">
                  <c:v>0.2404</c:v>
                </c:pt>
                <c:pt idx="464">
                  <c:v>0.2326</c:v>
                </c:pt>
                <c:pt idx="465">
                  <c:v>0.24310000000000001</c:v>
                </c:pt>
                <c:pt idx="466">
                  <c:v>0.254</c:v>
                </c:pt>
                <c:pt idx="467">
                  <c:v>0.24349999999999999</c:v>
                </c:pt>
                <c:pt idx="468">
                  <c:v>0.2389</c:v>
                </c:pt>
                <c:pt idx="469">
                  <c:v>0.25700000000000001</c:v>
                </c:pt>
                <c:pt idx="470">
                  <c:v>0.26419999999999999</c:v>
                </c:pt>
                <c:pt idx="471">
                  <c:v>0.27739999999999998</c:v>
                </c:pt>
                <c:pt idx="472">
                  <c:v>0.28139999999999998</c:v>
                </c:pt>
                <c:pt idx="473">
                  <c:v>0.27489999999999998</c:v>
                </c:pt>
                <c:pt idx="474">
                  <c:v>0.27039999999999997</c:v>
                </c:pt>
                <c:pt idx="475">
                  <c:v>0.27139999999999997</c:v>
                </c:pt>
                <c:pt idx="476">
                  <c:v>0.25419999999999998</c:v>
                </c:pt>
                <c:pt idx="477">
                  <c:v>0.25209999999999999</c:v>
                </c:pt>
                <c:pt idx="478">
                  <c:v>0.25559999999999999</c:v>
                </c:pt>
                <c:pt idx="479">
                  <c:v>0.2767</c:v>
                </c:pt>
                <c:pt idx="480">
                  <c:v>0.26939999999999997</c:v>
                </c:pt>
                <c:pt idx="481">
                  <c:v>0.26889999999999997</c:v>
                </c:pt>
                <c:pt idx="482">
                  <c:v>0.2722</c:v>
                </c:pt>
                <c:pt idx="483">
                  <c:v>0.28260000000000002</c:v>
                </c:pt>
                <c:pt idx="484">
                  <c:v>0.29139999999999999</c:v>
                </c:pt>
                <c:pt idx="485">
                  <c:v>0.29039999999999999</c:v>
                </c:pt>
                <c:pt idx="486">
                  <c:v>0.29409999999999997</c:v>
                </c:pt>
                <c:pt idx="487">
                  <c:v>0.29260000000000003</c:v>
                </c:pt>
                <c:pt idx="488">
                  <c:v>0.2954</c:v>
                </c:pt>
                <c:pt idx="489">
                  <c:v>0.29149999999999998</c:v>
                </c:pt>
                <c:pt idx="490">
                  <c:v>0.29099999999999998</c:v>
                </c:pt>
                <c:pt idx="491">
                  <c:v>0.27629999999999999</c:v>
                </c:pt>
                <c:pt idx="492">
                  <c:v>0.30509999999999998</c:v>
                </c:pt>
                <c:pt idx="493">
                  <c:v>0.3024</c:v>
                </c:pt>
                <c:pt idx="494">
                  <c:v>0.31630000000000003</c:v>
                </c:pt>
                <c:pt idx="495">
                  <c:v>0.33910000000000001</c:v>
                </c:pt>
                <c:pt idx="496">
                  <c:v>0.33100000000000002</c:v>
                </c:pt>
                <c:pt idx="497">
                  <c:v>0.33260000000000001</c:v>
                </c:pt>
                <c:pt idx="498">
                  <c:v>0.31979999999999997</c:v>
                </c:pt>
                <c:pt idx="499">
                  <c:v>0.31469999999999998</c:v>
                </c:pt>
                <c:pt idx="500">
                  <c:v>0.33129999999999998</c:v>
                </c:pt>
                <c:pt idx="501">
                  <c:v>0.33550000000000002</c:v>
                </c:pt>
                <c:pt idx="502">
                  <c:v>0.36180000000000001</c:v>
                </c:pt>
                <c:pt idx="503">
                  <c:v>0.35210000000000002</c:v>
                </c:pt>
                <c:pt idx="504">
                  <c:v>0.34029999999999999</c:v>
                </c:pt>
                <c:pt idx="505">
                  <c:v>0.33150000000000002</c:v>
                </c:pt>
                <c:pt idx="506">
                  <c:v>0.31059999999999999</c:v>
                </c:pt>
                <c:pt idx="507">
                  <c:v>0.33090000000000003</c:v>
                </c:pt>
                <c:pt idx="508">
                  <c:v>0.32840000000000003</c:v>
                </c:pt>
                <c:pt idx="509">
                  <c:v>0.29570000000000002</c:v>
                </c:pt>
                <c:pt idx="510">
                  <c:v>0.37280000000000002</c:v>
                </c:pt>
                <c:pt idx="511">
                  <c:v>0.34949999999999998</c:v>
                </c:pt>
                <c:pt idx="512">
                  <c:v>0.43309999999999998</c:v>
                </c:pt>
                <c:pt idx="513">
                  <c:v>0.4612</c:v>
                </c:pt>
                <c:pt idx="514">
                  <c:v>0.47010000000000002</c:v>
                </c:pt>
                <c:pt idx="515">
                  <c:v>0.48359999999999997</c:v>
                </c:pt>
                <c:pt idx="516">
                  <c:v>0.44729999999999998</c:v>
                </c:pt>
                <c:pt idx="517">
                  <c:v>0.47120000000000001</c:v>
                </c:pt>
                <c:pt idx="518">
                  <c:v>0.45329999999999998</c:v>
                </c:pt>
                <c:pt idx="519">
                  <c:v>0.49640000000000001</c:v>
                </c:pt>
                <c:pt idx="520">
                  <c:v>0.49530000000000002</c:v>
                </c:pt>
                <c:pt idx="521">
                  <c:v>0.53839999999999999</c:v>
                </c:pt>
                <c:pt idx="522">
                  <c:v>0.54679999999999995</c:v>
                </c:pt>
                <c:pt idx="523">
                  <c:v>0.53680000000000005</c:v>
                </c:pt>
                <c:pt idx="524">
                  <c:v>0.53100000000000003</c:v>
                </c:pt>
                <c:pt idx="525">
                  <c:v>0.60509999999999997</c:v>
                </c:pt>
                <c:pt idx="526">
                  <c:v>0.57099999999999995</c:v>
                </c:pt>
                <c:pt idx="527">
                  <c:v>0.62160000000000004</c:v>
                </c:pt>
                <c:pt idx="528">
                  <c:v>0.60029999999999994</c:v>
                </c:pt>
                <c:pt idx="529">
                  <c:v>0.54890000000000005</c:v>
                </c:pt>
                <c:pt idx="530">
                  <c:v>0.55569999999999997</c:v>
                </c:pt>
                <c:pt idx="531">
                  <c:v>0.56079999999999997</c:v>
                </c:pt>
                <c:pt idx="532">
                  <c:v>0.55400000000000005</c:v>
                </c:pt>
                <c:pt idx="533">
                  <c:v>0.58709999999999996</c:v>
                </c:pt>
                <c:pt idx="534">
                  <c:v>0.50309999999999999</c:v>
                </c:pt>
                <c:pt idx="535">
                  <c:v>0.56189999999999996</c:v>
                </c:pt>
                <c:pt idx="536">
                  <c:v>0.59499999999999997</c:v>
                </c:pt>
                <c:pt idx="537">
                  <c:v>0.50319999999999998</c:v>
                </c:pt>
                <c:pt idx="538">
                  <c:v>0.43240000000000001</c:v>
                </c:pt>
                <c:pt idx="539">
                  <c:v>0.43590000000000001</c:v>
                </c:pt>
                <c:pt idx="540">
                  <c:v>0.41499999999999998</c:v>
                </c:pt>
                <c:pt idx="541">
                  <c:v>0.40560000000000002</c:v>
                </c:pt>
                <c:pt idx="542">
                  <c:v>0.39589999999999997</c:v>
                </c:pt>
                <c:pt idx="543">
                  <c:v>0.3987</c:v>
                </c:pt>
                <c:pt idx="544">
                  <c:v>0.41660000000000003</c:v>
                </c:pt>
                <c:pt idx="545">
                  <c:v>0.40529999999999999</c:v>
                </c:pt>
                <c:pt idx="546">
                  <c:v>0.39839999999999998</c:v>
                </c:pt>
                <c:pt idx="547">
                  <c:v>0.39460000000000001</c:v>
                </c:pt>
                <c:pt idx="548">
                  <c:v>0.40560000000000002</c:v>
                </c:pt>
                <c:pt idx="549">
                  <c:v>0.38500000000000001</c:v>
                </c:pt>
                <c:pt idx="550">
                  <c:v>0.41830000000000001</c:v>
                </c:pt>
                <c:pt idx="551">
                  <c:v>0.45629999999999998</c:v>
                </c:pt>
                <c:pt idx="552">
                  <c:v>0.44779999999999998</c:v>
                </c:pt>
                <c:pt idx="553">
                  <c:v>0.42959999999999998</c:v>
                </c:pt>
                <c:pt idx="554">
                  <c:v>0.39050000000000001</c:v>
                </c:pt>
                <c:pt idx="555">
                  <c:v>0.38429999999999997</c:v>
                </c:pt>
                <c:pt idx="556">
                  <c:v>0.38690000000000002</c:v>
                </c:pt>
                <c:pt idx="557">
                  <c:v>0.37119999999999997</c:v>
                </c:pt>
                <c:pt idx="558">
                  <c:v>0.37240000000000001</c:v>
                </c:pt>
                <c:pt idx="559">
                  <c:v>0.35489999999999999</c:v>
                </c:pt>
                <c:pt idx="560">
                  <c:v>0.35010000000000002</c:v>
                </c:pt>
                <c:pt idx="561">
                  <c:v>0.36849999999999999</c:v>
                </c:pt>
                <c:pt idx="562">
                  <c:v>0.38109999999999999</c:v>
                </c:pt>
                <c:pt idx="563">
                  <c:v>0.38350000000000001</c:v>
                </c:pt>
                <c:pt idx="564">
                  <c:v>0.39960000000000001</c:v>
                </c:pt>
                <c:pt idx="565">
                  <c:v>0.4027</c:v>
                </c:pt>
                <c:pt idx="566">
                  <c:v>0.40579999999999999</c:v>
                </c:pt>
                <c:pt idx="567">
                  <c:v>0.4017</c:v>
                </c:pt>
                <c:pt idx="568">
                  <c:v>0.41139999999999999</c:v>
                </c:pt>
                <c:pt idx="569">
                  <c:v>0.38829999999999998</c:v>
                </c:pt>
                <c:pt idx="570">
                  <c:v>0.39489999999999997</c:v>
                </c:pt>
                <c:pt idx="571">
                  <c:v>0.36349999999999999</c:v>
                </c:pt>
                <c:pt idx="572">
                  <c:v>0.38019999999999998</c:v>
                </c:pt>
                <c:pt idx="573">
                  <c:v>0.3705</c:v>
                </c:pt>
                <c:pt idx="574">
                  <c:v>0.38440000000000002</c:v>
                </c:pt>
                <c:pt idx="575">
                  <c:v>0.39140000000000003</c:v>
                </c:pt>
                <c:pt idx="576">
                  <c:v>0.41139999999999999</c:v>
                </c:pt>
                <c:pt idx="577">
                  <c:v>0.42</c:v>
                </c:pt>
                <c:pt idx="578">
                  <c:v>0.43969999999999998</c:v>
                </c:pt>
                <c:pt idx="579">
                  <c:v>0.43719999999999998</c:v>
                </c:pt>
                <c:pt idx="580">
                  <c:v>0.49519999999999997</c:v>
                </c:pt>
                <c:pt idx="581">
                  <c:v>0.50049999999999994</c:v>
                </c:pt>
                <c:pt idx="582">
                  <c:v>0.47939999999999999</c:v>
                </c:pt>
                <c:pt idx="583">
                  <c:v>0.49159999999999998</c:v>
                </c:pt>
                <c:pt idx="584">
                  <c:v>0.49030000000000001</c:v>
                </c:pt>
                <c:pt idx="585">
                  <c:v>0.48920000000000002</c:v>
                </c:pt>
                <c:pt idx="586">
                  <c:v>0.49099999999999999</c:v>
                </c:pt>
                <c:pt idx="587">
                  <c:v>0.50419999999999998</c:v>
                </c:pt>
                <c:pt idx="588">
                  <c:v>0.49790000000000001</c:v>
                </c:pt>
                <c:pt idx="589">
                  <c:v>0.47070000000000001</c:v>
                </c:pt>
                <c:pt idx="590">
                  <c:v>0.47620000000000001</c:v>
                </c:pt>
                <c:pt idx="591">
                  <c:v>0.47939999999999999</c:v>
                </c:pt>
                <c:pt idx="592">
                  <c:v>0.47849999999999998</c:v>
                </c:pt>
                <c:pt idx="593">
                  <c:v>0.49490000000000001</c:v>
                </c:pt>
                <c:pt idx="594">
                  <c:v>0.46710000000000002</c:v>
                </c:pt>
                <c:pt idx="595">
                  <c:v>0.44869999999999999</c:v>
                </c:pt>
                <c:pt idx="596">
                  <c:v>0.50349999999999995</c:v>
                </c:pt>
                <c:pt idx="597">
                  <c:v>0.47339999999999999</c:v>
                </c:pt>
                <c:pt idx="598">
                  <c:v>0.47599999999999998</c:v>
                </c:pt>
                <c:pt idx="599">
                  <c:v>0.48380000000000001</c:v>
                </c:pt>
                <c:pt idx="600">
                  <c:v>0.48299999999999998</c:v>
                </c:pt>
                <c:pt idx="601">
                  <c:v>0.50019999999999998</c:v>
                </c:pt>
                <c:pt idx="602">
                  <c:v>0.50570000000000004</c:v>
                </c:pt>
                <c:pt idx="603">
                  <c:v>0.46899999999999997</c:v>
                </c:pt>
                <c:pt idx="604">
                  <c:v>0.4713</c:v>
                </c:pt>
                <c:pt idx="605">
                  <c:v>0.43440000000000001</c:v>
                </c:pt>
                <c:pt idx="606">
                  <c:v>0.40050000000000002</c:v>
                </c:pt>
                <c:pt idx="607">
                  <c:v>0.41470000000000001</c:v>
                </c:pt>
                <c:pt idx="608">
                  <c:v>0.38019999999999998</c:v>
                </c:pt>
                <c:pt idx="609">
                  <c:v>0.36170000000000002</c:v>
                </c:pt>
                <c:pt idx="610">
                  <c:v>0.3604</c:v>
                </c:pt>
                <c:pt idx="611">
                  <c:v>0.37690000000000001</c:v>
                </c:pt>
                <c:pt idx="612">
                  <c:v>0.35570000000000002</c:v>
                </c:pt>
                <c:pt idx="613">
                  <c:v>0.32419999999999999</c:v>
                </c:pt>
                <c:pt idx="614">
                  <c:v>0.35299999999999998</c:v>
                </c:pt>
                <c:pt idx="615">
                  <c:v>0.33650000000000002</c:v>
                </c:pt>
                <c:pt idx="616">
                  <c:v>0.32</c:v>
                </c:pt>
                <c:pt idx="617">
                  <c:v>0.33789999999999998</c:v>
                </c:pt>
                <c:pt idx="618">
                  <c:v>0.34399999999999997</c:v>
                </c:pt>
                <c:pt idx="619">
                  <c:v>0.3407</c:v>
                </c:pt>
                <c:pt idx="620">
                  <c:v>0.33589999999999998</c:v>
                </c:pt>
                <c:pt idx="621">
                  <c:v>0.3175</c:v>
                </c:pt>
                <c:pt idx="622">
                  <c:v>0.30649999999999999</c:v>
                </c:pt>
                <c:pt idx="623">
                  <c:v>0.3075</c:v>
                </c:pt>
                <c:pt idx="624">
                  <c:v>0.312</c:v>
                </c:pt>
                <c:pt idx="625">
                  <c:v>0.28839999999999999</c:v>
                </c:pt>
                <c:pt idx="626">
                  <c:v>0.27600000000000002</c:v>
                </c:pt>
                <c:pt idx="627">
                  <c:v>0.28699999999999998</c:v>
                </c:pt>
                <c:pt idx="628">
                  <c:v>0.33310000000000001</c:v>
                </c:pt>
                <c:pt idx="629">
                  <c:v>0.33429999999999999</c:v>
                </c:pt>
                <c:pt idx="630">
                  <c:v>0.34250000000000003</c:v>
                </c:pt>
                <c:pt idx="631">
                  <c:v>0.33069999999999999</c:v>
                </c:pt>
                <c:pt idx="632">
                  <c:v>0.3301</c:v>
                </c:pt>
                <c:pt idx="633">
                  <c:v>0.33560000000000001</c:v>
                </c:pt>
                <c:pt idx="634">
                  <c:v>0.33950000000000002</c:v>
                </c:pt>
                <c:pt idx="635">
                  <c:v>0.36380000000000001</c:v>
                </c:pt>
                <c:pt idx="636">
                  <c:v>0.34350000000000003</c:v>
                </c:pt>
                <c:pt idx="637">
                  <c:v>0.32319999999999999</c:v>
                </c:pt>
                <c:pt idx="638">
                  <c:v>0.34499999999999997</c:v>
                </c:pt>
                <c:pt idx="639">
                  <c:v>0.32840000000000003</c:v>
                </c:pt>
                <c:pt idx="640">
                  <c:v>0.32490000000000002</c:v>
                </c:pt>
                <c:pt idx="641">
                  <c:v>0.33329999999999999</c:v>
                </c:pt>
                <c:pt idx="642">
                  <c:v>0.31219999999999998</c:v>
                </c:pt>
                <c:pt idx="643">
                  <c:v>0.28470000000000001</c:v>
                </c:pt>
                <c:pt idx="644">
                  <c:v>0.27760000000000001</c:v>
                </c:pt>
                <c:pt idx="645">
                  <c:v>0.27429999999999999</c:v>
                </c:pt>
                <c:pt idx="646">
                  <c:v>0.25469999999999998</c:v>
                </c:pt>
                <c:pt idx="647">
                  <c:v>0.25530000000000003</c:v>
                </c:pt>
                <c:pt idx="648">
                  <c:v>0.27129999999999999</c:v>
                </c:pt>
                <c:pt idx="649">
                  <c:v>0.27900000000000003</c:v>
                </c:pt>
                <c:pt idx="650">
                  <c:v>0.27310000000000001</c:v>
                </c:pt>
                <c:pt idx="651">
                  <c:v>0.2722</c:v>
                </c:pt>
                <c:pt idx="652">
                  <c:v>0.26119999999999999</c:v>
                </c:pt>
                <c:pt idx="653">
                  <c:v>0.2707</c:v>
                </c:pt>
                <c:pt idx="654">
                  <c:v>0.27479999999999999</c:v>
                </c:pt>
                <c:pt idx="655">
                  <c:v>0.28199999999999997</c:v>
                </c:pt>
                <c:pt idx="656">
                  <c:v>0.28749999999999998</c:v>
                </c:pt>
                <c:pt idx="657">
                  <c:v>0.2656</c:v>
                </c:pt>
                <c:pt idx="658">
                  <c:v>0.29549999999999998</c:v>
                </c:pt>
                <c:pt idx="659">
                  <c:v>0.28910000000000002</c:v>
                </c:pt>
                <c:pt idx="660">
                  <c:v>0.27989999999999998</c:v>
                </c:pt>
                <c:pt idx="661">
                  <c:v>0.2898</c:v>
                </c:pt>
                <c:pt idx="662">
                  <c:v>0.2606</c:v>
                </c:pt>
                <c:pt idx="663">
                  <c:v>0.26939999999999997</c:v>
                </c:pt>
                <c:pt idx="664">
                  <c:v>0.26150000000000001</c:v>
                </c:pt>
                <c:pt idx="665">
                  <c:v>0.2712</c:v>
                </c:pt>
                <c:pt idx="666">
                  <c:v>0.27039999999999997</c:v>
                </c:pt>
                <c:pt idx="667">
                  <c:v>0.2707</c:v>
                </c:pt>
                <c:pt idx="668">
                  <c:v>0.27510000000000001</c:v>
                </c:pt>
                <c:pt idx="669">
                  <c:v>0.24540000000000001</c:v>
                </c:pt>
                <c:pt idx="670">
                  <c:v>0.2555</c:v>
                </c:pt>
                <c:pt idx="671">
                  <c:v>0.25509999999999999</c:v>
                </c:pt>
                <c:pt idx="672">
                  <c:v>0.27339999999999998</c:v>
                </c:pt>
                <c:pt idx="673">
                  <c:v>0.26919999999999999</c:v>
                </c:pt>
                <c:pt idx="674">
                  <c:v>0.2787</c:v>
                </c:pt>
                <c:pt idx="675">
                  <c:v>0.2752</c:v>
                </c:pt>
                <c:pt idx="676">
                  <c:v>0.24410000000000001</c:v>
                </c:pt>
                <c:pt idx="677">
                  <c:v>0.27689999999999998</c:v>
                </c:pt>
                <c:pt idx="678">
                  <c:v>0.28870000000000001</c:v>
                </c:pt>
                <c:pt idx="679">
                  <c:v>0.26889999999999997</c:v>
                </c:pt>
                <c:pt idx="680">
                  <c:v>0.24160000000000001</c:v>
                </c:pt>
                <c:pt idx="681">
                  <c:v>0.24210000000000001</c:v>
                </c:pt>
                <c:pt idx="682">
                  <c:v>0.22989999999999999</c:v>
                </c:pt>
                <c:pt idx="683">
                  <c:v>0.24959999999999999</c:v>
                </c:pt>
                <c:pt idx="684">
                  <c:v>0.22170000000000001</c:v>
                </c:pt>
                <c:pt idx="685">
                  <c:v>0.24660000000000001</c:v>
                </c:pt>
                <c:pt idx="686">
                  <c:v>0.222</c:v>
                </c:pt>
                <c:pt idx="687">
                  <c:v>0.47460000000000002</c:v>
                </c:pt>
                <c:pt idx="688">
                  <c:v>0.49070000000000003</c:v>
                </c:pt>
                <c:pt idx="689">
                  <c:v>0.4919</c:v>
                </c:pt>
                <c:pt idx="690">
                  <c:v>0.49430000000000002</c:v>
                </c:pt>
                <c:pt idx="691">
                  <c:v>0.60770000000000002</c:v>
                </c:pt>
                <c:pt idx="692">
                  <c:v>0.64190000000000003</c:v>
                </c:pt>
                <c:pt idx="693">
                  <c:v>0.62380000000000002</c:v>
                </c:pt>
                <c:pt idx="694">
                  <c:v>0.61780000000000002</c:v>
                </c:pt>
                <c:pt idx="695">
                  <c:v>0.63370000000000004</c:v>
                </c:pt>
                <c:pt idx="696">
                  <c:v>0.62990000000000002</c:v>
                </c:pt>
                <c:pt idx="697">
                  <c:v>0.57779999999999998</c:v>
                </c:pt>
                <c:pt idx="698">
                  <c:v>0.56720000000000004</c:v>
                </c:pt>
                <c:pt idx="699">
                  <c:v>0.56699999999999995</c:v>
                </c:pt>
                <c:pt idx="700">
                  <c:v>0.58779999999999999</c:v>
                </c:pt>
                <c:pt idx="701">
                  <c:v>0.57530000000000003</c:v>
                </c:pt>
                <c:pt idx="702">
                  <c:v>0.626</c:v>
                </c:pt>
                <c:pt idx="703">
                  <c:v>0.67459999999999998</c:v>
                </c:pt>
                <c:pt idx="704">
                  <c:v>0.72860000000000003</c:v>
                </c:pt>
                <c:pt idx="705">
                  <c:v>0.69630000000000003</c:v>
                </c:pt>
                <c:pt idx="706">
                  <c:v>0.71060000000000001</c:v>
                </c:pt>
                <c:pt idx="707">
                  <c:v>0.70479999999999998</c:v>
                </c:pt>
                <c:pt idx="708">
                  <c:v>0.70789999999999997</c:v>
                </c:pt>
                <c:pt idx="709">
                  <c:v>0.77259999999999995</c:v>
                </c:pt>
                <c:pt idx="710">
                  <c:v>0.74370000000000003</c:v>
                </c:pt>
                <c:pt idx="711">
                  <c:v>0.75219999999999998</c:v>
                </c:pt>
                <c:pt idx="712">
                  <c:v>0.82120000000000004</c:v>
                </c:pt>
                <c:pt idx="713">
                  <c:v>0.93510000000000004</c:v>
                </c:pt>
                <c:pt idx="714">
                  <c:v>0.91210000000000002</c:v>
                </c:pt>
                <c:pt idx="715">
                  <c:v>0.97760000000000002</c:v>
                </c:pt>
                <c:pt idx="716">
                  <c:v>0.93140000000000001</c:v>
                </c:pt>
                <c:pt idx="717">
                  <c:v>0.87939999999999996</c:v>
                </c:pt>
                <c:pt idx="718">
                  <c:v>0.82930000000000004</c:v>
                </c:pt>
                <c:pt idx="719">
                  <c:v>0.80479999999999996</c:v>
                </c:pt>
                <c:pt idx="720">
                  <c:v>0.82789999999999997</c:v>
                </c:pt>
                <c:pt idx="721">
                  <c:v>0.74550000000000005</c:v>
                </c:pt>
                <c:pt idx="722">
                  <c:v>0.75090000000000001</c:v>
                </c:pt>
                <c:pt idx="723">
                  <c:v>0.72109999999999996</c:v>
                </c:pt>
                <c:pt idx="724">
                  <c:v>0.74019999999999997</c:v>
                </c:pt>
                <c:pt idx="725">
                  <c:v>0.76759999999999995</c:v>
                </c:pt>
                <c:pt idx="726">
                  <c:v>0.8085</c:v>
                </c:pt>
                <c:pt idx="727">
                  <c:v>0.72729999999999995</c:v>
                </c:pt>
                <c:pt idx="728">
                  <c:v>0.69120000000000004</c:v>
                </c:pt>
                <c:pt idx="729">
                  <c:v>0.65549999999999997</c:v>
                </c:pt>
                <c:pt idx="730">
                  <c:v>0.62949999999999995</c:v>
                </c:pt>
                <c:pt idx="731">
                  <c:v>0.63390000000000002</c:v>
                </c:pt>
                <c:pt idx="732">
                  <c:v>0.6149</c:v>
                </c:pt>
                <c:pt idx="733">
                  <c:v>0.61099999999999999</c:v>
                </c:pt>
                <c:pt idx="734">
                  <c:v>0.61499999999999999</c:v>
                </c:pt>
                <c:pt idx="735">
                  <c:v>0.59219999999999995</c:v>
                </c:pt>
                <c:pt idx="736">
                  <c:v>0.59340000000000004</c:v>
                </c:pt>
                <c:pt idx="737">
                  <c:v>0.60209999999999997</c:v>
                </c:pt>
                <c:pt idx="738">
                  <c:v>0.58899999999999997</c:v>
                </c:pt>
                <c:pt idx="739">
                  <c:v>0.58599999999999997</c:v>
                </c:pt>
                <c:pt idx="740">
                  <c:v>0.63039999999999996</c:v>
                </c:pt>
                <c:pt idx="741">
                  <c:v>0.63019999999999998</c:v>
                </c:pt>
                <c:pt idx="742">
                  <c:v>0.60309999999999997</c:v>
                </c:pt>
                <c:pt idx="743">
                  <c:v>0.60070000000000001</c:v>
                </c:pt>
                <c:pt idx="744">
                  <c:v>0.60809999999999997</c:v>
                </c:pt>
                <c:pt idx="745">
                  <c:v>0.52939999999999998</c:v>
                </c:pt>
                <c:pt idx="746">
                  <c:v>0.54500000000000004</c:v>
                </c:pt>
                <c:pt idx="747">
                  <c:v>0.53449999999999998</c:v>
                </c:pt>
                <c:pt idx="748">
                  <c:v>0.53539999999999999</c:v>
                </c:pt>
                <c:pt idx="749">
                  <c:v>0.52470000000000006</c:v>
                </c:pt>
                <c:pt idx="750">
                  <c:v>0.53220000000000001</c:v>
                </c:pt>
                <c:pt idx="751">
                  <c:v>0.56059999999999999</c:v>
                </c:pt>
                <c:pt idx="752">
                  <c:v>0.61</c:v>
                </c:pt>
                <c:pt idx="753">
                  <c:v>0.57979999999999998</c:v>
                </c:pt>
                <c:pt idx="754">
                  <c:v>0.52349999999999997</c:v>
                </c:pt>
                <c:pt idx="755">
                  <c:v>0.53810000000000002</c:v>
                </c:pt>
                <c:pt idx="756">
                  <c:v>0.51990000000000003</c:v>
                </c:pt>
                <c:pt idx="757">
                  <c:v>0.54420000000000002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2A-4081-8F71-542E94B4076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-4.6152352363314169</c:v>
                </c:pt>
                <c:pt idx="1">
                  <c:v>-4.6140467940549934</c:v>
                </c:pt>
                <c:pt idx="2">
                  <c:v>-4.5975302462710594</c:v>
                </c:pt>
                <c:pt idx="3">
                  <c:v>-4.6070407029082281</c:v>
                </c:pt>
                <c:pt idx="4">
                  <c:v>-4.628241591510788</c:v>
                </c:pt>
                <c:pt idx="5">
                  <c:v>-4.6388204209474075</c:v>
                </c:pt>
                <c:pt idx="6">
                  <c:v>-4.6527284602188361</c:v>
                </c:pt>
                <c:pt idx="7">
                  <c:v>-4.6037196748921616</c:v>
                </c:pt>
                <c:pt idx="8">
                  <c:v>-4.5854238561978384</c:v>
                </c:pt>
                <c:pt idx="9">
                  <c:v>-4.5886709455074151</c:v>
                </c:pt>
                <c:pt idx="10">
                  <c:v>-4.5649280670448649</c:v>
                </c:pt>
                <c:pt idx="11">
                  <c:v>-4.562047911391371</c:v>
                </c:pt>
                <c:pt idx="12">
                  <c:v>-4.5539736274291061</c:v>
                </c:pt>
                <c:pt idx="13">
                  <c:v>-4.5511877437927426</c:v>
                </c:pt>
                <c:pt idx="14">
                  <c:v>-4.5590630358946527</c:v>
                </c:pt>
                <c:pt idx="15">
                  <c:v>-4.5420972421446528</c:v>
                </c:pt>
                <c:pt idx="16">
                  <c:v>-4.5533842431475184</c:v>
                </c:pt>
                <c:pt idx="17">
                  <c:v>-4.5679089229775469</c:v>
                </c:pt>
                <c:pt idx="18">
                  <c:v>-4.5672607151869453</c:v>
                </c:pt>
                <c:pt idx="19">
                  <c:v>-4.5642926748825978</c:v>
                </c:pt>
                <c:pt idx="20">
                  <c:v>-4.5205612657465144</c:v>
                </c:pt>
                <c:pt idx="21">
                  <c:v>-4.5070398952557174</c:v>
                </c:pt>
                <c:pt idx="22">
                  <c:v>-4.4993314842396739</c:v>
                </c:pt>
                <c:pt idx="23">
                  <c:v>-4.4761247898418386</c:v>
                </c:pt>
                <c:pt idx="24">
                  <c:v>-4.4706271244572244</c:v>
                </c:pt>
                <c:pt idx="25">
                  <c:v>-4.4500468426100905</c:v>
                </c:pt>
                <c:pt idx="26">
                  <c:v>-4.4614090875966133</c:v>
                </c:pt>
                <c:pt idx="27">
                  <c:v>-4.4687729540068695</c:v>
                </c:pt>
                <c:pt idx="28">
                  <c:v>-4.4533088661896105</c:v>
                </c:pt>
                <c:pt idx="29">
                  <c:v>-4.4569406304753247</c:v>
                </c:pt>
                <c:pt idx="30">
                  <c:v>-4.4211316828009064</c:v>
                </c:pt>
                <c:pt idx="31">
                  <c:v>-4.372707324994999</c:v>
                </c:pt>
                <c:pt idx="32">
                  <c:v>-4.3143313681350959</c:v>
                </c:pt>
                <c:pt idx="33">
                  <c:v>-4.3226920165184675</c:v>
                </c:pt>
                <c:pt idx="34">
                  <c:v>-4.3082452528087902</c:v>
                </c:pt>
                <c:pt idx="35">
                  <c:v>-4.2575975360520335</c:v>
                </c:pt>
                <c:pt idx="36">
                  <c:v>-4.2564851745875982</c:v>
                </c:pt>
                <c:pt idx="37">
                  <c:v>-4.2158717335471367</c:v>
                </c:pt>
                <c:pt idx="38">
                  <c:v>-4.2222872739819186</c:v>
                </c:pt>
                <c:pt idx="39">
                  <c:v>-4.2357806633786277</c:v>
                </c:pt>
                <c:pt idx="40">
                  <c:v>-4.1584713416655967</c:v>
                </c:pt>
                <c:pt idx="41">
                  <c:v>-4.0639630774474629</c:v>
                </c:pt>
                <c:pt idx="42">
                  <c:v>-4.0389369425793458</c:v>
                </c:pt>
                <c:pt idx="43">
                  <c:v>-4.0292489798283677</c:v>
                </c:pt>
                <c:pt idx="44">
                  <c:v>-4.0594078291695102</c:v>
                </c:pt>
                <c:pt idx="45">
                  <c:v>-4.0260390959575192</c:v>
                </c:pt>
                <c:pt idx="46">
                  <c:v>-3.9763870483754293</c:v>
                </c:pt>
                <c:pt idx="47">
                  <c:v>-3.9574573711048409</c:v>
                </c:pt>
                <c:pt idx="48">
                  <c:v>-3.9597577997715079</c:v>
                </c:pt>
                <c:pt idx="49">
                  <c:v>-3.9022831197248884</c:v>
                </c:pt>
                <c:pt idx="50">
                  <c:v>-3.8168217664209232</c:v>
                </c:pt>
                <c:pt idx="51">
                  <c:v>-3.8291537193393075</c:v>
                </c:pt>
                <c:pt idx="52">
                  <c:v>-3.7928636835908049</c:v>
                </c:pt>
                <c:pt idx="53">
                  <c:v>-3.7820875304877606</c:v>
                </c:pt>
                <c:pt idx="54">
                  <c:v>-3.8325854297381277</c:v>
                </c:pt>
                <c:pt idx="55">
                  <c:v>-3.6085876838508222</c:v>
                </c:pt>
                <c:pt idx="56">
                  <c:v>-2.5556593439954969</c:v>
                </c:pt>
                <c:pt idx="57">
                  <c:v>-2.5542458718743535</c:v>
                </c:pt>
                <c:pt idx="58">
                  <c:v>-2.5314661595214121</c:v>
                </c:pt>
                <c:pt idx="59">
                  <c:v>-2.42911936925187</c:v>
                </c:pt>
                <c:pt idx="60">
                  <c:v>-2.445190654168071</c:v>
                </c:pt>
                <c:pt idx="61">
                  <c:v>-2.4547064141680712</c:v>
                </c:pt>
                <c:pt idx="62">
                  <c:v>-2.4366386990833253</c:v>
                </c:pt>
                <c:pt idx="63">
                  <c:v>-2.4185415562030661</c:v>
                </c:pt>
                <c:pt idx="64">
                  <c:v>-2.4368639695545649</c:v>
                </c:pt>
                <c:pt idx="65">
                  <c:v>-2.4326743998713067</c:v>
                </c:pt>
                <c:pt idx="66">
                  <c:v>-2.4321588884919971</c:v>
                </c:pt>
                <c:pt idx="67">
                  <c:v>-2.4509201027219314</c:v>
                </c:pt>
                <c:pt idx="68">
                  <c:v>-2.2321666275774228</c:v>
                </c:pt>
                <c:pt idx="69">
                  <c:v>-2.2460012726250898</c:v>
                </c:pt>
                <c:pt idx="70">
                  <c:v>-2.2656359522404741</c:v>
                </c:pt>
                <c:pt idx="71">
                  <c:v>-2.2488447948211192</c:v>
                </c:pt>
                <c:pt idx="72">
                  <c:v>-2.2597647993709979</c:v>
                </c:pt>
                <c:pt idx="73">
                  <c:v>-2.2343081978732009</c:v>
                </c:pt>
                <c:pt idx="74">
                  <c:v>-2.2190730641132004</c:v>
                </c:pt>
                <c:pt idx="75">
                  <c:v>-2.2112537314501575</c:v>
                </c:pt>
                <c:pt idx="76">
                  <c:v>-2.2314680751301572</c:v>
                </c:pt>
                <c:pt idx="77">
                  <c:v>-2.2140847318566146</c:v>
                </c:pt>
                <c:pt idx="78">
                  <c:v>-2.2433649572695753</c:v>
                </c:pt>
                <c:pt idx="79">
                  <c:v>-2.2122994496424568</c:v>
                </c:pt>
                <c:pt idx="80">
                  <c:v>-2.2430501438877402</c:v>
                </c:pt>
                <c:pt idx="81">
                  <c:v>-2.2447320957125574</c:v>
                </c:pt>
                <c:pt idx="82">
                  <c:v>-2.2474841680880364</c:v>
                </c:pt>
                <c:pt idx="83">
                  <c:v>-2.2495490934440734</c:v>
                </c:pt>
                <c:pt idx="84">
                  <c:v>-2.2277133214440736</c:v>
                </c:pt>
                <c:pt idx="85">
                  <c:v>-2.2337924535428391</c:v>
                </c:pt>
                <c:pt idx="86">
                  <c:v>-2.2374155188369569</c:v>
                </c:pt>
                <c:pt idx="87">
                  <c:v>-2.2272751152316435</c:v>
                </c:pt>
                <c:pt idx="88">
                  <c:v>-2.2229216126800035</c:v>
                </c:pt>
                <c:pt idx="89">
                  <c:v>-2.2177374028046137</c:v>
                </c:pt>
                <c:pt idx="90">
                  <c:v>-2.2062366298746778</c:v>
                </c:pt>
                <c:pt idx="91">
                  <c:v>-2.1903473238493611</c:v>
                </c:pt>
                <c:pt idx="92">
                  <c:v>-2.1878575413867987</c:v>
                </c:pt>
                <c:pt idx="93">
                  <c:v>-2.1513458888985362</c:v>
                </c:pt>
                <c:pt idx="94">
                  <c:v>-2.1345485783294302</c:v>
                </c:pt>
                <c:pt idx="95">
                  <c:v>-2.1226617249960968</c:v>
                </c:pt>
                <c:pt idx="96">
                  <c:v>-2.1076486017075062</c:v>
                </c:pt>
                <c:pt idx="97">
                  <c:v>-2.0964019453994376</c:v>
                </c:pt>
                <c:pt idx="98">
                  <c:v>-2.0679277014273119</c:v>
                </c:pt>
                <c:pt idx="99">
                  <c:v>-2.0149414396091303</c:v>
                </c:pt>
                <c:pt idx="100">
                  <c:v>-2.0360155841893954</c:v>
                </c:pt>
                <c:pt idx="101">
                  <c:v>-2.0195744607770729</c:v>
                </c:pt>
                <c:pt idx="102">
                  <c:v>-2.0022545458493042</c:v>
                </c:pt>
                <c:pt idx="103">
                  <c:v>-1.9999254328134337</c:v>
                </c:pt>
                <c:pt idx="104">
                  <c:v>-2.0127851963552694</c:v>
                </c:pt>
                <c:pt idx="105">
                  <c:v>-1.9508818189524426</c:v>
                </c:pt>
                <c:pt idx="106">
                  <c:v>-1.9404437335026794</c:v>
                </c:pt>
                <c:pt idx="107">
                  <c:v>-1.9300496659227708</c:v>
                </c:pt>
                <c:pt idx="108">
                  <c:v>-1.8763518151820302</c:v>
                </c:pt>
                <c:pt idx="109">
                  <c:v>-1.8423781030220303</c:v>
                </c:pt>
                <c:pt idx="110">
                  <c:v>-1.8199953620593583</c:v>
                </c:pt>
                <c:pt idx="111">
                  <c:v>-1.7480486288577775</c:v>
                </c:pt>
                <c:pt idx="112">
                  <c:v>-1.4360399334461016</c:v>
                </c:pt>
                <c:pt idx="113">
                  <c:v>-1.4328295824461015</c:v>
                </c:pt>
                <c:pt idx="114">
                  <c:v>-1.4492187995477708</c:v>
                </c:pt>
                <c:pt idx="115">
                  <c:v>-1.446164107131318</c:v>
                </c:pt>
                <c:pt idx="116">
                  <c:v>-1.4579108878799811</c:v>
                </c:pt>
                <c:pt idx="117">
                  <c:v>-1.4288286061721158</c:v>
                </c:pt>
                <c:pt idx="118">
                  <c:v>-1.4104667277989102</c:v>
                </c:pt>
                <c:pt idx="119">
                  <c:v>-1.4356502771145836</c:v>
                </c:pt>
                <c:pt idx="120">
                  <c:v>-1.414571141488048</c:v>
                </c:pt>
                <c:pt idx="121">
                  <c:v>-1.4032937422901868</c:v>
                </c:pt>
                <c:pt idx="122">
                  <c:v>-1.3762046293065806</c:v>
                </c:pt>
                <c:pt idx="123">
                  <c:v>-1.3574862118590281</c:v>
                </c:pt>
                <c:pt idx="124">
                  <c:v>-1.3528303204209955</c:v>
                </c:pt>
                <c:pt idx="125">
                  <c:v>-1.3677972526264337</c:v>
                </c:pt>
                <c:pt idx="126">
                  <c:v>-1.3428771243245468</c:v>
                </c:pt>
                <c:pt idx="127">
                  <c:v>-1.3518754406237592</c:v>
                </c:pt>
                <c:pt idx="128">
                  <c:v>-1.3817161852531901</c:v>
                </c:pt>
                <c:pt idx="129">
                  <c:v>-1.3582382316863189</c:v>
                </c:pt>
                <c:pt idx="130">
                  <c:v>-1.3481102570138297</c:v>
                </c:pt>
                <c:pt idx="131">
                  <c:v>-1.3311044088594672</c:v>
                </c:pt>
                <c:pt idx="132">
                  <c:v>-1.3392348113481551</c:v>
                </c:pt>
                <c:pt idx="133">
                  <c:v>-1.3170574681382785</c:v>
                </c:pt>
                <c:pt idx="134">
                  <c:v>-1.2817726701665197</c:v>
                </c:pt>
                <c:pt idx="135">
                  <c:v>-1.2948824911980383</c:v>
                </c:pt>
                <c:pt idx="136">
                  <c:v>-1.2999392580273064</c:v>
                </c:pt>
                <c:pt idx="137">
                  <c:v>-1.2873150435445477</c:v>
                </c:pt>
                <c:pt idx="138">
                  <c:v>-1.2955632902239369</c:v>
                </c:pt>
                <c:pt idx="139">
                  <c:v>-1.2937455502466384</c:v>
                </c:pt>
                <c:pt idx="140">
                  <c:v>-1.2172177020150596</c:v>
                </c:pt>
                <c:pt idx="141">
                  <c:v>-1.2504819388571649</c:v>
                </c:pt>
                <c:pt idx="142">
                  <c:v>-1.2587389614560347</c:v>
                </c:pt>
                <c:pt idx="143">
                  <c:v>-1.2009117530520819</c:v>
                </c:pt>
                <c:pt idx="144">
                  <c:v>-1.2302540287298069</c:v>
                </c:pt>
                <c:pt idx="145">
                  <c:v>-1.2360226179605762</c:v>
                </c:pt>
                <c:pt idx="146">
                  <c:v>-1.2787166640893641</c:v>
                </c:pt>
                <c:pt idx="147">
                  <c:v>-1.2794286660257037</c:v>
                </c:pt>
                <c:pt idx="148">
                  <c:v>-1.2373509070974338</c:v>
                </c:pt>
                <c:pt idx="149">
                  <c:v>-1.2646188322845995</c:v>
                </c:pt>
                <c:pt idx="150">
                  <c:v>-1.2408164912220994</c:v>
                </c:pt>
                <c:pt idx="151">
                  <c:v>-1.2184944766766448</c:v>
                </c:pt>
                <c:pt idx="152">
                  <c:v>-1.216449986189406</c:v>
                </c:pt>
                <c:pt idx="153">
                  <c:v>-1.1938982692821893</c:v>
                </c:pt>
                <c:pt idx="154">
                  <c:v>-1.2307401830821894</c:v>
                </c:pt>
                <c:pt idx="155">
                  <c:v>-1.1831103940199883</c:v>
                </c:pt>
                <c:pt idx="156">
                  <c:v>-1.2114220724056199</c:v>
                </c:pt>
                <c:pt idx="157">
                  <c:v>-1.1923525064968052</c:v>
                </c:pt>
                <c:pt idx="158">
                  <c:v>-1.1773509622238287</c:v>
                </c:pt>
                <c:pt idx="159">
                  <c:v>-1.1820798726544168</c:v>
                </c:pt>
                <c:pt idx="160">
                  <c:v>-1.1602227622018868</c:v>
                </c:pt>
                <c:pt idx="161">
                  <c:v>-1.1597452865957014</c:v>
                </c:pt>
                <c:pt idx="162">
                  <c:v>-1.1938223993444563</c:v>
                </c:pt>
                <c:pt idx="163">
                  <c:v>-1.1811154264958945</c:v>
                </c:pt>
                <c:pt idx="164">
                  <c:v>-1.1352961909300918</c:v>
                </c:pt>
                <c:pt idx="165">
                  <c:v>-1.0893055689694511</c:v>
                </c:pt>
                <c:pt idx="166">
                  <c:v>-1.1130455252664624</c:v>
                </c:pt>
                <c:pt idx="167">
                  <c:v>-1.1708431343472316</c:v>
                </c:pt>
                <c:pt idx="168">
                  <c:v>-1.1941701747738374</c:v>
                </c:pt>
                <c:pt idx="169">
                  <c:v>-1.177138478909534</c:v>
                </c:pt>
                <c:pt idx="170">
                  <c:v>-1.177138478909534</c:v>
                </c:pt>
                <c:pt idx="171">
                  <c:v>-1.1761942648668042</c:v>
                </c:pt>
                <c:pt idx="172">
                  <c:v>-1.1481254197150275</c:v>
                </c:pt>
                <c:pt idx="173">
                  <c:v>-1.1750688585363902</c:v>
                </c:pt>
                <c:pt idx="174">
                  <c:v>-1.1285007037788148</c:v>
                </c:pt>
                <c:pt idx="175">
                  <c:v>-1.1110624758385825</c:v>
                </c:pt>
                <c:pt idx="176">
                  <c:v>-1.1410998615212271</c:v>
                </c:pt>
                <c:pt idx="177">
                  <c:v>-1.1565079748056397</c:v>
                </c:pt>
                <c:pt idx="178">
                  <c:v>-1.1546065221652384</c:v>
                </c:pt>
                <c:pt idx="179">
                  <c:v>-1.1583023207400684</c:v>
                </c:pt>
                <c:pt idx="180">
                  <c:v>-1.1285900331392571</c:v>
                </c:pt>
                <c:pt idx="181">
                  <c:v>-1.1487606124680638</c:v>
                </c:pt>
                <c:pt idx="182">
                  <c:v>-1.1885775494883124</c:v>
                </c:pt>
                <c:pt idx="183">
                  <c:v>-1.1919421983584031</c:v>
                </c:pt>
                <c:pt idx="184">
                  <c:v>-1.1774284011476437</c:v>
                </c:pt>
                <c:pt idx="185">
                  <c:v>-1.1893814811476435</c:v>
                </c:pt>
                <c:pt idx="186">
                  <c:v>-1.1416487019108978</c:v>
                </c:pt>
                <c:pt idx="187">
                  <c:v>-1.1446635514240944</c:v>
                </c:pt>
                <c:pt idx="188">
                  <c:v>-1.109616829698916</c:v>
                </c:pt>
                <c:pt idx="189">
                  <c:v>-1.1105863047499505</c:v>
                </c:pt>
                <c:pt idx="190">
                  <c:v>-1.1113154626362165</c:v>
                </c:pt>
                <c:pt idx="191">
                  <c:v>-1.1220375271431611</c:v>
                </c:pt>
                <c:pt idx="192">
                  <c:v>-1.1041167317669529</c:v>
                </c:pt>
                <c:pt idx="193">
                  <c:v>-1.0854255366981003</c:v>
                </c:pt>
                <c:pt idx="194">
                  <c:v>-1.0566429820452001</c:v>
                </c:pt>
                <c:pt idx="195">
                  <c:v>-1.0303452892607559</c:v>
                </c:pt>
                <c:pt idx="196">
                  <c:v>-0.99521110526364198</c:v>
                </c:pt>
                <c:pt idx="197">
                  <c:v>-0.94428083648653716</c:v>
                </c:pt>
                <c:pt idx="198">
                  <c:v>-0.96369257962845334</c:v>
                </c:pt>
                <c:pt idx="199">
                  <c:v>-0.92584245088267558</c:v>
                </c:pt>
                <c:pt idx="200">
                  <c:v>-0.88834941534211342</c:v>
                </c:pt>
                <c:pt idx="201">
                  <c:v>-0.67343115634865103</c:v>
                </c:pt>
                <c:pt idx="202">
                  <c:v>-0.70103868787762624</c:v>
                </c:pt>
                <c:pt idx="203">
                  <c:v>-0.71715868213137213</c:v>
                </c:pt>
                <c:pt idx="204">
                  <c:v>-0.68827784675117398</c:v>
                </c:pt>
                <c:pt idx="205">
                  <c:v>-0.65545481309925913</c:v>
                </c:pt>
                <c:pt idx="206">
                  <c:v>-0.65218722532009243</c:v>
                </c:pt>
                <c:pt idx="207">
                  <c:v>-0.59609894218618842</c:v>
                </c:pt>
                <c:pt idx="208">
                  <c:v>-0.64712287992950046</c:v>
                </c:pt>
                <c:pt idx="209">
                  <c:v>-0.65408646826003936</c:v>
                </c:pt>
                <c:pt idx="210">
                  <c:v>-0.66860058399185762</c:v>
                </c:pt>
                <c:pt idx="211">
                  <c:v>-0.66081409936636748</c:v>
                </c:pt>
                <c:pt idx="212">
                  <c:v>-0.66012620009691803</c:v>
                </c:pt>
                <c:pt idx="213">
                  <c:v>-0.66616962830924031</c:v>
                </c:pt>
                <c:pt idx="214">
                  <c:v>-0.66503519672322642</c:v>
                </c:pt>
                <c:pt idx="215">
                  <c:v>-0.68564675740345904</c:v>
                </c:pt>
                <c:pt idx="216">
                  <c:v>-0.68532871522395078</c:v>
                </c:pt>
                <c:pt idx="217">
                  <c:v>-0.66740786811390818</c:v>
                </c:pt>
                <c:pt idx="218">
                  <c:v>-0.68766337293478741</c:v>
                </c:pt>
                <c:pt idx="219">
                  <c:v>-0.68846411807177132</c:v>
                </c:pt>
                <c:pt idx="220">
                  <c:v>-0.67898158120220597</c:v>
                </c:pt>
                <c:pt idx="221">
                  <c:v>-0.65036074767802388</c:v>
                </c:pt>
                <c:pt idx="222">
                  <c:v>-0.65160959734069068</c:v>
                </c:pt>
                <c:pt idx="223">
                  <c:v>-0.64101014611381057</c:v>
                </c:pt>
                <c:pt idx="224">
                  <c:v>-0.65010583678009315</c:v>
                </c:pt>
                <c:pt idx="225">
                  <c:v>-0.64357479326853129</c:v>
                </c:pt>
                <c:pt idx="226">
                  <c:v>-0.62840381339817541</c:v>
                </c:pt>
                <c:pt idx="227">
                  <c:v>-0.61208052390355472</c:v>
                </c:pt>
                <c:pt idx="228">
                  <c:v>-0.61556091146594005</c:v>
                </c:pt>
                <c:pt idx="229">
                  <c:v>-0.63677151614858063</c:v>
                </c:pt>
                <c:pt idx="230">
                  <c:v>-0.64488393219887652</c:v>
                </c:pt>
                <c:pt idx="231">
                  <c:v>-0.6115607542934457</c:v>
                </c:pt>
                <c:pt idx="232">
                  <c:v>-0.60694954675048007</c:v>
                </c:pt>
                <c:pt idx="233">
                  <c:v>-0.63248693959423008</c:v>
                </c:pt>
                <c:pt idx="234">
                  <c:v>-0.65715865161988352</c:v>
                </c:pt>
                <c:pt idx="235">
                  <c:v>-0.62166426295203125</c:v>
                </c:pt>
                <c:pt idx="236">
                  <c:v>-0.63332081287724862</c:v>
                </c:pt>
                <c:pt idx="237">
                  <c:v>-0.61052455105521475</c:v>
                </c:pt>
                <c:pt idx="238">
                  <c:v>-0.58204833257671273</c:v>
                </c:pt>
                <c:pt idx="239">
                  <c:v>-0.58069478264668717</c:v>
                </c:pt>
                <c:pt idx="240">
                  <c:v>-0.55498876778416617</c:v>
                </c:pt>
                <c:pt idx="241">
                  <c:v>-0.61667585622144572</c:v>
                </c:pt>
                <c:pt idx="242">
                  <c:v>-0.64820472683928976</c:v>
                </c:pt>
                <c:pt idx="243">
                  <c:v>-0.65349713915062169</c:v>
                </c:pt>
                <c:pt idx="244">
                  <c:v>-0.5392393691263665</c:v>
                </c:pt>
                <c:pt idx="245">
                  <c:v>-0.57362972696573</c:v>
                </c:pt>
                <c:pt idx="246">
                  <c:v>-0.57134678941439931</c:v>
                </c:pt>
                <c:pt idx="247">
                  <c:v>-0.58523481720198478</c:v>
                </c:pt>
                <c:pt idx="248">
                  <c:v>-0.62202503911538254</c:v>
                </c:pt>
                <c:pt idx="249">
                  <c:v>-0.65567525903424106</c:v>
                </c:pt>
                <c:pt idx="250">
                  <c:v>-0.64028131676028999</c:v>
                </c:pt>
                <c:pt idx="251">
                  <c:v>-0.63361552371842944</c:v>
                </c:pt>
                <c:pt idx="252">
                  <c:v>-0.60823632878260681</c:v>
                </c:pt>
                <c:pt idx="253">
                  <c:v>-0.65428452164293593</c:v>
                </c:pt>
                <c:pt idx="254">
                  <c:v>-0.60540128012805594</c:v>
                </c:pt>
                <c:pt idx="255">
                  <c:v>-0.57955127988557809</c:v>
                </c:pt>
                <c:pt idx="256">
                  <c:v>-0.5677129755741922</c:v>
                </c:pt>
                <c:pt idx="257">
                  <c:v>-0.60747908485851276</c:v>
                </c:pt>
                <c:pt idx="258">
                  <c:v>-0.5604346982844387</c:v>
                </c:pt>
                <c:pt idx="259">
                  <c:v>-0.52684958358732803</c:v>
                </c:pt>
                <c:pt idx="260">
                  <c:v>-0.57360469158391036</c:v>
                </c:pt>
                <c:pt idx="261">
                  <c:v>-0.5054244686856938</c:v>
                </c:pt>
                <c:pt idx="262">
                  <c:v>-0.51250301956392963</c:v>
                </c:pt>
                <c:pt idx="263">
                  <c:v>-0.48678763022042343</c:v>
                </c:pt>
                <c:pt idx="264">
                  <c:v>-0.48861697058643649</c:v>
                </c:pt>
                <c:pt idx="265">
                  <c:v>-0.45029358951895909</c:v>
                </c:pt>
                <c:pt idx="266">
                  <c:v>-0.47141555986075345</c:v>
                </c:pt>
                <c:pt idx="267">
                  <c:v>-0.46311493062183456</c:v>
                </c:pt>
                <c:pt idx="268">
                  <c:v>-0.48575325905536232</c:v>
                </c:pt>
                <c:pt idx="269">
                  <c:v>-0.42079385372032274</c:v>
                </c:pt>
                <c:pt idx="270">
                  <c:v>-0.37682323675091978</c:v>
                </c:pt>
                <c:pt idx="271">
                  <c:v>-0.37518608000002035</c:v>
                </c:pt>
                <c:pt idx="272">
                  <c:v>-0.411099358237482</c:v>
                </c:pt>
                <c:pt idx="273">
                  <c:v>-0.40889298348763126</c:v>
                </c:pt>
                <c:pt idx="274">
                  <c:v>-0.45941647156901072</c:v>
                </c:pt>
                <c:pt idx="275">
                  <c:v>-0.44382315190920629</c:v>
                </c:pt>
                <c:pt idx="276">
                  <c:v>-0.45474137440920637</c:v>
                </c:pt>
                <c:pt idx="277">
                  <c:v>-0.49095631341341689</c:v>
                </c:pt>
                <c:pt idx="278">
                  <c:v>-0.47125685431721809</c:v>
                </c:pt>
                <c:pt idx="279">
                  <c:v>-0.42847192937830492</c:v>
                </c:pt>
                <c:pt idx="280">
                  <c:v>-0.4493246822909322</c:v>
                </c:pt>
                <c:pt idx="281">
                  <c:v>-0.38899981229776326</c:v>
                </c:pt>
                <c:pt idx="282">
                  <c:v>-0.35537765096928237</c:v>
                </c:pt>
                <c:pt idx="283">
                  <c:v>-0.38708606610799201</c:v>
                </c:pt>
                <c:pt idx="284">
                  <c:v>-0.3471795318566086</c:v>
                </c:pt>
                <c:pt idx="285">
                  <c:v>-0.34858847997418885</c:v>
                </c:pt>
                <c:pt idx="286">
                  <c:v>-0.36962345349746151</c:v>
                </c:pt>
                <c:pt idx="287">
                  <c:v>-0.33481136807972239</c:v>
                </c:pt>
                <c:pt idx="288">
                  <c:v>-0.33585874600376442</c:v>
                </c:pt>
                <c:pt idx="289">
                  <c:v>-0.27750721994991434</c:v>
                </c:pt>
                <c:pt idx="290">
                  <c:v>-0.46053403315724134</c:v>
                </c:pt>
                <c:pt idx="291">
                  <c:v>-0.38140287410283014</c:v>
                </c:pt>
                <c:pt idx="292">
                  <c:v>-0.11948164001083635</c:v>
                </c:pt>
                <c:pt idx="293">
                  <c:v>-0.13797317475471821</c:v>
                </c:pt>
                <c:pt idx="294">
                  <c:v>-0.13151239789850261</c:v>
                </c:pt>
                <c:pt idx="295">
                  <c:v>-0.15673062745229574</c:v>
                </c:pt>
                <c:pt idx="296">
                  <c:v>-0.15562672831052138</c:v>
                </c:pt>
                <c:pt idx="297">
                  <c:v>-0.13782797217069842</c:v>
                </c:pt>
                <c:pt idx="298">
                  <c:v>-0.16662781775085328</c:v>
                </c:pt>
                <c:pt idx="299">
                  <c:v>-0.19435775140765826</c:v>
                </c:pt>
                <c:pt idx="300">
                  <c:v>-0.15705871621218159</c:v>
                </c:pt>
                <c:pt idx="301">
                  <c:v>-0.13391456135049495</c:v>
                </c:pt>
                <c:pt idx="302">
                  <c:v>-0.11549840555352527</c:v>
                </c:pt>
                <c:pt idx="303">
                  <c:v>-8.1286442547169338E-2</c:v>
                </c:pt>
                <c:pt idx="304">
                  <c:v>-0.13778528823682448</c:v>
                </c:pt>
                <c:pt idx="305">
                  <c:v>-0.16431556514471921</c:v>
                </c:pt>
                <c:pt idx="306">
                  <c:v>-0.22484216253580053</c:v>
                </c:pt>
                <c:pt idx="307">
                  <c:v>-0.20688288538676219</c:v>
                </c:pt>
                <c:pt idx="308">
                  <c:v>-0.22558168246676213</c:v>
                </c:pt>
                <c:pt idx="309">
                  <c:v>-0.24432377237693159</c:v>
                </c:pt>
                <c:pt idx="310">
                  <c:v>-0.18149706361896384</c:v>
                </c:pt>
                <c:pt idx="311">
                  <c:v>-0.14745184667628344</c:v>
                </c:pt>
                <c:pt idx="312">
                  <c:v>-4.3410602663067559E-2</c:v>
                </c:pt>
                <c:pt idx="313">
                  <c:v>-0.13912732139838574</c:v>
                </c:pt>
                <c:pt idx="314">
                  <c:v>-8.9787353104442427E-2</c:v>
                </c:pt>
                <c:pt idx="315">
                  <c:v>-0.12522663442710918</c:v>
                </c:pt>
                <c:pt idx="316">
                  <c:v>-0.15067832920589522</c:v>
                </c:pt>
                <c:pt idx="317">
                  <c:v>-0.1333561448561168</c:v>
                </c:pt>
                <c:pt idx="318">
                  <c:v>-0.1739222661701168</c:v>
                </c:pt>
                <c:pt idx="319">
                  <c:v>-0.1995093575526555</c:v>
                </c:pt>
                <c:pt idx="320">
                  <c:v>-0.11690861852639238</c:v>
                </c:pt>
                <c:pt idx="321">
                  <c:v>-0.14763205785619854</c:v>
                </c:pt>
                <c:pt idx="322">
                  <c:v>-0.14358157061299365</c:v>
                </c:pt>
                <c:pt idx="323">
                  <c:v>-0.13790836423895411</c:v>
                </c:pt>
                <c:pt idx="324">
                  <c:v>-9.0324668066245187E-2</c:v>
                </c:pt>
                <c:pt idx="325">
                  <c:v>-0.12325993756701191</c:v>
                </c:pt>
                <c:pt idx="326">
                  <c:v>-0.15404403556808949</c:v>
                </c:pt>
                <c:pt idx="327">
                  <c:v>-0.16867505382279793</c:v>
                </c:pt>
                <c:pt idx="328">
                  <c:v>-0.1791188377555897</c:v>
                </c:pt>
                <c:pt idx="329">
                  <c:v>-0.19893386400933974</c:v>
                </c:pt>
                <c:pt idx="330">
                  <c:v>-0.18765248520305697</c:v>
                </c:pt>
                <c:pt idx="331">
                  <c:v>-0.19860557801281312</c:v>
                </c:pt>
                <c:pt idx="332">
                  <c:v>-0.19454143153572975</c:v>
                </c:pt>
                <c:pt idx="333">
                  <c:v>-0.21166311268700835</c:v>
                </c:pt>
                <c:pt idx="334">
                  <c:v>-0.21007380967409076</c:v>
                </c:pt>
                <c:pt idx="335">
                  <c:v>-0.21502831368037653</c:v>
                </c:pt>
                <c:pt idx="336">
                  <c:v>-0.19589475799006242</c:v>
                </c:pt>
                <c:pt idx="337">
                  <c:v>-0.1698312090151364</c:v>
                </c:pt>
                <c:pt idx="338">
                  <c:v>-0.15170730459806323</c:v>
                </c:pt>
                <c:pt idx="339">
                  <c:v>-0.12787904008723752</c:v>
                </c:pt>
                <c:pt idx="340">
                  <c:v>-0.10723467367638165</c:v>
                </c:pt>
                <c:pt idx="341">
                  <c:v>-0.17151620389154446</c:v>
                </c:pt>
                <c:pt idx="342">
                  <c:v>-0.1467086029953073</c:v>
                </c:pt>
                <c:pt idx="343">
                  <c:v>-0.16846077349638644</c:v>
                </c:pt>
                <c:pt idx="344">
                  <c:v>-0.15722414370482385</c:v>
                </c:pt>
                <c:pt idx="345">
                  <c:v>-0.18344031957106427</c:v>
                </c:pt>
                <c:pt idx="346">
                  <c:v>-0.19377541385840055</c:v>
                </c:pt>
                <c:pt idx="347">
                  <c:v>-0.17559375439840058</c:v>
                </c:pt>
                <c:pt idx="348">
                  <c:v>-0.14216847462234222</c:v>
                </c:pt>
                <c:pt idx="349">
                  <c:v>-0.17458586186934821</c:v>
                </c:pt>
                <c:pt idx="350">
                  <c:v>-0.16402433260435689</c:v>
                </c:pt>
                <c:pt idx="351">
                  <c:v>-0.18937364118867958</c:v>
                </c:pt>
                <c:pt idx="352">
                  <c:v>-0.20690717425725103</c:v>
                </c:pt>
                <c:pt idx="353">
                  <c:v>-0.23942136694796826</c:v>
                </c:pt>
                <c:pt idx="354">
                  <c:v>-0.26276548610364386</c:v>
                </c:pt>
                <c:pt idx="355">
                  <c:v>-0.26323820666801639</c:v>
                </c:pt>
                <c:pt idx="356">
                  <c:v>-0.24594702508155555</c:v>
                </c:pt>
                <c:pt idx="357">
                  <c:v>-0.28361460007124623</c:v>
                </c:pt>
                <c:pt idx="358">
                  <c:v>-0.29930028555823501</c:v>
                </c:pt>
                <c:pt idx="359">
                  <c:v>-0.31917513057593394</c:v>
                </c:pt>
                <c:pt idx="360">
                  <c:v>-0.32859623304785524</c:v>
                </c:pt>
                <c:pt idx="361">
                  <c:v>-0.29548650341824995</c:v>
                </c:pt>
                <c:pt idx="362">
                  <c:v>-0.3277484231776211</c:v>
                </c:pt>
                <c:pt idx="363">
                  <c:v>-0.32318976785003489</c:v>
                </c:pt>
                <c:pt idx="364">
                  <c:v>-0.32120206966957215</c:v>
                </c:pt>
                <c:pt idx="365">
                  <c:v>-0.32950579857866308</c:v>
                </c:pt>
                <c:pt idx="366">
                  <c:v>-0.33515966239877326</c:v>
                </c:pt>
                <c:pt idx="367">
                  <c:v>-0.33283080957864752</c:v>
                </c:pt>
                <c:pt idx="368">
                  <c:v>-0.32538032055297178</c:v>
                </c:pt>
                <c:pt idx="369">
                  <c:v>-0.32532488617297178</c:v>
                </c:pt>
                <c:pt idx="370">
                  <c:v>-0.30827075254981101</c:v>
                </c:pt>
                <c:pt idx="371">
                  <c:v>-0.32244273833009263</c:v>
                </c:pt>
                <c:pt idx="372">
                  <c:v>-0.2661544511582617</c:v>
                </c:pt>
                <c:pt idx="373">
                  <c:v>-0.28850665795826164</c:v>
                </c:pt>
                <c:pt idx="374">
                  <c:v>-0.2655909692334209</c:v>
                </c:pt>
                <c:pt idx="375">
                  <c:v>-0.27695856045757439</c:v>
                </c:pt>
                <c:pt idx="376">
                  <c:v>-0.27990731286641413</c:v>
                </c:pt>
                <c:pt idx="377">
                  <c:v>-0.26515334622730968</c:v>
                </c:pt>
                <c:pt idx="378">
                  <c:v>-0.28221256924206978</c:v>
                </c:pt>
                <c:pt idx="379">
                  <c:v>-0.26771456801772964</c:v>
                </c:pt>
                <c:pt idx="380">
                  <c:v>-0.28193487738570716</c:v>
                </c:pt>
                <c:pt idx="381">
                  <c:v>-0.26328625070979472</c:v>
                </c:pt>
                <c:pt idx="382">
                  <c:v>-0.26130793954203585</c:v>
                </c:pt>
                <c:pt idx="383">
                  <c:v>-0.26372399607544728</c:v>
                </c:pt>
                <c:pt idx="384">
                  <c:v>-0.27108824619283861</c:v>
                </c:pt>
                <c:pt idx="385">
                  <c:v>-0.28720451208709441</c:v>
                </c:pt>
                <c:pt idx="386">
                  <c:v>-0.26995686468064278</c:v>
                </c:pt>
                <c:pt idx="387">
                  <c:v>-0.26540634864663482</c:v>
                </c:pt>
                <c:pt idx="388">
                  <c:v>-0.28199477035204018</c:v>
                </c:pt>
                <c:pt idx="389">
                  <c:v>-0.27757479865461088</c:v>
                </c:pt>
                <c:pt idx="390">
                  <c:v>-0.2865232432871952</c:v>
                </c:pt>
                <c:pt idx="391">
                  <c:v>-0.29001516015992251</c:v>
                </c:pt>
                <c:pt idx="392">
                  <c:v>-0.27850601835093375</c:v>
                </c:pt>
                <c:pt idx="393">
                  <c:v>-0.29125306762604103</c:v>
                </c:pt>
                <c:pt idx="394">
                  <c:v>-0.29952139193482152</c:v>
                </c:pt>
                <c:pt idx="395">
                  <c:v>-0.28270788405107361</c:v>
                </c:pt>
                <c:pt idx="396">
                  <c:v>-0.27400813141212627</c:v>
                </c:pt>
                <c:pt idx="397">
                  <c:v>-0.26957720304631161</c:v>
                </c:pt>
                <c:pt idx="398">
                  <c:v>-0.26310967523899448</c:v>
                </c:pt>
                <c:pt idx="399">
                  <c:v>-0.25511508678598249</c:v>
                </c:pt>
                <c:pt idx="400">
                  <c:v>-0.26663344267083094</c:v>
                </c:pt>
                <c:pt idx="401">
                  <c:v>-0.24893432101637233</c:v>
                </c:pt>
                <c:pt idx="402">
                  <c:v>-0.25064927931005176</c:v>
                </c:pt>
                <c:pt idx="403">
                  <c:v>-0.23283114565355748</c:v>
                </c:pt>
                <c:pt idx="404">
                  <c:v>-0.23990371495439602</c:v>
                </c:pt>
                <c:pt idx="405">
                  <c:v>-0.24220581800804566</c:v>
                </c:pt>
                <c:pt idx="406">
                  <c:v>-0.16609826939247679</c:v>
                </c:pt>
                <c:pt idx="407">
                  <c:v>-0.1720431726476179</c:v>
                </c:pt>
                <c:pt idx="408">
                  <c:v>-0.15383192595847373</c:v>
                </c:pt>
                <c:pt idx="409">
                  <c:v>-0.17491752320865164</c:v>
                </c:pt>
                <c:pt idx="410">
                  <c:v>-0.17691401109326699</c:v>
                </c:pt>
                <c:pt idx="411">
                  <c:v>-0.17710579466212925</c:v>
                </c:pt>
                <c:pt idx="412">
                  <c:v>-0.17146972485354031</c:v>
                </c:pt>
                <c:pt idx="413">
                  <c:v>-0.16888372714950806</c:v>
                </c:pt>
                <c:pt idx="414">
                  <c:v>-0.17451925922243222</c:v>
                </c:pt>
                <c:pt idx="415">
                  <c:v>-0.18048922949639246</c:v>
                </c:pt>
                <c:pt idx="416">
                  <c:v>-0.17128860634982754</c:v>
                </c:pt>
                <c:pt idx="417">
                  <c:v>-0.17140650814982755</c:v>
                </c:pt>
                <c:pt idx="418">
                  <c:v>-0.1695471947602753</c:v>
                </c:pt>
                <c:pt idx="419">
                  <c:v>-0.17216760567627531</c:v>
                </c:pt>
                <c:pt idx="420">
                  <c:v>-0.16451847598197475</c:v>
                </c:pt>
                <c:pt idx="421">
                  <c:v>-0.16192548889936609</c:v>
                </c:pt>
                <c:pt idx="422">
                  <c:v>-0.16707379614658827</c:v>
                </c:pt>
                <c:pt idx="423">
                  <c:v>-0.15971855635135021</c:v>
                </c:pt>
                <c:pt idx="424">
                  <c:v>-0.16637482275195625</c:v>
                </c:pt>
                <c:pt idx="425">
                  <c:v>-0.16291272070048565</c:v>
                </c:pt>
                <c:pt idx="426">
                  <c:v>-0.16334626883648562</c:v>
                </c:pt>
                <c:pt idx="427">
                  <c:v>-0.16278137048296451</c:v>
                </c:pt>
                <c:pt idx="428">
                  <c:v>-0.15201116984858953</c:v>
                </c:pt>
                <c:pt idx="429">
                  <c:v>-0.13316697701292213</c:v>
                </c:pt>
                <c:pt idx="430">
                  <c:v>-0.15774201816854344</c:v>
                </c:pt>
                <c:pt idx="431">
                  <c:v>-0.16057387111803834</c:v>
                </c:pt>
                <c:pt idx="432">
                  <c:v>-0.15828269490375263</c:v>
                </c:pt>
                <c:pt idx="433">
                  <c:v>-0.16731290039255259</c:v>
                </c:pt>
                <c:pt idx="434">
                  <c:v>-0.17334089083093099</c:v>
                </c:pt>
                <c:pt idx="435">
                  <c:v>-0.16273131048310488</c:v>
                </c:pt>
                <c:pt idx="436">
                  <c:v>-0.17140846485951994</c:v>
                </c:pt>
                <c:pt idx="437">
                  <c:v>-0.16229351621737123</c:v>
                </c:pt>
                <c:pt idx="438">
                  <c:v>-0.16353710940104468</c:v>
                </c:pt>
                <c:pt idx="439">
                  <c:v>-0.15854926166671635</c:v>
                </c:pt>
                <c:pt idx="440">
                  <c:v>-0.15893968742862111</c:v>
                </c:pt>
                <c:pt idx="441">
                  <c:v>-0.1662126916168564</c:v>
                </c:pt>
                <c:pt idx="442">
                  <c:v>-0.14694416711049599</c:v>
                </c:pt>
                <c:pt idx="443">
                  <c:v>-0.1434588285363024</c:v>
                </c:pt>
                <c:pt idx="444">
                  <c:v>-0.1352740962767279</c:v>
                </c:pt>
                <c:pt idx="445">
                  <c:v>-0.13463918569547789</c:v>
                </c:pt>
                <c:pt idx="446">
                  <c:v>-0.14033850000223463</c:v>
                </c:pt>
                <c:pt idx="447">
                  <c:v>-0.1244545952583322</c:v>
                </c:pt>
                <c:pt idx="448">
                  <c:v>-0.13027634220784676</c:v>
                </c:pt>
                <c:pt idx="449">
                  <c:v>-0.12781151287018444</c:v>
                </c:pt>
                <c:pt idx="450">
                  <c:v>-0.12772325061959619</c:v>
                </c:pt>
                <c:pt idx="451">
                  <c:v>-0.12475009671170148</c:v>
                </c:pt>
                <c:pt idx="452">
                  <c:v>-0.12097503134520933</c:v>
                </c:pt>
                <c:pt idx="453">
                  <c:v>-0.1211707262452093</c:v>
                </c:pt>
                <c:pt idx="454">
                  <c:v>-0.12027937705473311</c:v>
                </c:pt>
                <c:pt idx="455">
                  <c:v>-0.11758930759501747</c:v>
                </c:pt>
                <c:pt idx="456">
                  <c:v>-0.11641163239501748</c:v>
                </c:pt>
                <c:pt idx="457">
                  <c:v>-0.11744853998328562</c:v>
                </c:pt>
                <c:pt idx="458">
                  <c:v>-0.11426316871453562</c:v>
                </c:pt>
                <c:pt idx="459">
                  <c:v>-0.11289535554530486</c:v>
                </c:pt>
                <c:pt idx="460">
                  <c:v>-0.11039761234530486</c:v>
                </c:pt>
                <c:pt idx="461">
                  <c:v>-0.10886046873280486</c:v>
                </c:pt>
                <c:pt idx="462">
                  <c:v>-0.10707020324604992</c:v>
                </c:pt>
                <c:pt idx="463">
                  <c:v>-0.10750427112346926</c:v>
                </c:pt>
                <c:pt idx="464">
                  <c:v>-0.10798619273083125</c:v>
                </c:pt>
                <c:pt idx="465">
                  <c:v>-0.10403026106308931</c:v>
                </c:pt>
                <c:pt idx="466">
                  <c:v>-9.9671436944907515E-2</c:v>
                </c:pt>
                <c:pt idx="467">
                  <c:v>-0.10296167870416677</c:v>
                </c:pt>
                <c:pt idx="468">
                  <c:v>-0.1034210089833157</c:v>
                </c:pt>
                <c:pt idx="469">
                  <c:v>-9.8895045116649025E-2</c:v>
                </c:pt>
                <c:pt idx="470">
                  <c:v>-9.8082236657465363E-2</c:v>
                </c:pt>
                <c:pt idx="471">
                  <c:v>-9.4002125580542301E-2</c:v>
                </c:pt>
                <c:pt idx="472">
                  <c:v>-9.3587482948695136E-2</c:v>
                </c:pt>
                <c:pt idx="473">
                  <c:v>-8.7280079196314156E-2</c:v>
                </c:pt>
                <c:pt idx="474">
                  <c:v>-9.0009347425943784E-2</c:v>
                </c:pt>
                <c:pt idx="475">
                  <c:v>-8.6633639109277072E-2</c:v>
                </c:pt>
                <c:pt idx="476">
                  <c:v>-9.1365003171885742E-2</c:v>
                </c:pt>
                <c:pt idx="477">
                  <c:v>-9.2427924562840519E-2</c:v>
                </c:pt>
                <c:pt idx="478">
                  <c:v>-9.0732026191142387E-2</c:v>
                </c:pt>
                <c:pt idx="479">
                  <c:v>-8.5557904410873339E-2</c:v>
                </c:pt>
                <c:pt idx="480">
                  <c:v>-8.8717269510873331E-2</c:v>
                </c:pt>
                <c:pt idx="481">
                  <c:v>-8.9036422030626408E-2</c:v>
                </c:pt>
                <c:pt idx="482">
                  <c:v>-8.6856099312444576E-2</c:v>
                </c:pt>
                <c:pt idx="483">
                  <c:v>-8.7052039566730299E-2</c:v>
                </c:pt>
                <c:pt idx="484">
                  <c:v>-8.3057024711048505E-2</c:v>
                </c:pt>
                <c:pt idx="485">
                  <c:v>-8.4974743236612416E-2</c:v>
                </c:pt>
                <c:pt idx="486">
                  <c:v>-8.5171385211359876E-2</c:v>
                </c:pt>
                <c:pt idx="487">
                  <c:v>-8.0768044817074156E-2</c:v>
                </c:pt>
                <c:pt idx="488">
                  <c:v>-8.2559865718143666E-2</c:v>
                </c:pt>
                <c:pt idx="489">
                  <c:v>-8.3251032225483135E-2</c:v>
                </c:pt>
                <c:pt idx="490">
                  <c:v>-8.5534171025483108E-2</c:v>
                </c:pt>
                <c:pt idx="491">
                  <c:v>-9.70887734948708E-2</c:v>
                </c:pt>
                <c:pt idx="492">
                  <c:v>-8.9798867609857197E-2</c:v>
                </c:pt>
                <c:pt idx="493">
                  <c:v>-8.877089765054684E-2</c:v>
                </c:pt>
                <c:pt idx="494">
                  <c:v>-8.5266269085171542E-2</c:v>
                </c:pt>
                <c:pt idx="495">
                  <c:v>-8.2631058367699406E-2</c:v>
                </c:pt>
                <c:pt idx="496">
                  <c:v>-8.4137476092227714E-2</c:v>
                </c:pt>
                <c:pt idx="497">
                  <c:v>-8.027495772744786E-2</c:v>
                </c:pt>
                <c:pt idx="498">
                  <c:v>-8.5104758788081325E-2</c:v>
                </c:pt>
                <c:pt idx="499">
                  <c:v>-9.1181982970689995E-2</c:v>
                </c:pt>
                <c:pt idx="500">
                  <c:v>-8.5659984275037834E-2</c:v>
                </c:pt>
                <c:pt idx="501">
                  <c:v>-8.5603397448950874E-2</c:v>
                </c:pt>
                <c:pt idx="502">
                  <c:v>-8.234758333130382E-2</c:v>
                </c:pt>
                <c:pt idx="503">
                  <c:v>-8.3351243255651686E-2</c:v>
                </c:pt>
                <c:pt idx="504">
                  <c:v>-8.8705536304308399E-2</c:v>
                </c:pt>
                <c:pt idx="505">
                  <c:v>-8.8776276147551625E-2</c:v>
                </c:pt>
                <c:pt idx="506">
                  <c:v>-9.4613041998267963E-2</c:v>
                </c:pt>
                <c:pt idx="507">
                  <c:v>-8.7560292253280783E-2</c:v>
                </c:pt>
                <c:pt idx="508">
                  <c:v>-9.867997573070017E-2</c:v>
                </c:pt>
                <c:pt idx="509">
                  <c:v>-0.1082606320176957</c:v>
                </c:pt>
                <c:pt idx="510">
                  <c:v>-8.8673379687482928E-2</c:v>
                </c:pt>
                <c:pt idx="511">
                  <c:v>-8.9856646500203807E-2</c:v>
                </c:pt>
                <c:pt idx="512">
                  <c:v>-7.2483526848351937E-2</c:v>
                </c:pt>
                <c:pt idx="513">
                  <c:v>-6.7609869095932584E-2</c:v>
                </c:pt>
                <c:pt idx="514">
                  <c:v>-5.1258137243229869E-2</c:v>
                </c:pt>
                <c:pt idx="515">
                  <c:v>-2.8855333670452142E-2</c:v>
                </c:pt>
                <c:pt idx="516">
                  <c:v>-3.607987940291113E-2</c:v>
                </c:pt>
                <c:pt idx="517">
                  <c:v>-2.3302637061050607E-2</c:v>
                </c:pt>
                <c:pt idx="518">
                  <c:v>-3.0822973038323338E-2</c:v>
                </c:pt>
                <c:pt idx="519">
                  <c:v>-2.3190838975515802E-2</c:v>
                </c:pt>
                <c:pt idx="520">
                  <c:v>-2.8293402460938571E-2</c:v>
                </c:pt>
                <c:pt idx="521">
                  <c:v>-2.357520679515962E-2</c:v>
                </c:pt>
                <c:pt idx="522">
                  <c:v>-1.7189178532907919E-2</c:v>
                </c:pt>
                <c:pt idx="523">
                  <c:v>-1.7571527393667411E-2</c:v>
                </c:pt>
                <c:pt idx="524">
                  <c:v>-3.6101968328788071E-2</c:v>
                </c:pt>
                <c:pt idx="525">
                  <c:v>-8.4214249428657684E-3</c:v>
                </c:pt>
                <c:pt idx="526">
                  <c:v>-2.143835850664956E-2</c:v>
                </c:pt>
                <c:pt idx="527">
                  <c:v>-1.2810831210955761E-2</c:v>
                </c:pt>
                <c:pt idx="528">
                  <c:v>-2.4381912446856405E-2</c:v>
                </c:pt>
                <c:pt idx="529">
                  <c:v>-3.4876600000810269E-2</c:v>
                </c:pt>
                <c:pt idx="530">
                  <c:v>-4.5083140629953153E-2</c:v>
                </c:pt>
                <c:pt idx="531">
                  <c:v>-4.7307122660862247E-2</c:v>
                </c:pt>
                <c:pt idx="532">
                  <c:v>-4.625602753047673E-2</c:v>
                </c:pt>
                <c:pt idx="533">
                  <c:v>-3.3981947712992136E-2</c:v>
                </c:pt>
                <c:pt idx="534">
                  <c:v>-5.3998647065159715E-2</c:v>
                </c:pt>
                <c:pt idx="535">
                  <c:v>-3.3915416384347884E-2</c:v>
                </c:pt>
                <c:pt idx="536">
                  <c:v>-3.5525273049802381E-2</c:v>
                </c:pt>
                <c:pt idx="537">
                  <c:v>-5.9195048846772028E-2</c:v>
                </c:pt>
                <c:pt idx="538">
                  <c:v>-8.7836832885947236E-2</c:v>
                </c:pt>
                <c:pt idx="539">
                  <c:v>-8.9564477302442061E-2</c:v>
                </c:pt>
                <c:pt idx="540">
                  <c:v>-9.739408642971481E-2</c:v>
                </c:pt>
                <c:pt idx="541">
                  <c:v>-0.1010671060719828</c:v>
                </c:pt>
                <c:pt idx="542">
                  <c:v>-0.10296388962993736</c:v>
                </c:pt>
                <c:pt idx="543">
                  <c:v>-9.9827157017230134E-2</c:v>
                </c:pt>
                <c:pt idx="544">
                  <c:v>-8.7070367717597089E-2</c:v>
                </c:pt>
                <c:pt idx="545">
                  <c:v>-9.9642618490930479E-2</c:v>
                </c:pt>
                <c:pt idx="546">
                  <c:v>-0.10608271274807332</c:v>
                </c:pt>
                <c:pt idx="547">
                  <c:v>-0.10261750040708971</c:v>
                </c:pt>
                <c:pt idx="548">
                  <c:v>-9.5350973299519984E-2</c:v>
                </c:pt>
                <c:pt idx="549">
                  <c:v>-0.10248863562752002</c:v>
                </c:pt>
                <c:pt idx="550">
                  <c:v>-9.4847311908739129E-2</c:v>
                </c:pt>
                <c:pt idx="551">
                  <c:v>-8.0441738859679285E-2</c:v>
                </c:pt>
                <c:pt idx="552">
                  <c:v>-7.715258032717448E-2</c:v>
                </c:pt>
                <c:pt idx="553">
                  <c:v>-8.2976743098095246E-2</c:v>
                </c:pt>
                <c:pt idx="554">
                  <c:v>-9.1559507141308505E-2</c:v>
                </c:pt>
                <c:pt idx="555">
                  <c:v>-9.1650154662967526E-2</c:v>
                </c:pt>
                <c:pt idx="556">
                  <c:v>-8.604190248649686E-2</c:v>
                </c:pt>
                <c:pt idx="557">
                  <c:v>-9.2472055023397254E-2</c:v>
                </c:pt>
                <c:pt idx="558">
                  <c:v>-9.9435251045272219E-2</c:v>
                </c:pt>
                <c:pt idx="559">
                  <c:v>-0.10826300557408576</c:v>
                </c:pt>
                <c:pt idx="560">
                  <c:v>-0.10667390729523112</c:v>
                </c:pt>
                <c:pt idx="561">
                  <c:v>-9.5217172279014967E-2</c:v>
                </c:pt>
                <c:pt idx="562">
                  <c:v>-9.0327354044304212E-2</c:v>
                </c:pt>
                <c:pt idx="563">
                  <c:v>-9.0843685023408671E-2</c:v>
                </c:pt>
                <c:pt idx="564">
                  <c:v>-8.2884422858702789E-2</c:v>
                </c:pt>
                <c:pt idx="565">
                  <c:v>-8.3465029584545491E-2</c:v>
                </c:pt>
                <c:pt idx="566">
                  <c:v>-8.3558221522573653E-2</c:v>
                </c:pt>
                <c:pt idx="567">
                  <c:v>-9.06274348770887E-2</c:v>
                </c:pt>
                <c:pt idx="568">
                  <c:v>-8.9827520490422044E-2</c:v>
                </c:pt>
                <c:pt idx="569">
                  <c:v>-9.8327610496464338E-2</c:v>
                </c:pt>
                <c:pt idx="570">
                  <c:v>-9.4750717184612462E-2</c:v>
                </c:pt>
                <c:pt idx="571">
                  <c:v>-0.10199542080087261</c:v>
                </c:pt>
                <c:pt idx="572">
                  <c:v>-9.9474360041851201E-2</c:v>
                </c:pt>
                <c:pt idx="573">
                  <c:v>-9.7825217388251159E-2</c:v>
                </c:pt>
                <c:pt idx="574">
                  <c:v>-9.1138599799180126E-2</c:v>
                </c:pt>
                <c:pt idx="575">
                  <c:v>-9.3057039161753272E-2</c:v>
                </c:pt>
                <c:pt idx="576">
                  <c:v>-8.2780613525426774E-2</c:v>
                </c:pt>
                <c:pt idx="577">
                  <c:v>-7.64392424387315E-2</c:v>
                </c:pt>
                <c:pt idx="578">
                  <c:v>-7.4034977968469098E-2</c:v>
                </c:pt>
                <c:pt idx="579">
                  <c:v>-7.6873035136982931E-2</c:v>
                </c:pt>
                <c:pt idx="580">
                  <c:v>-6.4774894489363868E-2</c:v>
                </c:pt>
                <c:pt idx="581">
                  <c:v>-3.7186940437325004E-2</c:v>
                </c:pt>
                <c:pt idx="582">
                  <c:v>-5.2544734204297443E-2</c:v>
                </c:pt>
                <c:pt idx="583">
                  <c:v>-5.2965052781220483E-2</c:v>
                </c:pt>
                <c:pt idx="584">
                  <c:v>-5.4714672429220478E-2</c:v>
                </c:pt>
                <c:pt idx="585">
                  <c:v>-5.6825593388275614E-2</c:v>
                </c:pt>
                <c:pt idx="586">
                  <c:v>-5.0568200067442289E-2</c:v>
                </c:pt>
                <c:pt idx="587">
                  <c:v>-3.9804915869191576E-2</c:v>
                </c:pt>
                <c:pt idx="588">
                  <c:v>-3.8731853435114469E-2</c:v>
                </c:pt>
                <c:pt idx="589">
                  <c:v>-5.180489285631263E-2</c:v>
                </c:pt>
                <c:pt idx="590">
                  <c:v>-5.3584932066503721E-2</c:v>
                </c:pt>
                <c:pt idx="591">
                  <c:v>-4.912079981735118E-2</c:v>
                </c:pt>
                <c:pt idx="592">
                  <c:v>-6.2970083212476713E-2</c:v>
                </c:pt>
                <c:pt idx="593">
                  <c:v>-5.5649807962975716E-2</c:v>
                </c:pt>
                <c:pt idx="594">
                  <c:v>-6.654782565391712E-2</c:v>
                </c:pt>
                <c:pt idx="595">
                  <c:v>-7.0270265766061338E-2</c:v>
                </c:pt>
                <c:pt idx="596">
                  <c:v>-5.5702631304771003E-2</c:v>
                </c:pt>
                <c:pt idx="597">
                  <c:v>-6.5645711470839474E-2</c:v>
                </c:pt>
                <c:pt idx="598">
                  <c:v>-7.2147461613482095E-2</c:v>
                </c:pt>
                <c:pt idx="599">
                  <c:v>-7.2437667299196346E-2</c:v>
                </c:pt>
                <c:pt idx="600">
                  <c:v>-7.5979199892670449E-2</c:v>
                </c:pt>
                <c:pt idx="601">
                  <c:v>-7.4488509700591218E-2</c:v>
                </c:pt>
                <c:pt idx="602">
                  <c:v>-6.0737061307487766E-2</c:v>
                </c:pt>
                <c:pt idx="603">
                  <c:v>-4.9098884659646388E-2</c:v>
                </c:pt>
                <c:pt idx="604">
                  <c:v>-4.6840113568028426E-2</c:v>
                </c:pt>
                <c:pt idx="605">
                  <c:v>-4.1525660634449076E-2</c:v>
                </c:pt>
                <c:pt idx="606">
                  <c:v>-4.2449368064655969E-2</c:v>
                </c:pt>
                <c:pt idx="607">
                  <c:v>-1.7662152335436419E-2</c:v>
                </c:pt>
                <c:pt idx="608">
                  <c:v>-2.8494828802241402E-2</c:v>
                </c:pt>
                <c:pt idx="609">
                  <c:v>-3.462428049338892E-2</c:v>
                </c:pt>
                <c:pt idx="610">
                  <c:v>-3.4305350007459282E-2</c:v>
                </c:pt>
                <c:pt idx="611">
                  <c:v>-3.1720560530729705E-2</c:v>
                </c:pt>
                <c:pt idx="612">
                  <c:v>-4.9034513530729705E-2</c:v>
                </c:pt>
                <c:pt idx="613">
                  <c:v>-5.9815672503229729E-2</c:v>
                </c:pt>
                <c:pt idx="614">
                  <c:v>-4.1794233741537054E-2</c:v>
                </c:pt>
                <c:pt idx="615">
                  <c:v>-4.3761337883328089E-2</c:v>
                </c:pt>
                <c:pt idx="616">
                  <c:v>-5.0784738582546847E-2</c:v>
                </c:pt>
                <c:pt idx="617">
                  <c:v>-4.9024275054188646E-2</c:v>
                </c:pt>
                <c:pt idx="618">
                  <c:v>-4.725517753037909E-2</c:v>
                </c:pt>
                <c:pt idx="619">
                  <c:v>-5.1202899846920391E-2</c:v>
                </c:pt>
                <c:pt idx="620">
                  <c:v>-4.302341987499058E-2</c:v>
                </c:pt>
                <c:pt idx="621">
                  <c:v>-4.9500876510752155E-2</c:v>
                </c:pt>
                <c:pt idx="622">
                  <c:v>-5.284877658257537E-2</c:v>
                </c:pt>
                <c:pt idx="623">
                  <c:v>-5.0850861782575363E-2</c:v>
                </c:pt>
                <c:pt idx="624">
                  <c:v>-4.6130193435700344E-2</c:v>
                </c:pt>
                <c:pt idx="625">
                  <c:v>-5.2817902267947907E-2</c:v>
                </c:pt>
                <c:pt idx="626">
                  <c:v>-5.5972960355044676E-2</c:v>
                </c:pt>
                <c:pt idx="627">
                  <c:v>-5.4223252980007977E-2</c:v>
                </c:pt>
                <c:pt idx="628">
                  <c:v>-4.5363045704119233E-2</c:v>
                </c:pt>
                <c:pt idx="629">
                  <c:v>-4.5453502908664706E-2</c:v>
                </c:pt>
                <c:pt idx="630">
                  <c:v>-4.7035576154378957E-2</c:v>
                </c:pt>
                <c:pt idx="631">
                  <c:v>-5.4016486122998225E-2</c:v>
                </c:pt>
                <c:pt idx="632">
                  <c:v>-4.9646744453433013E-2</c:v>
                </c:pt>
                <c:pt idx="633">
                  <c:v>-4.6826246897462863E-2</c:v>
                </c:pt>
                <c:pt idx="634">
                  <c:v>-4.8842787326456978E-2</c:v>
                </c:pt>
                <c:pt idx="635">
                  <c:v>-3.6500887681693128E-2</c:v>
                </c:pt>
                <c:pt idx="636">
                  <c:v>-4.3539402687805602E-2</c:v>
                </c:pt>
                <c:pt idx="637">
                  <c:v>-4.8240013673228367E-2</c:v>
                </c:pt>
                <c:pt idx="638">
                  <c:v>-2.983748532787954E-2</c:v>
                </c:pt>
                <c:pt idx="639">
                  <c:v>-3.1868303279904434E-2</c:v>
                </c:pt>
                <c:pt idx="640">
                  <c:v>-3.1285634074873031E-2</c:v>
                </c:pt>
                <c:pt idx="641">
                  <c:v>-2.8076332362112027E-2</c:v>
                </c:pt>
                <c:pt idx="642">
                  <c:v>-3.030358128292418E-2</c:v>
                </c:pt>
                <c:pt idx="643">
                  <c:v>-3.8752068214839029E-2</c:v>
                </c:pt>
                <c:pt idx="644">
                  <c:v>-3.7955521681871995E-2</c:v>
                </c:pt>
                <c:pt idx="645">
                  <c:v>-4.1494165820120846E-2</c:v>
                </c:pt>
                <c:pt idx="646">
                  <c:v>-4.8508869713097445E-2</c:v>
                </c:pt>
                <c:pt idx="647">
                  <c:v>-4.8227105944804761E-2</c:v>
                </c:pt>
                <c:pt idx="648">
                  <c:v>-4.490848042701822E-2</c:v>
                </c:pt>
                <c:pt idx="649">
                  <c:v>-4.2902436919325909E-2</c:v>
                </c:pt>
                <c:pt idx="650">
                  <c:v>-4.465295135682594E-2</c:v>
                </c:pt>
                <c:pt idx="651">
                  <c:v>-4.5201284140159274E-2</c:v>
                </c:pt>
                <c:pt idx="652">
                  <c:v>-4.8251100286627664E-2</c:v>
                </c:pt>
                <c:pt idx="653">
                  <c:v>-4.6290646579442027E-2</c:v>
                </c:pt>
                <c:pt idx="654">
                  <c:v>-4.6333447423536504E-2</c:v>
                </c:pt>
                <c:pt idx="655">
                  <c:v>-4.9818616394965064E-2</c:v>
                </c:pt>
                <c:pt idx="656">
                  <c:v>-4.0502343578076139E-2</c:v>
                </c:pt>
                <c:pt idx="657">
                  <c:v>-4.4712775788303398E-2</c:v>
                </c:pt>
                <c:pt idx="658">
                  <c:v>-3.6785776522840645E-2</c:v>
                </c:pt>
                <c:pt idx="659">
                  <c:v>-4.1364869563449758E-2</c:v>
                </c:pt>
                <c:pt idx="660">
                  <c:v>-4.7193930001607674E-2</c:v>
                </c:pt>
                <c:pt idx="661">
                  <c:v>-3.9866236104150056E-2</c:v>
                </c:pt>
                <c:pt idx="662">
                  <c:v>-5.1753713104150049E-2</c:v>
                </c:pt>
                <c:pt idx="663">
                  <c:v>-4.8320252515828895E-2</c:v>
                </c:pt>
                <c:pt idx="664">
                  <c:v>-4.9373882169520163E-2</c:v>
                </c:pt>
                <c:pt idx="665">
                  <c:v>-4.5308719624065616E-2</c:v>
                </c:pt>
                <c:pt idx="666">
                  <c:v>-4.0119955970854611E-2</c:v>
                </c:pt>
                <c:pt idx="667">
                  <c:v>-4.1745380140622033E-2</c:v>
                </c:pt>
                <c:pt idx="668">
                  <c:v>-3.779853359262203E-2</c:v>
                </c:pt>
                <c:pt idx="669">
                  <c:v>-3.4064990062966857E-2</c:v>
                </c:pt>
                <c:pt idx="670">
                  <c:v>-3.1662680886847448E-2</c:v>
                </c:pt>
                <c:pt idx="671">
                  <c:v>-3.3614777174983054E-2</c:v>
                </c:pt>
                <c:pt idx="672">
                  <c:v>-2.8738475904528514E-2</c:v>
                </c:pt>
                <c:pt idx="673">
                  <c:v>-3.3357323004528511E-2</c:v>
                </c:pt>
                <c:pt idx="674">
                  <c:v>-3.4761964576621535E-2</c:v>
                </c:pt>
                <c:pt idx="675">
                  <c:v>-3.8085321350364555E-2</c:v>
                </c:pt>
                <c:pt idx="676">
                  <c:v>-3.4919846704510073E-2</c:v>
                </c:pt>
                <c:pt idx="677">
                  <c:v>-2.7214165101244775E-2</c:v>
                </c:pt>
                <c:pt idx="678">
                  <c:v>-2.5542897116198046E-2</c:v>
                </c:pt>
                <c:pt idx="679">
                  <c:v>-2.3766584596120827E-2</c:v>
                </c:pt>
                <c:pt idx="680">
                  <c:v>-2.7741362244492904E-2</c:v>
                </c:pt>
                <c:pt idx="681">
                  <c:v>-3.0188109442753776E-2</c:v>
                </c:pt>
                <c:pt idx="682">
                  <c:v>-3.0000067377335911E-2</c:v>
                </c:pt>
                <c:pt idx="683">
                  <c:v>-3.0787948266906454E-2</c:v>
                </c:pt>
                <c:pt idx="684">
                  <c:v>-3.3826203256511436E-2</c:v>
                </c:pt>
                <c:pt idx="685">
                  <c:v>-2.6453886743640145E-2</c:v>
                </c:pt>
                <c:pt idx="686">
                  <c:v>-4.3775505314819191E-2</c:v>
                </c:pt>
                <c:pt idx="687">
                  <c:v>-1.8267232176775713E-2</c:v>
                </c:pt>
                <c:pt idx="688">
                  <c:v>-1.3662443422266302E-2</c:v>
                </c:pt>
                <c:pt idx="689">
                  <c:v>-1.2671425631681076E-2</c:v>
                </c:pt>
                <c:pt idx="690">
                  <c:v>-1.5788800607065698E-2</c:v>
                </c:pt>
                <c:pt idx="691">
                  <c:v>-9.6129611706573352E-3</c:v>
                </c:pt>
                <c:pt idx="692">
                  <c:v>-6.3803474278002004E-3</c:v>
                </c:pt>
                <c:pt idx="693">
                  <c:v>-8.1103762271222506E-3</c:v>
                </c:pt>
                <c:pt idx="694">
                  <c:v>-5.7126001949034076E-3</c:v>
                </c:pt>
                <c:pt idx="695">
                  <c:v>-5.3394140076693675E-3</c:v>
                </c:pt>
                <c:pt idx="696">
                  <c:v>-8.2016479144051361E-3</c:v>
                </c:pt>
                <c:pt idx="697">
                  <c:v>-1.0932257831789504E-2</c:v>
                </c:pt>
                <c:pt idx="698">
                  <c:v>-1.0378749834551924E-2</c:v>
                </c:pt>
                <c:pt idx="699">
                  <c:v>-8.3251046959769859E-3</c:v>
                </c:pt>
                <c:pt idx="700">
                  <c:v>-5.9538861086169863E-3</c:v>
                </c:pt>
                <c:pt idx="701">
                  <c:v>-8.6218509155086918E-3</c:v>
                </c:pt>
                <c:pt idx="702">
                  <c:v>-6.8707838171964556E-3</c:v>
                </c:pt>
                <c:pt idx="703">
                  <c:v>-1.301451650225499E-4</c:v>
                </c:pt>
                <c:pt idx="704">
                  <c:v>2.9793739887170679E-3</c:v>
                </c:pt>
                <c:pt idx="705">
                  <c:v>1.1190638871706817E-4</c:v>
                </c:pt>
                <c:pt idx="706">
                  <c:v>8.3061962066151025E-4</c:v>
                </c:pt>
                <c:pt idx="707">
                  <c:v>3.446729278446985E-3</c:v>
                </c:pt>
                <c:pt idx="708">
                  <c:v>4.9243963829246088E-3</c:v>
                </c:pt>
                <c:pt idx="709">
                  <c:v>7.7921454742930383E-3</c:v>
                </c:pt>
                <c:pt idx="710">
                  <c:v>4.845064009726111E-3</c:v>
                </c:pt>
                <c:pt idx="711">
                  <c:v>-2.5470406459068792E-3</c:v>
                </c:pt>
                <c:pt idx="712">
                  <c:v>-3.1270222539656633E-3</c:v>
                </c:pt>
                <c:pt idx="713">
                  <c:v>5.6039132304532314E-3</c:v>
                </c:pt>
                <c:pt idx="714">
                  <c:v>4.8662767319004015E-3</c:v>
                </c:pt>
                <c:pt idx="715">
                  <c:v>1.3795621030576471E-2</c:v>
                </c:pt>
                <c:pt idx="716">
                  <c:v>1.339165082482696E-2</c:v>
                </c:pt>
                <c:pt idx="717">
                  <c:v>9.0356200305533024E-3</c:v>
                </c:pt>
                <c:pt idx="718">
                  <c:v>4.2186062574764037E-3</c:v>
                </c:pt>
                <c:pt idx="719">
                  <c:v>1.7490968733610817E-4</c:v>
                </c:pt>
                <c:pt idx="720">
                  <c:v>9.7491608992010005E-4</c:v>
                </c:pt>
                <c:pt idx="721">
                  <c:v>-8.575492007570247E-3</c:v>
                </c:pt>
                <c:pt idx="722">
                  <c:v>-5.0174949482997677E-3</c:v>
                </c:pt>
                <c:pt idx="723">
                  <c:v>-5.751617879367725E-3</c:v>
                </c:pt>
                <c:pt idx="724">
                  <c:v>-5.339241574623183E-3</c:v>
                </c:pt>
                <c:pt idx="725">
                  <c:v>-6.3949369899423385E-3</c:v>
                </c:pt>
                <c:pt idx="726">
                  <c:v>6.1651879563145811E-4</c:v>
                </c:pt>
                <c:pt idx="727">
                  <c:v>-7.1567655975300947E-3</c:v>
                </c:pt>
                <c:pt idx="728">
                  <c:v>-6.5485760217575207E-3</c:v>
                </c:pt>
                <c:pt idx="729">
                  <c:v>-1.1844515078095551E-2</c:v>
                </c:pt>
                <c:pt idx="730">
                  <c:v>-1.3553549022558909E-2</c:v>
                </c:pt>
                <c:pt idx="731">
                  <c:v>-1.3400924172036241E-2</c:v>
                </c:pt>
                <c:pt idx="732">
                  <c:v>-1.4204735556869146E-2</c:v>
                </c:pt>
                <c:pt idx="733">
                  <c:v>-1.4797358519659836E-2</c:v>
                </c:pt>
                <c:pt idx="734">
                  <c:v>-1.4299684550852485E-2</c:v>
                </c:pt>
                <c:pt idx="735">
                  <c:v>-1.5913968257829231E-2</c:v>
                </c:pt>
                <c:pt idx="736">
                  <c:v>-1.6515400253397098E-2</c:v>
                </c:pt>
                <c:pt idx="737">
                  <c:v>-1.4524077896753758E-2</c:v>
                </c:pt>
                <c:pt idx="738">
                  <c:v>-1.6006704665984521E-2</c:v>
                </c:pt>
                <c:pt idx="739">
                  <c:v>-1.8137134145170042E-2</c:v>
                </c:pt>
                <c:pt idx="740">
                  <c:v>-1.520511726963812E-2</c:v>
                </c:pt>
                <c:pt idx="741">
                  <c:v>-7.1481673824071099E-3</c:v>
                </c:pt>
                <c:pt idx="742">
                  <c:v>-1.1653683159586167E-2</c:v>
                </c:pt>
                <c:pt idx="743">
                  <c:v>-1.7579977338643738E-2</c:v>
                </c:pt>
                <c:pt idx="744">
                  <c:v>-3.5099404243580301E-3</c:v>
                </c:pt>
                <c:pt idx="745">
                  <c:v>-1.7939665748738589E-2</c:v>
                </c:pt>
                <c:pt idx="746">
                  <c:v>-1.6768604420436699E-2</c:v>
                </c:pt>
                <c:pt idx="747">
                  <c:v>-1.7057480820014771E-2</c:v>
                </c:pt>
                <c:pt idx="748">
                  <c:v>-9.6925215183572798E-3</c:v>
                </c:pt>
                <c:pt idx="749">
                  <c:v>-1.1175059823542451E-2</c:v>
                </c:pt>
                <c:pt idx="750">
                  <c:v>-7.2660109235424715E-3</c:v>
                </c:pt>
                <c:pt idx="751">
                  <c:v>-2.5711680612856688E-3</c:v>
                </c:pt>
                <c:pt idx="752">
                  <c:v>4.8641787936015415E-3</c:v>
                </c:pt>
                <c:pt idx="753">
                  <c:v>-1.0607021239068687E-3</c:v>
                </c:pt>
                <c:pt idx="754">
                  <c:v>-1.490139737263318E-3</c:v>
                </c:pt>
                <c:pt idx="755">
                  <c:v>9.691766743408003E-4</c:v>
                </c:pt>
                <c:pt idx="756">
                  <c:v>-1.6394708132591975E-3</c:v>
                </c:pt>
                <c:pt idx="757">
                  <c:v>3.138789724550881E-4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2A-4081-8F71-542E94B40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2528767"/>
        <c:axId val="1892530847"/>
      </c:lineChart>
      <c:dateAx>
        <c:axId val="18925287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530847"/>
        <c:crosses val="autoZero"/>
        <c:auto val="1"/>
        <c:lblOffset val="100"/>
        <c:baseTimeUnit val="days"/>
      </c:dateAx>
      <c:valAx>
        <c:axId val="189253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52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15BD87B-1F2B-4BCF-B3A9-66BAE097FBDE}">
  <sheetPr/>
  <sheetViews>
    <sheetView zoomScale="10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058" cy="608490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43041-53B7-4B2F-AB39-A8447A57D5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2.1</v>
      </c>
      <c r="D2" s="4">
        <f>MIN(D3:D1912)</f>
        <v>0.13059999999999999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0.30880000000000002</v>
      </c>
      <c r="C5">
        <v>0.31069999999999998</v>
      </c>
      <c r="D5">
        <v>0.2984</v>
      </c>
      <c r="E5">
        <v>0.29980000000000001</v>
      </c>
      <c r="F5">
        <v>153872</v>
      </c>
      <c r="G5">
        <v>0.29980000000000001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-0.77235772357723331</v>
      </c>
      <c r="Q5">
        <f t="shared" ref="Q5" si="1">F5*P5</f>
        <v>-118844.22764227605</v>
      </c>
      <c r="R5">
        <f t="shared" ref="R5" si="2">R6+Q5</f>
        <v>-461523523.63314164</v>
      </c>
      <c r="S5">
        <f t="shared" ref="S5" si="3">R5/100000</f>
        <v>-4615.2352363314167</v>
      </c>
      <c r="T5">
        <f t="shared" ref="T5" si="4">S5/1000</f>
        <v>-4.6152352363314169</v>
      </c>
    </row>
    <row r="6" spans="1:20" x14ac:dyDescent="0.25">
      <c r="A6" s="5">
        <v>44587</v>
      </c>
      <c r="B6">
        <v>0.3115</v>
      </c>
      <c r="C6">
        <v>0.34</v>
      </c>
      <c r="D6">
        <v>0.3039</v>
      </c>
      <c r="E6">
        <v>0.30919999999999997</v>
      </c>
      <c r="F6">
        <v>2338225</v>
      </c>
      <c r="G6">
        <v>0.30919999999999997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-0.70637119113573588</v>
      </c>
      <c r="Q6">
        <f t="shared" ref="Q6" si="6">F6*P6</f>
        <v>-1651654.7783933561</v>
      </c>
      <c r="R6">
        <f t="shared" ref="R6" si="7">R7+Q6</f>
        <v>-461404679.40549934</v>
      </c>
      <c r="S6">
        <f t="shared" ref="S6" si="8">R6/100000</f>
        <v>-4614.0467940549934</v>
      </c>
      <c r="T6">
        <f t="shared" ref="T6" si="9">S6/1000</f>
        <v>-4.6140467940549934</v>
      </c>
    </row>
    <row r="7" spans="1:20" x14ac:dyDescent="0.25">
      <c r="A7" s="5">
        <v>44586</v>
      </c>
      <c r="B7">
        <v>0.31169999999999998</v>
      </c>
      <c r="C7">
        <v>0.31690000000000002</v>
      </c>
      <c r="D7">
        <v>0.29430000000000001</v>
      </c>
      <c r="E7">
        <v>0.31159999999999999</v>
      </c>
      <c r="F7">
        <v>1791136</v>
      </c>
      <c r="G7">
        <v>0.31159999999999999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0.53097345132743146</v>
      </c>
      <c r="Q7">
        <f t="shared" ref="Q7" si="11">F7*P7</f>
        <v>951045.66371681029</v>
      </c>
      <c r="R7">
        <f t="shared" ref="R7" si="12">R8+Q7</f>
        <v>-459753024.62710601</v>
      </c>
      <c r="S7">
        <f t="shared" ref="S7" si="13">R7/100000</f>
        <v>-4597.5302462710597</v>
      </c>
      <c r="T7">
        <f t="shared" ref="T7" si="14">S7/1000</f>
        <v>-4.5975302462710594</v>
      </c>
    </row>
    <row r="8" spans="1:20" x14ac:dyDescent="0.25">
      <c r="A8" s="5">
        <v>44585</v>
      </c>
      <c r="B8">
        <v>0.32250000000000001</v>
      </c>
      <c r="C8">
        <v>0.3236</v>
      </c>
      <c r="D8">
        <v>0.26889999999999997</v>
      </c>
      <c r="E8">
        <v>0.31209999999999999</v>
      </c>
      <c r="F8">
        <v>3658323.68</v>
      </c>
      <c r="G8">
        <v>0.31209999999999999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0.57952468007312596</v>
      </c>
      <c r="Q8">
        <f t="shared" ref="Q8" si="16">F8*P8</f>
        <v>2120088.8602559408</v>
      </c>
      <c r="R8">
        <f t="shared" ref="R8" si="17">R9+Q8</f>
        <v>-460704070.2908228</v>
      </c>
      <c r="S8">
        <f t="shared" ref="S8" si="18">R8/100000</f>
        <v>-4607.040702908228</v>
      </c>
      <c r="T8">
        <f t="shared" ref="T8" si="19">S8/1000</f>
        <v>-4.6070407029082281</v>
      </c>
    </row>
    <row r="9" spans="1:20" x14ac:dyDescent="0.25">
      <c r="A9" s="5">
        <v>44584</v>
      </c>
      <c r="B9">
        <v>0.31330000000000002</v>
      </c>
      <c r="C9">
        <v>0.33210000000000001</v>
      </c>
      <c r="D9">
        <v>0.30370000000000003</v>
      </c>
      <c r="E9">
        <v>0.32300000000000001</v>
      </c>
      <c r="F9">
        <v>2945478</v>
      </c>
      <c r="G9">
        <v>0.32300000000000001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0.35915492957746459</v>
      </c>
      <c r="Q9">
        <f t="shared" ref="Q9" si="21">F9*P9</f>
        <v>1057882.9436619713</v>
      </c>
      <c r="R9">
        <f t="shared" ref="R9" si="22">R10+Q9</f>
        <v>-462824159.15107876</v>
      </c>
      <c r="S9">
        <f t="shared" ref="S9" si="23">R9/100000</f>
        <v>-4628.2415915107877</v>
      </c>
      <c r="T9">
        <f t="shared" ref="T9" si="24">S9/1000</f>
        <v>-4.628241591510788</v>
      </c>
    </row>
    <row r="10" spans="1:20" x14ac:dyDescent="0.25">
      <c r="A10" s="5">
        <v>44583</v>
      </c>
      <c r="B10">
        <v>0.33760000000000001</v>
      </c>
      <c r="C10">
        <v>0.3402</v>
      </c>
      <c r="D10">
        <v>0.2702</v>
      </c>
      <c r="E10">
        <v>0.31369999999999998</v>
      </c>
      <c r="F10">
        <v>5726839.7000000002</v>
      </c>
      <c r="G10">
        <v>0.31369999999999998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0.24285714285714224</v>
      </c>
      <c r="Q10">
        <f t="shared" ref="Q10" si="26">F10*P10</f>
        <v>1390803.9271428536</v>
      </c>
      <c r="R10">
        <f t="shared" ref="R10" si="27">R11+Q10</f>
        <v>-463882042.09474075</v>
      </c>
      <c r="S10">
        <f t="shared" ref="S10" si="28">R10/100000</f>
        <v>-4638.8204209474079</v>
      </c>
      <c r="T10">
        <f t="shared" ref="T10" si="29">S10/1000</f>
        <v>-4.6388204209474075</v>
      </c>
    </row>
    <row r="11" spans="1:20" x14ac:dyDescent="0.25">
      <c r="A11" s="5">
        <v>44582</v>
      </c>
      <c r="B11">
        <v>0.41199999999999998</v>
      </c>
      <c r="C11">
        <v>0.41810000000000003</v>
      </c>
      <c r="D11">
        <v>0.33300000000000002</v>
      </c>
      <c r="E11">
        <v>0.33829999999999999</v>
      </c>
      <c r="F11">
        <v>5598184.7400000002</v>
      </c>
      <c r="G11">
        <v>0.33829999999999999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-0.87544065804935434</v>
      </c>
      <c r="Q11">
        <f t="shared" ref="Q11" si="31">F11*P11</f>
        <v>-4900878.5326674534</v>
      </c>
      <c r="R11">
        <f t="shared" ref="R11" si="32">R12+Q11</f>
        <v>-465272846.02188361</v>
      </c>
      <c r="S11">
        <f t="shared" ref="S11" si="33">R11/100000</f>
        <v>-4652.7284602188365</v>
      </c>
      <c r="T11">
        <f t="shared" ref="T11" si="34">S11/1000</f>
        <v>-4.6527284602188361</v>
      </c>
    </row>
    <row r="12" spans="1:20" x14ac:dyDescent="0.25">
      <c r="A12" s="5">
        <v>44581</v>
      </c>
      <c r="B12">
        <v>0.4395</v>
      </c>
      <c r="C12">
        <v>0.45479999999999998</v>
      </c>
      <c r="D12">
        <v>0.40899999999999997</v>
      </c>
      <c r="E12">
        <v>0.41139999999999999</v>
      </c>
      <c r="F12">
        <v>2043776.82</v>
      </c>
      <c r="G12">
        <v>0.41139999999999999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-0.89519650655021776</v>
      </c>
      <c r="Q12">
        <f t="shared" ref="Q12" si="36">F12*P12</f>
        <v>-1829581.8694323134</v>
      </c>
      <c r="R12">
        <f t="shared" ref="R12" si="37">R13+Q12</f>
        <v>-460371967.48921615</v>
      </c>
      <c r="S12">
        <f t="shared" ref="S12" si="38">R12/100000</f>
        <v>-4603.7196748921615</v>
      </c>
      <c r="T12">
        <f t="shared" ref="T12" si="39">S12/1000</f>
        <v>-4.6037196748921616</v>
      </c>
    </row>
    <row r="13" spans="1:20" x14ac:dyDescent="0.25">
      <c r="A13" s="5">
        <v>44580</v>
      </c>
      <c r="B13">
        <v>0.44280000000000003</v>
      </c>
      <c r="C13">
        <v>0.45979999999999999</v>
      </c>
      <c r="D13">
        <v>0.41489999999999999</v>
      </c>
      <c r="E13">
        <v>0.43880000000000002</v>
      </c>
      <c r="F13">
        <v>5027390</v>
      </c>
      <c r="G13">
        <v>0.43880000000000002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6.4587973273943639E-2</v>
      </c>
      <c r="Q13">
        <f t="shared" ref="Q13" si="41">F13*P13</f>
        <v>324708.93095769151</v>
      </c>
      <c r="R13">
        <f t="shared" ref="R13" si="42">R14+Q13</f>
        <v>-458542385.61978382</v>
      </c>
      <c r="S13">
        <f t="shared" ref="S13" si="43">R13/100000</f>
        <v>-4585.4238561978382</v>
      </c>
      <c r="T13">
        <f t="shared" ref="T13" si="44">S13/1000</f>
        <v>-4.5854238561978384</v>
      </c>
    </row>
    <row r="14" spans="1:20" x14ac:dyDescent="0.25">
      <c r="A14" s="5">
        <v>44579</v>
      </c>
      <c r="B14">
        <v>0.44850000000000001</v>
      </c>
      <c r="C14">
        <v>0.495</v>
      </c>
      <c r="D14">
        <v>0.41889999999999999</v>
      </c>
      <c r="E14">
        <v>0.44309999999999999</v>
      </c>
      <c r="F14">
        <v>6522863</v>
      </c>
      <c r="G14">
        <v>0.44309999999999999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-0.36399474375821289</v>
      </c>
      <c r="Q14">
        <f t="shared" ref="Q14" si="46">F14*P14</f>
        <v>-2374287.846254928</v>
      </c>
      <c r="R14">
        <f t="shared" ref="R14" si="47">R15+Q14</f>
        <v>-458867094.55074149</v>
      </c>
      <c r="S14">
        <f t="shared" ref="S14" si="48">R14/100000</f>
        <v>-4588.6709455074151</v>
      </c>
      <c r="T14">
        <f t="shared" ref="T14" si="49">S14/1000</f>
        <v>-4.5886709455074151</v>
      </c>
    </row>
    <row r="15" spans="1:20" x14ac:dyDescent="0.25">
      <c r="A15" s="5">
        <v>44578</v>
      </c>
      <c r="B15">
        <v>0.4677</v>
      </c>
      <c r="C15">
        <v>0.46929999999999999</v>
      </c>
      <c r="D15">
        <v>0.43640000000000001</v>
      </c>
      <c r="E15">
        <v>0.44879999999999998</v>
      </c>
      <c r="F15">
        <v>1169841</v>
      </c>
      <c r="G15">
        <v>0.44879999999999998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-0.24620060790273723</v>
      </c>
      <c r="Q15">
        <f t="shared" ref="Q15" si="51">F15*P15</f>
        <v>-288015.56534954603</v>
      </c>
      <c r="R15">
        <f t="shared" ref="R15" si="52">R16+Q15</f>
        <v>-456492806.70448655</v>
      </c>
      <c r="S15">
        <f t="shared" ref="S15" si="53">R15/100000</f>
        <v>-4564.9280670448652</v>
      </c>
      <c r="T15">
        <f t="shared" ref="T15" si="54">S15/1000</f>
        <v>-4.5649280670448649</v>
      </c>
    </row>
    <row r="16" spans="1:20" x14ac:dyDescent="0.25">
      <c r="A16" s="5">
        <v>44577</v>
      </c>
      <c r="B16">
        <v>0.47120000000000001</v>
      </c>
      <c r="C16">
        <v>0.48409999999999997</v>
      </c>
      <c r="D16">
        <v>0.46289999999999998</v>
      </c>
      <c r="E16">
        <v>0.4677</v>
      </c>
      <c r="F16">
        <v>1475645</v>
      </c>
      <c r="G16">
        <v>0.4677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-0.54716981132075215</v>
      </c>
      <c r="Q16">
        <f t="shared" ref="Q16" si="56">F16*P16</f>
        <v>-807428.39622641134</v>
      </c>
      <c r="R16">
        <f t="shared" ref="R16" si="57">R17+Q16</f>
        <v>-456204791.13913703</v>
      </c>
      <c r="S16">
        <f t="shared" ref="S16" si="58">R16/100000</f>
        <v>-4562.0479113913707</v>
      </c>
      <c r="T16">
        <f t="shared" ref="T16" si="59">S16/1000</f>
        <v>-4.562047911391371</v>
      </c>
    </row>
    <row r="17" spans="1:20" x14ac:dyDescent="0.25">
      <c r="A17" s="5">
        <v>44576</v>
      </c>
      <c r="B17">
        <v>0.46939999999999998</v>
      </c>
      <c r="C17">
        <v>0.48470000000000002</v>
      </c>
      <c r="D17">
        <v>0.4627</v>
      </c>
      <c r="E17">
        <v>0.47170000000000001</v>
      </c>
      <c r="F17">
        <v>1532236</v>
      </c>
      <c r="G17">
        <v>0.47170000000000001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-0.18181818181818182</v>
      </c>
      <c r="Q17">
        <f t="shared" ref="Q17" si="61">F17*P17</f>
        <v>-278588.36363636365</v>
      </c>
      <c r="R17">
        <f t="shared" ref="R17" si="62">R18+Q17</f>
        <v>-455397362.74291062</v>
      </c>
      <c r="S17">
        <f t="shared" ref="S17" si="63">R17/100000</f>
        <v>-4553.9736274291063</v>
      </c>
      <c r="T17">
        <f t="shared" ref="T17" si="64">S17/1000</f>
        <v>-4.5539736274291061</v>
      </c>
    </row>
    <row r="18" spans="1:20" x14ac:dyDescent="0.25">
      <c r="A18" s="5">
        <v>44575</v>
      </c>
      <c r="B18">
        <v>0.46039999999999998</v>
      </c>
      <c r="C18">
        <v>0.4783</v>
      </c>
      <c r="D18">
        <v>0.44690000000000002</v>
      </c>
      <c r="E18">
        <v>0.47</v>
      </c>
      <c r="F18">
        <v>1670839</v>
      </c>
      <c r="G18">
        <v>0.47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0.47133757961783224</v>
      </c>
      <c r="Q18">
        <f t="shared" ref="Q18" si="66">F18*P18</f>
        <v>787529.21019107918</v>
      </c>
      <c r="R18">
        <f t="shared" ref="R18" si="67">R19+Q18</f>
        <v>-455118774.37927425</v>
      </c>
      <c r="S18">
        <f t="shared" ref="S18" si="68">R18/100000</f>
        <v>-4551.1877437927424</v>
      </c>
      <c r="T18">
        <f t="shared" ref="T18" si="69">S18/1000</f>
        <v>-4.5511877437927426</v>
      </c>
    </row>
    <row r="19" spans="1:20" x14ac:dyDescent="0.25">
      <c r="A19" s="5">
        <v>44574</v>
      </c>
      <c r="B19">
        <v>0.49109999999999998</v>
      </c>
      <c r="C19">
        <v>0.495</v>
      </c>
      <c r="D19">
        <v>0.45660000000000001</v>
      </c>
      <c r="E19">
        <v>0.4607</v>
      </c>
      <c r="F19">
        <v>2157240</v>
      </c>
      <c r="G19">
        <v>0.4607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-0.7864583333333337</v>
      </c>
      <c r="Q19">
        <f t="shared" ref="Q19" si="71">F19*P19</f>
        <v>-1696579.3750000007</v>
      </c>
      <c r="R19">
        <f t="shared" ref="R19" si="72">R20+Q19</f>
        <v>-455906303.58946532</v>
      </c>
      <c r="S19">
        <f t="shared" ref="S19" si="73">R19/100000</f>
        <v>-4559.0630358946528</v>
      </c>
      <c r="T19">
        <f t="shared" ref="T19" si="74">S19/1000</f>
        <v>-4.5590630358946527</v>
      </c>
    </row>
    <row r="20" spans="1:20" x14ac:dyDescent="0.25">
      <c r="A20" s="5">
        <v>44573</v>
      </c>
      <c r="B20">
        <v>0.47589999999999999</v>
      </c>
      <c r="C20">
        <v>0.49790000000000001</v>
      </c>
      <c r="D20">
        <v>0.46300000000000002</v>
      </c>
      <c r="E20">
        <v>0.49120000000000003</v>
      </c>
      <c r="F20">
        <v>1832169</v>
      </c>
      <c r="G20">
        <v>0.49120000000000003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0.61604584527220707</v>
      </c>
      <c r="Q20">
        <f t="shared" ref="Q20" si="76">F20*P20</f>
        <v>1128700.1002865343</v>
      </c>
      <c r="R20">
        <f t="shared" ref="R20" si="77">R21+Q20</f>
        <v>-454209724.21446532</v>
      </c>
      <c r="S20">
        <f t="shared" ref="S20" si="78">R20/100000</f>
        <v>-4542.0972421446531</v>
      </c>
      <c r="T20">
        <f t="shared" ref="T20" si="79">S20/1000</f>
        <v>-4.5420972421446528</v>
      </c>
    </row>
    <row r="21" spans="1:20" x14ac:dyDescent="0.25">
      <c r="A21" s="5">
        <v>44572</v>
      </c>
      <c r="B21">
        <v>0.45250000000000001</v>
      </c>
      <c r="C21">
        <v>0.47789999999999999</v>
      </c>
      <c r="D21">
        <v>0.44259999999999999</v>
      </c>
      <c r="E21">
        <v>0.47510000000000002</v>
      </c>
      <c r="F21">
        <v>1726334</v>
      </c>
      <c r="G21">
        <v>0.47510000000000002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0.84135977337110657</v>
      </c>
      <c r="Q21">
        <f t="shared" ref="Q21" si="81">F21*P21</f>
        <v>1452467.9830028359</v>
      </c>
      <c r="R21">
        <f t="shared" ref="R21" si="82">R22+Q21</f>
        <v>-455338424.31475186</v>
      </c>
      <c r="S21">
        <f t="shared" ref="S21" si="83">R21/100000</f>
        <v>-4553.3842431475186</v>
      </c>
      <c r="T21">
        <f t="shared" ref="T21" si="84">S21/1000</f>
        <v>-4.5533842431475184</v>
      </c>
    </row>
    <row r="22" spans="1:20" x14ac:dyDescent="0.25">
      <c r="A22" s="5">
        <v>44571</v>
      </c>
      <c r="B22">
        <v>0.48130000000000001</v>
      </c>
      <c r="C22">
        <v>0.48720000000000002</v>
      </c>
      <c r="D22">
        <v>0.41909999999999997</v>
      </c>
      <c r="E22">
        <v>0.45250000000000001</v>
      </c>
      <c r="F22">
        <v>3395611.58</v>
      </c>
      <c r="G22">
        <v>0.45250000000000001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-1.9089574155652964E-2</v>
      </c>
      <c r="Q22">
        <f t="shared" ref="Q22" si="86">F22*P22</f>
        <v>-64820.779060203931</v>
      </c>
      <c r="R22">
        <f t="shared" ref="R22" si="87">R23+Q22</f>
        <v>-456790892.2977547</v>
      </c>
      <c r="S22">
        <f t="shared" ref="S22" si="88">R22/100000</f>
        <v>-4567.9089229775473</v>
      </c>
      <c r="T22">
        <f t="shared" ref="T22" si="89">S22/1000</f>
        <v>-4.5679089229775469</v>
      </c>
    </row>
    <row r="23" spans="1:20" x14ac:dyDescent="0.25">
      <c r="A23" s="5">
        <v>44570</v>
      </c>
      <c r="B23">
        <v>0.46839999999999998</v>
      </c>
      <c r="C23">
        <v>0.50760000000000005</v>
      </c>
      <c r="D23">
        <v>0.46160000000000001</v>
      </c>
      <c r="E23">
        <v>0.48170000000000002</v>
      </c>
      <c r="F23">
        <v>2353963</v>
      </c>
      <c r="G23">
        <v>0.48170000000000002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-0.12608695652173962</v>
      </c>
      <c r="Q23">
        <f t="shared" ref="Q23" si="91">F23*P23</f>
        <v>-296804.03043478378</v>
      </c>
      <c r="R23">
        <f t="shared" ref="R23" si="92">R24+Q23</f>
        <v>-456726071.51869452</v>
      </c>
      <c r="S23">
        <f t="shared" ref="S23" si="93">R23/100000</f>
        <v>-4567.2607151869452</v>
      </c>
      <c r="T23">
        <f t="shared" ref="T23" si="94">S23/1000</f>
        <v>-4.5672607151869453</v>
      </c>
    </row>
    <row r="24" spans="1:20" x14ac:dyDescent="0.25">
      <c r="A24" s="5">
        <v>44569</v>
      </c>
      <c r="B24">
        <v>0.49480000000000002</v>
      </c>
      <c r="C24">
        <v>0.55910000000000004</v>
      </c>
      <c r="D24">
        <v>0.46210000000000001</v>
      </c>
      <c r="E24">
        <v>0.46910000000000002</v>
      </c>
      <c r="F24">
        <v>5110779.1399999997</v>
      </c>
      <c r="G24">
        <v>0.46910000000000002</v>
      </c>
      <c r="L24" t="s">
        <v>7</v>
      </c>
      <c r="M24" t="s">
        <v>8</v>
      </c>
      <c r="N24" t="s">
        <v>7</v>
      </c>
      <c r="P24">
        <f t="shared" ref="P24" si="95">IF(C24=D24,0,((E24-D24)-(C24-E24))/(C24-D24))</f>
        <v>-0.85567010309278346</v>
      </c>
      <c r="Q24">
        <f t="shared" ref="Q24" si="96">F24*P24</f>
        <v>-4373140.9136082465</v>
      </c>
      <c r="R24">
        <f t="shared" ref="R24" si="97">R25+Q24</f>
        <v>-456429267.48825973</v>
      </c>
      <c r="S24">
        <f t="shared" ref="S24" si="98">R24/100000</f>
        <v>-4564.2926748825976</v>
      </c>
      <c r="T24">
        <f t="shared" ref="T24" si="99">S24/1000</f>
        <v>-4.5642926748825978</v>
      </c>
    </row>
    <row r="25" spans="1:20" x14ac:dyDescent="0.25">
      <c r="A25" s="5">
        <v>44568</v>
      </c>
      <c r="B25">
        <v>0.52600000000000002</v>
      </c>
      <c r="C25">
        <v>0.54330000000000001</v>
      </c>
      <c r="D25">
        <v>0.47810000000000002</v>
      </c>
      <c r="E25">
        <v>0.497</v>
      </c>
      <c r="F25">
        <v>3217494</v>
      </c>
      <c r="G25">
        <v>0.497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-0.42024539877300682</v>
      </c>
      <c r="Q25">
        <f t="shared" ref="Q25" si="101">F25*P25</f>
        <v>-1352137.0490797567</v>
      </c>
      <c r="R25">
        <f t="shared" ref="R25" si="102">R26+Q25</f>
        <v>-452056126.57465148</v>
      </c>
      <c r="S25">
        <f t="shared" ref="S25" si="103">R25/100000</f>
        <v>-4520.5612657465144</v>
      </c>
      <c r="T25">
        <f t="shared" ref="T25" si="104">S25/1000</f>
        <v>-4.5205612657465144</v>
      </c>
    </row>
    <row r="26" spans="1:20" x14ac:dyDescent="0.25">
      <c r="A26" s="5">
        <v>44567</v>
      </c>
      <c r="B26">
        <v>0.53390000000000004</v>
      </c>
      <c r="C26">
        <v>0.56000000000000005</v>
      </c>
      <c r="D26">
        <v>0.50390000000000001</v>
      </c>
      <c r="E26">
        <v>0.52559999999999996</v>
      </c>
      <c r="F26">
        <v>3405054</v>
      </c>
      <c r="G26">
        <v>0.52559999999999996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-0.22638146167558193</v>
      </c>
      <c r="Q26">
        <f t="shared" ref="Q26" si="106">F26*P26</f>
        <v>-770841.10160428693</v>
      </c>
      <c r="R26">
        <f t="shared" ref="R26" si="107">R27+Q26</f>
        <v>-450703989.5255717</v>
      </c>
      <c r="S26">
        <f t="shared" ref="S26" si="108">R26/100000</f>
        <v>-4507.0398952557171</v>
      </c>
      <c r="T26">
        <f t="shared" ref="T26" si="109">S26/1000</f>
        <v>-4.5070398952557174</v>
      </c>
    </row>
    <row r="27" spans="1:20" x14ac:dyDescent="0.25">
      <c r="A27" s="5">
        <v>44566</v>
      </c>
      <c r="B27">
        <v>0.58599999999999997</v>
      </c>
      <c r="C27">
        <v>0.59489999999999998</v>
      </c>
      <c r="D27">
        <v>0.52100000000000002</v>
      </c>
      <c r="E27">
        <v>0.53390000000000004</v>
      </c>
      <c r="F27">
        <v>3565436</v>
      </c>
      <c r="G27">
        <v>0.53390000000000004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-0.6508795669824079</v>
      </c>
      <c r="Q27">
        <f t="shared" ref="Q27" si="111">F27*P27</f>
        <v>-2320669.4397834884</v>
      </c>
      <c r="R27">
        <f t="shared" ref="R27" si="112">R28+Q27</f>
        <v>-449933148.42396742</v>
      </c>
      <c r="S27">
        <f t="shared" ref="S27" si="113">R27/100000</f>
        <v>-4499.331484239674</v>
      </c>
      <c r="T27">
        <f t="shared" ref="T27" si="114">S27/1000</f>
        <v>-4.4993314842396739</v>
      </c>
    </row>
    <row r="28" spans="1:20" x14ac:dyDescent="0.25">
      <c r="A28" s="5">
        <v>44565</v>
      </c>
      <c r="B28">
        <v>0.59350000000000003</v>
      </c>
      <c r="C28">
        <v>0.60709999999999997</v>
      </c>
      <c r="D28">
        <v>0.57199999999999995</v>
      </c>
      <c r="E28">
        <v>0.58640000000000003</v>
      </c>
      <c r="F28">
        <v>3062985</v>
      </c>
      <c r="G28">
        <v>0.58640000000000003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-0.17948717948717544</v>
      </c>
      <c r="Q28">
        <f t="shared" ref="Q28" si="116">F28*P28</f>
        <v>-549766.53846152604</v>
      </c>
      <c r="R28">
        <f t="shared" ref="R28" si="117">R29+Q28</f>
        <v>-447612478.98418391</v>
      </c>
      <c r="S28">
        <f t="shared" ref="S28" si="118">R28/100000</f>
        <v>-4476.1247898418387</v>
      </c>
      <c r="T28">
        <f t="shared" ref="T28" si="119">S28/1000</f>
        <v>-4.4761247898418386</v>
      </c>
    </row>
    <row r="29" spans="1:20" x14ac:dyDescent="0.25">
      <c r="A29" s="5">
        <v>44564</v>
      </c>
      <c r="B29">
        <v>0.60089999999999999</v>
      </c>
      <c r="C29">
        <v>0.63980000000000004</v>
      </c>
      <c r="D29">
        <v>0.57699999999999996</v>
      </c>
      <c r="E29">
        <v>0.59340000000000004</v>
      </c>
      <c r="F29">
        <v>4308139</v>
      </c>
      <c r="G29">
        <v>0.59340000000000004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-0.47770700636942481</v>
      </c>
      <c r="Q29">
        <f t="shared" ref="Q29" si="121">F29*P29</f>
        <v>-2058028.1847133674</v>
      </c>
      <c r="R29">
        <f t="shared" ref="R29" si="122">R30+Q29</f>
        <v>-447062712.4457224</v>
      </c>
      <c r="S29">
        <f t="shared" ref="S29" si="123">R29/100000</f>
        <v>-4470.6271244572245</v>
      </c>
      <c r="T29">
        <f t="shared" ref="T29" si="124">S29/1000</f>
        <v>-4.4706271244572244</v>
      </c>
    </row>
    <row r="30" spans="1:20" x14ac:dyDescent="0.25">
      <c r="A30" s="5">
        <v>44563</v>
      </c>
      <c r="B30">
        <v>0.58520000000000005</v>
      </c>
      <c r="C30">
        <v>0.61329999999999996</v>
      </c>
      <c r="D30">
        <v>0.57620000000000005</v>
      </c>
      <c r="E30">
        <v>0.60109999999999997</v>
      </c>
      <c r="F30">
        <v>3319207</v>
      </c>
      <c r="G30">
        <v>0.60109999999999997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0.3423180592991904</v>
      </c>
      <c r="Q30">
        <f t="shared" ref="Q30" si="126">F30*P30</f>
        <v>1136224.498652288</v>
      </c>
      <c r="R30">
        <f t="shared" ref="R30" si="127">R31+Q30</f>
        <v>-445004684.26100904</v>
      </c>
      <c r="S30">
        <f t="shared" ref="S30" si="128">R30/100000</f>
        <v>-4450.0468426100906</v>
      </c>
      <c r="T30">
        <f t="shared" ref="T30" si="129">S30/1000</f>
        <v>-4.4500468426100905</v>
      </c>
    </row>
    <row r="31" spans="1:20" x14ac:dyDescent="0.25">
      <c r="A31" s="5">
        <v>44562</v>
      </c>
      <c r="B31">
        <v>0.57689999999999997</v>
      </c>
      <c r="C31">
        <v>0.59179999999999999</v>
      </c>
      <c r="D31">
        <v>0.57230000000000003</v>
      </c>
      <c r="E31">
        <v>0.58620000000000005</v>
      </c>
      <c r="F31">
        <v>1730065</v>
      </c>
      <c r="G31">
        <v>0.58620000000000005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0.42564102564103085</v>
      </c>
      <c r="Q31">
        <f t="shared" ref="Q31" si="131">F31*P31</f>
        <v>736386.64102565008</v>
      </c>
      <c r="R31">
        <f t="shared" ref="R31" si="132">R32+Q31</f>
        <v>-446140908.75966132</v>
      </c>
      <c r="S31">
        <f t="shared" ref="S31" si="133">R31/100000</f>
        <v>-4461.4090875966131</v>
      </c>
      <c r="T31">
        <f t="shared" ref="T31" si="134">S31/1000</f>
        <v>-4.4614090875966133</v>
      </c>
    </row>
    <row r="32" spans="1:20" x14ac:dyDescent="0.25">
      <c r="A32" s="5">
        <v>44561</v>
      </c>
      <c r="B32">
        <v>0.58540000000000003</v>
      </c>
      <c r="C32">
        <v>0.60940000000000005</v>
      </c>
      <c r="D32">
        <v>0.56999999999999995</v>
      </c>
      <c r="E32">
        <v>0.57679999999999998</v>
      </c>
      <c r="F32">
        <v>2361570</v>
      </c>
      <c r="G32">
        <v>0.57679999999999998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-0.65482233502538012</v>
      </c>
      <c r="Q32">
        <f t="shared" ref="Q32" si="136">F32*P32</f>
        <v>-1546408.781725887</v>
      </c>
      <c r="R32">
        <f t="shared" ref="R32" si="137">R33+Q32</f>
        <v>-446877295.40068698</v>
      </c>
      <c r="S32">
        <f t="shared" ref="S32" si="138">R32/100000</f>
        <v>-4468.7729540068694</v>
      </c>
      <c r="T32">
        <f t="shared" ref="T32" si="139">S32/1000</f>
        <v>-4.4687729540068695</v>
      </c>
    </row>
    <row r="33" spans="1:20" x14ac:dyDescent="0.25">
      <c r="A33" s="5">
        <v>44560</v>
      </c>
      <c r="B33">
        <v>0.58150000000000002</v>
      </c>
      <c r="C33">
        <v>0.5988</v>
      </c>
      <c r="D33">
        <v>0.56659999999999999</v>
      </c>
      <c r="E33">
        <v>0.58499999999999996</v>
      </c>
      <c r="F33">
        <v>2542235</v>
      </c>
      <c r="G33">
        <v>0.58499999999999996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0.14285714285714088</v>
      </c>
      <c r="Q33">
        <f t="shared" ref="Q33" si="141">F33*P33</f>
        <v>363176.42857142352</v>
      </c>
      <c r="R33">
        <f t="shared" ref="R33" si="142">R34+Q33</f>
        <v>-445330886.6189611</v>
      </c>
      <c r="S33">
        <f t="shared" ref="S33" si="143">R33/100000</f>
        <v>-4453.3088661896109</v>
      </c>
      <c r="T33">
        <f t="shared" ref="T33" si="144">S33/1000</f>
        <v>-4.4533088661896105</v>
      </c>
    </row>
    <row r="34" spans="1:20" x14ac:dyDescent="0.25">
      <c r="A34" s="5">
        <v>44559</v>
      </c>
      <c r="B34">
        <v>0.59219999999999995</v>
      </c>
      <c r="C34">
        <v>0.61380000000000001</v>
      </c>
      <c r="D34">
        <v>0.57940000000000003</v>
      </c>
      <c r="E34">
        <v>0.58150000000000002</v>
      </c>
      <c r="F34">
        <v>4078900</v>
      </c>
      <c r="G34">
        <v>0.58150000000000002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-0.8779069767441865</v>
      </c>
      <c r="Q34">
        <f t="shared" ref="Q34" si="146">F34*P34</f>
        <v>-3580894.7674418623</v>
      </c>
      <c r="R34">
        <f t="shared" ref="R34" si="147">R35+Q34</f>
        <v>-445694063.0475325</v>
      </c>
      <c r="S34">
        <f t="shared" ref="S34" si="148">R34/100000</f>
        <v>-4456.9406304753247</v>
      </c>
      <c r="T34">
        <f t="shared" ref="T34" si="149">S34/1000</f>
        <v>-4.4569406304753247</v>
      </c>
    </row>
    <row r="35" spans="1:20" x14ac:dyDescent="0.25">
      <c r="A35" s="5">
        <v>44558</v>
      </c>
      <c r="B35">
        <v>0.6643</v>
      </c>
      <c r="C35">
        <v>0.67479999999999996</v>
      </c>
      <c r="D35">
        <v>0.57999999999999996</v>
      </c>
      <c r="E35">
        <v>0.59219999999999995</v>
      </c>
      <c r="F35">
        <v>6520780</v>
      </c>
      <c r="G35">
        <v>0.59219999999999995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-0.74261603375527452</v>
      </c>
      <c r="Q35">
        <f t="shared" ref="Q35" si="151">F35*P35</f>
        <v>-4842435.7805907186</v>
      </c>
      <c r="R35">
        <f t="shared" ref="R35" si="152">R36+Q35</f>
        <v>-442113168.28009063</v>
      </c>
      <c r="S35">
        <f t="shared" ref="S35" si="153">R35/100000</f>
        <v>-4421.1316828009067</v>
      </c>
      <c r="T35">
        <f t="shared" ref="T35" si="154">S35/1000</f>
        <v>-4.4211316828009064</v>
      </c>
    </row>
    <row r="36" spans="1:20" x14ac:dyDescent="0.25">
      <c r="A36" s="5">
        <v>44557</v>
      </c>
      <c r="B36">
        <v>0.63780000000000003</v>
      </c>
      <c r="C36">
        <v>0.75409999999999999</v>
      </c>
      <c r="D36">
        <v>0.62990000000000002</v>
      </c>
      <c r="E36">
        <v>0.6643</v>
      </c>
      <c r="F36">
        <v>13087173</v>
      </c>
      <c r="G36">
        <v>0.6643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-0.44605475040257658</v>
      </c>
      <c r="Q36">
        <f t="shared" ref="Q36" si="156">F36*P36</f>
        <v>-5837595.6859903391</v>
      </c>
      <c r="R36">
        <f t="shared" ref="R36" si="157">R37+Q36</f>
        <v>-437270732.49949992</v>
      </c>
      <c r="S36">
        <f t="shared" ref="S36" si="158">R36/100000</f>
        <v>-4372.707324994999</v>
      </c>
      <c r="T36">
        <f t="shared" ref="T36" si="159">S36/1000</f>
        <v>-4.372707324994999</v>
      </c>
    </row>
    <row r="37" spans="1:20" x14ac:dyDescent="0.25">
      <c r="A37" s="5">
        <v>44556</v>
      </c>
      <c r="B37">
        <v>0.62290000000000001</v>
      </c>
      <c r="C37">
        <v>0.65769999999999995</v>
      </c>
      <c r="D37">
        <v>0.61439999999999995</v>
      </c>
      <c r="E37">
        <v>0.63939999999999997</v>
      </c>
      <c r="F37">
        <v>5403225</v>
      </c>
      <c r="G37">
        <v>0.63939999999999997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0.15473441108545125</v>
      </c>
      <c r="Q37">
        <f t="shared" ref="Q37" si="161">F37*P37</f>
        <v>836064.83833718731</v>
      </c>
      <c r="R37">
        <f t="shared" ref="R37" si="162">R38+Q37</f>
        <v>-431433136.81350958</v>
      </c>
      <c r="S37">
        <f t="shared" ref="S37" si="163">R37/100000</f>
        <v>-4314.3313681350955</v>
      </c>
      <c r="T37">
        <f t="shared" ref="T37" si="164">S37/1000</f>
        <v>-4.3143313681350959</v>
      </c>
    </row>
    <row r="38" spans="1:20" x14ac:dyDescent="0.25">
      <c r="A38" s="5">
        <v>44555</v>
      </c>
      <c r="B38">
        <v>0.60829999999999995</v>
      </c>
      <c r="C38">
        <v>0.66</v>
      </c>
      <c r="D38">
        <v>0.59799999999999998</v>
      </c>
      <c r="E38">
        <v>0.62250000000000005</v>
      </c>
      <c r="F38">
        <v>6889995</v>
      </c>
      <c r="G38">
        <v>0.62250000000000005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-0.20967741935483691</v>
      </c>
      <c r="Q38">
        <f t="shared" ref="Q38" si="166">F38*P38</f>
        <v>-1444676.3709677295</v>
      </c>
      <c r="R38">
        <f t="shared" ref="R38" si="167">R39+Q38</f>
        <v>-432269201.65184677</v>
      </c>
      <c r="S38">
        <f t="shared" ref="S38" si="168">R38/100000</f>
        <v>-4322.6920165184674</v>
      </c>
      <c r="T38">
        <f t="shared" ref="T38" si="169">S38/1000</f>
        <v>-4.3226920165184675</v>
      </c>
    </row>
    <row r="39" spans="1:20" x14ac:dyDescent="0.25">
      <c r="A39" s="5">
        <v>44554</v>
      </c>
      <c r="B39">
        <v>0.63200000000000001</v>
      </c>
      <c r="C39">
        <v>0.64980000000000004</v>
      </c>
      <c r="D39">
        <v>0.60540000000000005</v>
      </c>
      <c r="E39">
        <v>0.60640000000000005</v>
      </c>
      <c r="F39">
        <v>5303676</v>
      </c>
      <c r="G39">
        <v>0.60640000000000005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-0.95495495495495486</v>
      </c>
      <c r="Q39">
        <f t="shared" ref="Q39" si="171">F39*P39</f>
        <v>-5064771.6756756753</v>
      </c>
      <c r="R39">
        <f t="shared" ref="R39" si="172">R40+Q39</f>
        <v>-430824525.28087902</v>
      </c>
      <c r="S39">
        <f t="shared" ref="S39" si="173">R39/100000</f>
        <v>-4308.2452528087906</v>
      </c>
      <c r="T39">
        <f t="shared" ref="T39" si="174">S39/1000</f>
        <v>-4.3082452528087902</v>
      </c>
    </row>
    <row r="40" spans="1:20" x14ac:dyDescent="0.25">
      <c r="A40" s="5">
        <v>44553</v>
      </c>
      <c r="B40">
        <v>0.60589999999999999</v>
      </c>
      <c r="C40">
        <v>0.68</v>
      </c>
      <c r="D40">
        <v>0.58440000000000003</v>
      </c>
      <c r="E40">
        <v>0.63160000000000005</v>
      </c>
      <c r="F40">
        <v>8861813</v>
      </c>
      <c r="G40">
        <v>0.63160000000000005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-1.2552301255229902E-2</v>
      </c>
      <c r="Q40">
        <f t="shared" ref="Q40" si="176">F40*P40</f>
        <v>-111236.14644351265</v>
      </c>
      <c r="R40">
        <f t="shared" ref="R40" si="177">R41+Q40</f>
        <v>-425759753.60520333</v>
      </c>
      <c r="S40">
        <f t="shared" ref="S40" si="178">R40/100000</f>
        <v>-4257.5975360520333</v>
      </c>
      <c r="T40">
        <f t="shared" ref="T40" si="179">S40/1000</f>
        <v>-4.2575975360520335</v>
      </c>
    </row>
    <row r="41" spans="1:20" x14ac:dyDescent="0.25">
      <c r="A41" s="5">
        <v>44552</v>
      </c>
      <c r="B41">
        <v>0.59930000000000005</v>
      </c>
      <c r="C41">
        <v>0.64900000000000002</v>
      </c>
      <c r="D41">
        <v>0.59709999999999996</v>
      </c>
      <c r="E41">
        <v>0.60609999999999997</v>
      </c>
      <c r="F41">
        <v>6217810</v>
      </c>
      <c r="G41">
        <v>0.60609999999999997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-0.65317919075144515</v>
      </c>
      <c r="Q41">
        <f t="shared" ref="Q41" si="181">F41*P41</f>
        <v>-4061344.1040462432</v>
      </c>
      <c r="R41">
        <f t="shared" ref="R41" si="182">R42+Q41</f>
        <v>-425648517.45875984</v>
      </c>
      <c r="S41">
        <f t="shared" ref="S41" si="183">R41/100000</f>
        <v>-4256.4851745875985</v>
      </c>
      <c r="T41">
        <f t="shared" ref="T41" si="184">S41/1000</f>
        <v>-4.2564851745875982</v>
      </c>
    </row>
    <row r="42" spans="1:20" x14ac:dyDescent="0.25">
      <c r="A42" s="5">
        <v>44551</v>
      </c>
      <c r="B42">
        <v>0.60240000000000005</v>
      </c>
      <c r="C42">
        <v>0.61170000000000002</v>
      </c>
      <c r="D42">
        <v>0.58409999999999995</v>
      </c>
      <c r="E42">
        <v>0.60060000000000002</v>
      </c>
      <c r="F42">
        <v>3279054</v>
      </c>
      <c r="G42">
        <v>0.60060000000000002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0.19565217391304557</v>
      </c>
      <c r="Q42">
        <f t="shared" ref="Q42" si="186">F42*P42</f>
        <v>641554.04347826773</v>
      </c>
      <c r="R42">
        <f t="shared" ref="R42" si="187">R43+Q42</f>
        <v>-421587173.35471362</v>
      </c>
      <c r="S42">
        <f t="shared" ref="S42" si="188">R42/100000</f>
        <v>-4215.8717335471365</v>
      </c>
      <c r="T42">
        <f t="shared" ref="T42" si="189">S42/1000</f>
        <v>-4.2158717335471367</v>
      </c>
    </row>
    <row r="43" spans="1:20" x14ac:dyDescent="0.25">
      <c r="A43" s="5">
        <v>44550</v>
      </c>
      <c r="B43">
        <v>0.61439999999999995</v>
      </c>
      <c r="C43">
        <v>0.62190000000000001</v>
      </c>
      <c r="D43">
        <v>0.56720000000000004</v>
      </c>
      <c r="E43">
        <v>0.60260000000000002</v>
      </c>
      <c r="F43">
        <v>4584400</v>
      </c>
      <c r="G43">
        <v>0.60260000000000002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0.29433272394881194</v>
      </c>
      <c r="Q43">
        <f t="shared" ref="Q43" si="191">F43*P43</f>
        <v>1349338.9396709334</v>
      </c>
      <c r="R43">
        <f t="shared" ref="R43" si="192">R44+Q43</f>
        <v>-422228727.39819187</v>
      </c>
      <c r="S43">
        <f t="shared" ref="S43" si="193">R43/100000</f>
        <v>-4222.2872739819186</v>
      </c>
      <c r="T43">
        <f t="shared" ref="T43" si="194">S43/1000</f>
        <v>-4.2222872739819186</v>
      </c>
    </row>
    <row r="44" spans="1:20" x14ac:dyDescent="0.25">
      <c r="A44" s="5">
        <v>44549</v>
      </c>
      <c r="B44">
        <v>0.62419999999999998</v>
      </c>
      <c r="C44">
        <v>0.68</v>
      </c>
      <c r="D44">
        <v>0.61170000000000002</v>
      </c>
      <c r="E44">
        <v>0.61439999999999995</v>
      </c>
      <c r="F44">
        <v>8394637</v>
      </c>
      <c r="G44">
        <v>0.61439999999999995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-0.92093704245973873</v>
      </c>
      <c r="Q44">
        <f t="shared" ref="Q44" si="196">F44*P44</f>
        <v>-7730932.1713030934</v>
      </c>
      <c r="R44">
        <f t="shared" ref="R44" si="197">R45+Q44</f>
        <v>-423578066.33786279</v>
      </c>
      <c r="S44">
        <f t="shared" ref="S44" si="198">R44/100000</f>
        <v>-4235.7806633786277</v>
      </c>
      <c r="T44">
        <f t="shared" ref="T44" si="199">S44/1000</f>
        <v>-4.2357806633786277</v>
      </c>
    </row>
    <row r="45" spans="1:20" x14ac:dyDescent="0.25">
      <c r="A45" s="5">
        <v>44548</v>
      </c>
      <c r="B45">
        <v>0.6633</v>
      </c>
      <c r="C45">
        <v>0.69010000000000005</v>
      </c>
      <c r="D45">
        <v>0.61399999999999999</v>
      </c>
      <c r="E45">
        <v>0.62409999999999999</v>
      </c>
      <c r="F45">
        <v>12865973</v>
      </c>
      <c r="G45">
        <v>0.62409999999999999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-0.73455978975032876</v>
      </c>
      <c r="Q45">
        <f t="shared" ref="Q45" si="201">F45*P45</f>
        <v>-9450826.4218134061</v>
      </c>
      <c r="R45">
        <f t="shared" ref="R45" si="202">R46+Q45</f>
        <v>-415847134.1665597</v>
      </c>
      <c r="S45">
        <f t="shared" ref="S45" si="203">R45/100000</f>
        <v>-4158.4713416655968</v>
      </c>
      <c r="T45">
        <f t="shared" ref="T45" si="204">S45/1000</f>
        <v>-4.1584713416655967</v>
      </c>
    </row>
    <row r="46" spans="1:20" x14ac:dyDescent="0.25">
      <c r="A46" s="5">
        <v>44547</v>
      </c>
      <c r="B46">
        <v>0.60729999999999995</v>
      </c>
      <c r="C46">
        <v>0.78</v>
      </c>
      <c r="D46">
        <v>0.56389999999999996</v>
      </c>
      <c r="E46">
        <v>0.66369999999999996</v>
      </c>
      <c r="F46">
        <v>32776653</v>
      </c>
      <c r="G46">
        <v>0.66369999999999996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-7.6353540027765218E-2</v>
      </c>
      <c r="Q46">
        <f t="shared" ref="Q46" si="206">F46*P46</f>
        <v>-2502613.4868116709</v>
      </c>
      <c r="R46">
        <f t="shared" ref="R46" si="207">R47+Q46</f>
        <v>-406396307.74474627</v>
      </c>
      <c r="S46">
        <f t="shared" ref="S46" si="208">R46/100000</f>
        <v>-4063.9630774474626</v>
      </c>
      <c r="T46">
        <f t="shared" ref="T46" si="209">S46/1000</f>
        <v>-4.0639630774474629</v>
      </c>
    </row>
    <row r="47" spans="1:20" x14ac:dyDescent="0.25">
      <c r="A47" s="5">
        <v>44546</v>
      </c>
      <c r="B47">
        <v>0.58440000000000003</v>
      </c>
      <c r="C47">
        <v>0.65100000000000002</v>
      </c>
      <c r="D47">
        <v>0.57430000000000003</v>
      </c>
      <c r="E47">
        <v>0.60729999999999995</v>
      </c>
      <c r="F47">
        <v>6944549</v>
      </c>
      <c r="G47">
        <v>0.60729999999999995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-0.13950456323337881</v>
      </c>
      <c r="Q47">
        <f t="shared" ref="Q47" si="211">F47*P47</f>
        <v>-968796.27509779762</v>
      </c>
      <c r="R47">
        <f t="shared" ref="R47" si="212">R48+Q47</f>
        <v>-403893694.25793457</v>
      </c>
      <c r="S47">
        <f t="shared" ref="S47" si="213">R47/100000</f>
        <v>-4038.9369425793457</v>
      </c>
      <c r="T47">
        <f t="shared" ref="T47" si="214">S47/1000</f>
        <v>-4.0389369425793458</v>
      </c>
    </row>
    <row r="48" spans="1:20" x14ac:dyDescent="0.25">
      <c r="A48" s="5">
        <v>44545</v>
      </c>
      <c r="B48">
        <v>0.56079999999999997</v>
      </c>
      <c r="C48">
        <v>0.59709999999999996</v>
      </c>
      <c r="D48">
        <v>0.52880000000000005</v>
      </c>
      <c r="E48">
        <v>0.5847</v>
      </c>
      <c r="F48">
        <v>4735286</v>
      </c>
      <c r="G48">
        <v>0.5847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0.63689604685212353</v>
      </c>
      <c r="Q48">
        <f t="shared" ref="Q48" si="216">F48*P48</f>
        <v>3015884.9341142047</v>
      </c>
      <c r="R48">
        <f t="shared" ref="R48" si="217">R49+Q48</f>
        <v>-402924897.98283678</v>
      </c>
      <c r="S48">
        <f t="shared" ref="S48" si="218">R48/100000</f>
        <v>-4029.2489798283677</v>
      </c>
      <c r="T48">
        <f t="shared" ref="T48" si="219">S48/1000</f>
        <v>-4.0292489798283677</v>
      </c>
    </row>
    <row r="49" spans="1:20" x14ac:dyDescent="0.25">
      <c r="A49" s="5">
        <v>44544</v>
      </c>
      <c r="B49">
        <v>0.5766</v>
      </c>
      <c r="C49">
        <v>0.60140000000000005</v>
      </c>
      <c r="D49">
        <v>0.55469999999999997</v>
      </c>
      <c r="E49">
        <v>0.55959999999999999</v>
      </c>
      <c r="F49">
        <v>4223089</v>
      </c>
      <c r="G49">
        <v>0.55959999999999999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-0.79014989293361848</v>
      </c>
      <c r="Q49">
        <f t="shared" ref="Q49" si="221">F49*P49</f>
        <v>-3336873.3211991419</v>
      </c>
      <c r="R49">
        <f t="shared" ref="R49" si="222">R50+Q49</f>
        <v>-405940782.916951</v>
      </c>
      <c r="S49">
        <f t="shared" ref="S49" si="223">R49/100000</f>
        <v>-4059.40782916951</v>
      </c>
      <c r="T49">
        <f t="shared" ref="T49" si="224">S49/1000</f>
        <v>-4.0594078291695102</v>
      </c>
    </row>
    <row r="50" spans="1:20" x14ac:dyDescent="0.25">
      <c r="A50" s="5">
        <v>44543</v>
      </c>
      <c r="B50">
        <v>0.66549999999999998</v>
      </c>
      <c r="C50">
        <v>0.67390000000000005</v>
      </c>
      <c r="D50">
        <v>0.57340000000000002</v>
      </c>
      <c r="E50">
        <v>0.5766</v>
      </c>
      <c r="F50">
        <v>5302902</v>
      </c>
      <c r="G50">
        <v>0.5766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-0.93631840796019938</v>
      </c>
      <c r="Q50">
        <f t="shared" ref="Q50" si="226">F50*P50</f>
        <v>-4965204.7582089575</v>
      </c>
      <c r="R50">
        <f t="shared" ref="R50" si="227">R51+Q50</f>
        <v>-402603909.59575188</v>
      </c>
      <c r="S50">
        <f t="shared" ref="S50" si="228">R50/100000</f>
        <v>-4026.0390959575188</v>
      </c>
      <c r="T50">
        <f t="shared" ref="T50" si="229">S50/1000</f>
        <v>-4.0260390959575192</v>
      </c>
    </row>
    <row r="51" spans="1:20" x14ac:dyDescent="0.25">
      <c r="A51" s="5">
        <v>44542</v>
      </c>
      <c r="B51">
        <v>0.68140000000000001</v>
      </c>
      <c r="C51">
        <v>0.69979999999999998</v>
      </c>
      <c r="D51">
        <v>0.6573</v>
      </c>
      <c r="E51">
        <v>0.66659999999999997</v>
      </c>
      <c r="F51">
        <v>3366156</v>
      </c>
      <c r="G51">
        <v>0.66659999999999997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-0.56235294117647161</v>
      </c>
      <c r="Q51">
        <f t="shared" ref="Q51" si="231">F51*P51</f>
        <v>-1892967.7270588269</v>
      </c>
      <c r="R51">
        <f t="shared" ref="R51" si="232">R52+Q51</f>
        <v>-397638704.83754295</v>
      </c>
      <c r="S51">
        <f t="shared" ref="S51" si="233">R51/100000</f>
        <v>-3976.3870483754295</v>
      </c>
      <c r="T51">
        <f t="shared" ref="T51" si="234">S51/1000</f>
        <v>-3.9763870483754293</v>
      </c>
    </row>
    <row r="52" spans="1:20" x14ac:dyDescent="0.25">
      <c r="A52" s="5">
        <v>44541</v>
      </c>
      <c r="B52">
        <v>0.65459999999999996</v>
      </c>
      <c r="C52">
        <v>0.66420000000000001</v>
      </c>
      <c r="D52">
        <v>0.64170000000000005</v>
      </c>
      <c r="E52">
        <v>0.65890000000000004</v>
      </c>
      <c r="F52">
        <v>434955</v>
      </c>
      <c r="G52">
        <v>0.65890000000000004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0.52888888888889074</v>
      </c>
      <c r="Q52">
        <f t="shared" ref="Q52" si="236">F52*P52</f>
        <v>230042.86666666748</v>
      </c>
      <c r="R52">
        <f t="shared" ref="R52" si="237">R53+Q52</f>
        <v>-395745737.11048412</v>
      </c>
      <c r="S52">
        <f t="shared" ref="S52" si="238">R52/100000</f>
        <v>-3957.4573711048411</v>
      </c>
      <c r="T52">
        <f t="shared" ref="T52" si="239">S52/1000</f>
        <v>-3.9574573711048409</v>
      </c>
    </row>
    <row r="53" spans="1:20" x14ac:dyDescent="0.25">
      <c r="A53" s="5">
        <v>44540</v>
      </c>
      <c r="B53">
        <v>0.71150000000000002</v>
      </c>
      <c r="C53">
        <v>0.73580000000000001</v>
      </c>
      <c r="D53">
        <v>0.65</v>
      </c>
      <c r="E53">
        <v>0.65580000000000005</v>
      </c>
      <c r="F53">
        <v>6645994</v>
      </c>
      <c r="G53">
        <v>0.65580000000000005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-0.86480186480186416</v>
      </c>
      <c r="Q53">
        <f t="shared" ref="Q53" si="241">F53*P53</f>
        <v>-5747468.0046620006</v>
      </c>
      <c r="R53">
        <f t="shared" ref="R53" si="242">R54+Q53</f>
        <v>-395975779.9771508</v>
      </c>
      <c r="S53">
        <f t="shared" ref="S53" si="243">R53/100000</f>
        <v>-3959.757799771508</v>
      </c>
      <c r="T53">
        <f t="shared" ref="T53" si="244">S53/1000</f>
        <v>-3.9597577997715079</v>
      </c>
    </row>
    <row r="54" spans="1:20" x14ac:dyDescent="0.25">
      <c r="A54" s="5">
        <v>44539</v>
      </c>
      <c r="B54">
        <v>0.79110000000000003</v>
      </c>
      <c r="C54">
        <v>0.79600000000000004</v>
      </c>
      <c r="D54">
        <v>0.70520000000000005</v>
      </c>
      <c r="E54">
        <v>0.71140000000000003</v>
      </c>
      <c r="F54">
        <v>9897820</v>
      </c>
      <c r="G54">
        <v>0.71140000000000003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-0.863436123348018</v>
      </c>
      <c r="Q54">
        <f t="shared" ref="Q54" si="246">F54*P54</f>
        <v>-8546135.330396479</v>
      </c>
      <c r="R54">
        <f t="shared" ref="R54" si="247">R55+Q54</f>
        <v>-390228311.97248882</v>
      </c>
      <c r="S54">
        <f t="shared" ref="S54" si="248">R54/100000</f>
        <v>-3902.2831197248884</v>
      </c>
      <c r="T54">
        <f t="shared" ref="T54" si="249">S54/1000</f>
        <v>-3.9022831197248884</v>
      </c>
    </row>
    <row r="55" spans="1:20" x14ac:dyDescent="0.25">
      <c r="A55" s="5">
        <v>44538</v>
      </c>
      <c r="B55">
        <v>0.74350000000000005</v>
      </c>
      <c r="C55">
        <v>0.84860000000000002</v>
      </c>
      <c r="D55">
        <v>0.72729999999999995</v>
      </c>
      <c r="E55">
        <v>0.79110000000000003</v>
      </c>
      <c r="F55">
        <v>23743903</v>
      </c>
      <c r="G55">
        <v>0.79110000000000003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5.1937345424567842E-2</v>
      </c>
      <c r="Q55">
        <f t="shared" ref="Q55" si="251">F55*P55</f>
        <v>1233195.2918384327</v>
      </c>
      <c r="R55">
        <f t="shared" ref="R55" si="252">R56+Q55</f>
        <v>-381682176.64209235</v>
      </c>
      <c r="S55">
        <f t="shared" ref="S55" si="253">R55/100000</f>
        <v>-3816.8217664209233</v>
      </c>
      <c r="T55">
        <f t="shared" ref="T55" si="254">S55/1000</f>
        <v>-3.8168217664209232</v>
      </c>
    </row>
    <row r="56" spans="1:20" x14ac:dyDescent="0.25">
      <c r="A56" s="5">
        <v>44537</v>
      </c>
      <c r="B56">
        <v>0.753</v>
      </c>
      <c r="C56">
        <v>0.79</v>
      </c>
      <c r="D56">
        <v>0.72319999999999995</v>
      </c>
      <c r="E56">
        <v>0.74350000000000005</v>
      </c>
      <c r="F56">
        <v>9252574</v>
      </c>
      <c r="G56">
        <v>0.74350000000000005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-0.39221556886227332</v>
      </c>
      <c r="Q56">
        <f t="shared" ref="Q56" si="256">F56*P56</f>
        <v>-3629003.5748502798</v>
      </c>
      <c r="R56">
        <f t="shared" ref="R56" si="257">R57+Q56</f>
        <v>-382915371.93393075</v>
      </c>
      <c r="S56">
        <f t="shared" ref="S56" si="258">R56/100000</f>
        <v>-3829.1537193393074</v>
      </c>
      <c r="T56">
        <f t="shared" ref="T56" si="259">S56/1000</f>
        <v>-3.8291537193393075</v>
      </c>
    </row>
    <row r="57" spans="1:20" x14ac:dyDescent="0.25">
      <c r="A57" s="5">
        <v>44536</v>
      </c>
      <c r="B57">
        <v>0.84599999999999997</v>
      </c>
      <c r="C57">
        <v>0.84599999999999997</v>
      </c>
      <c r="D57">
        <v>0.67520000000000002</v>
      </c>
      <c r="E57">
        <v>0.75470000000000004</v>
      </c>
      <c r="F57">
        <v>15598025</v>
      </c>
      <c r="G57">
        <v>0.75470000000000004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-6.9086651053863732E-2</v>
      </c>
      <c r="Q57">
        <f t="shared" ref="Q57" si="261">F57*P57</f>
        <v>-1077615.3103044429</v>
      </c>
      <c r="R57">
        <f t="shared" ref="R57" si="262">R58+Q57</f>
        <v>-379286368.35908049</v>
      </c>
      <c r="S57">
        <f t="shared" ref="S57" si="263">R57/100000</f>
        <v>-3792.8636835908051</v>
      </c>
      <c r="T57">
        <f t="shared" ref="T57" si="264">S57/1000</f>
        <v>-3.7928636835908049</v>
      </c>
    </row>
    <row r="58" spans="1:20" x14ac:dyDescent="0.25">
      <c r="A58" s="5">
        <v>44535</v>
      </c>
      <c r="B58">
        <v>0.73299999999999998</v>
      </c>
      <c r="C58">
        <v>0.92410000000000003</v>
      </c>
      <c r="D58">
        <v>0.72</v>
      </c>
      <c r="E58">
        <v>0.84450000000000003</v>
      </c>
      <c r="F58">
        <v>22954613</v>
      </c>
      <c r="G58">
        <v>0.84450000000000003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0.21999020088192081</v>
      </c>
      <c r="Q58">
        <f t="shared" ref="Q58" si="266">F58*P58</f>
        <v>5049789.9250367507</v>
      </c>
      <c r="R58">
        <f t="shared" ref="R58" si="267">R59+Q58</f>
        <v>-378208753.04877603</v>
      </c>
      <c r="S58">
        <f t="shared" ref="S58" si="268">R58/100000</f>
        <v>-3782.0875304877604</v>
      </c>
      <c r="T58">
        <f t="shared" ref="T58" si="269">S58/1000</f>
        <v>-3.7820875304877606</v>
      </c>
    </row>
    <row r="59" spans="1:20" x14ac:dyDescent="0.25">
      <c r="A59" s="5">
        <v>44534</v>
      </c>
      <c r="B59">
        <v>0.85329999999999995</v>
      </c>
      <c r="C59">
        <v>0.95879999999999999</v>
      </c>
      <c r="D59">
        <v>0.65</v>
      </c>
      <c r="E59">
        <v>0.72989999999999999</v>
      </c>
      <c r="F59">
        <v>46423157</v>
      </c>
      <c r="G59">
        <v>0.72989999999999999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-0.48251295336787575</v>
      </c>
      <c r="Q59">
        <f t="shared" ref="Q59" si="271">F59*P59</f>
        <v>-22399774.588730574</v>
      </c>
      <c r="R59">
        <f t="shared" ref="R59" si="272">R60+Q59</f>
        <v>-383258542.97381276</v>
      </c>
      <c r="S59">
        <f t="shared" ref="S59" si="273">R59/100000</f>
        <v>-3832.5854297381275</v>
      </c>
      <c r="T59">
        <f t="shared" ref="T59" si="274">S59/1000</f>
        <v>-3.8325854297381277</v>
      </c>
    </row>
    <row r="60" spans="1:20" x14ac:dyDescent="0.25">
      <c r="A60" s="5">
        <v>44533</v>
      </c>
      <c r="B60">
        <v>0.95779999999999998</v>
      </c>
      <c r="C60">
        <v>1.1835</v>
      </c>
      <c r="D60">
        <v>0.78259999999999996</v>
      </c>
      <c r="E60">
        <v>0.85340000000000005</v>
      </c>
      <c r="F60">
        <v>162791736</v>
      </c>
      <c r="G60">
        <v>0.85340000000000005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-0.64679471189822857</v>
      </c>
      <c r="Q60">
        <f t="shared" ref="Q60" si="276">F60*P60</f>
        <v>-105292833.98553248</v>
      </c>
      <c r="R60">
        <f t="shared" ref="R60" si="277">R61+Q60</f>
        <v>-360858768.38508219</v>
      </c>
      <c r="S60">
        <f t="shared" ref="S60" si="278">R60/100000</f>
        <v>-3608.587683850822</v>
      </c>
      <c r="T60">
        <f t="shared" ref="T60" si="279">S60/1000</f>
        <v>-3.6085876838508222</v>
      </c>
    </row>
    <row r="61" spans="1:20" x14ac:dyDescent="0.25">
      <c r="A61" s="5">
        <v>44532</v>
      </c>
      <c r="B61">
        <v>0.62539999999999996</v>
      </c>
      <c r="C61">
        <v>1.32</v>
      </c>
      <c r="D61">
        <v>0.60109999999999997</v>
      </c>
      <c r="E61">
        <v>0.96</v>
      </c>
      <c r="F61">
        <v>92376827.989999995</v>
      </c>
      <c r="G61">
        <v>0.96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-1.5301154541662273E-3</v>
      </c>
      <c r="Q61">
        <f t="shared" ref="Q61" si="281">F61*P61</f>
        <v>-141347.2121143543</v>
      </c>
      <c r="R61">
        <f t="shared" ref="R61" si="282">R62+Q61</f>
        <v>-255565934.39954969</v>
      </c>
      <c r="S61">
        <f t="shared" ref="S61" si="283">R61/100000</f>
        <v>-2555.6593439954968</v>
      </c>
      <c r="T61">
        <f t="shared" ref="T61" si="284">S61/1000</f>
        <v>-2.5556593439954969</v>
      </c>
    </row>
    <row r="62" spans="1:20" x14ac:dyDescent="0.25">
      <c r="A62" s="5">
        <v>44531</v>
      </c>
      <c r="B62">
        <v>0.63539999999999996</v>
      </c>
      <c r="C62">
        <v>0.65059999999999996</v>
      </c>
      <c r="D62">
        <v>0.62</v>
      </c>
      <c r="E62">
        <v>0.62539999999999996</v>
      </c>
      <c r="F62">
        <v>3520501</v>
      </c>
      <c r="G62">
        <v>0.62539999999999996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-0.64705882352941391</v>
      </c>
      <c r="Q62">
        <f t="shared" ref="Q62" si="286">F62*P62</f>
        <v>-2277971.235294125</v>
      </c>
      <c r="R62">
        <f t="shared" ref="R62" si="287">R63+Q62</f>
        <v>-255424587.18743533</v>
      </c>
      <c r="S62">
        <f t="shared" ref="S62" si="288">R62/100000</f>
        <v>-2554.2458718743533</v>
      </c>
      <c r="T62">
        <f t="shared" ref="T62" si="289">S62/1000</f>
        <v>-2.5542458718743535</v>
      </c>
    </row>
    <row r="63" spans="1:20" x14ac:dyDescent="0.25">
      <c r="A63" s="5">
        <v>44530</v>
      </c>
      <c r="B63">
        <v>0.63539999999999996</v>
      </c>
      <c r="C63">
        <v>0.72899999999999998</v>
      </c>
      <c r="D63">
        <v>0.61770000000000003</v>
      </c>
      <c r="E63">
        <v>0.63390000000000002</v>
      </c>
      <c r="F63">
        <v>14437513</v>
      </c>
      <c r="G63">
        <v>0.63390000000000002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-0.70889487870619949</v>
      </c>
      <c r="Q63">
        <f t="shared" ref="Q63" si="291">F63*P63</f>
        <v>-10234679.026954178</v>
      </c>
      <c r="R63">
        <f t="shared" ref="R63" si="292">R64+Q63</f>
        <v>-253146615.9521412</v>
      </c>
      <c r="S63">
        <f t="shared" ref="S63" si="293">R63/100000</f>
        <v>-2531.466159521412</v>
      </c>
      <c r="T63">
        <f t="shared" ref="T63" si="294">S63/1000</f>
        <v>-2.5314661595214121</v>
      </c>
    </row>
    <row r="64" spans="1:20" x14ac:dyDescent="0.25">
      <c r="A64" s="5">
        <v>44529</v>
      </c>
      <c r="B64">
        <v>0.62119999999999997</v>
      </c>
      <c r="C64">
        <v>0.64080000000000004</v>
      </c>
      <c r="D64">
        <v>0.60499999999999998</v>
      </c>
      <c r="E64">
        <v>0.63729999999999998</v>
      </c>
      <c r="F64">
        <v>1997750</v>
      </c>
      <c r="G64">
        <v>0.63729999999999998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0.8044692737430138</v>
      </c>
      <c r="Q64">
        <f t="shared" ref="Q64" si="296">F64*P64</f>
        <v>1607128.4916201059</v>
      </c>
      <c r="R64">
        <f t="shared" ref="R64" si="297">R65+Q64</f>
        <v>-242911936.92518702</v>
      </c>
      <c r="S64">
        <f t="shared" ref="S64" si="298">R64/100000</f>
        <v>-2429.11936925187</v>
      </c>
      <c r="T64">
        <f t="shared" ref="T64" si="299">S64/1000</f>
        <v>-2.42911936925187</v>
      </c>
    </row>
    <row r="65" spans="1:20" x14ac:dyDescent="0.25">
      <c r="A65" s="5">
        <v>44528</v>
      </c>
      <c r="B65">
        <v>0.63339999999999996</v>
      </c>
      <c r="C65">
        <v>0.63639999999999997</v>
      </c>
      <c r="D65">
        <v>0.58679999999999999</v>
      </c>
      <c r="E65">
        <v>0.62119999999999997</v>
      </c>
      <c r="F65">
        <v>2458238</v>
      </c>
      <c r="G65">
        <v>0.62119999999999997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0.38709677419354843</v>
      </c>
      <c r="Q65">
        <f t="shared" ref="Q65" si="301">F65*P65</f>
        <v>951576.00000000012</v>
      </c>
      <c r="R65">
        <f t="shared" ref="R65" si="302">R66+Q65</f>
        <v>-244519065.41680712</v>
      </c>
      <c r="S65">
        <f t="shared" ref="S65" si="303">R65/100000</f>
        <v>-2445.190654168071</v>
      </c>
      <c r="T65">
        <f t="shared" ref="T65" si="304">S65/1000</f>
        <v>-2.445190654168071</v>
      </c>
    </row>
    <row r="66" spans="1:20" x14ac:dyDescent="0.25">
      <c r="A66" s="5">
        <v>44527</v>
      </c>
      <c r="B66">
        <v>0.59870000000000001</v>
      </c>
      <c r="C66">
        <v>0.71389999999999998</v>
      </c>
      <c r="D66">
        <v>0.59589999999999999</v>
      </c>
      <c r="E66">
        <v>0.63539999999999996</v>
      </c>
      <c r="F66">
        <v>5466642</v>
      </c>
      <c r="G66">
        <v>0.63539999999999996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-0.33050847457627147</v>
      </c>
      <c r="Q66">
        <f t="shared" ref="Q66" si="306">F66*P66</f>
        <v>-1806771.5084745779</v>
      </c>
      <c r="R66">
        <f t="shared" ref="R66" si="307">R67+Q66</f>
        <v>-245470641.41680712</v>
      </c>
      <c r="S66">
        <f t="shared" ref="S66" si="308">R66/100000</f>
        <v>-2454.7064141680712</v>
      </c>
      <c r="T66">
        <f t="shared" ref="T66" si="309">S66/1000</f>
        <v>-2.4547064141680712</v>
      </c>
    </row>
    <row r="67" spans="1:20" x14ac:dyDescent="0.25">
      <c r="A67" s="5">
        <v>44526</v>
      </c>
      <c r="B67">
        <v>0.65890000000000004</v>
      </c>
      <c r="C67">
        <v>0.66900000000000004</v>
      </c>
      <c r="D67">
        <v>0.57630000000000003</v>
      </c>
      <c r="E67">
        <v>0.59940000000000004</v>
      </c>
      <c r="F67">
        <v>3607753</v>
      </c>
      <c r="G67">
        <v>0.59940000000000004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-0.50161812297734609</v>
      </c>
      <c r="Q67">
        <f t="shared" ref="Q67" si="311">F67*P67</f>
        <v>-1809714.2880258893</v>
      </c>
      <c r="R67">
        <f t="shared" ref="R67" si="312">R68+Q67</f>
        <v>-243663869.90833253</v>
      </c>
      <c r="S67">
        <f t="shared" ref="S67" si="313">R67/100000</f>
        <v>-2436.6386990833253</v>
      </c>
      <c r="T67">
        <f t="shared" ref="T67" si="314">S67/1000</f>
        <v>-2.4366386990833253</v>
      </c>
    </row>
    <row r="68" spans="1:20" x14ac:dyDescent="0.25">
      <c r="A68" s="5">
        <v>44525</v>
      </c>
      <c r="B68">
        <v>0.63249999999999995</v>
      </c>
      <c r="C68">
        <v>0.66390000000000005</v>
      </c>
      <c r="D68">
        <v>0.62719999999999998</v>
      </c>
      <c r="E68">
        <v>0.65859999999999996</v>
      </c>
      <c r="F68">
        <v>2576370</v>
      </c>
      <c r="G68">
        <v>0.65859999999999996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0.71117166212533667</v>
      </c>
      <c r="Q68">
        <f t="shared" ref="Q68" si="316">F68*P68</f>
        <v>1832241.3351498537</v>
      </c>
      <c r="R68">
        <f t="shared" ref="R68" si="317">R69+Q68</f>
        <v>-241854155.62030664</v>
      </c>
      <c r="S68">
        <f t="shared" ref="S68" si="318">R68/100000</f>
        <v>-2418.5415562030662</v>
      </c>
      <c r="T68">
        <f t="shared" ref="T68" si="319">S68/1000</f>
        <v>-2.4185415562030661</v>
      </c>
    </row>
    <row r="69" spans="1:20" x14ac:dyDescent="0.25">
      <c r="A69" s="5">
        <v>44524</v>
      </c>
      <c r="B69">
        <v>0.66959999999999997</v>
      </c>
      <c r="C69">
        <v>0.67069999999999996</v>
      </c>
      <c r="D69">
        <v>0.64859999999999995</v>
      </c>
      <c r="E69">
        <v>0.65310000000000001</v>
      </c>
      <c r="F69">
        <v>706790</v>
      </c>
      <c r="G69">
        <v>0.65310000000000001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-0.5927601809954699</v>
      </c>
      <c r="Q69">
        <f t="shared" ref="Q69" si="321">F69*P69</f>
        <v>-418956.96832578816</v>
      </c>
      <c r="R69">
        <f t="shared" ref="R69" si="322">R70+Q69</f>
        <v>-243686396.9554565</v>
      </c>
      <c r="S69">
        <f t="shared" ref="S69" si="323">R69/100000</f>
        <v>-2436.8639695545648</v>
      </c>
      <c r="T69">
        <f t="shared" ref="T69" si="324">S69/1000</f>
        <v>-2.4368639695545649</v>
      </c>
    </row>
    <row r="70" spans="1:20" x14ac:dyDescent="0.25">
      <c r="A70" s="5">
        <v>44523</v>
      </c>
      <c r="B70">
        <v>0.67859999999999998</v>
      </c>
      <c r="C70">
        <v>0.68730000000000002</v>
      </c>
      <c r="D70">
        <v>0.64959999999999996</v>
      </c>
      <c r="E70">
        <v>0.66810000000000003</v>
      </c>
      <c r="F70">
        <v>2776397</v>
      </c>
      <c r="G70">
        <v>0.66810000000000003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-1.8567639257292351E-2</v>
      </c>
      <c r="Q70">
        <f t="shared" ref="Q70" si="326">F70*P70</f>
        <v>-51551.137931028708</v>
      </c>
      <c r="R70">
        <f t="shared" ref="R70" si="327">R71+Q70</f>
        <v>-243267439.9871307</v>
      </c>
      <c r="S70">
        <f t="shared" ref="S70" si="328">R70/100000</f>
        <v>-2432.6743998713068</v>
      </c>
      <c r="T70">
        <f t="shared" ref="T70" si="329">S70/1000</f>
        <v>-2.4326743998713067</v>
      </c>
    </row>
    <row r="71" spans="1:20" x14ac:dyDescent="0.25">
      <c r="A71" s="5">
        <v>44522</v>
      </c>
      <c r="B71">
        <v>0.6865</v>
      </c>
      <c r="C71">
        <v>0.69610000000000005</v>
      </c>
      <c r="D71">
        <v>0.65</v>
      </c>
      <c r="E71">
        <v>0.68149999999999999</v>
      </c>
      <c r="F71">
        <v>5117704</v>
      </c>
      <c r="G71">
        <v>0.68149999999999999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0.36659436008676582</v>
      </c>
      <c r="Q71">
        <f t="shared" ref="Q71" si="331">F71*P71</f>
        <v>1876121.4229934819</v>
      </c>
      <c r="R71">
        <f t="shared" ref="R71" si="332">R72+Q71</f>
        <v>-243215888.84919968</v>
      </c>
      <c r="S71">
        <f t="shared" ref="S71" si="333">R71/100000</f>
        <v>-2432.158888491997</v>
      </c>
      <c r="T71">
        <f t="shared" ref="T71" si="334">S71/1000</f>
        <v>-2.4321588884919971</v>
      </c>
    </row>
    <row r="72" spans="1:20" x14ac:dyDescent="0.25">
      <c r="A72" s="5">
        <v>44521</v>
      </c>
      <c r="B72">
        <v>0.70920000000000005</v>
      </c>
      <c r="C72">
        <v>0.88400000000000001</v>
      </c>
      <c r="D72">
        <v>0.6764</v>
      </c>
      <c r="E72">
        <v>0.68869999999999998</v>
      </c>
      <c r="F72">
        <v>24815968</v>
      </c>
      <c r="G72">
        <v>0.68869999999999998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-0.88150289017341066</v>
      </c>
      <c r="Q72">
        <f t="shared" ref="Q72" si="336">F72*P72</f>
        <v>-21875347.514450874</v>
      </c>
      <c r="R72">
        <f t="shared" ref="R72" si="337">R73+Q72</f>
        <v>-245092010.27219316</v>
      </c>
      <c r="S72">
        <f t="shared" ref="S72" si="338">R72/100000</f>
        <v>-2450.9201027219315</v>
      </c>
      <c r="T72">
        <f t="shared" ref="T72" si="339">S72/1000</f>
        <v>-2.4509201027219314</v>
      </c>
    </row>
    <row r="73" spans="1:20" x14ac:dyDescent="0.25">
      <c r="A73" s="5">
        <v>44520</v>
      </c>
      <c r="B73">
        <v>0.61709999999999998</v>
      </c>
      <c r="C73">
        <v>0.8</v>
      </c>
      <c r="D73">
        <v>0.60070000000000001</v>
      </c>
      <c r="E73">
        <v>0.70930000000000004</v>
      </c>
      <c r="F73">
        <v>15403602</v>
      </c>
      <c r="G73">
        <v>0.70930000000000004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8.9814350225790388E-2</v>
      </c>
      <c r="Q73">
        <f t="shared" ref="Q73" si="341">F73*P73</f>
        <v>1383464.5047666852</v>
      </c>
      <c r="R73">
        <f t="shared" ref="R73" si="342">R74+Q73</f>
        <v>-223216662.75774229</v>
      </c>
      <c r="S73">
        <f t="shared" ref="S73" si="343">R73/100000</f>
        <v>-2232.1666275774228</v>
      </c>
      <c r="T73">
        <f t="shared" ref="T73" si="344">S73/1000</f>
        <v>-2.2321666275774228</v>
      </c>
    </row>
    <row r="74" spans="1:20" x14ac:dyDescent="0.25">
      <c r="A74" s="5">
        <v>44519</v>
      </c>
      <c r="B74">
        <v>0.5736</v>
      </c>
      <c r="C74">
        <v>0.62760000000000005</v>
      </c>
      <c r="D74">
        <v>0.56000000000000005</v>
      </c>
      <c r="E74">
        <v>0.6159</v>
      </c>
      <c r="F74">
        <v>3002951</v>
      </c>
      <c r="G74">
        <v>0.6159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0.65384615384615252</v>
      </c>
      <c r="Q74">
        <f t="shared" ref="Q74" si="346">F74*P74</f>
        <v>1963467.9615384575</v>
      </c>
      <c r="R74">
        <f t="shared" ref="R74" si="347">R75+Q74</f>
        <v>-224600127.26250896</v>
      </c>
      <c r="S74">
        <f t="shared" ref="S74" si="348">R74/100000</f>
        <v>-2246.0012726250898</v>
      </c>
      <c r="T74">
        <f t="shared" ref="T74" si="349">S74/1000</f>
        <v>-2.2460012726250898</v>
      </c>
    </row>
    <row r="75" spans="1:20" x14ac:dyDescent="0.25">
      <c r="A75" s="5">
        <v>44518</v>
      </c>
      <c r="B75">
        <v>0.62919999999999998</v>
      </c>
      <c r="C75">
        <v>0.63280000000000003</v>
      </c>
      <c r="D75">
        <v>0.56459999999999999</v>
      </c>
      <c r="E75">
        <v>0.57340000000000002</v>
      </c>
      <c r="F75">
        <v>2263156</v>
      </c>
      <c r="G75">
        <v>0.57340000000000002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-0.74193548387096697</v>
      </c>
      <c r="Q75">
        <f t="shared" ref="Q75" si="351">F75*P75</f>
        <v>-1679115.741935482</v>
      </c>
      <c r="R75">
        <f t="shared" ref="R75" si="352">R76+Q75</f>
        <v>-226563595.22404742</v>
      </c>
      <c r="S75">
        <f t="shared" ref="S75" si="353">R75/100000</f>
        <v>-2265.6359522404741</v>
      </c>
      <c r="T75">
        <f t="shared" ref="T75" si="354">S75/1000</f>
        <v>-2.2656359522404741</v>
      </c>
    </row>
    <row r="76" spans="1:20" x14ac:dyDescent="0.25">
      <c r="A76" s="5">
        <v>44517</v>
      </c>
      <c r="B76">
        <v>0.6179</v>
      </c>
      <c r="C76">
        <v>0.64329999999999998</v>
      </c>
      <c r="D76">
        <v>0.60219999999999996</v>
      </c>
      <c r="E76">
        <v>0.63090000000000002</v>
      </c>
      <c r="F76">
        <v>2753449</v>
      </c>
      <c r="G76">
        <v>0.63090000000000002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0.39659367396593875</v>
      </c>
      <c r="Q76">
        <f t="shared" ref="Q76" si="356">F76*P76</f>
        <v>1092000.45498784</v>
      </c>
      <c r="R76">
        <f t="shared" ref="R76" si="357">R77+Q76</f>
        <v>-224884479.48211193</v>
      </c>
      <c r="S76">
        <f t="shared" ref="S76" si="358">R76/100000</f>
        <v>-2248.8447948211192</v>
      </c>
      <c r="T76">
        <f t="shared" ref="T76" si="359">S76/1000</f>
        <v>-2.2488447948211192</v>
      </c>
    </row>
    <row r="77" spans="1:20" x14ac:dyDescent="0.25">
      <c r="A77" s="5">
        <v>44516</v>
      </c>
      <c r="B77">
        <v>0.69210000000000005</v>
      </c>
      <c r="C77">
        <v>0.69579999999999997</v>
      </c>
      <c r="D77">
        <v>0.60499999999999998</v>
      </c>
      <c r="E77">
        <v>0.61799999999999999</v>
      </c>
      <c r="F77">
        <v>3567067</v>
      </c>
      <c r="G77">
        <v>0.61799999999999999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-0.71365638766519801</v>
      </c>
      <c r="Q77">
        <f t="shared" ref="Q77" si="361">F77*P77</f>
        <v>-2545660.1497797347</v>
      </c>
      <c r="R77">
        <f t="shared" ref="R77" si="362">R78+Q77</f>
        <v>-225976479.93709978</v>
      </c>
      <c r="S77">
        <f t="shared" ref="S77" si="363">R77/100000</f>
        <v>-2259.7647993709979</v>
      </c>
      <c r="T77">
        <f t="shared" ref="T77" si="364">S77/1000</f>
        <v>-2.2597647993709979</v>
      </c>
    </row>
    <row r="78" spans="1:20" x14ac:dyDescent="0.25">
      <c r="A78" s="5">
        <v>44515</v>
      </c>
      <c r="B78">
        <v>0.70540000000000003</v>
      </c>
      <c r="C78">
        <v>0.71499999999999997</v>
      </c>
      <c r="D78">
        <v>0.69</v>
      </c>
      <c r="E78">
        <v>0.69220000000000004</v>
      </c>
      <c r="F78">
        <v>1848924</v>
      </c>
      <c r="G78">
        <v>0.69220000000000004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-0.82399999999999285</v>
      </c>
      <c r="Q78">
        <f t="shared" ref="Q78" si="366">F78*P78</f>
        <v>-1523513.3759999869</v>
      </c>
      <c r="R78">
        <f t="shared" ref="R78" si="367">R79+Q78</f>
        <v>-223430819.78732005</v>
      </c>
      <c r="S78">
        <f t="shared" ref="S78" si="368">R78/100000</f>
        <v>-2234.3081978732007</v>
      </c>
      <c r="T78">
        <f t="shared" ref="T78" si="369">S78/1000</f>
        <v>-2.2343081978732009</v>
      </c>
    </row>
    <row r="79" spans="1:20" x14ac:dyDescent="0.25">
      <c r="A79" s="5">
        <v>44514</v>
      </c>
      <c r="B79">
        <v>0.72230000000000005</v>
      </c>
      <c r="C79">
        <v>0.72789999999999999</v>
      </c>
      <c r="D79">
        <v>0.69110000000000005</v>
      </c>
      <c r="E79">
        <v>0.70520000000000005</v>
      </c>
      <c r="F79">
        <v>3345947</v>
      </c>
      <c r="G79">
        <v>0.70520000000000005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-0.23369565217391181</v>
      </c>
      <c r="Q79">
        <f t="shared" ref="Q79" si="371">F79*P79</f>
        <v>-781933.26630434371</v>
      </c>
      <c r="R79">
        <f t="shared" ref="R79" si="372">R80+Q79</f>
        <v>-221907306.41132006</v>
      </c>
      <c r="S79">
        <f t="shared" ref="S79" si="373">R79/100000</f>
        <v>-2219.0730641132004</v>
      </c>
      <c r="T79">
        <f t="shared" ref="T79" si="374">S79/1000</f>
        <v>-2.2190730641132004</v>
      </c>
    </row>
    <row r="80" spans="1:20" x14ac:dyDescent="0.25">
      <c r="A80" s="5">
        <v>44513</v>
      </c>
      <c r="B80">
        <v>0.71650000000000003</v>
      </c>
      <c r="C80">
        <v>0.72750000000000004</v>
      </c>
      <c r="D80">
        <v>0.70250000000000001</v>
      </c>
      <c r="E80">
        <v>0.7218</v>
      </c>
      <c r="F80">
        <v>3715872</v>
      </c>
      <c r="G80">
        <v>0.7218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0.54399999999999737</v>
      </c>
      <c r="Q80">
        <f t="shared" ref="Q80" si="376">F80*P80</f>
        <v>2021434.3679999902</v>
      </c>
      <c r="R80">
        <f t="shared" ref="R80" si="377">R81+Q80</f>
        <v>-221125373.14501572</v>
      </c>
      <c r="S80">
        <f t="shared" ref="S80" si="378">R80/100000</f>
        <v>-2211.2537314501574</v>
      </c>
      <c r="T80">
        <f t="shared" ref="T80" si="379">S80/1000</f>
        <v>-2.2112537314501575</v>
      </c>
    </row>
    <row r="81" spans="1:20" x14ac:dyDescent="0.25">
      <c r="A81" s="5">
        <v>44512</v>
      </c>
      <c r="B81">
        <v>0.73270000000000002</v>
      </c>
      <c r="C81">
        <v>0.75460000000000005</v>
      </c>
      <c r="D81">
        <v>0.71</v>
      </c>
      <c r="E81">
        <v>0.71760000000000002</v>
      </c>
      <c r="F81">
        <v>2637065</v>
      </c>
      <c r="G81">
        <v>0.71760000000000002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-0.65919282511210597</v>
      </c>
      <c r="Q81">
        <f t="shared" ref="Q81" si="381">F81*P81</f>
        <v>-1738334.3273542558</v>
      </c>
      <c r="R81">
        <f t="shared" ref="R81" si="382">R82+Q81</f>
        <v>-223146807.51301572</v>
      </c>
      <c r="S81">
        <f t="shared" ref="S81" si="383">R81/100000</f>
        <v>-2231.4680751301571</v>
      </c>
      <c r="T81">
        <f t="shared" ref="T81" si="384">S81/1000</f>
        <v>-2.2314680751301572</v>
      </c>
    </row>
    <row r="82" spans="1:20" x14ac:dyDescent="0.25">
      <c r="A82" s="5">
        <v>44511</v>
      </c>
      <c r="B82">
        <v>0.68340000000000001</v>
      </c>
      <c r="C82">
        <v>0.74490000000000001</v>
      </c>
      <c r="D82">
        <v>0.66620000000000001</v>
      </c>
      <c r="E82">
        <v>0.73280000000000001</v>
      </c>
      <c r="F82">
        <v>4228172</v>
      </c>
      <c r="G82">
        <v>0.73280000000000001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0.69250317662007621</v>
      </c>
      <c r="Q82">
        <f t="shared" ref="Q82" si="386">F82*P82</f>
        <v>2928022.5412960607</v>
      </c>
      <c r="R82">
        <f t="shared" ref="R82" si="387">R83+Q82</f>
        <v>-221408473.18566146</v>
      </c>
      <c r="S82">
        <f t="shared" ref="S82" si="388">R82/100000</f>
        <v>-2214.0847318566148</v>
      </c>
      <c r="T82">
        <f t="shared" ref="T82" si="389">S82/1000</f>
        <v>-2.2140847318566146</v>
      </c>
    </row>
    <row r="83" spans="1:20" x14ac:dyDescent="0.25">
      <c r="A83" s="5">
        <v>44510</v>
      </c>
      <c r="B83">
        <v>0.73550000000000004</v>
      </c>
      <c r="C83">
        <v>0.76690000000000003</v>
      </c>
      <c r="D83">
        <v>0.66069999999999995</v>
      </c>
      <c r="E83">
        <v>0.68230000000000002</v>
      </c>
      <c r="F83">
        <v>5236757</v>
      </c>
      <c r="G83">
        <v>0.68230000000000002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-0.59322033898304993</v>
      </c>
      <c r="Q83">
        <f t="shared" ref="Q83" si="391">F83*P83</f>
        <v>-3106550.7627118598</v>
      </c>
      <c r="R83">
        <f t="shared" ref="R83" si="392">R84+Q83</f>
        <v>-224336495.72695753</v>
      </c>
      <c r="S83">
        <f t="shared" ref="S83" si="393">R83/100000</f>
        <v>-2243.3649572695754</v>
      </c>
      <c r="T83">
        <f t="shared" ref="T83" si="394">S83/1000</f>
        <v>-2.2433649572695753</v>
      </c>
    </row>
    <row r="84" spans="1:20" x14ac:dyDescent="0.25">
      <c r="A84" s="5">
        <v>44509</v>
      </c>
      <c r="B84">
        <v>0.71619999999999995</v>
      </c>
      <c r="C84">
        <v>0.73839999999999995</v>
      </c>
      <c r="D84">
        <v>0.69599999999999995</v>
      </c>
      <c r="E84">
        <v>0.73540000000000005</v>
      </c>
      <c r="F84">
        <v>3581949</v>
      </c>
      <c r="G84">
        <v>0.73540000000000005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0.85849056603774099</v>
      </c>
      <c r="Q84">
        <f t="shared" ref="Q84" si="396">F84*P84</f>
        <v>3075069.4245283203</v>
      </c>
      <c r="R84">
        <f t="shared" ref="R84" si="397">R85+Q84</f>
        <v>-221229944.96424568</v>
      </c>
      <c r="S84">
        <f t="shared" ref="S84" si="398">R84/100000</f>
        <v>-2212.2994496424567</v>
      </c>
      <c r="T84">
        <f t="shared" ref="T84" si="399">S84/1000</f>
        <v>-2.2122994496424568</v>
      </c>
    </row>
    <row r="85" spans="1:20" x14ac:dyDescent="0.25">
      <c r="A85" s="5">
        <v>44508</v>
      </c>
      <c r="B85">
        <v>0.72489999999999999</v>
      </c>
      <c r="C85">
        <v>0.72899999999999998</v>
      </c>
      <c r="D85">
        <v>0.7016</v>
      </c>
      <c r="E85">
        <v>0.71599999999999997</v>
      </c>
      <c r="F85">
        <v>3291820</v>
      </c>
      <c r="G85">
        <v>0.71599999999999997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5.1094890510947365E-2</v>
      </c>
      <c r="Q85">
        <f t="shared" ref="Q85" si="401">F85*P85</f>
        <v>168195.18248174674</v>
      </c>
      <c r="R85">
        <f t="shared" ref="R85" si="402">R86+Q85</f>
        <v>-224305014.38877401</v>
      </c>
      <c r="S85">
        <f t="shared" ref="S85" si="403">R85/100000</f>
        <v>-2243.05014388774</v>
      </c>
      <c r="T85">
        <f t="shared" ref="T85" si="404">S85/1000</f>
        <v>-2.2430501438877402</v>
      </c>
    </row>
    <row r="86" spans="1:20" x14ac:dyDescent="0.25">
      <c r="A86" s="5">
        <v>44507</v>
      </c>
      <c r="B86">
        <v>0.72130000000000005</v>
      </c>
      <c r="C86">
        <v>0.73839999999999995</v>
      </c>
      <c r="D86">
        <v>0.71230000000000004</v>
      </c>
      <c r="E86">
        <v>0.72740000000000005</v>
      </c>
      <c r="F86">
        <v>1751929</v>
      </c>
      <c r="G86">
        <v>0.72740000000000005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0.15708812260536856</v>
      </c>
      <c r="Q86">
        <f t="shared" ref="Q86" si="406">F86*P86</f>
        <v>275207.23754790076</v>
      </c>
      <c r="R86">
        <f t="shared" ref="R86" si="407">R87+Q86</f>
        <v>-224473209.57125574</v>
      </c>
      <c r="S86">
        <f t="shared" ref="S86" si="408">R86/100000</f>
        <v>-2244.7320957125576</v>
      </c>
      <c r="T86">
        <f t="shared" ref="T86" si="409">S86/1000</f>
        <v>-2.2447320957125574</v>
      </c>
    </row>
    <row r="87" spans="1:20" x14ac:dyDescent="0.25">
      <c r="A87" s="5">
        <v>44506</v>
      </c>
      <c r="B87">
        <v>0.72760000000000002</v>
      </c>
      <c r="C87">
        <v>0.7339</v>
      </c>
      <c r="D87">
        <v>0.7016</v>
      </c>
      <c r="E87">
        <v>0.72009999999999996</v>
      </c>
      <c r="F87">
        <v>1419087</v>
      </c>
      <c r="G87">
        <v>0.72009999999999996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0.14551083591331043</v>
      </c>
      <c r="Q87">
        <f t="shared" ref="Q87" si="411">F87*P87</f>
        <v>206492.53560371196</v>
      </c>
      <c r="R87">
        <f t="shared" ref="R87" si="412">R88+Q87</f>
        <v>-224748416.80880365</v>
      </c>
      <c r="S87">
        <f t="shared" ref="S87" si="413">R87/100000</f>
        <v>-2247.4841680880363</v>
      </c>
      <c r="T87">
        <f t="shared" ref="T87" si="414">S87/1000</f>
        <v>-2.2474841680880364</v>
      </c>
    </row>
    <row r="88" spans="1:20" x14ac:dyDescent="0.25">
      <c r="A88" s="5">
        <v>44505</v>
      </c>
      <c r="B88">
        <v>0.76329999999999998</v>
      </c>
      <c r="C88">
        <v>0.78</v>
      </c>
      <c r="D88">
        <v>0.72150000000000003</v>
      </c>
      <c r="E88">
        <v>0.72870000000000001</v>
      </c>
      <c r="F88">
        <v>2896582</v>
      </c>
      <c r="G88">
        <v>0.72870000000000001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-0.75384615384615439</v>
      </c>
      <c r="Q88">
        <f t="shared" ref="Q88" si="416">F88*P88</f>
        <v>-2183577.2000000016</v>
      </c>
      <c r="R88">
        <f t="shared" ref="R88" si="417">R89+Q88</f>
        <v>-224954909.34440735</v>
      </c>
      <c r="S88">
        <f t="shared" ref="S88" si="418">R88/100000</f>
        <v>-2249.5490934440736</v>
      </c>
      <c r="T88">
        <f t="shared" ref="T88" si="419">S88/1000</f>
        <v>-2.2495490934440734</v>
      </c>
    </row>
    <row r="89" spans="1:20" x14ac:dyDescent="0.25">
      <c r="A89" s="5">
        <v>44504</v>
      </c>
      <c r="B89">
        <v>0.72770000000000001</v>
      </c>
      <c r="C89">
        <v>0.8</v>
      </c>
      <c r="D89">
        <v>0.71899999999999997</v>
      </c>
      <c r="E89">
        <v>0.76329999999999998</v>
      </c>
      <c r="F89">
        <v>6479075</v>
      </c>
      <c r="G89">
        <v>0.76329999999999998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9.3827160493826334E-2</v>
      </c>
      <c r="Q89">
        <f t="shared" ref="Q89" si="421">F89*P89</f>
        <v>607913.20987653791</v>
      </c>
      <c r="R89">
        <f t="shared" ref="R89" si="422">R90+Q89</f>
        <v>-222771332.14440736</v>
      </c>
      <c r="S89">
        <f t="shared" ref="S89" si="423">R89/100000</f>
        <v>-2227.7133214440737</v>
      </c>
      <c r="T89">
        <f t="shared" ref="T89" si="424">S89/1000</f>
        <v>-2.2277133214440736</v>
      </c>
    </row>
    <row r="90" spans="1:20" x14ac:dyDescent="0.25">
      <c r="A90" s="5">
        <v>44503</v>
      </c>
      <c r="B90">
        <v>0.73829999999999996</v>
      </c>
      <c r="C90">
        <v>0.74790000000000001</v>
      </c>
      <c r="D90">
        <v>0.70199999999999996</v>
      </c>
      <c r="E90">
        <v>0.7278</v>
      </c>
      <c r="F90">
        <v>2917521</v>
      </c>
      <c r="G90">
        <v>0.7278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0.12418300653594841</v>
      </c>
      <c r="Q90">
        <f t="shared" ref="Q90" si="426">F90*P90</f>
        <v>362306.52941176674</v>
      </c>
      <c r="R90">
        <f t="shared" ref="R90" si="427">R91+Q90</f>
        <v>-223379245.3542839</v>
      </c>
      <c r="S90">
        <f t="shared" ref="S90" si="428">R90/100000</f>
        <v>-2233.7924535428392</v>
      </c>
      <c r="T90">
        <f t="shared" ref="T90" si="429">S90/1000</f>
        <v>-2.2337924535428391</v>
      </c>
    </row>
    <row r="91" spans="1:20" x14ac:dyDescent="0.25">
      <c r="A91" s="5">
        <v>44502</v>
      </c>
      <c r="B91">
        <v>0.72489999999999999</v>
      </c>
      <c r="C91">
        <v>0.76890000000000003</v>
      </c>
      <c r="D91">
        <v>0.71619999999999995</v>
      </c>
      <c r="E91">
        <v>0.73609999999999998</v>
      </c>
      <c r="F91">
        <v>4142630</v>
      </c>
      <c r="G91">
        <v>0.73609999999999998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-0.24478178368121448</v>
      </c>
      <c r="Q91">
        <f t="shared" ref="Q91" si="431">F91*P91</f>
        <v>-1014040.3605313095</v>
      </c>
      <c r="R91">
        <f t="shared" ref="R91" si="432">R92+Q91</f>
        <v>-223741551.88369566</v>
      </c>
      <c r="S91">
        <f t="shared" ref="S91" si="433">R91/100000</f>
        <v>-2237.4155188369568</v>
      </c>
      <c r="T91">
        <f t="shared" ref="T91" si="434">S91/1000</f>
        <v>-2.2374155188369569</v>
      </c>
    </row>
    <row r="92" spans="1:20" x14ac:dyDescent="0.25">
      <c r="A92" s="5">
        <v>44501</v>
      </c>
      <c r="B92">
        <v>0.70889999999999997</v>
      </c>
      <c r="C92">
        <v>0.76949999999999996</v>
      </c>
      <c r="D92">
        <v>0.68720000000000003</v>
      </c>
      <c r="E92">
        <v>0.72529999999999994</v>
      </c>
      <c r="F92">
        <v>5873660</v>
      </c>
      <c r="G92">
        <v>0.72529999999999994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-7.4119076549211557E-2</v>
      </c>
      <c r="Q92">
        <f t="shared" ref="Q92" si="436">F92*P92</f>
        <v>-435350.25516404194</v>
      </c>
      <c r="R92">
        <f t="shared" ref="R92" si="437">R93+Q92</f>
        <v>-222727511.52316436</v>
      </c>
      <c r="S92">
        <f t="shared" ref="S92" si="438">R92/100000</f>
        <v>-2227.2751152316437</v>
      </c>
      <c r="T92">
        <f t="shared" ref="T92" si="439">S92/1000</f>
        <v>-2.2272751152316435</v>
      </c>
    </row>
    <row r="93" spans="1:20" x14ac:dyDescent="0.25">
      <c r="A93" s="5">
        <v>44500</v>
      </c>
      <c r="B93">
        <v>0.71440000000000003</v>
      </c>
      <c r="C93">
        <v>0.7258</v>
      </c>
      <c r="D93">
        <v>0.69369999999999998</v>
      </c>
      <c r="E93">
        <v>0.7077</v>
      </c>
      <c r="F93">
        <v>4058857</v>
      </c>
      <c r="G93">
        <v>0.7077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-0.12772585669781902</v>
      </c>
      <c r="Q93">
        <f t="shared" ref="Q93" si="441">F93*P93</f>
        <v>-518420.98753893963</v>
      </c>
      <c r="R93">
        <f t="shared" ref="R93" si="442">R94+Q93</f>
        <v>-222292161.26800033</v>
      </c>
      <c r="S93">
        <f t="shared" ref="S93" si="443">R93/100000</f>
        <v>-2222.9216126800034</v>
      </c>
      <c r="T93">
        <f t="shared" ref="T93" si="444">S93/1000</f>
        <v>-2.2229216126800035</v>
      </c>
    </row>
    <row r="94" spans="1:20" x14ac:dyDescent="0.25">
      <c r="A94" s="5">
        <v>44499</v>
      </c>
      <c r="B94">
        <v>0.73260000000000003</v>
      </c>
      <c r="C94">
        <v>0.74990000000000001</v>
      </c>
      <c r="D94">
        <v>0.68710000000000004</v>
      </c>
      <c r="E94">
        <v>0.71199999999999997</v>
      </c>
      <c r="F94">
        <v>5555758</v>
      </c>
      <c r="G94">
        <v>0.71199999999999997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-0.20700636942675366</v>
      </c>
      <c r="Q94">
        <f t="shared" ref="Q94" si="446">F94*P94</f>
        <v>-1150077.2929936419</v>
      </c>
      <c r="R94">
        <f t="shared" ref="R94" si="447">R95+Q94</f>
        <v>-221773740.2804614</v>
      </c>
      <c r="S94">
        <f t="shared" ref="S94" si="448">R94/100000</f>
        <v>-2217.7374028046138</v>
      </c>
      <c r="T94">
        <f t="shared" ref="T94" si="449">S94/1000</f>
        <v>-2.2177374028046137</v>
      </c>
    </row>
    <row r="95" spans="1:20" x14ac:dyDescent="0.25">
      <c r="A95" s="5">
        <v>44498</v>
      </c>
      <c r="B95">
        <v>0.70809999999999995</v>
      </c>
      <c r="C95">
        <v>0.78239999999999998</v>
      </c>
      <c r="D95">
        <v>0.70340000000000003</v>
      </c>
      <c r="E95">
        <v>0.73370000000000002</v>
      </c>
      <c r="F95">
        <v>6822039</v>
      </c>
      <c r="G95">
        <v>0.73370000000000002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-0.23291139240506306</v>
      </c>
      <c r="Q95">
        <f t="shared" ref="Q95" si="451">F95*P95</f>
        <v>-1588930.6025316441</v>
      </c>
      <c r="R95">
        <f t="shared" ref="R95" si="452">R96+Q95</f>
        <v>-220623662.98746777</v>
      </c>
      <c r="S95">
        <f t="shared" ref="S95" si="453">R95/100000</f>
        <v>-2206.2366298746779</v>
      </c>
      <c r="T95">
        <f t="shared" ref="T95" si="454">S95/1000</f>
        <v>-2.2062366298746778</v>
      </c>
    </row>
    <row r="96" spans="1:20" x14ac:dyDescent="0.25">
      <c r="A96" s="5">
        <v>44497</v>
      </c>
      <c r="B96">
        <v>0.70409999999999995</v>
      </c>
      <c r="C96">
        <v>0.73680000000000001</v>
      </c>
      <c r="D96">
        <v>0.67669999999999997</v>
      </c>
      <c r="E96">
        <v>0.70509999999999995</v>
      </c>
      <c r="F96">
        <v>4534422</v>
      </c>
      <c r="G96">
        <v>0.70509999999999995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-5.4908485856906462E-2</v>
      </c>
      <c r="Q96">
        <f t="shared" ref="Q96" si="456">F96*P96</f>
        <v>-248978.2462562455</v>
      </c>
      <c r="R96">
        <f t="shared" ref="R96" si="457">R97+Q96</f>
        <v>-219034732.38493612</v>
      </c>
      <c r="S96">
        <f t="shared" ref="S96" si="458">R96/100000</f>
        <v>-2190.3473238493611</v>
      </c>
      <c r="T96">
        <f t="shared" ref="T96" si="459">S96/1000</f>
        <v>-2.1903473238493611</v>
      </c>
    </row>
    <row r="97" spans="1:20" x14ac:dyDescent="0.25">
      <c r="A97" s="5">
        <v>44496</v>
      </c>
      <c r="B97">
        <v>0.78210000000000002</v>
      </c>
      <c r="C97">
        <v>0.78520000000000001</v>
      </c>
      <c r="D97">
        <v>0.7</v>
      </c>
      <c r="E97">
        <v>0.70699999999999996</v>
      </c>
      <c r="F97">
        <v>4369091</v>
      </c>
      <c r="G97">
        <v>0.70699999999999996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-0.83568075117370888</v>
      </c>
      <c r="Q97">
        <f t="shared" ref="Q97" si="461">F97*P97</f>
        <v>-3651165.2488262909</v>
      </c>
      <c r="R97">
        <f t="shared" ref="R97" si="462">R98+Q97</f>
        <v>-218785754.13867989</v>
      </c>
      <c r="S97">
        <f t="shared" ref="S97" si="463">R97/100000</f>
        <v>-2187.8575413867989</v>
      </c>
      <c r="T97">
        <f t="shared" ref="T97" si="464">S97/1000</f>
        <v>-2.1878575413867987</v>
      </c>
    </row>
    <row r="98" spans="1:20" x14ac:dyDescent="0.25">
      <c r="A98" s="5">
        <v>44495</v>
      </c>
      <c r="B98">
        <v>0.78390000000000004</v>
      </c>
      <c r="C98">
        <v>0.82899999999999996</v>
      </c>
      <c r="D98">
        <v>0.76749999999999996</v>
      </c>
      <c r="E98">
        <v>0.78200000000000003</v>
      </c>
      <c r="F98">
        <v>3178568</v>
      </c>
      <c r="G98">
        <v>0.78200000000000003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-0.5284552845528433</v>
      </c>
      <c r="Q98">
        <f t="shared" ref="Q98" si="466">F98*P98</f>
        <v>-1679731.0569105621</v>
      </c>
      <c r="R98">
        <f t="shared" ref="R98" si="467">R99+Q98</f>
        <v>-215134588.8898536</v>
      </c>
      <c r="S98">
        <f t="shared" ref="S98" si="468">R98/100000</f>
        <v>-2151.345888898536</v>
      </c>
      <c r="T98">
        <f t="shared" ref="T98" si="469">S98/1000</f>
        <v>-2.1513458888985362</v>
      </c>
    </row>
    <row r="99" spans="1:20" x14ac:dyDescent="0.25">
      <c r="A99" s="5">
        <v>44494</v>
      </c>
      <c r="B99">
        <v>0.75129999999999997</v>
      </c>
      <c r="C99">
        <v>0.84399999999999997</v>
      </c>
      <c r="D99">
        <v>0.74380000000000002</v>
      </c>
      <c r="E99">
        <v>0.78349999999999997</v>
      </c>
      <c r="F99">
        <v>5726263</v>
      </c>
      <c r="G99">
        <v>0.78349999999999997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-0.20758483033932185</v>
      </c>
      <c r="Q99">
        <f t="shared" ref="Q99" si="471">F99*P99</f>
        <v>-1188685.333333336</v>
      </c>
      <c r="R99">
        <f t="shared" ref="R99" si="472">R100+Q99</f>
        <v>-213454857.83294302</v>
      </c>
      <c r="S99">
        <f t="shared" ref="S99" si="473">R99/100000</f>
        <v>-2134.5485783294303</v>
      </c>
      <c r="T99">
        <f t="shared" ref="T99" si="474">S99/1000</f>
        <v>-2.1345485783294302</v>
      </c>
    </row>
    <row r="100" spans="1:20" x14ac:dyDescent="0.25">
      <c r="A100" s="5">
        <v>44493</v>
      </c>
      <c r="B100">
        <v>0.76759999999999995</v>
      </c>
      <c r="C100">
        <v>0.78810000000000002</v>
      </c>
      <c r="D100">
        <v>0.74339999999999995</v>
      </c>
      <c r="E100">
        <v>0.75129999999999997</v>
      </c>
      <c r="F100">
        <v>2322099</v>
      </c>
      <c r="G100">
        <v>0.75129999999999997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-0.64653243847874697</v>
      </c>
      <c r="Q100">
        <f t="shared" ref="Q100" si="476">F100*P100</f>
        <v>-1501312.3288590598</v>
      </c>
      <c r="R100">
        <f t="shared" ref="R100" si="477">R101+Q100</f>
        <v>-212266172.49960968</v>
      </c>
      <c r="S100">
        <f t="shared" ref="S100" si="478">R100/100000</f>
        <v>-2122.6617249960968</v>
      </c>
      <c r="T100">
        <f t="shared" ref="T100" si="479">S100/1000</f>
        <v>-2.1226617249960968</v>
      </c>
    </row>
    <row r="101" spans="1:20" x14ac:dyDescent="0.25">
      <c r="A101" s="5">
        <v>44492</v>
      </c>
      <c r="B101">
        <v>0.78690000000000004</v>
      </c>
      <c r="C101">
        <v>0.79520000000000002</v>
      </c>
      <c r="D101">
        <v>0.75429999999999997</v>
      </c>
      <c r="E101">
        <v>0.76759999999999995</v>
      </c>
      <c r="F101">
        <v>3216701</v>
      </c>
      <c r="G101">
        <v>0.76759999999999995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-0.34963325183374266</v>
      </c>
      <c r="Q101">
        <f t="shared" ref="Q101" si="481">F101*P101</f>
        <v>-1124665.6308068519</v>
      </c>
      <c r="R101">
        <f t="shared" ref="R101" si="482">R102+Q101</f>
        <v>-210764860.17075062</v>
      </c>
      <c r="S101">
        <f t="shared" ref="S101" si="483">R101/100000</f>
        <v>-2107.6486017075063</v>
      </c>
      <c r="T101">
        <f t="shared" ref="T101" si="484">S101/1000</f>
        <v>-2.1076486017075062</v>
      </c>
    </row>
    <row r="102" spans="1:20" x14ac:dyDescent="0.25">
      <c r="A102" s="5">
        <v>44491</v>
      </c>
      <c r="B102">
        <v>0.80530000000000002</v>
      </c>
      <c r="C102">
        <v>0.83730000000000004</v>
      </c>
      <c r="D102">
        <v>0.77990000000000004</v>
      </c>
      <c r="E102">
        <v>0.78600000000000003</v>
      </c>
      <c r="F102">
        <v>3615977</v>
      </c>
      <c r="G102">
        <v>0.78600000000000003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-0.78745644599303155</v>
      </c>
      <c r="Q102">
        <f t="shared" ref="Q102" si="486">F102*P102</f>
        <v>-2847424.3972125445</v>
      </c>
      <c r="R102">
        <f t="shared" ref="R102" si="487">R103+Q102</f>
        <v>-209640194.53994375</v>
      </c>
      <c r="S102">
        <f t="shared" ref="S102" si="488">R102/100000</f>
        <v>-2096.4019453994374</v>
      </c>
      <c r="T102">
        <f t="shared" ref="T102" si="489">S102/1000</f>
        <v>-2.0964019453994376</v>
      </c>
    </row>
    <row r="103" spans="1:20" x14ac:dyDescent="0.25">
      <c r="A103" s="5">
        <v>44490</v>
      </c>
      <c r="B103">
        <v>0.89090000000000003</v>
      </c>
      <c r="C103">
        <v>0.90839999999999999</v>
      </c>
      <c r="D103">
        <v>0.79730000000000001</v>
      </c>
      <c r="E103">
        <v>0.80530000000000002</v>
      </c>
      <c r="F103">
        <v>6190088</v>
      </c>
      <c r="G103">
        <v>0.80530000000000002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-0.85598559855985579</v>
      </c>
      <c r="Q103">
        <f t="shared" ref="Q103" si="491">F103*P103</f>
        <v>-5298626.1818181807</v>
      </c>
      <c r="R103">
        <f t="shared" ref="R103" si="492">R104+Q103</f>
        <v>-206792770.14273122</v>
      </c>
      <c r="S103">
        <f t="shared" ref="S103" si="493">R103/100000</f>
        <v>-2067.9277014273121</v>
      </c>
      <c r="T103">
        <f t="shared" ref="T103" si="494">S103/1000</f>
        <v>-2.0679277014273119</v>
      </c>
    </row>
    <row r="104" spans="1:20" x14ac:dyDescent="0.25">
      <c r="A104" s="5">
        <v>44489</v>
      </c>
      <c r="B104">
        <v>0.87290000000000001</v>
      </c>
      <c r="C104">
        <v>0.91</v>
      </c>
      <c r="D104">
        <v>0.84209999999999996</v>
      </c>
      <c r="E104">
        <v>0.89090000000000003</v>
      </c>
      <c r="F104">
        <v>4817961</v>
      </c>
      <c r="G104">
        <v>0.89090000000000003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0.43740795287187084</v>
      </c>
      <c r="Q104">
        <f t="shared" ref="Q104" si="496">F104*P104</f>
        <v>2107414.4580265116</v>
      </c>
      <c r="R104">
        <f t="shared" ref="R104" si="497">R105+Q104</f>
        <v>-201494143.96091303</v>
      </c>
      <c r="S104">
        <f t="shared" ref="S104" si="498">R104/100000</f>
        <v>-2014.9414396091304</v>
      </c>
      <c r="T104">
        <f t="shared" ref="T104" si="499">S104/1000</f>
        <v>-2.0149414396091303</v>
      </c>
    </row>
    <row r="105" spans="1:20" x14ac:dyDescent="0.25">
      <c r="A105" s="5">
        <v>44488</v>
      </c>
      <c r="B105">
        <v>0.92259999999999998</v>
      </c>
      <c r="C105">
        <v>0.92420000000000002</v>
      </c>
      <c r="D105">
        <v>0.83979999999999999</v>
      </c>
      <c r="E105">
        <v>0.87319999999999998</v>
      </c>
      <c r="F105">
        <v>7884266</v>
      </c>
      <c r="G105">
        <v>0.87319999999999998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-0.20853080568720442</v>
      </c>
      <c r="Q105">
        <f t="shared" ref="Q105" si="501">F105*P105</f>
        <v>-1644112.3412322325</v>
      </c>
      <c r="R105">
        <f t="shared" ref="R105" si="502">R106+Q105</f>
        <v>-203601558.41893953</v>
      </c>
      <c r="S105">
        <f t="shared" ref="S105" si="503">R105/100000</f>
        <v>-2036.0155841893952</v>
      </c>
      <c r="T105">
        <f t="shared" ref="T105" si="504">S105/1000</f>
        <v>-2.0360155841893954</v>
      </c>
    </row>
    <row r="106" spans="1:20" x14ac:dyDescent="0.25">
      <c r="A106" s="5">
        <v>44487</v>
      </c>
      <c r="B106">
        <v>0.86580000000000001</v>
      </c>
      <c r="C106">
        <v>0.99</v>
      </c>
      <c r="D106">
        <v>0.86539999999999995</v>
      </c>
      <c r="E106">
        <v>0.92230000000000001</v>
      </c>
      <c r="F106">
        <v>19982050</v>
      </c>
      <c r="G106">
        <v>0.92230000000000001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-8.6677367576243308E-2</v>
      </c>
      <c r="Q106">
        <f t="shared" ref="Q106" si="506">F106*P106</f>
        <v>-1731991.4927768726</v>
      </c>
      <c r="R106">
        <f t="shared" ref="R106" si="507">R107+Q106</f>
        <v>-201957446.07770729</v>
      </c>
      <c r="S106">
        <f t="shared" ref="S106" si="508">R106/100000</f>
        <v>-2019.574460777073</v>
      </c>
      <c r="T106">
        <f t="shared" ref="T106" si="509">S106/1000</f>
        <v>-2.0195744607770729</v>
      </c>
    </row>
    <row r="107" spans="1:20" x14ac:dyDescent="0.25">
      <c r="A107" s="5">
        <v>44486</v>
      </c>
      <c r="B107">
        <v>0.82440000000000002</v>
      </c>
      <c r="C107">
        <v>0.92390000000000005</v>
      </c>
      <c r="D107">
        <v>0.80959999999999999</v>
      </c>
      <c r="E107">
        <v>0.8659</v>
      </c>
      <c r="F107">
        <v>15659860</v>
      </c>
      <c r="G107">
        <v>0.8659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-1.4873140857393122E-2</v>
      </c>
      <c r="Q107">
        <f t="shared" ref="Q107" si="511">F107*P107</f>
        <v>-232911.30358705626</v>
      </c>
      <c r="R107">
        <f t="shared" ref="R107" si="512">R108+Q107</f>
        <v>-200225454.58493042</v>
      </c>
      <c r="S107">
        <f t="shared" ref="S107" si="513">R107/100000</f>
        <v>-2002.2545458493041</v>
      </c>
      <c r="T107">
        <f t="shared" ref="T107" si="514">S107/1000</f>
        <v>-2.0022545458493042</v>
      </c>
    </row>
    <row r="108" spans="1:20" x14ac:dyDescent="0.25">
      <c r="A108" s="5">
        <v>44485</v>
      </c>
      <c r="B108">
        <v>0.77490000000000003</v>
      </c>
      <c r="C108">
        <v>0.87809999999999999</v>
      </c>
      <c r="D108">
        <v>0.755</v>
      </c>
      <c r="E108">
        <v>0.8236</v>
      </c>
      <c r="F108">
        <v>11227212</v>
      </c>
      <c r="G108">
        <v>0.8236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0.11454102355808288</v>
      </c>
      <c r="Q108">
        <f t="shared" ref="Q108" si="516">F108*P108</f>
        <v>1285976.3541835907</v>
      </c>
      <c r="R108">
        <f t="shared" ref="R108" si="517">R109+Q108</f>
        <v>-199992543.28134337</v>
      </c>
      <c r="S108">
        <f t="shared" ref="S108" si="518">R108/100000</f>
        <v>-1999.9254328134336</v>
      </c>
      <c r="T108">
        <f t="shared" ref="T108" si="519">S108/1000</f>
        <v>-1.9999254328134337</v>
      </c>
    </row>
    <row r="109" spans="1:20" x14ac:dyDescent="0.25">
      <c r="A109" s="5">
        <v>44484</v>
      </c>
      <c r="B109">
        <v>0.80510000000000004</v>
      </c>
      <c r="C109">
        <v>0.87319999999999998</v>
      </c>
      <c r="D109">
        <v>0.76</v>
      </c>
      <c r="E109">
        <v>0.77490000000000003</v>
      </c>
      <c r="F109">
        <v>8402233</v>
      </c>
      <c r="G109">
        <v>0.77490000000000003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-0.73674911660777331</v>
      </c>
      <c r="Q109">
        <f t="shared" ref="Q109" si="521">F109*P109</f>
        <v>-6190337.7402826808</v>
      </c>
      <c r="R109">
        <f t="shared" ref="R109" si="522">R110+Q109</f>
        <v>-201278519.63552696</v>
      </c>
      <c r="S109">
        <f t="shared" ref="S109" si="523">R109/100000</f>
        <v>-2012.7851963552696</v>
      </c>
      <c r="T109">
        <f t="shared" ref="T109" si="524">S109/1000</f>
        <v>-2.0127851963552694</v>
      </c>
    </row>
    <row r="110" spans="1:20" x14ac:dyDescent="0.25">
      <c r="A110" s="5">
        <v>44483</v>
      </c>
      <c r="B110">
        <v>0.73950000000000005</v>
      </c>
      <c r="C110">
        <v>0.90510000000000002</v>
      </c>
      <c r="D110">
        <v>0.71499999999999997</v>
      </c>
      <c r="E110">
        <v>0.80310000000000004</v>
      </c>
      <c r="F110">
        <v>14275396</v>
      </c>
      <c r="G110">
        <v>0.80310000000000004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-7.3119410836401416E-2</v>
      </c>
      <c r="Q110">
        <f t="shared" ref="Q110" si="526">F110*P110</f>
        <v>-1043808.5449763214</v>
      </c>
      <c r="R110">
        <f t="shared" ref="R110" si="527">R111+Q110</f>
        <v>-195088181.89524427</v>
      </c>
      <c r="S110">
        <f t="shared" ref="S110" si="528">R110/100000</f>
        <v>-1950.8818189524427</v>
      </c>
      <c r="T110">
        <f t="shared" ref="T110" si="529">S110/1000</f>
        <v>-1.9508818189524426</v>
      </c>
    </row>
    <row r="111" spans="1:20" x14ac:dyDescent="0.25">
      <c r="A111" s="5">
        <v>44482</v>
      </c>
      <c r="B111">
        <v>0.74580000000000002</v>
      </c>
      <c r="C111">
        <v>0.77859999999999996</v>
      </c>
      <c r="D111">
        <v>0.71289999999999998</v>
      </c>
      <c r="E111">
        <v>0.74</v>
      </c>
      <c r="F111">
        <v>5938176</v>
      </c>
      <c r="G111">
        <v>0.74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-0.17503805175037987</v>
      </c>
      <c r="Q111">
        <f t="shared" ref="Q111" si="531">F111*P111</f>
        <v>-1039406.7579908638</v>
      </c>
      <c r="R111">
        <f t="shared" ref="R111" si="532">R112+Q111</f>
        <v>-194044373.35026795</v>
      </c>
      <c r="S111">
        <f t="shared" ref="S111" si="533">R111/100000</f>
        <v>-1940.4437335026794</v>
      </c>
      <c r="T111">
        <f t="shared" ref="T111" si="534">S111/1000</f>
        <v>-1.9404437335026794</v>
      </c>
    </row>
    <row r="112" spans="1:20" x14ac:dyDescent="0.25">
      <c r="A112" s="5">
        <v>44481</v>
      </c>
      <c r="B112">
        <v>0.69189999999999996</v>
      </c>
      <c r="C112">
        <v>0.8488</v>
      </c>
      <c r="D112">
        <v>0.68679999999999997</v>
      </c>
      <c r="E112">
        <v>0.74409999999999998</v>
      </c>
      <c r="F112">
        <v>18352430</v>
      </c>
      <c r="G112">
        <v>0.74409999999999998</v>
      </c>
      <c r="L112" t="s">
        <v>8</v>
      </c>
      <c r="M112" t="s">
        <v>8</v>
      </c>
      <c r="N112" t="s">
        <v>7</v>
      </c>
      <c r="P112">
        <f t="shared" ref="P112" si="535">IF(C112=D112,0,((E112-D112)-(C112-E112))/(C112-D112))</f>
        <v>-0.29259259259259252</v>
      </c>
      <c r="Q112">
        <f t="shared" ref="Q112" si="536">F112*P112</f>
        <v>-5369785.0740740728</v>
      </c>
      <c r="R112">
        <f t="shared" ref="R112" si="537">R113+Q112</f>
        <v>-193004966.59227708</v>
      </c>
      <c r="S112">
        <f t="shared" ref="S112" si="538">R112/100000</f>
        <v>-1930.0496659227708</v>
      </c>
      <c r="T112">
        <f t="shared" ref="T112" si="539">S112/1000</f>
        <v>-1.9300496659227708</v>
      </c>
    </row>
    <row r="113" spans="1:20" x14ac:dyDescent="0.25">
      <c r="A113" s="5">
        <v>44480</v>
      </c>
      <c r="B113">
        <v>0.66900000000000004</v>
      </c>
      <c r="C113">
        <v>0.76800000000000002</v>
      </c>
      <c r="D113">
        <v>0.66800000000000004</v>
      </c>
      <c r="E113">
        <v>0.69540000000000002</v>
      </c>
      <c r="F113">
        <v>7516308</v>
      </c>
      <c r="G113">
        <v>0.69540000000000002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-0.45200000000000029</v>
      </c>
      <c r="Q113">
        <f t="shared" ref="Q113" si="541">F113*P113</f>
        <v>-3397371.2160000023</v>
      </c>
      <c r="R113">
        <f t="shared" ref="R113" si="542">R114+Q113</f>
        <v>-187635181.51820302</v>
      </c>
      <c r="S113">
        <f t="shared" ref="S113" si="543">R113/100000</f>
        <v>-1876.3518151820301</v>
      </c>
      <c r="T113">
        <f t="shared" ref="T113" si="544">S113/1000</f>
        <v>-1.8763518151820302</v>
      </c>
    </row>
    <row r="114" spans="1:20" x14ac:dyDescent="0.25">
      <c r="A114" s="5">
        <v>44479</v>
      </c>
      <c r="B114">
        <v>0.70540000000000003</v>
      </c>
      <c r="C114">
        <v>0.71</v>
      </c>
      <c r="D114">
        <v>0.65910000000000002</v>
      </c>
      <c r="E114">
        <v>0.6694</v>
      </c>
      <c r="F114">
        <v>3760005</v>
      </c>
      <c r="G114">
        <v>0.6694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-0.59528487229862526</v>
      </c>
      <c r="Q114">
        <f t="shared" ref="Q114" si="546">F114*P114</f>
        <v>-2238274.0962671926</v>
      </c>
      <c r="R114">
        <f t="shared" ref="R114" si="547">R115+Q114</f>
        <v>-184237810.30220303</v>
      </c>
      <c r="S114">
        <f t="shared" ref="S114" si="548">R114/100000</f>
        <v>-1842.3781030220302</v>
      </c>
      <c r="T114">
        <f t="shared" ref="T114" si="549">S114/1000</f>
        <v>-1.8423781030220303</v>
      </c>
    </row>
    <row r="115" spans="1:20" x14ac:dyDescent="0.25">
      <c r="A115" s="5">
        <v>44478</v>
      </c>
      <c r="B115">
        <v>0.74419999999999997</v>
      </c>
      <c r="C115">
        <v>0.77700000000000002</v>
      </c>
      <c r="D115">
        <v>0.70109999999999995</v>
      </c>
      <c r="E115">
        <v>0.70679999999999998</v>
      </c>
      <c r="F115">
        <v>8466290</v>
      </c>
      <c r="G115">
        <v>0.70679999999999998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-0.84980237154150107</v>
      </c>
      <c r="Q115">
        <f t="shared" ref="Q115" si="551">F115*P115</f>
        <v>-7194673.3201580951</v>
      </c>
      <c r="R115">
        <f t="shared" ref="R115" si="552">R116+Q115</f>
        <v>-181999536.20593584</v>
      </c>
      <c r="S115">
        <f t="shared" ref="S115" si="553">R115/100000</f>
        <v>-1819.9953620593583</v>
      </c>
      <c r="T115">
        <f t="shared" ref="T115" si="554">S115/1000</f>
        <v>-1.8199953620593583</v>
      </c>
    </row>
    <row r="116" spans="1:20" x14ac:dyDescent="0.25">
      <c r="A116" s="5">
        <v>44477</v>
      </c>
      <c r="B116">
        <v>0.63639999999999997</v>
      </c>
      <c r="C116">
        <v>1.0179</v>
      </c>
      <c r="D116">
        <v>0.63419999999999999</v>
      </c>
      <c r="E116">
        <v>0.745</v>
      </c>
      <c r="F116">
        <v>73854248.260000005</v>
      </c>
      <c r="G116">
        <v>0.745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-0.42246546781339589</v>
      </c>
      <c r="Q116">
        <f t="shared" ref="Q116" si="556">F116*P116</f>
        <v>-31200869.541167583</v>
      </c>
      <c r="R116">
        <f t="shared" ref="R116" si="557">R117+Q116</f>
        <v>-174804862.88577774</v>
      </c>
      <c r="S116">
        <f t="shared" ref="S116" si="558">R116/100000</f>
        <v>-1748.0486288577774</v>
      </c>
      <c r="T116">
        <f t="shared" ref="T116" si="559">S116/1000</f>
        <v>-1.7480486288577775</v>
      </c>
    </row>
    <row r="117" spans="1:20" x14ac:dyDescent="0.25">
      <c r="A117" s="5">
        <v>44476</v>
      </c>
      <c r="B117">
        <v>0.59809999999999997</v>
      </c>
      <c r="C117">
        <v>0.7</v>
      </c>
      <c r="D117">
        <v>0.57399999999999995</v>
      </c>
      <c r="E117">
        <v>0.63490000000000002</v>
      </c>
      <c r="F117">
        <v>9631053</v>
      </c>
      <c r="G117">
        <v>0.63490000000000002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-3.3333333333332306E-2</v>
      </c>
      <c r="Q117">
        <f t="shared" ref="Q117" si="561">F117*P117</f>
        <v>-321035.09999999008</v>
      </c>
      <c r="R117">
        <f t="shared" ref="R117" si="562">R118+Q117</f>
        <v>-143603993.34461015</v>
      </c>
      <c r="S117">
        <f t="shared" ref="S117" si="563">R117/100000</f>
        <v>-1436.0399334461015</v>
      </c>
      <c r="T117">
        <f t="shared" ref="T117" si="564">S117/1000</f>
        <v>-1.4360399334461016</v>
      </c>
    </row>
    <row r="118" spans="1:20" x14ac:dyDescent="0.25">
      <c r="A118" s="5">
        <v>44475</v>
      </c>
      <c r="B118">
        <v>0.5958</v>
      </c>
      <c r="C118">
        <v>0.61499999999999999</v>
      </c>
      <c r="D118">
        <v>0.54910000000000003</v>
      </c>
      <c r="E118">
        <v>0.59619999999999995</v>
      </c>
      <c r="F118">
        <v>3816429</v>
      </c>
      <c r="G118">
        <v>0.59619999999999995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0.42943854324734293</v>
      </c>
      <c r="Q118">
        <f t="shared" ref="Q118" si="566">F118*P118</f>
        <v>1638921.7101669137</v>
      </c>
      <c r="R118">
        <f t="shared" ref="R118" si="567">R119+Q118</f>
        <v>-143282958.24461016</v>
      </c>
      <c r="S118">
        <f t="shared" ref="S118" si="568">R118/100000</f>
        <v>-1432.8295824461015</v>
      </c>
      <c r="T118">
        <f t="shared" ref="T118" si="569">S118/1000</f>
        <v>-1.4328295824461015</v>
      </c>
    </row>
    <row r="119" spans="1:20" x14ac:dyDescent="0.25">
      <c r="A119" s="5">
        <v>44474</v>
      </c>
      <c r="B119">
        <v>0.58320000000000005</v>
      </c>
      <c r="C119">
        <v>0.61570000000000003</v>
      </c>
      <c r="D119">
        <v>0.57679999999999998</v>
      </c>
      <c r="E119">
        <v>0.59440000000000004</v>
      </c>
      <c r="F119">
        <v>3211555</v>
      </c>
      <c r="G119">
        <v>0.59440000000000004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-9.5115681233931132E-2</v>
      </c>
      <c r="Q119">
        <f t="shared" ref="Q119" si="571">F119*P119</f>
        <v>-305469.24164523772</v>
      </c>
      <c r="R119">
        <f t="shared" ref="R119" si="572">R120+Q119</f>
        <v>-144921879.95477706</v>
      </c>
      <c r="S119">
        <f t="shared" ref="S119" si="573">R119/100000</f>
        <v>-1449.2187995477707</v>
      </c>
      <c r="T119">
        <f t="shared" ref="T119" si="574">S119/1000</f>
        <v>-1.4492187995477708</v>
      </c>
    </row>
    <row r="120" spans="1:20" x14ac:dyDescent="0.25">
      <c r="A120" s="5">
        <v>44473</v>
      </c>
      <c r="B120">
        <v>0.58489999999999998</v>
      </c>
      <c r="C120">
        <v>0.59740000000000004</v>
      </c>
      <c r="D120">
        <v>0.56000000000000005</v>
      </c>
      <c r="E120">
        <v>0.58350000000000002</v>
      </c>
      <c r="F120">
        <v>4576350</v>
      </c>
      <c r="G120">
        <v>0.58350000000000002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0.25668449197860815</v>
      </c>
      <c r="Q120">
        <f t="shared" ref="Q120" si="576">F120*P120</f>
        <v>1174678.0748663035</v>
      </c>
      <c r="R120">
        <f t="shared" ref="R120" si="577">R121+Q120</f>
        <v>-144616410.71313182</v>
      </c>
      <c r="S120">
        <f t="shared" ref="S120" si="578">R120/100000</f>
        <v>-1446.1641071313181</v>
      </c>
      <c r="T120">
        <f t="shared" ref="T120" si="579">S120/1000</f>
        <v>-1.446164107131318</v>
      </c>
    </row>
    <row r="121" spans="1:20" x14ac:dyDescent="0.25">
      <c r="A121" s="5">
        <v>44472</v>
      </c>
      <c r="B121">
        <v>0.5887</v>
      </c>
      <c r="C121">
        <v>0.62</v>
      </c>
      <c r="D121">
        <v>0.57550000000000001</v>
      </c>
      <c r="E121">
        <v>0.58489999999999998</v>
      </c>
      <c r="F121">
        <v>5035648</v>
      </c>
      <c r="G121">
        <v>0.58489999999999998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-0.57752808988764193</v>
      </c>
      <c r="Q121">
        <f t="shared" ref="Q121" si="581">F121*P121</f>
        <v>-2908228.1707865242</v>
      </c>
      <c r="R121">
        <f t="shared" ref="R121" si="582">R122+Q121</f>
        <v>-145791088.78799811</v>
      </c>
      <c r="S121">
        <f t="shared" ref="S121" si="583">R121/100000</f>
        <v>-1457.9108878799811</v>
      </c>
      <c r="T121">
        <f t="shared" ref="T121" si="584">S121/1000</f>
        <v>-1.4579108878799811</v>
      </c>
    </row>
    <row r="122" spans="1:20" x14ac:dyDescent="0.25">
      <c r="A122" s="5">
        <v>44471</v>
      </c>
      <c r="B122">
        <v>0.57599999999999996</v>
      </c>
      <c r="C122">
        <v>0.62719999999999998</v>
      </c>
      <c r="D122">
        <v>0.5645</v>
      </c>
      <c r="E122">
        <v>0.58699999999999997</v>
      </c>
      <c r="F122">
        <v>6504462</v>
      </c>
      <c r="G122">
        <v>0.58699999999999997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-0.28229665071770421</v>
      </c>
      <c r="Q122">
        <f t="shared" ref="Q122" si="586">F122*P122</f>
        <v>-1836187.8373205797</v>
      </c>
      <c r="R122">
        <f t="shared" ref="R122" si="587">R123+Q122</f>
        <v>-142882860.61721158</v>
      </c>
      <c r="S122">
        <f t="shared" ref="S122" si="588">R122/100000</f>
        <v>-1428.8286061721158</v>
      </c>
      <c r="T122">
        <f t="shared" ref="T122" si="589">S122/1000</f>
        <v>-1.4288286061721158</v>
      </c>
    </row>
    <row r="123" spans="1:20" x14ac:dyDescent="0.25">
      <c r="A123" s="5">
        <v>44470</v>
      </c>
      <c r="B123">
        <v>0.54469999999999996</v>
      </c>
      <c r="C123">
        <v>0.58409999999999995</v>
      </c>
      <c r="D123">
        <v>0.53879999999999995</v>
      </c>
      <c r="E123">
        <v>0.57589999999999997</v>
      </c>
      <c r="F123">
        <v>3947456</v>
      </c>
      <c r="G123">
        <v>0.57589999999999997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0.63796909492273801</v>
      </c>
      <c r="Q123">
        <f t="shared" ref="Q123" si="591">F123*P123</f>
        <v>2518354.9315673318</v>
      </c>
      <c r="R123">
        <f t="shared" ref="R123" si="592">R124+Q123</f>
        <v>-141046672.77989101</v>
      </c>
      <c r="S123">
        <f t="shared" ref="S123" si="593">R123/100000</f>
        <v>-1410.4667277989101</v>
      </c>
      <c r="T123">
        <f t="shared" ref="T123" si="594">S123/1000</f>
        <v>-1.4104667277989102</v>
      </c>
    </row>
    <row r="124" spans="1:20" x14ac:dyDescent="0.25">
      <c r="A124" s="5">
        <v>44469</v>
      </c>
      <c r="B124">
        <v>0.5202</v>
      </c>
      <c r="C124">
        <v>0.59989999999999999</v>
      </c>
      <c r="D124">
        <v>0.51849999999999996</v>
      </c>
      <c r="E124">
        <v>0.54459999999999997</v>
      </c>
      <c r="F124">
        <v>5876170</v>
      </c>
      <c r="G124">
        <v>0.54459999999999997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-0.35872235872235864</v>
      </c>
      <c r="Q124">
        <f t="shared" ref="Q124" si="596">F124*P124</f>
        <v>-2107913.5626535621</v>
      </c>
      <c r="R124">
        <f t="shared" ref="R124" si="597">R125+Q124</f>
        <v>-143565027.71145836</v>
      </c>
      <c r="S124">
        <f t="shared" ref="S124" si="598">R124/100000</f>
        <v>-1435.6502771145836</v>
      </c>
      <c r="T124">
        <f t="shared" ref="T124" si="599">S124/1000</f>
        <v>-1.4356502771145836</v>
      </c>
    </row>
    <row r="125" spans="1:20" x14ac:dyDescent="0.25">
      <c r="A125" s="5">
        <v>44468</v>
      </c>
      <c r="B125">
        <v>0.5101</v>
      </c>
      <c r="C125">
        <v>0.56000000000000005</v>
      </c>
      <c r="D125">
        <v>0.50390000000000001</v>
      </c>
      <c r="E125">
        <v>0.5222</v>
      </c>
      <c r="F125">
        <v>3244421</v>
      </c>
      <c r="G125">
        <v>0.5222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-0.34759358288770159</v>
      </c>
      <c r="Q125">
        <f t="shared" ref="Q125" si="601">F125*P125</f>
        <v>-1127739.9197860996</v>
      </c>
      <c r="R125">
        <f t="shared" ref="R125" si="602">R126+Q125</f>
        <v>-141457114.14880478</v>
      </c>
      <c r="S125">
        <f t="shared" ref="S125" si="603">R125/100000</f>
        <v>-1414.5711414880479</v>
      </c>
      <c r="T125">
        <f t="shared" ref="T125" si="604">S125/1000</f>
        <v>-1.414571141488048</v>
      </c>
    </row>
    <row r="126" spans="1:20" x14ac:dyDescent="0.25">
      <c r="A126" s="5">
        <v>44467</v>
      </c>
      <c r="B126">
        <v>0.5242</v>
      </c>
      <c r="C126">
        <v>0.56989999999999996</v>
      </c>
      <c r="D126">
        <v>0.50890000000000002</v>
      </c>
      <c r="E126">
        <v>0.51160000000000005</v>
      </c>
      <c r="F126">
        <v>2972007</v>
      </c>
      <c r="G126">
        <v>0.51160000000000005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-0.91147540983606434</v>
      </c>
      <c r="Q126">
        <f t="shared" ref="Q126" si="606">F126*P126</f>
        <v>-2708911.2983606523</v>
      </c>
      <c r="R126">
        <f t="shared" ref="R126" si="607">R127+Q126</f>
        <v>-140329374.22901869</v>
      </c>
      <c r="S126">
        <f t="shared" ref="S126" si="608">R126/100000</f>
        <v>-1403.2937422901869</v>
      </c>
      <c r="T126">
        <f t="shared" ref="T126" si="609">S126/1000</f>
        <v>-1.4032937422901868</v>
      </c>
    </row>
    <row r="127" spans="1:20" x14ac:dyDescent="0.25">
      <c r="A127" s="5">
        <v>44466</v>
      </c>
      <c r="B127">
        <v>0.55289999999999995</v>
      </c>
      <c r="C127">
        <v>0.57999999999999996</v>
      </c>
      <c r="D127">
        <v>0.52280000000000004</v>
      </c>
      <c r="E127">
        <v>0.52710000000000001</v>
      </c>
      <c r="F127">
        <v>2203073</v>
      </c>
      <c r="G127">
        <v>0.52710000000000001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-0.84965034965035047</v>
      </c>
      <c r="Q127">
        <f t="shared" ref="Q127" si="611">F127*P127</f>
        <v>-1871841.7447552464</v>
      </c>
      <c r="R127">
        <f t="shared" ref="R127" si="612">R128+Q127</f>
        <v>-137620462.93065804</v>
      </c>
      <c r="S127">
        <f t="shared" ref="S127" si="613">R127/100000</f>
        <v>-1376.2046293065805</v>
      </c>
      <c r="T127">
        <f t="shared" ref="T127" si="614">S127/1000</f>
        <v>-1.3762046293065806</v>
      </c>
    </row>
    <row r="128" spans="1:20" x14ac:dyDescent="0.25">
      <c r="A128" s="5">
        <v>44465</v>
      </c>
      <c r="B128">
        <v>0.61140000000000005</v>
      </c>
      <c r="C128">
        <v>0.61140000000000005</v>
      </c>
      <c r="D128">
        <v>0.50570000000000004</v>
      </c>
      <c r="E128">
        <v>0.55479999999999996</v>
      </c>
      <c r="F128">
        <v>6561703</v>
      </c>
      <c r="G128">
        <v>0.55479999999999996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-7.0955534531695105E-2</v>
      </c>
      <c r="Q128">
        <f t="shared" ref="Q128" si="616">F128*P128</f>
        <v>-465589.14380322734</v>
      </c>
      <c r="R128">
        <f t="shared" ref="R128" si="617">R129+Q128</f>
        <v>-135748621.1859028</v>
      </c>
      <c r="S128">
        <f t="shared" ref="S128" si="618">R128/100000</f>
        <v>-1357.4862118590281</v>
      </c>
      <c r="T128">
        <f t="shared" ref="T128" si="619">S128/1000</f>
        <v>-1.3574862118590281</v>
      </c>
    </row>
    <row r="129" spans="1:20" x14ac:dyDescent="0.25">
      <c r="A129" s="5">
        <v>44464</v>
      </c>
      <c r="B129">
        <v>0.54100000000000004</v>
      </c>
      <c r="C129">
        <v>0.6663</v>
      </c>
      <c r="D129">
        <v>0.53390000000000004</v>
      </c>
      <c r="E129">
        <v>0.60970000000000002</v>
      </c>
      <c r="F129">
        <v>10320947</v>
      </c>
      <c r="G129">
        <v>0.60970000000000002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0.14501510574018128</v>
      </c>
      <c r="Q129">
        <f t="shared" ref="Q129" si="621">F129*P129</f>
        <v>1496693.2205438067</v>
      </c>
      <c r="R129">
        <f t="shared" ref="R129" si="622">R130+Q129</f>
        <v>-135283032.04209957</v>
      </c>
      <c r="S129">
        <f t="shared" ref="S129" si="623">R129/100000</f>
        <v>-1352.8303204209956</v>
      </c>
      <c r="T129">
        <f t="shared" ref="T129" si="624">S129/1000</f>
        <v>-1.3528303204209955</v>
      </c>
    </row>
    <row r="130" spans="1:20" x14ac:dyDescent="0.25">
      <c r="A130" s="5">
        <v>44463</v>
      </c>
      <c r="B130">
        <v>0.59089999999999998</v>
      </c>
      <c r="C130">
        <v>0.6341</v>
      </c>
      <c r="D130">
        <v>0.50690000000000002</v>
      </c>
      <c r="E130">
        <v>0.5403</v>
      </c>
      <c r="F130">
        <v>5248080</v>
      </c>
      <c r="G130">
        <v>0.5403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-0.47484276729559766</v>
      </c>
      <c r="Q130">
        <f t="shared" ref="Q130" si="626">F130*P130</f>
        <v>-2492012.83018868</v>
      </c>
      <c r="R130">
        <f t="shared" ref="R130" si="627">R131+Q130</f>
        <v>-136779725.26264337</v>
      </c>
      <c r="S130">
        <f t="shared" ref="S130" si="628">R130/100000</f>
        <v>-1367.7972526264336</v>
      </c>
      <c r="T130">
        <f t="shared" ref="T130" si="629">S130/1000</f>
        <v>-1.3677972526264337</v>
      </c>
    </row>
    <row r="131" spans="1:20" x14ac:dyDescent="0.25">
      <c r="A131" s="5">
        <v>44462</v>
      </c>
      <c r="B131">
        <v>0.58150000000000002</v>
      </c>
      <c r="C131">
        <v>0.61</v>
      </c>
      <c r="D131">
        <v>0.55920000000000003</v>
      </c>
      <c r="E131">
        <v>0.59130000000000005</v>
      </c>
      <c r="F131">
        <v>3411302</v>
      </c>
      <c r="G131">
        <v>0.59130000000000005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0.26377952755905687</v>
      </c>
      <c r="Q131">
        <f t="shared" ref="Q131" si="631">F131*P131</f>
        <v>899831.62992126576</v>
      </c>
      <c r="R131">
        <f t="shared" ref="R131" si="632">R132+Q131</f>
        <v>-134287712.43245468</v>
      </c>
      <c r="S131">
        <f t="shared" ref="S131" si="633">R131/100000</f>
        <v>-1342.8771243245467</v>
      </c>
      <c r="T131">
        <f t="shared" ref="T131" si="634">S131/1000</f>
        <v>-1.3428771243245468</v>
      </c>
    </row>
    <row r="132" spans="1:20" x14ac:dyDescent="0.25">
      <c r="A132" s="5">
        <v>44461</v>
      </c>
      <c r="B132">
        <v>0.51719999999999999</v>
      </c>
      <c r="C132">
        <v>0.59599999999999997</v>
      </c>
      <c r="D132">
        <v>0.50290000000000001</v>
      </c>
      <c r="E132">
        <v>0.58020000000000005</v>
      </c>
      <c r="F132">
        <v>4517355</v>
      </c>
      <c r="G132">
        <v>0.58020000000000005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0.66058002148227857</v>
      </c>
      <c r="Q132">
        <f t="shared" ref="Q132" si="636">F132*P132</f>
        <v>2984074.4629430785</v>
      </c>
      <c r="R132">
        <f t="shared" ref="R132" si="637">R133+Q132</f>
        <v>-135187544.06237593</v>
      </c>
      <c r="S132">
        <f t="shared" ref="S132" si="638">R132/100000</f>
        <v>-1351.8754406237592</v>
      </c>
      <c r="T132">
        <f t="shared" ref="T132" si="639">S132/1000</f>
        <v>-1.3518754406237592</v>
      </c>
    </row>
    <row r="133" spans="1:20" x14ac:dyDescent="0.25">
      <c r="A133" s="5">
        <v>44460</v>
      </c>
      <c r="B133">
        <v>0.56420000000000003</v>
      </c>
      <c r="C133">
        <v>0.59530000000000005</v>
      </c>
      <c r="D133">
        <v>0.4975</v>
      </c>
      <c r="E133">
        <v>0.51500000000000001</v>
      </c>
      <c r="F133">
        <v>3656280.03</v>
      </c>
      <c r="G133">
        <v>0.51500000000000001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-0.64212678936605305</v>
      </c>
      <c r="Q133">
        <f t="shared" ref="Q133" si="641">F133*P133</f>
        <v>-2347795.356687116</v>
      </c>
      <c r="R133">
        <f t="shared" ref="R133" si="642">R134+Q133</f>
        <v>-138171618.52531901</v>
      </c>
      <c r="S133">
        <f t="shared" ref="S133" si="643">R133/100000</f>
        <v>-1381.7161852531901</v>
      </c>
      <c r="T133">
        <f t="shared" ref="T133" si="644">S133/1000</f>
        <v>-1.3817161852531901</v>
      </c>
    </row>
    <row r="134" spans="1:20" x14ac:dyDescent="0.25">
      <c r="A134" s="5">
        <v>44459</v>
      </c>
      <c r="B134">
        <v>0.6704</v>
      </c>
      <c r="C134">
        <v>0.6704</v>
      </c>
      <c r="D134">
        <v>0.60170000000000001</v>
      </c>
      <c r="E134">
        <v>0.61880000000000002</v>
      </c>
      <c r="F134">
        <v>2016788</v>
      </c>
      <c r="G134">
        <v>0.61880000000000002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-0.50218340611353685</v>
      </c>
      <c r="Q134">
        <f t="shared" ref="Q134" si="646">F134*P134</f>
        <v>-1012797.4672489078</v>
      </c>
      <c r="R134">
        <f t="shared" ref="R134" si="647">R135+Q134</f>
        <v>-135823823.16863188</v>
      </c>
      <c r="S134">
        <f t="shared" ref="S134" si="648">R134/100000</f>
        <v>-1358.2382316863188</v>
      </c>
      <c r="T134">
        <f t="shared" ref="T134" si="649">S134/1000</f>
        <v>-1.3582382316863189</v>
      </c>
    </row>
    <row r="135" spans="1:20" x14ac:dyDescent="0.25">
      <c r="A135" s="5">
        <v>44458</v>
      </c>
      <c r="B135">
        <v>0.71740000000000004</v>
      </c>
      <c r="C135">
        <v>0.71970000000000001</v>
      </c>
      <c r="D135">
        <v>0.66010000000000002</v>
      </c>
      <c r="E135">
        <v>0.66959999999999997</v>
      </c>
      <c r="F135">
        <v>2496425</v>
      </c>
      <c r="G135">
        <v>0.66959999999999997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-0.68120805369127668</v>
      </c>
      <c r="Q135">
        <f t="shared" ref="Q135" si="651">F135*P135</f>
        <v>-1700584.8154362454</v>
      </c>
      <c r="R135">
        <f t="shared" ref="R135" si="652">R136+Q135</f>
        <v>-134811025.70138296</v>
      </c>
      <c r="S135">
        <f t="shared" ref="S135" si="653">R135/100000</f>
        <v>-1348.1102570138296</v>
      </c>
      <c r="T135">
        <f t="shared" ref="T135" si="654">S135/1000</f>
        <v>-1.3481102570138297</v>
      </c>
    </row>
    <row r="136" spans="1:20" x14ac:dyDescent="0.25">
      <c r="A136" s="5">
        <v>44457</v>
      </c>
      <c r="B136">
        <v>0.67430000000000001</v>
      </c>
      <c r="C136">
        <v>0.75180000000000002</v>
      </c>
      <c r="D136">
        <v>0.66339999999999999</v>
      </c>
      <c r="E136">
        <v>0.71660000000000001</v>
      </c>
      <c r="F136">
        <v>3992931</v>
      </c>
      <c r="G136">
        <v>0.71660000000000001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0.20361990950226255</v>
      </c>
      <c r="Q136">
        <f t="shared" ref="Q136" si="656">F136*P136</f>
        <v>813040.2488687787</v>
      </c>
      <c r="R136">
        <f t="shared" ref="R136" si="657">R137+Q136</f>
        <v>-133110440.88594672</v>
      </c>
      <c r="S136">
        <f t="shared" ref="S136" si="658">R136/100000</f>
        <v>-1331.1044088594672</v>
      </c>
      <c r="T136">
        <f t="shared" ref="T136" si="659">S136/1000</f>
        <v>-1.3311044088594672</v>
      </c>
    </row>
    <row r="137" spans="1:20" x14ac:dyDescent="0.25">
      <c r="A137" s="5">
        <v>44456</v>
      </c>
      <c r="B137">
        <v>0.71009999999999995</v>
      </c>
      <c r="C137">
        <v>0.71509999999999996</v>
      </c>
      <c r="D137">
        <v>0.66649999999999998</v>
      </c>
      <c r="E137">
        <v>0.67479999999999996</v>
      </c>
      <c r="F137">
        <v>3368184</v>
      </c>
      <c r="G137">
        <v>0.67479999999999996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-0.65843621399177044</v>
      </c>
      <c r="Q137">
        <f t="shared" ref="Q137" si="661">F137*P137</f>
        <v>-2217734.3209876572</v>
      </c>
      <c r="R137">
        <f t="shared" ref="R137" si="662">R138+Q137</f>
        <v>-133923481.1348155</v>
      </c>
      <c r="S137">
        <f t="shared" ref="S137" si="663">R137/100000</f>
        <v>-1339.2348113481551</v>
      </c>
      <c r="T137">
        <f t="shared" ref="T137" si="664">S137/1000</f>
        <v>-1.3392348113481551</v>
      </c>
    </row>
    <row r="138" spans="1:20" x14ac:dyDescent="0.25">
      <c r="A138" s="5">
        <v>44455</v>
      </c>
      <c r="B138">
        <v>0.71120000000000005</v>
      </c>
      <c r="C138">
        <v>0.77200000000000002</v>
      </c>
      <c r="D138">
        <v>0.69410000000000005</v>
      </c>
      <c r="E138">
        <v>0.71</v>
      </c>
      <c r="F138">
        <v>5962442</v>
      </c>
      <c r="G138">
        <v>0.71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-0.59178433889602255</v>
      </c>
      <c r="Q138">
        <f t="shared" ref="Q138" si="666">F138*P138</f>
        <v>-3528479.7971758787</v>
      </c>
      <c r="R138">
        <f t="shared" ref="R138" si="667">R139+Q138</f>
        <v>-131705746.81382784</v>
      </c>
      <c r="S138">
        <f t="shared" ref="S138" si="668">R138/100000</f>
        <v>-1317.0574681382784</v>
      </c>
      <c r="T138">
        <f t="shared" ref="T138" si="669">S138/1000</f>
        <v>-1.3170574681382785</v>
      </c>
    </row>
    <row r="139" spans="1:20" x14ac:dyDescent="0.25">
      <c r="A139" s="5">
        <v>44454</v>
      </c>
      <c r="B139">
        <v>0.69820000000000004</v>
      </c>
      <c r="C139">
        <v>0.71889999999999998</v>
      </c>
      <c r="D139">
        <v>0.68400000000000005</v>
      </c>
      <c r="E139">
        <v>0.71009999999999995</v>
      </c>
      <c r="F139">
        <v>2644698</v>
      </c>
      <c r="G139">
        <v>0.71009999999999995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0.49570200573065631</v>
      </c>
      <c r="Q139">
        <f t="shared" ref="Q139" si="671">F139*P139</f>
        <v>1310982.1031518553</v>
      </c>
      <c r="R139">
        <f t="shared" ref="R139" si="672">R140+Q139</f>
        <v>-128177267.01665196</v>
      </c>
      <c r="S139">
        <f t="shared" ref="S139" si="673">R139/100000</f>
        <v>-1281.7726701665197</v>
      </c>
      <c r="T139">
        <f t="shared" ref="T139" si="674">S139/1000</f>
        <v>-1.2817726701665197</v>
      </c>
    </row>
    <row r="140" spans="1:20" x14ac:dyDescent="0.25">
      <c r="A140" s="5">
        <v>44453</v>
      </c>
      <c r="B140">
        <v>0.67620000000000002</v>
      </c>
      <c r="C140">
        <v>0.71330000000000005</v>
      </c>
      <c r="D140">
        <v>0.67230000000000001</v>
      </c>
      <c r="E140">
        <v>0.69679999999999997</v>
      </c>
      <c r="F140">
        <v>2591593</v>
      </c>
      <c r="G140">
        <v>0.69679999999999997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0.19512195121950948</v>
      </c>
      <c r="Q140">
        <f t="shared" ref="Q140" si="676">F140*P140</f>
        <v>505676.68292682222</v>
      </c>
      <c r="R140">
        <f t="shared" ref="R140" si="677">R141+Q140</f>
        <v>-129488249.11980382</v>
      </c>
      <c r="S140">
        <f t="shared" ref="S140" si="678">R140/100000</f>
        <v>-1294.8824911980382</v>
      </c>
      <c r="T140">
        <f t="shared" ref="T140" si="679">S140/1000</f>
        <v>-1.2948824911980383</v>
      </c>
    </row>
    <row r="141" spans="1:20" x14ac:dyDescent="0.25">
      <c r="A141" s="5">
        <v>44452</v>
      </c>
      <c r="B141">
        <v>0.7288</v>
      </c>
      <c r="C141">
        <v>0.73</v>
      </c>
      <c r="D141">
        <v>0.64300000000000002</v>
      </c>
      <c r="E141">
        <v>0.67549999999999999</v>
      </c>
      <c r="F141">
        <v>4992303</v>
      </c>
      <c r="G141">
        <v>0.67549999999999999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-0.25287356321839111</v>
      </c>
      <c r="Q141">
        <f t="shared" ref="Q141" si="681">F141*P141</f>
        <v>-1262421.4482758637</v>
      </c>
      <c r="R141">
        <f t="shared" ref="R141" si="682">R142+Q141</f>
        <v>-129993925.80273063</v>
      </c>
      <c r="S141">
        <f t="shared" ref="S141" si="683">R141/100000</f>
        <v>-1299.9392580273063</v>
      </c>
      <c r="T141">
        <f t="shared" ref="T141" si="684">S141/1000</f>
        <v>-1.2999392580273064</v>
      </c>
    </row>
    <row r="142" spans="1:20" x14ac:dyDescent="0.25">
      <c r="A142" s="5">
        <v>44451</v>
      </c>
      <c r="B142">
        <v>0.75209999999999999</v>
      </c>
      <c r="C142">
        <v>0.77139999999999997</v>
      </c>
      <c r="D142">
        <v>0.66659999999999997</v>
      </c>
      <c r="E142">
        <v>0.7288</v>
      </c>
      <c r="F142">
        <v>4410287</v>
      </c>
      <c r="G142">
        <v>0.7288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0.18702290076335937</v>
      </c>
      <c r="Q142">
        <f t="shared" ref="Q142" si="686">F142*P142</f>
        <v>824824.66793893394</v>
      </c>
      <c r="R142">
        <f t="shared" ref="R142" si="687">R143+Q142</f>
        <v>-128731504.35445477</v>
      </c>
      <c r="S142">
        <f t="shared" ref="S142" si="688">R142/100000</f>
        <v>-1287.3150435445477</v>
      </c>
      <c r="T142">
        <f t="shared" ref="T142" si="689">S142/1000</f>
        <v>-1.2873150435445477</v>
      </c>
    </row>
    <row r="143" spans="1:20" x14ac:dyDescent="0.25">
      <c r="A143" s="5">
        <v>44450</v>
      </c>
      <c r="B143">
        <v>0.73819999999999997</v>
      </c>
      <c r="C143">
        <v>0.79810000000000003</v>
      </c>
      <c r="D143">
        <v>0.71</v>
      </c>
      <c r="E143">
        <v>0.75209999999999999</v>
      </c>
      <c r="F143">
        <v>4106228</v>
      </c>
      <c r="G143">
        <v>0.75209999999999999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-4.4267877412031913E-2</v>
      </c>
      <c r="Q143">
        <f t="shared" ref="Q143" si="691">F143*P143</f>
        <v>-181773.99772985297</v>
      </c>
      <c r="R143">
        <f t="shared" ref="R143" si="692">R144+Q143</f>
        <v>-129556329.0223937</v>
      </c>
      <c r="S143">
        <f t="shared" ref="S143" si="693">R143/100000</f>
        <v>-1295.563290223937</v>
      </c>
      <c r="T143">
        <f t="shared" ref="T143" si="694">S143/1000</f>
        <v>-1.2955632902239369</v>
      </c>
    </row>
    <row r="144" spans="1:20" x14ac:dyDescent="0.25">
      <c r="A144" s="5">
        <v>44449</v>
      </c>
      <c r="B144">
        <v>0.745</v>
      </c>
      <c r="C144">
        <v>0.88800000000000001</v>
      </c>
      <c r="D144">
        <v>0.69799999999999995</v>
      </c>
      <c r="E144">
        <v>0.73729999999999996</v>
      </c>
      <c r="F144">
        <v>13052326</v>
      </c>
      <c r="G144">
        <v>0.73729999999999996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-0.58631578947368435</v>
      </c>
      <c r="Q144">
        <f t="shared" ref="Q144" si="696">F144*P144</f>
        <v>-7652784.8231578963</v>
      </c>
      <c r="R144">
        <f t="shared" ref="R144" si="697">R145+Q144</f>
        <v>-129374555.02466385</v>
      </c>
      <c r="S144">
        <f t="shared" ref="S144" si="698">R144/100000</f>
        <v>-1293.7455502466385</v>
      </c>
      <c r="T144">
        <f t="shared" ref="T144" si="699">S144/1000</f>
        <v>-1.2937455502466384</v>
      </c>
    </row>
    <row r="145" spans="1:20" x14ac:dyDescent="0.25">
      <c r="A145" s="5">
        <v>44448</v>
      </c>
      <c r="B145">
        <v>0.6532</v>
      </c>
      <c r="C145">
        <v>0.78659999999999997</v>
      </c>
      <c r="D145">
        <v>0.63839999999999997</v>
      </c>
      <c r="E145">
        <v>0.745</v>
      </c>
      <c r="F145">
        <v>7584246</v>
      </c>
      <c r="G145">
        <v>0.745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0.4385964912280706</v>
      </c>
      <c r="Q145">
        <f t="shared" ref="Q145" si="701">F145*P145</f>
        <v>3326423.6842105296</v>
      </c>
      <c r="R145">
        <f t="shared" ref="R145" si="702">R146+Q145</f>
        <v>-121721770.20150596</v>
      </c>
      <c r="S145">
        <f t="shared" ref="S145" si="703">R145/100000</f>
        <v>-1217.2177020150596</v>
      </c>
      <c r="T145">
        <f t="shared" ref="T145" si="704">S145/1000</f>
        <v>-1.2172177020150596</v>
      </c>
    </row>
    <row r="146" spans="1:20" x14ac:dyDescent="0.25">
      <c r="A146" s="5">
        <v>44447</v>
      </c>
      <c r="B146">
        <v>0.68600000000000005</v>
      </c>
      <c r="C146">
        <v>0.69820000000000004</v>
      </c>
      <c r="D146">
        <v>0.59199999999999997</v>
      </c>
      <c r="E146">
        <v>0.65259999999999996</v>
      </c>
      <c r="F146">
        <v>5845972</v>
      </c>
      <c r="G146">
        <v>0.65259999999999996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0.14124293785310632</v>
      </c>
      <c r="Q146">
        <f t="shared" ref="Q146" si="706">F146*P146</f>
        <v>825702.25988699961</v>
      </c>
      <c r="R146">
        <f t="shared" ref="R146" si="707">R147+Q146</f>
        <v>-125048193.88571648</v>
      </c>
      <c r="S146">
        <f t="shared" ref="S146" si="708">R146/100000</f>
        <v>-1250.4819388571648</v>
      </c>
      <c r="T146">
        <f t="shared" ref="T146" si="709">S146/1000</f>
        <v>-1.2504819388571649</v>
      </c>
    </row>
    <row r="147" spans="1:20" x14ac:dyDescent="0.25">
      <c r="A147" s="5">
        <v>44446</v>
      </c>
      <c r="B147">
        <v>0.80320000000000003</v>
      </c>
      <c r="C147">
        <v>0.9</v>
      </c>
      <c r="D147">
        <v>0.58630000000000004</v>
      </c>
      <c r="E147">
        <v>0.68479999999999996</v>
      </c>
      <c r="F147">
        <v>15544468.960000001</v>
      </c>
      <c r="G147">
        <v>0.68479999999999996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-0.37201147593241995</v>
      </c>
      <c r="Q147">
        <f t="shared" ref="Q147" si="711">F147*P147</f>
        <v>-5782720.8403952895</v>
      </c>
      <c r="R147">
        <f t="shared" ref="R147" si="712">R148+Q147</f>
        <v>-125873896.14560348</v>
      </c>
      <c r="S147">
        <f t="shared" ref="S147" si="713">R147/100000</f>
        <v>-1258.7389614560348</v>
      </c>
      <c r="T147">
        <f t="shared" ref="T147" si="714">S147/1000</f>
        <v>-1.2587389614560347</v>
      </c>
    </row>
    <row r="148" spans="1:20" x14ac:dyDescent="0.25">
      <c r="A148" s="5">
        <v>44445</v>
      </c>
      <c r="B148">
        <v>0.751</v>
      </c>
      <c r="C148">
        <v>0.82940000000000003</v>
      </c>
      <c r="D148">
        <v>0.745</v>
      </c>
      <c r="E148">
        <v>0.80320000000000003</v>
      </c>
      <c r="F148">
        <v>7739025.21</v>
      </c>
      <c r="G148">
        <v>0.80320000000000003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0.37914691943127982</v>
      </c>
      <c r="Q148">
        <f t="shared" ref="Q148" si="716">F148*P148</f>
        <v>2934227.5677725133</v>
      </c>
      <c r="R148">
        <f t="shared" ref="R148" si="717">R149+Q148</f>
        <v>-120091175.30520819</v>
      </c>
      <c r="S148">
        <f t="shared" ref="S148" si="718">R148/100000</f>
        <v>-1200.9117530520818</v>
      </c>
      <c r="T148">
        <f t="shared" ref="T148" si="719">S148/1000</f>
        <v>-1.2009117530520819</v>
      </c>
    </row>
    <row r="149" spans="1:20" x14ac:dyDescent="0.25">
      <c r="A149" s="5">
        <v>44444</v>
      </c>
      <c r="B149">
        <v>0.74280000000000002</v>
      </c>
      <c r="C149">
        <v>0.77159999999999995</v>
      </c>
      <c r="D149">
        <v>0.73</v>
      </c>
      <c r="E149">
        <v>0.75319999999999998</v>
      </c>
      <c r="F149">
        <v>4999444</v>
      </c>
      <c r="G149">
        <v>0.75319999999999998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0.1153846153846161</v>
      </c>
      <c r="Q149">
        <f t="shared" ref="Q149" si="721">F149*P149</f>
        <v>576858.92307692661</v>
      </c>
      <c r="R149">
        <f t="shared" ref="R149" si="722">R150+Q149</f>
        <v>-123025402.8729807</v>
      </c>
      <c r="S149">
        <f t="shared" ref="S149" si="723">R149/100000</f>
        <v>-1230.254028729807</v>
      </c>
      <c r="T149">
        <f t="shared" ref="T149" si="724">S149/1000</f>
        <v>-1.2302540287298069</v>
      </c>
    </row>
    <row r="150" spans="1:20" x14ac:dyDescent="0.25">
      <c r="A150" s="5">
        <v>44443</v>
      </c>
      <c r="B150">
        <v>0.69530000000000003</v>
      </c>
      <c r="C150">
        <v>0.76780000000000004</v>
      </c>
      <c r="D150">
        <v>0.68859999999999999</v>
      </c>
      <c r="E150">
        <v>0.74280000000000002</v>
      </c>
      <c r="F150">
        <v>11580028.949999999</v>
      </c>
      <c r="G150">
        <v>0.74280000000000002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0.36868686868686851</v>
      </c>
      <c r="Q150">
        <f t="shared" ref="Q150" si="726">F150*P150</f>
        <v>4269404.6128787855</v>
      </c>
      <c r="R150">
        <f t="shared" ref="R150" si="727">R151+Q150</f>
        <v>-123602261.79605763</v>
      </c>
      <c r="S150">
        <f t="shared" ref="S150" si="728">R150/100000</f>
        <v>-1236.0226179605763</v>
      </c>
      <c r="T150">
        <f t="shared" ref="T150" si="729">S150/1000</f>
        <v>-1.2360226179605762</v>
      </c>
    </row>
    <row r="151" spans="1:20" x14ac:dyDescent="0.25">
      <c r="A151" s="5">
        <v>44442</v>
      </c>
      <c r="B151">
        <v>0.68820000000000003</v>
      </c>
      <c r="C151">
        <v>0.71379999999999999</v>
      </c>
      <c r="D151">
        <v>0.67610000000000003</v>
      </c>
      <c r="E151">
        <v>0.69530000000000003</v>
      </c>
      <c r="F151">
        <v>3834639</v>
      </c>
      <c r="G151">
        <v>0.69530000000000003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1.8567639257295352E-2</v>
      </c>
      <c r="Q151">
        <f t="shared" ref="Q151" si="731">F151*P151</f>
        <v>71200.193633955787</v>
      </c>
      <c r="R151">
        <f t="shared" ref="R151" si="732">R152+Q151</f>
        <v>-127871666.40893641</v>
      </c>
      <c r="S151">
        <f t="shared" ref="S151" si="733">R151/100000</f>
        <v>-1278.716664089364</v>
      </c>
      <c r="T151">
        <f t="shared" ref="T151" si="734">S151/1000</f>
        <v>-1.2787166640893641</v>
      </c>
    </row>
    <row r="152" spans="1:20" x14ac:dyDescent="0.25">
      <c r="A152" s="5">
        <v>44441</v>
      </c>
      <c r="B152">
        <v>0.6784</v>
      </c>
      <c r="C152">
        <v>0.74580000000000002</v>
      </c>
      <c r="D152">
        <v>0.67469999999999997</v>
      </c>
      <c r="E152">
        <v>0.68869999999999998</v>
      </c>
      <c r="F152">
        <v>6941365.7999999998</v>
      </c>
      <c r="G152">
        <v>0.68869999999999998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-0.60618846694796058</v>
      </c>
      <c r="Q152">
        <f t="shared" ref="Q152" si="736">F152*P152</f>
        <v>-4207775.8928270042</v>
      </c>
      <c r="R152">
        <f t="shared" ref="R152" si="737">R153+Q152</f>
        <v>-127942866.60257037</v>
      </c>
      <c r="S152">
        <f t="shared" ref="S152" si="738">R152/100000</f>
        <v>-1279.4286660257037</v>
      </c>
      <c r="T152">
        <f t="shared" ref="T152" si="739">S152/1000</f>
        <v>-1.2794286660257037</v>
      </c>
    </row>
    <row r="153" spans="1:20" x14ac:dyDescent="0.25">
      <c r="A153" s="5">
        <v>44440</v>
      </c>
      <c r="B153">
        <v>0.65749999999999997</v>
      </c>
      <c r="C153">
        <v>0.68</v>
      </c>
      <c r="D153">
        <v>0.64259999999999995</v>
      </c>
      <c r="E153">
        <v>0.6784</v>
      </c>
      <c r="F153">
        <v>2981931</v>
      </c>
      <c r="G153">
        <v>0.6784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0.91443850267379456</v>
      </c>
      <c r="Q153">
        <f t="shared" ref="Q153" si="741">F153*P153</f>
        <v>2726792.5187165709</v>
      </c>
      <c r="R153">
        <f t="shared" ref="R153" si="742">R154+Q153</f>
        <v>-123735090.70974337</v>
      </c>
      <c r="S153">
        <f t="shared" ref="S153" si="743">R153/100000</f>
        <v>-1237.3509070974337</v>
      </c>
      <c r="T153">
        <f t="shared" ref="T153" si="744">S153/1000</f>
        <v>-1.2373509070974338</v>
      </c>
    </row>
    <row r="154" spans="1:20" x14ac:dyDescent="0.25">
      <c r="A154" s="5">
        <v>44439</v>
      </c>
      <c r="B154">
        <v>0.66369999999999996</v>
      </c>
      <c r="C154">
        <v>0.69479999999999997</v>
      </c>
      <c r="D154">
        <v>0.65</v>
      </c>
      <c r="E154">
        <v>0.65769999999999995</v>
      </c>
      <c r="F154">
        <v>3627023.4</v>
      </c>
      <c r="G154">
        <v>0.65769999999999995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-0.65625000000000278</v>
      </c>
      <c r="Q154">
        <f t="shared" ref="Q154" si="746">F154*P154</f>
        <v>-2380234.10625001</v>
      </c>
      <c r="R154">
        <f t="shared" ref="R154" si="747">R155+Q154</f>
        <v>-126461883.22845994</v>
      </c>
      <c r="S154">
        <f t="shared" ref="S154" si="748">R154/100000</f>
        <v>-1264.6188322845994</v>
      </c>
      <c r="T154">
        <f t="shared" ref="T154" si="749">S154/1000</f>
        <v>-1.2646188322845995</v>
      </c>
    </row>
    <row r="155" spans="1:20" x14ac:dyDescent="0.25">
      <c r="A155" s="5">
        <v>44438</v>
      </c>
      <c r="B155">
        <v>0.69689999999999996</v>
      </c>
      <c r="C155">
        <v>0.69950000000000001</v>
      </c>
      <c r="D155">
        <v>0.65549999999999997</v>
      </c>
      <c r="E155">
        <v>0.66149999999999998</v>
      </c>
      <c r="F155">
        <v>3069277</v>
      </c>
      <c r="G155">
        <v>0.66149999999999998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-0.72727272727272729</v>
      </c>
      <c r="Q155">
        <f t="shared" ref="Q155" si="751">F155*P155</f>
        <v>-2232201.4545454546</v>
      </c>
      <c r="R155">
        <f t="shared" ref="R155" si="752">R156+Q155</f>
        <v>-124081649.12220994</v>
      </c>
      <c r="S155">
        <f t="shared" ref="S155" si="753">R155/100000</f>
        <v>-1240.8164912220993</v>
      </c>
      <c r="T155">
        <f t="shared" ref="T155" si="754">S155/1000</f>
        <v>-1.2408164912220994</v>
      </c>
    </row>
    <row r="156" spans="1:20" x14ac:dyDescent="0.25">
      <c r="A156" s="5">
        <v>44437</v>
      </c>
      <c r="B156">
        <v>0.6925</v>
      </c>
      <c r="C156">
        <v>0.72</v>
      </c>
      <c r="D156">
        <v>0.67689999999999995</v>
      </c>
      <c r="E156">
        <v>0.69669999999999999</v>
      </c>
      <c r="F156">
        <v>2517644</v>
      </c>
      <c r="G156">
        <v>0.69669999999999999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-8.1206496519720311E-2</v>
      </c>
      <c r="Q156">
        <f t="shared" ref="Q156" si="756">F156*P156</f>
        <v>-204449.04872389472</v>
      </c>
      <c r="R156">
        <f t="shared" ref="R156" si="757">R157+Q156</f>
        <v>-121849447.66766448</v>
      </c>
      <c r="S156">
        <f t="shared" ref="S156" si="758">R156/100000</f>
        <v>-1218.4944766766448</v>
      </c>
      <c r="T156">
        <f t="shared" ref="T156" si="759">S156/1000</f>
        <v>-1.2184944766766448</v>
      </c>
    </row>
    <row r="157" spans="1:20" x14ac:dyDescent="0.25">
      <c r="A157" s="5">
        <v>44436</v>
      </c>
      <c r="B157">
        <v>0.70720000000000005</v>
      </c>
      <c r="C157">
        <v>0.72309999999999997</v>
      </c>
      <c r="D157">
        <v>0.68430000000000002</v>
      </c>
      <c r="E157">
        <v>0.6905</v>
      </c>
      <c r="F157">
        <v>3314419</v>
      </c>
      <c r="G157">
        <v>0.6905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-0.68041237113402098</v>
      </c>
      <c r="Q157">
        <f t="shared" ref="Q157" si="761">F157*P157</f>
        <v>-2255171.6907216506</v>
      </c>
      <c r="R157">
        <f t="shared" ref="R157" si="762">R158+Q157</f>
        <v>-121644998.61894059</v>
      </c>
      <c r="S157">
        <f t="shared" ref="S157" si="763">R157/100000</f>
        <v>-1216.449986189406</v>
      </c>
      <c r="T157">
        <f t="shared" ref="T157" si="764">S157/1000</f>
        <v>-1.216449986189406</v>
      </c>
    </row>
    <row r="158" spans="1:20" x14ac:dyDescent="0.25">
      <c r="A158" s="5">
        <v>44435</v>
      </c>
      <c r="B158">
        <v>0.67369999999999997</v>
      </c>
      <c r="C158">
        <v>0.70860000000000001</v>
      </c>
      <c r="D158">
        <v>0.65029999999999999</v>
      </c>
      <c r="E158">
        <v>0.70860000000000001</v>
      </c>
      <c r="F158">
        <v>3684191.38</v>
      </c>
      <c r="G158">
        <v>0.70860000000000001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1</v>
      </c>
      <c r="Q158">
        <f t="shared" ref="Q158" si="766">F158*P158</f>
        <v>3684191.38</v>
      </c>
      <c r="R158">
        <f t="shared" ref="R158" si="767">R159+Q158</f>
        <v>-119389826.92821895</v>
      </c>
      <c r="S158">
        <f t="shared" ref="S158" si="768">R158/100000</f>
        <v>-1193.8982692821894</v>
      </c>
      <c r="T158">
        <f t="shared" ref="T158" si="769">S158/1000</f>
        <v>-1.1938982692821893</v>
      </c>
    </row>
    <row r="159" spans="1:20" x14ac:dyDescent="0.25">
      <c r="A159" s="5">
        <v>44434</v>
      </c>
      <c r="B159">
        <v>0.74390000000000001</v>
      </c>
      <c r="C159">
        <v>0.75760000000000005</v>
      </c>
      <c r="D159">
        <v>0.67400000000000004</v>
      </c>
      <c r="E159">
        <v>0.67479999999999996</v>
      </c>
      <c r="F159">
        <v>4855915.08</v>
      </c>
      <c r="G159">
        <v>0.67479999999999996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-0.98086124401914088</v>
      </c>
      <c r="Q159">
        <f t="shared" ref="Q159" si="771">F159*P159</f>
        <v>-4762978.9062201064</v>
      </c>
      <c r="R159">
        <f t="shared" ref="R159" si="772">R160+Q159</f>
        <v>-123074018.30821894</v>
      </c>
      <c r="S159">
        <f t="shared" ref="S159" si="773">R159/100000</f>
        <v>-1230.7401830821893</v>
      </c>
      <c r="T159">
        <f t="shared" ref="T159" si="774">S159/1000</f>
        <v>-1.2307401830821894</v>
      </c>
    </row>
    <row r="160" spans="1:20" x14ac:dyDescent="0.25">
      <c r="A160" s="5">
        <v>44433</v>
      </c>
      <c r="B160">
        <v>0.7218</v>
      </c>
      <c r="C160">
        <v>0.76</v>
      </c>
      <c r="D160">
        <v>0.67369999999999997</v>
      </c>
      <c r="E160">
        <v>0.74380000000000002</v>
      </c>
      <c r="F160">
        <v>4533020.12</v>
      </c>
      <c r="G160">
        <v>0.74380000000000002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0.6245654692931637</v>
      </c>
      <c r="Q160">
        <f t="shared" ref="Q160" si="776">F160*P160</f>
        <v>2831167.8385631535</v>
      </c>
      <c r="R160">
        <f t="shared" ref="R160" si="777">R161+Q160</f>
        <v>-118311039.40199883</v>
      </c>
      <c r="S160">
        <f t="shared" ref="S160" si="778">R160/100000</f>
        <v>-1183.1103940199882</v>
      </c>
      <c r="T160">
        <f t="shared" ref="T160" si="779">S160/1000</f>
        <v>-1.1831103940199883</v>
      </c>
    </row>
    <row r="161" spans="1:20" x14ac:dyDescent="0.25">
      <c r="A161" s="5">
        <v>44432</v>
      </c>
      <c r="B161">
        <v>0.75600000000000001</v>
      </c>
      <c r="C161">
        <v>0.76549999999999996</v>
      </c>
      <c r="D161">
        <v>0.69969999999999999</v>
      </c>
      <c r="E161">
        <v>0.72060000000000002</v>
      </c>
      <c r="F161">
        <v>5228239.32</v>
      </c>
      <c r="G161">
        <v>0.72060000000000002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-0.36474164133738485</v>
      </c>
      <c r="Q161">
        <f t="shared" ref="Q161" si="781">F161*P161</f>
        <v>-1906956.5908814529</v>
      </c>
      <c r="R161">
        <f t="shared" ref="R161" si="782">R162+Q161</f>
        <v>-121142207.24056199</v>
      </c>
      <c r="S161">
        <f t="shared" ref="S161" si="783">R161/100000</f>
        <v>-1211.4220724056199</v>
      </c>
      <c r="T161">
        <f t="shared" ref="T161" si="784">S161/1000</f>
        <v>-1.2114220724056199</v>
      </c>
    </row>
    <row r="162" spans="1:20" x14ac:dyDescent="0.25">
      <c r="A162" s="5">
        <v>44431</v>
      </c>
      <c r="B162">
        <v>0.78290000000000004</v>
      </c>
      <c r="C162">
        <v>0.80389999999999995</v>
      </c>
      <c r="D162">
        <v>0.73099999999999998</v>
      </c>
      <c r="E162">
        <v>0.75719999999999998</v>
      </c>
      <c r="F162">
        <v>5334695.5</v>
      </c>
      <c r="G162">
        <v>0.75719999999999998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-0.28120713305898454</v>
      </c>
      <c r="Q162">
        <f t="shared" ref="Q162" si="786">F162*P162</f>
        <v>-1500154.427297666</v>
      </c>
      <c r="R162">
        <f t="shared" ref="R162" si="787">R163+Q162</f>
        <v>-119235250.64968054</v>
      </c>
      <c r="S162">
        <f t="shared" ref="S162" si="788">R162/100000</f>
        <v>-1192.3525064968053</v>
      </c>
      <c r="T162">
        <f t="shared" ref="T162" si="789">S162/1000</f>
        <v>-1.1923525064968052</v>
      </c>
    </row>
    <row r="163" spans="1:20" x14ac:dyDescent="0.25">
      <c r="A163" s="5">
        <v>44430</v>
      </c>
      <c r="B163">
        <v>0.71179999999999999</v>
      </c>
      <c r="C163">
        <v>0.74009999999999998</v>
      </c>
      <c r="D163">
        <v>0.70609999999999995</v>
      </c>
      <c r="E163">
        <v>0.73170000000000002</v>
      </c>
      <c r="F163">
        <v>934784.62</v>
      </c>
      <c r="G163">
        <v>0.73170000000000002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0.50588235294117911</v>
      </c>
      <c r="Q163">
        <f t="shared" ref="Q163" si="791">F163*P163</f>
        <v>472891.04305882601</v>
      </c>
      <c r="R163">
        <f t="shared" ref="R163" si="792">R164+Q163</f>
        <v>-117735096.22238287</v>
      </c>
      <c r="S163">
        <f t="shared" ref="S163" si="793">R163/100000</f>
        <v>-1177.3509622238287</v>
      </c>
      <c r="T163">
        <f t="shared" ref="T163" si="794">S163/1000</f>
        <v>-1.1773509622238287</v>
      </c>
    </row>
    <row r="164" spans="1:20" x14ac:dyDescent="0.25">
      <c r="A164" s="5">
        <v>44429</v>
      </c>
      <c r="B164">
        <v>0.73560000000000003</v>
      </c>
      <c r="C164">
        <v>0.74770000000000003</v>
      </c>
      <c r="D164">
        <v>0.70620000000000005</v>
      </c>
      <c r="E164">
        <v>0.71260000000000001</v>
      </c>
      <c r="F164">
        <v>3160522.94</v>
      </c>
      <c r="G164">
        <v>0.71260000000000001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-0.69156626506024266</v>
      </c>
      <c r="Q164">
        <f t="shared" ref="Q164" si="796">F164*P164</f>
        <v>-2185711.0452530175</v>
      </c>
      <c r="R164">
        <f t="shared" ref="R164" si="797">R165+Q164</f>
        <v>-118207987.2654417</v>
      </c>
      <c r="S164">
        <f t="shared" ref="S164" si="798">R164/100000</f>
        <v>-1182.0798726544169</v>
      </c>
      <c r="T164">
        <f t="shared" ref="T164" si="799">S164/1000</f>
        <v>-1.1820798726544168</v>
      </c>
    </row>
    <row r="165" spans="1:20" x14ac:dyDescent="0.25">
      <c r="A165" s="5">
        <v>44428</v>
      </c>
      <c r="B165">
        <v>0.71440000000000003</v>
      </c>
      <c r="C165">
        <v>0.76500000000000001</v>
      </c>
      <c r="D165">
        <v>0.70679999999999998</v>
      </c>
      <c r="E165">
        <v>0.73560000000000003</v>
      </c>
      <c r="F165">
        <v>4631513.38</v>
      </c>
      <c r="G165">
        <v>0.73560000000000003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-1.0309278350514324E-2</v>
      </c>
      <c r="Q165">
        <f t="shared" ref="Q165" si="801">F165*P165</f>
        <v>-47747.560618551419</v>
      </c>
      <c r="R165">
        <f t="shared" ref="R165" si="802">R166+Q165</f>
        <v>-116022276.22018868</v>
      </c>
      <c r="S165">
        <f t="shared" ref="S165" si="803">R165/100000</f>
        <v>-1160.2227622018868</v>
      </c>
      <c r="T165">
        <f t="shared" ref="T165" si="804">S165/1000</f>
        <v>-1.1602227622018868</v>
      </c>
    </row>
    <row r="166" spans="1:20" x14ac:dyDescent="0.25">
      <c r="A166" s="5">
        <v>44427</v>
      </c>
      <c r="B166">
        <v>0.66839999999999999</v>
      </c>
      <c r="C166">
        <v>0.71709999999999996</v>
      </c>
      <c r="D166">
        <v>0.64080000000000004</v>
      </c>
      <c r="E166">
        <v>0.71460000000000001</v>
      </c>
      <c r="F166">
        <v>3646681.21</v>
      </c>
      <c r="G166">
        <v>0.71460000000000001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0.93446920052424776</v>
      </c>
      <c r="Q166">
        <f t="shared" ref="Q166" si="806">F166*P166</f>
        <v>3407711.2748754965</v>
      </c>
      <c r="R166">
        <f t="shared" ref="R166" si="807">R167+Q166</f>
        <v>-115974528.65957013</v>
      </c>
      <c r="S166">
        <f t="shared" ref="S166" si="808">R166/100000</f>
        <v>-1159.7452865957014</v>
      </c>
      <c r="T166">
        <f t="shared" ref="T166" si="809">S166/1000</f>
        <v>-1.1597452865957014</v>
      </c>
    </row>
    <row r="167" spans="1:20" x14ac:dyDescent="0.25">
      <c r="A167" s="5">
        <v>44426</v>
      </c>
      <c r="B167">
        <v>0.68269999999999997</v>
      </c>
      <c r="C167">
        <v>0.7087</v>
      </c>
      <c r="D167">
        <v>0.64959999999999996</v>
      </c>
      <c r="E167">
        <v>0.66859999999999997</v>
      </c>
      <c r="F167">
        <v>3559156.85</v>
      </c>
      <c r="G167">
        <v>0.66859999999999997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-0.35702199661590511</v>
      </c>
      <c r="Q167">
        <f t="shared" ref="Q167" si="811">F167*P167</f>
        <v>-1270697.2848561755</v>
      </c>
      <c r="R167">
        <f t="shared" ref="R167" si="812">R168+Q167</f>
        <v>-119382239.93444562</v>
      </c>
      <c r="S167">
        <f t="shared" ref="S167" si="813">R167/100000</f>
        <v>-1193.8223993444562</v>
      </c>
      <c r="T167">
        <f t="shared" ref="T167" si="814">S167/1000</f>
        <v>-1.1938223993444563</v>
      </c>
    </row>
    <row r="168" spans="1:20" x14ac:dyDescent="0.25">
      <c r="A168" s="5">
        <v>44425</v>
      </c>
      <c r="B168">
        <v>0.74280000000000002</v>
      </c>
      <c r="C168">
        <v>0.77480000000000004</v>
      </c>
      <c r="D168">
        <v>0.67449999999999999</v>
      </c>
      <c r="E168">
        <v>0.68069999999999997</v>
      </c>
      <c r="F168">
        <v>5228292.75</v>
      </c>
      <c r="G168">
        <v>0.68069999999999997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-0.8763708873379864</v>
      </c>
      <c r="Q168">
        <f t="shared" ref="Q168" si="816">F168*P168</f>
        <v>-4581923.5565802613</v>
      </c>
      <c r="R168">
        <f t="shared" ref="R168" si="817">R169+Q168</f>
        <v>-118111542.64958945</v>
      </c>
      <c r="S168">
        <f t="shared" ref="S168" si="818">R168/100000</f>
        <v>-1181.1154264958946</v>
      </c>
      <c r="T168">
        <f t="shared" ref="T168" si="819">S168/1000</f>
        <v>-1.1811154264958945</v>
      </c>
    </row>
    <row r="169" spans="1:20" x14ac:dyDescent="0.25">
      <c r="A169" s="5">
        <v>44424</v>
      </c>
      <c r="B169">
        <v>0.752</v>
      </c>
      <c r="C169">
        <v>0.81169999999999998</v>
      </c>
      <c r="D169">
        <v>0.72430000000000005</v>
      </c>
      <c r="E169">
        <v>0.74319999999999997</v>
      </c>
      <c r="F169">
        <v>8103992.6600000001</v>
      </c>
      <c r="G169">
        <v>0.74319999999999997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-0.56750572082380013</v>
      </c>
      <c r="Q169">
        <f t="shared" ref="Q169" si="821">F169*P169</f>
        <v>-4599062.1960640857</v>
      </c>
      <c r="R169">
        <f t="shared" ref="R169" si="822">R170+Q169</f>
        <v>-113529619.09300919</v>
      </c>
      <c r="S169">
        <f t="shared" ref="S169" si="823">R169/100000</f>
        <v>-1135.2961909300918</v>
      </c>
      <c r="T169">
        <f t="shared" ref="T169" si="824">S169/1000</f>
        <v>-1.1352961909300918</v>
      </c>
    </row>
    <row r="170" spans="1:20" x14ac:dyDescent="0.25">
      <c r="A170" s="5">
        <v>44423</v>
      </c>
      <c r="B170">
        <v>0.73970000000000002</v>
      </c>
      <c r="C170">
        <v>0.78</v>
      </c>
      <c r="D170">
        <v>0.69299999999999995</v>
      </c>
      <c r="E170">
        <v>0.75129999999999997</v>
      </c>
      <c r="F170">
        <v>6977622.29</v>
      </c>
      <c r="G170">
        <v>0.75129999999999997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0.34022988505747048</v>
      </c>
      <c r="Q170">
        <f t="shared" ref="Q170" si="826">F170*P170</f>
        <v>2373995.6297011441</v>
      </c>
      <c r="R170">
        <f t="shared" ref="R170" si="827">R171+Q170</f>
        <v>-108930556.8969451</v>
      </c>
      <c r="S170">
        <f t="shared" ref="S170" si="828">R170/100000</f>
        <v>-1089.3055689694511</v>
      </c>
      <c r="T170">
        <f t="shared" ref="T170" si="829">S170/1000</f>
        <v>-1.0893055689694511</v>
      </c>
    </row>
    <row r="171" spans="1:20" x14ac:dyDescent="0.25">
      <c r="A171" s="5">
        <v>44422</v>
      </c>
      <c r="B171">
        <v>0.69950000000000001</v>
      </c>
      <c r="C171">
        <v>0.75860000000000005</v>
      </c>
      <c r="D171">
        <v>0.65980000000000005</v>
      </c>
      <c r="E171">
        <v>0.74150000000000005</v>
      </c>
      <c r="F171">
        <v>8839634.3300000001</v>
      </c>
      <c r="G171">
        <v>0.74150000000000005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0.65384615384615374</v>
      </c>
      <c r="Q171">
        <f t="shared" ref="Q171" si="831">F171*P171</f>
        <v>5779760.9080769224</v>
      </c>
      <c r="R171">
        <f t="shared" ref="R171" si="832">R172+Q171</f>
        <v>-111304552.52664624</v>
      </c>
      <c r="S171">
        <f t="shared" ref="S171" si="833">R171/100000</f>
        <v>-1113.0455252664624</v>
      </c>
      <c r="T171">
        <f t="shared" ref="T171" si="834">S171/1000</f>
        <v>-1.1130455252664624</v>
      </c>
    </row>
    <row r="172" spans="1:20" x14ac:dyDescent="0.25">
      <c r="A172" s="5">
        <v>44421</v>
      </c>
      <c r="B172">
        <v>0.64119999999999999</v>
      </c>
      <c r="C172">
        <v>0.72609999999999997</v>
      </c>
      <c r="D172">
        <v>0.63890000000000002</v>
      </c>
      <c r="E172">
        <v>0.69950000000000001</v>
      </c>
      <c r="F172">
        <v>5982699.7800000003</v>
      </c>
      <c r="G172">
        <v>0.69950000000000001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0.38990825688073455</v>
      </c>
      <c r="Q172">
        <f t="shared" ref="Q172" si="836">F172*P172</f>
        <v>2332704.0426605544</v>
      </c>
      <c r="R172">
        <f t="shared" ref="R172" si="837">R173+Q172</f>
        <v>-117084313.43472317</v>
      </c>
      <c r="S172">
        <f t="shared" ref="S172" si="838">R172/100000</f>
        <v>-1170.8431343472316</v>
      </c>
      <c r="T172">
        <f t="shared" ref="T172" si="839">S172/1000</f>
        <v>-1.1708431343472316</v>
      </c>
    </row>
    <row r="173" spans="1:20" x14ac:dyDescent="0.25">
      <c r="A173" s="5">
        <v>44420</v>
      </c>
      <c r="B173">
        <v>0.68259999999999998</v>
      </c>
      <c r="C173">
        <v>0.70209999999999995</v>
      </c>
      <c r="D173">
        <v>0.62029999999999996</v>
      </c>
      <c r="E173">
        <v>0.64170000000000005</v>
      </c>
      <c r="F173">
        <v>3572289.03</v>
      </c>
      <c r="G173">
        <v>0.64170000000000005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-0.47677261613691713</v>
      </c>
      <c r="Q173">
        <f t="shared" ref="Q173" si="841">F173*P173</f>
        <v>-1703169.58643031</v>
      </c>
      <c r="R173">
        <f t="shared" ref="R173" si="842">R174+Q173</f>
        <v>-119417017.47738372</v>
      </c>
      <c r="S173">
        <f t="shared" ref="S173" si="843">R173/100000</f>
        <v>-1194.1701747738373</v>
      </c>
      <c r="T173">
        <f t="shared" ref="T173" si="844">S173/1000</f>
        <v>-1.1941701747738374</v>
      </c>
    </row>
    <row r="174" spans="1:20" x14ac:dyDescent="0.25">
      <c r="A174" s="5">
        <v>44419</v>
      </c>
      <c r="B174">
        <v>0.6552</v>
      </c>
      <c r="C174">
        <v>0.7127</v>
      </c>
      <c r="D174">
        <v>0.65269999999999995</v>
      </c>
      <c r="E174">
        <v>0.68269999999999997</v>
      </c>
      <c r="F174">
        <v>4692642.71</v>
      </c>
      <c r="G174">
        <v>0.68269999999999997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</v>
      </c>
      <c r="Q174">
        <f t="shared" ref="Q174" si="846">F174*P174</f>
        <v>0</v>
      </c>
      <c r="R174">
        <f t="shared" ref="R174" si="847">R175+Q174</f>
        <v>-117713847.89095341</v>
      </c>
      <c r="S174">
        <f t="shared" ref="S174" si="848">R174/100000</f>
        <v>-1177.1384789095341</v>
      </c>
      <c r="T174">
        <f t="shared" ref="T174" si="849">S174/1000</f>
        <v>-1.177138478909534</v>
      </c>
    </row>
    <row r="175" spans="1:20" x14ac:dyDescent="0.25">
      <c r="A175" s="5">
        <v>44418</v>
      </c>
      <c r="B175">
        <v>0.67</v>
      </c>
      <c r="C175">
        <v>0.69</v>
      </c>
      <c r="D175">
        <v>0.62260000000000004</v>
      </c>
      <c r="E175">
        <v>0.65569999999999995</v>
      </c>
      <c r="F175">
        <v>5303335.54</v>
      </c>
      <c r="G175">
        <v>0.65569999999999995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-1.780415430267198E-2</v>
      </c>
      <c r="Q175">
        <f t="shared" ref="Q175" si="851">F175*P175</f>
        <v>-94421.404273004227</v>
      </c>
      <c r="R175">
        <f t="shared" ref="R175" si="852">R176+Q175</f>
        <v>-117713847.89095341</v>
      </c>
      <c r="S175">
        <f t="shared" ref="S175" si="853">R175/100000</f>
        <v>-1177.1384789095341</v>
      </c>
      <c r="T175">
        <f t="shared" ref="T175" si="854">S175/1000</f>
        <v>-1.177138478909534</v>
      </c>
    </row>
    <row r="176" spans="1:20" x14ac:dyDescent="0.25">
      <c r="A176" s="5">
        <v>44417</v>
      </c>
      <c r="B176">
        <v>0.6653</v>
      </c>
      <c r="C176">
        <v>0.73</v>
      </c>
      <c r="D176">
        <v>0.63149999999999995</v>
      </c>
      <c r="E176">
        <v>0.67010000000000003</v>
      </c>
      <c r="F176">
        <v>12980193.65</v>
      </c>
      <c r="G176">
        <v>0.67010000000000003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-0.21624365482233368</v>
      </c>
      <c r="Q176">
        <f t="shared" ref="Q176" si="856">F176*P176</f>
        <v>-2806884.5151776476</v>
      </c>
      <c r="R176">
        <f t="shared" ref="R176" si="857">R177+Q176</f>
        <v>-117619426.4866804</v>
      </c>
      <c r="S176">
        <f t="shared" ref="S176" si="858">R176/100000</f>
        <v>-1176.1942648668041</v>
      </c>
      <c r="T176">
        <f t="shared" ref="T176" si="859">S176/1000</f>
        <v>-1.1761942648668042</v>
      </c>
    </row>
    <row r="177" spans="1:20" x14ac:dyDescent="0.25">
      <c r="A177" s="5">
        <v>44416</v>
      </c>
      <c r="B177">
        <v>0.61539999999999995</v>
      </c>
      <c r="C177">
        <v>0.70499999999999996</v>
      </c>
      <c r="D177">
        <v>0.59640000000000004</v>
      </c>
      <c r="E177">
        <v>0.66469999999999996</v>
      </c>
      <c r="F177">
        <v>10450205.199999999</v>
      </c>
      <c r="G177">
        <v>0.66469999999999996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0.2578268876611412</v>
      </c>
      <c r="Q177">
        <f t="shared" ref="Q177" si="861">F177*P177</f>
        <v>2694343.8821362737</v>
      </c>
      <c r="R177">
        <f t="shared" ref="R177" si="862">R178+Q177</f>
        <v>-114812541.97150275</v>
      </c>
      <c r="S177">
        <f t="shared" ref="S177" si="863">R177/100000</f>
        <v>-1148.1254197150274</v>
      </c>
      <c r="T177">
        <f t="shared" ref="T177" si="864">S177/1000</f>
        <v>-1.1481254197150275</v>
      </c>
    </row>
    <row r="178" spans="1:20" x14ac:dyDescent="0.25">
      <c r="A178" s="5">
        <v>44415</v>
      </c>
      <c r="B178">
        <v>0.62319999999999998</v>
      </c>
      <c r="C178">
        <v>0.64890000000000003</v>
      </c>
      <c r="D178">
        <v>0.59609999999999996</v>
      </c>
      <c r="E178">
        <v>0.61450000000000005</v>
      </c>
      <c r="F178">
        <v>15367491.07</v>
      </c>
      <c r="G178">
        <v>0.61450000000000005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-0.30303030303030082</v>
      </c>
      <c r="Q178">
        <f t="shared" ref="Q178" si="866">F178*P178</f>
        <v>-4656815.4757575421</v>
      </c>
      <c r="R178">
        <f t="shared" ref="R178" si="867">R179+Q178</f>
        <v>-117506885.85363902</v>
      </c>
      <c r="S178">
        <f t="shared" ref="S178" si="868">R178/100000</f>
        <v>-1175.0688585363903</v>
      </c>
      <c r="T178">
        <f t="shared" ref="T178" si="869">S178/1000</f>
        <v>-1.1750688585363902</v>
      </c>
    </row>
    <row r="179" spans="1:20" x14ac:dyDescent="0.25">
      <c r="A179" s="5">
        <v>44414</v>
      </c>
      <c r="B179">
        <v>0.60450000000000004</v>
      </c>
      <c r="C179">
        <v>0.66800000000000004</v>
      </c>
      <c r="D179">
        <v>0.58199999999999996</v>
      </c>
      <c r="E179">
        <v>0.62270000000000003</v>
      </c>
      <c r="F179">
        <v>32601904.41</v>
      </c>
      <c r="G179">
        <v>0.62270000000000003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-5.3488372093022478E-2</v>
      </c>
      <c r="Q179">
        <f t="shared" ref="Q179" si="871">F179*P179</f>
        <v>-1743822.7940232304</v>
      </c>
      <c r="R179">
        <f t="shared" ref="R179" si="872">R180+Q179</f>
        <v>-112850070.37788148</v>
      </c>
      <c r="S179">
        <f t="shared" ref="S179" si="873">R179/100000</f>
        <v>-1128.5007037788148</v>
      </c>
      <c r="T179">
        <f t="shared" ref="T179" si="874">S179/1000</f>
        <v>-1.1285007037788148</v>
      </c>
    </row>
    <row r="180" spans="1:20" x14ac:dyDescent="0.25">
      <c r="A180" s="5">
        <v>44413</v>
      </c>
      <c r="B180">
        <v>0.54159999999999997</v>
      </c>
      <c r="C180">
        <v>0.64500000000000002</v>
      </c>
      <c r="D180">
        <v>0.52400000000000002</v>
      </c>
      <c r="E180">
        <v>0.60329999999999995</v>
      </c>
      <c r="F180">
        <v>9666286.3499999996</v>
      </c>
      <c r="G180">
        <v>0.60329999999999995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0.31074380165289139</v>
      </c>
      <c r="Q180">
        <f t="shared" ref="Q180" si="876">F180*P180</f>
        <v>3003738.5682644513</v>
      </c>
      <c r="R180">
        <f t="shared" ref="R180" si="877">R181+Q180</f>
        <v>-111106247.58385825</v>
      </c>
      <c r="S180">
        <f t="shared" ref="S180" si="878">R180/100000</f>
        <v>-1111.0624758385825</v>
      </c>
      <c r="T180">
        <f t="shared" ref="T180" si="879">S180/1000</f>
        <v>-1.1110624758385825</v>
      </c>
    </row>
    <row r="181" spans="1:20" x14ac:dyDescent="0.25">
      <c r="A181" s="5">
        <v>44412</v>
      </c>
      <c r="B181">
        <v>0.53400000000000003</v>
      </c>
      <c r="C181">
        <v>0.54959999999999998</v>
      </c>
      <c r="D181">
        <v>0.50790000000000002</v>
      </c>
      <c r="E181">
        <v>0.5413</v>
      </c>
      <c r="F181">
        <v>2559833.96</v>
      </c>
      <c r="G181">
        <v>0.5413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0.60191846522781856</v>
      </c>
      <c r="Q181">
        <f t="shared" ref="Q181" si="881">F181*P181</f>
        <v>1540811.328441249</v>
      </c>
      <c r="R181">
        <f t="shared" ref="R181" si="882">R182+Q181</f>
        <v>-114109986.15212271</v>
      </c>
      <c r="S181">
        <f t="shared" ref="S181" si="883">R181/100000</f>
        <v>-1141.099861521227</v>
      </c>
      <c r="T181">
        <f t="shared" ref="T181" si="884">S181/1000</f>
        <v>-1.1410998615212271</v>
      </c>
    </row>
    <row r="182" spans="1:20" x14ac:dyDescent="0.25">
      <c r="A182" s="5">
        <v>44411</v>
      </c>
      <c r="B182">
        <v>0.54290000000000005</v>
      </c>
      <c r="C182">
        <v>0.55079999999999996</v>
      </c>
      <c r="D182">
        <v>0.51590000000000003</v>
      </c>
      <c r="E182">
        <v>0.53180000000000005</v>
      </c>
      <c r="F182">
        <v>2140667.65</v>
      </c>
      <c r="G182">
        <v>0.53180000000000005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-8.8825214899710223E-2</v>
      </c>
      <c r="Q182">
        <f t="shared" ref="Q182" si="886">F182*P182</f>
        <v>-190145.26404010766</v>
      </c>
      <c r="R182">
        <f t="shared" ref="R182" si="887">R183+Q182</f>
        <v>-115650797.48056395</v>
      </c>
      <c r="S182">
        <f t="shared" ref="S182" si="888">R182/100000</f>
        <v>-1156.5079748056396</v>
      </c>
      <c r="T182">
        <f t="shared" ref="T182" si="889">S182/1000</f>
        <v>-1.1565079748056397</v>
      </c>
    </row>
    <row r="183" spans="1:20" x14ac:dyDescent="0.25">
      <c r="A183" s="5">
        <v>44410</v>
      </c>
      <c r="B183">
        <v>0.53129999999999999</v>
      </c>
      <c r="C183">
        <v>0.55659999999999998</v>
      </c>
      <c r="D183">
        <v>0.5272</v>
      </c>
      <c r="E183">
        <v>0.54420000000000002</v>
      </c>
      <c r="F183">
        <v>2362097.35</v>
      </c>
      <c r="G183">
        <v>0.54420000000000002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0.15646258503401536</v>
      </c>
      <c r="Q183">
        <f t="shared" ref="Q183" si="891">F183*P183</f>
        <v>369579.85748299735</v>
      </c>
      <c r="R183">
        <f t="shared" ref="R183" si="892">R184+Q183</f>
        <v>-115460652.21652384</v>
      </c>
      <c r="S183">
        <f t="shared" ref="S183" si="893">R183/100000</f>
        <v>-1154.6065221652384</v>
      </c>
      <c r="T183">
        <f t="shared" ref="T183" si="894">S183/1000</f>
        <v>-1.1546065221652384</v>
      </c>
    </row>
    <row r="184" spans="1:20" x14ac:dyDescent="0.25">
      <c r="A184" s="5">
        <v>44409</v>
      </c>
      <c r="B184">
        <v>0.55689999999999995</v>
      </c>
      <c r="C184">
        <v>0.57650000000000001</v>
      </c>
      <c r="D184">
        <v>0.5272</v>
      </c>
      <c r="E184">
        <v>0.53120000000000001</v>
      </c>
      <c r="F184">
        <v>3546769.44</v>
      </c>
      <c r="G184">
        <v>0.53120000000000001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-0.83772819472616622</v>
      </c>
      <c r="Q184">
        <f t="shared" ref="Q184" si="896">F184*P184</f>
        <v>-2971228.7600811357</v>
      </c>
      <c r="R184">
        <f t="shared" ref="R184" si="897">R185+Q184</f>
        <v>-115830232.07400684</v>
      </c>
      <c r="S184">
        <f t="shared" ref="S184" si="898">R184/100000</f>
        <v>-1158.3023207400684</v>
      </c>
      <c r="T184">
        <f t="shared" ref="T184" si="899">S184/1000</f>
        <v>-1.1583023207400684</v>
      </c>
    </row>
    <row r="185" spans="1:20" x14ac:dyDescent="0.25">
      <c r="A185" s="5">
        <v>44408</v>
      </c>
      <c r="B185">
        <v>0.52580000000000005</v>
      </c>
      <c r="C185">
        <v>0.58560000000000001</v>
      </c>
      <c r="D185">
        <v>0.51270000000000004</v>
      </c>
      <c r="E185">
        <v>0.55700000000000005</v>
      </c>
      <c r="F185">
        <v>9365829.5099999998</v>
      </c>
      <c r="G185">
        <v>0.55700000000000005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0.21536351165980872</v>
      </c>
      <c r="Q185">
        <f t="shared" ref="Q185" si="901">F185*P185</f>
        <v>2017057.9328806654</v>
      </c>
      <c r="R185">
        <f t="shared" ref="R185" si="902">R186+Q185</f>
        <v>-112859003.3139257</v>
      </c>
      <c r="S185">
        <f t="shared" ref="S185" si="903">R185/100000</f>
        <v>-1128.590033139257</v>
      </c>
      <c r="T185">
        <f t="shared" ref="T185" si="904">S185/1000</f>
        <v>-1.1285900331392571</v>
      </c>
    </row>
    <row r="186" spans="1:20" x14ac:dyDescent="0.25">
      <c r="A186" s="5">
        <v>44407</v>
      </c>
      <c r="B186">
        <v>0.50670000000000004</v>
      </c>
      <c r="C186">
        <v>0.52839999999999998</v>
      </c>
      <c r="D186">
        <v>0.47210000000000002</v>
      </c>
      <c r="E186">
        <v>0.52580000000000005</v>
      </c>
      <c r="F186">
        <v>4386875.84</v>
      </c>
      <c r="G186">
        <v>0.52580000000000005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0.90763765541740893</v>
      </c>
      <c r="Q186">
        <f t="shared" ref="Q186" si="906">F186*P186</f>
        <v>3981693.7020248761</v>
      </c>
      <c r="R186">
        <f t="shared" ref="R186" si="907">R187+Q186</f>
        <v>-114876061.24680637</v>
      </c>
      <c r="S186">
        <f t="shared" ref="S186" si="908">R186/100000</f>
        <v>-1148.7606124680638</v>
      </c>
      <c r="T186">
        <f t="shared" ref="T186" si="909">S186/1000</f>
        <v>-1.1487606124680638</v>
      </c>
    </row>
    <row r="187" spans="1:20" x14ac:dyDescent="0.25">
      <c r="A187" s="5">
        <v>44406</v>
      </c>
      <c r="B187">
        <v>0.47310000000000002</v>
      </c>
      <c r="C187">
        <v>0.53649999999999998</v>
      </c>
      <c r="D187">
        <v>0.4703</v>
      </c>
      <c r="E187">
        <v>0.505</v>
      </c>
      <c r="F187">
        <v>6960617.3499999996</v>
      </c>
      <c r="G187">
        <v>0.505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4.8338368580060985E-2</v>
      </c>
      <c r="Q187">
        <f t="shared" ref="Q187" si="911">F187*P187</f>
        <v>336464.88700906734</v>
      </c>
      <c r="R187">
        <f t="shared" ref="R187" si="912">R188+Q187</f>
        <v>-118857754.94883125</v>
      </c>
      <c r="S187">
        <f t="shared" ref="S187" si="913">R187/100000</f>
        <v>-1188.5775494883123</v>
      </c>
      <c r="T187">
        <f t="shared" ref="T187" si="914">S187/1000</f>
        <v>-1.1885775494883124</v>
      </c>
    </row>
    <row r="188" spans="1:20" x14ac:dyDescent="0.25">
      <c r="A188" s="5">
        <v>44405</v>
      </c>
      <c r="B188">
        <v>0.47349999999999998</v>
      </c>
      <c r="C188">
        <v>0.49890000000000001</v>
      </c>
      <c r="D188">
        <v>0.46729999999999999</v>
      </c>
      <c r="E188">
        <v>0.4728</v>
      </c>
      <c r="F188">
        <v>2226388.31</v>
      </c>
      <c r="G188">
        <v>0.4728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-0.65189873417721511</v>
      </c>
      <c r="Q188">
        <f t="shared" ref="Q188" si="916">F188*P188</f>
        <v>-1451379.7210759493</v>
      </c>
      <c r="R188">
        <f t="shared" ref="R188" si="917">R189+Q188</f>
        <v>-119194219.83584031</v>
      </c>
      <c r="S188">
        <f t="shared" ref="S188" si="918">R188/100000</f>
        <v>-1191.9421983584032</v>
      </c>
      <c r="T188">
        <f t="shared" ref="T188" si="919">S188/1000</f>
        <v>-1.1919421983584031</v>
      </c>
    </row>
    <row r="189" spans="1:20" x14ac:dyDescent="0.25">
      <c r="A189" s="5">
        <v>44404</v>
      </c>
      <c r="B189">
        <v>0.45829999999999999</v>
      </c>
      <c r="C189">
        <v>0.48630000000000001</v>
      </c>
      <c r="D189">
        <v>0.4451</v>
      </c>
      <c r="E189">
        <v>0.47470000000000001</v>
      </c>
      <c r="F189">
        <v>2735927.2</v>
      </c>
      <c r="G189">
        <v>0.47470000000000001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0.4368932038834954</v>
      </c>
      <c r="Q189">
        <f t="shared" ref="Q189" si="921">F189*P189</f>
        <v>1195308.0000000007</v>
      </c>
      <c r="R189">
        <f t="shared" ref="R189" si="922">R190+Q189</f>
        <v>-117742840.11476436</v>
      </c>
      <c r="S189">
        <f t="shared" ref="S189" si="923">R189/100000</f>
        <v>-1177.4284011476436</v>
      </c>
      <c r="T189">
        <f t="shared" ref="T189" si="924">S189/1000</f>
        <v>-1.1774284011476437</v>
      </c>
    </row>
    <row r="190" spans="1:20" x14ac:dyDescent="0.25">
      <c r="A190" s="5">
        <v>44403</v>
      </c>
      <c r="B190">
        <v>0.46029999999999999</v>
      </c>
      <c r="C190">
        <v>0.51139999999999997</v>
      </c>
      <c r="D190">
        <v>0.45669999999999999</v>
      </c>
      <c r="E190">
        <v>0.45829999999999999</v>
      </c>
      <c r="F190">
        <v>5069869.95</v>
      </c>
      <c r="G190">
        <v>0.45829999999999999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-0.94149908592321785</v>
      </c>
      <c r="Q190">
        <f t="shared" ref="Q190" si="926">F190*P190</f>
        <v>-4773277.92367459</v>
      </c>
      <c r="R190">
        <f t="shared" ref="R190" si="927">R191+Q190</f>
        <v>-118938148.11476436</v>
      </c>
      <c r="S190">
        <f t="shared" ref="S190" si="928">R190/100000</f>
        <v>-1189.3814811476436</v>
      </c>
      <c r="T190">
        <f t="shared" ref="T190" si="929">S190/1000</f>
        <v>-1.1893814811476435</v>
      </c>
    </row>
    <row r="191" spans="1:20" x14ac:dyDescent="0.25">
      <c r="A191" s="5">
        <v>44402</v>
      </c>
      <c r="B191">
        <v>0.4622</v>
      </c>
      <c r="C191">
        <v>0.47560000000000002</v>
      </c>
      <c r="D191">
        <v>0.4415</v>
      </c>
      <c r="E191">
        <v>0.46060000000000001</v>
      </c>
      <c r="F191">
        <v>2507472.4</v>
      </c>
      <c r="G191">
        <v>0.46060000000000001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0.12023460410557156</v>
      </c>
      <c r="Q191">
        <f t="shared" ref="Q191" si="931">F191*P191</f>
        <v>301484.95131964737</v>
      </c>
      <c r="R191">
        <f t="shared" ref="R191" si="932">R192+Q191</f>
        <v>-114164870.19108978</v>
      </c>
      <c r="S191">
        <f t="shared" ref="S191" si="933">R191/100000</f>
        <v>-1141.6487019108979</v>
      </c>
      <c r="T191">
        <f t="shared" ref="T191" si="934">S191/1000</f>
        <v>-1.1416487019108978</v>
      </c>
    </row>
    <row r="192" spans="1:20" x14ac:dyDescent="0.25">
      <c r="A192" s="5">
        <v>44401</v>
      </c>
      <c r="B192">
        <v>0.44379999999999997</v>
      </c>
      <c r="C192">
        <v>0.52</v>
      </c>
      <c r="D192">
        <v>0.43580000000000002</v>
      </c>
      <c r="E192">
        <v>0.46200000000000002</v>
      </c>
      <c r="F192">
        <v>9279666.5700000003</v>
      </c>
      <c r="G192">
        <v>0.46200000000000002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-0.37767220902612819</v>
      </c>
      <c r="Q192">
        <f t="shared" ref="Q192" si="936">F192*P192</f>
        <v>-3504672.1725178142</v>
      </c>
      <c r="R192">
        <f t="shared" ref="R192" si="937">R193+Q192</f>
        <v>-114466355.14240943</v>
      </c>
      <c r="S192">
        <f t="shared" ref="S192" si="938">R192/100000</f>
        <v>-1144.6635514240943</v>
      </c>
      <c r="T192">
        <f t="shared" ref="T192:T197" si="939">S192/1000</f>
        <v>-1.1446635514240944</v>
      </c>
    </row>
    <row r="193" spans="1:20" x14ac:dyDescent="0.25">
      <c r="A193" s="5">
        <v>44400</v>
      </c>
      <c r="B193">
        <v>0.39500000000000002</v>
      </c>
      <c r="C193">
        <v>0.495</v>
      </c>
      <c r="D193">
        <v>0.39350000000000002</v>
      </c>
      <c r="E193">
        <v>0.4446</v>
      </c>
      <c r="F193">
        <v>14057388.24</v>
      </c>
      <c r="G193">
        <v>0.4446</v>
      </c>
      <c r="L193" t="s">
        <v>8</v>
      </c>
      <c r="M193" t="s">
        <v>8</v>
      </c>
      <c r="N193" t="s">
        <v>8</v>
      </c>
      <c r="P193">
        <f t="shared" ref="P193" si="940">IF(C193=D193,0,((E193-D193)-(C193-E193))/(C193-D193))</f>
        <v>6.8965517241377202E-3</v>
      </c>
      <c r="Q193">
        <f t="shared" ref="Q193" si="941">F193*P193</f>
        <v>96947.505103445306</v>
      </c>
      <c r="R193">
        <f t="shared" ref="R193" si="942">R194+Q193</f>
        <v>-110961682.96989161</v>
      </c>
      <c r="S193">
        <f t="shared" ref="S193" si="943">R193/100000</f>
        <v>-1109.616829698916</v>
      </c>
      <c r="T193">
        <f t="shared" si="939"/>
        <v>-1.109616829698916</v>
      </c>
    </row>
    <row r="194" spans="1:20" x14ac:dyDescent="0.25">
      <c r="A194" s="5">
        <v>44399</v>
      </c>
      <c r="B194">
        <v>0.37790000000000001</v>
      </c>
      <c r="C194">
        <v>0.4178</v>
      </c>
      <c r="D194">
        <v>0.37119999999999997</v>
      </c>
      <c r="E194">
        <v>0.39500000000000002</v>
      </c>
      <c r="F194">
        <v>3397875.75</v>
      </c>
      <c r="G194">
        <v>0.39500000000000002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2.1459227467812356E-2</v>
      </c>
      <c r="Q194">
        <f t="shared" ref="Q194" si="945">F194*P194</f>
        <v>72915.788626613503</v>
      </c>
      <c r="R194">
        <f t="shared" ref="R194" si="946">R195+Q194</f>
        <v>-111058630.47499505</v>
      </c>
      <c r="S194">
        <f t="shared" ref="S194" si="947">R194/100000</f>
        <v>-1110.5863047499504</v>
      </c>
      <c r="T194">
        <f t="shared" si="939"/>
        <v>-1.1105863047499505</v>
      </c>
    </row>
    <row r="195" spans="1:20" x14ac:dyDescent="0.25">
      <c r="A195" s="5">
        <v>44398</v>
      </c>
      <c r="B195">
        <v>0.35520000000000002</v>
      </c>
      <c r="C195">
        <v>0.39319999999999999</v>
      </c>
      <c r="D195">
        <v>0.35</v>
      </c>
      <c r="E195">
        <v>0.37869999999999998</v>
      </c>
      <c r="F195">
        <v>3261923.85</v>
      </c>
      <c r="G195">
        <v>0.37869999999999998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0.32870370370370333</v>
      </c>
      <c r="Q195">
        <f t="shared" ref="Q195" si="949">F195*P195</f>
        <v>1072206.4506944432</v>
      </c>
      <c r="R195">
        <f t="shared" ref="R195" si="950">R196+Q195</f>
        <v>-111131546.26362166</v>
      </c>
      <c r="S195">
        <f t="shared" ref="S195" si="951">R195/100000</f>
        <v>-1111.3154626362166</v>
      </c>
      <c r="T195">
        <f t="shared" si="939"/>
        <v>-1.1113154626362165</v>
      </c>
    </row>
    <row r="196" spans="1:20" x14ac:dyDescent="0.25">
      <c r="A196" s="5">
        <v>44397</v>
      </c>
      <c r="B196">
        <v>0.39019999999999999</v>
      </c>
      <c r="C196">
        <v>0.39779999999999999</v>
      </c>
      <c r="D196">
        <v>0.34399999999999997</v>
      </c>
      <c r="E196">
        <v>0.35470000000000002</v>
      </c>
      <c r="F196">
        <v>2975737.01</v>
      </c>
      <c r="G196">
        <v>0.35470000000000002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-0.60223048327137396</v>
      </c>
      <c r="Q196">
        <f t="shared" ref="Q196" si="953">F196*P196</f>
        <v>-1792079.5376208134</v>
      </c>
      <c r="R196">
        <f t="shared" ref="R196" si="954">R197+Q196</f>
        <v>-112203752.7143161</v>
      </c>
      <c r="S196">
        <f t="shared" ref="S196" si="955">R196/100000</f>
        <v>-1122.037527143161</v>
      </c>
      <c r="T196">
        <f t="shared" si="939"/>
        <v>-1.1220375271431611</v>
      </c>
    </row>
    <row r="197" spans="1:20" x14ac:dyDescent="0.25">
      <c r="A197" s="5">
        <v>44396</v>
      </c>
      <c r="B197">
        <v>0.4153</v>
      </c>
      <c r="C197">
        <v>0.41620000000000001</v>
      </c>
      <c r="D197">
        <v>0.38569999999999999</v>
      </c>
      <c r="E197">
        <v>0.39069999999999999</v>
      </c>
      <c r="F197">
        <v>2780885.12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-0.67213114754098358</v>
      </c>
      <c r="Q197">
        <f t="shared" ref="Q197" si="957">F197*P197</f>
        <v>-1869119.5068852459</v>
      </c>
      <c r="R197">
        <f t="shared" ref="R197" si="958">R198+Q197</f>
        <v>-110411673.17669529</v>
      </c>
      <c r="S197">
        <f t="shared" ref="S197" si="959">R197/100000</f>
        <v>-1104.1167317669529</v>
      </c>
      <c r="T197">
        <f t="shared" si="939"/>
        <v>-1.1041167317669529</v>
      </c>
    </row>
    <row r="198" spans="1:20" x14ac:dyDescent="0.25">
      <c r="A198" s="5">
        <v>44395</v>
      </c>
      <c r="B198">
        <v>0.4304</v>
      </c>
      <c r="C198">
        <v>0.45419999999999999</v>
      </c>
      <c r="D198">
        <v>0.41110000000000002</v>
      </c>
      <c r="E198">
        <v>0.41699999999999998</v>
      </c>
      <c r="F198">
        <v>3963348.58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-0.72621809744779742</v>
      </c>
      <c r="Q198">
        <f t="shared" ref="Q198:Q261" si="961">F198*P198</f>
        <v>-2878255.4652900295</v>
      </c>
      <c r="R198">
        <f t="shared" ref="R198:R261" si="962">R199+Q198</f>
        <v>-108542553.66981004</v>
      </c>
      <c r="S198">
        <f t="shared" ref="S198:S261" si="963">R198/100000</f>
        <v>-1085.4255366981004</v>
      </c>
      <c r="T198">
        <f t="shared" ref="T198:T261" si="964">S198/1000</f>
        <v>-1.0854255366981003</v>
      </c>
    </row>
    <row r="199" spans="1:20" x14ac:dyDescent="0.25">
      <c r="A199" s="5">
        <v>44394</v>
      </c>
      <c r="B199">
        <v>0.437</v>
      </c>
      <c r="C199">
        <v>0.46110000000000001</v>
      </c>
      <c r="D199">
        <v>0.42509999999999998</v>
      </c>
      <c r="E199">
        <v>0.43090000000000001</v>
      </c>
      <c r="F199">
        <v>3879987.46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-0.67777777777777659</v>
      </c>
      <c r="Q199">
        <f t="shared" si="961"/>
        <v>-2629769.2784444396</v>
      </c>
      <c r="R199">
        <f t="shared" si="962"/>
        <v>-105664298.20452002</v>
      </c>
      <c r="S199">
        <f t="shared" si="963"/>
        <v>-1056.6429820452001</v>
      </c>
      <c r="T199">
        <f t="shared" si="964"/>
        <v>-1.0566429820452001</v>
      </c>
    </row>
    <row r="200" spans="1:20" x14ac:dyDescent="0.25">
      <c r="A200" s="5">
        <v>44393</v>
      </c>
      <c r="B200">
        <v>0.46539999999999998</v>
      </c>
      <c r="C200">
        <v>0.4889</v>
      </c>
      <c r="D200">
        <v>0.43</v>
      </c>
      <c r="E200">
        <v>0.435</v>
      </c>
      <c r="F200">
        <v>4231908.87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-0.83022071307300493</v>
      </c>
      <c r="Q200">
        <f t="shared" si="961"/>
        <v>-3513418.3997113747</v>
      </c>
      <c r="R200">
        <f t="shared" si="962"/>
        <v>-103034528.92607558</v>
      </c>
      <c r="S200">
        <f t="shared" si="963"/>
        <v>-1030.3452892607559</v>
      </c>
      <c r="T200">
        <f t="shared" si="964"/>
        <v>-1.0303452892607559</v>
      </c>
    </row>
    <row r="201" spans="1:20" x14ac:dyDescent="0.25">
      <c r="A201" s="5">
        <v>44392</v>
      </c>
      <c r="B201">
        <v>0.48220000000000002</v>
      </c>
      <c r="C201">
        <v>0.5292</v>
      </c>
      <c r="D201">
        <v>0.46150000000000002</v>
      </c>
      <c r="E201">
        <v>0.46529999999999999</v>
      </c>
      <c r="F201">
        <v>5737070.21</v>
      </c>
      <c r="G201">
        <v>0</v>
      </c>
      <c r="L201" t="s">
        <v>8</v>
      </c>
      <c r="M201" t="s">
        <v>7</v>
      </c>
      <c r="N201" t="s">
        <v>7</v>
      </c>
      <c r="P201">
        <f t="shared" si="960"/>
        <v>-0.8877400295420983</v>
      </c>
      <c r="Q201">
        <f t="shared" si="961"/>
        <v>-5093026.8777104924</v>
      </c>
      <c r="R201">
        <f t="shared" si="962"/>
        <v>-99521110.526364207</v>
      </c>
      <c r="S201">
        <f t="shared" si="963"/>
        <v>-995.21110526364203</v>
      </c>
      <c r="T201">
        <f t="shared" si="964"/>
        <v>-0.99521110526364198</v>
      </c>
    </row>
    <row r="202" spans="1:20" x14ac:dyDescent="0.25">
      <c r="A202" s="5">
        <v>44391</v>
      </c>
      <c r="B202">
        <v>0.4733</v>
      </c>
      <c r="C202">
        <v>0.49609999999999999</v>
      </c>
      <c r="D202">
        <v>0.44600000000000001</v>
      </c>
      <c r="E202">
        <v>0.48110000000000003</v>
      </c>
      <c r="F202">
        <v>4838449.41</v>
      </c>
      <c r="G202">
        <v>0</v>
      </c>
      <c r="L202" t="s">
        <v>7</v>
      </c>
      <c r="M202" t="s">
        <v>7</v>
      </c>
      <c r="N202" t="s">
        <v>7</v>
      </c>
      <c r="P202">
        <f t="shared" si="960"/>
        <v>0.4011976047904206</v>
      </c>
      <c r="Q202">
        <f t="shared" si="961"/>
        <v>1941174.3141916238</v>
      </c>
      <c r="R202">
        <f t="shared" si="962"/>
        <v>-94428083.648653716</v>
      </c>
      <c r="S202">
        <f t="shared" si="963"/>
        <v>-944.28083648653717</v>
      </c>
      <c r="T202">
        <f t="shared" si="964"/>
        <v>-0.94428083648653716</v>
      </c>
    </row>
    <row r="203" spans="1:20" x14ac:dyDescent="0.25">
      <c r="A203" s="5">
        <v>44390</v>
      </c>
      <c r="B203">
        <v>0.49159999999999998</v>
      </c>
      <c r="C203">
        <v>0.53069999999999995</v>
      </c>
      <c r="D203">
        <v>0.4632</v>
      </c>
      <c r="E203">
        <v>0.47360000000000002</v>
      </c>
      <c r="F203">
        <v>5470843.0199999996</v>
      </c>
      <c r="G203">
        <v>0</v>
      </c>
      <c r="L203" t="s">
        <v>7</v>
      </c>
      <c r="M203" t="s">
        <v>7</v>
      </c>
      <c r="N203" t="s">
        <v>7</v>
      </c>
      <c r="P203">
        <f t="shared" si="960"/>
        <v>-0.69185185185185105</v>
      </c>
      <c r="Q203">
        <f t="shared" si="961"/>
        <v>-3785012.8745777733</v>
      </c>
      <c r="R203">
        <f t="shared" si="962"/>
        <v>-96369257.96284534</v>
      </c>
      <c r="S203">
        <f t="shared" si="963"/>
        <v>-963.69257962845336</v>
      </c>
      <c r="T203">
        <f t="shared" si="964"/>
        <v>-0.96369257962845334</v>
      </c>
    </row>
    <row r="204" spans="1:20" x14ac:dyDescent="0.25">
      <c r="A204" s="5">
        <v>44389</v>
      </c>
      <c r="B204">
        <v>0.50939999999999996</v>
      </c>
      <c r="C204">
        <v>0.52980000000000005</v>
      </c>
      <c r="D204">
        <v>0.48</v>
      </c>
      <c r="E204">
        <v>0.49149999999999999</v>
      </c>
      <c r="F204">
        <v>6966989.4400000004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-0.53815261044176732</v>
      </c>
      <c r="Q204">
        <f t="shared" si="961"/>
        <v>-3749303.5540562267</v>
      </c>
      <c r="R204">
        <f t="shared" si="962"/>
        <v>-92584245.088267565</v>
      </c>
      <c r="S204">
        <f t="shared" si="963"/>
        <v>-925.84245088267562</v>
      </c>
      <c r="T204">
        <f t="shared" si="964"/>
        <v>-0.92584245088267558</v>
      </c>
    </row>
    <row r="205" spans="1:20" x14ac:dyDescent="0.25">
      <c r="A205" s="5">
        <v>44388</v>
      </c>
      <c r="B205">
        <v>0.46250000000000002</v>
      </c>
      <c r="C205">
        <v>0.65549999999999997</v>
      </c>
      <c r="D205">
        <v>0.4536</v>
      </c>
      <c r="E205">
        <v>0.50939999999999996</v>
      </c>
      <c r="F205">
        <v>48053152.259999998</v>
      </c>
      <c r="G205">
        <v>0</v>
      </c>
      <c r="L205" t="s">
        <v>8</v>
      </c>
      <c r="M205" t="s">
        <v>8</v>
      </c>
      <c r="N205" t="s">
        <v>8</v>
      </c>
      <c r="P205">
        <f t="shared" si="960"/>
        <v>-0.44725111441307608</v>
      </c>
      <c r="Q205">
        <f t="shared" si="961"/>
        <v>-21491825.899346225</v>
      </c>
      <c r="R205">
        <f t="shared" si="962"/>
        <v>-88834941.534211338</v>
      </c>
      <c r="S205">
        <f t="shared" si="963"/>
        <v>-888.34941534211339</v>
      </c>
      <c r="T205">
        <f t="shared" si="964"/>
        <v>-0.88834941534211342</v>
      </c>
    </row>
    <row r="206" spans="1:20" x14ac:dyDescent="0.25">
      <c r="A206" s="5">
        <v>44387</v>
      </c>
      <c r="B206">
        <v>0.4219</v>
      </c>
      <c r="C206">
        <v>0.4758</v>
      </c>
      <c r="D206">
        <v>0.41920000000000002</v>
      </c>
      <c r="E206">
        <v>0.46260000000000001</v>
      </c>
      <c r="F206">
        <v>5174126.7699999996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0.53356890459363981</v>
      </c>
      <c r="Q206">
        <f t="shared" si="961"/>
        <v>2760753.1528975274</v>
      </c>
      <c r="R206">
        <f t="shared" si="962"/>
        <v>-67343115.634865105</v>
      </c>
      <c r="S206">
        <f t="shared" si="963"/>
        <v>-673.43115634865103</v>
      </c>
      <c r="T206">
        <f t="shared" si="964"/>
        <v>-0.67343115634865103</v>
      </c>
    </row>
    <row r="207" spans="1:20" x14ac:dyDescent="0.25">
      <c r="A207" s="5">
        <v>44386</v>
      </c>
      <c r="B207">
        <v>0.41460000000000002</v>
      </c>
      <c r="C207">
        <v>0.43080000000000002</v>
      </c>
      <c r="D207">
        <v>0.40010000000000001</v>
      </c>
      <c r="E207">
        <v>0.4219</v>
      </c>
      <c r="F207">
        <v>3836308.71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0.42019543973941254</v>
      </c>
      <c r="Q207">
        <f t="shared" si="961"/>
        <v>1611999.4253745885</v>
      </c>
      <c r="R207">
        <f t="shared" si="962"/>
        <v>-70103868.787762627</v>
      </c>
      <c r="S207">
        <f t="shared" si="963"/>
        <v>-701.03868787762622</v>
      </c>
      <c r="T207">
        <f t="shared" si="964"/>
        <v>-0.70103868787762624</v>
      </c>
    </row>
    <row r="208" spans="1:20" x14ac:dyDescent="0.25">
      <c r="A208" s="5">
        <v>44385</v>
      </c>
      <c r="B208">
        <v>0.44429999999999997</v>
      </c>
      <c r="C208">
        <v>0.44750000000000001</v>
      </c>
      <c r="D208">
        <v>0.40710000000000002</v>
      </c>
      <c r="E208">
        <v>0.41470000000000001</v>
      </c>
      <c r="F208">
        <v>4630102.18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-0.62376237623762387</v>
      </c>
      <c r="Q208">
        <f t="shared" si="961"/>
        <v>-2888083.5380198024</v>
      </c>
      <c r="R208">
        <f t="shared" si="962"/>
        <v>-71715868.213137209</v>
      </c>
      <c r="S208">
        <f t="shared" si="963"/>
        <v>-717.15868213137207</v>
      </c>
      <c r="T208">
        <f t="shared" si="964"/>
        <v>-0.71715868213137213</v>
      </c>
    </row>
    <row r="209" spans="1:20" x14ac:dyDescent="0.25">
      <c r="A209" s="5">
        <v>44384</v>
      </c>
      <c r="B209">
        <v>0.42720000000000002</v>
      </c>
      <c r="C209">
        <v>0.51459999999999995</v>
      </c>
      <c r="D209">
        <v>0.42059999999999997</v>
      </c>
      <c r="E209">
        <v>0.44469999999999998</v>
      </c>
      <c r="F209">
        <v>6736605.1600000001</v>
      </c>
      <c r="G209">
        <v>0</v>
      </c>
      <c r="L209" t="s">
        <v>8</v>
      </c>
      <c r="M209" t="s">
        <v>8</v>
      </c>
      <c r="N209" t="s">
        <v>8</v>
      </c>
      <c r="P209">
        <f t="shared" si="960"/>
        <v>-0.48723404255319114</v>
      </c>
      <c r="Q209">
        <f t="shared" si="961"/>
        <v>-3282303.3651914871</v>
      </c>
      <c r="R209">
        <f t="shared" si="962"/>
        <v>-68827784.675117403</v>
      </c>
      <c r="S209">
        <f t="shared" si="963"/>
        <v>-688.27784675117402</v>
      </c>
      <c r="T209">
        <f t="shared" si="964"/>
        <v>-0.68827784675117398</v>
      </c>
    </row>
    <row r="210" spans="1:20" x14ac:dyDescent="0.25">
      <c r="A210" s="5">
        <v>44383</v>
      </c>
      <c r="B210">
        <v>0.41170000000000001</v>
      </c>
      <c r="C210">
        <v>0.44969999999999999</v>
      </c>
      <c r="D210">
        <v>0.4113</v>
      </c>
      <c r="E210">
        <v>0.42880000000000001</v>
      </c>
      <c r="F210">
        <v>3690452.08</v>
      </c>
      <c r="G210">
        <v>0</v>
      </c>
      <c r="L210" t="s">
        <v>7</v>
      </c>
      <c r="M210" t="s">
        <v>8</v>
      </c>
      <c r="N210" t="s">
        <v>8</v>
      </c>
      <c r="P210">
        <f t="shared" si="960"/>
        <v>-8.8541666666665617E-2</v>
      </c>
      <c r="Q210">
        <f t="shared" si="961"/>
        <v>-326758.7779166628</v>
      </c>
      <c r="R210">
        <f t="shared" si="962"/>
        <v>-65545481.309925914</v>
      </c>
      <c r="S210">
        <f t="shared" si="963"/>
        <v>-655.45481309925913</v>
      </c>
      <c r="T210">
        <f t="shared" si="964"/>
        <v>-0.65545481309925913</v>
      </c>
    </row>
    <row r="211" spans="1:20" x14ac:dyDescent="0.25">
      <c r="A211" s="5">
        <v>44382</v>
      </c>
      <c r="B211">
        <v>0.43719999999999998</v>
      </c>
      <c r="C211">
        <v>0.46360000000000001</v>
      </c>
      <c r="D211">
        <v>0.4052</v>
      </c>
      <c r="E211">
        <v>0.41210000000000002</v>
      </c>
      <c r="F211">
        <v>7344295.3700000001</v>
      </c>
      <c r="G211">
        <v>0</v>
      </c>
      <c r="L211" t="s">
        <v>8</v>
      </c>
      <c r="M211" t="s">
        <v>8</v>
      </c>
      <c r="N211" t="s">
        <v>8</v>
      </c>
      <c r="P211">
        <f t="shared" si="960"/>
        <v>-0.76369863013698569</v>
      </c>
      <c r="Q211">
        <f t="shared" si="961"/>
        <v>-5608828.3133904068</v>
      </c>
      <c r="R211">
        <f t="shared" si="962"/>
        <v>-65218722.532009251</v>
      </c>
      <c r="S211">
        <f t="shared" si="963"/>
        <v>-652.18722532009247</v>
      </c>
      <c r="T211">
        <f t="shared" si="964"/>
        <v>-0.65218722532009243</v>
      </c>
    </row>
    <row r="212" spans="1:20" x14ac:dyDescent="0.25">
      <c r="A212" s="5">
        <v>44381</v>
      </c>
      <c r="B212">
        <v>0.42</v>
      </c>
      <c r="C212">
        <v>0.4486</v>
      </c>
      <c r="D212">
        <v>0.40150000000000002</v>
      </c>
      <c r="E212">
        <v>0.43719999999999998</v>
      </c>
      <c r="F212">
        <v>9889824.9700000007</v>
      </c>
      <c r="G212">
        <v>0</v>
      </c>
      <c r="L212" t="s">
        <v>8</v>
      </c>
      <c r="M212" t="s">
        <v>7</v>
      </c>
      <c r="N212" t="s">
        <v>8</v>
      </c>
      <c r="P212">
        <f t="shared" si="960"/>
        <v>0.51592356687897978</v>
      </c>
      <c r="Q212">
        <f t="shared" si="961"/>
        <v>5102393.7743311999</v>
      </c>
      <c r="R212">
        <f t="shared" si="962"/>
        <v>-59609894.218618847</v>
      </c>
      <c r="S212">
        <f t="shared" si="963"/>
        <v>-596.09894218618842</v>
      </c>
      <c r="T212">
        <f t="shared" si="964"/>
        <v>-0.59609894218618842</v>
      </c>
    </row>
    <row r="213" spans="1:20" x14ac:dyDescent="0.25">
      <c r="A213" s="5">
        <v>44380</v>
      </c>
      <c r="B213">
        <v>0.41949999999999998</v>
      </c>
      <c r="C213">
        <v>0.43680000000000002</v>
      </c>
      <c r="D213">
        <v>0.40339999999999998</v>
      </c>
      <c r="E213">
        <v>0.42130000000000001</v>
      </c>
      <c r="F213">
        <v>9690993.7599999998</v>
      </c>
      <c r="G213">
        <v>0</v>
      </c>
      <c r="L213" t="s">
        <v>8</v>
      </c>
      <c r="M213" t="s">
        <v>7</v>
      </c>
      <c r="N213" t="s">
        <v>8</v>
      </c>
      <c r="P213">
        <f t="shared" si="960"/>
        <v>7.1856287425150003E-2</v>
      </c>
      <c r="Q213">
        <f t="shared" si="961"/>
        <v>696358.83305389516</v>
      </c>
      <c r="R213">
        <f t="shared" si="962"/>
        <v>-64712287.992950045</v>
      </c>
      <c r="S213">
        <f t="shared" si="963"/>
        <v>-647.12287992950041</v>
      </c>
      <c r="T213">
        <f t="shared" si="964"/>
        <v>-0.64712287992950046</v>
      </c>
    </row>
    <row r="214" spans="1:20" x14ac:dyDescent="0.25">
      <c r="A214" s="5">
        <v>44379</v>
      </c>
      <c r="B214">
        <v>0.40799999999999997</v>
      </c>
      <c r="C214">
        <v>0.42009999999999997</v>
      </c>
      <c r="D214">
        <v>0.38929999999999998</v>
      </c>
      <c r="E214">
        <v>0.4194</v>
      </c>
      <c r="F214">
        <v>1520526.41</v>
      </c>
      <c r="G214">
        <v>0</v>
      </c>
      <c r="L214" t="s">
        <v>7</v>
      </c>
      <c r="M214" t="s">
        <v>7</v>
      </c>
      <c r="N214" t="s">
        <v>8</v>
      </c>
      <c r="P214">
        <f t="shared" si="960"/>
        <v>0.95454545454545592</v>
      </c>
      <c r="Q214">
        <f t="shared" si="961"/>
        <v>1451411.5731818201</v>
      </c>
      <c r="R214">
        <f t="shared" si="962"/>
        <v>-65408646.826003939</v>
      </c>
      <c r="S214">
        <f t="shared" si="963"/>
        <v>-654.0864682600394</v>
      </c>
      <c r="T214">
        <f t="shared" si="964"/>
        <v>-0.65408646826003936</v>
      </c>
    </row>
    <row r="215" spans="1:20" x14ac:dyDescent="0.25">
      <c r="A215" s="5">
        <v>44378</v>
      </c>
      <c r="B215">
        <v>0.43669999999999998</v>
      </c>
      <c r="C215">
        <v>0.43669999999999998</v>
      </c>
      <c r="D215">
        <v>0.39589999999999997</v>
      </c>
      <c r="E215">
        <v>0.40710000000000002</v>
      </c>
      <c r="F215">
        <v>1726568.33</v>
      </c>
      <c r="G215">
        <v>0</v>
      </c>
      <c r="L215" t="s">
        <v>7</v>
      </c>
      <c r="M215" t="s">
        <v>7</v>
      </c>
      <c r="N215" t="s">
        <v>8</v>
      </c>
      <c r="P215">
        <f t="shared" si="960"/>
        <v>-0.45098039215686064</v>
      </c>
      <c r="Q215">
        <f t="shared" si="961"/>
        <v>-778648.462549016</v>
      </c>
      <c r="R215">
        <f t="shared" si="962"/>
        <v>-66860058.399185762</v>
      </c>
      <c r="S215">
        <f t="shared" si="963"/>
        <v>-668.60058399185766</v>
      </c>
      <c r="T215">
        <f t="shared" si="964"/>
        <v>-0.66860058399185762</v>
      </c>
    </row>
    <row r="216" spans="1:20" x14ac:dyDescent="0.25">
      <c r="A216" s="5">
        <v>44377</v>
      </c>
      <c r="B216">
        <v>0.4587</v>
      </c>
      <c r="C216">
        <v>0.46539999999999998</v>
      </c>
      <c r="D216">
        <v>0.40910000000000002</v>
      </c>
      <c r="E216">
        <v>0.43659999999999999</v>
      </c>
      <c r="F216">
        <v>2979132.99</v>
      </c>
      <c r="G216">
        <v>0</v>
      </c>
      <c r="L216" t="s">
        <v>7</v>
      </c>
      <c r="M216" t="s">
        <v>7</v>
      </c>
      <c r="N216" t="s">
        <v>8</v>
      </c>
      <c r="P216">
        <f t="shared" si="960"/>
        <v>-2.3090586145648743E-2</v>
      </c>
      <c r="Q216">
        <f t="shared" si="961"/>
        <v>-68789.926944939114</v>
      </c>
      <c r="R216">
        <f t="shared" si="962"/>
        <v>-66081409.936636746</v>
      </c>
      <c r="S216">
        <f t="shared" si="963"/>
        <v>-660.81409936636749</v>
      </c>
      <c r="T216">
        <f t="shared" si="964"/>
        <v>-0.66081409936636748</v>
      </c>
    </row>
    <row r="217" spans="1:20" x14ac:dyDescent="0.25">
      <c r="A217" s="5">
        <v>44376</v>
      </c>
      <c r="B217">
        <v>0.42020000000000002</v>
      </c>
      <c r="C217">
        <v>0.48199999999999998</v>
      </c>
      <c r="D217">
        <v>0.41870000000000002</v>
      </c>
      <c r="E217">
        <v>0.45590000000000003</v>
      </c>
      <c r="F217">
        <v>3446387.44</v>
      </c>
      <c r="G217">
        <v>0</v>
      </c>
      <c r="L217" t="s">
        <v>8</v>
      </c>
      <c r="M217" t="s">
        <v>8</v>
      </c>
      <c r="N217" t="s">
        <v>8</v>
      </c>
      <c r="P217">
        <f t="shared" si="960"/>
        <v>0.17535545023696777</v>
      </c>
      <c r="Q217">
        <f t="shared" si="961"/>
        <v>604342.82123223075</v>
      </c>
      <c r="R217">
        <f t="shared" si="962"/>
        <v>-66012620.009691805</v>
      </c>
      <c r="S217">
        <f t="shared" si="963"/>
        <v>-660.12620009691807</v>
      </c>
      <c r="T217">
        <f t="shared" si="964"/>
        <v>-0.66012620009691803</v>
      </c>
    </row>
    <row r="218" spans="1:20" x14ac:dyDescent="0.25">
      <c r="A218" s="5">
        <v>44375</v>
      </c>
      <c r="B218">
        <v>0.41610000000000003</v>
      </c>
      <c r="C218">
        <v>0.43269999999999997</v>
      </c>
      <c r="D218">
        <v>0.40410000000000001</v>
      </c>
      <c r="E218">
        <v>0.41760000000000003</v>
      </c>
      <c r="F218">
        <v>2027796.46</v>
      </c>
      <c r="G218">
        <v>0</v>
      </c>
      <c r="L218" t="s">
        <v>8</v>
      </c>
      <c r="M218" t="s">
        <v>7</v>
      </c>
      <c r="N218" t="s">
        <v>8</v>
      </c>
      <c r="P218">
        <f t="shared" si="960"/>
        <v>-5.5944055944053744E-2</v>
      </c>
      <c r="Q218">
        <f t="shared" si="961"/>
        <v>-113443.15860139414</v>
      </c>
      <c r="R218">
        <f t="shared" si="962"/>
        <v>-66616962.830924034</v>
      </c>
      <c r="S218">
        <f t="shared" si="963"/>
        <v>-666.16962830924035</v>
      </c>
      <c r="T218">
        <f t="shared" si="964"/>
        <v>-0.66616962830924031</v>
      </c>
    </row>
    <row r="219" spans="1:20" x14ac:dyDescent="0.25">
      <c r="A219" s="5">
        <v>44374</v>
      </c>
      <c r="B219">
        <v>0.39950000000000002</v>
      </c>
      <c r="C219">
        <v>0.42080000000000001</v>
      </c>
      <c r="D219">
        <v>0.38640000000000002</v>
      </c>
      <c r="E219">
        <v>0.41410000000000002</v>
      </c>
      <c r="F219">
        <v>3376369.94</v>
      </c>
      <c r="G219">
        <v>0</v>
      </c>
      <c r="L219" t="s">
        <v>8</v>
      </c>
      <c r="M219" t="s">
        <v>7</v>
      </c>
      <c r="N219" t="s">
        <v>8</v>
      </c>
      <c r="P219">
        <f t="shared" si="960"/>
        <v>0.61046511627907052</v>
      </c>
      <c r="Q219">
        <f t="shared" si="961"/>
        <v>2061156.0680232584</v>
      </c>
      <c r="R219">
        <f t="shared" si="962"/>
        <v>-66503519.672322638</v>
      </c>
      <c r="S219">
        <f t="shared" si="963"/>
        <v>-665.03519672322636</v>
      </c>
      <c r="T219">
        <f t="shared" si="964"/>
        <v>-0.66503519672322642</v>
      </c>
    </row>
    <row r="220" spans="1:20" x14ac:dyDescent="0.25">
      <c r="A220" s="5">
        <v>44373</v>
      </c>
      <c r="B220">
        <v>0.39939999999999998</v>
      </c>
      <c r="C220">
        <v>0.42430000000000001</v>
      </c>
      <c r="D220">
        <v>0.3755</v>
      </c>
      <c r="E220">
        <v>0.39960000000000001</v>
      </c>
      <c r="F220">
        <v>2586743.06</v>
      </c>
      <c r="G220">
        <v>0</v>
      </c>
      <c r="L220" t="s">
        <v>7</v>
      </c>
      <c r="M220" t="s">
        <v>7</v>
      </c>
      <c r="N220" t="s">
        <v>8</v>
      </c>
      <c r="P220">
        <f t="shared" si="960"/>
        <v>-1.2295081967212896E-2</v>
      </c>
      <c r="Q220">
        <f t="shared" si="961"/>
        <v>-31804.217950819108</v>
      </c>
      <c r="R220">
        <f t="shared" si="962"/>
        <v>-68564675.740345895</v>
      </c>
      <c r="S220">
        <f t="shared" si="963"/>
        <v>-685.64675740345899</v>
      </c>
      <c r="T220">
        <f t="shared" si="964"/>
        <v>-0.68564675740345904</v>
      </c>
    </row>
    <row r="221" spans="1:20" x14ac:dyDescent="0.25">
      <c r="A221" s="5">
        <v>44372</v>
      </c>
      <c r="B221">
        <v>0.44579999999999997</v>
      </c>
      <c r="C221">
        <v>0.45989999999999998</v>
      </c>
      <c r="D221">
        <v>0.38919999999999999</v>
      </c>
      <c r="E221">
        <v>0.40089999999999998</v>
      </c>
      <c r="F221">
        <v>2678655.16</v>
      </c>
      <c r="G221">
        <v>0</v>
      </c>
      <c r="L221" t="s">
        <v>7</v>
      </c>
      <c r="M221" t="s">
        <v>7</v>
      </c>
      <c r="N221" t="s">
        <v>8</v>
      </c>
      <c r="P221">
        <f t="shared" si="960"/>
        <v>-0.66902404526166925</v>
      </c>
      <c r="Q221">
        <f t="shared" si="961"/>
        <v>-1792084.7110042439</v>
      </c>
      <c r="R221">
        <f t="shared" si="962"/>
        <v>-68532871.522395074</v>
      </c>
      <c r="S221">
        <f t="shared" si="963"/>
        <v>-685.32871522395078</v>
      </c>
      <c r="T221">
        <f t="shared" si="964"/>
        <v>-0.68532871522395078</v>
      </c>
    </row>
    <row r="222" spans="1:20" x14ac:dyDescent="0.25">
      <c r="A222" s="5">
        <v>44371</v>
      </c>
      <c r="B222">
        <v>0.41889999999999999</v>
      </c>
      <c r="C222">
        <v>0.46899999999999997</v>
      </c>
      <c r="D222">
        <v>0.3962</v>
      </c>
      <c r="E222">
        <v>0.44500000000000001</v>
      </c>
      <c r="F222">
        <v>5945970.7699999996</v>
      </c>
      <c r="G222">
        <v>0</v>
      </c>
      <c r="L222" t="s">
        <v>8</v>
      </c>
      <c r="M222" t="s">
        <v>8</v>
      </c>
      <c r="N222" t="s">
        <v>8</v>
      </c>
      <c r="P222">
        <f t="shared" si="960"/>
        <v>0.34065934065934139</v>
      </c>
      <c r="Q222">
        <f t="shared" si="961"/>
        <v>2025550.4820879162</v>
      </c>
      <c r="R222">
        <f t="shared" si="962"/>
        <v>-66740786.811390825</v>
      </c>
      <c r="S222">
        <f t="shared" si="963"/>
        <v>-667.40786811390819</v>
      </c>
      <c r="T222">
        <f t="shared" si="964"/>
        <v>-0.66740786811390818</v>
      </c>
    </row>
    <row r="223" spans="1:20" x14ac:dyDescent="0.25">
      <c r="A223" s="5">
        <v>44370</v>
      </c>
      <c r="B223">
        <v>0.40279999999999999</v>
      </c>
      <c r="C223">
        <v>0.44579999999999997</v>
      </c>
      <c r="D223">
        <v>0.3901</v>
      </c>
      <c r="E223">
        <v>0.41880000000000001</v>
      </c>
      <c r="F223">
        <v>2623617.89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3.0520646319569762E-2</v>
      </c>
      <c r="Q223">
        <f t="shared" si="961"/>
        <v>80074.513698385883</v>
      </c>
      <c r="R223">
        <f t="shared" si="962"/>
        <v>-68766337.293478742</v>
      </c>
      <c r="S223">
        <f t="shared" si="963"/>
        <v>-687.66337293478739</v>
      </c>
      <c r="T223">
        <f t="shared" si="964"/>
        <v>-0.68766337293478741</v>
      </c>
    </row>
    <row r="224" spans="1:20" x14ac:dyDescent="0.25">
      <c r="A224" s="5">
        <v>44369</v>
      </c>
      <c r="B224">
        <v>0.442</v>
      </c>
      <c r="C224">
        <v>0.4698</v>
      </c>
      <c r="D224">
        <v>0.35020000000000001</v>
      </c>
      <c r="E224">
        <v>0.39960000000000001</v>
      </c>
      <c r="F224">
        <v>5452458.7000000002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-0.17391304347826078</v>
      </c>
      <c r="Q224">
        <f t="shared" si="961"/>
        <v>-948253.68695652124</v>
      </c>
      <c r="R224">
        <f t="shared" si="962"/>
        <v>-68846411.807177126</v>
      </c>
      <c r="S224">
        <f t="shared" si="963"/>
        <v>-688.46411807177128</v>
      </c>
      <c r="T224">
        <f t="shared" si="964"/>
        <v>-0.68846411807177132</v>
      </c>
    </row>
    <row r="225" spans="1:20" x14ac:dyDescent="0.25">
      <c r="A225" s="5">
        <v>44368</v>
      </c>
      <c r="B225">
        <v>0.57179999999999997</v>
      </c>
      <c r="C225">
        <v>0.57979999999999998</v>
      </c>
      <c r="D225">
        <v>0.43919999999999998</v>
      </c>
      <c r="E225">
        <v>0.442</v>
      </c>
      <c r="F225">
        <v>2980806.81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-0.96017069701280189</v>
      </c>
      <c r="Q225">
        <f t="shared" si="961"/>
        <v>-2862083.3524182066</v>
      </c>
      <c r="R225">
        <f t="shared" si="962"/>
        <v>-67898158.120220602</v>
      </c>
      <c r="S225">
        <f t="shared" si="963"/>
        <v>-678.98158120220603</v>
      </c>
      <c r="T225">
        <f t="shared" si="964"/>
        <v>-0.67898158120220597</v>
      </c>
    </row>
    <row r="226" spans="1:20" x14ac:dyDescent="0.25">
      <c r="A226" s="5">
        <v>44367</v>
      </c>
      <c r="B226">
        <v>0.60029999999999994</v>
      </c>
      <c r="C226">
        <v>0.60329999999999995</v>
      </c>
      <c r="D226">
        <v>0.53580000000000005</v>
      </c>
      <c r="E226">
        <v>0.57150000000000001</v>
      </c>
      <c r="F226">
        <v>2161470.5699999998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5.7777777777778087E-2</v>
      </c>
      <c r="Q226">
        <f t="shared" si="961"/>
        <v>124884.96626666732</v>
      </c>
      <c r="R226">
        <f t="shared" si="962"/>
        <v>-65036074.767802395</v>
      </c>
      <c r="S226">
        <f t="shared" si="963"/>
        <v>-650.36074767802393</v>
      </c>
      <c r="T226">
        <f t="shared" si="964"/>
        <v>-0.65036074767802388</v>
      </c>
    </row>
    <row r="227" spans="1:20" x14ac:dyDescent="0.25">
      <c r="A227" s="5">
        <v>44366</v>
      </c>
      <c r="B227">
        <v>0.61560000000000004</v>
      </c>
      <c r="C227">
        <v>0.64749999999999996</v>
      </c>
      <c r="D227">
        <v>0.58499999999999996</v>
      </c>
      <c r="E227">
        <v>0.60019999999999996</v>
      </c>
      <c r="F227">
        <v>2063756.08</v>
      </c>
      <c r="G227">
        <v>0</v>
      </c>
      <c r="L227" t="s">
        <v>8</v>
      </c>
      <c r="M227" t="s">
        <v>7</v>
      </c>
      <c r="N227" t="s">
        <v>8</v>
      </c>
      <c r="P227">
        <f t="shared" si="960"/>
        <v>-0.51360000000000028</v>
      </c>
      <c r="Q227">
        <f t="shared" si="961"/>
        <v>-1059945.1226880006</v>
      </c>
      <c r="R227">
        <f t="shared" si="962"/>
        <v>-65160959.734069064</v>
      </c>
      <c r="S227">
        <f t="shared" si="963"/>
        <v>-651.6095973406907</v>
      </c>
      <c r="T227">
        <f t="shared" si="964"/>
        <v>-0.65160959734069068</v>
      </c>
    </row>
    <row r="228" spans="1:20" x14ac:dyDescent="0.25">
      <c r="A228" s="5">
        <v>44365</v>
      </c>
      <c r="B228">
        <v>0.63549999999999995</v>
      </c>
      <c r="C228">
        <v>0.63939999999999997</v>
      </c>
      <c r="D228">
        <v>0.56999999999999995</v>
      </c>
      <c r="E228">
        <v>0.61760000000000004</v>
      </c>
      <c r="F228">
        <v>2446670.2799999998</v>
      </c>
      <c r="G228">
        <v>0</v>
      </c>
      <c r="L228" t="s">
        <v>7</v>
      </c>
      <c r="M228" t="s">
        <v>7</v>
      </c>
      <c r="N228" t="s">
        <v>8</v>
      </c>
      <c r="P228">
        <f t="shared" si="960"/>
        <v>0.37175792507204825</v>
      </c>
      <c r="Q228">
        <f t="shared" si="961"/>
        <v>909569.06662824727</v>
      </c>
      <c r="R228">
        <f t="shared" si="962"/>
        <v>-64101014.611381061</v>
      </c>
      <c r="S228">
        <f t="shared" si="963"/>
        <v>-641.01014611381061</v>
      </c>
      <c r="T228">
        <f t="shared" si="964"/>
        <v>-0.64101014611381057</v>
      </c>
    </row>
    <row r="229" spans="1:20" x14ac:dyDescent="0.25">
      <c r="A229" s="5">
        <v>44364</v>
      </c>
      <c r="B229">
        <v>0.62219999999999998</v>
      </c>
      <c r="C229">
        <v>0.66859999999999997</v>
      </c>
      <c r="D229">
        <v>0.61929999999999996</v>
      </c>
      <c r="E229">
        <v>0.63700000000000001</v>
      </c>
      <c r="F229">
        <v>2316406.08</v>
      </c>
      <c r="G229">
        <v>0</v>
      </c>
      <c r="L229" t="s">
        <v>8</v>
      </c>
      <c r="M229" t="s">
        <v>8</v>
      </c>
      <c r="N229" t="s">
        <v>8</v>
      </c>
      <c r="P229">
        <f t="shared" si="960"/>
        <v>-0.28194726166328415</v>
      </c>
      <c r="Q229">
        <f t="shared" si="961"/>
        <v>-653104.35115618235</v>
      </c>
      <c r="R229">
        <f t="shared" si="962"/>
        <v>-65010583.678009309</v>
      </c>
      <c r="S229">
        <f t="shared" si="963"/>
        <v>-650.10583678009311</v>
      </c>
      <c r="T229">
        <f t="shared" si="964"/>
        <v>-0.65010583678009315</v>
      </c>
    </row>
    <row r="230" spans="1:20" x14ac:dyDescent="0.25">
      <c r="A230" s="5">
        <v>44363</v>
      </c>
      <c r="B230">
        <v>0.66610000000000003</v>
      </c>
      <c r="C230">
        <v>0.66610000000000003</v>
      </c>
      <c r="D230">
        <v>0.61550000000000005</v>
      </c>
      <c r="E230">
        <v>0.62219999999999998</v>
      </c>
      <c r="F230">
        <v>2063579.52</v>
      </c>
      <c r="G230">
        <v>0</v>
      </c>
      <c r="L230" t="s">
        <v>7</v>
      </c>
      <c r="M230" t="s">
        <v>8</v>
      </c>
      <c r="N230" t="s">
        <v>8</v>
      </c>
      <c r="P230">
        <f t="shared" si="960"/>
        <v>-0.73517786561265097</v>
      </c>
      <c r="Q230">
        <f t="shared" si="961"/>
        <v>-1517097.9870355788</v>
      </c>
      <c r="R230">
        <f t="shared" si="962"/>
        <v>-64357479.326853126</v>
      </c>
      <c r="S230">
        <f t="shared" si="963"/>
        <v>-643.57479326853127</v>
      </c>
      <c r="T230">
        <f t="shared" si="964"/>
        <v>-0.64357479326853129</v>
      </c>
    </row>
    <row r="231" spans="1:20" x14ac:dyDescent="0.25">
      <c r="A231" s="5">
        <v>44362</v>
      </c>
      <c r="B231">
        <v>0.66790000000000005</v>
      </c>
      <c r="C231">
        <v>0.72</v>
      </c>
      <c r="D231">
        <v>0.64749999999999996</v>
      </c>
      <c r="E231">
        <v>0.66579999999999995</v>
      </c>
      <c r="F231">
        <v>3296486.04</v>
      </c>
      <c r="G231">
        <v>0</v>
      </c>
      <c r="L231" t="s">
        <v>8</v>
      </c>
      <c r="M231" t="s">
        <v>8</v>
      </c>
      <c r="N231" t="s">
        <v>8</v>
      </c>
      <c r="P231">
        <f t="shared" si="960"/>
        <v>-0.495172413793104</v>
      </c>
      <c r="Q231">
        <f t="shared" si="961"/>
        <v>-1632328.9494620708</v>
      </c>
      <c r="R231">
        <f t="shared" si="962"/>
        <v>-62840381.339817546</v>
      </c>
      <c r="S231">
        <f t="shared" si="963"/>
        <v>-628.40381339817543</v>
      </c>
      <c r="T231">
        <f t="shared" si="964"/>
        <v>-0.62840381339817541</v>
      </c>
    </row>
    <row r="232" spans="1:20" x14ac:dyDescent="0.25">
      <c r="A232" s="5">
        <v>44361</v>
      </c>
      <c r="B232">
        <v>0.67269999999999996</v>
      </c>
      <c r="C232">
        <v>0.69</v>
      </c>
      <c r="D232">
        <v>0.64639999999999997</v>
      </c>
      <c r="E232">
        <v>0.66949999999999998</v>
      </c>
      <c r="F232">
        <v>5836342.2199999997</v>
      </c>
      <c r="G232">
        <v>0</v>
      </c>
      <c r="L232" t="s">
        <v>7</v>
      </c>
      <c r="M232" t="s">
        <v>8</v>
      </c>
      <c r="N232" t="s">
        <v>8</v>
      </c>
      <c r="P232">
        <f t="shared" si="960"/>
        <v>5.9633027522936886E-2</v>
      </c>
      <c r="Q232">
        <f t="shared" si="961"/>
        <v>348038.75623853854</v>
      </c>
      <c r="R232">
        <f t="shared" si="962"/>
        <v>-61208052.390355475</v>
      </c>
      <c r="S232">
        <f t="shared" si="963"/>
        <v>-612.08052390355476</v>
      </c>
      <c r="T232">
        <f t="shared" si="964"/>
        <v>-0.61208052390355472</v>
      </c>
    </row>
    <row r="233" spans="1:20" x14ac:dyDescent="0.25">
      <c r="A233" s="5">
        <v>44360</v>
      </c>
      <c r="B233">
        <v>0.63300000000000001</v>
      </c>
      <c r="C233">
        <v>0.68879999999999997</v>
      </c>
      <c r="D233">
        <v>0.60699999999999998</v>
      </c>
      <c r="E233">
        <v>0.67269999999999996</v>
      </c>
      <c r="F233">
        <v>3498039.24</v>
      </c>
      <c r="G233">
        <v>0</v>
      </c>
      <c r="L233" t="s">
        <v>8</v>
      </c>
      <c r="M233" t="s">
        <v>8</v>
      </c>
      <c r="N233" t="s">
        <v>8</v>
      </c>
      <c r="P233">
        <f t="shared" si="960"/>
        <v>0.60635696821515872</v>
      </c>
      <c r="Q233">
        <f t="shared" si="961"/>
        <v>2121060.4682640582</v>
      </c>
      <c r="R233">
        <f t="shared" si="962"/>
        <v>-61556091.14659401</v>
      </c>
      <c r="S233">
        <f t="shared" si="963"/>
        <v>-615.56091146594008</v>
      </c>
      <c r="T233">
        <f t="shared" si="964"/>
        <v>-0.61556091146594005</v>
      </c>
    </row>
    <row r="234" spans="1:20" x14ac:dyDescent="0.25">
      <c r="A234" s="5">
        <v>44359</v>
      </c>
      <c r="B234">
        <v>0.61560000000000004</v>
      </c>
      <c r="C234">
        <v>0.67349999999999999</v>
      </c>
      <c r="D234">
        <v>0.57210000000000005</v>
      </c>
      <c r="E234">
        <v>0.63529999999999998</v>
      </c>
      <c r="F234">
        <v>3290395.95</v>
      </c>
      <c r="G234">
        <v>0</v>
      </c>
      <c r="L234" t="s">
        <v>7</v>
      </c>
      <c r="M234" t="s">
        <v>7</v>
      </c>
      <c r="N234" t="s">
        <v>8</v>
      </c>
      <c r="P234">
        <f t="shared" si="960"/>
        <v>0.24654832347139968</v>
      </c>
      <c r="Q234">
        <f t="shared" si="961"/>
        <v>811241.60502958356</v>
      </c>
      <c r="R234">
        <f t="shared" si="962"/>
        <v>-63677151.614858069</v>
      </c>
      <c r="S234">
        <f t="shared" si="963"/>
        <v>-636.77151614858064</v>
      </c>
      <c r="T234">
        <f t="shared" si="964"/>
        <v>-0.63677151614858063</v>
      </c>
    </row>
    <row r="235" spans="1:20" x14ac:dyDescent="0.25">
      <c r="A235" s="5">
        <v>44358</v>
      </c>
      <c r="B235">
        <v>0.6946</v>
      </c>
      <c r="C235">
        <v>0.70720000000000005</v>
      </c>
      <c r="D235">
        <v>0.60040000000000004</v>
      </c>
      <c r="E235">
        <v>0.61609999999999998</v>
      </c>
      <c r="F235">
        <v>4720046.95</v>
      </c>
      <c r="G235">
        <v>0</v>
      </c>
      <c r="L235" t="s">
        <v>7</v>
      </c>
      <c r="M235" t="s">
        <v>7</v>
      </c>
      <c r="N235" t="s">
        <v>8</v>
      </c>
      <c r="P235">
        <f t="shared" si="960"/>
        <v>-0.70599250936329705</v>
      </c>
      <c r="Q235">
        <f t="shared" si="961"/>
        <v>-3332317.7905430766</v>
      </c>
      <c r="R235">
        <f t="shared" si="962"/>
        <v>-64488393.219887652</v>
      </c>
      <c r="S235">
        <f t="shared" si="963"/>
        <v>-644.88393219887655</v>
      </c>
      <c r="T235">
        <f t="shared" si="964"/>
        <v>-0.64488393219887652</v>
      </c>
    </row>
    <row r="236" spans="1:20" x14ac:dyDescent="0.25">
      <c r="A236" s="5">
        <v>44357</v>
      </c>
      <c r="B236">
        <v>0.6784</v>
      </c>
      <c r="C236">
        <v>0.76280000000000003</v>
      </c>
      <c r="D236">
        <v>0.63129999999999997</v>
      </c>
      <c r="E236">
        <v>0.69420000000000004</v>
      </c>
      <c r="F236">
        <v>10638136.699999999</v>
      </c>
      <c r="G236">
        <v>0</v>
      </c>
      <c r="L236" t="s">
        <v>8</v>
      </c>
      <c r="M236" t="s">
        <v>8</v>
      </c>
      <c r="N236" t="s">
        <v>8</v>
      </c>
      <c r="P236">
        <f t="shared" si="960"/>
        <v>-4.3346007604562163E-2</v>
      </c>
      <c r="Q236">
        <f t="shared" si="961"/>
        <v>-461120.75429657183</v>
      </c>
      <c r="R236">
        <f t="shared" si="962"/>
        <v>-61156075.429344572</v>
      </c>
      <c r="S236">
        <f t="shared" si="963"/>
        <v>-611.56075429344571</v>
      </c>
      <c r="T236">
        <f t="shared" si="964"/>
        <v>-0.6115607542934457</v>
      </c>
    </row>
    <row r="237" spans="1:20" x14ac:dyDescent="0.25">
      <c r="A237" s="5">
        <v>44356</v>
      </c>
      <c r="B237">
        <v>0.62919999999999998</v>
      </c>
      <c r="C237">
        <v>0.73429999999999995</v>
      </c>
      <c r="D237">
        <v>0.58069999999999999</v>
      </c>
      <c r="E237">
        <v>0.67549999999999999</v>
      </c>
      <c r="F237">
        <v>10895954.279999999</v>
      </c>
      <c r="G237">
        <v>0</v>
      </c>
      <c r="L237" t="s">
        <v>8</v>
      </c>
      <c r="M237" t="s">
        <v>8</v>
      </c>
      <c r="N237" t="s">
        <v>7</v>
      </c>
      <c r="P237">
        <f t="shared" si="960"/>
        <v>0.23437500000000028</v>
      </c>
      <c r="Q237">
        <f t="shared" si="961"/>
        <v>2553739.2843750031</v>
      </c>
      <c r="R237">
        <f t="shared" si="962"/>
        <v>-60694954.675048001</v>
      </c>
      <c r="S237">
        <f t="shared" si="963"/>
        <v>-606.94954675048007</v>
      </c>
      <c r="T237">
        <f t="shared" si="964"/>
        <v>-0.60694954675048007</v>
      </c>
    </row>
    <row r="238" spans="1:20" x14ac:dyDescent="0.25">
      <c r="A238" s="5">
        <v>44355</v>
      </c>
      <c r="B238">
        <v>0.63119999999999998</v>
      </c>
      <c r="C238">
        <v>0.65039999999999998</v>
      </c>
      <c r="D238">
        <v>0.54710000000000003</v>
      </c>
      <c r="E238">
        <v>0.62790000000000001</v>
      </c>
      <c r="F238">
        <v>4371505.75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0.5643756050338824</v>
      </c>
      <c r="Q238">
        <f t="shared" si="961"/>
        <v>2467171.2025653459</v>
      </c>
      <c r="R238">
        <f t="shared" si="962"/>
        <v>-63248693.959423006</v>
      </c>
      <c r="S238">
        <f t="shared" si="963"/>
        <v>-632.48693959423008</v>
      </c>
      <c r="T238">
        <f t="shared" si="964"/>
        <v>-0.63248693959423008</v>
      </c>
    </row>
    <row r="239" spans="1:20" x14ac:dyDescent="0.25">
      <c r="A239" s="5">
        <v>44354</v>
      </c>
      <c r="B239">
        <v>0.74970000000000003</v>
      </c>
      <c r="C239">
        <v>0.76490000000000002</v>
      </c>
      <c r="D239">
        <v>0.61870000000000003</v>
      </c>
      <c r="E239">
        <v>0.62709999999999999</v>
      </c>
      <c r="F239">
        <v>4010262.46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-0.88508891928864619</v>
      </c>
      <c r="Q239">
        <f t="shared" si="961"/>
        <v>-3549438.8667852278</v>
      </c>
      <c r="R239">
        <f t="shared" si="962"/>
        <v>-65715865.161988348</v>
      </c>
      <c r="S239">
        <f t="shared" si="963"/>
        <v>-657.15865161988347</v>
      </c>
      <c r="T239">
        <f t="shared" si="964"/>
        <v>-0.65715865161988352</v>
      </c>
    </row>
    <row r="240" spans="1:20" x14ac:dyDescent="0.25">
      <c r="A240" s="5">
        <v>44353</v>
      </c>
      <c r="B240">
        <v>0.69230000000000003</v>
      </c>
      <c r="C240">
        <v>0.78420000000000001</v>
      </c>
      <c r="D240">
        <v>0.69220000000000004</v>
      </c>
      <c r="E240">
        <v>0.749</v>
      </c>
      <c r="F240">
        <v>4964826.82</v>
      </c>
      <c r="G240">
        <v>0</v>
      </c>
      <c r="L240" t="s">
        <v>8</v>
      </c>
      <c r="M240" t="s">
        <v>7</v>
      </c>
      <c r="N240" t="s">
        <v>7</v>
      </c>
      <c r="P240">
        <f t="shared" si="960"/>
        <v>0.23478260869565173</v>
      </c>
      <c r="Q240">
        <f t="shared" si="961"/>
        <v>1165654.992521737</v>
      </c>
      <c r="R240">
        <f t="shared" si="962"/>
        <v>-62166426.29520312</v>
      </c>
      <c r="S240">
        <f t="shared" si="963"/>
        <v>-621.66426295203121</v>
      </c>
      <c r="T240">
        <f t="shared" si="964"/>
        <v>-0.62166426295203125</v>
      </c>
    </row>
    <row r="241" spans="1:20" x14ac:dyDescent="0.25">
      <c r="A241" s="5">
        <v>44352</v>
      </c>
      <c r="B241">
        <v>0.72470000000000001</v>
      </c>
      <c r="C241">
        <v>0.76849999999999996</v>
      </c>
      <c r="D241">
        <v>0.68</v>
      </c>
      <c r="E241">
        <v>0.69230000000000003</v>
      </c>
      <c r="F241">
        <v>3157228.75</v>
      </c>
      <c r="G241">
        <v>0</v>
      </c>
      <c r="L241" t="s">
        <v>7</v>
      </c>
      <c r="M241" t="s">
        <v>7</v>
      </c>
      <c r="N241" t="s">
        <v>7</v>
      </c>
      <c r="P241">
        <f t="shared" si="960"/>
        <v>-0.72203389830508502</v>
      </c>
      <c r="Q241">
        <f t="shared" si="961"/>
        <v>-2279626.1822033906</v>
      </c>
      <c r="R241">
        <f t="shared" si="962"/>
        <v>-63332081.28772486</v>
      </c>
      <c r="S241">
        <f t="shared" si="963"/>
        <v>-633.32081287724861</v>
      </c>
      <c r="T241">
        <f t="shared" si="964"/>
        <v>-0.63332081287724862</v>
      </c>
    </row>
    <row r="242" spans="1:20" x14ac:dyDescent="0.25">
      <c r="A242" s="5">
        <v>44351</v>
      </c>
      <c r="B242">
        <v>0.83789999999999998</v>
      </c>
      <c r="C242">
        <v>0.83919999999999995</v>
      </c>
      <c r="D242">
        <v>0.69499999999999995</v>
      </c>
      <c r="E242">
        <v>0.72489999999999999</v>
      </c>
      <c r="F242">
        <v>4865249.6500000004</v>
      </c>
      <c r="G242">
        <v>0</v>
      </c>
      <c r="L242" t="s">
        <v>7</v>
      </c>
      <c r="M242" t="s">
        <v>7</v>
      </c>
      <c r="N242" t="s">
        <v>7</v>
      </c>
      <c r="P242">
        <f t="shared" si="960"/>
        <v>-0.5852981969486819</v>
      </c>
      <c r="Q242">
        <f t="shared" si="961"/>
        <v>-2847621.8478502058</v>
      </c>
      <c r="R242">
        <f t="shared" si="962"/>
        <v>-61052455.10552147</v>
      </c>
      <c r="S242">
        <f t="shared" si="963"/>
        <v>-610.52455105521472</v>
      </c>
      <c r="T242">
        <f t="shared" si="964"/>
        <v>-0.61052455105521475</v>
      </c>
    </row>
    <row r="243" spans="1:20" x14ac:dyDescent="0.25">
      <c r="A243" s="5">
        <v>44350</v>
      </c>
      <c r="B243">
        <v>0.80469999999999997</v>
      </c>
      <c r="C243">
        <v>0.87860000000000005</v>
      </c>
      <c r="D243">
        <v>0.8</v>
      </c>
      <c r="E243">
        <v>0.83819999999999995</v>
      </c>
      <c r="F243">
        <v>4835864.75</v>
      </c>
      <c r="G243">
        <v>0</v>
      </c>
      <c r="L243" t="s">
        <v>8</v>
      </c>
      <c r="M243" t="s">
        <v>8</v>
      </c>
      <c r="N243" t="s">
        <v>7</v>
      </c>
      <c r="P243">
        <f t="shared" si="960"/>
        <v>-2.7989821882954222E-2</v>
      </c>
      <c r="Q243">
        <f t="shared" si="961"/>
        <v>-135354.99300255693</v>
      </c>
      <c r="R243">
        <f t="shared" si="962"/>
        <v>-58204833.257671267</v>
      </c>
      <c r="S243">
        <f t="shared" si="963"/>
        <v>-582.04833257671271</v>
      </c>
      <c r="T243">
        <f t="shared" si="964"/>
        <v>-0.58204833257671273</v>
      </c>
    </row>
    <row r="244" spans="1:20" x14ac:dyDescent="0.25">
      <c r="A244" s="5">
        <v>44349</v>
      </c>
      <c r="B244">
        <v>0.85119999999999996</v>
      </c>
      <c r="C244">
        <v>0.85199999999999998</v>
      </c>
      <c r="D244">
        <v>0.79249999999999998</v>
      </c>
      <c r="E244">
        <v>0.80469999999999997</v>
      </c>
      <c r="F244">
        <v>4357572.32</v>
      </c>
      <c r="G244">
        <v>0</v>
      </c>
      <c r="L244" t="s">
        <v>7</v>
      </c>
      <c r="M244" t="s">
        <v>8</v>
      </c>
      <c r="N244" t="s">
        <v>7</v>
      </c>
      <c r="P244">
        <f t="shared" si="960"/>
        <v>-0.58991596638655497</v>
      </c>
      <c r="Q244">
        <f t="shared" si="961"/>
        <v>-2570601.4862521025</v>
      </c>
      <c r="R244">
        <f t="shared" si="962"/>
        <v>-58069478.264668711</v>
      </c>
      <c r="S244">
        <f t="shared" si="963"/>
        <v>-580.69478264668714</v>
      </c>
      <c r="T244">
        <f t="shared" si="964"/>
        <v>-0.58069478264668717</v>
      </c>
    </row>
    <row r="245" spans="1:20" x14ac:dyDescent="0.25">
      <c r="A245" s="5">
        <v>44348</v>
      </c>
      <c r="B245">
        <v>0.76990000000000003</v>
      </c>
      <c r="C245">
        <v>0.87190000000000001</v>
      </c>
      <c r="D245">
        <v>0.73</v>
      </c>
      <c r="E245">
        <v>0.84719999999999995</v>
      </c>
      <c r="F245">
        <v>9463132.8100000005</v>
      </c>
      <c r="G245">
        <v>0</v>
      </c>
      <c r="L245" t="s">
        <v>8</v>
      </c>
      <c r="M245" t="s">
        <v>8</v>
      </c>
      <c r="N245" t="s">
        <v>7</v>
      </c>
      <c r="P245">
        <f t="shared" si="960"/>
        <v>0.65186751233262785</v>
      </c>
      <c r="Q245">
        <f t="shared" si="961"/>
        <v>6168708.8437279705</v>
      </c>
      <c r="R245">
        <f t="shared" si="962"/>
        <v>-55498876.778416611</v>
      </c>
      <c r="S245">
        <f t="shared" si="963"/>
        <v>-554.98876778416616</v>
      </c>
      <c r="T245">
        <f t="shared" si="964"/>
        <v>-0.55498876778416617</v>
      </c>
    </row>
    <row r="246" spans="1:20" x14ac:dyDescent="0.25">
      <c r="A246" s="5">
        <v>44347</v>
      </c>
      <c r="B246">
        <v>0.73050000000000004</v>
      </c>
      <c r="C246">
        <v>0.78810000000000002</v>
      </c>
      <c r="D246">
        <v>0.68049999999999999</v>
      </c>
      <c r="E246">
        <v>0.76990000000000003</v>
      </c>
      <c r="F246">
        <v>4764756.29</v>
      </c>
      <c r="G246">
        <v>0</v>
      </c>
      <c r="L246" t="s">
        <v>8</v>
      </c>
      <c r="M246" t="s">
        <v>7</v>
      </c>
      <c r="N246" t="s">
        <v>7</v>
      </c>
      <c r="P246">
        <f t="shared" si="960"/>
        <v>0.66171003717472143</v>
      </c>
      <c r="Q246">
        <f t="shared" si="961"/>
        <v>3152887.061784388</v>
      </c>
      <c r="R246">
        <f t="shared" si="962"/>
        <v>-61667585.62214458</v>
      </c>
      <c r="S246">
        <f t="shared" si="963"/>
        <v>-616.67585622144577</v>
      </c>
      <c r="T246">
        <f t="shared" si="964"/>
        <v>-0.61667585622144572</v>
      </c>
    </row>
    <row r="247" spans="1:20" x14ac:dyDescent="0.25">
      <c r="A247" s="5">
        <v>44346</v>
      </c>
      <c r="B247">
        <v>0.74350000000000005</v>
      </c>
      <c r="C247">
        <v>0.77939999999999998</v>
      </c>
      <c r="D247">
        <v>0.67879999999999996</v>
      </c>
      <c r="E247">
        <v>0.73370000000000002</v>
      </c>
      <c r="F247">
        <v>5787137.8099999996</v>
      </c>
      <c r="G247">
        <v>0</v>
      </c>
      <c r="L247" t="s">
        <v>7</v>
      </c>
      <c r="M247" t="s">
        <v>7</v>
      </c>
      <c r="N247" t="s">
        <v>7</v>
      </c>
      <c r="P247">
        <f t="shared" si="960"/>
        <v>9.145129224652182E-2</v>
      </c>
      <c r="Q247">
        <f t="shared" si="961"/>
        <v>529241.23113320628</v>
      </c>
      <c r="R247">
        <f t="shared" si="962"/>
        <v>-64820472.683928967</v>
      </c>
      <c r="S247">
        <f t="shared" si="963"/>
        <v>-648.20472683928972</v>
      </c>
      <c r="T247">
        <f t="shared" si="964"/>
        <v>-0.64820472683928976</v>
      </c>
    </row>
    <row r="248" spans="1:20" x14ac:dyDescent="0.25">
      <c r="A248" s="5">
        <v>44345</v>
      </c>
      <c r="B248">
        <v>0.84360000000000002</v>
      </c>
      <c r="C248">
        <v>0.96</v>
      </c>
      <c r="D248">
        <v>0.70150000000000001</v>
      </c>
      <c r="E248">
        <v>0.7399</v>
      </c>
      <c r="F248">
        <v>16255164.310000001</v>
      </c>
      <c r="G248">
        <v>0</v>
      </c>
      <c r="L248" t="s">
        <v>7</v>
      </c>
      <c r="M248" t="s">
        <v>7</v>
      </c>
      <c r="N248" t="s">
        <v>8</v>
      </c>
      <c r="P248">
        <f t="shared" si="960"/>
        <v>-0.70290135396518383</v>
      </c>
      <c r="Q248">
        <f t="shared" si="961"/>
        <v>-11425777.002425533</v>
      </c>
      <c r="R248">
        <f t="shared" si="962"/>
        <v>-65349713.915062174</v>
      </c>
      <c r="S248">
        <f t="shared" si="963"/>
        <v>-653.49713915062171</v>
      </c>
      <c r="T248">
        <f t="shared" si="964"/>
        <v>-0.65349713915062169</v>
      </c>
    </row>
    <row r="249" spans="1:20" x14ac:dyDescent="0.25">
      <c r="A249" s="5">
        <v>44344</v>
      </c>
      <c r="B249">
        <v>0.69540000000000002</v>
      </c>
      <c r="C249">
        <v>0.98</v>
      </c>
      <c r="D249">
        <v>0.68149999999999999</v>
      </c>
      <c r="E249">
        <v>0.84360000000000002</v>
      </c>
      <c r="F249">
        <v>39943664.649999999</v>
      </c>
      <c r="G249">
        <v>0</v>
      </c>
      <c r="L249" t="s">
        <v>8</v>
      </c>
      <c r="M249" t="s">
        <v>8</v>
      </c>
      <c r="N249" t="s">
        <v>8</v>
      </c>
      <c r="P249">
        <f t="shared" si="960"/>
        <v>8.6097152428810914E-2</v>
      </c>
      <c r="Q249">
        <f t="shared" si="961"/>
        <v>3439035.7839363562</v>
      </c>
      <c r="R249">
        <f t="shared" si="962"/>
        <v>-53923936.912636645</v>
      </c>
      <c r="S249">
        <f t="shared" si="963"/>
        <v>-539.23936912636646</v>
      </c>
      <c r="T249">
        <f t="shared" si="964"/>
        <v>-0.5392393691263665</v>
      </c>
    </row>
    <row r="250" spans="1:20" x14ac:dyDescent="0.25">
      <c r="A250" s="5">
        <v>44343</v>
      </c>
      <c r="B250">
        <v>0.73380000000000001</v>
      </c>
      <c r="C250">
        <v>0.75270000000000004</v>
      </c>
      <c r="D250">
        <v>0.64749999999999996</v>
      </c>
      <c r="E250">
        <v>0.69610000000000005</v>
      </c>
      <c r="F250">
        <v>3002062.88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-7.6045627376424813E-2</v>
      </c>
      <c r="Q250">
        <f t="shared" si="961"/>
        <v>-228293.75513307672</v>
      </c>
      <c r="R250">
        <f t="shared" si="962"/>
        <v>-57362972.696573004</v>
      </c>
      <c r="S250">
        <f t="shared" si="963"/>
        <v>-573.62972696573001</v>
      </c>
      <c r="T250">
        <f t="shared" si="964"/>
        <v>-0.57362972696573</v>
      </c>
    </row>
    <row r="251" spans="1:20" x14ac:dyDescent="0.25">
      <c r="A251" s="5">
        <v>44342</v>
      </c>
      <c r="B251">
        <v>0.70940000000000003</v>
      </c>
      <c r="C251">
        <v>0.77</v>
      </c>
      <c r="D251">
        <v>0.66769999999999996</v>
      </c>
      <c r="E251">
        <v>0.73380000000000001</v>
      </c>
      <c r="F251">
        <v>4751656.33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0.2922776148582602</v>
      </c>
      <c r="Q251">
        <f t="shared" si="961"/>
        <v>1388802.7787585543</v>
      </c>
      <c r="R251">
        <f t="shared" si="962"/>
        <v>-57134678.941439927</v>
      </c>
      <c r="S251">
        <f t="shared" si="963"/>
        <v>-571.34678941439927</v>
      </c>
      <c r="T251">
        <f t="shared" si="964"/>
        <v>-0.57134678941439931</v>
      </c>
    </row>
    <row r="252" spans="1:20" x14ac:dyDescent="0.25">
      <c r="A252" s="5">
        <v>44341</v>
      </c>
      <c r="B252">
        <v>0.68149999999999999</v>
      </c>
      <c r="C252">
        <v>0.74519999999999997</v>
      </c>
      <c r="D252">
        <v>0.57950000000000002</v>
      </c>
      <c r="E252">
        <v>0.70750000000000002</v>
      </c>
      <c r="F252">
        <v>6750985.3499999996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0.54496077248038666</v>
      </c>
      <c r="Q252">
        <f t="shared" si="961"/>
        <v>3679022.1913397731</v>
      </c>
      <c r="R252">
        <f t="shared" si="962"/>
        <v>-58523481.720198482</v>
      </c>
      <c r="S252">
        <f t="shared" si="963"/>
        <v>-585.23481720198481</v>
      </c>
      <c r="T252">
        <f t="shared" si="964"/>
        <v>-0.58523481720198478</v>
      </c>
    </row>
    <row r="253" spans="1:20" x14ac:dyDescent="0.25">
      <c r="A253" s="5">
        <v>44340</v>
      </c>
      <c r="B253">
        <v>0.56169999999999998</v>
      </c>
      <c r="C253">
        <v>0.69989999999999997</v>
      </c>
      <c r="D253">
        <v>0.53869999999999996</v>
      </c>
      <c r="E253">
        <v>0.68140000000000001</v>
      </c>
      <c r="F253">
        <v>4367484.26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0.77047146401985167</v>
      </c>
      <c r="Q253">
        <f t="shared" si="961"/>
        <v>3365021.9918858581</v>
      </c>
      <c r="R253">
        <f t="shared" si="962"/>
        <v>-62202503.911538258</v>
      </c>
      <c r="S253">
        <f t="shared" si="963"/>
        <v>-622.02503911538258</v>
      </c>
      <c r="T253">
        <f t="shared" si="964"/>
        <v>-0.62202503911538254</v>
      </c>
    </row>
    <row r="254" spans="1:20" x14ac:dyDescent="0.25">
      <c r="A254" s="5">
        <v>44339</v>
      </c>
      <c r="B254">
        <v>0.71319999999999995</v>
      </c>
      <c r="C254">
        <v>0.73080000000000001</v>
      </c>
      <c r="D254">
        <v>0.45669999999999999</v>
      </c>
      <c r="E254">
        <v>0.55940000000000001</v>
      </c>
      <c r="F254">
        <v>6141891.6699999999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-0.25063845311929944</v>
      </c>
      <c r="Q254">
        <f t="shared" si="961"/>
        <v>-1539394.2273951108</v>
      </c>
      <c r="R254">
        <f t="shared" si="962"/>
        <v>-65567525.903424114</v>
      </c>
      <c r="S254">
        <f t="shared" si="963"/>
        <v>-655.67525903424109</v>
      </c>
      <c r="T254">
        <f t="shared" si="964"/>
        <v>-0.65567525903424106</v>
      </c>
    </row>
    <row r="255" spans="1:20" x14ac:dyDescent="0.25">
      <c r="A255" s="5">
        <v>44338</v>
      </c>
      <c r="B255">
        <v>0.77800000000000002</v>
      </c>
      <c r="C255">
        <v>0.78569999999999995</v>
      </c>
      <c r="D255">
        <v>0.66100000000000003</v>
      </c>
      <c r="E255">
        <v>0.71319999999999995</v>
      </c>
      <c r="F255">
        <v>4094701.44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-0.16279069767441948</v>
      </c>
      <c r="Q255">
        <f t="shared" si="961"/>
        <v>-666579.30418605008</v>
      </c>
      <c r="R255">
        <f t="shared" si="962"/>
        <v>-64028131.676029004</v>
      </c>
      <c r="S255">
        <f t="shared" si="963"/>
        <v>-640.28131676029</v>
      </c>
      <c r="T255">
        <f t="shared" si="964"/>
        <v>-0.64028131676028999</v>
      </c>
    </row>
    <row r="256" spans="1:20" x14ac:dyDescent="0.25">
      <c r="A256" s="5">
        <v>44337</v>
      </c>
      <c r="B256">
        <v>0.97130000000000005</v>
      </c>
      <c r="C256">
        <v>1.0157</v>
      </c>
      <c r="D256">
        <v>0.67290000000000005</v>
      </c>
      <c r="E256">
        <v>0.77929999999999999</v>
      </c>
      <c r="F256">
        <v>6692298.4800000004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-0.37922987164527455</v>
      </c>
      <c r="Q256">
        <f t="shared" si="961"/>
        <v>-2537919.4935822664</v>
      </c>
      <c r="R256">
        <f t="shared" si="962"/>
        <v>-63361552.371842951</v>
      </c>
      <c r="S256">
        <f t="shared" si="963"/>
        <v>-633.61552371842947</v>
      </c>
      <c r="T256">
        <f t="shared" si="964"/>
        <v>-0.63361552371842944</v>
      </c>
    </row>
    <row r="257" spans="1:20" x14ac:dyDescent="0.25">
      <c r="A257" s="5">
        <v>44336</v>
      </c>
      <c r="B257">
        <v>0.83609999999999995</v>
      </c>
      <c r="C257">
        <v>1.0334000000000001</v>
      </c>
      <c r="D257">
        <v>0.75990000000000002</v>
      </c>
      <c r="E257">
        <v>0.97130000000000005</v>
      </c>
      <c r="F257">
        <v>8435486.0999999996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0.545886654478976</v>
      </c>
      <c r="Q257">
        <f t="shared" si="961"/>
        <v>4604819.2860329049</v>
      </c>
      <c r="R257">
        <f t="shared" si="962"/>
        <v>-60823632.878260687</v>
      </c>
      <c r="S257">
        <f t="shared" si="963"/>
        <v>-608.23632878260685</v>
      </c>
      <c r="T257">
        <f t="shared" si="964"/>
        <v>-0.60823632878260681</v>
      </c>
    </row>
    <row r="258" spans="1:20" x14ac:dyDescent="0.25">
      <c r="A258" s="5">
        <v>44335</v>
      </c>
      <c r="B258">
        <v>1.2989999999999999</v>
      </c>
      <c r="C258">
        <v>1.3291999999999999</v>
      </c>
      <c r="D258">
        <v>0.64639999999999997</v>
      </c>
      <c r="E258">
        <v>0.84040000000000004</v>
      </c>
      <c r="F258">
        <v>11322075.07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-0.4317516110134737</v>
      </c>
      <c r="Q258">
        <f t="shared" si="961"/>
        <v>-4888324.1514879884</v>
      </c>
      <c r="R258">
        <f t="shared" si="962"/>
        <v>-65428452.164293595</v>
      </c>
      <c r="S258">
        <f t="shared" si="963"/>
        <v>-654.28452164293594</v>
      </c>
      <c r="T258">
        <f t="shared" si="964"/>
        <v>-0.65428452164293593</v>
      </c>
    </row>
    <row r="259" spans="1:20" x14ac:dyDescent="0.25">
      <c r="A259" s="5">
        <v>44334</v>
      </c>
      <c r="B259">
        <v>1.3447</v>
      </c>
      <c r="C259">
        <v>1.4072</v>
      </c>
      <c r="D259">
        <v>1.2716000000000001</v>
      </c>
      <c r="E259">
        <v>1.2989999999999999</v>
      </c>
      <c r="F259">
        <v>4338193.1100000003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-0.59587020648967726</v>
      </c>
      <c r="Q259">
        <f t="shared" si="961"/>
        <v>-2585000.0242477953</v>
      </c>
      <c r="R259">
        <f t="shared" si="962"/>
        <v>-60540128.012805603</v>
      </c>
      <c r="S259">
        <f t="shared" si="963"/>
        <v>-605.40128012805599</v>
      </c>
      <c r="T259">
        <f t="shared" si="964"/>
        <v>-0.60540128012805594</v>
      </c>
    </row>
    <row r="260" spans="1:20" x14ac:dyDescent="0.25">
      <c r="A260" s="5">
        <v>44333</v>
      </c>
      <c r="B260">
        <v>1.4708000000000001</v>
      </c>
      <c r="C260">
        <v>1.4983</v>
      </c>
      <c r="D260">
        <v>1.2234</v>
      </c>
      <c r="E260">
        <v>1.3401000000000001</v>
      </c>
      <c r="F260">
        <v>7841806.8799999999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-0.15096398690432841</v>
      </c>
      <c r="Q260">
        <f t="shared" si="961"/>
        <v>-1183830.4311385925</v>
      </c>
      <c r="R260">
        <f t="shared" si="962"/>
        <v>-57955127.988557808</v>
      </c>
      <c r="S260">
        <f t="shared" si="963"/>
        <v>-579.55127988557808</v>
      </c>
      <c r="T260">
        <f t="shared" si="964"/>
        <v>-0.57955127988557809</v>
      </c>
    </row>
    <row r="261" spans="1:20" x14ac:dyDescent="0.25">
      <c r="A261" s="5">
        <v>44332</v>
      </c>
      <c r="B261">
        <v>1.2766999999999999</v>
      </c>
      <c r="C261">
        <v>1.55</v>
      </c>
      <c r="D261">
        <v>1.2629999999999999</v>
      </c>
      <c r="E261">
        <v>1.4691000000000001</v>
      </c>
      <c r="F261">
        <v>9115713.5500000007</v>
      </c>
      <c r="G261">
        <v>0</v>
      </c>
      <c r="L261" t="s">
        <v>8</v>
      </c>
      <c r="M261" t="s">
        <v>8</v>
      </c>
      <c r="N261" t="s">
        <v>7</v>
      </c>
      <c r="P261">
        <f t="shared" si="960"/>
        <v>0.4362369337979099</v>
      </c>
      <c r="Q261">
        <f t="shared" si="961"/>
        <v>3976610.9284320604</v>
      </c>
      <c r="R261">
        <f t="shared" si="962"/>
        <v>-56771297.557419218</v>
      </c>
      <c r="S261">
        <f t="shared" si="963"/>
        <v>-567.71297557419223</v>
      </c>
      <c r="T261">
        <f t="shared" si="964"/>
        <v>-0.5677129755741922</v>
      </c>
    </row>
    <row r="262" spans="1:20" x14ac:dyDescent="0.25">
      <c r="A262" s="5">
        <v>44331</v>
      </c>
      <c r="B262">
        <v>1.4359</v>
      </c>
      <c r="C262">
        <v>1.4555</v>
      </c>
      <c r="D262">
        <v>1.2665</v>
      </c>
      <c r="E262">
        <v>1.2745</v>
      </c>
      <c r="F262">
        <v>5139531.25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-0.91534391534391535</v>
      </c>
      <c r="Q262">
        <f t="shared" ref="Q262:Q325" si="966">F262*P262</f>
        <v>-4704438.6574074076</v>
      </c>
      <c r="R262">
        <f t="shared" ref="R262:R325" si="967">R263+Q262</f>
        <v>-60747908.48585128</v>
      </c>
      <c r="S262">
        <f t="shared" ref="S262:S325" si="968">R262/100000</f>
        <v>-607.47908485851281</v>
      </c>
      <c r="T262">
        <f t="shared" ref="T262:T325" si="969">S262/1000</f>
        <v>-0.60747908485851276</v>
      </c>
    </row>
    <row r="263" spans="1:20" x14ac:dyDescent="0.25">
      <c r="A263" s="5">
        <v>44330</v>
      </c>
      <c r="B263">
        <v>1.4533</v>
      </c>
      <c r="C263">
        <v>1.6</v>
      </c>
      <c r="D263">
        <v>1.3785000000000001</v>
      </c>
      <c r="E263">
        <v>1.4359</v>
      </c>
      <c r="F263">
        <v>6971980.2300000004</v>
      </c>
      <c r="G263">
        <v>0</v>
      </c>
      <c r="L263" t="s">
        <v>7</v>
      </c>
      <c r="M263" t="s">
        <v>8</v>
      </c>
      <c r="N263" t="s">
        <v>7</v>
      </c>
      <c r="P263">
        <f t="shared" si="965"/>
        <v>-0.4817155756207685</v>
      </c>
      <c r="Q263">
        <f t="shared" si="966"/>
        <v>-3358511.4697110681</v>
      </c>
      <c r="R263">
        <f t="shared" si="967"/>
        <v>-56043469.82844387</v>
      </c>
      <c r="S263">
        <f t="shared" si="968"/>
        <v>-560.4346982844387</v>
      </c>
      <c r="T263">
        <f t="shared" si="969"/>
        <v>-0.5604346982844387</v>
      </c>
    </row>
    <row r="264" spans="1:20" x14ac:dyDescent="0.25">
      <c r="A264" s="5">
        <v>44329</v>
      </c>
      <c r="B264">
        <v>1.2282</v>
      </c>
      <c r="C264">
        <v>1.63</v>
      </c>
      <c r="D264">
        <v>1.1559999999999999</v>
      </c>
      <c r="E264">
        <v>1.4533</v>
      </c>
      <c r="F264">
        <v>18376385.73</v>
      </c>
      <c r="G264">
        <v>0</v>
      </c>
      <c r="L264" t="s">
        <v>8</v>
      </c>
      <c r="M264" t="s">
        <v>7</v>
      </c>
      <c r="N264" t="s">
        <v>7</v>
      </c>
      <c r="P264">
        <f t="shared" si="965"/>
        <v>0.25443037974683602</v>
      </c>
      <c r="Q264">
        <f t="shared" si="966"/>
        <v>4675510.7996582389</v>
      </c>
      <c r="R264">
        <f t="shared" si="967"/>
        <v>-52684958.358732805</v>
      </c>
      <c r="S264">
        <f t="shared" si="968"/>
        <v>-526.84958358732808</v>
      </c>
      <c r="T264">
        <f t="shared" si="969"/>
        <v>-0.52684958358732803</v>
      </c>
    </row>
    <row r="265" spans="1:20" x14ac:dyDescent="0.25">
      <c r="A265" s="5">
        <v>44328</v>
      </c>
      <c r="B265">
        <v>1.3499000000000001</v>
      </c>
      <c r="C265">
        <v>1.524</v>
      </c>
      <c r="D265">
        <v>1.21</v>
      </c>
      <c r="E265">
        <v>1.2327999999999999</v>
      </c>
      <c r="F265">
        <v>7976374.8099999996</v>
      </c>
      <c r="G265">
        <v>0</v>
      </c>
      <c r="L265" t="s">
        <v>8</v>
      </c>
      <c r="M265" t="s">
        <v>7</v>
      </c>
      <c r="N265" t="s">
        <v>8</v>
      </c>
      <c r="P265">
        <f t="shared" si="965"/>
        <v>-0.85477707006369474</v>
      </c>
      <c r="Q265">
        <f t="shared" si="966"/>
        <v>-6818022.2898216592</v>
      </c>
      <c r="R265">
        <f t="shared" si="967"/>
        <v>-57360469.158391044</v>
      </c>
      <c r="S265">
        <f t="shared" si="968"/>
        <v>-573.60469158391038</v>
      </c>
      <c r="T265">
        <f t="shared" si="969"/>
        <v>-0.57360469158391036</v>
      </c>
    </row>
    <row r="266" spans="1:20" x14ac:dyDescent="0.25">
      <c r="A266" s="5">
        <v>44327</v>
      </c>
      <c r="B266">
        <v>1.2947</v>
      </c>
      <c r="C266">
        <v>1.3943000000000001</v>
      </c>
      <c r="D266">
        <v>1.29</v>
      </c>
      <c r="E266">
        <v>1.3499000000000001</v>
      </c>
      <c r="F266">
        <v>4763179.72</v>
      </c>
      <c r="G266">
        <v>0</v>
      </c>
      <c r="L266" t="s">
        <v>8</v>
      </c>
      <c r="M266" t="s">
        <v>7</v>
      </c>
      <c r="N266" t="s">
        <v>8</v>
      </c>
      <c r="P266">
        <f t="shared" si="965"/>
        <v>0.14860977948226328</v>
      </c>
      <c r="Q266">
        <f t="shared" si="966"/>
        <v>707855.08782358852</v>
      </c>
      <c r="R266">
        <f t="shared" si="967"/>
        <v>-50542446.868569382</v>
      </c>
      <c r="S266">
        <f t="shared" si="968"/>
        <v>-505.4244686856938</v>
      </c>
      <c r="T266">
        <f t="shared" si="969"/>
        <v>-0.5054244686856938</v>
      </c>
    </row>
    <row r="267" spans="1:20" x14ac:dyDescent="0.25">
      <c r="A267" s="5">
        <v>44326</v>
      </c>
      <c r="B267">
        <v>1.5125999999999999</v>
      </c>
      <c r="C267">
        <v>1.5491999999999999</v>
      </c>
      <c r="D267">
        <v>1.2235</v>
      </c>
      <c r="E267">
        <v>1.3051999999999999</v>
      </c>
      <c r="F267">
        <v>5160506.66</v>
      </c>
      <c r="G267">
        <v>0</v>
      </c>
      <c r="L267" t="s">
        <v>7</v>
      </c>
      <c r="M267" t="s">
        <v>7</v>
      </c>
      <c r="N267" t="s">
        <v>8</v>
      </c>
      <c r="P267">
        <f t="shared" si="965"/>
        <v>-0.49831132944427442</v>
      </c>
      <c r="Q267">
        <f t="shared" si="966"/>
        <v>-2571538.9343506321</v>
      </c>
      <c r="R267">
        <f t="shared" si="967"/>
        <v>-51250301.956392974</v>
      </c>
      <c r="S267">
        <f t="shared" si="968"/>
        <v>-512.50301956392968</v>
      </c>
      <c r="T267">
        <f t="shared" si="969"/>
        <v>-0.51250301956392963</v>
      </c>
    </row>
    <row r="268" spans="1:20" x14ac:dyDescent="0.25">
      <c r="A268" s="5">
        <v>44325</v>
      </c>
      <c r="B268">
        <v>1.5566</v>
      </c>
      <c r="C268">
        <v>1.5844</v>
      </c>
      <c r="D268">
        <v>1.4314</v>
      </c>
      <c r="E268">
        <v>1.5119</v>
      </c>
      <c r="F268">
        <v>3498613.45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5.2287581699346442E-2</v>
      </c>
      <c r="Q268">
        <f t="shared" si="966"/>
        <v>182934.03660130734</v>
      </c>
      <c r="R268">
        <f t="shared" si="967"/>
        <v>-48678763.022042342</v>
      </c>
      <c r="S268">
        <f t="shared" si="968"/>
        <v>-486.78763022042341</v>
      </c>
      <c r="T268">
        <f t="shared" si="969"/>
        <v>-0.48678763022042343</v>
      </c>
    </row>
    <row r="269" spans="1:20" x14ac:dyDescent="0.25">
      <c r="A269" s="5">
        <v>44324</v>
      </c>
      <c r="B269">
        <v>1.58</v>
      </c>
      <c r="C269">
        <v>1.7269000000000001</v>
      </c>
      <c r="D269">
        <v>1.5172000000000001</v>
      </c>
      <c r="E269">
        <v>1.56</v>
      </c>
      <c r="F269">
        <v>6475755.8499999996</v>
      </c>
      <c r="G269">
        <v>0</v>
      </c>
      <c r="L269" t="s">
        <v>8</v>
      </c>
      <c r="M269" t="s">
        <v>8</v>
      </c>
      <c r="N269" t="s">
        <v>8</v>
      </c>
      <c r="P269">
        <f t="shared" si="965"/>
        <v>-0.5917978063900815</v>
      </c>
      <c r="Q269">
        <f t="shared" si="966"/>
        <v>-3832338.1067477376</v>
      </c>
      <c r="R269">
        <f t="shared" si="967"/>
        <v>-48861697.058643647</v>
      </c>
      <c r="S269">
        <f t="shared" si="968"/>
        <v>-488.61697058643648</v>
      </c>
      <c r="T269">
        <f t="shared" si="969"/>
        <v>-0.48861697058643649</v>
      </c>
    </row>
    <row r="270" spans="1:20" x14ac:dyDescent="0.25">
      <c r="A270" s="5">
        <v>44323</v>
      </c>
      <c r="B270">
        <v>1.4824999999999999</v>
      </c>
      <c r="C270">
        <v>1.68</v>
      </c>
      <c r="D270">
        <v>1.4125000000000001</v>
      </c>
      <c r="E270">
        <v>1.5790999999999999</v>
      </c>
      <c r="F270">
        <v>8599888.9900000002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0.24560747663551366</v>
      </c>
      <c r="Q270">
        <f t="shared" si="966"/>
        <v>2112197.034179436</v>
      </c>
      <c r="R270">
        <f t="shared" si="967"/>
        <v>-45029358.951895908</v>
      </c>
      <c r="S270">
        <f t="shared" si="968"/>
        <v>-450.2935895189591</v>
      </c>
      <c r="T270">
        <f t="shared" si="969"/>
        <v>-0.45029358951895909</v>
      </c>
    </row>
    <row r="271" spans="1:20" x14ac:dyDescent="0.25">
      <c r="A271" s="5">
        <v>44322</v>
      </c>
      <c r="B271">
        <v>1.5032000000000001</v>
      </c>
      <c r="C271">
        <v>1.5680000000000001</v>
      </c>
      <c r="D271">
        <v>1.42</v>
      </c>
      <c r="E271">
        <v>1.4816</v>
      </c>
      <c r="F271">
        <v>4953601.32</v>
      </c>
      <c r="G271">
        <v>0</v>
      </c>
      <c r="L271" t="s">
        <v>8</v>
      </c>
      <c r="M271" t="s">
        <v>7</v>
      </c>
      <c r="N271" t="s">
        <v>8</v>
      </c>
      <c r="P271">
        <f t="shared" si="965"/>
        <v>-0.16756756756756697</v>
      </c>
      <c r="Q271">
        <f t="shared" si="966"/>
        <v>-830062.92389188893</v>
      </c>
      <c r="R271">
        <f t="shared" si="967"/>
        <v>-47141555.986075342</v>
      </c>
      <c r="S271">
        <f t="shared" si="968"/>
        <v>-471.41555986075343</v>
      </c>
      <c r="T271">
        <f t="shared" si="969"/>
        <v>-0.47141555986075345</v>
      </c>
    </row>
    <row r="272" spans="1:20" x14ac:dyDescent="0.25">
      <c r="A272" s="5">
        <v>44321</v>
      </c>
      <c r="B272">
        <v>1.3866000000000001</v>
      </c>
      <c r="C272">
        <v>1.5447</v>
      </c>
      <c r="D272">
        <v>1.3732</v>
      </c>
      <c r="E272">
        <v>1.5032000000000001</v>
      </c>
      <c r="F272">
        <v>4386975.51</v>
      </c>
      <c r="G272">
        <v>0</v>
      </c>
      <c r="L272" t="s">
        <v>8</v>
      </c>
      <c r="M272" t="s">
        <v>7</v>
      </c>
      <c r="N272" t="s">
        <v>8</v>
      </c>
      <c r="P272">
        <f t="shared" si="965"/>
        <v>0.51603498542274195</v>
      </c>
      <c r="Q272">
        <f t="shared" si="966"/>
        <v>2263832.843352776</v>
      </c>
      <c r="R272">
        <f t="shared" si="967"/>
        <v>-46311493.062183455</v>
      </c>
      <c r="S272">
        <f t="shared" si="968"/>
        <v>-463.11493062183456</v>
      </c>
      <c r="T272">
        <f t="shared" si="969"/>
        <v>-0.46311493062183456</v>
      </c>
    </row>
    <row r="273" spans="1:20" x14ac:dyDescent="0.25">
      <c r="A273" s="5">
        <v>44320</v>
      </c>
      <c r="B273">
        <v>1.5142</v>
      </c>
      <c r="C273">
        <v>1.583</v>
      </c>
      <c r="D273">
        <v>1.3681000000000001</v>
      </c>
      <c r="E273">
        <v>1.3872</v>
      </c>
      <c r="F273">
        <v>7900269.5</v>
      </c>
      <c r="G273">
        <v>0</v>
      </c>
      <c r="L273" t="s">
        <v>7</v>
      </c>
      <c r="M273" t="s">
        <v>7</v>
      </c>
      <c r="N273" t="s">
        <v>8</v>
      </c>
      <c r="P273">
        <f t="shared" si="965"/>
        <v>-0.82224290367612929</v>
      </c>
      <c r="Q273">
        <f t="shared" si="966"/>
        <v>-6495940.5335039617</v>
      </c>
      <c r="R273">
        <f t="shared" si="967"/>
        <v>-48575325.905536234</v>
      </c>
      <c r="S273">
        <f t="shared" si="968"/>
        <v>-485.75325905536232</v>
      </c>
      <c r="T273">
        <f t="shared" si="969"/>
        <v>-0.48575325905536232</v>
      </c>
    </row>
    <row r="274" spans="1:20" x14ac:dyDescent="0.25">
      <c r="A274" s="5">
        <v>44319</v>
      </c>
      <c r="B274">
        <v>1.4712000000000001</v>
      </c>
      <c r="C274">
        <v>1.6789000000000001</v>
      </c>
      <c r="D274">
        <v>1.4644999999999999</v>
      </c>
      <c r="E274">
        <v>1.5161</v>
      </c>
      <c r="F274">
        <v>8477788.0199999996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-0.51865671641790989</v>
      </c>
      <c r="Q274">
        <f t="shared" si="966"/>
        <v>-4397061.6969402935</v>
      </c>
      <c r="R274">
        <f t="shared" si="967"/>
        <v>-42079385.37203227</v>
      </c>
      <c r="S274">
        <f t="shared" si="968"/>
        <v>-420.79385372032272</v>
      </c>
      <c r="T274">
        <f t="shared" si="969"/>
        <v>-0.42079385372032274</v>
      </c>
    </row>
    <row r="275" spans="1:20" x14ac:dyDescent="0.25">
      <c r="A275" s="5">
        <v>44318</v>
      </c>
      <c r="B275">
        <v>1.4356</v>
      </c>
      <c r="C275">
        <v>1.5690999999999999</v>
      </c>
      <c r="D275">
        <v>1.3801000000000001</v>
      </c>
      <c r="E275">
        <v>1.4730000000000001</v>
      </c>
      <c r="F275">
        <v>9669457.0600000005</v>
      </c>
      <c r="G275">
        <v>0</v>
      </c>
      <c r="L275" t="s">
        <v>8</v>
      </c>
      <c r="M275" t="s">
        <v>8</v>
      </c>
      <c r="N275" t="s">
        <v>8</v>
      </c>
      <c r="P275">
        <f t="shared" si="965"/>
        <v>-1.6931216931216256E-2</v>
      </c>
      <c r="Q275">
        <f t="shared" si="966"/>
        <v>-163715.67508994057</v>
      </c>
      <c r="R275">
        <f t="shared" si="967"/>
        <v>-37682323.675091974</v>
      </c>
      <c r="S275">
        <f t="shared" si="968"/>
        <v>-376.82323675091976</v>
      </c>
      <c r="T275">
        <f t="shared" si="969"/>
        <v>-0.37682323675091978</v>
      </c>
    </row>
    <row r="276" spans="1:20" x14ac:dyDescent="0.25">
      <c r="A276" s="5">
        <v>44317</v>
      </c>
      <c r="B276">
        <v>1.3118000000000001</v>
      </c>
      <c r="C276">
        <v>1.5</v>
      </c>
      <c r="D276">
        <v>1.3046</v>
      </c>
      <c r="E276">
        <v>1.4369000000000001</v>
      </c>
      <c r="F276">
        <v>10140830.300000001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0.35414534288638766</v>
      </c>
      <c r="Q276">
        <f t="shared" si="966"/>
        <v>3591327.8237461699</v>
      </c>
      <c r="R276">
        <f t="shared" si="967"/>
        <v>-37518608.000002034</v>
      </c>
      <c r="S276">
        <f t="shared" si="968"/>
        <v>-375.18608000002035</v>
      </c>
      <c r="T276">
        <f t="shared" si="969"/>
        <v>-0.37518608000002035</v>
      </c>
    </row>
    <row r="277" spans="1:20" x14ac:dyDescent="0.25">
      <c r="A277" s="5">
        <v>44316</v>
      </c>
      <c r="B277">
        <v>1.3108</v>
      </c>
      <c r="C277">
        <v>1.347</v>
      </c>
      <c r="D277">
        <v>1.28</v>
      </c>
      <c r="E277">
        <v>1.3121</v>
      </c>
      <c r="F277">
        <v>5279539.58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-4.1791044776118148E-2</v>
      </c>
      <c r="Q277">
        <f t="shared" si="966"/>
        <v>-220637.47498506799</v>
      </c>
      <c r="R277">
        <f t="shared" si="967"/>
        <v>-41109935.823748201</v>
      </c>
      <c r="S277">
        <f t="shared" si="968"/>
        <v>-411.09935823748202</v>
      </c>
      <c r="T277">
        <f t="shared" si="969"/>
        <v>-0.411099358237482</v>
      </c>
    </row>
    <row r="278" spans="1:20" x14ac:dyDescent="0.25">
      <c r="A278" s="5">
        <v>44315</v>
      </c>
      <c r="B278">
        <v>1.2715000000000001</v>
      </c>
      <c r="C278">
        <v>1.345</v>
      </c>
      <c r="D278">
        <v>1.2</v>
      </c>
      <c r="E278">
        <v>1.3103</v>
      </c>
      <c r="F278">
        <v>9690351.5500000007</v>
      </c>
      <c r="G278">
        <v>0</v>
      </c>
      <c r="L278" t="s">
        <v>8</v>
      </c>
      <c r="M278" t="s">
        <v>8</v>
      </c>
      <c r="N278" t="s">
        <v>8</v>
      </c>
      <c r="P278">
        <f t="shared" si="965"/>
        <v>0.52137931034482832</v>
      </c>
      <c r="Q278">
        <f t="shared" si="966"/>
        <v>5052348.8081379384</v>
      </c>
      <c r="R278">
        <f t="shared" si="967"/>
        <v>-40889298.348763131</v>
      </c>
      <c r="S278">
        <f t="shared" si="968"/>
        <v>-408.89298348763128</v>
      </c>
      <c r="T278">
        <f t="shared" si="969"/>
        <v>-0.40889298348763126</v>
      </c>
    </row>
    <row r="279" spans="1:20" x14ac:dyDescent="0.25">
      <c r="A279" s="5">
        <v>44314</v>
      </c>
      <c r="B279">
        <v>1.3520000000000001</v>
      </c>
      <c r="C279">
        <v>1.3871</v>
      </c>
      <c r="D279">
        <v>1.2030000000000001</v>
      </c>
      <c r="E279">
        <v>1.2715000000000001</v>
      </c>
      <c r="F279">
        <v>6094968.4699999997</v>
      </c>
      <c r="G279">
        <v>0</v>
      </c>
      <c r="L279" t="s">
        <v>7</v>
      </c>
      <c r="M279" t="s">
        <v>8</v>
      </c>
      <c r="N279" t="s">
        <v>8</v>
      </c>
      <c r="P279">
        <f t="shared" si="965"/>
        <v>-0.25583921781640379</v>
      </c>
      <c r="Q279">
        <f t="shared" si="966"/>
        <v>-1559331.9659804432</v>
      </c>
      <c r="R279">
        <f t="shared" si="967"/>
        <v>-45941647.156901069</v>
      </c>
      <c r="S279">
        <f t="shared" si="968"/>
        <v>-459.4164715690107</v>
      </c>
      <c r="T279">
        <f t="shared" si="969"/>
        <v>-0.45941647156901072</v>
      </c>
    </row>
    <row r="280" spans="1:20" x14ac:dyDescent="0.25">
      <c r="A280" s="5">
        <v>44313</v>
      </c>
      <c r="B280">
        <v>1.3111999999999999</v>
      </c>
      <c r="C280">
        <v>1.405</v>
      </c>
      <c r="D280">
        <v>1.2762</v>
      </c>
      <c r="E280">
        <v>1.3521000000000001</v>
      </c>
      <c r="F280">
        <v>6114204.5999999996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0.17857142857142955</v>
      </c>
      <c r="Q280">
        <f t="shared" si="966"/>
        <v>1091822.2500000058</v>
      </c>
      <c r="R280">
        <f t="shared" si="967"/>
        <v>-44382315.190920629</v>
      </c>
      <c r="S280">
        <f t="shared" si="968"/>
        <v>-443.82315190920627</v>
      </c>
      <c r="T280">
        <f t="shared" si="969"/>
        <v>-0.44382315190920629</v>
      </c>
    </row>
    <row r="281" spans="1:20" x14ac:dyDescent="0.25">
      <c r="A281" s="5">
        <v>44312</v>
      </c>
      <c r="B281">
        <v>1.0805</v>
      </c>
      <c r="C281">
        <v>1.3978999999999999</v>
      </c>
      <c r="D281">
        <v>1.0749</v>
      </c>
      <c r="E281">
        <v>1.3110999999999999</v>
      </c>
      <c r="F281">
        <v>7829601.9400000004</v>
      </c>
      <c r="G281">
        <v>0</v>
      </c>
      <c r="L281" t="s">
        <v>8</v>
      </c>
      <c r="M281" t="s">
        <v>8</v>
      </c>
      <c r="N281" t="s">
        <v>8</v>
      </c>
      <c r="P281">
        <f t="shared" si="965"/>
        <v>0.46253869969040246</v>
      </c>
      <c r="Q281">
        <f t="shared" si="966"/>
        <v>3621493.9004210527</v>
      </c>
      <c r="R281">
        <f t="shared" si="967"/>
        <v>-45474137.440920636</v>
      </c>
      <c r="S281">
        <f t="shared" si="968"/>
        <v>-454.74137440920634</v>
      </c>
      <c r="T281">
        <f t="shared" si="969"/>
        <v>-0.45474137440920637</v>
      </c>
    </row>
    <row r="282" spans="1:20" x14ac:dyDescent="0.25">
      <c r="A282" s="5">
        <v>44311</v>
      </c>
      <c r="B282">
        <v>1.0667</v>
      </c>
      <c r="C282">
        <v>1.2190000000000001</v>
      </c>
      <c r="D282">
        <v>1.0138</v>
      </c>
      <c r="E282">
        <v>1.0801000000000001</v>
      </c>
      <c r="F282">
        <v>5567946.29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-0.35380116959064317</v>
      </c>
      <c r="Q282">
        <f t="shared" si="966"/>
        <v>-1969945.9096198825</v>
      </c>
      <c r="R282">
        <f t="shared" si="967"/>
        <v>-49095631.341341689</v>
      </c>
      <c r="S282">
        <f t="shared" si="968"/>
        <v>-490.95631341341686</v>
      </c>
      <c r="T282">
        <f t="shared" si="969"/>
        <v>-0.49095631341341689</v>
      </c>
    </row>
    <row r="283" spans="1:20" x14ac:dyDescent="0.25">
      <c r="A283" s="5">
        <v>44310</v>
      </c>
      <c r="B283">
        <v>1.25</v>
      </c>
      <c r="C283">
        <v>1.2535000000000001</v>
      </c>
      <c r="D283">
        <v>1.0474000000000001</v>
      </c>
      <c r="E283">
        <v>1.0739000000000001</v>
      </c>
      <c r="F283">
        <v>5759616.6100000003</v>
      </c>
      <c r="G283">
        <v>0</v>
      </c>
      <c r="L283" t="s">
        <v>8</v>
      </c>
      <c r="M283" t="s">
        <v>8</v>
      </c>
      <c r="N283" t="s">
        <v>7</v>
      </c>
      <c r="P283">
        <f t="shared" si="965"/>
        <v>-0.74284327996118416</v>
      </c>
      <c r="Q283">
        <f t="shared" si="966"/>
        <v>-4278492.4938913165</v>
      </c>
      <c r="R283">
        <f t="shared" si="967"/>
        <v>-47125685.431721807</v>
      </c>
      <c r="S283">
        <f t="shared" si="968"/>
        <v>-471.25685431721809</v>
      </c>
      <c r="T283">
        <f t="shared" si="969"/>
        <v>-0.47125685431721809</v>
      </c>
    </row>
    <row r="284" spans="1:20" x14ac:dyDescent="0.25">
      <c r="A284" s="5">
        <v>44309</v>
      </c>
      <c r="B284">
        <v>1.4392</v>
      </c>
      <c r="C284">
        <v>1.4467000000000001</v>
      </c>
      <c r="D284">
        <v>0.98499999999999999</v>
      </c>
      <c r="E284">
        <v>1.25</v>
      </c>
      <c r="F284">
        <v>14096216.720000001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0.14793155728828222</v>
      </c>
      <c r="Q284">
        <f t="shared" si="966"/>
        <v>2085275.2912627219</v>
      </c>
      <c r="R284">
        <f t="shared" si="967"/>
        <v>-42847192.937830493</v>
      </c>
      <c r="S284">
        <f t="shared" si="968"/>
        <v>-428.47192937830494</v>
      </c>
      <c r="T284">
        <f t="shared" si="969"/>
        <v>-0.42847192937830492</v>
      </c>
    </row>
    <row r="285" spans="1:20" x14ac:dyDescent="0.25">
      <c r="A285" s="5">
        <v>44308</v>
      </c>
      <c r="B285">
        <v>1.4890000000000001</v>
      </c>
      <c r="C285">
        <v>1.7050000000000001</v>
      </c>
      <c r="D285">
        <v>1.3888</v>
      </c>
      <c r="E285">
        <v>1.4397</v>
      </c>
      <c r="F285">
        <v>8896792.8599999994</v>
      </c>
      <c r="G285">
        <v>0</v>
      </c>
      <c r="L285" t="s">
        <v>7</v>
      </c>
      <c r="M285" t="s">
        <v>7</v>
      </c>
      <c r="N285" t="s">
        <v>7</v>
      </c>
      <c r="P285">
        <f t="shared" si="965"/>
        <v>-0.67805186590765376</v>
      </c>
      <c r="Q285">
        <f t="shared" si="966"/>
        <v>-6032486.9993168907</v>
      </c>
      <c r="R285">
        <f t="shared" si="967"/>
        <v>-44932468.229093216</v>
      </c>
      <c r="S285">
        <f t="shared" si="968"/>
        <v>-449.32468229093217</v>
      </c>
      <c r="T285">
        <f t="shared" si="969"/>
        <v>-0.4493246822909322</v>
      </c>
    </row>
    <row r="286" spans="1:20" x14ac:dyDescent="0.25">
      <c r="A286" s="5">
        <v>44307</v>
      </c>
      <c r="B286">
        <v>1.5314000000000001</v>
      </c>
      <c r="C286">
        <v>1.7</v>
      </c>
      <c r="D286">
        <v>1.4156</v>
      </c>
      <c r="E286">
        <v>1.4891000000000001</v>
      </c>
      <c r="F286">
        <v>6959346.9299999997</v>
      </c>
      <c r="G286">
        <v>0</v>
      </c>
      <c r="L286" t="s">
        <v>8</v>
      </c>
      <c r="M286" t="s">
        <v>8</v>
      </c>
      <c r="N286" t="s">
        <v>7</v>
      </c>
      <c r="P286">
        <f t="shared" si="965"/>
        <v>-0.48312236286919746</v>
      </c>
      <c r="Q286">
        <f t="shared" si="966"/>
        <v>-3362216.1328480951</v>
      </c>
      <c r="R286">
        <f t="shared" si="967"/>
        <v>-38899981.229776323</v>
      </c>
      <c r="S286">
        <f t="shared" si="968"/>
        <v>-388.99981229776324</v>
      </c>
      <c r="T286">
        <f t="shared" si="969"/>
        <v>-0.38899981229776326</v>
      </c>
    </row>
    <row r="287" spans="1:20" x14ac:dyDescent="0.25">
      <c r="A287" s="5">
        <v>44306</v>
      </c>
      <c r="B287">
        <v>1.5707</v>
      </c>
      <c r="C287">
        <v>1.5746</v>
      </c>
      <c r="D287">
        <v>1.3575999999999999</v>
      </c>
      <c r="E287">
        <v>1.5306</v>
      </c>
      <c r="F287">
        <v>5333896.1900000004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0.59447004608294907</v>
      </c>
      <c r="Q287">
        <f t="shared" si="966"/>
        <v>3170841.5138709666</v>
      </c>
      <c r="R287">
        <f t="shared" si="967"/>
        <v>-35537765.096928231</v>
      </c>
      <c r="S287">
        <f t="shared" si="968"/>
        <v>-355.37765096928234</v>
      </c>
      <c r="T287">
        <f t="shared" si="969"/>
        <v>-0.35537765096928237</v>
      </c>
    </row>
    <row r="288" spans="1:20" x14ac:dyDescent="0.25">
      <c r="A288" s="5">
        <v>44305</v>
      </c>
      <c r="B288">
        <v>1.55</v>
      </c>
      <c r="C288">
        <v>1.8301000000000001</v>
      </c>
      <c r="D288">
        <v>1.4505999999999999</v>
      </c>
      <c r="E288">
        <v>1.5708</v>
      </c>
      <c r="F288">
        <v>10887512.4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-0.36653491436100116</v>
      </c>
      <c r="Q288">
        <f t="shared" si="966"/>
        <v>-3990653.4251383385</v>
      </c>
      <c r="R288">
        <f t="shared" si="967"/>
        <v>-38708606.610799201</v>
      </c>
      <c r="S288">
        <f t="shared" si="968"/>
        <v>-387.086066107992</v>
      </c>
      <c r="T288">
        <f t="shared" si="969"/>
        <v>-0.38708606610799201</v>
      </c>
    </row>
    <row r="289" spans="1:20" x14ac:dyDescent="0.25">
      <c r="A289" s="5">
        <v>44304</v>
      </c>
      <c r="B289">
        <v>1.7245999999999999</v>
      </c>
      <c r="C289">
        <v>1.74</v>
      </c>
      <c r="D289">
        <v>1.3532</v>
      </c>
      <c r="E289">
        <v>1.55</v>
      </c>
      <c r="F289">
        <v>8014428.4100000001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1.7580144777663235E-2</v>
      </c>
      <c r="Q289">
        <f t="shared" si="966"/>
        <v>140894.81175801737</v>
      </c>
      <c r="R289">
        <f t="shared" si="967"/>
        <v>-34717953.185660861</v>
      </c>
      <c r="S289">
        <f t="shared" si="968"/>
        <v>-347.17953185660861</v>
      </c>
      <c r="T289">
        <f t="shared" si="969"/>
        <v>-0.3471795318566086</v>
      </c>
    </row>
    <row r="290" spans="1:20" x14ac:dyDescent="0.25">
      <c r="A290" s="5">
        <v>44303</v>
      </c>
      <c r="B290">
        <v>1.5620000000000001</v>
      </c>
      <c r="C290">
        <v>1.82</v>
      </c>
      <c r="D290">
        <v>1.5449999999999999</v>
      </c>
      <c r="E290">
        <v>1.722</v>
      </c>
      <c r="F290">
        <v>7322300.9100000001</v>
      </c>
      <c r="G290">
        <v>0</v>
      </c>
      <c r="L290" t="s">
        <v>8</v>
      </c>
      <c r="M290" t="s">
        <v>8</v>
      </c>
      <c r="N290" t="s">
        <v>8</v>
      </c>
      <c r="P290">
        <f t="shared" si="965"/>
        <v>0.28727272727272696</v>
      </c>
      <c r="Q290">
        <f t="shared" si="966"/>
        <v>2103497.3523272704</v>
      </c>
      <c r="R290">
        <f t="shared" si="967"/>
        <v>-34858847.99741888</v>
      </c>
      <c r="S290">
        <f t="shared" si="968"/>
        <v>-348.58847997418883</v>
      </c>
      <c r="T290">
        <f t="shared" si="969"/>
        <v>-0.34858847997418885</v>
      </c>
    </row>
    <row r="291" spans="1:20" x14ac:dyDescent="0.25">
      <c r="A291" s="5">
        <v>44302</v>
      </c>
      <c r="B291">
        <v>1.7162999999999999</v>
      </c>
      <c r="C291">
        <v>1.74</v>
      </c>
      <c r="D291">
        <v>1.51</v>
      </c>
      <c r="E291">
        <v>1.5666</v>
      </c>
      <c r="F291">
        <v>6855119.5599999996</v>
      </c>
      <c r="G291">
        <v>0</v>
      </c>
      <c r="L291" t="s">
        <v>7</v>
      </c>
      <c r="M291" t="s">
        <v>7</v>
      </c>
      <c r="N291" t="s">
        <v>8</v>
      </c>
      <c r="P291">
        <f t="shared" si="965"/>
        <v>-0.50782608695652187</v>
      </c>
      <c r="Q291">
        <f t="shared" si="966"/>
        <v>-3481208.5417739139</v>
      </c>
      <c r="R291">
        <f t="shared" si="967"/>
        <v>-36962345.349746153</v>
      </c>
      <c r="S291">
        <f t="shared" si="968"/>
        <v>-369.62345349746153</v>
      </c>
      <c r="T291">
        <f t="shared" si="969"/>
        <v>-0.36962345349746151</v>
      </c>
    </row>
    <row r="292" spans="1:20" x14ac:dyDescent="0.25">
      <c r="A292" s="5">
        <v>44301</v>
      </c>
      <c r="B292">
        <v>1.6777</v>
      </c>
      <c r="C292">
        <v>1.82</v>
      </c>
      <c r="D292">
        <v>1.6112</v>
      </c>
      <c r="E292">
        <v>1.7162999999999999</v>
      </c>
      <c r="F292">
        <v>15620893.609999999</v>
      </c>
      <c r="G292">
        <v>0</v>
      </c>
      <c r="L292" t="s">
        <v>7</v>
      </c>
      <c r="M292" t="s">
        <v>7</v>
      </c>
      <c r="N292" t="s">
        <v>8</v>
      </c>
      <c r="P292">
        <f t="shared" si="965"/>
        <v>6.704980842911136E-3</v>
      </c>
      <c r="Q292">
        <f t="shared" si="966"/>
        <v>104737.79240420298</v>
      </c>
      <c r="R292">
        <f t="shared" si="967"/>
        <v>-33481136.807972237</v>
      </c>
      <c r="S292">
        <f t="shared" si="968"/>
        <v>-334.8113680797224</v>
      </c>
      <c r="T292">
        <f t="shared" si="969"/>
        <v>-0.33481136807972239</v>
      </c>
    </row>
    <row r="293" spans="1:20" x14ac:dyDescent="0.25">
      <c r="A293" s="5">
        <v>44300</v>
      </c>
      <c r="B293">
        <v>1.9129</v>
      </c>
      <c r="C293">
        <v>1.962</v>
      </c>
      <c r="D293">
        <v>1.5710999999999999</v>
      </c>
      <c r="E293">
        <v>1.6775</v>
      </c>
      <c r="F293">
        <v>12807193.449999999</v>
      </c>
      <c r="G293">
        <v>0</v>
      </c>
      <c r="L293" t="s">
        <v>8</v>
      </c>
      <c r="M293" t="s">
        <v>8</v>
      </c>
      <c r="N293" t="s">
        <v>8</v>
      </c>
      <c r="P293">
        <f t="shared" si="965"/>
        <v>-0.45561524686620597</v>
      </c>
      <c r="Q293">
        <f t="shared" si="966"/>
        <v>-5835152.6053850055</v>
      </c>
      <c r="R293">
        <f t="shared" si="967"/>
        <v>-33585874.600376442</v>
      </c>
      <c r="S293">
        <f t="shared" si="968"/>
        <v>-335.8587460037644</v>
      </c>
      <c r="T293">
        <f t="shared" si="969"/>
        <v>-0.33585874600376442</v>
      </c>
    </row>
    <row r="294" spans="1:20" x14ac:dyDescent="0.25">
      <c r="A294" s="5">
        <v>44299</v>
      </c>
      <c r="B294">
        <v>1.4675</v>
      </c>
      <c r="C294">
        <v>1.98</v>
      </c>
      <c r="D294">
        <v>1.3167</v>
      </c>
      <c r="E294">
        <v>1.915</v>
      </c>
      <c r="F294">
        <v>22764238.739999998</v>
      </c>
      <c r="G294">
        <v>0</v>
      </c>
      <c r="L294" t="s">
        <v>7</v>
      </c>
      <c r="M294" t="s">
        <v>7</v>
      </c>
      <c r="N294" t="s">
        <v>7</v>
      </c>
      <c r="P294">
        <f t="shared" si="965"/>
        <v>0.80401025177144592</v>
      </c>
      <c r="Q294">
        <f t="shared" si="966"/>
        <v>18302681.320732702</v>
      </c>
      <c r="R294">
        <f t="shared" si="967"/>
        <v>-27750721.994991433</v>
      </c>
      <c r="S294">
        <f t="shared" si="968"/>
        <v>-277.50721994991432</v>
      </c>
      <c r="T294">
        <f t="shared" si="969"/>
        <v>-0.27750721994991434</v>
      </c>
    </row>
    <row r="295" spans="1:20" x14ac:dyDescent="0.25">
      <c r="A295" s="5">
        <v>44298</v>
      </c>
      <c r="B295">
        <v>1.6189</v>
      </c>
      <c r="C295">
        <v>1.6715</v>
      </c>
      <c r="D295">
        <v>1.4346000000000001</v>
      </c>
      <c r="E295">
        <v>1.4676</v>
      </c>
      <c r="F295">
        <v>10969088.109999999</v>
      </c>
      <c r="G295">
        <v>0</v>
      </c>
      <c r="L295" t="s">
        <v>7</v>
      </c>
      <c r="M295" t="s">
        <v>7</v>
      </c>
      <c r="N295" t="s">
        <v>7</v>
      </c>
      <c r="P295">
        <f t="shared" si="965"/>
        <v>-0.72140143520472833</v>
      </c>
      <c r="Q295">
        <f t="shared" si="966"/>
        <v>-7913115.9054411203</v>
      </c>
      <c r="R295">
        <f t="shared" si="967"/>
        <v>-46053403.315724134</v>
      </c>
      <c r="S295">
        <f t="shared" si="968"/>
        <v>-460.53403315724137</v>
      </c>
      <c r="T295">
        <f t="shared" si="969"/>
        <v>-0.46053403315724134</v>
      </c>
    </row>
    <row r="296" spans="1:20" x14ac:dyDescent="0.25">
      <c r="A296" s="5">
        <v>44297</v>
      </c>
      <c r="B296">
        <v>1.5215000000000001</v>
      </c>
      <c r="C296">
        <v>2.1</v>
      </c>
      <c r="D296">
        <v>1.4830000000000001</v>
      </c>
      <c r="E296">
        <v>1.6155999999999999</v>
      </c>
      <c r="F296">
        <v>45936725.82</v>
      </c>
      <c r="G296">
        <v>0</v>
      </c>
      <c r="L296" t="s">
        <v>8</v>
      </c>
      <c r="M296" t="s">
        <v>8</v>
      </c>
      <c r="N296" t="s">
        <v>8</v>
      </c>
      <c r="P296">
        <f t="shared" si="965"/>
        <v>-0.57017828200972498</v>
      </c>
      <c r="Q296">
        <f t="shared" si="966"/>
        <v>-26192123.409199376</v>
      </c>
      <c r="R296">
        <f t="shared" si="967"/>
        <v>-38140287.410283014</v>
      </c>
      <c r="S296">
        <f t="shared" si="968"/>
        <v>-381.40287410283014</v>
      </c>
      <c r="T296">
        <f t="shared" si="969"/>
        <v>-0.38140287410283014</v>
      </c>
    </row>
    <row r="297" spans="1:20" x14ac:dyDescent="0.25">
      <c r="A297" s="5">
        <v>44296</v>
      </c>
      <c r="B297">
        <v>1.2950999999999999</v>
      </c>
      <c r="C297">
        <v>1.7666999999999999</v>
      </c>
      <c r="D297">
        <v>1.2453000000000001</v>
      </c>
      <c r="E297">
        <v>1.5181</v>
      </c>
      <c r="F297">
        <v>39840852.130000003</v>
      </c>
      <c r="G297">
        <v>0</v>
      </c>
      <c r="L297" t="s">
        <v>8</v>
      </c>
      <c r="M297" t="s">
        <v>8</v>
      </c>
      <c r="N297" t="s">
        <v>8</v>
      </c>
      <c r="P297">
        <f t="shared" si="965"/>
        <v>4.641350210970465E-2</v>
      </c>
      <c r="Q297">
        <f t="shared" si="966"/>
        <v>1849153.4743881861</v>
      </c>
      <c r="R297">
        <f t="shared" si="967"/>
        <v>-11948164.001083635</v>
      </c>
      <c r="S297">
        <f t="shared" si="968"/>
        <v>-119.48164001083634</v>
      </c>
      <c r="T297">
        <f t="shared" si="969"/>
        <v>-0.11948164001083635</v>
      </c>
    </row>
    <row r="298" spans="1:20" x14ac:dyDescent="0.25">
      <c r="A298" s="5">
        <v>44295</v>
      </c>
      <c r="B298">
        <v>1.2228000000000001</v>
      </c>
      <c r="C298">
        <v>1.39</v>
      </c>
      <c r="D298">
        <v>1.2081999999999999</v>
      </c>
      <c r="E298">
        <v>1.2949999999999999</v>
      </c>
      <c r="F298">
        <v>14324015.029999999</v>
      </c>
      <c r="G298">
        <v>0</v>
      </c>
      <c r="L298" t="s">
        <v>8</v>
      </c>
      <c r="M298" t="s">
        <v>8</v>
      </c>
      <c r="N298" t="s">
        <v>7</v>
      </c>
      <c r="P298">
        <f t="shared" si="965"/>
        <v>-4.5104510451045035E-2</v>
      </c>
      <c r="Q298">
        <f t="shared" si="966"/>
        <v>-646077.68562156113</v>
      </c>
      <c r="R298">
        <f t="shared" si="967"/>
        <v>-13797317.475471821</v>
      </c>
      <c r="S298">
        <f t="shared" si="968"/>
        <v>-137.9731747547182</v>
      </c>
      <c r="T298">
        <f t="shared" si="969"/>
        <v>-0.13797317475471821</v>
      </c>
    </row>
    <row r="299" spans="1:20" x14ac:dyDescent="0.25">
      <c r="A299" s="5">
        <v>44294</v>
      </c>
      <c r="B299">
        <v>1.1166</v>
      </c>
      <c r="C299">
        <v>1.226</v>
      </c>
      <c r="D299">
        <v>1.1100000000000001</v>
      </c>
      <c r="E299">
        <v>1.2228000000000001</v>
      </c>
      <c r="F299">
        <v>2669082.69</v>
      </c>
      <c r="G299">
        <v>0</v>
      </c>
      <c r="L299" t="s">
        <v>8</v>
      </c>
      <c r="M299" t="s">
        <v>8</v>
      </c>
      <c r="N299" t="s">
        <v>7</v>
      </c>
      <c r="P299">
        <f t="shared" si="965"/>
        <v>0.94482758620689877</v>
      </c>
      <c r="Q299">
        <f t="shared" si="966"/>
        <v>2521822.9553793161</v>
      </c>
      <c r="R299">
        <f t="shared" si="967"/>
        <v>-13151239.789850259</v>
      </c>
      <c r="S299">
        <f t="shared" si="968"/>
        <v>-131.5123978985026</v>
      </c>
      <c r="T299">
        <f t="shared" si="969"/>
        <v>-0.13151239789850261</v>
      </c>
    </row>
    <row r="300" spans="1:20" x14ac:dyDescent="0.25">
      <c r="A300" s="5">
        <v>44293</v>
      </c>
      <c r="B300">
        <v>1.2096</v>
      </c>
      <c r="C300">
        <v>1.2293000000000001</v>
      </c>
      <c r="D300">
        <v>1.0049999999999999</v>
      </c>
      <c r="E300">
        <v>1.1148</v>
      </c>
      <c r="F300">
        <v>5268182.5</v>
      </c>
      <c r="G300">
        <v>0</v>
      </c>
      <c r="L300" t="s">
        <v>7</v>
      </c>
      <c r="M300" t="s">
        <v>7</v>
      </c>
      <c r="N300" t="s">
        <v>7</v>
      </c>
      <c r="P300">
        <f t="shared" si="965"/>
        <v>-2.0954079358002333E-2</v>
      </c>
      <c r="Q300">
        <f t="shared" si="966"/>
        <v>-110389.91417743913</v>
      </c>
      <c r="R300">
        <f t="shared" si="967"/>
        <v>-15673062.745229576</v>
      </c>
      <c r="S300">
        <f t="shared" si="968"/>
        <v>-156.73062745229575</v>
      </c>
      <c r="T300">
        <f t="shared" si="969"/>
        <v>-0.15673062745229574</v>
      </c>
    </row>
    <row r="301" spans="1:20" x14ac:dyDescent="0.25">
      <c r="A301" s="5">
        <v>44292</v>
      </c>
      <c r="B301">
        <v>1.2927</v>
      </c>
      <c r="C301">
        <v>1.3129999999999999</v>
      </c>
      <c r="D301">
        <v>1.1774</v>
      </c>
      <c r="E301">
        <v>1.2110000000000001</v>
      </c>
      <c r="F301">
        <v>3528525.34</v>
      </c>
      <c r="G301">
        <v>0</v>
      </c>
      <c r="L301" t="s">
        <v>7</v>
      </c>
      <c r="M301" t="s">
        <v>8</v>
      </c>
      <c r="N301" t="s">
        <v>7</v>
      </c>
      <c r="P301">
        <f t="shared" si="965"/>
        <v>-0.50442477876106062</v>
      </c>
      <c r="Q301">
        <f t="shared" si="966"/>
        <v>-1779875.6139822961</v>
      </c>
      <c r="R301">
        <f t="shared" si="967"/>
        <v>-15562672.831052138</v>
      </c>
      <c r="S301">
        <f t="shared" si="968"/>
        <v>-155.62672831052137</v>
      </c>
      <c r="T301">
        <f t="shared" si="969"/>
        <v>-0.15562672831052138</v>
      </c>
    </row>
    <row r="302" spans="1:20" x14ac:dyDescent="0.25">
      <c r="A302" s="5">
        <v>44291</v>
      </c>
      <c r="B302">
        <v>1.2072000000000001</v>
      </c>
      <c r="C302">
        <v>1.3312999999999999</v>
      </c>
      <c r="D302">
        <v>1.1504000000000001</v>
      </c>
      <c r="E302">
        <v>1.2855000000000001</v>
      </c>
      <c r="F302">
        <v>5834145.6500000004</v>
      </c>
      <c r="G302">
        <v>0</v>
      </c>
      <c r="L302" t="s">
        <v>8</v>
      </c>
      <c r="M302" t="s">
        <v>8</v>
      </c>
      <c r="N302" t="s">
        <v>7</v>
      </c>
      <c r="P302">
        <f t="shared" si="965"/>
        <v>0.49364289662797256</v>
      </c>
      <c r="Q302">
        <f t="shared" si="966"/>
        <v>2879984.5580154858</v>
      </c>
      <c r="R302">
        <f t="shared" si="967"/>
        <v>-13782797.217069842</v>
      </c>
      <c r="S302">
        <f t="shared" si="968"/>
        <v>-137.82797217069842</v>
      </c>
      <c r="T302">
        <f t="shared" si="969"/>
        <v>-0.13782797217069842</v>
      </c>
    </row>
    <row r="303" spans="1:20" x14ac:dyDescent="0.25">
      <c r="A303" s="5">
        <v>44290</v>
      </c>
      <c r="B303">
        <v>1.0986</v>
      </c>
      <c r="C303">
        <v>1.28</v>
      </c>
      <c r="D303">
        <v>1.0559000000000001</v>
      </c>
      <c r="E303">
        <v>1.2073</v>
      </c>
      <c r="F303">
        <v>7896160.2699999996</v>
      </c>
      <c r="G303">
        <v>0</v>
      </c>
      <c r="L303" t="s">
        <v>7</v>
      </c>
      <c r="M303" t="s">
        <v>8</v>
      </c>
      <c r="N303" t="s">
        <v>7</v>
      </c>
      <c r="P303">
        <f t="shared" si="965"/>
        <v>0.35118250780901383</v>
      </c>
      <c r="Q303">
        <f t="shared" si="966"/>
        <v>2772993.3656804995</v>
      </c>
      <c r="R303">
        <f t="shared" si="967"/>
        <v>-16662781.775085328</v>
      </c>
      <c r="S303">
        <f t="shared" si="968"/>
        <v>-166.62781775085327</v>
      </c>
      <c r="T303">
        <f t="shared" si="969"/>
        <v>-0.16662781775085328</v>
      </c>
    </row>
    <row r="304" spans="1:20" x14ac:dyDescent="0.25">
      <c r="A304" s="5">
        <v>44289</v>
      </c>
      <c r="B304">
        <v>1.1889000000000001</v>
      </c>
      <c r="C304">
        <v>1.2365999999999999</v>
      </c>
      <c r="D304">
        <v>1.0929</v>
      </c>
      <c r="E304">
        <v>1.0987</v>
      </c>
      <c r="F304">
        <v>4057434.79</v>
      </c>
      <c r="G304">
        <v>0</v>
      </c>
      <c r="L304" t="s">
        <v>7</v>
      </c>
      <c r="M304" t="s">
        <v>7</v>
      </c>
      <c r="N304" t="s">
        <v>7</v>
      </c>
      <c r="P304">
        <f t="shared" si="965"/>
        <v>-0.91927627000695855</v>
      </c>
      <c r="Q304">
        <f t="shared" si="966"/>
        <v>-3729903.5195476674</v>
      </c>
      <c r="R304">
        <f t="shared" si="967"/>
        <v>-19435775.140765827</v>
      </c>
      <c r="S304">
        <f t="shared" si="968"/>
        <v>-194.35775140765827</v>
      </c>
      <c r="T304">
        <f t="shared" si="969"/>
        <v>-0.19435775140765826</v>
      </c>
    </row>
    <row r="305" spans="1:20" x14ac:dyDescent="0.25">
      <c r="A305" s="5">
        <v>44288</v>
      </c>
      <c r="B305">
        <v>1.2482</v>
      </c>
      <c r="C305">
        <v>1.2608999999999999</v>
      </c>
      <c r="D305">
        <v>1.1778999999999999</v>
      </c>
      <c r="E305">
        <v>1.1888000000000001</v>
      </c>
      <c r="F305">
        <v>3138831.46</v>
      </c>
      <c r="G305">
        <v>0</v>
      </c>
      <c r="L305" t="s">
        <v>7</v>
      </c>
      <c r="M305" t="s">
        <v>7</v>
      </c>
      <c r="N305" t="s">
        <v>8</v>
      </c>
      <c r="P305">
        <f t="shared" si="965"/>
        <v>-0.73734939759035811</v>
      </c>
      <c r="Q305">
        <f t="shared" si="966"/>
        <v>-2314415.4861686644</v>
      </c>
      <c r="R305">
        <f t="shared" si="967"/>
        <v>-15705871.62121816</v>
      </c>
      <c r="S305">
        <f t="shared" si="968"/>
        <v>-157.05871621218159</v>
      </c>
      <c r="T305">
        <f t="shared" si="969"/>
        <v>-0.15705871621218159</v>
      </c>
    </row>
    <row r="306" spans="1:20" x14ac:dyDescent="0.25">
      <c r="A306" s="5">
        <v>44287</v>
      </c>
      <c r="B306">
        <v>1.2879</v>
      </c>
      <c r="C306">
        <v>1.3282</v>
      </c>
      <c r="D306">
        <v>1.2225999999999999</v>
      </c>
      <c r="E306">
        <v>1.2485999999999999</v>
      </c>
      <c r="F306">
        <v>3628257.56</v>
      </c>
      <c r="G306">
        <v>0</v>
      </c>
      <c r="L306" t="s">
        <v>7</v>
      </c>
      <c r="M306" t="s">
        <v>8</v>
      </c>
      <c r="N306" t="s">
        <v>8</v>
      </c>
      <c r="P306">
        <f t="shared" si="965"/>
        <v>-0.50757575757575779</v>
      </c>
      <c r="Q306">
        <f t="shared" si="966"/>
        <v>-1841615.5796969705</v>
      </c>
      <c r="R306">
        <f t="shared" si="967"/>
        <v>-13391456.135049496</v>
      </c>
      <c r="S306">
        <f t="shared" si="968"/>
        <v>-133.91456135049495</v>
      </c>
      <c r="T306">
        <f t="shared" si="969"/>
        <v>-0.13391456135049495</v>
      </c>
    </row>
    <row r="307" spans="1:20" x14ac:dyDescent="0.25">
      <c r="A307" s="5">
        <v>44286</v>
      </c>
      <c r="B307">
        <v>1.3946000000000001</v>
      </c>
      <c r="C307">
        <v>1.4448000000000001</v>
      </c>
      <c r="D307">
        <v>1.256</v>
      </c>
      <c r="E307">
        <v>1.2878000000000001</v>
      </c>
      <c r="F307">
        <v>5159120.3</v>
      </c>
      <c r="G307">
        <v>0</v>
      </c>
      <c r="L307" t="s">
        <v>7</v>
      </c>
      <c r="M307" t="s">
        <v>8</v>
      </c>
      <c r="N307" t="s">
        <v>8</v>
      </c>
      <c r="P307">
        <f t="shared" si="965"/>
        <v>-0.66313559322033855</v>
      </c>
      <c r="Q307">
        <f t="shared" si="966"/>
        <v>-3421196.3006355907</v>
      </c>
      <c r="R307">
        <f t="shared" si="967"/>
        <v>-11549840.555352526</v>
      </c>
      <c r="S307">
        <f t="shared" si="968"/>
        <v>-115.49840555352526</v>
      </c>
      <c r="T307">
        <f t="shared" si="969"/>
        <v>-0.11549840555352527</v>
      </c>
    </row>
    <row r="308" spans="1:20" x14ac:dyDescent="0.25">
      <c r="A308" s="5">
        <v>44285</v>
      </c>
      <c r="B308">
        <v>1.2050000000000001</v>
      </c>
      <c r="C308">
        <v>1.4670000000000001</v>
      </c>
      <c r="D308">
        <v>1.1712</v>
      </c>
      <c r="E308">
        <v>1.3973</v>
      </c>
      <c r="F308">
        <v>10685651.25</v>
      </c>
      <c r="G308">
        <v>0</v>
      </c>
      <c r="L308" t="s">
        <v>8</v>
      </c>
      <c r="M308" t="s">
        <v>8</v>
      </c>
      <c r="N308" t="s">
        <v>8</v>
      </c>
      <c r="P308">
        <f t="shared" si="965"/>
        <v>0.52873563218390751</v>
      </c>
      <c r="Q308">
        <f t="shared" si="966"/>
        <v>5649884.5689655114</v>
      </c>
      <c r="R308">
        <f t="shared" si="967"/>
        <v>-8128644.2547169346</v>
      </c>
      <c r="S308">
        <f t="shared" si="968"/>
        <v>-81.286442547169344</v>
      </c>
      <c r="T308">
        <f t="shared" si="969"/>
        <v>-8.1286442547169338E-2</v>
      </c>
    </row>
    <row r="309" spans="1:20" x14ac:dyDescent="0.25">
      <c r="A309" s="5">
        <v>44284</v>
      </c>
      <c r="B309">
        <v>1.2153</v>
      </c>
      <c r="C309">
        <v>1.2259</v>
      </c>
      <c r="D309">
        <v>1.1119000000000001</v>
      </c>
      <c r="E309">
        <v>1.2052</v>
      </c>
      <c r="F309">
        <v>4165911.25</v>
      </c>
      <c r="G309">
        <v>0</v>
      </c>
      <c r="L309" t="s">
        <v>8</v>
      </c>
      <c r="M309" t="s">
        <v>8</v>
      </c>
      <c r="N309" t="s">
        <v>8</v>
      </c>
      <c r="P309">
        <f t="shared" si="965"/>
        <v>0.63684210526315854</v>
      </c>
      <c r="Q309">
        <f t="shared" si="966"/>
        <v>2653027.6907894765</v>
      </c>
      <c r="R309">
        <f t="shared" si="967"/>
        <v>-13778528.823682446</v>
      </c>
      <c r="S309">
        <f t="shared" si="968"/>
        <v>-137.78528823682447</v>
      </c>
      <c r="T309">
        <f t="shared" si="969"/>
        <v>-0.13778528823682448</v>
      </c>
    </row>
    <row r="310" spans="1:20" x14ac:dyDescent="0.25">
      <c r="A310" s="5">
        <v>44283</v>
      </c>
      <c r="B310">
        <v>1.0192000000000001</v>
      </c>
      <c r="C310">
        <v>1.2507999999999999</v>
      </c>
      <c r="D310">
        <v>0.99739999999999995</v>
      </c>
      <c r="E310">
        <v>1.2202</v>
      </c>
      <c r="F310">
        <v>7979937.4500000002</v>
      </c>
      <c r="G310">
        <v>0</v>
      </c>
      <c r="L310" t="s">
        <v>7</v>
      </c>
      <c r="M310" t="s">
        <v>8</v>
      </c>
      <c r="N310" t="s">
        <v>8</v>
      </c>
      <c r="P310">
        <f t="shared" si="965"/>
        <v>0.75848460931333883</v>
      </c>
      <c r="Q310">
        <f t="shared" si="966"/>
        <v>6052659.7391081313</v>
      </c>
      <c r="R310">
        <f t="shared" si="967"/>
        <v>-16431556.514471922</v>
      </c>
      <c r="S310">
        <f t="shared" si="968"/>
        <v>-164.31556514471922</v>
      </c>
      <c r="T310">
        <f t="shared" si="969"/>
        <v>-0.16431556514471921</v>
      </c>
    </row>
    <row r="311" spans="1:20" x14ac:dyDescent="0.25">
      <c r="A311" s="5">
        <v>44282</v>
      </c>
      <c r="B311">
        <v>1.0583</v>
      </c>
      <c r="C311">
        <v>1.0900000000000001</v>
      </c>
      <c r="D311">
        <v>1.0067999999999999</v>
      </c>
      <c r="E311">
        <v>1.0192000000000001</v>
      </c>
      <c r="F311">
        <v>2558581.9500000002</v>
      </c>
      <c r="G311">
        <v>0</v>
      </c>
      <c r="L311" t="s">
        <v>7</v>
      </c>
      <c r="M311" t="s">
        <v>8</v>
      </c>
      <c r="N311" t="s">
        <v>7</v>
      </c>
      <c r="P311">
        <f t="shared" si="965"/>
        <v>-0.70192307692307299</v>
      </c>
      <c r="Q311">
        <f t="shared" si="966"/>
        <v>-1795927.7149038361</v>
      </c>
      <c r="R311">
        <f t="shared" si="967"/>
        <v>-22484216.253580052</v>
      </c>
      <c r="S311">
        <f t="shared" si="968"/>
        <v>-224.84216253580053</v>
      </c>
      <c r="T311">
        <f t="shared" si="969"/>
        <v>-0.22484216253580053</v>
      </c>
    </row>
    <row r="312" spans="1:20" x14ac:dyDescent="0.25">
      <c r="A312" s="5">
        <v>44281</v>
      </c>
      <c r="B312">
        <v>0.97140000000000004</v>
      </c>
      <c r="C312">
        <v>1.0927</v>
      </c>
      <c r="D312">
        <v>0.9667</v>
      </c>
      <c r="E312">
        <v>1.0586</v>
      </c>
      <c r="F312">
        <v>4076208.36</v>
      </c>
      <c r="G312">
        <v>0</v>
      </c>
      <c r="L312" t="s">
        <v>8</v>
      </c>
      <c r="M312" t="s">
        <v>8</v>
      </c>
      <c r="N312" t="s">
        <v>7</v>
      </c>
      <c r="P312">
        <f t="shared" si="965"/>
        <v>0.45873015873015843</v>
      </c>
      <c r="Q312">
        <f t="shared" si="966"/>
        <v>1869879.7079999987</v>
      </c>
      <c r="R312">
        <f t="shared" si="967"/>
        <v>-20688288.538676217</v>
      </c>
      <c r="S312">
        <f t="shared" si="968"/>
        <v>-206.88288538676218</v>
      </c>
      <c r="T312">
        <f t="shared" si="969"/>
        <v>-0.20688288538676219</v>
      </c>
    </row>
    <row r="313" spans="1:20" x14ac:dyDescent="0.25">
      <c r="A313" s="5">
        <v>44280</v>
      </c>
      <c r="B313">
        <v>0.93640000000000001</v>
      </c>
      <c r="C313">
        <v>1.02</v>
      </c>
      <c r="D313">
        <v>0.87250000000000005</v>
      </c>
      <c r="E313">
        <v>0.97</v>
      </c>
      <c r="F313">
        <v>5819912.1299999999</v>
      </c>
      <c r="G313">
        <v>0</v>
      </c>
      <c r="L313" t="s">
        <v>7</v>
      </c>
      <c r="M313" t="s">
        <v>7</v>
      </c>
      <c r="N313" t="s">
        <v>7</v>
      </c>
      <c r="P313">
        <f t="shared" si="965"/>
        <v>0.322033898305084</v>
      </c>
      <c r="Q313">
        <f t="shared" si="966"/>
        <v>1874208.9910169449</v>
      </c>
      <c r="R313">
        <f t="shared" si="967"/>
        <v>-22558168.246676214</v>
      </c>
      <c r="S313">
        <f t="shared" si="968"/>
        <v>-225.58168246676215</v>
      </c>
      <c r="T313">
        <f t="shared" si="969"/>
        <v>-0.22558168246676213</v>
      </c>
    </row>
    <row r="314" spans="1:20" x14ac:dyDescent="0.25">
      <c r="A314" s="5">
        <v>44279</v>
      </c>
      <c r="B314">
        <v>1.0538000000000001</v>
      </c>
      <c r="C314">
        <v>1.1937</v>
      </c>
      <c r="D314">
        <v>0.92700000000000005</v>
      </c>
      <c r="E314">
        <v>0.93710000000000004</v>
      </c>
      <c r="F314">
        <v>6797518.5499999998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-0.92425946756655419</v>
      </c>
      <c r="Q314">
        <f t="shared" si="966"/>
        <v>-6282670.8757967753</v>
      </c>
      <c r="R314">
        <f t="shared" si="967"/>
        <v>-24432377.237693161</v>
      </c>
      <c r="S314">
        <f t="shared" si="968"/>
        <v>-244.3237723769316</v>
      </c>
      <c r="T314">
        <f t="shared" si="969"/>
        <v>-0.24432377237693159</v>
      </c>
    </row>
    <row r="315" spans="1:20" x14ac:dyDescent="0.25">
      <c r="A315" s="5">
        <v>44278</v>
      </c>
      <c r="B315">
        <v>1.1277999999999999</v>
      </c>
      <c r="C315">
        <v>1.1927000000000001</v>
      </c>
      <c r="D315">
        <v>0.99870000000000003</v>
      </c>
      <c r="E315">
        <v>1.0539000000000001</v>
      </c>
      <c r="F315">
        <v>7900445.0800000001</v>
      </c>
      <c r="G315">
        <v>0</v>
      </c>
      <c r="L315" t="s">
        <v>7</v>
      </c>
      <c r="M315" t="s">
        <v>7</v>
      </c>
      <c r="N315" t="s">
        <v>7</v>
      </c>
      <c r="P315">
        <f t="shared" si="965"/>
        <v>-0.4309278350515463</v>
      </c>
      <c r="Q315">
        <f t="shared" si="966"/>
        <v>-3404521.6942680404</v>
      </c>
      <c r="R315">
        <f t="shared" si="967"/>
        <v>-18149706.361896385</v>
      </c>
      <c r="S315">
        <f t="shared" si="968"/>
        <v>-181.49706361896384</v>
      </c>
      <c r="T315">
        <f t="shared" si="969"/>
        <v>-0.18149706361896384</v>
      </c>
    </row>
    <row r="316" spans="1:20" x14ac:dyDescent="0.25">
      <c r="A316" s="5">
        <v>44277</v>
      </c>
      <c r="B316">
        <v>1.3996</v>
      </c>
      <c r="C316">
        <v>1.48</v>
      </c>
      <c r="D316">
        <v>1.1168</v>
      </c>
      <c r="E316">
        <v>1.1272</v>
      </c>
      <c r="F316">
        <v>11036150.65</v>
      </c>
      <c r="G316">
        <v>0</v>
      </c>
      <c r="L316" t="s">
        <v>8</v>
      </c>
      <c r="M316" t="s">
        <v>8</v>
      </c>
      <c r="N316" t="s">
        <v>8</v>
      </c>
      <c r="P316">
        <f t="shared" si="965"/>
        <v>-0.94273127753303987</v>
      </c>
      <c r="Q316">
        <f t="shared" si="966"/>
        <v>-10404124.401321588</v>
      </c>
      <c r="R316">
        <f t="shared" si="967"/>
        <v>-14745184.667628344</v>
      </c>
      <c r="S316">
        <f t="shared" si="968"/>
        <v>-147.45184667628345</v>
      </c>
      <c r="T316">
        <f t="shared" si="969"/>
        <v>-0.14745184667628344</v>
      </c>
    </row>
    <row r="317" spans="1:20" x14ac:dyDescent="0.25">
      <c r="A317" s="5">
        <v>44276</v>
      </c>
      <c r="B317">
        <v>1.1222000000000001</v>
      </c>
      <c r="C317">
        <v>1.43</v>
      </c>
      <c r="D317">
        <v>1.1109</v>
      </c>
      <c r="E317">
        <v>1.3925000000000001</v>
      </c>
      <c r="F317">
        <v>12512578.84</v>
      </c>
      <c r="G317">
        <v>0</v>
      </c>
      <c r="L317" t="s">
        <v>8</v>
      </c>
      <c r="M317" t="s">
        <v>8</v>
      </c>
      <c r="N317" t="s">
        <v>8</v>
      </c>
      <c r="P317">
        <f t="shared" si="965"/>
        <v>0.76496396114070908</v>
      </c>
      <c r="Q317">
        <f t="shared" si="966"/>
        <v>9571671.8735318184</v>
      </c>
      <c r="R317">
        <f t="shared" si="967"/>
        <v>-4341060.2663067561</v>
      </c>
      <c r="S317">
        <f t="shared" si="968"/>
        <v>-43.410602663067557</v>
      </c>
      <c r="T317">
        <f t="shared" si="969"/>
        <v>-4.3410602663067559E-2</v>
      </c>
    </row>
    <row r="318" spans="1:20" x14ac:dyDescent="0.25">
      <c r="A318" s="5">
        <v>44275</v>
      </c>
      <c r="B318">
        <v>1.1291</v>
      </c>
      <c r="C318">
        <v>1.2965</v>
      </c>
      <c r="D318">
        <v>1.0669999999999999</v>
      </c>
      <c r="E318">
        <v>1.1188</v>
      </c>
      <c r="F318">
        <v>8994060.9399999995</v>
      </c>
      <c r="G318">
        <v>0</v>
      </c>
      <c r="L318" t="s">
        <v>8</v>
      </c>
      <c r="M318" t="s">
        <v>8</v>
      </c>
      <c r="N318" t="s">
        <v>8</v>
      </c>
      <c r="P318">
        <f t="shared" si="965"/>
        <v>-0.54858387799564223</v>
      </c>
      <c r="Q318">
        <f t="shared" si="966"/>
        <v>-4933996.8293943312</v>
      </c>
      <c r="R318">
        <f t="shared" si="967"/>
        <v>-13912732.139838574</v>
      </c>
      <c r="S318">
        <f t="shared" si="968"/>
        <v>-139.12732139838573</v>
      </c>
      <c r="T318">
        <f t="shared" si="969"/>
        <v>-0.13912732139838574</v>
      </c>
    </row>
    <row r="319" spans="1:20" x14ac:dyDescent="0.25">
      <c r="A319" s="5">
        <v>44274</v>
      </c>
      <c r="B319">
        <v>1.0137</v>
      </c>
      <c r="C319">
        <v>1.23</v>
      </c>
      <c r="D319">
        <v>0.96</v>
      </c>
      <c r="E319">
        <v>1.1286</v>
      </c>
      <c r="F319">
        <v>14238996.960000001</v>
      </c>
      <c r="G319">
        <v>0</v>
      </c>
      <c r="L319" t="s">
        <v>8</v>
      </c>
      <c r="M319" t="s">
        <v>8</v>
      </c>
      <c r="N319" t="s">
        <v>8</v>
      </c>
      <c r="P319">
        <f t="shared" si="965"/>
        <v>0.24888888888888941</v>
      </c>
      <c r="Q319">
        <f t="shared" si="966"/>
        <v>3543928.1322666742</v>
      </c>
      <c r="R319">
        <f t="shared" si="967"/>
        <v>-8978735.3104442433</v>
      </c>
      <c r="S319">
        <f t="shared" si="968"/>
        <v>-89.787353104442431</v>
      </c>
      <c r="T319">
        <f t="shared" si="969"/>
        <v>-8.9787353104442427E-2</v>
      </c>
    </row>
    <row r="320" spans="1:20" x14ac:dyDescent="0.25">
      <c r="A320" s="5">
        <v>44273</v>
      </c>
      <c r="B320">
        <v>0.92589999999999995</v>
      </c>
      <c r="C320">
        <v>1.0582</v>
      </c>
      <c r="D320">
        <v>0.89510000000000001</v>
      </c>
      <c r="E320">
        <v>1.0138</v>
      </c>
      <c r="F320">
        <v>5587040.9400000004</v>
      </c>
      <c r="G320">
        <v>0</v>
      </c>
      <c r="L320" t="s">
        <v>8</v>
      </c>
      <c r="M320" t="s">
        <v>8</v>
      </c>
      <c r="N320" t="s">
        <v>8</v>
      </c>
      <c r="P320">
        <f t="shared" si="965"/>
        <v>0.4555487431023913</v>
      </c>
      <c r="Q320">
        <f t="shared" si="966"/>
        <v>2545169.4778786032</v>
      </c>
      <c r="R320">
        <f t="shared" si="967"/>
        <v>-12522663.442710917</v>
      </c>
      <c r="S320">
        <f t="shared" si="968"/>
        <v>-125.22663442710918</v>
      </c>
      <c r="T320">
        <f t="shared" si="969"/>
        <v>-0.12522663442710918</v>
      </c>
    </row>
    <row r="321" spans="1:20" x14ac:dyDescent="0.25">
      <c r="A321" s="5">
        <v>44272</v>
      </c>
      <c r="B321">
        <v>1.0124</v>
      </c>
      <c r="C321">
        <v>1.0134000000000001</v>
      </c>
      <c r="D321">
        <v>0.878</v>
      </c>
      <c r="E321">
        <v>0.92290000000000005</v>
      </c>
      <c r="F321">
        <v>5143473.16</v>
      </c>
      <c r="G321">
        <v>0</v>
      </c>
      <c r="L321" t="s">
        <v>7</v>
      </c>
      <c r="M321" t="s">
        <v>8</v>
      </c>
      <c r="N321" t="s">
        <v>8</v>
      </c>
      <c r="P321">
        <f t="shared" si="965"/>
        <v>-0.33677991137370716</v>
      </c>
      <c r="Q321">
        <f t="shared" si="966"/>
        <v>-1732218.4349778416</v>
      </c>
      <c r="R321">
        <f t="shared" si="967"/>
        <v>-15067832.920589522</v>
      </c>
      <c r="S321">
        <f t="shared" si="968"/>
        <v>-150.67832920589521</v>
      </c>
      <c r="T321">
        <f t="shared" si="969"/>
        <v>-0.15067832920589522</v>
      </c>
    </row>
    <row r="322" spans="1:20" x14ac:dyDescent="0.25">
      <c r="A322" s="5">
        <v>44271</v>
      </c>
      <c r="B322">
        <v>0.88890000000000002</v>
      </c>
      <c r="C322">
        <v>1.05</v>
      </c>
      <c r="D322">
        <v>0.85</v>
      </c>
      <c r="E322">
        <v>1.0118</v>
      </c>
      <c r="F322">
        <v>6564097.2999999998</v>
      </c>
      <c r="G322">
        <v>0</v>
      </c>
      <c r="L322" t="s">
        <v>8</v>
      </c>
      <c r="M322" t="s">
        <v>8</v>
      </c>
      <c r="N322" t="s">
        <v>8</v>
      </c>
      <c r="P322">
        <f t="shared" si="965"/>
        <v>0.61799999999999999</v>
      </c>
      <c r="Q322">
        <f t="shared" si="966"/>
        <v>4056612.1313999998</v>
      </c>
      <c r="R322">
        <f t="shared" si="967"/>
        <v>-13335614.485611681</v>
      </c>
      <c r="S322">
        <f t="shared" si="968"/>
        <v>-133.3561448561168</v>
      </c>
      <c r="T322">
        <f t="shared" si="969"/>
        <v>-0.1333561448561168</v>
      </c>
    </row>
    <row r="323" spans="1:20" x14ac:dyDescent="0.25">
      <c r="A323" s="5">
        <v>44270</v>
      </c>
      <c r="B323">
        <v>0.9</v>
      </c>
      <c r="C323">
        <v>0.93479999999999996</v>
      </c>
      <c r="D323">
        <v>0.78590000000000004</v>
      </c>
      <c r="E323">
        <v>0.88570000000000004</v>
      </c>
      <c r="F323">
        <v>7514630.9800000004</v>
      </c>
      <c r="G323">
        <v>0</v>
      </c>
      <c r="L323" t="s">
        <v>7</v>
      </c>
      <c r="M323" t="s">
        <v>7</v>
      </c>
      <c r="N323" t="s">
        <v>8</v>
      </c>
      <c r="P323">
        <f t="shared" si="965"/>
        <v>0.34049697783747551</v>
      </c>
      <c r="Q323">
        <f t="shared" si="966"/>
        <v>2558709.1382538672</v>
      </c>
      <c r="R323">
        <f t="shared" si="967"/>
        <v>-17392226.617011681</v>
      </c>
      <c r="S323">
        <f t="shared" si="968"/>
        <v>-173.92226617011681</v>
      </c>
      <c r="T323">
        <f t="shared" si="969"/>
        <v>-0.1739222661701168</v>
      </c>
    </row>
    <row r="324" spans="1:20" x14ac:dyDescent="0.25">
      <c r="A324" s="5">
        <v>44269</v>
      </c>
      <c r="B324">
        <v>0.90639999999999998</v>
      </c>
      <c r="C324">
        <v>1.0677000000000001</v>
      </c>
      <c r="D324">
        <v>0.88759999999999994</v>
      </c>
      <c r="E324">
        <v>0.9</v>
      </c>
      <c r="F324">
        <v>9579132.7100000009</v>
      </c>
      <c r="G324">
        <v>0</v>
      </c>
      <c r="L324" t="s">
        <v>8</v>
      </c>
      <c r="M324" t="s">
        <v>8</v>
      </c>
      <c r="N324" t="s">
        <v>8</v>
      </c>
      <c r="P324">
        <f t="shared" si="965"/>
        <v>-0.86229872293170384</v>
      </c>
      <c r="Q324">
        <f t="shared" si="966"/>
        <v>-8260073.9026263123</v>
      </c>
      <c r="R324">
        <f t="shared" si="967"/>
        <v>-19950935.755265549</v>
      </c>
      <c r="S324">
        <f t="shared" si="968"/>
        <v>-199.5093575526555</v>
      </c>
      <c r="T324">
        <f t="shared" si="969"/>
        <v>-0.1995093575526555</v>
      </c>
    </row>
    <row r="325" spans="1:20" x14ac:dyDescent="0.25">
      <c r="A325" s="5">
        <v>44268</v>
      </c>
      <c r="B325">
        <v>0.73580000000000001</v>
      </c>
      <c r="C325">
        <v>1.0339</v>
      </c>
      <c r="D325">
        <v>0.71919999999999995</v>
      </c>
      <c r="E325">
        <v>0.90710000000000002</v>
      </c>
      <c r="F325">
        <v>15824331.189999999</v>
      </c>
      <c r="G325">
        <v>0</v>
      </c>
      <c r="L325" t="s">
        <v>8</v>
      </c>
      <c r="M325" t="s">
        <v>8</v>
      </c>
      <c r="N325" t="s">
        <v>8</v>
      </c>
      <c r="P325">
        <f t="shared" si="965"/>
        <v>0.19415316174134103</v>
      </c>
      <c r="Q325">
        <f t="shared" si="966"/>
        <v>3072343.9329806175</v>
      </c>
      <c r="R325">
        <f t="shared" si="967"/>
        <v>-11690861.852639237</v>
      </c>
      <c r="S325">
        <f t="shared" si="968"/>
        <v>-116.90861852639237</v>
      </c>
      <c r="T325">
        <f t="shared" si="969"/>
        <v>-0.11690861852639238</v>
      </c>
    </row>
    <row r="326" spans="1:20" x14ac:dyDescent="0.25">
      <c r="A326" s="5">
        <v>44267</v>
      </c>
      <c r="B326">
        <v>0.71970000000000001</v>
      </c>
      <c r="C326">
        <v>0.79</v>
      </c>
      <c r="D326">
        <v>0.69140000000000001</v>
      </c>
      <c r="E326">
        <v>0.73699999999999999</v>
      </c>
      <c r="F326">
        <v>5397000.5700000003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70">IF(C326=D326,0,((E326-D326)-(C326-E326))/(C326-D326))</f>
        <v>-7.5050709939148794E-2</v>
      </c>
      <c r="Q326">
        <f t="shared" ref="Q326:Q389" si="971">F326*P326</f>
        <v>-405048.72432049073</v>
      </c>
      <c r="R326">
        <f t="shared" ref="R326:R389" si="972">R327+Q326</f>
        <v>-14763205.785619855</v>
      </c>
      <c r="S326">
        <f t="shared" ref="S326:S389" si="973">R326/100000</f>
        <v>-147.63205785619854</v>
      </c>
      <c r="T326">
        <f t="shared" ref="T326:T389" si="974">S326/1000</f>
        <v>-0.14763205785619854</v>
      </c>
    </row>
    <row r="327" spans="1:20" x14ac:dyDescent="0.25">
      <c r="A327" s="5">
        <v>44266</v>
      </c>
      <c r="B327">
        <v>0.69040000000000001</v>
      </c>
      <c r="C327">
        <v>0.76859999999999995</v>
      </c>
      <c r="D327">
        <v>0.68269999999999997</v>
      </c>
      <c r="E327">
        <v>0.71970000000000001</v>
      </c>
      <c r="F327">
        <v>4095196.87</v>
      </c>
      <c r="G327">
        <v>0</v>
      </c>
      <c r="L327" t="s">
        <v>7</v>
      </c>
      <c r="M327" t="s">
        <v>8</v>
      </c>
      <c r="N327" t="s">
        <v>8</v>
      </c>
      <c r="P327">
        <f t="shared" si="970"/>
        <v>-0.13853317811408514</v>
      </c>
      <c r="Q327">
        <f t="shared" si="971"/>
        <v>-567320.63740395394</v>
      </c>
      <c r="R327">
        <f t="shared" si="972"/>
        <v>-14358157.061299365</v>
      </c>
      <c r="S327">
        <f t="shared" si="973"/>
        <v>-143.58157061299366</v>
      </c>
      <c r="T327">
        <f t="shared" si="974"/>
        <v>-0.14358157061299365</v>
      </c>
    </row>
    <row r="328" spans="1:20" x14ac:dyDescent="0.25">
      <c r="A328" s="5">
        <v>44265</v>
      </c>
      <c r="B328">
        <v>0.73270000000000002</v>
      </c>
      <c r="C328">
        <v>0.78</v>
      </c>
      <c r="D328">
        <v>0.68069999999999997</v>
      </c>
      <c r="E328">
        <v>0.68930000000000002</v>
      </c>
      <c r="F328">
        <v>5755250.9500000002</v>
      </c>
      <c r="G328">
        <v>0</v>
      </c>
      <c r="L328" t="s">
        <v>8</v>
      </c>
      <c r="M328" t="s">
        <v>8</v>
      </c>
      <c r="N328" t="s">
        <v>8</v>
      </c>
      <c r="P328">
        <f t="shared" si="970"/>
        <v>-0.82678751258811589</v>
      </c>
      <c r="Q328">
        <f t="shared" si="971"/>
        <v>-4758369.6172708916</v>
      </c>
      <c r="R328">
        <f t="shared" si="972"/>
        <v>-13790836.423895411</v>
      </c>
      <c r="S328">
        <f t="shared" si="973"/>
        <v>-137.90836423895411</v>
      </c>
      <c r="T328">
        <f t="shared" si="974"/>
        <v>-0.13790836423895411</v>
      </c>
    </row>
    <row r="329" spans="1:20" x14ac:dyDescent="0.25">
      <c r="A329" s="5">
        <v>44264</v>
      </c>
      <c r="B329">
        <v>0.67779999999999996</v>
      </c>
      <c r="C329">
        <v>0.748</v>
      </c>
      <c r="D329">
        <v>0.65669999999999995</v>
      </c>
      <c r="E329">
        <v>0.7349</v>
      </c>
      <c r="F329">
        <v>4619032.42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0.71303395399780956</v>
      </c>
      <c r="Q329">
        <f t="shared" si="971"/>
        <v>3293526.9500766709</v>
      </c>
      <c r="R329">
        <f t="shared" si="972"/>
        <v>-9032466.8066245187</v>
      </c>
      <c r="S329">
        <f t="shared" si="973"/>
        <v>-90.324668066245181</v>
      </c>
      <c r="T329">
        <f t="shared" si="974"/>
        <v>-9.0324668066245187E-2</v>
      </c>
    </row>
    <row r="330" spans="1:20" x14ac:dyDescent="0.25">
      <c r="A330" s="5">
        <v>44263</v>
      </c>
      <c r="B330">
        <v>0.61750000000000005</v>
      </c>
      <c r="C330">
        <v>0.68940000000000001</v>
      </c>
      <c r="D330">
        <v>0.59660000000000002</v>
      </c>
      <c r="E330">
        <v>0.67530000000000001</v>
      </c>
      <c r="F330">
        <v>4422235.75</v>
      </c>
      <c r="G330">
        <v>0</v>
      </c>
      <c r="L330" t="s">
        <v>8</v>
      </c>
      <c r="M330" t="s">
        <v>8</v>
      </c>
      <c r="N330" t="s">
        <v>8</v>
      </c>
      <c r="P330">
        <f t="shared" si="970"/>
        <v>0.69612068965517238</v>
      </c>
      <c r="Q330">
        <f t="shared" si="971"/>
        <v>3078409.8001077585</v>
      </c>
      <c r="R330">
        <f t="shared" si="972"/>
        <v>-12325993.75670119</v>
      </c>
      <c r="S330">
        <f t="shared" si="973"/>
        <v>-123.2599375670119</v>
      </c>
      <c r="T330">
        <f t="shared" si="974"/>
        <v>-0.12325993756701191</v>
      </c>
    </row>
    <row r="331" spans="1:20" x14ac:dyDescent="0.25">
      <c r="A331" s="5">
        <v>44262</v>
      </c>
      <c r="B331">
        <v>0.60189999999999999</v>
      </c>
      <c r="C331">
        <v>0.62680000000000002</v>
      </c>
      <c r="D331">
        <v>0.58220000000000005</v>
      </c>
      <c r="E331">
        <v>0.61609999999999998</v>
      </c>
      <c r="F331">
        <v>2812687.13</v>
      </c>
      <c r="G331">
        <v>0</v>
      </c>
      <c r="L331" t="s">
        <v>8</v>
      </c>
      <c r="M331" t="s">
        <v>7</v>
      </c>
      <c r="N331" t="s">
        <v>8</v>
      </c>
      <c r="P331">
        <f t="shared" si="970"/>
        <v>0.52017937219730725</v>
      </c>
      <c r="Q331">
        <f t="shared" si="971"/>
        <v>1463101.8254708459</v>
      </c>
      <c r="R331">
        <f t="shared" si="972"/>
        <v>-15404403.556808949</v>
      </c>
      <c r="S331">
        <f t="shared" si="973"/>
        <v>-154.0440355680895</v>
      </c>
      <c r="T331">
        <f t="shared" si="974"/>
        <v>-0.15404403556808949</v>
      </c>
    </row>
    <row r="332" spans="1:20" x14ac:dyDescent="0.25">
      <c r="A332" s="5">
        <v>44261</v>
      </c>
      <c r="B332">
        <v>0.60629999999999995</v>
      </c>
      <c r="C332">
        <v>0.61799999999999999</v>
      </c>
      <c r="D332">
        <v>0.55030000000000001</v>
      </c>
      <c r="E332">
        <v>0.60040000000000004</v>
      </c>
      <c r="F332">
        <v>2175520.5299999998</v>
      </c>
      <c r="G332">
        <v>0</v>
      </c>
      <c r="L332" t="s">
        <v>8</v>
      </c>
      <c r="M332" t="s">
        <v>7</v>
      </c>
      <c r="N332" t="s">
        <v>8</v>
      </c>
      <c r="P332">
        <f t="shared" si="970"/>
        <v>0.48005908419497922</v>
      </c>
      <c r="Q332">
        <f t="shared" si="971"/>
        <v>1044378.3932791757</v>
      </c>
      <c r="R332">
        <f t="shared" si="972"/>
        <v>-16867505.382279795</v>
      </c>
      <c r="S332">
        <f t="shared" si="973"/>
        <v>-168.67505382279793</v>
      </c>
      <c r="T332">
        <f t="shared" si="974"/>
        <v>-0.16867505382279793</v>
      </c>
    </row>
    <row r="333" spans="1:20" x14ac:dyDescent="0.25">
      <c r="A333" s="5">
        <v>44260</v>
      </c>
      <c r="B333">
        <v>0.55389999999999995</v>
      </c>
      <c r="C333">
        <v>0.64500000000000002</v>
      </c>
      <c r="D333">
        <v>0.51700000000000002</v>
      </c>
      <c r="E333">
        <v>0.60440000000000005</v>
      </c>
      <c r="F333">
        <v>5419494.3600000003</v>
      </c>
      <c r="G333">
        <v>0</v>
      </c>
      <c r="L333" t="s">
        <v>7</v>
      </c>
      <c r="M333" t="s">
        <v>8</v>
      </c>
      <c r="N333" t="s">
        <v>8</v>
      </c>
      <c r="P333">
        <f t="shared" si="970"/>
        <v>0.36562500000000048</v>
      </c>
      <c r="Q333">
        <f t="shared" si="971"/>
        <v>1981502.6253750026</v>
      </c>
      <c r="R333">
        <f t="shared" si="972"/>
        <v>-17911883.775558971</v>
      </c>
      <c r="S333">
        <f t="shared" si="973"/>
        <v>-179.11883775558971</v>
      </c>
      <c r="T333">
        <f t="shared" si="974"/>
        <v>-0.1791188377555897</v>
      </c>
    </row>
    <row r="334" spans="1:20" x14ac:dyDescent="0.25">
      <c r="A334" s="5">
        <v>44259</v>
      </c>
      <c r="B334">
        <v>0.58789999999999998</v>
      </c>
      <c r="C334">
        <v>0.60840000000000005</v>
      </c>
      <c r="D334">
        <v>0.53200000000000003</v>
      </c>
      <c r="E334">
        <v>0.55579999999999996</v>
      </c>
      <c r="F334">
        <v>2992699.1</v>
      </c>
      <c r="G334">
        <v>0</v>
      </c>
      <c r="L334" t="s">
        <v>7</v>
      </c>
      <c r="M334" t="s">
        <v>8</v>
      </c>
      <c r="N334" t="s">
        <v>7</v>
      </c>
      <c r="P334">
        <f t="shared" si="970"/>
        <v>-0.37696335078534227</v>
      </c>
      <c r="Q334">
        <f t="shared" si="971"/>
        <v>-1128137.880628278</v>
      </c>
      <c r="R334">
        <f t="shared" si="972"/>
        <v>-19893386.400933973</v>
      </c>
      <c r="S334">
        <f t="shared" si="973"/>
        <v>-198.93386400933974</v>
      </c>
      <c r="T334">
        <f t="shared" si="974"/>
        <v>-0.19893386400933974</v>
      </c>
    </row>
    <row r="335" spans="1:20" x14ac:dyDescent="0.25">
      <c r="A335" s="5">
        <v>44258</v>
      </c>
      <c r="B335">
        <v>0.53839999999999999</v>
      </c>
      <c r="C335">
        <v>0.62</v>
      </c>
      <c r="D335">
        <v>0.53390000000000004</v>
      </c>
      <c r="E335">
        <v>0.59030000000000005</v>
      </c>
      <c r="F335">
        <v>3532064.76</v>
      </c>
      <c r="G335">
        <v>0</v>
      </c>
      <c r="L335" t="s">
        <v>8</v>
      </c>
      <c r="M335" t="s">
        <v>8</v>
      </c>
      <c r="N335" t="s">
        <v>7</v>
      </c>
      <c r="P335">
        <f t="shared" si="970"/>
        <v>0.31010452961672558</v>
      </c>
      <c r="Q335">
        <f t="shared" si="971"/>
        <v>1095309.2809756126</v>
      </c>
      <c r="R335">
        <f t="shared" si="972"/>
        <v>-18765248.520305697</v>
      </c>
      <c r="S335">
        <f t="shared" si="973"/>
        <v>-187.65248520305695</v>
      </c>
      <c r="T335">
        <f t="shared" si="974"/>
        <v>-0.18765248520305697</v>
      </c>
    </row>
    <row r="336" spans="1:20" x14ac:dyDescent="0.25">
      <c r="A336" s="5">
        <v>44257</v>
      </c>
      <c r="B336">
        <v>0.56699999999999995</v>
      </c>
      <c r="C336">
        <v>0.57330000000000003</v>
      </c>
      <c r="D336">
        <v>0.51570000000000005</v>
      </c>
      <c r="E336">
        <v>0.53839999999999999</v>
      </c>
      <c r="F336">
        <v>1918810.14</v>
      </c>
      <c r="G336">
        <v>0</v>
      </c>
      <c r="L336" t="s">
        <v>7</v>
      </c>
      <c r="M336" t="s">
        <v>8</v>
      </c>
      <c r="N336" t="s">
        <v>7</v>
      </c>
      <c r="P336">
        <f t="shared" si="970"/>
        <v>-0.21180555555555733</v>
      </c>
      <c r="Q336">
        <f t="shared" si="971"/>
        <v>-406414.64770833671</v>
      </c>
      <c r="R336">
        <f t="shared" si="972"/>
        <v>-19860557.801281311</v>
      </c>
      <c r="S336">
        <f t="shared" si="973"/>
        <v>-198.60557801281311</v>
      </c>
      <c r="T336">
        <f t="shared" si="974"/>
        <v>-0.19860557801281312</v>
      </c>
    </row>
    <row r="337" spans="1:20" x14ac:dyDescent="0.25">
      <c r="A337" s="5">
        <v>44256</v>
      </c>
      <c r="B337">
        <v>0.50219999999999998</v>
      </c>
      <c r="C337">
        <v>0.57640000000000002</v>
      </c>
      <c r="D337">
        <v>0.50209999999999999</v>
      </c>
      <c r="E337">
        <v>0.56630000000000003</v>
      </c>
      <c r="F337">
        <v>2351461.94</v>
      </c>
      <c r="G337">
        <v>0</v>
      </c>
      <c r="L337" t="s">
        <v>8</v>
      </c>
      <c r="M337" t="s">
        <v>8</v>
      </c>
      <c r="N337" t="s">
        <v>7</v>
      </c>
      <c r="P337">
        <f t="shared" si="970"/>
        <v>0.72812920592193831</v>
      </c>
      <c r="Q337">
        <f t="shared" si="971"/>
        <v>1712168.1151278606</v>
      </c>
      <c r="R337">
        <f t="shared" si="972"/>
        <v>-19454143.153572973</v>
      </c>
      <c r="S337">
        <f t="shared" si="973"/>
        <v>-194.54143153572974</v>
      </c>
      <c r="T337">
        <f t="shared" si="974"/>
        <v>-0.19454143153572975</v>
      </c>
    </row>
    <row r="338" spans="1:20" x14ac:dyDescent="0.25">
      <c r="A338" s="5">
        <v>44255</v>
      </c>
      <c r="B338">
        <v>0.54530000000000001</v>
      </c>
      <c r="C338">
        <v>0.55279999999999996</v>
      </c>
      <c r="D338">
        <v>0.46300000000000002</v>
      </c>
      <c r="E338">
        <v>0.50470000000000004</v>
      </c>
      <c r="F338">
        <v>2229990.79</v>
      </c>
      <c r="G338">
        <v>0</v>
      </c>
      <c r="L338" t="s">
        <v>7</v>
      </c>
      <c r="M338" t="s">
        <v>7</v>
      </c>
      <c r="N338" t="s">
        <v>7</v>
      </c>
      <c r="P338">
        <f t="shared" si="970"/>
        <v>-7.1269487750555791E-2</v>
      </c>
      <c r="Q338">
        <f t="shared" si="971"/>
        <v>-158930.30129175723</v>
      </c>
      <c r="R338">
        <f t="shared" si="972"/>
        <v>-21166311.268700834</v>
      </c>
      <c r="S338">
        <f t="shared" si="973"/>
        <v>-211.66311268700835</v>
      </c>
      <c r="T338">
        <f t="shared" si="974"/>
        <v>-0.21166311268700835</v>
      </c>
    </row>
    <row r="339" spans="1:20" x14ac:dyDescent="0.25">
      <c r="A339" s="5">
        <v>44254</v>
      </c>
      <c r="B339">
        <v>0.4975</v>
      </c>
      <c r="C339">
        <v>0.58499999999999996</v>
      </c>
      <c r="D339">
        <v>0.4975</v>
      </c>
      <c r="E339">
        <v>0.54830000000000001</v>
      </c>
      <c r="F339">
        <v>3074603.55</v>
      </c>
      <c r="G339">
        <v>0</v>
      </c>
      <c r="L339" t="s">
        <v>8</v>
      </c>
      <c r="M339" t="s">
        <v>8</v>
      </c>
      <c r="N339" t="s">
        <v>7</v>
      </c>
      <c r="P339">
        <f t="shared" si="970"/>
        <v>0.16114285714285786</v>
      </c>
      <c r="Q339">
        <f t="shared" si="971"/>
        <v>495450.40062857361</v>
      </c>
      <c r="R339">
        <f t="shared" si="972"/>
        <v>-21007380.967409078</v>
      </c>
      <c r="S339">
        <f t="shared" si="973"/>
        <v>-210.07380967409077</v>
      </c>
      <c r="T339">
        <f t="shared" si="974"/>
        <v>-0.21007380967409076</v>
      </c>
    </row>
    <row r="340" spans="1:20" x14ac:dyDescent="0.25">
      <c r="A340" s="5">
        <v>44253</v>
      </c>
      <c r="B340">
        <v>0.53259999999999996</v>
      </c>
      <c r="C340">
        <v>0.55640000000000001</v>
      </c>
      <c r="D340">
        <v>0.48</v>
      </c>
      <c r="E340">
        <v>0.49730000000000002</v>
      </c>
      <c r="F340">
        <v>3497137.93</v>
      </c>
      <c r="G340">
        <v>0</v>
      </c>
      <c r="L340" t="s">
        <v>7</v>
      </c>
      <c r="M340" t="s">
        <v>7</v>
      </c>
      <c r="N340" t="s">
        <v>7</v>
      </c>
      <c r="P340">
        <f t="shared" si="970"/>
        <v>-0.54712041884816665</v>
      </c>
      <c r="Q340">
        <f t="shared" si="971"/>
        <v>-1913355.5690314106</v>
      </c>
      <c r="R340">
        <f t="shared" si="972"/>
        <v>-21502831.368037652</v>
      </c>
      <c r="S340">
        <f t="shared" si="973"/>
        <v>-215.02831368037653</v>
      </c>
      <c r="T340">
        <f t="shared" si="974"/>
        <v>-0.21502831368037653</v>
      </c>
    </row>
    <row r="341" spans="1:20" x14ac:dyDescent="0.25">
      <c r="A341" s="5">
        <v>44252</v>
      </c>
      <c r="B341">
        <v>0.55889999999999995</v>
      </c>
      <c r="C341">
        <v>0.63319999999999999</v>
      </c>
      <c r="D341">
        <v>0.53190000000000004</v>
      </c>
      <c r="E341">
        <v>0.53869999999999996</v>
      </c>
      <c r="F341">
        <v>3010533.08</v>
      </c>
      <c r="G341">
        <v>0</v>
      </c>
      <c r="L341" t="s">
        <v>7</v>
      </c>
      <c r="M341" t="s">
        <v>7</v>
      </c>
      <c r="N341" t="s">
        <v>7</v>
      </c>
      <c r="P341">
        <f t="shared" si="970"/>
        <v>-0.86574531095755336</v>
      </c>
      <c r="Q341">
        <f t="shared" si="971"/>
        <v>-2606354.8974926011</v>
      </c>
      <c r="R341">
        <f t="shared" si="972"/>
        <v>-19589475.799006242</v>
      </c>
      <c r="S341">
        <f t="shared" si="973"/>
        <v>-195.89475799006243</v>
      </c>
      <c r="T341">
        <f t="shared" si="974"/>
        <v>-0.19589475799006242</v>
      </c>
    </row>
    <row r="342" spans="1:20" x14ac:dyDescent="0.25">
      <c r="A342" s="5">
        <v>44251</v>
      </c>
      <c r="B342">
        <v>0.56159999999999999</v>
      </c>
      <c r="C342">
        <v>0.64749999999999996</v>
      </c>
      <c r="D342">
        <v>0.52449999999999997</v>
      </c>
      <c r="E342">
        <v>0.55789999999999995</v>
      </c>
      <c r="F342">
        <v>3966619.65</v>
      </c>
      <c r="G342">
        <v>0</v>
      </c>
      <c r="L342" t="s">
        <v>8</v>
      </c>
      <c r="M342" t="s">
        <v>8</v>
      </c>
      <c r="N342" t="s">
        <v>7</v>
      </c>
      <c r="P342">
        <f t="shared" si="970"/>
        <v>-0.45691056910569128</v>
      </c>
      <c r="Q342">
        <f t="shared" si="971"/>
        <v>-1812390.441707318</v>
      </c>
      <c r="R342">
        <f t="shared" si="972"/>
        <v>-16983120.90151364</v>
      </c>
      <c r="S342">
        <f t="shared" si="973"/>
        <v>-169.83120901513641</v>
      </c>
      <c r="T342">
        <f t="shared" si="974"/>
        <v>-0.1698312090151364</v>
      </c>
    </row>
    <row r="343" spans="1:20" x14ac:dyDescent="0.25">
      <c r="A343" s="5">
        <v>44250</v>
      </c>
      <c r="B343">
        <v>0.72460000000000002</v>
      </c>
      <c r="C343">
        <v>0.7319</v>
      </c>
      <c r="D343">
        <v>0.4788</v>
      </c>
      <c r="E343">
        <v>0.56100000000000005</v>
      </c>
      <c r="F343">
        <v>6799248.8700000001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-0.3504543658632947</v>
      </c>
      <c r="Q343">
        <f t="shared" si="971"/>
        <v>-2382826.4510825733</v>
      </c>
      <c r="R343">
        <f t="shared" si="972"/>
        <v>-15170730.459806323</v>
      </c>
      <c r="S343">
        <f t="shared" si="973"/>
        <v>-151.70730459806322</v>
      </c>
      <c r="T343">
        <f t="shared" si="974"/>
        <v>-0.15170730459806323</v>
      </c>
    </row>
    <row r="344" spans="1:20" x14ac:dyDescent="0.25">
      <c r="A344" s="5">
        <v>44249</v>
      </c>
      <c r="B344">
        <v>0.86080000000000001</v>
      </c>
      <c r="C344">
        <v>0.91500000000000004</v>
      </c>
      <c r="D344">
        <v>0.61470000000000002</v>
      </c>
      <c r="E344">
        <v>0.72819999999999996</v>
      </c>
      <c r="F344">
        <v>8457712.4600000009</v>
      </c>
      <c r="G344">
        <v>0</v>
      </c>
      <c r="L344" t="s">
        <v>8</v>
      </c>
      <c r="M344" t="s">
        <v>8</v>
      </c>
      <c r="N344" t="s">
        <v>8</v>
      </c>
      <c r="P344">
        <f t="shared" si="970"/>
        <v>-0.24408924408924457</v>
      </c>
      <c r="Q344">
        <f t="shared" si="971"/>
        <v>-2064436.6410855853</v>
      </c>
      <c r="R344">
        <f t="shared" si="972"/>
        <v>-12787904.008723751</v>
      </c>
      <c r="S344">
        <f t="shared" si="973"/>
        <v>-127.87904008723751</v>
      </c>
      <c r="T344">
        <f t="shared" si="974"/>
        <v>-0.12787904008723752</v>
      </c>
    </row>
    <row r="345" spans="1:20" x14ac:dyDescent="0.25">
      <c r="A345" s="5">
        <v>44248</v>
      </c>
      <c r="B345">
        <v>0.73540000000000005</v>
      </c>
      <c r="C345">
        <v>0.89</v>
      </c>
      <c r="D345">
        <v>0.70269999999999999</v>
      </c>
      <c r="E345">
        <v>0.85609999999999997</v>
      </c>
      <c r="F345">
        <v>10075255.74</v>
      </c>
      <c r="G345">
        <v>0</v>
      </c>
      <c r="L345" t="s">
        <v>8</v>
      </c>
      <c r="M345" t="s">
        <v>8</v>
      </c>
      <c r="N345" t="s">
        <v>8</v>
      </c>
      <c r="P345">
        <f t="shared" si="970"/>
        <v>0.63801388147357141</v>
      </c>
      <c r="Q345">
        <f t="shared" si="971"/>
        <v>6428153.0215162802</v>
      </c>
      <c r="R345">
        <f t="shared" si="972"/>
        <v>-10723467.367638165</v>
      </c>
      <c r="S345">
        <f t="shared" si="973"/>
        <v>-107.23467367638165</v>
      </c>
      <c r="T345">
        <f t="shared" si="974"/>
        <v>-0.10723467367638165</v>
      </c>
    </row>
    <row r="346" spans="1:20" x14ac:dyDescent="0.25">
      <c r="A346" s="5">
        <v>44247</v>
      </c>
      <c r="B346">
        <v>0.70269999999999999</v>
      </c>
      <c r="C346">
        <v>0.85</v>
      </c>
      <c r="D346">
        <v>0.67459999999999998</v>
      </c>
      <c r="E346">
        <v>0.73499999999999999</v>
      </c>
      <c r="F346">
        <v>7969328.2000000002</v>
      </c>
      <c r="G346">
        <v>0</v>
      </c>
      <c r="L346" t="s">
        <v>8</v>
      </c>
      <c r="M346" t="s">
        <v>8</v>
      </c>
      <c r="N346" t="s">
        <v>8</v>
      </c>
      <c r="P346">
        <f t="shared" si="970"/>
        <v>-0.31128848346636251</v>
      </c>
      <c r="Q346">
        <f t="shared" si="971"/>
        <v>-2480760.0896237167</v>
      </c>
      <c r="R346">
        <f t="shared" si="972"/>
        <v>-17151620.389154445</v>
      </c>
      <c r="S346">
        <f t="shared" si="973"/>
        <v>-171.51620389154445</v>
      </c>
      <c r="T346">
        <f t="shared" si="974"/>
        <v>-0.17151620389154446</v>
      </c>
    </row>
    <row r="347" spans="1:20" x14ac:dyDescent="0.25">
      <c r="A347" s="5">
        <v>44246</v>
      </c>
      <c r="B347">
        <v>0.68440000000000001</v>
      </c>
      <c r="C347">
        <v>0.71</v>
      </c>
      <c r="D347">
        <v>0.65439999999999998</v>
      </c>
      <c r="E347">
        <v>0.70289999999999997</v>
      </c>
      <c r="F347">
        <v>2921305.99</v>
      </c>
      <c r="G347">
        <v>0</v>
      </c>
      <c r="L347" t="s">
        <v>7</v>
      </c>
      <c r="M347" t="s">
        <v>8</v>
      </c>
      <c r="N347" t="s">
        <v>8</v>
      </c>
      <c r="P347">
        <f t="shared" si="970"/>
        <v>0.74460431654676273</v>
      </c>
      <c r="Q347">
        <f t="shared" si="971"/>
        <v>2175217.0501079145</v>
      </c>
      <c r="R347">
        <f t="shared" si="972"/>
        <v>-14670860.29953073</v>
      </c>
      <c r="S347">
        <f t="shared" si="973"/>
        <v>-146.7086029953073</v>
      </c>
      <c r="T347">
        <f t="shared" si="974"/>
        <v>-0.1467086029953073</v>
      </c>
    </row>
    <row r="348" spans="1:20" x14ac:dyDescent="0.25">
      <c r="A348" s="5">
        <v>44245</v>
      </c>
      <c r="B348">
        <v>0.7036</v>
      </c>
      <c r="C348">
        <v>0.72499999999999998</v>
      </c>
      <c r="D348">
        <v>0.66100000000000003</v>
      </c>
      <c r="E348">
        <v>0.68289999999999995</v>
      </c>
      <c r="F348">
        <v>3560120.33</v>
      </c>
      <c r="G348">
        <v>0</v>
      </c>
      <c r="L348" t="s">
        <v>7</v>
      </c>
      <c r="M348" t="s">
        <v>8</v>
      </c>
      <c r="N348" t="s">
        <v>8</v>
      </c>
      <c r="P348">
        <f t="shared" si="970"/>
        <v>-0.31562500000000193</v>
      </c>
      <c r="Q348">
        <f t="shared" si="971"/>
        <v>-1123662.9791562569</v>
      </c>
      <c r="R348">
        <f t="shared" si="972"/>
        <v>-16846077.349638645</v>
      </c>
      <c r="S348">
        <f t="shared" si="973"/>
        <v>-168.46077349638645</v>
      </c>
      <c r="T348">
        <f t="shared" si="974"/>
        <v>-0.16846077349638644</v>
      </c>
    </row>
    <row r="349" spans="1:20" x14ac:dyDescent="0.25">
      <c r="A349" s="5">
        <v>44244</v>
      </c>
      <c r="B349">
        <v>0.66090000000000004</v>
      </c>
      <c r="C349">
        <v>0.71489999999999998</v>
      </c>
      <c r="D349">
        <v>0.59760000000000002</v>
      </c>
      <c r="E349">
        <v>0.70289999999999997</v>
      </c>
      <c r="F349">
        <v>3295988.67</v>
      </c>
      <c r="G349">
        <v>0</v>
      </c>
      <c r="L349" t="s">
        <v>8</v>
      </c>
      <c r="M349" t="s">
        <v>8</v>
      </c>
      <c r="N349" t="s">
        <v>8</v>
      </c>
      <c r="P349">
        <f t="shared" si="970"/>
        <v>0.79539641943733985</v>
      </c>
      <c r="Q349">
        <f t="shared" si="971"/>
        <v>2621617.5866240398</v>
      </c>
      <c r="R349">
        <f t="shared" si="972"/>
        <v>-15722414.370482387</v>
      </c>
      <c r="S349">
        <f t="shared" si="973"/>
        <v>-157.22414370482386</v>
      </c>
      <c r="T349">
        <f t="shared" si="974"/>
        <v>-0.15722414370482385</v>
      </c>
    </row>
    <row r="350" spans="1:20" x14ac:dyDescent="0.25">
      <c r="A350" s="5">
        <v>44243</v>
      </c>
      <c r="B350">
        <v>0.62180000000000002</v>
      </c>
      <c r="C350">
        <v>0.69</v>
      </c>
      <c r="D350">
        <v>0.59840000000000004</v>
      </c>
      <c r="E350">
        <v>0.66090000000000004</v>
      </c>
      <c r="F350">
        <v>2834415.08</v>
      </c>
      <c r="G350">
        <v>0</v>
      </c>
      <c r="L350" t="s">
        <v>8</v>
      </c>
      <c r="M350" t="s">
        <v>8</v>
      </c>
      <c r="N350" t="s">
        <v>8</v>
      </c>
      <c r="P350">
        <f t="shared" si="970"/>
        <v>0.36462882096070015</v>
      </c>
      <c r="Q350">
        <f t="shared" si="971"/>
        <v>1033509.4287336286</v>
      </c>
      <c r="R350">
        <f t="shared" si="972"/>
        <v>-18344031.957106426</v>
      </c>
      <c r="S350">
        <f t="shared" si="973"/>
        <v>-183.44031957106426</v>
      </c>
      <c r="T350">
        <f t="shared" si="974"/>
        <v>-0.18344031957106427</v>
      </c>
    </row>
    <row r="351" spans="1:20" x14ac:dyDescent="0.25">
      <c r="A351" s="5">
        <v>44242</v>
      </c>
      <c r="B351">
        <v>0.63629999999999998</v>
      </c>
      <c r="C351">
        <v>0.72</v>
      </c>
      <c r="D351">
        <v>0.57599999999999996</v>
      </c>
      <c r="E351">
        <v>0.62080000000000002</v>
      </c>
      <c r="F351">
        <v>4812792.21</v>
      </c>
      <c r="G351">
        <v>0</v>
      </c>
      <c r="L351" t="s">
        <v>7</v>
      </c>
      <c r="M351" t="s">
        <v>7</v>
      </c>
      <c r="N351" t="s">
        <v>8</v>
      </c>
      <c r="P351">
        <f t="shared" si="970"/>
        <v>-0.37777777777777699</v>
      </c>
      <c r="Q351">
        <f t="shared" si="971"/>
        <v>-1818165.9459999963</v>
      </c>
      <c r="R351">
        <f t="shared" si="972"/>
        <v>-19377541.385840055</v>
      </c>
      <c r="S351">
        <f t="shared" si="973"/>
        <v>-193.77541385840055</v>
      </c>
      <c r="T351">
        <f t="shared" si="974"/>
        <v>-0.19377541385840055</v>
      </c>
    </row>
    <row r="352" spans="1:20" x14ac:dyDescent="0.25">
      <c r="A352" s="5">
        <v>44241</v>
      </c>
      <c r="B352">
        <v>0.75070000000000003</v>
      </c>
      <c r="C352">
        <v>0.75539999999999996</v>
      </c>
      <c r="D352">
        <v>0.61839999999999995</v>
      </c>
      <c r="E352">
        <v>0.63429999999999997</v>
      </c>
      <c r="F352">
        <v>4352911.91</v>
      </c>
      <c r="G352">
        <v>0</v>
      </c>
      <c r="L352" t="s">
        <v>7</v>
      </c>
      <c r="M352" t="s">
        <v>7</v>
      </c>
      <c r="N352" t="s">
        <v>8</v>
      </c>
      <c r="P352">
        <f t="shared" si="970"/>
        <v>-0.76788321167883178</v>
      </c>
      <c r="Q352">
        <f t="shared" si="971"/>
        <v>-3342527.9776058379</v>
      </c>
      <c r="R352">
        <f t="shared" si="972"/>
        <v>-17559375.43984006</v>
      </c>
      <c r="S352">
        <f t="shared" si="973"/>
        <v>-175.59375439840059</v>
      </c>
      <c r="T352">
        <f t="shared" si="974"/>
        <v>-0.17559375439840058</v>
      </c>
    </row>
    <row r="353" spans="1:20" x14ac:dyDescent="0.25">
      <c r="A353" s="5">
        <v>44240</v>
      </c>
      <c r="B353">
        <v>0.67420000000000002</v>
      </c>
      <c r="C353">
        <v>0.78100000000000003</v>
      </c>
      <c r="D353">
        <v>0.64739999999999998</v>
      </c>
      <c r="E353">
        <v>0.75070000000000003</v>
      </c>
      <c r="F353">
        <v>5932825.9400000004</v>
      </c>
      <c r="G353">
        <v>0</v>
      </c>
      <c r="L353" t="s">
        <v>8</v>
      </c>
      <c r="M353" t="s">
        <v>8</v>
      </c>
      <c r="N353" t="s">
        <v>8</v>
      </c>
      <c r="P353">
        <f t="shared" si="970"/>
        <v>0.5464071856287428</v>
      </c>
      <c r="Q353">
        <f t="shared" si="971"/>
        <v>3241738.7247006008</v>
      </c>
      <c r="R353">
        <f t="shared" si="972"/>
        <v>-14216847.462234221</v>
      </c>
      <c r="S353">
        <f t="shared" si="973"/>
        <v>-142.16847462234222</v>
      </c>
      <c r="T353">
        <f t="shared" si="974"/>
        <v>-0.14216847462234222</v>
      </c>
    </row>
    <row r="354" spans="1:20" x14ac:dyDescent="0.25">
      <c r="A354" s="5">
        <v>44239</v>
      </c>
      <c r="B354">
        <v>0.66139999999999999</v>
      </c>
      <c r="C354">
        <v>0.74619999999999997</v>
      </c>
      <c r="D354">
        <v>0.63080000000000003</v>
      </c>
      <c r="E354">
        <v>0.67420000000000002</v>
      </c>
      <c r="F354">
        <v>4261540.13</v>
      </c>
      <c r="G354">
        <v>0</v>
      </c>
      <c r="L354" t="s">
        <v>8</v>
      </c>
      <c r="M354" t="s">
        <v>8</v>
      </c>
      <c r="N354" t="s">
        <v>8</v>
      </c>
      <c r="P354">
        <f t="shared" si="970"/>
        <v>-0.24783362218370861</v>
      </c>
      <c r="Q354">
        <f t="shared" si="971"/>
        <v>-1056152.9264991325</v>
      </c>
      <c r="R354">
        <f t="shared" si="972"/>
        <v>-17458586.186934821</v>
      </c>
      <c r="S354">
        <f t="shared" si="973"/>
        <v>-174.58586186934821</v>
      </c>
      <c r="T354">
        <f t="shared" si="974"/>
        <v>-0.17458586186934821</v>
      </c>
    </row>
    <row r="355" spans="1:20" x14ac:dyDescent="0.25">
      <c r="A355" s="5">
        <v>44238</v>
      </c>
      <c r="B355">
        <v>0.57240000000000002</v>
      </c>
      <c r="C355">
        <v>0.71970000000000001</v>
      </c>
      <c r="D355">
        <v>0.54620000000000002</v>
      </c>
      <c r="E355">
        <v>0.66379999999999995</v>
      </c>
      <c r="F355">
        <v>7128209.1399999997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0.35561959654178599</v>
      </c>
      <c r="Q355">
        <f t="shared" si="971"/>
        <v>2534930.8584322711</v>
      </c>
      <c r="R355">
        <f t="shared" si="972"/>
        <v>-16402433.260435689</v>
      </c>
      <c r="S355">
        <f t="shared" si="973"/>
        <v>-164.02433260435689</v>
      </c>
      <c r="T355">
        <f t="shared" si="974"/>
        <v>-0.16402433260435689</v>
      </c>
    </row>
    <row r="356" spans="1:20" x14ac:dyDescent="0.25">
      <c r="A356" s="5">
        <v>44237</v>
      </c>
      <c r="B356">
        <v>0.50960000000000005</v>
      </c>
      <c r="C356">
        <v>0.63</v>
      </c>
      <c r="D356">
        <v>0.49</v>
      </c>
      <c r="E356">
        <v>0.57450000000000001</v>
      </c>
      <c r="F356">
        <v>8464464.2400000002</v>
      </c>
      <c r="G356">
        <v>0</v>
      </c>
      <c r="L356" t="s">
        <v>8</v>
      </c>
      <c r="M356" t="s">
        <v>8</v>
      </c>
      <c r="N356" t="s">
        <v>8</v>
      </c>
      <c r="P356">
        <f t="shared" si="970"/>
        <v>0.2071428571428573</v>
      </c>
      <c r="Q356">
        <f t="shared" si="971"/>
        <v>1753353.3068571442</v>
      </c>
      <c r="R356">
        <f t="shared" si="972"/>
        <v>-18937364.11886796</v>
      </c>
      <c r="S356">
        <f t="shared" si="973"/>
        <v>-189.37364118867958</v>
      </c>
      <c r="T356">
        <f t="shared" si="974"/>
        <v>-0.18937364118867958</v>
      </c>
    </row>
    <row r="357" spans="1:20" x14ac:dyDescent="0.25">
      <c r="A357" s="5">
        <v>44236</v>
      </c>
      <c r="B357">
        <v>0.45739999999999997</v>
      </c>
      <c r="C357">
        <v>0.52400000000000002</v>
      </c>
      <c r="D357">
        <v>0.45290000000000002</v>
      </c>
      <c r="E357">
        <v>0.51129999999999998</v>
      </c>
      <c r="F357">
        <v>5058553.83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0.64275668073136305</v>
      </c>
      <c r="Q357">
        <f t="shared" si="971"/>
        <v>3251419.2690717238</v>
      </c>
      <c r="R357">
        <f t="shared" si="972"/>
        <v>-20690717.425725102</v>
      </c>
      <c r="S357">
        <f t="shared" si="973"/>
        <v>-206.90717425725103</v>
      </c>
      <c r="T357">
        <f t="shared" si="974"/>
        <v>-0.20690717425725103</v>
      </c>
    </row>
    <row r="358" spans="1:20" x14ac:dyDescent="0.25">
      <c r="A358" s="5">
        <v>44235</v>
      </c>
      <c r="B358">
        <v>0.41660000000000003</v>
      </c>
      <c r="C358">
        <v>0.46760000000000002</v>
      </c>
      <c r="D358">
        <v>0.41210000000000002</v>
      </c>
      <c r="E358">
        <v>0.45739999999999997</v>
      </c>
      <c r="F358">
        <v>3691164.14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0.63243243243243086</v>
      </c>
      <c r="Q358">
        <f t="shared" si="971"/>
        <v>2334411.915567562</v>
      </c>
      <c r="R358">
        <f t="shared" si="972"/>
        <v>-23942136.694796827</v>
      </c>
      <c r="S358">
        <f t="shared" si="973"/>
        <v>-239.42136694796827</v>
      </c>
      <c r="T358">
        <f t="shared" si="974"/>
        <v>-0.23942136694796826</v>
      </c>
    </row>
    <row r="359" spans="1:20" x14ac:dyDescent="0.25">
      <c r="A359" s="5">
        <v>44234</v>
      </c>
      <c r="B359">
        <v>0.44130000000000003</v>
      </c>
      <c r="C359">
        <v>0.45319999999999999</v>
      </c>
      <c r="D359">
        <v>0.37909999999999999</v>
      </c>
      <c r="E359">
        <v>0.41660000000000003</v>
      </c>
      <c r="F359">
        <v>3892065.98</v>
      </c>
      <c r="G359">
        <v>0</v>
      </c>
      <c r="L359" t="s">
        <v>7</v>
      </c>
      <c r="M359" t="s">
        <v>7</v>
      </c>
      <c r="N359" t="s">
        <v>8</v>
      </c>
      <c r="P359">
        <f t="shared" si="970"/>
        <v>1.214574898785516E-2</v>
      </c>
      <c r="Q359">
        <f t="shared" si="971"/>
        <v>47272.056437250503</v>
      </c>
      <c r="R359">
        <f t="shared" si="972"/>
        <v>-26276548.610364389</v>
      </c>
      <c r="S359">
        <f t="shared" si="973"/>
        <v>-262.76548610364387</v>
      </c>
      <c r="T359">
        <f t="shared" si="974"/>
        <v>-0.26276548610364386</v>
      </c>
    </row>
    <row r="360" spans="1:20" x14ac:dyDescent="0.25">
      <c r="A360" s="5">
        <v>44233</v>
      </c>
      <c r="B360">
        <v>0.47149999999999997</v>
      </c>
      <c r="C360">
        <v>0.47210000000000002</v>
      </c>
      <c r="D360">
        <v>0.43</v>
      </c>
      <c r="E360">
        <v>0.44219999999999998</v>
      </c>
      <c r="F360">
        <v>4112761.27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-0.42042755344418142</v>
      </c>
      <c r="Q360">
        <f t="shared" si="971"/>
        <v>-1729118.1586460844</v>
      </c>
      <c r="R360">
        <f t="shared" si="972"/>
        <v>-26323820.666801639</v>
      </c>
      <c r="S360">
        <f t="shared" si="973"/>
        <v>-263.2382066680164</v>
      </c>
      <c r="T360">
        <f t="shared" si="974"/>
        <v>-0.26323820666801639</v>
      </c>
    </row>
    <row r="361" spans="1:20" x14ac:dyDescent="0.25">
      <c r="A361" s="5">
        <v>44232</v>
      </c>
      <c r="B361">
        <v>0.42059999999999997</v>
      </c>
      <c r="C361">
        <v>0.47810000000000002</v>
      </c>
      <c r="D361">
        <v>0.41020000000000001</v>
      </c>
      <c r="E361">
        <v>0.47139999999999999</v>
      </c>
      <c r="F361">
        <v>4692896.04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0.80265095729013147</v>
      </c>
      <c r="Q361">
        <f t="shared" si="971"/>
        <v>3766757.4989690674</v>
      </c>
      <c r="R361">
        <f t="shared" si="972"/>
        <v>-24594702.508155555</v>
      </c>
      <c r="S361">
        <f t="shared" si="973"/>
        <v>-245.94702508155555</v>
      </c>
      <c r="T361">
        <f t="shared" si="974"/>
        <v>-0.24594702508155555</v>
      </c>
    </row>
    <row r="362" spans="1:20" x14ac:dyDescent="0.25">
      <c r="A362" s="5">
        <v>44231</v>
      </c>
      <c r="B362">
        <v>0.41070000000000001</v>
      </c>
      <c r="C362">
        <v>0.438</v>
      </c>
      <c r="D362">
        <v>0.38419999999999999</v>
      </c>
      <c r="E362">
        <v>0.42059999999999997</v>
      </c>
      <c r="F362">
        <v>4441525.68</v>
      </c>
      <c r="G362">
        <v>0</v>
      </c>
      <c r="L362" t="s">
        <v>8</v>
      </c>
      <c r="M362" t="s">
        <v>8</v>
      </c>
      <c r="N362" t="s">
        <v>8</v>
      </c>
      <c r="P362">
        <f t="shared" si="970"/>
        <v>0.35315985130111444</v>
      </c>
      <c r="Q362">
        <f t="shared" si="971"/>
        <v>1568568.5486988812</v>
      </c>
      <c r="R362">
        <f t="shared" si="972"/>
        <v>-28361460.007124621</v>
      </c>
      <c r="S362">
        <f t="shared" si="973"/>
        <v>-283.61460007124623</v>
      </c>
      <c r="T362">
        <f t="shared" si="974"/>
        <v>-0.28361460007124623</v>
      </c>
    </row>
    <row r="363" spans="1:20" x14ac:dyDescent="0.25">
      <c r="A363" s="5">
        <v>44230</v>
      </c>
      <c r="B363">
        <v>0.39410000000000001</v>
      </c>
      <c r="C363">
        <v>0.41460000000000002</v>
      </c>
      <c r="D363">
        <v>0.39200000000000002</v>
      </c>
      <c r="E363">
        <v>0.41</v>
      </c>
      <c r="F363">
        <v>3352026.1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0.5929203539822967</v>
      </c>
      <c r="Q363">
        <f t="shared" si="971"/>
        <v>1987484.5017698975</v>
      </c>
      <c r="R363">
        <f t="shared" si="972"/>
        <v>-29930028.555823501</v>
      </c>
      <c r="S363">
        <f t="shared" si="973"/>
        <v>-299.30028555823503</v>
      </c>
      <c r="T363">
        <f t="shared" si="974"/>
        <v>-0.29930028555823501</v>
      </c>
    </row>
    <row r="364" spans="1:20" x14ac:dyDescent="0.25">
      <c r="A364" s="5">
        <v>44229</v>
      </c>
      <c r="B364">
        <v>0.39119999999999999</v>
      </c>
      <c r="C364">
        <v>0.40139999999999998</v>
      </c>
      <c r="D364">
        <v>0.38109999999999999</v>
      </c>
      <c r="E364">
        <v>0.39410000000000001</v>
      </c>
      <c r="F364">
        <v>3355234.74</v>
      </c>
      <c r="G364">
        <v>0</v>
      </c>
      <c r="L364" t="s">
        <v>7</v>
      </c>
      <c r="M364" t="s">
        <v>8</v>
      </c>
      <c r="N364" t="s">
        <v>8</v>
      </c>
      <c r="P364">
        <f t="shared" si="970"/>
        <v>0.28078817733990358</v>
      </c>
      <c r="Q364">
        <f t="shared" si="971"/>
        <v>942110.2471921253</v>
      </c>
      <c r="R364">
        <f t="shared" si="972"/>
        <v>-31917513.057593398</v>
      </c>
      <c r="S364">
        <f t="shared" si="973"/>
        <v>-319.17513057593396</v>
      </c>
      <c r="T364">
        <f t="shared" si="974"/>
        <v>-0.31917513057593394</v>
      </c>
    </row>
    <row r="365" spans="1:20" x14ac:dyDescent="0.25">
      <c r="A365" s="5">
        <v>44228</v>
      </c>
      <c r="B365">
        <v>0.40350000000000003</v>
      </c>
      <c r="C365">
        <v>0.43719999999999998</v>
      </c>
      <c r="D365">
        <v>0.37640000000000001</v>
      </c>
      <c r="E365">
        <v>0.39219999999999999</v>
      </c>
      <c r="F365">
        <v>6894080.6900000004</v>
      </c>
      <c r="G365">
        <v>0</v>
      </c>
      <c r="L365" t="s">
        <v>8</v>
      </c>
      <c r="M365" t="s">
        <v>8</v>
      </c>
      <c r="N365" t="s">
        <v>8</v>
      </c>
      <c r="P365">
        <f t="shared" si="970"/>
        <v>-0.48026315789473717</v>
      </c>
      <c r="Q365">
        <f t="shared" si="971"/>
        <v>-3310972.9629605287</v>
      </c>
      <c r="R365">
        <f t="shared" si="972"/>
        <v>-32859623.304785524</v>
      </c>
      <c r="S365">
        <f t="shared" si="973"/>
        <v>-328.59623304785521</v>
      </c>
      <c r="T365">
        <f t="shared" si="974"/>
        <v>-0.32859623304785524</v>
      </c>
    </row>
    <row r="366" spans="1:20" x14ac:dyDescent="0.25">
      <c r="A366" s="5">
        <v>44227</v>
      </c>
      <c r="B366">
        <v>0.35720000000000002</v>
      </c>
      <c r="C366">
        <v>0.43380000000000002</v>
      </c>
      <c r="D366">
        <v>0.35110000000000002</v>
      </c>
      <c r="E366">
        <v>0.4042</v>
      </c>
      <c r="F366">
        <v>11353450.060000001</v>
      </c>
      <c r="G366">
        <v>0</v>
      </c>
      <c r="L366" t="s">
        <v>8</v>
      </c>
      <c r="M366" t="s">
        <v>8</v>
      </c>
      <c r="N366" t="s">
        <v>8</v>
      </c>
      <c r="P366">
        <f t="shared" si="970"/>
        <v>0.28415961305924992</v>
      </c>
      <c r="Q366">
        <f t="shared" si="971"/>
        <v>3226191.9759371178</v>
      </c>
      <c r="R366">
        <f t="shared" si="972"/>
        <v>-29548650.341824993</v>
      </c>
      <c r="S366">
        <f t="shared" si="973"/>
        <v>-295.48650341824992</v>
      </c>
      <c r="T366">
        <f t="shared" si="974"/>
        <v>-0.29548650341824995</v>
      </c>
    </row>
    <row r="367" spans="1:20" x14ac:dyDescent="0.25">
      <c r="A367" s="5">
        <v>44226</v>
      </c>
      <c r="B367">
        <v>0.34720000000000001</v>
      </c>
      <c r="C367">
        <v>0.38500000000000001</v>
      </c>
      <c r="D367">
        <v>0.33860000000000001</v>
      </c>
      <c r="E367">
        <v>0.35730000000000001</v>
      </c>
      <c r="F367">
        <v>2350240.08</v>
      </c>
      <c r="G367">
        <v>0</v>
      </c>
      <c r="L367" t="s">
        <v>8</v>
      </c>
      <c r="M367" t="s">
        <v>8</v>
      </c>
      <c r="N367" t="s">
        <v>7</v>
      </c>
      <c r="P367">
        <f t="shared" si="970"/>
        <v>-0.1939655172413795</v>
      </c>
      <c r="Q367">
        <f t="shared" si="971"/>
        <v>-455865.53275862115</v>
      </c>
      <c r="R367">
        <f t="shared" si="972"/>
        <v>-32774842.31776211</v>
      </c>
      <c r="S367">
        <f t="shared" si="973"/>
        <v>-327.74842317762108</v>
      </c>
      <c r="T367">
        <f t="shared" si="974"/>
        <v>-0.3277484231776211</v>
      </c>
    </row>
    <row r="368" spans="1:20" x14ac:dyDescent="0.25">
      <c r="A368" s="5">
        <v>44225</v>
      </c>
      <c r="B368">
        <v>0.3538</v>
      </c>
      <c r="C368">
        <v>0.36899999999999999</v>
      </c>
      <c r="D368">
        <v>0.3301</v>
      </c>
      <c r="E368">
        <v>0.34799999999999998</v>
      </c>
      <c r="F368">
        <v>2494240.62</v>
      </c>
      <c r="G368">
        <v>0</v>
      </c>
      <c r="L368" t="s">
        <v>8</v>
      </c>
      <c r="M368" t="s">
        <v>7</v>
      </c>
      <c r="N368" t="s">
        <v>7</v>
      </c>
      <c r="P368">
        <f t="shared" si="970"/>
        <v>-7.96915167095128E-2</v>
      </c>
      <c r="Q368">
        <f t="shared" si="971"/>
        <v>-198769.81804627558</v>
      </c>
      <c r="R368">
        <f t="shared" si="972"/>
        <v>-32318976.785003491</v>
      </c>
      <c r="S368">
        <f t="shared" si="973"/>
        <v>-323.18976785003491</v>
      </c>
      <c r="T368">
        <f t="shared" si="974"/>
        <v>-0.32318976785003489</v>
      </c>
    </row>
    <row r="369" spans="1:20" x14ac:dyDescent="0.25">
      <c r="A369" s="5">
        <v>44224</v>
      </c>
      <c r="B369">
        <v>0.33829999999999999</v>
      </c>
      <c r="C369">
        <v>0.36259999999999998</v>
      </c>
      <c r="D369">
        <v>0.3296</v>
      </c>
      <c r="E369">
        <v>0.35360000000000003</v>
      </c>
      <c r="F369">
        <v>1826820.36</v>
      </c>
      <c r="G369">
        <v>0</v>
      </c>
      <c r="L369" t="s">
        <v>8</v>
      </c>
      <c r="M369" t="s">
        <v>7</v>
      </c>
      <c r="N369" t="s">
        <v>7</v>
      </c>
      <c r="P369">
        <f t="shared" si="970"/>
        <v>0.45454545454545697</v>
      </c>
      <c r="Q369">
        <f t="shared" si="971"/>
        <v>830372.89090909541</v>
      </c>
      <c r="R369">
        <f t="shared" si="972"/>
        <v>-32120206.966957215</v>
      </c>
      <c r="S369">
        <f t="shared" si="973"/>
        <v>-321.20206966957215</v>
      </c>
      <c r="T369">
        <f t="shared" si="974"/>
        <v>-0.32120206966957215</v>
      </c>
    </row>
    <row r="370" spans="1:20" x14ac:dyDescent="0.25">
      <c r="A370" s="5">
        <v>44223</v>
      </c>
      <c r="B370">
        <v>0.34339999999999998</v>
      </c>
      <c r="C370">
        <v>0.34639999999999999</v>
      </c>
      <c r="D370">
        <v>0.31009999999999999</v>
      </c>
      <c r="E370">
        <v>0.3357</v>
      </c>
      <c r="F370">
        <v>1377417.83</v>
      </c>
      <c r="G370">
        <v>0</v>
      </c>
      <c r="L370" t="s">
        <v>7</v>
      </c>
      <c r="M370" t="s">
        <v>7</v>
      </c>
      <c r="N370" t="s">
        <v>7</v>
      </c>
      <c r="P370">
        <f t="shared" si="970"/>
        <v>0.41046831955922936</v>
      </c>
      <c r="Q370">
        <f t="shared" si="971"/>
        <v>565386.38201102032</v>
      </c>
      <c r="R370">
        <f t="shared" si="972"/>
        <v>-32950579.85786631</v>
      </c>
      <c r="S370">
        <f t="shared" si="973"/>
        <v>-329.50579857866308</v>
      </c>
      <c r="T370">
        <f t="shared" si="974"/>
        <v>-0.32950579857866308</v>
      </c>
    </row>
    <row r="371" spans="1:20" x14ac:dyDescent="0.25">
      <c r="A371" s="5">
        <v>44222</v>
      </c>
      <c r="B371">
        <v>0.3533</v>
      </c>
      <c r="C371">
        <v>0.36159999999999998</v>
      </c>
      <c r="D371">
        <v>0.32979999999999998</v>
      </c>
      <c r="E371">
        <v>0.34339999999999998</v>
      </c>
      <c r="F371">
        <v>1609946.08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-0.14465408805031427</v>
      </c>
      <c r="Q371">
        <f t="shared" si="971"/>
        <v>-232885.2820125783</v>
      </c>
      <c r="R371">
        <f t="shared" si="972"/>
        <v>-33515966.239877328</v>
      </c>
      <c r="S371">
        <f t="shared" si="973"/>
        <v>-335.15966239877326</v>
      </c>
      <c r="T371">
        <f t="shared" si="974"/>
        <v>-0.33515966239877326</v>
      </c>
    </row>
    <row r="372" spans="1:20" x14ac:dyDescent="0.25">
      <c r="A372" s="5">
        <v>44221</v>
      </c>
      <c r="B372">
        <v>0.36709999999999998</v>
      </c>
      <c r="C372">
        <v>0.37390000000000001</v>
      </c>
      <c r="D372">
        <v>0.34429999999999999</v>
      </c>
      <c r="E372">
        <v>0.35339999999999999</v>
      </c>
      <c r="F372">
        <v>1934512.94</v>
      </c>
      <c r="G372">
        <v>0</v>
      </c>
      <c r="L372" t="s">
        <v>8</v>
      </c>
      <c r="M372" t="s">
        <v>7</v>
      </c>
      <c r="N372" t="s">
        <v>8</v>
      </c>
      <c r="P372">
        <f t="shared" si="970"/>
        <v>-0.38513513513513564</v>
      </c>
      <c r="Q372">
        <f t="shared" si="971"/>
        <v>-745048.90256756858</v>
      </c>
      <c r="R372">
        <f t="shared" si="972"/>
        <v>-33283080.95786475</v>
      </c>
      <c r="S372">
        <f t="shared" si="973"/>
        <v>-332.83080957864752</v>
      </c>
      <c r="T372">
        <f t="shared" si="974"/>
        <v>-0.33283080957864752</v>
      </c>
    </row>
    <row r="373" spans="1:20" x14ac:dyDescent="0.25">
      <c r="A373" s="5">
        <v>44220</v>
      </c>
      <c r="B373">
        <v>0.35410000000000003</v>
      </c>
      <c r="C373">
        <v>0.38529999999999998</v>
      </c>
      <c r="D373">
        <v>0.3498</v>
      </c>
      <c r="E373">
        <v>0.36749999999999999</v>
      </c>
      <c r="F373">
        <v>1967920.49</v>
      </c>
      <c r="G373">
        <v>0</v>
      </c>
      <c r="L373" t="s">
        <v>7</v>
      </c>
      <c r="M373" t="s">
        <v>7</v>
      </c>
      <c r="N373" t="s">
        <v>8</v>
      </c>
      <c r="P373">
        <f t="shared" si="970"/>
        <v>-2.816901408450396E-3</v>
      </c>
      <c r="Q373">
        <f t="shared" si="971"/>
        <v>-5543.4379999993935</v>
      </c>
      <c r="R373">
        <f t="shared" si="972"/>
        <v>-32538032.055297181</v>
      </c>
      <c r="S373">
        <f t="shared" si="973"/>
        <v>-325.3803205529718</v>
      </c>
      <c r="T373">
        <f t="shared" si="974"/>
        <v>-0.32538032055297178</v>
      </c>
    </row>
    <row r="374" spans="1:20" x14ac:dyDescent="0.25">
      <c r="A374" s="5">
        <v>44219</v>
      </c>
      <c r="B374">
        <v>0.36959999999999998</v>
      </c>
      <c r="C374">
        <v>0.38500000000000001</v>
      </c>
      <c r="D374">
        <v>0.3483</v>
      </c>
      <c r="E374">
        <v>0.35399999999999998</v>
      </c>
      <c r="F374">
        <v>2473860.4900000002</v>
      </c>
      <c r="G374">
        <v>0</v>
      </c>
      <c r="L374" t="s">
        <v>8</v>
      </c>
      <c r="M374" t="s">
        <v>7</v>
      </c>
      <c r="N374" t="s">
        <v>8</v>
      </c>
      <c r="P374">
        <f t="shared" si="970"/>
        <v>-0.68937329700272587</v>
      </c>
      <c r="Q374">
        <f t="shared" si="971"/>
        <v>-1705413.3623160792</v>
      </c>
      <c r="R374">
        <f t="shared" si="972"/>
        <v>-32532488.61729718</v>
      </c>
      <c r="S374">
        <f t="shared" si="973"/>
        <v>-325.32488617297179</v>
      </c>
      <c r="T374">
        <f t="shared" si="974"/>
        <v>-0.32532488617297178</v>
      </c>
    </row>
    <row r="375" spans="1:20" x14ac:dyDescent="0.25">
      <c r="A375" s="5">
        <v>44218</v>
      </c>
      <c r="B375">
        <v>0.36330000000000001</v>
      </c>
      <c r="C375">
        <v>0.39</v>
      </c>
      <c r="D375">
        <v>0.3261</v>
      </c>
      <c r="E375">
        <v>0.36959999999999998</v>
      </c>
      <c r="F375">
        <v>3920302.56</v>
      </c>
      <c r="G375">
        <v>0</v>
      </c>
      <c r="L375" t="s">
        <v>7</v>
      </c>
      <c r="M375" t="s">
        <v>7</v>
      </c>
      <c r="N375" t="s">
        <v>8</v>
      </c>
      <c r="P375">
        <f t="shared" si="970"/>
        <v>0.3615023474178396</v>
      </c>
      <c r="Q375">
        <f t="shared" si="971"/>
        <v>1417198.578028166</v>
      </c>
      <c r="R375">
        <f t="shared" si="972"/>
        <v>-30827075.254981101</v>
      </c>
      <c r="S375">
        <f t="shared" si="973"/>
        <v>-308.27075254981099</v>
      </c>
      <c r="T375">
        <f t="shared" si="974"/>
        <v>-0.30827075254981101</v>
      </c>
    </row>
    <row r="376" spans="1:20" x14ac:dyDescent="0.25">
      <c r="A376" s="5">
        <v>44217</v>
      </c>
      <c r="B376">
        <v>0.37459999999999999</v>
      </c>
      <c r="C376">
        <v>0.42799999999999999</v>
      </c>
      <c r="D376">
        <v>0.35699999999999998</v>
      </c>
      <c r="E376">
        <v>0.36349999999999999</v>
      </c>
      <c r="F376">
        <v>6890462.7400000002</v>
      </c>
      <c r="G376">
        <v>0</v>
      </c>
      <c r="L376" t="s">
        <v>8</v>
      </c>
      <c r="M376" t="s">
        <v>8</v>
      </c>
      <c r="N376" t="s">
        <v>8</v>
      </c>
      <c r="P376">
        <f t="shared" si="970"/>
        <v>-0.81690140845070414</v>
      </c>
      <c r="Q376">
        <f t="shared" si="971"/>
        <v>-5628828.7171830982</v>
      </c>
      <c r="R376">
        <f t="shared" si="972"/>
        <v>-32244273.833009265</v>
      </c>
      <c r="S376">
        <f t="shared" si="973"/>
        <v>-322.44273833009265</v>
      </c>
      <c r="T376">
        <f t="shared" si="974"/>
        <v>-0.32244273833009263</v>
      </c>
    </row>
    <row r="377" spans="1:20" x14ac:dyDescent="0.25">
      <c r="A377" s="5">
        <v>44216</v>
      </c>
      <c r="B377">
        <v>0.36109999999999998</v>
      </c>
      <c r="C377">
        <v>0.3775</v>
      </c>
      <c r="D377">
        <v>0.33110000000000001</v>
      </c>
      <c r="E377">
        <v>0.37459999999999999</v>
      </c>
      <c r="F377">
        <v>2554537.92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0.87499999999999944</v>
      </c>
      <c r="Q377">
        <f t="shared" si="971"/>
        <v>2235220.6799999983</v>
      </c>
      <c r="R377">
        <f t="shared" si="972"/>
        <v>-26615445.115826167</v>
      </c>
      <c r="S377">
        <f t="shared" si="973"/>
        <v>-266.15445115826168</v>
      </c>
      <c r="T377">
        <f t="shared" si="974"/>
        <v>-0.2661544511582617</v>
      </c>
    </row>
    <row r="378" spans="1:20" x14ac:dyDescent="0.25">
      <c r="A378" s="5">
        <v>44215</v>
      </c>
      <c r="B378">
        <v>0.3957</v>
      </c>
      <c r="C378">
        <v>0.40539999999999998</v>
      </c>
      <c r="D378">
        <v>0.35830000000000001</v>
      </c>
      <c r="E378">
        <v>0.3619</v>
      </c>
      <c r="F378">
        <v>2705085.06</v>
      </c>
      <c r="G378">
        <v>0</v>
      </c>
      <c r="L378" t="s">
        <v>7</v>
      </c>
      <c r="M378" t="s">
        <v>7</v>
      </c>
      <c r="N378" t="s">
        <v>8</v>
      </c>
      <c r="P378">
        <f t="shared" si="970"/>
        <v>-0.8471337579617837</v>
      </c>
      <c r="Q378">
        <f t="shared" si="971"/>
        <v>-2291568.8724840772</v>
      </c>
      <c r="R378">
        <f t="shared" si="972"/>
        <v>-28850665.795826167</v>
      </c>
      <c r="S378">
        <f t="shared" si="973"/>
        <v>-288.50665795826166</v>
      </c>
      <c r="T378">
        <f t="shared" si="974"/>
        <v>-0.28850665795826164</v>
      </c>
    </row>
    <row r="379" spans="1:20" x14ac:dyDescent="0.25">
      <c r="A379" s="5">
        <v>44214</v>
      </c>
      <c r="B379">
        <v>0.33989999999999998</v>
      </c>
      <c r="C379">
        <v>0.42659999999999998</v>
      </c>
      <c r="D379">
        <v>0.33800000000000002</v>
      </c>
      <c r="E379">
        <v>0.3962</v>
      </c>
      <c r="F379">
        <v>3622908.57</v>
      </c>
      <c r="G379">
        <v>0</v>
      </c>
      <c r="L379" t="s">
        <v>8</v>
      </c>
      <c r="M379" t="s">
        <v>8</v>
      </c>
      <c r="N379" t="s">
        <v>8</v>
      </c>
      <c r="P379">
        <f t="shared" si="970"/>
        <v>0.31376975169300231</v>
      </c>
      <c r="Q379">
        <f t="shared" si="971"/>
        <v>1136759.1224153501</v>
      </c>
      <c r="R379">
        <f t="shared" si="972"/>
        <v>-26559096.92334209</v>
      </c>
      <c r="S379">
        <f t="shared" si="973"/>
        <v>-265.59096923342088</v>
      </c>
      <c r="T379">
        <f t="shared" si="974"/>
        <v>-0.2655909692334209</v>
      </c>
    </row>
    <row r="380" spans="1:20" x14ac:dyDescent="0.25">
      <c r="A380" s="5">
        <v>44213</v>
      </c>
      <c r="B380">
        <v>0.3332</v>
      </c>
      <c r="C380">
        <v>0.35370000000000001</v>
      </c>
      <c r="D380">
        <v>0.3175</v>
      </c>
      <c r="E380">
        <v>0.33929999999999999</v>
      </c>
      <c r="F380">
        <v>1442497.8</v>
      </c>
      <c r="G380">
        <v>0</v>
      </c>
      <c r="L380" t="s">
        <v>7</v>
      </c>
      <c r="M380" t="s">
        <v>8</v>
      </c>
      <c r="N380" t="s">
        <v>8</v>
      </c>
      <c r="P380">
        <f t="shared" si="970"/>
        <v>0.20441988950276133</v>
      </c>
      <c r="Q380">
        <f t="shared" si="971"/>
        <v>294875.24088397634</v>
      </c>
      <c r="R380">
        <f t="shared" si="972"/>
        <v>-27695856.045757439</v>
      </c>
      <c r="S380">
        <f t="shared" si="973"/>
        <v>-276.95856045757438</v>
      </c>
      <c r="T380">
        <f t="shared" si="974"/>
        <v>-0.27695856045757439</v>
      </c>
    </row>
    <row r="381" spans="1:20" x14ac:dyDescent="0.25">
      <c r="A381" s="5">
        <v>44212</v>
      </c>
      <c r="B381">
        <v>0.33389999999999997</v>
      </c>
      <c r="C381">
        <v>0.36249999999999999</v>
      </c>
      <c r="D381">
        <v>0.32900000000000001</v>
      </c>
      <c r="E381">
        <v>0.3332</v>
      </c>
      <c r="F381">
        <v>1969154.91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-0.74925373134328455</v>
      </c>
      <c r="Q381">
        <f t="shared" si="971"/>
        <v>-1475396.6639104495</v>
      </c>
      <c r="R381">
        <f t="shared" si="972"/>
        <v>-27990731.286641415</v>
      </c>
      <c r="S381">
        <f t="shared" si="973"/>
        <v>-279.90731286641414</v>
      </c>
      <c r="T381">
        <f t="shared" si="974"/>
        <v>-0.27990731286641413</v>
      </c>
    </row>
    <row r="382" spans="1:20" x14ac:dyDescent="0.25">
      <c r="A382" s="5">
        <v>44211</v>
      </c>
      <c r="B382">
        <v>0.33289999999999997</v>
      </c>
      <c r="C382">
        <v>0.3453</v>
      </c>
      <c r="D382">
        <v>0.29110000000000003</v>
      </c>
      <c r="E382">
        <v>0.3337</v>
      </c>
      <c r="F382">
        <v>2982612.54</v>
      </c>
      <c r="G382">
        <v>0</v>
      </c>
      <c r="L382" t="s">
        <v>7</v>
      </c>
      <c r="M382" t="s">
        <v>7</v>
      </c>
      <c r="N382" t="s">
        <v>8</v>
      </c>
      <c r="P382">
        <f t="shared" si="970"/>
        <v>0.57195571955719537</v>
      </c>
      <c r="Q382">
        <f t="shared" si="971"/>
        <v>1705922.3014760141</v>
      </c>
      <c r="R382">
        <f t="shared" si="972"/>
        <v>-26515334.622730967</v>
      </c>
      <c r="S382">
        <f t="shared" si="973"/>
        <v>-265.15334622730967</v>
      </c>
      <c r="T382">
        <f t="shared" si="974"/>
        <v>-0.26515334622730968</v>
      </c>
    </row>
    <row r="383" spans="1:20" x14ac:dyDescent="0.25">
      <c r="A383" s="5">
        <v>44210</v>
      </c>
      <c r="B383">
        <v>0.34820000000000001</v>
      </c>
      <c r="C383">
        <v>0.36299999999999999</v>
      </c>
      <c r="D383">
        <v>0.32890000000000003</v>
      </c>
      <c r="E383">
        <v>0.33119999999999999</v>
      </c>
      <c r="F383">
        <v>1675870.65</v>
      </c>
      <c r="G383">
        <v>0</v>
      </c>
      <c r="L383" t="s">
        <v>8</v>
      </c>
      <c r="M383" t="s">
        <v>8</v>
      </c>
      <c r="N383" t="s">
        <v>8</v>
      </c>
      <c r="P383">
        <f t="shared" si="970"/>
        <v>-0.86510263929618936</v>
      </c>
      <c r="Q383">
        <f t="shared" si="971"/>
        <v>-1449800.1224340203</v>
      </c>
      <c r="R383">
        <f t="shared" si="972"/>
        <v>-28221256.92420698</v>
      </c>
      <c r="S383">
        <f t="shared" si="973"/>
        <v>-282.21256924206978</v>
      </c>
      <c r="T383">
        <f t="shared" si="974"/>
        <v>-0.28221256924206978</v>
      </c>
    </row>
    <row r="384" spans="1:20" x14ac:dyDescent="0.25">
      <c r="A384" s="5">
        <v>44209</v>
      </c>
      <c r="B384">
        <v>0.32140000000000002</v>
      </c>
      <c r="C384">
        <v>0.35049999999999998</v>
      </c>
      <c r="D384">
        <v>0.31490000000000001</v>
      </c>
      <c r="E384">
        <v>0.35020000000000001</v>
      </c>
      <c r="F384">
        <v>1446408.61</v>
      </c>
      <c r="G384">
        <v>0</v>
      </c>
      <c r="L384" t="s">
        <v>7</v>
      </c>
      <c r="M384" t="s">
        <v>8</v>
      </c>
      <c r="N384" t="s">
        <v>8</v>
      </c>
      <c r="P384">
        <f t="shared" si="970"/>
        <v>0.98314606741573218</v>
      </c>
      <c r="Q384">
        <f t="shared" si="971"/>
        <v>1422030.9367977555</v>
      </c>
      <c r="R384">
        <f t="shared" si="972"/>
        <v>-26771456.80177296</v>
      </c>
      <c r="S384">
        <f t="shared" si="973"/>
        <v>-267.71456801772962</v>
      </c>
      <c r="T384">
        <f t="shared" si="974"/>
        <v>-0.26771456801772964</v>
      </c>
    </row>
    <row r="385" spans="1:20" x14ac:dyDescent="0.25">
      <c r="A385" s="5">
        <v>44208</v>
      </c>
      <c r="B385">
        <v>0.3397</v>
      </c>
      <c r="C385">
        <v>0.36890000000000001</v>
      </c>
      <c r="D385">
        <v>0.31409999999999999</v>
      </c>
      <c r="E385">
        <v>0.32079999999999997</v>
      </c>
      <c r="F385">
        <v>2468465.56</v>
      </c>
      <c r="G385">
        <v>0</v>
      </c>
      <c r="L385" t="s">
        <v>8</v>
      </c>
      <c r="M385" t="s">
        <v>8</v>
      </c>
      <c r="N385" t="s">
        <v>8</v>
      </c>
      <c r="P385">
        <f t="shared" si="970"/>
        <v>-0.75547445255474521</v>
      </c>
      <c r="Q385">
        <f t="shared" si="971"/>
        <v>-1864862.6675912426</v>
      </c>
      <c r="R385">
        <f t="shared" si="972"/>
        <v>-28193487.738570716</v>
      </c>
      <c r="S385">
        <f t="shared" si="973"/>
        <v>-281.93487738570718</v>
      </c>
      <c r="T385">
        <f t="shared" si="974"/>
        <v>-0.28193487738570716</v>
      </c>
    </row>
    <row r="386" spans="1:20" x14ac:dyDescent="0.25">
      <c r="A386" s="5">
        <v>44207</v>
      </c>
      <c r="B386">
        <v>0.37690000000000001</v>
      </c>
      <c r="C386">
        <v>0.37940000000000002</v>
      </c>
      <c r="D386">
        <v>0.30309999999999998</v>
      </c>
      <c r="E386">
        <v>0.33979999999999999</v>
      </c>
      <c r="F386">
        <v>5205004.9000000004</v>
      </c>
      <c r="G386">
        <v>0</v>
      </c>
      <c r="L386" t="s">
        <v>7</v>
      </c>
      <c r="M386" t="s">
        <v>7</v>
      </c>
      <c r="N386" t="s">
        <v>8</v>
      </c>
      <c r="P386">
        <f t="shared" si="970"/>
        <v>-3.8007863695937255E-2</v>
      </c>
      <c r="Q386">
        <f t="shared" si="971"/>
        <v>-197831.11677588554</v>
      </c>
      <c r="R386">
        <f t="shared" si="972"/>
        <v>-26328625.070979472</v>
      </c>
      <c r="S386">
        <f t="shared" si="973"/>
        <v>-263.28625070979473</v>
      </c>
      <c r="T386">
        <f t="shared" si="974"/>
        <v>-0.26328625070979472</v>
      </c>
    </row>
    <row r="387" spans="1:20" x14ac:dyDescent="0.25">
      <c r="A387" s="5">
        <v>44206</v>
      </c>
      <c r="B387">
        <v>0.33900000000000002</v>
      </c>
      <c r="C387">
        <v>0.41830000000000001</v>
      </c>
      <c r="D387">
        <v>0.33300000000000002</v>
      </c>
      <c r="E387">
        <v>0.37709999999999999</v>
      </c>
      <c r="F387">
        <v>7106538.7000000002</v>
      </c>
      <c r="G387">
        <v>0</v>
      </c>
      <c r="L387" t="s">
        <v>8</v>
      </c>
      <c r="M387" t="s">
        <v>8</v>
      </c>
      <c r="N387" t="s">
        <v>8</v>
      </c>
      <c r="P387">
        <f t="shared" si="970"/>
        <v>3.3997655334114404E-2</v>
      </c>
      <c r="Q387">
        <f t="shared" si="971"/>
        <v>241605.65334114546</v>
      </c>
      <c r="R387">
        <f t="shared" si="972"/>
        <v>-26130793.954203587</v>
      </c>
      <c r="S387">
        <f t="shared" si="973"/>
        <v>-261.30793954203585</v>
      </c>
      <c r="T387">
        <f t="shared" si="974"/>
        <v>-0.26130793954203585</v>
      </c>
    </row>
    <row r="388" spans="1:20" x14ac:dyDescent="0.25">
      <c r="A388" s="5">
        <v>44205</v>
      </c>
      <c r="B388">
        <v>0.31830000000000003</v>
      </c>
      <c r="C388">
        <v>0.35630000000000001</v>
      </c>
      <c r="D388">
        <v>0.308</v>
      </c>
      <c r="E388">
        <v>0.33829999999999999</v>
      </c>
      <c r="F388">
        <v>2891815.29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0.25465838509316718</v>
      </c>
      <c r="Q388">
        <f t="shared" si="971"/>
        <v>736425.01173912897</v>
      </c>
      <c r="R388">
        <f t="shared" si="972"/>
        <v>-26372399.607544731</v>
      </c>
      <c r="S388">
        <f t="shared" si="973"/>
        <v>-263.7239960754473</v>
      </c>
      <c r="T388">
        <f t="shared" si="974"/>
        <v>-0.26372399607544728</v>
      </c>
    </row>
    <row r="389" spans="1:20" x14ac:dyDescent="0.25">
      <c r="A389" s="5">
        <v>44204</v>
      </c>
      <c r="B389">
        <v>0.31180000000000002</v>
      </c>
      <c r="C389">
        <v>0.32590000000000002</v>
      </c>
      <c r="D389">
        <v>0.28760000000000002</v>
      </c>
      <c r="E389">
        <v>0.32169999999999999</v>
      </c>
      <c r="F389">
        <v>2064391.25</v>
      </c>
      <c r="G389">
        <v>0</v>
      </c>
      <c r="L389" t="s">
        <v>7</v>
      </c>
      <c r="M389" t="s">
        <v>7</v>
      </c>
      <c r="N389" t="s">
        <v>8</v>
      </c>
      <c r="P389">
        <f t="shared" si="970"/>
        <v>0.78067885117493274</v>
      </c>
      <c r="Q389">
        <f t="shared" si="971"/>
        <v>1611626.5894255834</v>
      </c>
      <c r="R389">
        <f t="shared" si="972"/>
        <v>-27108824.619283859</v>
      </c>
      <c r="S389">
        <f t="shared" si="973"/>
        <v>-271.0882461928386</v>
      </c>
      <c r="T389">
        <f t="shared" si="974"/>
        <v>-0.27108824619283861</v>
      </c>
    </row>
    <row r="390" spans="1:20" x14ac:dyDescent="0.25">
      <c r="A390" s="5">
        <v>44203</v>
      </c>
      <c r="B390">
        <v>0.32369999999999999</v>
      </c>
      <c r="C390">
        <v>0.34989999999999999</v>
      </c>
      <c r="D390">
        <v>0.3034</v>
      </c>
      <c r="E390">
        <v>0.31240000000000001</v>
      </c>
      <c r="F390">
        <v>2814089.84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5">IF(C390=D390,0,((E390-D390)-(C390-E390))/(C390-D390))</f>
        <v>-0.61290322580645118</v>
      </c>
      <c r="Q390">
        <f t="shared" ref="Q390:Q453" si="976">F390*P390</f>
        <v>-1724764.74064516</v>
      </c>
      <c r="R390">
        <f t="shared" ref="R390:R453" si="977">R391+Q390</f>
        <v>-28720451.208709441</v>
      </c>
      <c r="S390">
        <f t="shared" ref="S390:S453" si="978">R390/100000</f>
        <v>-287.20451208709443</v>
      </c>
      <c r="T390">
        <f t="shared" ref="T390:T453" si="979">S390/1000</f>
        <v>-0.28720451208709441</v>
      </c>
    </row>
    <row r="391" spans="1:20" x14ac:dyDescent="0.25">
      <c r="A391" s="5">
        <v>44202</v>
      </c>
      <c r="B391">
        <v>0.32340000000000002</v>
      </c>
      <c r="C391">
        <v>0.35099999999999998</v>
      </c>
      <c r="D391">
        <v>0.30159999999999998</v>
      </c>
      <c r="E391">
        <v>0.32290000000000002</v>
      </c>
      <c r="F391">
        <v>3305816.06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-0.13765182186234651</v>
      </c>
      <c r="Q391">
        <f t="shared" si="976"/>
        <v>-455051.60340080422</v>
      </c>
      <c r="R391">
        <f t="shared" si="977"/>
        <v>-26995686.468064282</v>
      </c>
      <c r="S391">
        <f t="shared" si="978"/>
        <v>-269.95686468064281</v>
      </c>
      <c r="T391">
        <f t="shared" si="979"/>
        <v>-0.26995686468064278</v>
      </c>
    </row>
    <row r="392" spans="1:20" x14ac:dyDescent="0.25">
      <c r="A392" s="5">
        <v>44201</v>
      </c>
      <c r="B392">
        <v>0.27700000000000002</v>
      </c>
      <c r="C392">
        <v>0.33989999999999998</v>
      </c>
      <c r="D392">
        <v>0.26590000000000003</v>
      </c>
      <c r="E392">
        <v>0.32340000000000002</v>
      </c>
      <c r="F392">
        <v>2994007.82</v>
      </c>
      <c r="G392">
        <v>0</v>
      </c>
      <c r="L392" t="s">
        <v>8</v>
      </c>
      <c r="M392" t="s">
        <v>8</v>
      </c>
      <c r="N392" t="s">
        <v>7</v>
      </c>
      <c r="P392">
        <f t="shared" si="975"/>
        <v>0.55405405405405483</v>
      </c>
      <c r="Q392">
        <f t="shared" si="976"/>
        <v>1658842.1705405428</v>
      </c>
      <c r="R392">
        <f t="shared" si="977"/>
        <v>-26540634.864663478</v>
      </c>
      <c r="S392">
        <f t="shared" si="978"/>
        <v>-265.4063486466348</v>
      </c>
      <c r="T392">
        <f t="shared" si="979"/>
        <v>-0.26540634864663482</v>
      </c>
    </row>
    <row r="393" spans="1:20" x14ac:dyDescent="0.25">
      <c r="A393" s="5">
        <v>44200</v>
      </c>
      <c r="B393">
        <v>0.2853</v>
      </c>
      <c r="C393">
        <v>0.3009</v>
      </c>
      <c r="D393">
        <v>0.26200000000000001</v>
      </c>
      <c r="E393">
        <v>0.27700000000000002</v>
      </c>
      <c r="F393">
        <v>1931875.27</v>
      </c>
      <c r="G393">
        <v>0</v>
      </c>
      <c r="L393" t="s">
        <v>8</v>
      </c>
      <c r="M393" t="s">
        <v>8</v>
      </c>
      <c r="N393" t="s">
        <v>7</v>
      </c>
      <c r="P393">
        <f t="shared" si="975"/>
        <v>-0.22879177377891943</v>
      </c>
      <c r="Q393">
        <f t="shared" si="976"/>
        <v>-441997.16974292888</v>
      </c>
      <c r="R393">
        <f t="shared" si="977"/>
        <v>-28199477.035204019</v>
      </c>
      <c r="S393">
        <f t="shared" si="978"/>
        <v>-281.99477035204018</v>
      </c>
      <c r="T393">
        <f t="shared" si="979"/>
        <v>-0.28199477035204018</v>
      </c>
    </row>
    <row r="394" spans="1:20" x14ac:dyDescent="0.25">
      <c r="A394" s="5">
        <v>44199</v>
      </c>
      <c r="B394">
        <v>0.27010000000000001</v>
      </c>
      <c r="C394">
        <v>0.28999999999999998</v>
      </c>
      <c r="D394">
        <v>0.26329999999999998</v>
      </c>
      <c r="E394">
        <v>0.2853</v>
      </c>
      <c r="F394">
        <v>1381060.53</v>
      </c>
      <c r="G394">
        <v>0</v>
      </c>
      <c r="L394" t="s">
        <v>8</v>
      </c>
      <c r="M394" t="s">
        <v>8</v>
      </c>
      <c r="N394" t="s">
        <v>7</v>
      </c>
      <c r="P394">
        <f t="shared" si="975"/>
        <v>0.6479400749063684</v>
      </c>
      <c r="Q394">
        <f t="shared" si="976"/>
        <v>894844.46325842885</v>
      </c>
      <c r="R394">
        <f t="shared" si="977"/>
        <v>-27757479.865461089</v>
      </c>
      <c r="S394">
        <f t="shared" si="978"/>
        <v>-277.5747986546109</v>
      </c>
      <c r="T394">
        <f t="shared" si="979"/>
        <v>-0.27757479865461088</v>
      </c>
    </row>
    <row r="395" spans="1:20" x14ac:dyDescent="0.25">
      <c r="A395" s="5">
        <v>44198</v>
      </c>
      <c r="B395">
        <v>0.2727</v>
      </c>
      <c r="C395">
        <v>0.2757</v>
      </c>
      <c r="D395">
        <v>0.26029999999999998</v>
      </c>
      <c r="E395">
        <v>0.27010000000000001</v>
      </c>
      <c r="F395">
        <v>1280369.52</v>
      </c>
      <c r="G395">
        <v>0</v>
      </c>
      <c r="L395" t="s">
        <v>7</v>
      </c>
      <c r="M395" t="s">
        <v>8</v>
      </c>
      <c r="N395" t="s">
        <v>7</v>
      </c>
      <c r="P395">
        <f t="shared" si="975"/>
        <v>0.27272727272727471</v>
      </c>
      <c r="Q395">
        <f t="shared" si="976"/>
        <v>349191.68727272982</v>
      </c>
      <c r="R395">
        <f t="shared" si="977"/>
        <v>-28652324.328719519</v>
      </c>
      <c r="S395">
        <f t="shared" si="978"/>
        <v>-286.52324328719521</v>
      </c>
      <c r="T395">
        <f t="shared" si="979"/>
        <v>-0.2865232432871952</v>
      </c>
    </row>
    <row r="396" spans="1:20" x14ac:dyDescent="0.25">
      <c r="A396" s="5">
        <v>44197</v>
      </c>
      <c r="B396">
        <v>0.30170000000000002</v>
      </c>
      <c r="C396">
        <v>0.30309999999999998</v>
      </c>
      <c r="D396">
        <v>0.26750000000000002</v>
      </c>
      <c r="E396">
        <v>0.27189999999999998</v>
      </c>
      <c r="F396">
        <v>1528826.3</v>
      </c>
      <c r="G396">
        <v>0</v>
      </c>
      <c r="L396" t="s">
        <v>7</v>
      </c>
      <c r="M396" t="s">
        <v>8</v>
      </c>
      <c r="N396" t="s">
        <v>7</v>
      </c>
      <c r="P396">
        <f t="shared" si="975"/>
        <v>-0.752808988764047</v>
      </c>
      <c r="Q396">
        <f t="shared" si="976"/>
        <v>-1150914.1808988797</v>
      </c>
      <c r="R396">
        <f t="shared" si="977"/>
        <v>-29001516.01599225</v>
      </c>
      <c r="S396">
        <f t="shared" si="978"/>
        <v>-290.01516015992252</v>
      </c>
      <c r="T396">
        <f t="shared" si="979"/>
        <v>-0.29001516015992251</v>
      </c>
    </row>
    <row r="397" spans="1:20" x14ac:dyDescent="0.25">
      <c r="A397" s="5">
        <v>44196</v>
      </c>
      <c r="B397">
        <v>0.2661</v>
      </c>
      <c r="C397">
        <v>0.30930000000000002</v>
      </c>
      <c r="D397">
        <v>0.26269999999999999</v>
      </c>
      <c r="E397">
        <v>0.30030000000000001</v>
      </c>
      <c r="F397">
        <v>2076966.77</v>
      </c>
      <c r="G397">
        <v>0</v>
      </c>
      <c r="L397" t="s">
        <v>8</v>
      </c>
      <c r="M397" t="s">
        <v>8</v>
      </c>
      <c r="N397" t="s">
        <v>7</v>
      </c>
      <c r="P397">
        <f t="shared" si="975"/>
        <v>0.613733905579399</v>
      </c>
      <c r="Q397">
        <f t="shared" si="976"/>
        <v>1274704.9275107293</v>
      </c>
      <c r="R397">
        <f t="shared" si="977"/>
        <v>-27850601.835093372</v>
      </c>
      <c r="S397">
        <f t="shared" si="978"/>
        <v>-278.50601835093374</v>
      </c>
      <c r="T397">
        <f t="shared" si="979"/>
        <v>-0.27850601835093375</v>
      </c>
    </row>
    <row r="398" spans="1:20" x14ac:dyDescent="0.25">
      <c r="A398" s="5">
        <v>44195</v>
      </c>
      <c r="B398">
        <v>0.2581</v>
      </c>
      <c r="C398">
        <v>0.27050000000000002</v>
      </c>
      <c r="D398">
        <v>0.25</v>
      </c>
      <c r="E398">
        <v>0.2661</v>
      </c>
      <c r="F398">
        <v>1448723.49</v>
      </c>
      <c r="G398">
        <v>0</v>
      </c>
      <c r="L398" t="s">
        <v>8</v>
      </c>
      <c r="M398" t="s">
        <v>7</v>
      </c>
      <c r="N398" t="s">
        <v>7</v>
      </c>
      <c r="P398">
        <f t="shared" si="975"/>
        <v>0.57073170731707212</v>
      </c>
      <c r="Q398">
        <f t="shared" si="976"/>
        <v>826832.43087804725</v>
      </c>
      <c r="R398">
        <f t="shared" si="977"/>
        <v>-29125306.762604102</v>
      </c>
      <c r="S398">
        <f t="shared" si="978"/>
        <v>-291.253067626041</v>
      </c>
      <c r="T398">
        <f t="shared" si="979"/>
        <v>-0.29125306762604103</v>
      </c>
    </row>
    <row r="399" spans="1:20" x14ac:dyDescent="0.25">
      <c r="A399" s="5">
        <v>44194</v>
      </c>
      <c r="B399">
        <v>0.2752</v>
      </c>
      <c r="C399">
        <v>0.30940000000000001</v>
      </c>
      <c r="D399">
        <v>0.24909999999999999</v>
      </c>
      <c r="E399">
        <v>0.25790000000000002</v>
      </c>
      <c r="F399">
        <v>2374366.5699999998</v>
      </c>
      <c r="G399">
        <v>0</v>
      </c>
      <c r="L399" t="s">
        <v>7</v>
      </c>
      <c r="M399" t="s">
        <v>7</v>
      </c>
      <c r="N399" t="s">
        <v>7</v>
      </c>
      <c r="P399">
        <f t="shared" si="975"/>
        <v>-0.70812603648424455</v>
      </c>
      <c r="Q399">
        <f t="shared" si="976"/>
        <v>-1681350.7883747905</v>
      </c>
      <c r="R399">
        <f t="shared" si="977"/>
        <v>-29952139.193482149</v>
      </c>
      <c r="S399">
        <f t="shared" si="978"/>
        <v>-299.52139193482151</v>
      </c>
      <c r="T399">
        <f t="shared" si="979"/>
        <v>-0.29952139193482152</v>
      </c>
    </row>
    <row r="400" spans="1:20" x14ac:dyDescent="0.25">
      <c r="A400" s="5">
        <v>44193</v>
      </c>
      <c r="B400">
        <v>0.2792</v>
      </c>
      <c r="C400">
        <v>0.28339999999999999</v>
      </c>
      <c r="D400">
        <v>0.27389999999999998</v>
      </c>
      <c r="E400">
        <v>0.2752</v>
      </c>
      <c r="F400">
        <v>1197792.03</v>
      </c>
      <c r="G400">
        <v>0</v>
      </c>
      <c r="L400" t="s">
        <v>7</v>
      </c>
      <c r="M400" t="s">
        <v>7</v>
      </c>
      <c r="N400" t="s">
        <v>7</v>
      </c>
      <c r="P400">
        <f t="shared" si="975"/>
        <v>-0.72631578947367958</v>
      </c>
      <c r="Q400">
        <f t="shared" si="976"/>
        <v>-869975.2638947313</v>
      </c>
      <c r="R400">
        <f t="shared" si="977"/>
        <v>-28270788.40510736</v>
      </c>
      <c r="S400">
        <f t="shared" si="978"/>
        <v>-282.70788405107362</v>
      </c>
      <c r="T400">
        <f t="shared" si="979"/>
        <v>-0.28270788405107361</v>
      </c>
    </row>
    <row r="401" spans="1:20" x14ac:dyDescent="0.25">
      <c r="A401" s="5">
        <v>44192</v>
      </c>
      <c r="B401">
        <v>0.29120000000000001</v>
      </c>
      <c r="C401">
        <v>0.29709999999999998</v>
      </c>
      <c r="D401">
        <v>0.26579999999999998</v>
      </c>
      <c r="E401">
        <v>0.2772</v>
      </c>
      <c r="F401">
        <v>1631624.21</v>
      </c>
      <c r="G401">
        <v>0</v>
      </c>
      <c r="L401" t="s">
        <v>7</v>
      </c>
      <c r="M401" t="s">
        <v>7</v>
      </c>
      <c r="N401" t="s">
        <v>7</v>
      </c>
      <c r="P401">
        <f t="shared" si="975"/>
        <v>-0.27156549520766626</v>
      </c>
      <c r="Q401">
        <f t="shared" si="976"/>
        <v>-443092.83658146724</v>
      </c>
      <c r="R401">
        <f t="shared" si="977"/>
        <v>-27400813.141212627</v>
      </c>
      <c r="S401">
        <f t="shared" si="978"/>
        <v>-274.00813141212626</v>
      </c>
      <c r="T401">
        <f t="shared" si="979"/>
        <v>-0.27400813141212627</v>
      </c>
    </row>
    <row r="402" spans="1:20" x14ac:dyDescent="0.25">
      <c r="A402" s="5">
        <v>44191</v>
      </c>
      <c r="B402">
        <v>0.28289999999999998</v>
      </c>
      <c r="C402">
        <v>0.30969999999999998</v>
      </c>
      <c r="D402">
        <v>0.28100000000000003</v>
      </c>
      <c r="E402">
        <v>0.28939999999999999</v>
      </c>
      <c r="F402">
        <v>1559815.53</v>
      </c>
      <c r="G402">
        <v>0</v>
      </c>
      <c r="L402" t="s">
        <v>7</v>
      </c>
      <c r="M402" t="s">
        <v>8</v>
      </c>
      <c r="N402" t="s">
        <v>7</v>
      </c>
      <c r="P402">
        <f t="shared" si="975"/>
        <v>-0.41463414634146495</v>
      </c>
      <c r="Q402">
        <f t="shared" si="976"/>
        <v>-646752.78073170967</v>
      </c>
      <c r="R402">
        <f t="shared" si="977"/>
        <v>-26957720.304631159</v>
      </c>
      <c r="S402">
        <f t="shared" si="978"/>
        <v>-269.57720304631158</v>
      </c>
      <c r="T402">
        <f t="shared" si="979"/>
        <v>-0.26957720304631161</v>
      </c>
    </row>
    <row r="403" spans="1:20" x14ac:dyDescent="0.25">
      <c r="A403" s="5">
        <v>44190</v>
      </c>
      <c r="B403">
        <v>0.28649999999999998</v>
      </c>
      <c r="C403">
        <v>0.31309999999999999</v>
      </c>
      <c r="D403">
        <v>0.27989999999999998</v>
      </c>
      <c r="E403">
        <v>0.28370000000000001</v>
      </c>
      <c r="F403">
        <v>1036798.19</v>
      </c>
      <c r="G403">
        <v>0</v>
      </c>
      <c r="L403" t="s">
        <v>8</v>
      </c>
      <c r="M403" t="s">
        <v>8</v>
      </c>
      <c r="N403" t="s">
        <v>7</v>
      </c>
      <c r="P403">
        <f t="shared" si="975"/>
        <v>-0.77108433734939608</v>
      </c>
      <c r="Q403">
        <f t="shared" si="976"/>
        <v>-799458.8453012032</v>
      </c>
      <c r="R403">
        <f t="shared" si="977"/>
        <v>-26310967.523899451</v>
      </c>
      <c r="S403">
        <f t="shared" si="978"/>
        <v>-263.1096752389945</v>
      </c>
      <c r="T403">
        <f t="shared" si="979"/>
        <v>-0.26310967523899448</v>
      </c>
    </row>
    <row r="404" spans="1:20" x14ac:dyDescent="0.25">
      <c r="A404" s="5">
        <v>44189</v>
      </c>
      <c r="B404">
        <v>0.27410000000000001</v>
      </c>
      <c r="C404">
        <v>0.2873</v>
      </c>
      <c r="D404">
        <v>0.26750000000000002</v>
      </c>
      <c r="E404">
        <v>0.28649999999999998</v>
      </c>
      <c r="F404">
        <v>1253095.8600000001</v>
      </c>
      <c r="G404">
        <v>0</v>
      </c>
      <c r="L404" t="s">
        <v>8</v>
      </c>
      <c r="M404" t="s">
        <v>7</v>
      </c>
      <c r="N404" t="s">
        <v>7</v>
      </c>
      <c r="P404">
        <f t="shared" si="975"/>
        <v>0.91919191919191678</v>
      </c>
      <c r="Q404">
        <f t="shared" si="976"/>
        <v>1151835.5884848456</v>
      </c>
      <c r="R404">
        <f t="shared" si="977"/>
        <v>-25511508.678598247</v>
      </c>
      <c r="S404">
        <f t="shared" si="978"/>
        <v>-255.11508678598247</v>
      </c>
      <c r="T404">
        <f t="shared" si="979"/>
        <v>-0.25511508678598249</v>
      </c>
    </row>
    <row r="405" spans="1:20" x14ac:dyDescent="0.25">
      <c r="A405" s="5">
        <v>44188</v>
      </c>
      <c r="B405">
        <v>0.32490000000000002</v>
      </c>
      <c r="C405">
        <v>0.33279999999999998</v>
      </c>
      <c r="D405">
        <v>0.27</v>
      </c>
      <c r="E405">
        <v>0.27410000000000001</v>
      </c>
      <c r="F405">
        <v>2035723.15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-0.86942675159235683</v>
      </c>
      <c r="Q405">
        <f t="shared" si="976"/>
        <v>-1769912.16544586</v>
      </c>
      <c r="R405">
        <f t="shared" si="977"/>
        <v>-26663344.267083094</v>
      </c>
      <c r="S405">
        <f t="shared" si="978"/>
        <v>-266.63344267083096</v>
      </c>
      <c r="T405">
        <f t="shared" si="979"/>
        <v>-0.26663344267083094</v>
      </c>
    </row>
    <row r="406" spans="1:20" x14ac:dyDescent="0.25">
      <c r="A406" s="5">
        <v>44187</v>
      </c>
      <c r="B406">
        <v>0.33629999999999999</v>
      </c>
      <c r="C406">
        <v>0.34429999999999999</v>
      </c>
      <c r="D406">
        <v>0.3</v>
      </c>
      <c r="E406">
        <v>0.32429999999999998</v>
      </c>
      <c r="F406">
        <v>1766805.87</v>
      </c>
      <c r="G406">
        <v>0</v>
      </c>
      <c r="L406" t="s">
        <v>7</v>
      </c>
      <c r="M406" t="s">
        <v>7</v>
      </c>
      <c r="N406" t="s">
        <v>7</v>
      </c>
      <c r="P406">
        <f t="shared" si="975"/>
        <v>9.7065462753949658E-2</v>
      </c>
      <c r="Q406">
        <f t="shared" si="976"/>
        <v>171495.82936794462</v>
      </c>
      <c r="R406">
        <f t="shared" si="977"/>
        <v>-24893432.101637233</v>
      </c>
      <c r="S406">
        <f t="shared" si="978"/>
        <v>-248.93432101637234</v>
      </c>
      <c r="T406">
        <f t="shared" si="979"/>
        <v>-0.24893432101637233</v>
      </c>
    </row>
    <row r="407" spans="1:20" x14ac:dyDescent="0.25">
      <c r="A407" s="5">
        <v>44186</v>
      </c>
      <c r="B407">
        <v>0.3926</v>
      </c>
      <c r="C407">
        <v>0.39910000000000001</v>
      </c>
      <c r="D407">
        <v>0.31979999999999997</v>
      </c>
      <c r="E407">
        <v>0.33650000000000002</v>
      </c>
      <c r="F407">
        <v>3078383.44</v>
      </c>
      <c r="G407">
        <v>0</v>
      </c>
      <c r="L407" t="s">
        <v>7</v>
      </c>
      <c r="M407" t="s">
        <v>7</v>
      </c>
      <c r="N407" t="s">
        <v>7</v>
      </c>
      <c r="P407">
        <f t="shared" si="975"/>
        <v>-0.57881462799495487</v>
      </c>
      <c r="Q407">
        <f t="shared" si="976"/>
        <v>-1781813.3656494294</v>
      </c>
      <c r="R407">
        <f t="shared" si="977"/>
        <v>-25064927.931005176</v>
      </c>
      <c r="S407">
        <f t="shared" si="978"/>
        <v>-250.64927931005175</v>
      </c>
      <c r="T407">
        <f t="shared" si="979"/>
        <v>-0.25064927931005176</v>
      </c>
    </row>
    <row r="408" spans="1:20" x14ac:dyDescent="0.25">
      <c r="A408" s="5">
        <v>44185</v>
      </c>
      <c r="B408">
        <v>0.39539999999999997</v>
      </c>
      <c r="C408">
        <v>0.41</v>
      </c>
      <c r="D408">
        <v>0.36230000000000001</v>
      </c>
      <c r="E408">
        <v>0.39279999999999998</v>
      </c>
      <c r="F408">
        <v>2536553.0499999998</v>
      </c>
      <c r="G408">
        <v>0</v>
      </c>
      <c r="L408" t="s">
        <v>7</v>
      </c>
      <c r="M408" t="s">
        <v>7</v>
      </c>
      <c r="N408" t="s">
        <v>7</v>
      </c>
      <c r="P408">
        <f t="shared" si="975"/>
        <v>0.27882599580712764</v>
      </c>
      <c r="Q408">
        <f t="shared" si="976"/>
        <v>707256.9300838568</v>
      </c>
      <c r="R408">
        <f t="shared" si="977"/>
        <v>-23283114.565355748</v>
      </c>
      <c r="S408">
        <f t="shared" si="978"/>
        <v>-232.83114565355748</v>
      </c>
      <c r="T408">
        <f t="shared" si="979"/>
        <v>-0.23283114565355748</v>
      </c>
    </row>
    <row r="409" spans="1:20" x14ac:dyDescent="0.25">
      <c r="A409" s="5">
        <v>44184</v>
      </c>
      <c r="B409">
        <v>0.37890000000000001</v>
      </c>
      <c r="C409">
        <v>0.4199</v>
      </c>
      <c r="D409">
        <v>0.36509999999999998</v>
      </c>
      <c r="E409">
        <v>0.39439999999999997</v>
      </c>
      <c r="F409">
        <v>3319874.93</v>
      </c>
      <c r="G409">
        <v>0</v>
      </c>
      <c r="L409" t="s">
        <v>8</v>
      </c>
      <c r="M409" t="s">
        <v>7</v>
      </c>
      <c r="N409" t="s">
        <v>7</v>
      </c>
      <c r="P409">
        <f t="shared" si="975"/>
        <v>6.9343065693430087E-2</v>
      </c>
      <c r="Q409">
        <f t="shared" si="976"/>
        <v>230210.30536496162</v>
      </c>
      <c r="R409">
        <f t="shared" si="977"/>
        <v>-23990371.495439604</v>
      </c>
      <c r="S409">
        <f t="shared" si="978"/>
        <v>-239.90371495439604</v>
      </c>
      <c r="T409">
        <f t="shared" si="979"/>
        <v>-0.23990371495439602</v>
      </c>
    </row>
    <row r="410" spans="1:20" x14ac:dyDescent="0.25">
      <c r="A410" s="5">
        <v>44183</v>
      </c>
      <c r="B410">
        <v>0.41320000000000001</v>
      </c>
      <c r="C410">
        <v>0.46300000000000002</v>
      </c>
      <c r="D410">
        <v>0.36280000000000001</v>
      </c>
      <c r="E410">
        <v>0.379</v>
      </c>
      <c r="F410">
        <v>11247752.76</v>
      </c>
      <c r="G410">
        <v>0</v>
      </c>
      <c r="L410" t="s">
        <v>7</v>
      </c>
      <c r="M410" t="s">
        <v>7</v>
      </c>
      <c r="N410" t="s">
        <v>7</v>
      </c>
      <c r="P410">
        <f t="shared" si="975"/>
        <v>-0.67664670658682657</v>
      </c>
      <c r="Q410">
        <f t="shared" si="976"/>
        <v>-7610754.8615568886</v>
      </c>
      <c r="R410">
        <f t="shared" si="977"/>
        <v>-24220581.800804567</v>
      </c>
      <c r="S410">
        <f t="shared" si="978"/>
        <v>-242.20581800804567</v>
      </c>
      <c r="T410">
        <f t="shared" si="979"/>
        <v>-0.24220581800804566</v>
      </c>
    </row>
    <row r="411" spans="1:20" x14ac:dyDescent="0.25">
      <c r="A411" s="5">
        <v>44182</v>
      </c>
      <c r="B411">
        <v>0.30719999999999997</v>
      </c>
      <c r="C411">
        <v>0.51549999999999996</v>
      </c>
      <c r="D411">
        <v>0.30640000000000001</v>
      </c>
      <c r="E411">
        <v>0.4143</v>
      </c>
      <c r="F411">
        <v>18553421.949999999</v>
      </c>
      <c r="G411">
        <v>0</v>
      </c>
      <c r="L411" t="s">
        <v>8</v>
      </c>
      <c r="M411" t="s">
        <v>8</v>
      </c>
      <c r="N411" t="s">
        <v>8</v>
      </c>
      <c r="P411">
        <f t="shared" si="975"/>
        <v>3.2042085126733816E-2</v>
      </c>
      <c r="Q411">
        <f t="shared" si="976"/>
        <v>594490.32551411167</v>
      </c>
      <c r="R411">
        <f t="shared" si="977"/>
        <v>-16609826.939247679</v>
      </c>
      <c r="S411">
        <f t="shared" si="978"/>
        <v>-166.09826939247679</v>
      </c>
      <c r="T411">
        <f t="shared" si="979"/>
        <v>-0.16609826939247679</v>
      </c>
    </row>
    <row r="412" spans="1:20" x14ac:dyDescent="0.25">
      <c r="A412" s="5">
        <v>44181</v>
      </c>
      <c r="B412">
        <v>0.29780000000000001</v>
      </c>
      <c r="C412">
        <v>0.34</v>
      </c>
      <c r="D412">
        <v>0.29210000000000003</v>
      </c>
      <c r="E412">
        <v>0.30719999999999997</v>
      </c>
      <c r="F412">
        <v>4928354.33</v>
      </c>
      <c r="G412">
        <v>0</v>
      </c>
      <c r="L412" t="s">
        <v>8</v>
      </c>
      <c r="M412" t="s">
        <v>8</v>
      </c>
      <c r="N412" t="s">
        <v>8</v>
      </c>
      <c r="P412">
        <f t="shared" si="975"/>
        <v>-0.36951983298538843</v>
      </c>
      <c r="Q412">
        <f t="shared" si="976"/>
        <v>-1821124.6689144159</v>
      </c>
      <c r="R412">
        <f t="shared" si="977"/>
        <v>-17204317.264761791</v>
      </c>
      <c r="S412">
        <f t="shared" si="978"/>
        <v>-172.04317264761789</v>
      </c>
      <c r="T412">
        <f t="shared" si="979"/>
        <v>-0.1720431726476179</v>
      </c>
    </row>
    <row r="413" spans="1:20" x14ac:dyDescent="0.25">
      <c r="A413" s="5">
        <v>44180</v>
      </c>
      <c r="B413">
        <v>0.27379999999999999</v>
      </c>
      <c r="C413">
        <v>0.29980000000000001</v>
      </c>
      <c r="D413">
        <v>0.2717</v>
      </c>
      <c r="E413">
        <v>0.29759999999999998</v>
      </c>
      <c r="F413">
        <v>2500022.29</v>
      </c>
      <c r="G413">
        <v>0</v>
      </c>
      <c r="L413" t="s">
        <v>8</v>
      </c>
      <c r="M413" t="s">
        <v>8</v>
      </c>
      <c r="N413" t="s">
        <v>7</v>
      </c>
      <c r="P413">
        <f t="shared" si="975"/>
        <v>0.84341637010675918</v>
      </c>
      <c r="Q413">
        <f t="shared" si="976"/>
        <v>2108559.7250177879</v>
      </c>
      <c r="R413">
        <f t="shared" si="977"/>
        <v>-15383192.595847374</v>
      </c>
      <c r="S413">
        <f t="shared" si="978"/>
        <v>-153.83192595847373</v>
      </c>
      <c r="T413">
        <f t="shared" si="979"/>
        <v>-0.15383192595847373</v>
      </c>
    </row>
    <row r="414" spans="1:20" x14ac:dyDescent="0.25">
      <c r="A414" s="5">
        <v>44179</v>
      </c>
      <c r="B414">
        <v>0.26519999999999999</v>
      </c>
      <c r="C414">
        <v>0.28000000000000003</v>
      </c>
      <c r="D414">
        <v>0.26179999999999998</v>
      </c>
      <c r="E414">
        <v>0.27339999999999998</v>
      </c>
      <c r="F414">
        <v>726721.59</v>
      </c>
      <c r="G414">
        <v>0</v>
      </c>
      <c r="L414" t="s">
        <v>8</v>
      </c>
      <c r="M414" t="s">
        <v>8</v>
      </c>
      <c r="N414" t="s">
        <v>7</v>
      </c>
      <c r="P414">
        <f t="shared" si="975"/>
        <v>0.2747252747252712</v>
      </c>
      <c r="Q414">
        <f t="shared" si="976"/>
        <v>199648.78846153588</v>
      </c>
      <c r="R414">
        <f t="shared" si="977"/>
        <v>-17491752.320865162</v>
      </c>
      <c r="S414">
        <f t="shared" si="978"/>
        <v>-174.91752320865163</v>
      </c>
      <c r="T414">
        <f t="shared" si="979"/>
        <v>-0.17491752320865164</v>
      </c>
    </row>
    <row r="415" spans="1:20" x14ac:dyDescent="0.25">
      <c r="A415" s="5">
        <v>44178</v>
      </c>
      <c r="B415">
        <v>0.26379999999999998</v>
      </c>
      <c r="C415">
        <v>0.2732</v>
      </c>
      <c r="D415">
        <v>0.25650000000000001</v>
      </c>
      <c r="E415">
        <v>0.2651</v>
      </c>
      <c r="F415">
        <v>640557.12</v>
      </c>
      <c r="G415">
        <v>0</v>
      </c>
      <c r="L415" t="s">
        <v>7</v>
      </c>
      <c r="M415" t="s">
        <v>8</v>
      </c>
      <c r="N415" t="s">
        <v>7</v>
      </c>
      <c r="P415">
        <f t="shared" si="975"/>
        <v>2.994011976047908E-2</v>
      </c>
      <c r="Q415">
        <f t="shared" si="976"/>
        <v>19178.356886227568</v>
      </c>
      <c r="R415">
        <f t="shared" si="977"/>
        <v>-17691401.109326698</v>
      </c>
      <c r="S415">
        <f t="shared" si="978"/>
        <v>-176.91401109326699</v>
      </c>
      <c r="T415">
        <f t="shared" si="979"/>
        <v>-0.17691401109326699</v>
      </c>
    </row>
    <row r="416" spans="1:20" x14ac:dyDescent="0.25">
      <c r="A416" s="5">
        <v>44177</v>
      </c>
      <c r="B416">
        <v>0.25600000000000001</v>
      </c>
      <c r="C416">
        <v>0.28860000000000002</v>
      </c>
      <c r="D416">
        <v>0.25600000000000001</v>
      </c>
      <c r="E416">
        <v>0.26490000000000002</v>
      </c>
      <c r="F416">
        <v>1241458.6200000001</v>
      </c>
      <c r="G416">
        <v>0</v>
      </c>
      <c r="L416" t="s">
        <v>8</v>
      </c>
      <c r="M416" t="s">
        <v>8</v>
      </c>
      <c r="N416" t="s">
        <v>7</v>
      </c>
      <c r="P416">
        <f t="shared" si="975"/>
        <v>-0.45398773006134885</v>
      </c>
      <c r="Q416">
        <f t="shared" si="976"/>
        <v>-563606.98085889476</v>
      </c>
      <c r="R416">
        <f t="shared" si="977"/>
        <v>-17710579.466212925</v>
      </c>
      <c r="S416">
        <f t="shared" si="978"/>
        <v>-177.10579466212926</v>
      </c>
      <c r="T416">
        <f t="shared" si="979"/>
        <v>-0.17710579466212925</v>
      </c>
    </row>
    <row r="417" spans="1:20" x14ac:dyDescent="0.25">
      <c r="A417" s="5">
        <v>44176</v>
      </c>
      <c r="B417">
        <v>0.26500000000000001</v>
      </c>
      <c r="C417">
        <v>0.2712</v>
      </c>
      <c r="D417">
        <v>0.24640000000000001</v>
      </c>
      <c r="E417">
        <v>0.25609999999999999</v>
      </c>
      <c r="F417">
        <v>1187643.3899999999</v>
      </c>
      <c r="G417">
        <v>0</v>
      </c>
      <c r="L417" t="s">
        <v>7</v>
      </c>
      <c r="M417" t="s">
        <v>8</v>
      </c>
      <c r="N417" t="s">
        <v>7</v>
      </c>
      <c r="P417">
        <f t="shared" si="975"/>
        <v>-0.21774193548387172</v>
      </c>
      <c r="Q417">
        <f t="shared" si="976"/>
        <v>-258599.77040322666</v>
      </c>
      <c r="R417">
        <f t="shared" si="977"/>
        <v>-17146972.485354029</v>
      </c>
      <c r="S417">
        <f t="shared" si="978"/>
        <v>-171.4697248535403</v>
      </c>
      <c r="T417">
        <f t="shared" si="979"/>
        <v>-0.17146972485354031</v>
      </c>
    </row>
    <row r="418" spans="1:20" x14ac:dyDescent="0.25">
      <c r="A418" s="5">
        <v>44175</v>
      </c>
      <c r="B418">
        <v>0.25879999999999997</v>
      </c>
      <c r="C418">
        <v>0.27450000000000002</v>
      </c>
      <c r="D418">
        <v>0.24679999999999999</v>
      </c>
      <c r="E418">
        <v>0.26650000000000001</v>
      </c>
      <c r="F418">
        <v>1334224.26</v>
      </c>
      <c r="G418">
        <v>0</v>
      </c>
      <c r="L418" t="s">
        <v>8</v>
      </c>
      <c r="M418" t="s">
        <v>8</v>
      </c>
      <c r="N418" t="s">
        <v>7</v>
      </c>
      <c r="P418">
        <f t="shared" si="975"/>
        <v>0.42238267148014452</v>
      </c>
      <c r="Q418">
        <f t="shared" si="976"/>
        <v>563553.20729241893</v>
      </c>
      <c r="R418">
        <f t="shared" si="977"/>
        <v>-16888372.714950804</v>
      </c>
      <c r="S418">
        <f t="shared" si="978"/>
        <v>-168.88372714950805</v>
      </c>
      <c r="T418">
        <f t="shared" si="979"/>
        <v>-0.16888372714950806</v>
      </c>
    </row>
    <row r="419" spans="1:20" x14ac:dyDescent="0.25">
      <c r="A419" s="5">
        <v>44174</v>
      </c>
      <c r="B419">
        <v>0.24129999999999999</v>
      </c>
      <c r="C419">
        <v>0.27979999999999999</v>
      </c>
      <c r="D419">
        <v>0.22450000000000001</v>
      </c>
      <c r="E419">
        <v>0.25990000000000002</v>
      </c>
      <c r="F419">
        <v>2129931.33</v>
      </c>
      <c r="G419">
        <v>0</v>
      </c>
      <c r="L419" t="s">
        <v>7</v>
      </c>
      <c r="M419" t="s">
        <v>7</v>
      </c>
      <c r="N419" t="s">
        <v>7</v>
      </c>
      <c r="P419">
        <f t="shared" si="975"/>
        <v>0.28028933092224312</v>
      </c>
      <c r="Q419">
        <f t="shared" si="976"/>
        <v>596997.02739602339</v>
      </c>
      <c r="R419">
        <f t="shared" si="977"/>
        <v>-17451925.922243223</v>
      </c>
      <c r="S419">
        <f t="shared" si="978"/>
        <v>-174.51925922243223</v>
      </c>
      <c r="T419">
        <f t="shared" si="979"/>
        <v>-0.17451925922243222</v>
      </c>
    </row>
    <row r="420" spans="1:20" x14ac:dyDescent="0.25">
      <c r="A420" s="5">
        <v>44173</v>
      </c>
      <c r="B420">
        <v>0.2621</v>
      </c>
      <c r="C420">
        <v>0.26300000000000001</v>
      </c>
      <c r="D420">
        <v>0.23680000000000001</v>
      </c>
      <c r="E420">
        <v>0.24129999999999999</v>
      </c>
      <c r="F420">
        <v>1401490.27</v>
      </c>
      <c r="G420">
        <v>0</v>
      </c>
      <c r="L420" t="s">
        <v>7</v>
      </c>
      <c r="M420" t="s">
        <v>7</v>
      </c>
      <c r="N420" t="s">
        <v>7</v>
      </c>
      <c r="P420">
        <f t="shared" si="975"/>
        <v>-0.65648854961832248</v>
      </c>
      <c r="Q420">
        <f t="shared" si="976"/>
        <v>-920062.31465649116</v>
      </c>
      <c r="R420">
        <f t="shared" si="977"/>
        <v>-18048922.949639246</v>
      </c>
      <c r="S420">
        <f t="shared" si="978"/>
        <v>-180.48922949639245</v>
      </c>
      <c r="T420">
        <f t="shared" si="979"/>
        <v>-0.18048922949639246</v>
      </c>
    </row>
    <row r="421" spans="1:20" x14ac:dyDescent="0.25">
      <c r="A421" s="5">
        <v>44172</v>
      </c>
      <c r="B421">
        <v>0.26440000000000002</v>
      </c>
      <c r="C421">
        <v>0.26840000000000003</v>
      </c>
      <c r="D421">
        <v>0.25740000000000002</v>
      </c>
      <c r="E421">
        <v>0.26300000000000001</v>
      </c>
      <c r="F421">
        <v>648459.9</v>
      </c>
      <c r="G421">
        <v>0</v>
      </c>
      <c r="L421" t="s">
        <v>7</v>
      </c>
      <c r="M421" t="s">
        <v>7</v>
      </c>
      <c r="N421" t="s">
        <v>8</v>
      </c>
      <c r="P421">
        <f t="shared" si="975"/>
        <v>1.8181818181816162E-2</v>
      </c>
      <c r="Q421">
        <f t="shared" si="976"/>
        <v>11790.179999998691</v>
      </c>
      <c r="R421">
        <f t="shared" si="977"/>
        <v>-17128860.634982754</v>
      </c>
      <c r="S421">
        <f t="shared" si="978"/>
        <v>-171.28860634982755</v>
      </c>
      <c r="T421">
        <f t="shared" si="979"/>
        <v>-0.17128860634982754</v>
      </c>
    </row>
    <row r="422" spans="1:20" x14ac:dyDescent="0.25">
      <c r="A422" s="5">
        <v>44171</v>
      </c>
      <c r="B422">
        <v>0.26889999999999997</v>
      </c>
      <c r="C422">
        <v>0.27139999999999997</v>
      </c>
      <c r="D422">
        <v>0.25800000000000001</v>
      </c>
      <c r="E422">
        <v>0.2626</v>
      </c>
      <c r="F422">
        <v>593209.51</v>
      </c>
      <c r="G422">
        <v>0</v>
      </c>
      <c r="L422" t="s">
        <v>7</v>
      </c>
      <c r="M422" t="s">
        <v>7</v>
      </c>
      <c r="N422" t="s">
        <v>8</v>
      </c>
      <c r="P422">
        <f t="shared" si="975"/>
        <v>-0.31343283582089493</v>
      </c>
      <c r="Q422">
        <f t="shared" si="976"/>
        <v>-185931.33895522353</v>
      </c>
      <c r="R422">
        <f t="shared" si="977"/>
        <v>-17140650.814982753</v>
      </c>
      <c r="S422">
        <f t="shared" si="978"/>
        <v>-171.40650814982754</v>
      </c>
      <c r="T422">
        <f t="shared" si="979"/>
        <v>-0.17140650814982755</v>
      </c>
    </row>
    <row r="423" spans="1:20" x14ac:dyDescent="0.25">
      <c r="A423" s="5">
        <v>44170</v>
      </c>
      <c r="B423">
        <v>0.25919999999999999</v>
      </c>
      <c r="C423">
        <v>0.27029999999999998</v>
      </c>
      <c r="D423">
        <v>0.25779999999999997</v>
      </c>
      <c r="E423">
        <v>0.26879999999999998</v>
      </c>
      <c r="F423">
        <v>344790.91</v>
      </c>
      <c r="G423">
        <v>0</v>
      </c>
      <c r="L423" t="s">
        <v>7</v>
      </c>
      <c r="M423" t="s">
        <v>7</v>
      </c>
      <c r="N423" t="s">
        <v>8</v>
      </c>
      <c r="P423">
        <f t="shared" si="975"/>
        <v>0.76</v>
      </c>
      <c r="Q423">
        <f t="shared" si="976"/>
        <v>262041.09159999999</v>
      </c>
      <c r="R423">
        <f t="shared" si="977"/>
        <v>-16954719.47602753</v>
      </c>
      <c r="S423">
        <f t="shared" si="978"/>
        <v>-169.54719476027529</v>
      </c>
      <c r="T423">
        <f t="shared" si="979"/>
        <v>-0.1695471947602753</v>
      </c>
    </row>
    <row r="424" spans="1:20" x14ac:dyDescent="0.25">
      <c r="A424" s="5">
        <v>44169</v>
      </c>
      <c r="B424">
        <v>0.27389999999999998</v>
      </c>
      <c r="C424">
        <v>0.2767</v>
      </c>
      <c r="D424">
        <v>0.25740000000000002</v>
      </c>
      <c r="E424">
        <v>0.25929999999999997</v>
      </c>
      <c r="F424">
        <v>952440.02</v>
      </c>
      <c r="G424">
        <v>0</v>
      </c>
      <c r="L424" t="s">
        <v>7</v>
      </c>
      <c r="M424" t="s">
        <v>7</v>
      </c>
      <c r="N424" t="s">
        <v>8</v>
      </c>
      <c r="P424">
        <f t="shared" si="975"/>
        <v>-0.80310880829015974</v>
      </c>
      <c r="Q424">
        <f t="shared" si="976"/>
        <v>-764912.96943005593</v>
      </c>
      <c r="R424">
        <f t="shared" si="977"/>
        <v>-17216760.567627531</v>
      </c>
      <c r="S424">
        <f t="shared" si="978"/>
        <v>-172.16760567627531</v>
      </c>
      <c r="T424">
        <f t="shared" si="979"/>
        <v>-0.17216760567627531</v>
      </c>
    </row>
    <row r="425" spans="1:20" x14ac:dyDescent="0.25">
      <c r="A425" s="5">
        <v>44168</v>
      </c>
      <c r="B425">
        <v>0.27379999999999999</v>
      </c>
      <c r="C425">
        <v>0.28000000000000003</v>
      </c>
      <c r="D425">
        <v>0.27079999999999999</v>
      </c>
      <c r="E425">
        <v>0.27400000000000002</v>
      </c>
      <c r="F425">
        <v>851981.47</v>
      </c>
      <c r="G425">
        <v>0</v>
      </c>
      <c r="L425" t="s">
        <v>8</v>
      </c>
      <c r="M425" t="s">
        <v>7</v>
      </c>
      <c r="N425" t="s">
        <v>8</v>
      </c>
      <c r="P425">
        <f t="shared" si="975"/>
        <v>-0.30434782608695182</v>
      </c>
      <c r="Q425">
        <f t="shared" si="976"/>
        <v>-259298.70826086556</v>
      </c>
      <c r="R425">
        <f t="shared" si="977"/>
        <v>-16451847.598197473</v>
      </c>
      <c r="S425">
        <f t="shared" si="978"/>
        <v>-164.51847598197475</v>
      </c>
      <c r="T425">
        <f t="shared" si="979"/>
        <v>-0.16451847598197475</v>
      </c>
    </row>
    <row r="426" spans="1:20" x14ac:dyDescent="0.25">
      <c r="A426" s="5">
        <v>44167</v>
      </c>
      <c r="B426">
        <v>0.26450000000000001</v>
      </c>
      <c r="C426">
        <v>0.27460000000000001</v>
      </c>
      <c r="D426">
        <v>0.26019999999999999</v>
      </c>
      <c r="E426">
        <v>0.2732</v>
      </c>
      <c r="F426">
        <v>639100.21</v>
      </c>
      <c r="G426">
        <v>0</v>
      </c>
      <c r="L426" t="s">
        <v>7</v>
      </c>
      <c r="M426" t="s">
        <v>7</v>
      </c>
      <c r="N426" t="s">
        <v>8</v>
      </c>
      <c r="P426">
        <f t="shared" si="975"/>
        <v>0.80555555555555414</v>
      </c>
      <c r="Q426">
        <f t="shared" si="976"/>
        <v>514830.72472222126</v>
      </c>
      <c r="R426">
        <f t="shared" si="977"/>
        <v>-16192548.889936607</v>
      </c>
      <c r="S426">
        <f t="shared" si="978"/>
        <v>-161.92548889936609</v>
      </c>
      <c r="T426">
        <f t="shared" si="979"/>
        <v>-0.16192548889936609</v>
      </c>
    </row>
    <row r="427" spans="1:20" x14ac:dyDescent="0.25">
      <c r="A427" s="5">
        <v>44166</v>
      </c>
      <c r="B427">
        <v>0.27950000000000003</v>
      </c>
      <c r="C427">
        <v>0.2898</v>
      </c>
      <c r="D427">
        <v>0.25619999999999998</v>
      </c>
      <c r="E427">
        <v>0.26569999999999999</v>
      </c>
      <c r="F427">
        <v>1692712.72</v>
      </c>
      <c r="G427">
        <v>0</v>
      </c>
      <c r="L427" t="s">
        <v>7</v>
      </c>
      <c r="M427" t="s">
        <v>7</v>
      </c>
      <c r="N427" t="s">
        <v>8</v>
      </c>
      <c r="P427">
        <f t="shared" si="975"/>
        <v>-0.43452380952380931</v>
      </c>
      <c r="Q427">
        <f t="shared" si="976"/>
        <v>-735523.97952380916</v>
      </c>
      <c r="R427">
        <f t="shared" si="977"/>
        <v>-16707379.614658829</v>
      </c>
      <c r="S427">
        <f t="shared" si="978"/>
        <v>-167.07379614658828</v>
      </c>
      <c r="T427">
        <f t="shared" si="979"/>
        <v>-0.16707379614658827</v>
      </c>
    </row>
    <row r="428" spans="1:20" x14ac:dyDescent="0.25">
      <c r="A428" s="5">
        <v>44165</v>
      </c>
      <c r="B428">
        <v>0.27329999999999999</v>
      </c>
      <c r="C428">
        <v>0.28570000000000001</v>
      </c>
      <c r="D428">
        <v>0.26919999999999999</v>
      </c>
      <c r="E428">
        <v>0.28110000000000002</v>
      </c>
      <c r="F428">
        <v>1504498.57</v>
      </c>
      <c r="G428">
        <v>0</v>
      </c>
      <c r="L428" t="s">
        <v>7</v>
      </c>
      <c r="M428" t="s">
        <v>7</v>
      </c>
      <c r="N428" t="s">
        <v>8</v>
      </c>
      <c r="P428">
        <f t="shared" si="975"/>
        <v>0.44242424242424377</v>
      </c>
      <c r="Q428">
        <f t="shared" si="976"/>
        <v>665626.64006060816</v>
      </c>
      <c r="R428">
        <f t="shared" si="977"/>
        <v>-15971855.635135019</v>
      </c>
      <c r="S428">
        <f t="shared" si="978"/>
        <v>-159.7185563513502</v>
      </c>
      <c r="T428">
        <f t="shared" si="979"/>
        <v>-0.15971855635135021</v>
      </c>
    </row>
    <row r="429" spans="1:20" x14ac:dyDescent="0.25">
      <c r="A429" s="5">
        <v>44164</v>
      </c>
      <c r="B429">
        <v>0.27639999999999998</v>
      </c>
      <c r="C429">
        <v>0.28520000000000001</v>
      </c>
      <c r="D429">
        <v>0.27160000000000001</v>
      </c>
      <c r="E429">
        <v>0.27489999999999998</v>
      </c>
      <c r="F429">
        <v>672636.97</v>
      </c>
      <c r="G429">
        <v>0</v>
      </c>
      <c r="L429" t="s">
        <v>8</v>
      </c>
      <c r="M429" t="s">
        <v>7</v>
      </c>
      <c r="N429" t="s">
        <v>8</v>
      </c>
      <c r="P429">
        <f t="shared" si="975"/>
        <v>-0.51470588235294568</v>
      </c>
      <c r="Q429">
        <f t="shared" si="976"/>
        <v>-346210.20514706185</v>
      </c>
      <c r="R429">
        <f t="shared" si="977"/>
        <v>-16637482.275195627</v>
      </c>
      <c r="S429">
        <f t="shared" si="978"/>
        <v>-166.37482275195626</v>
      </c>
      <c r="T429">
        <f t="shared" si="979"/>
        <v>-0.16637482275195625</v>
      </c>
    </row>
    <row r="430" spans="1:20" x14ac:dyDescent="0.25">
      <c r="A430" s="5">
        <v>44163</v>
      </c>
      <c r="B430">
        <v>0.26719999999999999</v>
      </c>
      <c r="C430">
        <v>0.28910000000000002</v>
      </c>
      <c r="D430">
        <v>0.2616</v>
      </c>
      <c r="E430">
        <v>0.27589999999999998</v>
      </c>
      <c r="F430">
        <v>1083870.3400000001</v>
      </c>
      <c r="G430">
        <v>0</v>
      </c>
      <c r="L430" t="s">
        <v>8</v>
      </c>
      <c r="M430" t="s">
        <v>7</v>
      </c>
      <c r="N430" t="s">
        <v>8</v>
      </c>
      <c r="P430">
        <f t="shared" si="975"/>
        <v>3.9999999999997579E-2</v>
      </c>
      <c r="Q430">
        <f t="shared" si="976"/>
        <v>43354.813599997382</v>
      </c>
      <c r="R430">
        <f t="shared" si="977"/>
        <v>-16291272.070048565</v>
      </c>
      <c r="S430">
        <f t="shared" si="978"/>
        <v>-162.91272070048566</v>
      </c>
      <c r="T430">
        <f t="shared" si="979"/>
        <v>-0.16291272070048565</v>
      </c>
    </row>
    <row r="431" spans="1:20" x14ac:dyDescent="0.25">
      <c r="A431" s="5">
        <v>44162</v>
      </c>
      <c r="B431">
        <v>0.26929999999999998</v>
      </c>
      <c r="C431">
        <v>0.27789999999999998</v>
      </c>
      <c r="D431">
        <v>0.25659999999999999</v>
      </c>
      <c r="E431">
        <v>0.26669999999999999</v>
      </c>
      <c r="F431">
        <v>1093848.6299999999</v>
      </c>
      <c r="G431">
        <v>0</v>
      </c>
      <c r="L431" t="s">
        <v>8</v>
      </c>
      <c r="M431" t="s">
        <v>7</v>
      </c>
      <c r="N431" t="s">
        <v>8</v>
      </c>
      <c r="P431">
        <f t="shared" si="975"/>
        <v>-5.164319248826247E-2</v>
      </c>
      <c r="Q431">
        <f t="shared" si="976"/>
        <v>-56489.83535211219</v>
      </c>
      <c r="R431">
        <f t="shared" si="977"/>
        <v>-16334626.883648563</v>
      </c>
      <c r="S431">
        <f t="shared" si="978"/>
        <v>-163.34626883648562</v>
      </c>
      <c r="T431">
        <f t="shared" si="979"/>
        <v>-0.16334626883648562</v>
      </c>
    </row>
    <row r="432" spans="1:20" x14ac:dyDescent="0.25">
      <c r="A432" s="5">
        <v>44161</v>
      </c>
      <c r="B432">
        <v>0.30759999999999998</v>
      </c>
      <c r="C432">
        <v>0.31709999999999999</v>
      </c>
      <c r="D432">
        <v>0.2467</v>
      </c>
      <c r="E432">
        <v>0.2676</v>
      </c>
      <c r="F432">
        <v>2651126.31</v>
      </c>
      <c r="G432">
        <v>0</v>
      </c>
      <c r="L432" t="s">
        <v>7</v>
      </c>
      <c r="M432" t="s">
        <v>7</v>
      </c>
      <c r="N432" t="s">
        <v>8</v>
      </c>
      <c r="P432">
        <f t="shared" si="975"/>
        <v>-0.40624999999999989</v>
      </c>
      <c r="Q432">
        <f t="shared" si="976"/>
        <v>-1077020.0634374998</v>
      </c>
      <c r="R432">
        <f t="shared" si="977"/>
        <v>-16278137.048296452</v>
      </c>
      <c r="S432">
        <f t="shared" si="978"/>
        <v>-162.78137048296452</v>
      </c>
      <c r="T432">
        <f t="shared" si="979"/>
        <v>-0.16278137048296451</v>
      </c>
    </row>
    <row r="433" spans="1:20" x14ac:dyDescent="0.25">
      <c r="A433" s="5">
        <v>44160</v>
      </c>
      <c r="B433">
        <v>0.32400000000000001</v>
      </c>
      <c r="C433">
        <v>0.34570000000000001</v>
      </c>
      <c r="D433">
        <v>0.3</v>
      </c>
      <c r="E433">
        <v>0.309</v>
      </c>
      <c r="F433">
        <v>3108951.67</v>
      </c>
      <c r="G433">
        <v>0</v>
      </c>
      <c r="L433" t="s">
        <v>8</v>
      </c>
      <c r="M433" t="s">
        <v>8</v>
      </c>
      <c r="N433" t="s">
        <v>8</v>
      </c>
      <c r="P433">
        <f t="shared" si="975"/>
        <v>-0.60612691466083135</v>
      </c>
      <c r="Q433">
        <f t="shared" si="976"/>
        <v>-1884419.2835667392</v>
      </c>
      <c r="R433">
        <f t="shared" si="977"/>
        <v>-15201116.984858952</v>
      </c>
      <c r="S433">
        <f t="shared" si="978"/>
        <v>-152.01116984858953</v>
      </c>
      <c r="T433">
        <f t="shared" si="979"/>
        <v>-0.15201116984858953</v>
      </c>
    </row>
    <row r="434" spans="1:20" x14ac:dyDescent="0.25">
      <c r="A434" s="5">
        <v>44159</v>
      </c>
      <c r="B434">
        <v>0.28100000000000003</v>
      </c>
      <c r="C434">
        <v>0.33150000000000002</v>
      </c>
      <c r="D434">
        <v>0.28079999999999999</v>
      </c>
      <c r="E434">
        <v>0.32400000000000001</v>
      </c>
      <c r="F434">
        <v>3490068.87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0.70414201183431935</v>
      </c>
      <c r="Q434">
        <f t="shared" si="976"/>
        <v>2457504.1155621298</v>
      </c>
      <c r="R434">
        <f t="shared" si="977"/>
        <v>-13316697.701292213</v>
      </c>
      <c r="S434">
        <f t="shared" si="978"/>
        <v>-133.16697701292213</v>
      </c>
      <c r="T434">
        <f t="shared" si="979"/>
        <v>-0.13316697701292213</v>
      </c>
    </row>
    <row r="435" spans="1:20" x14ac:dyDescent="0.25">
      <c r="A435" s="5">
        <v>44158</v>
      </c>
      <c r="B435">
        <v>0.26190000000000002</v>
      </c>
      <c r="C435">
        <v>0.29980000000000001</v>
      </c>
      <c r="D435">
        <v>0.26019999999999999</v>
      </c>
      <c r="E435">
        <v>0.28199999999999997</v>
      </c>
      <c r="F435">
        <v>2803534.42</v>
      </c>
      <c r="G435">
        <v>0</v>
      </c>
      <c r="L435" t="s">
        <v>8</v>
      </c>
      <c r="M435" t="s">
        <v>8</v>
      </c>
      <c r="N435" t="s">
        <v>8</v>
      </c>
      <c r="P435">
        <f t="shared" si="975"/>
        <v>0.10101010101009963</v>
      </c>
      <c r="Q435">
        <f t="shared" si="976"/>
        <v>283185.2949494911</v>
      </c>
      <c r="R435">
        <f t="shared" si="977"/>
        <v>-15774201.816854343</v>
      </c>
      <c r="S435">
        <f t="shared" si="978"/>
        <v>-157.74201816854344</v>
      </c>
      <c r="T435">
        <f t="shared" si="979"/>
        <v>-0.15774201816854344</v>
      </c>
    </row>
    <row r="436" spans="1:20" x14ac:dyDescent="0.25">
      <c r="A436" s="5">
        <v>44157</v>
      </c>
      <c r="B436">
        <v>0.26779999999999998</v>
      </c>
      <c r="C436">
        <v>0.27560000000000001</v>
      </c>
      <c r="D436">
        <v>0.249</v>
      </c>
      <c r="E436">
        <v>0.26</v>
      </c>
      <c r="F436">
        <v>1324897.55</v>
      </c>
      <c r="G436">
        <v>0</v>
      </c>
      <c r="L436" t="s">
        <v>7</v>
      </c>
      <c r="M436" t="s">
        <v>7</v>
      </c>
      <c r="N436" t="s">
        <v>8</v>
      </c>
      <c r="P436">
        <f t="shared" si="975"/>
        <v>-0.17293233082706733</v>
      </c>
      <c r="Q436">
        <f t="shared" si="976"/>
        <v>-229117.62142857097</v>
      </c>
      <c r="R436">
        <f t="shared" si="977"/>
        <v>-16057387.111803833</v>
      </c>
      <c r="S436">
        <f t="shared" si="978"/>
        <v>-160.57387111803834</v>
      </c>
      <c r="T436">
        <f t="shared" si="979"/>
        <v>-0.16057387111803834</v>
      </c>
    </row>
    <row r="437" spans="1:20" x14ac:dyDescent="0.25">
      <c r="A437" s="5">
        <v>44156</v>
      </c>
      <c r="B437">
        <v>0.2505</v>
      </c>
      <c r="C437">
        <v>0.27200000000000002</v>
      </c>
      <c r="D437">
        <v>0.247</v>
      </c>
      <c r="E437">
        <v>0.2666</v>
      </c>
      <c r="F437">
        <v>1589824.91</v>
      </c>
      <c r="G437">
        <v>0</v>
      </c>
      <c r="L437" t="s">
        <v>8</v>
      </c>
      <c r="M437" t="s">
        <v>7</v>
      </c>
      <c r="N437" t="s">
        <v>8</v>
      </c>
      <c r="P437">
        <f t="shared" si="975"/>
        <v>0.56799999999999906</v>
      </c>
      <c r="Q437">
        <f t="shared" si="976"/>
        <v>903020.5488799985</v>
      </c>
      <c r="R437">
        <f t="shared" si="977"/>
        <v>-15828269.490375262</v>
      </c>
      <c r="S437">
        <f t="shared" si="978"/>
        <v>-158.28269490375263</v>
      </c>
      <c r="T437">
        <f t="shared" si="979"/>
        <v>-0.15828269490375263</v>
      </c>
    </row>
    <row r="438" spans="1:20" x14ac:dyDescent="0.25">
      <c r="A438" s="5">
        <v>44155</v>
      </c>
      <c r="B438">
        <v>0.2475</v>
      </c>
      <c r="C438">
        <v>0.25800000000000001</v>
      </c>
      <c r="D438">
        <v>0.23949999999999999</v>
      </c>
      <c r="E438">
        <v>0.25140000000000001</v>
      </c>
      <c r="F438">
        <v>2104109.87</v>
      </c>
      <c r="G438">
        <v>0</v>
      </c>
      <c r="L438" t="s">
        <v>7</v>
      </c>
      <c r="M438" t="s">
        <v>7</v>
      </c>
      <c r="N438" t="s">
        <v>8</v>
      </c>
      <c r="P438">
        <f t="shared" si="975"/>
        <v>0.28648648648648767</v>
      </c>
      <c r="Q438">
        <f t="shared" si="976"/>
        <v>602799.04383784032</v>
      </c>
      <c r="R438">
        <f t="shared" si="977"/>
        <v>-16731290.03925526</v>
      </c>
      <c r="S438">
        <f t="shared" si="978"/>
        <v>-167.31290039255259</v>
      </c>
      <c r="T438">
        <f t="shared" si="979"/>
        <v>-0.16731290039255259</v>
      </c>
    </row>
    <row r="439" spans="1:20" x14ac:dyDescent="0.25">
      <c r="A439" s="5">
        <v>44154</v>
      </c>
      <c r="B439">
        <v>0.26450000000000001</v>
      </c>
      <c r="C439">
        <v>0.2737</v>
      </c>
      <c r="D439">
        <v>0.24610000000000001</v>
      </c>
      <c r="E439">
        <v>0.2482</v>
      </c>
      <c r="F439">
        <v>1251386.3999999999</v>
      </c>
      <c r="G439">
        <v>0</v>
      </c>
      <c r="L439" t="s">
        <v>8</v>
      </c>
      <c r="M439" t="s">
        <v>8</v>
      </c>
      <c r="N439" t="s">
        <v>8</v>
      </c>
      <c r="P439">
        <f t="shared" si="975"/>
        <v>-0.84782608695652228</v>
      </c>
      <c r="Q439">
        <f t="shared" si="976"/>
        <v>-1060958.0347826092</v>
      </c>
      <c r="R439">
        <f t="shared" si="977"/>
        <v>-17334089.083093099</v>
      </c>
      <c r="S439">
        <f t="shared" si="978"/>
        <v>-173.34089083093099</v>
      </c>
      <c r="T439">
        <f t="shared" si="979"/>
        <v>-0.17334089083093099</v>
      </c>
    </row>
    <row r="440" spans="1:20" x14ac:dyDescent="0.25">
      <c r="A440" s="5">
        <v>44153</v>
      </c>
      <c r="B440">
        <v>0.26600000000000001</v>
      </c>
      <c r="C440">
        <v>0.26740000000000003</v>
      </c>
      <c r="D440">
        <v>0.2462</v>
      </c>
      <c r="E440">
        <v>0.26469999999999999</v>
      </c>
      <c r="F440">
        <v>1164276.4099999999</v>
      </c>
      <c r="G440">
        <v>0</v>
      </c>
      <c r="L440" t="s">
        <v>7</v>
      </c>
      <c r="M440" t="s">
        <v>8</v>
      </c>
      <c r="N440" t="s">
        <v>8</v>
      </c>
      <c r="P440">
        <f t="shared" si="975"/>
        <v>0.74528301886792148</v>
      </c>
      <c r="Q440">
        <f t="shared" si="976"/>
        <v>867715.43764150585</v>
      </c>
      <c r="R440">
        <f t="shared" si="977"/>
        <v>-16273131.048310488</v>
      </c>
      <c r="S440">
        <f t="shared" si="978"/>
        <v>-162.73131048310489</v>
      </c>
      <c r="T440">
        <f t="shared" si="979"/>
        <v>-0.16273131048310488</v>
      </c>
    </row>
    <row r="441" spans="1:20" x14ac:dyDescent="0.25">
      <c r="A441" s="5">
        <v>44152</v>
      </c>
      <c r="B441">
        <v>0.2586</v>
      </c>
      <c r="C441">
        <v>0.28239999999999998</v>
      </c>
      <c r="D441">
        <v>0.25819999999999999</v>
      </c>
      <c r="E441">
        <v>0.26340000000000002</v>
      </c>
      <c r="F441">
        <v>1598418.53</v>
      </c>
      <c r="G441">
        <v>0</v>
      </c>
      <c r="L441" t="s">
        <v>8</v>
      </c>
      <c r="M441" t="s">
        <v>8</v>
      </c>
      <c r="N441" t="s">
        <v>8</v>
      </c>
      <c r="P441">
        <f t="shared" si="975"/>
        <v>-0.5702479338842944</v>
      </c>
      <c r="Q441">
        <f t="shared" si="976"/>
        <v>-911494.86421487108</v>
      </c>
      <c r="R441">
        <f t="shared" si="977"/>
        <v>-17140846.485951994</v>
      </c>
      <c r="S441">
        <f t="shared" si="978"/>
        <v>-171.40846485951994</v>
      </c>
      <c r="T441">
        <f t="shared" si="979"/>
        <v>-0.17140846485951994</v>
      </c>
    </row>
    <row r="442" spans="1:20" x14ac:dyDescent="0.25">
      <c r="A442" s="5">
        <v>44151</v>
      </c>
      <c r="B442">
        <v>0.24979999999999999</v>
      </c>
      <c r="C442">
        <v>0.26450000000000001</v>
      </c>
      <c r="D442">
        <v>0.24979999999999999</v>
      </c>
      <c r="E442">
        <v>0.25850000000000001</v>
      </c>
      <c r="F442">
        <v>677067.4</v>
      </c>
      <c r="G442">
        <v>0</v>
      </c>
      <c r="L442" t="s">
        <v>8</v>
      </c>
      <c r="M442" t="s">
        <v>7</v>
      </c>
      <c r="N442" t="s">
        <v>8</v>
      </c>
      <c r="P442">
        <f t="shared" si="975"/>
        <v>0.18367346938775542</v>
      </c>
      <c r="Q442">
        <f t="shared" si="976"/>
        <v>124359.31836734715</v>
      </c>
      <c r="R442">
        <f t="shared" si="977"/>
        <v>-16229351.621737123</v>
      </c>
      <c r="S442">
        <f t="shared" si="978"/>
        <v>-162.29351621737123</v>
      </c>
      <c r="T442">
        <f t="shared" si="979"/>
        <v>-0.16229351621737123</v>
      </c>
    </row>
    <row r="443" spans="1:20" x14ac:dyDescent="0.25">
      <c r="A443" s="5">
        <v>44150</v>
      </c>
      <c r="B443">
        <v>0.26269999999999999</v>
      </c>
      <c r="C443">
        <v>0.2707</v>
      </c>
      <c r="D443">
        <v>0.24390000000000001</v>
      </c>
      <c r="E443">
        <v>0.24990000000000001</v>
      </c>
      <c r="F443">
        <v>903204.86</v>
      </c>
      <c r="G443">
        <v>0</v>
      </c>
      <c r="L443" t="s">
        <v>7</v>
      </c>
      <c r="M443" t="s">
        <v>7</v>
      </c>
      <c r="N443" t="s">
        <v>8</v>
      </c>
      <c r="P443">
        <f t="shared" si="975"/>
        <v>-0.55223880597014874</v>
      </c>
      <c r="Q443">
        <f t="shared" si="976"/>
        <v>-498784.77343283535</v>
      </c>
      <c r="R443">
        <f t="shared" si="977"/>
        <v>-16353710.94010447</v>
      </c>
      <c r="S443">
        <f t="shared" si="978"/>
        <v>-163.53710940104469</v>
      </c>
      <c r="T443">
        <f t="shared" si="979"/>
        <v>-0.16353710940104468</v>
      </c>
    </row>
    <row r="444" spans="1:20" x14ac:dyDescent="0.25">
      <c r="A444" s="5">
        <v>44149</v>
      </c>
      <c r="B444">
        <v>0.26800000000000002</v>
      </c>
      <c r="C444">
        <v>0.27200000000000002</v>
      </c>
      <c r="D444">
        <v>0.25309999999999999</v>
      </c>
      <c r="E444">
        <v>0.26300000000000001</v>
      </c>
      <c r="F444">
        <v>819894.1</v>
      </c>
      <c r="G444">
        <v>0</v>
      </c>
      <c r="L444" t="s">
        <v>8</v>
      </c>
      <c r="M444" t="s">
        <v>7</v>
      </c>
      <c r="N444" t="s">
        <v>8</v>
      </c>
      <c r="P444">
        <f t="shared" si="975"/>
        <v>4.7619047619048178E-2</v>
      </c>
      <c r="Q444">
        <f t="shared" si="976"/>
        <v>39042.576190476648</v>
      </c>
      <c r="R444">
        <f t="shared" si="977"/>
        <v>-15854926.166671634</v>
      </c>
      <c r="S444">
        <f t="shared" si="978"/>
        <v>-158.54926166671635</v>
      </c>
      <c r="T444">
        <f t="shared" si="979"/>
        <v>-0.15854926166671635</v>
      </c>
    </row>
    <row r="445" spans="1:20" x14ac:dyDescent="0.25">
      <c r="A445" s="5">
        <v>44148</v>
      </c>
      <c r="B445">
        <v>0.24479999999999999</v>
      </c>
      <c r="C445">
        <v>0.27</v>
      </c>
      <c r="D445">
        <v>0.24279999999999999</v>
      </c>
      <c r="E445">
        <v>0.26600000000000001</v>
      </c>
      <c r="F445">
        <v>1030342.26</v>
      </c>
      <c r="G445">
        <v>0</v>
      </c>
      <c r="L445" t="s">
        <v>7</v>
      </c>
      <c r="M445" t="s">
        <v>7</v>
      </c>
      <c r="N445" t="s">
        <v>8</v>
      </c>
      <c r="P445">
        <f t="shared" si="975"/>
        <v>0.70588235294117652</v>
      </c>
      <c r="Q445">
        <f t="shared" si="976"/>
        <v>727300.4188235295</v>
      </c>
      <c r="R445">
        <f t="shared" si="977"/>
        <v>-15893968.742862111</v>
      </c>
      <c r="S445">
        <f t="shared" si="978"/>
        <v>-158.93968742862111</v>
      </c>
      <c r="T445">
        <f t="shared" si="979"/>
        <v>-0.15893968742862111</v>
      </c>
    </row>
    <row r="446" spans="1:20" x14ac:dyDescent="0.25">
      <c r="A446" s="5">
        <v>44147</v>
      </c>
      <c r="B446">
        <v>0.24909999999999999</v>
      </c>
      <c r="C446">
        <v>0.26929999999999998</v>
      </c>
      <c r="D446">
        <v>0.24099999999999999</v>
      </c>
      <c r="E446">
        <v>0.24329999999999999</v>
      </c>
      <c r="F446">
        <v>2300840.69</v>
      </c>
      <c r="G446">
        <v>0</v>
      </c>
      <c r="L446" t="s">
        <v>8</v>
      </c>
      <c r="M446" t="s">
        <v>7</v>
      </c>
      <c r="N446" t="s">
        <v>8</v>
      </c>
      <c r="P446">
        <f t="shared" si="975"/>
        <v>-0.83745583038869276</v>
      </c>
      <c r="Q446">
        <f t="shared" si="976"/>
        <v>-1926852.4506360427</v>
      </c>
      <c r="R446">
        <f t="shared" si="977"/>
        <v>-16621269.16168564</v>
      </c>
      <c r="S446">
        <f t="shared" si="978"/>
        <v>-166.2126916168564</v>
      </c>
      <c r="T446">
        <f t="shared" si="979"/>
        <v>-0.1662126916168564</v>
      </c>
    </row>
    <row r="447" spans="1:20" x14ac:dyDescent="0.25">
      <c r="A447" s="5">
        <v>44146</v>
      </c>
      <c r="B447">
        <v>0.25829999999999997</v>
      </c>
      <c r="C447">
        <v>0.26169999999999999</v>
      </c>
      <c r="D447">
        <v>0.24310000000000001</v>
      </c>
      <c r="E447">
        <v>0.24909999999999999</v>
      </c>
      <c r="F447">
        <v>982231.78</v>
      </c>
      <c r="G447">
        <v>0</v>
      </c>
      <c r="L447" t="s">
        <v>7</v>
      </c>
      <c r="M447" t="s">
        <v>7</v>
      </c>
      <c r="N447" t="s">
        <v>8</v>
      </c>
      <c r="P447">
        <f t="shared" si="975"/>
        <v>-0.35483870967742098</v>
      </c>
      <c r="Q447">
        <f t="shared" si="976"/>
        <v>-348533.85741935647</v>
      </c>
      <c r="R447">
        <f t="shared" si="977"/>
        <v>-14694416.711049598</v>
      </c>
      <c r="S447">
        <f t="shared" si="978"/>
        <v>-146.94416711049598</v>
      </c>
      <c r="T447">
        <f t="shared" si="979"/>
        <v>-0.14694416711049599</v>
      </c>
    </row>
    <row r="448" spans="1:20" x14ac:dyDescent="0.25">
      <c r="A448" s="5">
        <v>44145</v>
      </c>
      <c r="B448">
        <v>0.2351</v>
      </c>
      <c r="C448">
        <v>0.2994</v>
      </c>
      <c r="D448">
        <v>0.2336</v>
      </c>
      <c r="E448">
        <v>0.26029999999999998</v>
      </c>
      <c r="F448">
        <v>4343188.57</v>
      </c>
      <c r="G448">
        <v>0</v>
      </c>
      <c r="L448" t="s">
        <v>8</v>
      </c>
      <c r="M448" t="s">
        <v>8</v>
      </c>
      <c r="N448" t="s">
        <v>8</v>
      </c>
      <c r="P448">
        <f t="shared" si="975"/>
        <v>-0.18844984802431688</v>
      </c>
      <c r="Q448">
        <f t="shared" si="976"/>
        <v>-818473.22595745022</v>
      </c>
      <c r="R448">
        <f t="shared" si="977"/>
        <v>-14345882.853630241</v>
      </c>
      <c r="S448">
        <f t="shared" si="978"/>
        <v>-143.45882853630241</v>
      </c>
      <c r="T448">
        <f t="shared" si="979"/>
        <v>-0.1434588285363024</v>
      </c>
    </row>
    <row r="449" spans="1:20" x14ac:dyDescent="0.25">
      <c r="A449" s="5">
        <v>44144</v>
      </c>
      <c r="B449">
        <v>0.24260000000000001</v>
      </c>
      <c r="C449">
        <v>0.2467</v>
      </c>
      <c r="D449">
        <v>0.22750000000000001</v>
      </c>
      <c r="E449">
        <v>0.23649999999999999</v>
      </c>
      <c r="F449">
        <v>1015856.93</v>
      </c>
      <c r="G449">
        <v>0</v>
      </c>
      <c r="L449" t="s">
        <v>8</v>
      </c>
      <c r="M449" t="s">
        <v>8</v>
      </c>
      <c r="N449" t="s">
        <v>7</v>
      </c>
      <c r="P449">
        <f t="shared" si="975"/>
        <v>-6.2500000000001804E-2</v>
      </c>
      <c r="Q449">
        <f t="shared" si="976"/>
        <v>-63491.058125001837</v>
      </c>
      <c r="R449">
        <f t="shared" si="977"/>
        <v>-13527409.627672791</v>
      </c>
      <c r="S449">
        <f t="shared" si="978"/>
        <v>-135.2740962767279</v>
      </c>
      <c r="T449">
        <f t="shared" si="979"/>
        <v>-0.1352740962767279</v>
      </c>
    </row>
    <row r="450" spans="1:20" x14ac:dyDescent="0.25">
      <c r="A450" s="5">
        <v>44143</v>
      </c>
      <c r="B450">
        <v>0.22020000000000001</v>
      </c>
      <c r="C450">
        <v>0.24959999999999999</v>
      </c>
      <c r="D450">
        <v>0.22</v>
      </c>
      <c r="E450">
        <v>0.24249999999999999</v>
      </c>
      <c r="F450">
        <v>1095452.6200000001</v>
      </c>
      <c r="G450">
        <v>0</v>
      </c>
      <c r="L450" t="s">
        <v>7</v>
      </c>
      <c r="M450" t="s">
        <v>8</v>
      </c>
      <c r="N450" t="s">
        <v>7</v>
      </c>
      <c r="P450">
        <f t="shared" si="975"/>
        <v>0.5202702702702704</v>
      </c>
      <c r="Q450">
        <f t="shared" si="976"/>
        <v>569931.43067567586</v>
      </c>
      <c r="R450">
        <f t="shared" si="977"/>
        <v>-13463918.569547789</v>
      </c>
      <c r="S450">
        <f t="shared" si="978"/>
        <v>-134.63918569547789</v>
      </c>
      <c r="T450">
        <f t="shared" si="979"/>
        <v>-0.13463918569547789</v>
      </c>
    </row>
    <row r="451" spans="1:20" x14ac:dyDescent="0.25">
      <c r="A451" s="5">
        <v>44142</v>
      </c>
      <c r="B451">
        <v>0.2399</v>
      </c>
      <c r="C451">
        <v>0.25190000000000001</v>
      </c>
      <c r="D451">
        <v>0.215</v>
      </c>
      <c r="E451">
        <v>0.22159999999999999</v>
      </c>
      <c r="F451">
        <v>2473063.65</v>
      </c>
      <c r="G451">
        <v>0</v>
      </c>
      <c r="L451" t="s">
        <v>8</v>
      </c>
      <c r="M451" t="s">
        <v>8</v>
      </c>
      <c r="N451" t="s">
        <v>7</v>
      </c>
      <c r="P451">
        <f t="shared" si="975"/>
        <v>-0.64227642276422803</v>
      </c>
      <c r="Q451">
        <f t="shared" si="976"/>
        <v>-1588390.4743902448</v>
      </c>
      <c r="R451">
        <f t="shared" si="977"/>
        <v>-14033850.000223465</v>
      </c>
      <c r="S451">
        <f t="shared" si="978"/>
        <v>-140.33850000223464</v>
      </c>
      <c r="T451">
        <f t="shared" si="979"/>
        <v>-0.14033850000223463</v>
      </c>
    </row>
    <row r="452" spans="1:20" x14ac:dyDescent="0.25">
      <c r="A452" s="5">
        <v>44141</v>
      </c>
      <c r="B452">
        <v>0.21679999999999999</v>
      </c>
      <c r="C452">
        <v>0.24660000000000001</v>
      </c>
      <c r="D452">
        <v>0.2157</v>
      </c>
      <c r="E452">
        <v>0.23880000000000001</v>
      </c>
      <c r="F452">
        <v>1175764.58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0.49514563106796128</v>
      </c>
      <c r="Q452">
        <f t="shared" si="976"/>
        <v>582174.69495145651</v>
      </c>
      <c r="R452">
        <f t="shared" si="977"/>
        <v>-12445459.525833221</v>
      </c>
      <c r="S452">
        <f t="shared" si="978"/>
        <v>-124.4545952583322</v>
      </c>
      <c r="T452">
        <f t="shared" si="979"/>
        <v>-0.1244545952583322</v>
      </c>
    </row>
    <row r="453" spans="1:20" x14ac:dyDescent="0.25">
      <c r="A453" s="5">
        <v>44140</v>
      </c>
      <c r="B453">
        <v>0.21190000000000001</v>
      </c>
      <c r="C453">
        <v>0.22989999999999999</v>
      </c>
      <c r="D453">
        <v>0.20680000000000001</v>
      </c>
      <c r="E453">
        <v>0.21579999999999999</v>
      </c>
      <c r="F453">
        <v>1116422.7</v>
      </c>
      <c r="G453">
        <v>0</v>
      </c>
      <c r="L453" t="s">
        <v>8</v>
      </c>
      <c r="M453" t="s">
        <v>7</v>
      </c>
      <c r="N453" t="s">
        <v>7</v>
      </c>
      <c r="P453">
        <f t="shared" si="975"/>
        <v>-0.22077922077922188</v>
      </c>
      <c r="Q453">
        <f t="shared" si="976"/>
        <v>-246482.93376623499</v>
      </c>
      <c r="R453">
        <f t="shared" si="977"/>
        <v>-13027634.220784677</v>
      </c>
      <c r="S453">
        <f t="shared" si="978"/>
        <v>-130.27634220784677</v>
      </c>
      <c r="T453">
        <f t="shared" si="979"/>
        <v>-0.13027634220784676</v>
      </c>
    </row>
    <row r="454" spans="1:20" x14ac:dyDescent="0.25">
      <c r="A454" s="5">
        <v>44139</v>
      </c>
      <c r="B454">
        <v>0.2195</v>
      </c>
      <c r="C454">
        <v>0.2195</v>
      </c>
      <c r="D454">
        <v>0.20250000000000001</v>
      </c>
      <c r="E454">
        <v>0.2109</v>
      </c>
      <c r="F454">
        <v>750229.13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-1.1764705882353286E-2</v>
      </c>
      <c r="Q454">
        <f t="shared" ref="Q454:Q517" si="981">F454*P454</f>
        <v>-8826.2250588237875</v>
      </c>
      <c r="R454">
        <f t="shared" ref="R454:R517" si="982">R455+Q454</f>
        <v>-12781151.287018443</v>
      </c>
      <c r="S454">
        <f t="shared" ref="S454:S517" si="983">R454/100000</f>
        <v>-127.81151287018443</v>
      </c>
      <c r="T454">
        <f t="shared" ref="T454:T517" si="984">S454/1000</f>
        <v>-0.12781151287018444</v>
      </c>
    </row>
    <row r="455" spans="1:20" x14ac:dyDescent="0.25">
      <c r="A455" s="5">
        <v>44138</v>
      </c>
      <c r="B455">
        <v>0.2258</v>
      </c>
      <c r="C455">
        <v>0.23</v>
      </c>
      <c r="D455">
        <v>0.21479999999999999</v>
      </c>
      <c r="E455">
        <v>0.21940000000000001</v>
      </c>
      <c r="F455">
        <v>753198.99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-0.39473684210526117</v>
      </c>
      <c r="Q455">
        <f t="shared" si="981"/>
        <v>-297315.39078947221</v>
      </c>
      <c r="R455">
        <f t="shared" si="982"/>
        <v>-12772325.061959619</v>
      </c>
      <c r="S455">
        <f t="shared" si="983"/>
        <v>-127.72325061959619</v>
      </c>
      <c r="T455">
        <f t="shared" si="984"/>
        <v>-0.12772325061959619</v>
      </c>
    </row>
    <row r="456" spans="1:20" x14ac:dyDescent="0.25">
      <c r="A456" s="5">
        <v>44137</v>
      </c>
      <c r="B456">
        <v>0.23530000000000001</v>
      </c>
      <c r="C456">
        <v>0.24410000000000001</v>
      </c>
      <c r="D456">
        <v>0.22500000000000001</v>
      </c>
      <c r="E456">
        <v>0.2258</v>
      </c>
      <c r="F456">
        <v>412021.42</v>
      </c>
      <c r="G456">
        <v>0</v>
      </c>
      <c r="L456" t="s">
        <v>7</v>
      </c>
      <c r="M456" t="s">
        <v>7</v>
      </c>
      <c r="N456" t="s">
        <v>7</v>
      </c>
      <c r="P456">
        <f t="shared" si="980"/>
        <v>-0.91623036649214717</v>
      </c>
      <c r="Q456">
        <f t="shared" si="981"/>
        <v>-377506.53664921486</v>
      </c>
      <c r="R456">
        <f t="shared" si="982"/>
        <v>-12475009.671170147</v>
      </c>
      <c r="S456">
        <f t="shared" si="983"/>
        <v>-124.75009671170147</v>
      </c>
      <c r="T456">
        <f t="shared" si="984"/>
        <v>-0.12475009671170148</v>
      </c>
    </row>
    <row r="457" spans="1:20" x14ac:dyDescent="0.25">
      <c r="A457" s="5">
        <v>44136</v>
      </c>
      <c r="B457">
        <v>0.23719999999999999</v>
      </c>
      <c r="C457">
        <v>0.24010000000000001</v>
      </c>
      <c r="D457">
        <v>0.23200000000000001</v>
      </c>
      <c r="E457">
        <v>0.23649999999999999</v>
      </c>
      <c r="F457">
        <v>176125.41</v>
      </c>
      <c r="G457">
        <v>0</v>
      </c>
      <c r="L457" t="s">
        <v>7</v>
      </c>
      <c r="M457" t="s">
        <v>7</v>
      </c>
      <c r="N457" t="s">
        <v>7</v>
      </c>
      <c r="P457">
        <f t="shared" si="980"/>
        <v>0.11111111111110578</v>
      </c>
      <c r="Q457">
        <f t="shared" si="981"/>
        <v>19569.489999999059</v>
      </c>
      <c r="R457">
        <f t="shared" si="982"/>
        <v>-12097503.134520933</v>
      </c>
      <c r="S457">
        <f t="shared" si="983"/>
        <v>-120.97503134520933</v>
      </c>
      <c r="T457">
        <f t="shared" si="984"/>
        <v>-0.12097503134520933</v>
      </c>
    </row>
    <row r="458" spans="1:20" x14ac:dyDescent="0.25">
      <c r="A458" s="5">
        <v>44135</v>
      </c>
      <c r="B458">
        <v>0.23499999999999999</v>
      </c>
      <c r="C458">
        <v>0.24249999999999999</v>
      </c>
      <c r="D458">
        <v>0.23200000000000001</v>
      </c>
      <c r="E458">
        <v>0.23599999999999999</v>
      </c>
      <c r="F458">
        <v>374366.66</v>
      </c>
      <c r="G458">
        <v>0</v>
      </c>
      <c r="L458" t="s">
        <v>7</v>
      </c>
      <c r="M458" t="s">
        <v>7</v>
      </c>
      <c r="N458" t="s">
        <v>7</v>
      </c>
      <c r="P458">
        <f t="shared" si="980"/>
        <v>-0.23809523809524136</v>
      </c>
      <c r="Q458">
        <f t="shared" si="981"/>
        <v>-89134.919047620264</v>
      </c>
      <c r="R458">
        <f t="shared" si="982"/>
        <v>-12117072.624520931</v>
      </c>
      <c r="S458">
        <f t="shared" si="983"/>
        <v>-121.17072624520931</v>
      </c>
      <c r="T458">
        <f t="shared" si="984"/>
        <v>-0.1211707262452093</v>
      </c>
    </row>
    <row r="459" spans="1:20" x14ac:dyDescent="0.25">
      <c r="A459" s="5">
        <v>44134</v>
      </c>
      <c r="B459">
        <v>0.23580000000000001</v>
      </c>
      <c r="C459">
        <v>0.252</v>
      </c>
      <c r="D459">
        <v>0.23089999999999999</v>
      </c>
      <c r="E459">
        <v>0.2351</v>
      </c>
      <c r="F459">
        <v>446932.8</v>
      </c>
      <c r="G459">
        <v>0</v>
      </c>
      <c r="L459" t="s">
        <v>8</v>
      </c>
      <c r="M459" t="s">
        <v>7</v>
      </c>
      <c r="N459" t="s">
        <v>7</v>
      </c>
      <c r="P459">
        <f t="shared" si="980"/>
        <v>-0.60189573459715562</v>
      </c>
      <c r="Q459">
        <f t="shared" si="981"/>
        <v>-269006.94597156363</v>
      </c>
      <c r="R459">
        <f t="shared" si="982"/>
        <v>-12027937.705473311</v>
      </c>
      <c r="S459">
        <f t="shared" si="983"/>
        <v>-120.27937705473312</v>
      </c>
      <c r="T459">
        <f t="shared" si="984"/>
        <v>-0.12027937705473311</v>
      </c>
    </row>
    <row r="460" spans="1:20" x14ac:dyDescent="0.25">
      <c r="A460" s="5">
        <v>44133</v>
      </c>
      <c r="B460">
        <v>0.23799999999999999</v>
      </c>
      <c r="C460">
        <v>0.24279999999999999</v>
      </c>
      <c r="D460">
        <v>0.2324</v>
      </c>
      <c r="E460">
        <v>0.23580000000000001</v>
      </c>
      <c r="F460">
        <v>340217.28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-0.34615384615384298</v>
      </c>
      <c r="Q460">
        <f t="shared" si="981"/>
        <v>-117767.51999999893</v>
      </c>
      <c r="R460">
        <f t="shared" si="982"/>
        <v>-11758930.759501748</v>
      </c>
      <c r="S460">
        <f t="shared" si="983"/>
        <v>-117.58930759501747</v>
      </c>
      <c r="T460">
        <f t="shared" si="984"/>
        <v>-0.11758930759501747</v>
      </c>
    </row>
    <row r="461" spans="1:20" x14ac:dyDescent="0.25">
      <c r="A461" s="5">
        <v>44132</v>
      </c>
      <c r="B461">
        <v>0.23699999999999999</v>
      </c>
      <c r="C461">
        <v>0.245</v>
      </c>
      <c r="D461">
        <v>0.2271</v>
      </c>
      <c r="E461">
        <v>0.23749999999999999</v>
      </c>
      <c r="F461">
        <v>640022.27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0.16201117318435676</v>
      </c>
      <c r="Q461">
        <f t="shared" si="981"/>
        <v>103690.75882681514</v>
      </c>
      <c r="R461">
        <f t="shared" si="982"/>
        <v>-11641163.239501748</v>
      </c>
      <c r="S461">
        <f t="shared" si="983"/>
        <v>-116.41163239501748</v>
      </c>
      <c r="T461">
        <f t="shared" si="984"/>
        <v>-0.11641163239501748</v>
      </c>
    </row>
    <row r="462" spans="1:20" x14ac:dyDescent="0.25">
      <c r="A462" s="5">
        <v>44131</v>
      </c>
      <c r="B462">
        <v>0.24560000000000001</v>
      </c>
      <c r="C462">
        <v>0.24779999999999999</v>
      </c>
      <c r="D462">
        <v>0.23499999999999999</v>
      </c>
      <c r="E462">
        <v>0.23699999999999999</v>
      </c>
      <c r="F462">
        <v>463326.73</v>
      </c>
      <c r="G462">
        <v>0</v>
      </c>
      <c r="L462" t="s">
        <v>7</v>
      </c>
      <c r="M462" t="s">
        <v>8</v>
      </c>
      <c r="N462" t="s">
        <v>7</v>
      </c>
      <c r="P462">
        <f t="shared" si="980"/>
        <v>-0.68749999999999989</v>
      </c>
      <c r="Q462">
        <f t="shared" si="981"/>
        <v>-318537.12687499996</v>
      </c>
      <c r="R462">
        <f t="shared" si="982"/>
        <v>-11744853.998328563</v>
      </c>
      <c r="S462">
        <f t="shared" si="983"/>
        <v>-117.44853998328563</v>
      </c>
      <c r="T462">
        <f t="shared" si="984"/>
        <v>-0.11744853998328562</v>
      </c>
    </row>
    <row r="463" spans="1:20" x14ac:dyDescent="0.25">
      <c r="A463" s="5">
        <v>44130</v>
      </c>
      <c r="B463">
        <v>0.2452</v>
      </c>
      <c r="C463">
        <v>0.25900000000000001</v>
      </c>
      <c r="D463">
        <v>0.23949999999999999</v>
      </c>
      <c r="E463">
        <v>0.247</v>
      </c>
      <c r="F463">
        <v>592719.04</v>
      </c>
      <c r="G463">
        <v>0</v>
      </c>
      <c r="L463" t="s">
        <v>7</v>
      </c>
      <c r="M463" t="s">
        <v>8</v>
      </c>
      <c r="N463" t="s">
        <v>7</v>
      </c>
      <c r="P463">
        <f t="shared" si="980"/>
        <v>-0.23076923076923078</v>
      </c>
      <c r="Q463">
        <f t="shared" si="981"/>
        <v>-136781.31692307693</v>
      </c>
      <c r="R463">
        <f t="shared" si="982"/>
        <v>-11426316.871453563</v>
      </c>
      <c r="S463">
        <f t="shared" si="983"/>
        <v>-114.26316871453562</v>
      </c>
      <c r="T463">
        <f t="shared" si="984"/>
        <v>-0.11426316871453562</v>
      </c>
    </row>
    <row r="464" spans="1:20" x14ac:dyDescent="0.25">
      <c r="A464" s="5">
        <v>44129</v>
      </c>
      <c r="B464">
        <v>0.2525</v>
      </c>
      <c r="C464">
        <v>0.2576</v>
      </c>
      <c r="D464">
        <v>0.24440000000000001</v>
      </c>
      <c r="E464">
        <v>0.2462</v>
      </c>
      <c r="F464">
        <v>343439.69</v>
      </c>
      <c r="G464">
        <v>0</v>
      </c>
      <c r="L464" t="s">
        <v>7</v>
      </c>
      <c r="M464" t="s">
        <v>8</v>
      </c>
      <c r="N464" t="s">
        <v>7</v>
      </c>
      <c r="P464">
        <f t="shared" si="980"/>
        <v>-0.72727272727272763</v>
      </c>
      <c r="Q464">
        <f t="shared" si="981"/>
        <v>-249774.32000000012</v>
      </c>
      <c r="R464">
        <f t="shared" si="982"/>
        <v>-11289535.554530486</v>
      </c>
      <c r="S464">
        <f t="shared" si="983"/>
        <v>-112.89535554530487</v>
      </c>
      <c r="T464">
        <f t="shared" si="984"/>
        <v>-0.11289535554530486</v>
      </c>
    </row>
    <row r="465" spans="1:20" x14ac:dyDescent="0.25">
      <c r="A465" s="5">
        <v>44128</v>
      </c>
      <c r="B465">
        <v>0.25290000000000001</v>
      </c>
      <c r="C465">
        <v>0.25740000000000002</v>
      </c>
      <c r="D465">
        <v>0.251</v>
      </c>
      <c r="E465">
        <v>0.2525</v>
      </c>
      <c r="F465">
        <v>289344.68</v>
      </c>
      <c r="G465">
        <v>0</v>
      </c>
      <c r="L465" t="s">
        <v>7</v>
      </c>
      <c r="M465" t="s">
        <v>8</v>
      </c>
      <c r="N465" t="s">
        <v>7</v>
      </c>
      <c r="P465">
        <f t="shared" si="980"/>
        <v>-0.53125000000000078</v>
      </c>
      <c r="Q465">
        <f t="shared" si="981"/>
        <v>-153714.36125000022</v>
      </c>
      <c r="R465">
        <f t="shared" si="982"/>
        <v>-11039761.234530486</v>
      </c>
      <c r="S465">
        <f t="shared" si="983"/>
        <v>-110.39761234530486</v>
      </c>
      <c r="T465">
        <f t="shared" si="984"/>
        <v>-0.11039761234530486</v>
      </c>
    </row>
    <row r="466" spans="1:20" x14ac:dyDescent="0.25">
      <c r="A466" s="5">
        <v>44127</v>
      </c>
      <c r="B466">
        <v>0.2555</v>
      </c>
      <c r="C466">
        <v>0.2636</v>
      </c>
      <c r="D466">
        <v>0.2485</v>
      </c>
      <c r="E466">
        <v>0.25380000000000003</v>
      </c>
      <c r="F466">
        <v>600733.53</v>
      </c>
      <c r="G466">
        <v>0</v>
      </c>
      <c r="L466" t="s">
        <v>7</v>
      </c>
      <c r="M466" t="s">
        <v>8</v>
      </c>
      <c r="N466" t="s">
        <v>7</v>
      </c>
      <c r="P466">
        <f t="shared" si="980"/>
        <v>-0.29801324503310911</v>
      </c>
      <c r="Q466">
        <f t="shared" si="981"/>
        <v>-179026.54867549462</v>
      </c>
      <c r="R466">
        <f t="shared" si="982"/>
        <v>-10886046.873280486</v>
      </c>
      <c r="S466">
        <f t="shared" si="983"/>
        <v>-108.86046873280486</v>
      </c>
      <c r="T466">
        <f t="shared" si="984"/>
        <v>-0.10886046873280486</v>
      </c>
    </row>
    <row r="467" spans="1:20" x14ac:dyDescent="0.25">
      <c r="A467" s="5">
        <v>44126</v>
      </c>
      <c r="B467">
        <v>0.2412</v>
      </c>
      <c r="C467">
        <v>0.27</v>
      </c>
      <c r="D467">
        <v>0.23899999999999999</v>
      </c>
      <c r="E467">
        <v>0.2555</v>
      </c>
      <c r="F467">
        <v>672805.21</v>
      </c>
      <c r="G467">
        <v>0</v>
      </c>
      <c r="L467" t="s">
        <v>8</v>
      </c>
      <c r="M467" t="s">
        <v>8</v>
      </c>
      <c r="N467" t="s">
        <v>7</v>
      </c>
      <c r="P467">
        <f t="shared" si="980"/>
        <v>6.4516129032258063E-2</v>
      </c>
      <c r="Q467">
        <f t="shared" si="981"/>
        <v>43406.787741935477</v>
      </c>
      <c r="R467">
        <f t="shared" si="982"/>
        <v>-10707020.324604992</v>
      </c>
      <c r="S467">
        <f t="shared" si="983"/>
        <v>-107.07020324604991</v>
      </c>
      <c r="T467">
        <f t="shared" si="984"/>
        <v>-0.10707020324604992</v>
      </c>
    </row>
    <row r="468" spans="1:20" x14ac:dyDescent="0.25">
      <c r="A468" s="5">
        <v>44125</v>
      </c>
      <c r="B468">
        <v>0.2324</v>
      </c>
      <c r="C468">
        <v>0.248</v>
      </c>
      <c r="D468">
        <v>0.23169999999999999</v>
      </c>
      <c r="E468">
        <v>0.2404</v>
      </c>
      <c r="F468">
        <v>714120.2</v>
      </c>
      <c r="G468">
        <v>0</v>
      </c>
      <c r="L468" t="s">
        <v>8</v>
      </c>
      <c r="M468" t="s">
        <v>7</v>
      </c>
      <c r="N468" t="s">
        <v>7</v>
      </c>
      <c r="P468">
        <f t="shared" si="980"/>
        <v>6.7484662576688156E-2</v>
      </c>
      <c r="Q468">
        <f t="shared" si="981"/>
        <v>48192.16073619706</v>
      </c>
      <c r="R468">
        <f t="shared" si="982"/>
        <v>-10750427.112346927</v>
      </c>
      <c r="S468">
        <f t="shared" si="983"/>
        <v>-107.50427112346927</v>
      </c>
      <c r="T468">
        <f t="shared" si="984"/>
        <v>-0.10750427112346926</v>
      </c>
    </row>
    <row r="469" spans="1:20" x14ac:dyDescent="0.25">
      <c r="A469" s="5">
        <v>44124</v>
      </c>
      <c r="B469">
        <v>0.24249999999999999</v>
      </c>
      <c r="C469">
        <v>0.24310000000000001</v>
      </c>
      <c r="D469">
        <v>0.2276</v>
      </c>
      <c r="E469">
        <v>0.2326</v>
      </c>
      <c r="F469">
        <v>1114853.47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-0.35483870967741937</v>
      </c>
      <c r="Q469">
        <f t="shared" si="981"/>
        <v>-395593.16677419358</v>
      </c>
      <c r="R469">
        <f t="shared" si="982"/>
        <v>-10798619.273083124</v>
      </c>
      <c r="S469">
        <f t="shared" si="983"/>
        <v>-107.98619273083125</v>
      </c>
      <c r="T469">
        <f t="shared" si="984"/>
        <v>-0.10798619273083125</v>
      </c>
    </row>
    <row r="470" spans="1:20" x14ac:dyDescent="0.25">
      <c r="A470" s="5">
        <v>44123</v>
      </c>
      <c r="B470">
        <v>0.25409999999999999</v>
      </c>
      <c r="C470">
        <v>0.25609999999999999</v>
      </c>
      <c r="D470">
        <v>0.24179999999999999</v>
      </c>
      <c r="E470">
        <v>0.24310000000000001</v>
      </c>
      <c r="F470">
        <v>532745.17000000004</v>
      </c>
      <c r="G470">
        <v>0</v>
      </c>
      <c r="L470" t="s">
        <v>8</v>
      </c>
      <c r="M470" t="s">
        <v>7</v>
      </c>
      <c r="N470" t="s">
        <v>7</v>
      </c>
      <c r="P470">
        <f t="shared" si="980"/>
        <v>-0.81818181818181501</v>
      </c>
      <c r="Q470">
        <f t="shared" si="981"/>
        <v>-435882.41181818018</v>
      </c>
      <c r="R470">
        <f t="shared" si="982"/>
        <v>-10403026.106308931</v>
      </c>
      <c r="S470">
        <f t="shared" si="983"/>
        <v>-104.03026106308931</v>
      </c>
      <c r="T470">
        <f t="shared" si="984"/>
        <v>-0.10403026106308931</v>
      </c>
    </row>
    <row r="471" spans="1:20" x14ac:dyDescent="0.25">
      <c r="A471" s="5">
        <v>44122</v>
      </c>
      <c r="B471">
        <v>0.24210000000000001</v>
      </c>
      <c r="C471">
        <v>0.2545</v>
      </c>
      <c r="D471">
        <v>0.24099999999999999</v>
      </c>
      <c r="E471">
        <v>0.254</v>
      </c>
      <c r="F471">
        <v>355346.11</v>
      </c>
      <c r="G471">
        <v>0</v>
      </c>
      <c r="L471" t="s">
        <v>8</v>
      </c>
      <c r="M471" t="s">
        <v>7</v>
      </c>
      <c r="N471" t="s">
        <v>7</v>
      </c>
      <c r="P471">
        <f t="shared" si="980"/>
        <v>0.92592592592592593</v>
      </c>
      <c r="Q471">
        <f t="shared" si="981"/>
        <v>329024.1759259259</v>
      </c>
      <c r="R471">
        <f t="shared" si="982"/>
        <v>-9967143.6944907513</v>
      </c>
      <c r="S471">
        <f t="shared" si="983"/>
        <v>-99.671436944907512</v>
      </c>
      <c r="T471">
        <f t="shared" si="984"/>
        <v>-9.9671436944907515E-2</v>
      </c>
    </row>
    <row r="472" spans="1:20" x14ac:dyDescent="0.25">
      <c r="A472" s="5">
        <v>44121</v>
      </c>
      <c r="B472">
        <v>0.23899999999999999</v>
      </c>
      <c r="C472">
        <v>0.25409999999999999</v>
      </c>
      <c r="D472">
        <v>0.2306</v>
      </c>
      <c r="E472">
        <v>0.24349999999999999</v>
      </c>
      <c r="F472">
        <v>469315.72</v>
      </c>
      <c r="G472">
        <v>0</v>
      </c>
      <c r="L472" t="s">
        <v>7</v>
      </c>
      <c r="M472" t="s">
        <v>7</v>
      </c>
      <c r="N472" t="s">
        <v>7</v>
      </c>
      <c r="P472">
        <f t="shared" si="980"/>
        <v>9.7872340425531792E-2</v>
      </c>
      <c r="Q472">
        <f t="shared" si="981"/>
        <v>45933.027914893559</v>
      </c>
      <c r="R472">
        <f t="shared" si="982"/>
        <v>-10296167.870416677</v>
      </c>
      <c r="S472">
        <f t="shared" si="983"/>
        <v>-102.96167870416677</v>
      </c>
      <c r="T472">
        <f t="shared" si="984"/>
        <v>-0.10296167870416677</v>
      </c>
    </row>
    <row r="473" spans="1:20" x14ac:dyDescent="0.25">
      <c r="A473" s="5">
        <v>44120</v>
      </c>
      <c r="B473">
        <v>0.25540000000000002</v>
      </c>
      <c r="C473">
        <v>0.25890000000000002</v>
      </c>
      <c r="D473">
        <v>0.2364</v>
      </c>
      <c r="E473">
        <v>0.2389</v>
      </c>
      <c r="F473">
        <v>581909.64</v>
      </c>
      <c r="G473">
        <v>0</v>
      </c>
      <c r="L473" t="s">
        <v>7</v>
      </c>
      <c r="M473" t="s">
        <v>7</v>
      </c>
      <c r="N473" t="s">
        <v>7</v>
      </c>
      <c r="P473">
        <f t="shared" si="980"/>
        <v>-0.77777777777777779</v>
      </c>
      <c r="Q473">
        <f t="shared" si="981"/>
        <v>-452596.38666666666</v>
      </c>
      <c r="R473">
        <f t="shared" si="982"/>
        <v>-10342100.89833157</v>
      </c>
      <c r="S473">
        <f t="shared" si="983"/>
        <v>-103.4210089833157</v>
      </c>
      <c r="T473">
        <f t="shared" si="984"/>
        <v>-0.1034210089833157</v>
      </c>
    </row>
    <row r="474" spans="1:20" x14ac:dyDescent="0.25">
      <c r="A474" s="5">
        <v>44119</v>
      </c>
      <c r="B474">
        <v>0.26419999999999999</v>
      </c>
      <c r="C474">
        <v>0.26569999999999999</v>
      </c>
      <c r="D474">
        <v>0.251</v>
      </c>
      <c r="E474">
        <v>0.25700000000000001</v>
      </c>
      <c r="F474">
        <v>442529.05</v>
      </c>
      <c r="G474">
        <v>0</v>
      </c>
      <c r="L474" t="s">
        <v>7</v>
      </c>
      <c r="M474" t="s">
        <v>7</v>
      </c>
      <c r="N474" t="s">
        <v>7</v>
      </c>
      <c r="P474">
        <f t="shared" si="980"/>
        <v>-0.18367346938775386</v>
      </c>
      <c r="Q474">
        <f t="shared" si="981"/>
        <v>-81280.845918366802</v>
      </c>
      <c r="R474">
        <f t="shared" si="982"/>
        <v>-9889504.5116649028</v>
      </c>
      <c r="S474">
        <f t="shared" si="983"/>
        <v>-98.89504511664903</v>
      </c>
      <c r="T474">
        <f t="shared" si="984"/>
        <v>-9.8895045116649025E-2</v>
      </c>
    </row>
    <row r="475" spans="1:20" x14ac:dyDescent="0.25">
      <c r="A475" s="5">
        <v>44118</v>
      </c>
      <c r="B475">
        <v>0.27629999999999999</v>
      </c>
      <c r="C475">
        <v>0.27889999999999998</v>
      </c>
      <c r="D475">
        <v>0.26069999999999999</v>
      </c>
      <c r="E475">
        <v>0.26419999999999999</v>
      </c>
      <c r="F475">
        <v>663018.05000000005</v>
      </c>
      <c r="G475">
        <v>0</v>
      </c>
      <c r="L475" t="s">
        <v>7</v>
      </c>
      <c r="M475" t="s">
        <v>8</v>
      </c>
      <c r="N475" t="s">
        <v>7</v>
      </c>
      <c r="P475">
        <f t="shared" si="980"/>
        <v>-0.61538461538461486</v>
      </c>
      <c r="Q475">
        <f t="shared" si="981"/>
        <v>-408011.10769230739</v>
      </c>
      <c r="R475">
        <f t="shared" si="982"/>
        <v>-9808223.6657465361</v>
      </c>
      <c r="S475">
        <f t="shared" si="983"/>
        <v>-98.082236657465359</v>
      </c>
      <c r="T475">
        <f t="shared" si="984"/>
        <v>-9.8082236657465363E-2</v>
      </c>
    </row>
    <row r="476" spans="1:20" x14ac:dyDescent="0.25">
      <c r="A476" s="5">
        <v>44117</v>
      </c>
      <c r="B476">
        <v>0.28120000000000001</v>
      </c>
      <c r="C476">
        <v>0.2858</v>
      </c>
      <c r="D476">
        <v>0.27010000000000001</v>
      </c>
      <c r="E476">
        <v>0.27739999999999998</v>
      </c>
      <c r="F476">
        <v>591808.12</v>
      </c>
      <c r="G476">
        <v>0</v>
      </c>
      <c r="L476" t="s">
        <v>7</v>
      </c>
      <c r="M476" t="s">
        <v>8</v>
      </c>
      <c r="N476" t="s">
        <v>7</v>
      </c>
      <c r="P476">
        <f t="shared" si="980"/>
        <v>-7.006369426751885E-2</v>
      </c>
      <c r="Q476">
        <f t="shared" si="981"/>
        <v>-41464.263184715106</v>
      </c>
      <c r="R476">
        <f t="shared" si="982"/>
        <v>-9400212.5580542292</v>
      </c>
      <c r="S476">
        <f t="shared" si="983"/>
        <v>-94.002125580542298</v>
      </c>
      <c r="T476">
        <f t="shared" si="984"/>
        <v>-9.4002125580542301E-2</v>
      </c>
    </row>
    <row r="477" spans="1:20" x14ac:dyDescent="0.25">
      <c r="A477" s="5">
        <v>44116</v>
      </c>
      <c r="B477">
        <v>0.27439999999999998</v>
      </c>
      <c r="C477">
        <v>0.2999</v>
      </c>
      <c r="D477">
        <v>0.27260000000000001</v>
      </c>
      <c r="E477">
        <v>0.28139999999999998</v>
      </c>
      <c r="F477">
        <v>1775176.52</v>
      </c>
      <c r="G477">
        <v>0</v>
      </c>
      <c r="L477" t="s">
        <v>8</v>
      </c>
      <c r="M477" t="s">
        <v>8</v>
      </c>
      <c r="N477" t="s">
        <v>7</v>
      </c>
      <c r="P477">
        <f t="shared" si="980"/>
        <v>-0.35531135531135699</v>
      </c>
      <c r="Q477">
        <f t="shared" si="981"/>
        <v>-630740.3752380982</v>
      </c>
      <c r="R477">
        <f t="shared" si="982"/>
        <v>-9358748.2948695142</v>
      </c>
      <c r="S477">
        <f t="shared" si="983"/>
        <v>-93.58748294869514</v>
      </c>
      <c r="T477">
        <f t="shared" si="984"/>
        <v>-9.3587482948695136E-2</v>
      </c>
    </row>
    <row r="478" spans="1:20" x14ac:dyDescent="0.25">
      <c r="A478" s="5">
        <v>44115</v>
      </c>
      <c r="B478">
        <v>0.27050000000000002</v>
      </c>
      <c r="C478">
        <v>0.27729999999999999</v>
      </c>
      <c r="D478">
        <v>0.2611</v>
      </c>
      <c r="E478">
        <v>0.27489999999999998</v>
      </c>
      <c r="F478">
        <v>387843.38</v>
      </c>
      <c r="G478">
        <v>0</v>
      </c>
      <c r="L478" t="s">
        <v>8</v>
      </c>
      <c r="M478" t="s">
        <v>7</v>
      </c>
      <c r="N478" t="s">
        <v>7</v>
      </c>
      <c r="P478">
        <f t="shared" si="980"/>
        <v>0.70370370370370194</v>
      </c>
      <c r="Q478">
        <f t="shared" si="981"/>
        <v>272926.82296296227</v>
      </c>
      <c r="R478">
        <f t="shared" si="982"/>
        <v>-8728007.919631416</v>
      </c>
      <c r="S478">
        <f t="shared" si="983"/>
        <v>-87.280079196314162</v>
      </c>
      <c r="T478">
        <f t="shared" si="984"/>
        <v>-8.7280079196314156E-2</v>
      </c>
    </row>
    <row r="479" spans="1:20" x14ac:dyDescent="0.25">
      <c r="A479" s="5">
        <v>44114</v>
      </c>
      <c r="B479">
        <v>0.27179999999999999</v>
      </c>
      <c r="C479">
        <v>0.27950000000000003</v>
      </c>
      <c r="D479">
        <v>0.26750000000000002</v>
      </c>
      <c r="E479">
        <v>0.27039999999999997</v>
      </c>
      <c r="F479">
        <v>653362.9</v>
      </c>
      <c r="G479">
        <v>0</v>
      </c>
      <c r="L479" t="s">
        <v>8</v>
      </c>
      <c r="M479" t="s">
        <v>7</v>
      </c>
      <c r="N479" t="s">
        <v>7</v>
      </c>
      <c r="P479">
        <f t="shared" si="980"/>
        <v>-0.51666666666667405</v>
      </c>
      <c r="Q479">
        <f t="shared" si="981"/>
        <v>-337570.8316666715</v>
      </c>
      <c r="R479">
        <f t="shared" si="982"/>
        <v>-9000934.7425943781</v>
      </c>
      <c r="S479">
        <f t="shared" si="983"/>
        <v>-90.009347425943787</v>
      </c>
      <c r="T479">
        <f t="shared" si="984"/>
        <v>-9.0009347425943784E-2</v>
      </c>
    </row>
    <row r="480" spans="1:20" x14ac:dyDescent="0.25">
      <c r="A480" s="5">
        <v>44113</v>
      </c>
      <c r="B480">
        <v>0.25419999999999998</v>
      </c>
      <c r="C480">
        <v>0.27250000000000002</v>
      </c>
      <c r="D480">
        <v>0.2495</v>
      </c>
      <c r="E480">
        <v>0.27139999999999997</v>
      </c>
      <c r="F480">
        <v>523179.68</v>
      </c>
      <c r="G480">
        <v>0</v>
      </c>
      <c r="L480" t="s">
        <v>8</v>
      </c>
      <c r="M480" t="s">
        <v>7</v>
      </c>
      <c r="N480" t="s">
        <v>7</v>
      </c>
      <c r="P480">
        <f t="shared" si="980"/>
        <v>0.90434782608695263</v>
      </c>
      <c r="Q480">
        <f t="shared" si="981"/>
        <v>473136.40626086754</v>
      </c>
      <c r="R480">
        <f t="shared" si="982"/>
        <v>-8663363.9109277073</v>
      </c>
      <c r="S480">
        <f t="shared" si="983"/>
        <v>-86.63363910927707</v>
      </c>
      <c r="T480">
        <f t="shared" si="984"/>
        <v>-8.6633639109277072E-2</v>
      </c>
    </row>
    <row r="481" spans="1:20" x14ac:dyDescent="0.25">
      <c r="A481" s="5">
        <v>44112</v>
      </c>
      <c r="B481">
        <v>0.25130000000000002</v>
      </c>
      <c r="C481">
        <v>0.26179999999999998</v>
      </c>
      <c r="D481">
        <v>0.2419</v>
      </c>
      <c r="E481">
        <v>0.25419999999999998</v>
      </c>
      <c r="F481">
        <v>450045.44</v>
      </c>
      <c r="G481">
        <v>0</v>
      </c>
      <c r="L481" t="s">
        <v>8</v>
      </c>
      <c r="M481" t="s">
        <v>7</v>
      </c>
      <c r="N481" t="s">
        <v>7</v>
      </c>
      <c r="P481">
        <f t="shared" si="980"/>
        <v>0.23618090452261248</v>
      </c>
      <c r="Q481">
        <f t="shared" si="981"/>
        <v>106292.13909547712</v>
      </c>
      <c r="R481">
        <f t="shared" si="982"/>
        <v>-9136500.317188574</v>
      </c>
      <c r="S481">
        <f t="shared" si="983"/>
        <v>-91.365003171885746</v>
      </c>
      <c r="T481">
        <f t="shared" si="984"/>
        <v>-9.1365003171885742E-2</v>
      </c>
    </row>
    <row r="482" spans="1:20" x14ac:dyDescent="0.25">
      <c r="A482" s="5">
        <v>44111</v>
      </c>
      <c r="B482">
        <v>0.25509999999999999</v>
      </c>
      <c r="C482">
        <v>0.26490000000000002</v>
      </c>
      <c r="D482">
        <v>0.2437</v>
      </c>
      <c r="E482">
        <v>0.25209999999999999</v>
      </c>
      <c r="F482">
        <v>817114.67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-0.20754716981132254</v>
      </c>
      <c r="Q482">
        <f t="shared" si="981"/>
        <v>-169589.83716981279</v>
      </c>
      <c r="R482">
        <f t="shared" si="982"/>
        <v>-9242792.4562840518</v>
      </c>
      <c r="S482">
        <f t="shared" si="983"/>
        <v>-92.427924562840516</v>
      </c>
      <c r="T482">
        <f t="shared" si="984"/>
        <v>-9.2427924562840519E-2</v>
      </c>
    </row>
    <row r="483" spans="1:20" x14ac:dyDescent="0.25">
      <c r="A483" s="5">
        <v>44110</v>
      </c>
      <c r="B483">
        <v>0.27639999999999998</v>
      </c>
      <c r="C483">
        <v>0.27650000000000002</v>
      </c>
      <c r="D483">
        <v>0.25419999999999998</v>
      </c>
      <c r="E483">
        <v>0.25559999999999999</v>
      </c>
      <c r="F483">
        <v>591707.26</v>
      </c>
      <c r="G483">
        <v>0</v>
      </c>
      <c r="L483" t="s">
        <v>7</v>
      </c>
      <c r="M483" t="s">
        <v>7</v>
      </c>
      <c r="N483" t="s">
        <v>7</v>
      </c>
      <c r="P483">
        <f t="shared" si="980"/>
        <v>-0.87443946188340715</v>
      </c>
      <c r="Q483">
        <f t="shared" si="981"/>
        <v>-517412.17802690528</v>
      </c>
      <c r="R483">
        <f t="shared" si="982"/>
        <v>-9073202.6191142388</v>
      </c>
      <c r="S483">
        <f t="shared" si="983"/>
        <v>-90.732026191142381</v>
      </c>
      <c r="T483">
        <f t="shared" si="984"/>
        <v>-9.0732026191142387E-2</v>
      </c>
    </row>
    <row r="484" spans="1:20" x14ac:dyDescent="0.25">
      <c r="A484" s="5">
        <v>44109</v>
      </c>
      <c r="B484">
        <v>0.2697</v>
      </c>
      <c r="C484">
        <v>0.2767</v>
      </c>
      <c r="D484">
        <v>0.2676</v>
      </c>
      <c r="E484">
        <v>0.2767</v>
      </c>
      <c r="F484">
        <v>315936.51</v>
      </c>
      <c r="G484">
        <v>0</v>
      </c>
      <c r="L484" t="s">
        <v>8</v>
      </c>
      <c r="M484" t="s">
        <v>7</v>
      </c>
      <c r="N484" t="s">
        <v>7</v>
      </c>
      <c r="P484">
        <f t="shared" si="980"/>
        <v>1</v>
      </c>
      <c r="Q484">
        <f t="shared" si="981"/>
        <v>315936.51</v>
      </c>
      <c r="R484">
        <f t="shared" si="982"/>
        <v>-8555790.4410873335</v>
      </c>
      <c r="S484">
        <f t="shared" si="983"/>
        <v>-85.557904410873334</v>
      </c>
      <c r="T484">
        <f t="shared" si="984"/>
        <v>-8.5557904410873339E-2</v>
      </c>
    </row>
    <row r="485" spans="1:20" x14ac:dyDescent="0.25">
      <c r="A485" s="5">
        <v>44108</v>
      </c>
      <c r="B485">
        <v>0.26889999999999997</v>
      </c>
      <c r="C485">
        <v>0.27279999999999999</v>
      </c>
      <c r="D485">
        <v>0.26469999999999999</v>
      </c>
      <c r="E485">
        <v>0.26939999999999997</v>
      </c>
      <c r="F485">
        <v>198856.57</v>
      </c>
      <c r="G485">
        <v>0</v>
      </c>
      <c r="L485" t="s">
        <v>7</v>
      </c>
      <c r="M485" t="s">
        <v>7</v>
      </c>
      <c r="N485" t="s">
        <v>7</v>
      </c>
      <c r="P485">
        <f t="shared" si="980"/>
        <v>0.16049382716048993</v>
      </c>
      <c r="Q485">
        <f t="shared" si="981"/>
        <v>31915.251975307867</v>
      </c>
      <c r="R485">
        <f t="shared" si="982"/>
        <v>-8871726.9510873333</v>
      </c>
      <c r="S485">
        <f t="shared" si="983"/>
        <v>-88.717269510873336</v>
      </c>
      <c r="T485">
        <f t="shared" si="984"/>
        <v>-8.8717269510873331E-2</v>
      </c>
    </row>
    <row r="486" spans="1:20" x14ac:dyDescent="0.25">
      <c r="A486" s="5">
        <v>44107</v>
      </c>
      <c r="B486">
        <v>0.27250000000000002</v>
      </c>
      <c r="C486">
        <v>0.27529999999999999</v>
      </c>
      <c r="D486">
        <v>0.26869999999999999</v>
      </c>
      <c r="E486">
        <v>0.26889999999999997</v>
      </c>
      <c r="F486">
        <v>232098.87</v>
      </c>
      <c r="G486">
        <v>0</v>
      </c>
      <c r="L486" t="s">
        <v>7</v>
      </c>
      <c r="M486" t="s">
        <v>7</v>
      </c>
      <c r="N486" t="s">
        <v>7</v>
      </c>
      <c r="P486">
        <f t="shared" si="980"/>
        <v>-0.939393939393946</v>
      </c>
      <c r="Q486">
        <f t="shared" si="981"/>
        <v>-218032.27181818333</v>
      </c>
      <c r="R486">
        <f t="shared" si="982"/>
        <v>-8903642.2030626405</v>
      </c>
      <c r="S486">
        <f t="shared" si="983"/>
        <v>-89.036422030626412</v>
      </c>
      <c r="T486">
        <f t="shared" si="984"/>
        <v>-8.9036422030626408E-2</v>
      </c>
    </row>
    <row r="487" spans="1:20" x14ac:dyDescent="0.25">
      <c r="A487" s="5">
        <v>44106</v>
      </c>
      <c r="B487">
        <v>0.28100000000000003</v>
      </c>
      <c r="C487">
        <v>0.2858</v>
      </c>
      <c r="D487">
        <v>0.25779999999999997</v>
      </c>
      <c r="E487">
        <v>0.2722</v>
      </c>
      <c r="F487">
        <v>685790.89</v>
      </c>
      <c r="G487">
        <v>0</v>
      </c>
      <c r="L487" t="s">
        <v>7</v>
      </c>
      <c r="M487" t="s">
        <v>7</v>
      </c>
      <c r="N487" t="s">
        <v>7</v>
      </c>
      <c r="P487">
        <f t="shared" si="980"/>
        <v>2.8571428571429365E-2</v>
      </c>
      <c r="Q487">
        <f t="shared" si="981"/>
        <v>19594.025428571975</v>
      </c>
      <c r="R487">
        <f t="shared" si="982"/>
        <v>-8685609.9312444571</v>
      </c>
      <c r="S487">
        <f t="shared" si="983"/>
        <v>-86.85609931244457</v>
      </c>
      <c r="T487">
        <f t="shared" si="984"/>
        <v>-8.6856099312444576E-2</v>
      </c>
    </row>
    <row r="488" spans="1:20" x14ac:dyDescent="0.25">
      <c r="A488" s="5">
        <v>44105</v>
      </c>
      <c r="B488">
        <v>0.2928</v>
      </c>
      <c r="C488">
        <v>0.30599999999999999</v>
      </c>
      <c r="D488">
        <v>0.27079999999999999</v>
      </c>
      <c r="E488">
        <v>0.28260000000000002</v>
      </c>
      <c r="F488">
        <v>1212280.3700000001</v>
      </c>
      <c r="G488">
        <v>0</v>
      </c>
      <c r="L488" t="s">
        <v>7</v>
      </c>
      <c r="M488" t="s">
        <v>7</v>
      </c>
      <c r="N488" t="s">
        <v>7</v>
      </c>
      <c r="P488">
        <f t="shared" si="980"/>
        <v>-0.32954545454545286</v>
      </c>
      <c r="Q488">
        <f t="shared" si="981"/>
        <v>-399501.48556817981</v>
      </c>
      <c r="R488">
        <f t="shared" si="982"/>
        <v>-8705203.9566730298</v>
      </c>
      <c r="S488">
        <f t="shared" si="983"/>
        <v>-87.052039566730301</v>
      </c>
      <c r="T488">
        <f t="shared" si="984"/>
        <v>-8.7052039566730299E-2</v>
      </c>
    </row>
    <row r="489" spans="1:20" x14ac:dyDescent="0.25">
      <c r="A489" s="5">
        <v>44104</v>
      </c>
      <c r="B489">
        <v>0.2913</v>
      </c>
      <c r="C489">
        <v>0.29409999999999997</v>
      </c>
      <c r="D489">
        <v>0.28079999999999999</v>
      </c>
      <c r="E489">
        <v>0.29139999999999999</v>
      </c>
      <c r="F489">
        <v>322856.40999999997</v>
      </c>
      <c r="G489">
        <v>0</v>
      </c>
      <c r="L489" t="s">
        <v>7</v>
      </c>
      <c r="M489" t="s">
        <v>7</v>
      </c>
      <c r="N489" t="s">
        <v>7</v>
      </c>
      <c r="P489">
        <f t="shared" si="980"/>
        <v>0.59398496240601739</v>
      </c>
      <c r="Q489">
        <f t="shared" si="981"/>
        <v>191771.85255639174</v>
      </c>
      <c r="R489">
        <f t="shared" si="982"/>
        <v>-8305702.4711048501</v>
      </c>
      <c r="S489">
        <f t="shared" si="983"/>
        <v>-83.057024711048498</v>
      </c>
      <c r="T489">
        <f t="shared" si="984"/>
        <v>-8.3057024711048505E-2</v>
      </c>
    </row>
    <row r="490" spans="1:20" x14ac:dyDescent="0.25">
      <c r="A490" s="5">
        <v>44103</v>
      </c>
      <c r="B490">
        <v>0.29409999999999997</v>
      </c>
      <c r="C490">
        <v>0.29980000000000001</v>
      </c>
      <c r="D490">
        <v>0.28000000000000003</v>
      </c>
      <c r="E490">
        <v>0.29039999999999999</v>
      </c>
      <c r="F490">
        <v>389351.11</v>
      </c>
      <c r="G490">
        <v>0</v>
      </c>
      <c r="L490" t="s">
        <v>7</v>
      </c>
      <c r="M490" t="s">
        <v>7</v>
      </c>
      <c r="N490" t="s">
        <v>7</v>
      </c>
      <c r="P490">
        <f t="shared" si="980"/>
        <v>5.0505050505047784E-2</v>
      </c>
      <c r="Q490">
        <f t="shared" si="981"/>
        <v>19664.197474746416</v>
      </c>
      <c r="R490">
        <f t="shared" si="982"/>
        <v>-8497474.3236612417</v>
      </c>
      <c r="S490">
        <f t="shared" si="983"/>
        <v>-84.974743236612412</v>
      </c>
      <c r="T490">
        <f t="shared" si="984"/>
        <v>-8.4974743236612416E-2</v>
      </c>
    </row>
    <row r="491" spans="1:20" x14ac:dyDescent="0.25">
      <c r="A491" s="5">
        <v>44102</v>
      </c>
      <c r="B491">
        <v>0.29320000000000002</v>
      </c>
      <c r="C491">
        <v>0.31190000000000001</v>
      </c>
      <c r="D491">
        <v>0.29089999999999999</v>
      </c>
      <c r="E491">
        <v>0.29409999999999997</v>
      </c>
      <c r="F491">
        <v>633357.18000000005</v>
      </c>
      <c r="G491">
        <v>0</v>
      </c>
      <c r="L491" t="s">
        <v>8</v>
      </c>
      <c r="M491" t="s">
        <v>7</v>
      </c>
      <c r="N491" t="s">
        <v>7</v>
      </c>
      <c r="P491">
        <f t="shared" si="980"/>
        <v>-0.69523809523809732</v>
      </c>
      <c r="Q491">
        <f t="shared" si="981"/>
        <v>-440334.03942857281</v>
      </c>
      <c r="R491">
        <f t="shared" si="982"/>
        <v>-8517138.5211359877</v>
      </c>
      <c r="S491">
        <f t="shared" si="983"/>
        <v>-85.171385211359876</v>
      </c>
      <c r="T491">
        <f t="shared" si="984"/>
        <v>-8.5171385211359876E-2</v>
      </c>
    </row>
    <row r="492" spans="1:20" x14ac:dyDescent="0.25">
      <c r="A492" s="5">
        <v>44101</v>
      </c>
      <c r="B492">
        <v>0.29520000000000002</v>
      </c>
      <c r="C492">
        <v>0.29870000000000002</v>
      </c>
      <c r="D492">
        <v>0.28000000000000003</v>
      </c>
      <c r="E492">
        <v>0.29260000000000003</v>
      </c>
      <c r="F492">
        <v>515493.09</v>
      </c>
      <c r="G492">
        <v>0</v>
      </c>
      <c r="L492" t="s">
        <v>7</v>
      </c>
      <c r="M492" t="s">
        <v>7</v>
      </c>
      <c r="N492" t="s">
        <v>7</v>
      </c>
      <c r="P492">
        <f t="shared" si="980"/>
        <v>0.34759358288770092</v>
      </c>
      <c r="Q492">
        <f t="shared" si="981"/>
        <v>179182.09010695209</v>
      </c>
      <c r="R492">
        <f t="shared" si="982"/>
        <v>-8076804.4817074155</v>
      </c>
      <c r="S492">
        <f t="shared" si="983"/>
        <v>-80.768044817074156</v>
      </c>
      <c r="T492">
        <f t="shared" si="984"/>
        <v>-8.0768044817074156E-2</v>
      </c>
    </row>
    <row r="493" spans="1:20" x14ac:dyDescent="0.25">
      <c r="A493" s="5">
        <v>44100</v>
      </c>
      <c r="B493">
        <v>0.29380000000000001</v>
      </c>
      <c r="C493">
        <v>0.29980000000000001</v>
      </c>
      <c r="D493">
        <v>0.28889999999999999</v>
      </c>
      <c r="E493">
        <v>0.2954</v>
      </c>
      <c r="F493">
        <v>358748.33</v>
      </c>
      <c r="G493">
        <v>0</v>
      </c>
      <c r="L493" t="s">
        <v>8</v>
      </c>
      <c r="M493" t="s">
        <v>7</v>
      </c>
      <c r="N493" t="s">
        <v>7</v>
      </c>
      <c r="P493">
        <f t="shared" si="980"/>
        <v>0.19266055045871439</v>
      </c>
      <c r="Q493">
        <f t="shared" si="981"/>
        <v>69116.650733944523</v>
      </c>
      <c r="R493">
        <f t="shared" si="982"/>
        <v>-8255986.5718143675</v>
      </c>
      <c r="S493">
        <f t="shared" si="983"/>
        <v>-82.559865718143669</v>
      </c>
      <c r="T493">
        <f t="shared" si="984"/>
        <v>-8.2559865718143666E-2</v>
      </c>
    </row>
    <row r="494" spans="1:20" x14ac:dyDescent="0.25">
      <c r="A494" s="5">
        <v>44099</v>
      </c>
      <c r="B494">
        <v>0.29049999999999998</v>
      </c>
      <c r="C494">
        <v>0.2999</v>
      </c>
      <c r="D494">
        <v>0.27550000000000002</v>
      </c>
      <c r="E494">
        <v>0.29149999999999998</v>
      </c>
      <c r="F494">
        <v>733007.72</v>
      </c>
      <c r="G494">
        <v>0</v>
      </c>
      <c r="L494" t="s">
        <v>8</v>
      </c>
      <c r="M494" t="s">
        <v>7</v>
      </c>
      <c r="N494" t="s">
        <v>7</v>
      </c>
      <c r="P494">
        <f t="shared" si="980"/>
        <v>0.31147540983606342</v>
      </c>
      <c r="Q494">
        <f t="shared" si="981"/>
        <v>228313.8799999984</v>
      </c>
      <c r="R494">
        <f t="shared" si="982"/>
        <v>-8325103.2225483125</v>
      </c>
      <c r="S494">
        <f t="shared" si="983"/>
        <v>-83.251032225483129</v>
      </c>
      <c r="T494">
        <f t="shared" si="984"/>
        <v>-8.3251032225483135E-2</v>
      </c>
    </row>
    <row r="495" spans="1:20" x14ac:dyDescent="0.25">
      <c r="A495" s="5">
        <v>44098</v>
      </c>
      <c r="B495">
        <v>0.27739999999999998</v>
      </c>
      <c r="C495">
        <v>0.29160000000000003</v>
      </c>
      <c r="D495">
        <v>0.27200000000000002</v>
      </c>
      <c r="E495">
        <v>0.29099999999999998</v>
      </c>
      <c r="F495">
        <v>1230816.3500000001</v>
      </c>
      <c r="G495">
        <v>0</v>
      </c>
      <c r="L495" t="s">
        <v>7</v>
      </c>
      <c r="M495" t="s">
        <v>7</v>
      </c>
      <c r="N495" t="s">
        <v>7</v>
      </c>
      <c r="P495">
        <f t="shared" si="980"/>
        <v>0.93877551020407701</v>
      </c>
      <c r="Q495">
        <f t="shared" si="981"/>
        <v>1155460.2469387699</v>
      </c>
      <c r="R495">
        <f t="shared" si="982"/>
        <v>-8553417.1025483105</v>
      </c>
      <c r="S495">
        <f t="shared" si="983"/>
        <v>-85.534171025483104</v>
      </c>
      <c r="T495">
        <f t="shared" si="984"/>
        <v>-8.5534171025483108E-2</v>
      </c>
    </row>
    <row r="496" spans="1:20" x14ac:dyDescent="0.25">
      <c r="A496" s="5">
        <v>44097</v>
      </c>
      <c r="B496">
        <v>0.30659999999999998</v>
      </c>
      <c r="C496">
        <v>0.309</v>
      </c>
      <c r="D496">
        <v>0.27229999999999999</v>
      </c>
      <c r="E496">
        <v>0.27629999999999999</v>
      </c>
      <c r="F496">
        <v>932193.54</v>
      </c>
      <c r="G496">
        <v>0</v>
      </c>
      <c r="L496" t="s">
        <v>7</v>
      </c>
      <c r="M496" t="s">
        <v>7</v>
      </c>
      <c r="N496" t="s">
        <v>7</v>
      </c>
      <c r="P496">
        <f t="shared" si="980"/>
        <v>-0.78201634877384185</v>
      </c>
      <c r="Q496">
        <f t="shared" si="981"/>
        <v>-728990.58850136236</v>
      </c>
      <c r="R496">
        <f t="shared" si="982"/>
        <v>-9708877.3494870812</v>
      </c>
      <c r="S496">
        <f t="shared" si="983"/>
        <v>-97.088773494870807</v>
      </c>
      <c r="T496">
        <f t="shared" si="984"/>
        <v>-9.70887734948708E-2</v>
      </c>
    </row>
    <row r="497" spans="1:20" x14ac:dyDescent="0.25">
      <c r="A497" s="5">
        <v>44096</v>
      </c>
      <c r="B497">
        <v>0.3024</v>
      </c>
      <c r="C497">
        <v>0.314</v>
      </c>
      <c r="D497">
        <v>0.29949999999999999</v>
      </c>
      <c r="E497">
        <v>0.30509999999999998</v>
      </c>
      <c r="F497">
        <v>451683.77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-0.22758620689655326</v>
      </c>
      <c r="Q497">
        <f t="shared" si="981"/>
        <v>-102796.99593103518</v>
      </c>
      <c r="R497">
        <f t="shared" si="982"/>
        <v>-8979886.760985719</v>
      </c>
      <c r="S497">
        <f t="shared" si="983"/>
        <v>-89.798867609857197</v>
      </c>
      <c r="T497">
        <f t="shared" si="984"/>
        <v>-8.9798867609857197E-2</v>
      </c>
    </row>
    <row r="498" spans="1:20" x14ac:dyDescent="0.25">
      <c r="A498" s="5">
        <v>44095</v>
      </c>
      <c r="B498">
        <v>0.31809999999999999</v>
      </c>
      <c r="C498">
        <v>0.33129999999999998</v>
      </c>
      <c r="D498">
        <v>0.28999999999999998</v>
      </c>
      <c r="E498">
        <v>0.3024</v>
      </c>
      <c r="F498">
        <v>877219.15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-0.3995157384987883</v>
      </c>
      <c r="Q498">
        <f t="shared" si="981"/>
        <v>-350462.85653752938</v>
      </c>
      <c r="R498">
        <f t="shared" si="982"/>
        <v>-8877089.7650546841</v>
      </c>
      <c r="S498">
        <f t="shared" si="983"/>
        <v>-88.770897650546843</v>
      </c>
      <c r="T498">
        <f t="shared" si="984"/>
        <v>-8.877089765054684E-2</v>
      </c>
    </row>
    <row r="499" spans="1:20" x14ac:dyDescent="0.25">
      <c r="A499" s="5">
        <v>44094</v>
      </c>
      <c r="B499">
        <v>0.33929999999999999</v>
      </c>
      <c r="C499">
        <v>0.3407</v>
      </c>
      <c r="D499">
        <v>0.31380000000000002</v>
      </c>
      <c r="E499">
        <v>0.31630000000000003</v>
      </c>
      <c r="F499">
        <v>323685.7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-0.81412639405204434</v>
      </c>
      <c r="Q499">
        <f t="shared" si="981"/>
        <v>-263521.0717472118</v>
      </c>
      <c r="R499">
        <f t="shared" si="982"/>
        <v>-8526626.9085171539</v>
      </c>
      <c r="S499">
        <f t="shared" si="983"/>
        <v>-85.266269085171544</v>
      </c>
      <c r="T499">
        <f t="shared" si="984"/>
        <v>-8.5266269085171542E-2</v>
      </c>
    </row>
    <row r="500" spans="1:20" x14ac:dyDescent="0.25">
      <c r="A500" s="5">
        <v>44093</v>
      </c>
      <c r="B500">
        <v>0.33110000000000001</v>
      </c>
      <c r="C500">
        <v>0.3417</v>
      </c>
      <c r="D500">
        <v>0.33110000000000001</v>
      </c>
      <c r="E500">
        <v>0.33910000000000001</v>
      </c>
      <c r="F500">
        <v>295704.21999999997</v>
      </c>
      <c r="G500">
        <v>0</v>
      </c>
      <c r="L500" t="s">
        <v>8</v>
      </c>
      <c r="M500" t="s">
        <v>7</v>
      </c>
      <c r="N500" t="s">
        <v>7</v>
      </c>
      <c r="P500">
        <f t="shared" si="980"/>
        <v>0.5094339622641525</v>
      </c>
      <c r="Q500">
        <f t="shared" si="981"/>
        <v>150641.77245283063</v>
      </c>
      <c r="R500">
        <f t="shared" si="982"/>
        <v>-8263105.8367699413</v>
      </c>
      <c r="S500">
        <f t="shared" si="983"/>
        <v>-82.63105836769941</v>
      </c>
      <c r="T500">
        <f t="shared" si="984"/>
        <v>-8.2631058367699406E-2</v>
      </c>
    </row>
    <row r="501" spans="1:20" x14ac:dyDescent="0.25">
      <c r="A501" s="5">
        <v>44092</v>
      </c>
      <c r="B501">
        <v>0.33489999999999998</v>
      </c>
      <c r="C501">
        <v>0.34370000000000001</v>
      </c>
      <c r="D501">
        <v>0.32779999999999998</v>
      </c>
      <c r="E501">
        <v>0.33100000000000002</v>
      </c>
      <c r="F501">
        <v>646463.6</v>
      </c>
      <c r="G501">
        <v>0</v>
      </c>
      <c r="L501" t="s">
        <v>8</v>
      </c>
      <c r="M501" t="s">
        <v>7</v>
      </c>
      <c r="N501" t="s">
        <v>7</v>
      </c>
      <c r="P501">
        <f t="shared" si="980"/>
        <v>-0.59748427672955584</v>
      </c>
      <c r="Q501">
        <f t="shared" si="981"/>
        <v>-386251.83647798491</v>
      </c>
      <c r="R501">
        <f t="shared" si="982"/>
        <v>-8413747.6092227716</v>
      </c>
      <c r="S501">
        <f t="shared" si="983"/>
        <v>-84.137476092227715</v>
      </c>
      <c r="T501">
        <f t="shared" si="984"/>
        <v>-8.4137476092227714E-2</v>
      </c>
    </row>
    <row r="502" spans="1:20" x14ac:dyDescent="0.25">
      <c r="A502" s="5">
        <v>44091</v>
      </c>
      <c r="B502">
        <v>0.31950000000000001</v>
      </c>
      <c r="C502">
        <v>0.34910000000000002</v>
      </c>
      <c r="D502">
        <v>0.3049</v>
      </c>
      <c r="E502">
        <v>0.33260000000000001</v>
      </c>
      <c r="F502">
        <v>1906046.49</v>
      </c>
      <c r="G502">
        <v>0</v>
      </c>
      <c r="L502" t="s">
        <v>8</v>
      </c>
      <c r="M502" t="s">
        <v>7</v>
      </c>
      <c r="N502" t="s">
        <v>7</v>
      </c>
      <c r="P502">
        <f t="shared" si="980"/>
        <v>0.25339366515837064</v>
      </c>
      <c r="Q502">
        <f t="shared" si="981"/>
        <v>482980.10606334766</v>
      </c>
      <c r="R502">
        <f t="shared" si="982"/>
        <v>-8027495.772744786</v>
      </c>
      <c r="S502">
        <f t="shared" si="983"/>
        <v>-80.274957727447855</v>
      </c>
      <c r="T502">
        <f t="shared" si="984"/>
        <v>-8.027495772744786E-2</v>
      </c>
    </row>
    <row r="503" spans="1:20" x14ac:dyDescent="0.25">
      <c r="A503" s="5">
        <v>44090</v>
      </c>
      <c r="B503">
        <v>0.31540000000000001</v>
      </c>
      <c r="C503">
        <v>0.32140000000000002</v>
      </c>
      <c r="D503">
        <v>0.30299999999999999</v>
      </c>
      <c r="E503">
        <v>0.31979999999999997</v>
      </c>
      <c r="F503">
        <v>735663.98</v>
      </c>
      <c r="G503">
        <v>0</v>
      </c>
      <c r="L503" t="s">
        <v>7</v>
      </c>
      <c r="M503" t="s">
        <v>7</v>
      </c>
      <c r="N503" t="s">
        <v>7</v>
      </c>
      <c r="P503">
        <f t="shared" si="980"/>
        <v>0.82608695652173436</v>
      </c>
      <c r="Q503">
        <f t="shared" si="981"/>
        <v>607722.41826086608</v>
      </c>
      <c r="R503">
        <f t="shared" si="982"/>
        <v>-8510475.8788081333</v>
      </c>
      <c r="S503">
        <f t="shared" si="983"/>
        <v>-85.104758788081327</v>
      </c>
      <c r="T503">
        <f t="shared" si="984"/>
        <v>-8.5104758788081325E-2</v>
      </c>
    </row>
    <row r="504" spans="1:20" x14ac:dyDescent="0.25">
      <c r="A504" s="5">
        <v>44089</v>
      </c>
      <c r="B504">
        <v>0.33189999999999997</v>
      </c>
      <c r="C504">
        <v>0.3362</v>
      </c>
      <c r="D504">
        <v>0.31319999999999998</v>
      </c>
      <c r="E504">
        <v>0.31469999999999998</v>
      </c>
      <c r="F504">
        <v>635029.85</v>
      </c>
      <c r="G504">
        <v>0</v>
      </c>
      <c r="L504" t="s">
        <v>7</v>
      </c>
      <c r="M504" t="s">
        <v>8</v>
      </c>
      <c r="N504" t="s">
        <v>7</v>
      </c>
      <c r="P504">
        <f t="shared" si="980"/>
        <v>-0.86956521739130432</v>
      </c>
      <c r="Q504">
        <f t="shared" si="981"/>
        <v>-552199.86956521741</v>
      </c>
      <c r="R504">
        <f t="shared" si="982"/>
        <v>-9118198.2970690001</v>
      </c>
      <c r="S504">
        <f t="shared" si="983"/>
        <v>-91.181982970690001</v>
      </c>
      <c r="T504">
        <f t="shared" si="984"/>
        <v>-9.1181982970689995E-2</v>
      </c>
    </row>
    <row r="505" spans="1:20" x14ac:dyDescent="0.25">
      <c r="A505" s="5">
        <v>44088</v>
      </c>
      <c r="B505">
        <v>0.3332</v>
      </c>
      <c r="C505">
        <v>0.33939999999999998</v>
      </c>
      <c r="D505">
        <v>0.32329999999999998</v>
      </c>
      <c r="E505">
        <v>0.33129999999999998</v>
      </c>
      <c r="F505">
        <v>911047.9</v>
      </c>
      <c r="G505">
        <v>0</v>
      </c>
      <c r="L505" t="s">
        <v>7</v>
      </c>
      <c r="M505" t="s">
        <v>8</v>
      </c>
      <c r="N505" t="s">
        <v>7</v>
      </c>
      <c r="P505">
        <f t="shared" si="980"/>
        <v>-6.2111801242229168E-3</v>
      </c>
      <c r="Q505">
        <f t="shared" si="981"/>
        <v>-5658.6826086950277</v>
      </c>
      <c r="R505">
        <f t="shared" si="982"/>
        <v>-8565998.4275037833</v>
      </c>
      <c r="S505">
        <f t="shared" si="983"/>
        <v>-85.659984275037829</v>
      </c>
      <c r="T505">
        <f t="shared" si="984"/>
        <v>-8.5659984275037834E-2</v>
      </c>
    </row>
    <row r="506" spans="1:20" x14ac:dyDescent="0.25">
      <c r="A506" s="5">
        <v>44087</v>
      </c>
      <c r="B506">
        <v>0.36270000000000002</v>
      </c>
      <c r="C506">
        <v>0.36280000000000001</v>
      </c>
      <c r="D506">
        <v>0.31859999999999999</v>
      </c>
      <c r="E506">
        <v>0.33550000000000002</v>
      </c>
      <c r="F506">
        <v>1383721</v>
      </c>
      <c r="G506">
        <v>0</v>
      </c>
      <c r="L506" t="s">
        <v>7</v>
      </c>
      <c r="M506" t="s">
        <v>8</v>
      </c>
      <c r="N506" t="s">
        <v>7</v>
      </c>
      <c r="P506">
        <f t="shared" si="980"/>
        <v>-0.23529411764705793</v>
      </c>
      <c r="Q506">
        <f t="shared" si="981"/>
        <v>-325581.41176470462</v>
      </c>
      <c r="R506">
        <f t="shared" si="982"/>
        <v>-8560339.7448950876</v>
      </c>
      <c r="S506">
        <f t="shared" si="983"/>
        <v>-85.603397448950872</v>
      </c>
      <c r="T506">
        <f t="shared" si="984"/>
        <v>-8.5603397448950874E-2</v>
      </c>
    </row>
    <row r="507" spans="1:20" x14ac:dyDescent="0.25">
      <c r="A507" s="5">
        <v>44086</v>
      </c>
      <c r="B507">
        <v>0.35199999999999998</v>
      </c>
      <c r="C507">
        <v>0.37219999999999998</v>
      </c>
      <c r="D507">
        <v>0.34920000000000001</v>
      </c>
      <c r="E507">
        <v>0.36180000000000001</v>
      </c>
      <c r="F507">
        <v>1049280.83</v>
      </c>
      <c r="G507">
        <v>0</v>
      </c>
      <c r="L507" t="s">
        <v>8</v>
      </c>
      <c r="M507" t="s">
        <v>8</v>
      </c>
      <c r="N507" t="s">
        <v>7</v>
      </c>
      <c r="P507">
        <f t="shared" si="980"/>
        <v>9.565217391304516E-2</v>
      </c>
      <c r="Q507">
        <f t="shared" si="981"/>
        <v>100365.99243478438</v>
      </c>
      <c r="R507">
        <f t="shared" si="982"/>
        <v>-8234758.3331303829</v>
      </c>
      <c r="S507">
        <f t="shared" si="983"/>
        <v>-82.347583331303824</v>
      </c>
      <c r="T507">
        <f t="shared" si="984"/>
        <v>-8.234758333130382E-2</v>
      </c>
    </row>
    <row r="508" spans="1:20" x14ac:dyDescent="0.25">
      <c r="A508" s="5">
        <v>44085</v>
      </c>
      <c r="B508">
        <v>0.34060000000000001</v>
      </c>
      <c r="C508">
        <v>0.36120000000000002</v>
      </c>
      <c r="D508">
        <v>0.32769999999999999</v>
      </c>
      <c r="E508">
        <v>0.35210000000000002</v>
      </c>
      <c r="F508">
        <v>1172345.21</v>
      </c>
      <c r="G508">
        <v>0</v>
      </c>
      <c r="L508" t="s">
        <v>8</v>
      </c>
      <c r="M508" t="s">
        <v>8</v>
      </c>
      <c r="N508" t="s">
        <v>7</v>
      </c>
      <c r="P508">
        <f t="shared" si="980"/>
        <v>0.45671641791044842</v>
      </c>
      <c r="Q508">
        <f t="shared" si="981"/>
        <v>535429.30486567237</v>
      </c>
      <c r="R508">
        <f t="shared" si="982"/>
        <v>-8335124.3255651677</v>
      </c>
      <c r="S508">
        <f t="shared" si="983"/>
        <v>-83.351243255651681</v>
      </c>
      <c r="T508">
        <f t="shared" si="984"/>
        <v>-8.3351243255651686E-2</v>
      </c>
    </row>
    <row r="509" spans="1:20" x14ac:dyDescent="0.25">
      <c r="A509" s="5">
        <v>44084</v>
      </c>
      <c r="B509">
        <v>0.33189999999999997</v>
      </c>
      <c r="C509">
        <v>0.35499999999999998</v>
      </c>
      <c r="D509">
        <v>0.32540000000000002</v>
      </c>
      <c r="E509">
        <v>0.34029999999999999</v>
      </c>
      <c r="F509">
        <v>1046949.68</v>
      </c>
      <c r="G509">
        <v>0</v>
      </c>
      <c r="L509" t="s">
        <v>8</v>
      </c>
      <c r="M509" t="s">
        <v>8</v>
      </c>
      <c r="N509" t="s">
        <v>7</v>
      </c>
      <c r="P509">
        <f t="shared" si="980"/>
        <v>6.7567567567560216E-3</v>
      </c>
      <c r="Q509">
        <f t="shared" si="981"/>
        <v>7073.9843243235546</v>
      </c>
      <c r="R509">
        <f t="shared" si="982"/>
        <v>-8870553.63043084</v>
      </c>
      <c r="S509">
        <f t="shared" si="983"/>
        <v>-88.705536304308396</v>
      </c>
      <c r="T509">
        <f t="shared" si="984"/>
        <v>-8.8705536304308399E-2</v>
      </c>
    </row>
    <row r="510" spans="1:20" x14ac:dyDescent="0.25">
      <c r="A510" s="5">
        <v>44083</v>
      </c>
      <c r="B510">
        <v>0.31280000000000002</v>
      </c>
      <c r="C510">
        <v>0.33900000000000002</v>
      </c>
      <c r="D510">
        <v>0.30409999999999998</v>
      </c>
      <c r="E510">
        <v>0.33150000000000002</v>
      </c>
      <c r="F510">
        <v>1023633.81</v>
      </c>
      <c r="G510">
        <v>0</v>
      </c>
      <c r="L510" t="s">
        <v>7</v>
      </c>
      <c r="M510" t="s">
        <v>7</v>
      </c>
      <c r="N510" t="s">
        <v>7</v>
      </c>
      <c r="P510">
        <f t="shared" si="980"/>
        <v>0.57020057306590266</v>
      </c>
      <c r="Q510">
        <f t="shared" si="981"/>
        <v>583676.58507163334</v>
      </c>
      <c r="R510">
        <f t="shared" si="982"/>
        <v>-8877627.614755163</v>
      </c>
      <c r="S510">
        <f t="shared" si="983"/>
        <v>-88.776276147551627</v>
      </c>
      <c r="T510">
        <f t="shared" si="984"/>
        <v>-8.8776276147551625E-2</v>
      </c>
    </row>
    <row r="511" spans="1:20" x14ac:dyDescent="0.25">
      <c r="A511" s="5">
        <v>44082</v>
      </c>
      <c r="B511">
        <v>0.33069999999999999</v>
      </c>
      <c r="C511">
        <v>0.34060000000000001</v>
      </c>
      <c r="D511">
        <v>0.30170000000000002</v>
      </c>
      <c r="E511">
        <v>0.31059999999999999</v>
      </c>
      <c r="F511">
        <v>1300246.28</v>
      </c>
      <c r="G511">
        <v>0</v>
      </c>
      <c r="L511" t="s">
        <v>8</v>
      </c>
      <c r="M511" t="s">
        <v>7</v>
      </c>
      <c r="N511" t="s">
        <v>7</v>
      </c>
      <c r="P511">
        <f t="shared" si="980"/>
        <v>-0.54241645244216119</v>
      </c>
      <c r="Q511">
        <f t="shared" si="981"/>
        <v>-705274.974498717</v>
      </c>
      <c r="R511">
        <f t="shared" si="982"/>
        <v>-9461304.1998267956</v>
      </c>
      <c r="S511">
        <f t="shared" si="983"/>
        <v>-94.61304199826796</v>
      </c>
      <c r="T511">
        <f t="shared" si="984"/>
        <v>-9.4613041998267963E-2</v>
      </c>
    </row>
    <row r="512" spans="1:20" x14ac:dyDescent="0.25">
      <c r="A512" s="5">
        <v>44081</v>
      </c>
      <c r="B512">
        <v>0.3271</v>
      </c>
      <c r="C512">
        <v>0.33229999999999998</v>
      </c>
      <c r="D512">
        <v>0.28889999999999999</v>
      </c>
      <c r="E512">
        <v>0.33090000000000003</v>
      </c>
      <c r="F512">
        <v>1188655.82</v>
      </c>
      <c r="G512">
        <v>0</v>
      </c>
      <c r="L512" t="s">
        <v>7</v>
      </c>
      <c r="M512" t="s">
        <v>7</v>
      </c>
      <c r="N512" t="s">
        <v>7</v>
      </c>
      <c r="P512">
        <f t="shared" si="980"/>
        <v>0.93548387096774388</v>
      </c>
      <c r="Q512">
        <f t="shared" si="981"/>
        <v>1111968.347741938</v>
      </c>
      <c r="R512">
        <f t="shared" si="982"/>
        <v>-8756029.2253280785</v>
      </c>
      <c r="S512">
        <f t="shared" si="983"/>
        <v>-87.560292253280778</v>
      </c>
      <c r="T512">
        <f t="shared" si="984"/>
        <v>-8.7560292253280783E-2</v>
      </c>
    </row>
    <row r="513" spans="1:20" x14ac:dyDescent="0.25">
      <c r="A513" s="5">
        <v>44080</v>
      </c>
      <c r="B513">
        <v>0.312</v>
      </c>
      <c r="C513">
        <v>0.33639999999999998</v>
      </c>
      <c r="D513">
        <v>0.2918</v>
      </c>
      <c r="E513">
        <v>0.32840000000000003</v>
      </c>
      <c r="F513">
        <v>1494046.4</v>
      </c>
      <c r="G513">
        <v>0</v>
      </c>
      <c r="L513" t="s">
        <v>8</v>
      </c>
      <c r="M513" t="s">
        <v>7</v>
      </c>
      <c r="N513" t="s">
        <v>7</v>
      </c>
      <c r="P513">
        <f t="shared" si="980"/>
        <v>0.64125560538116788</v>
      </c>
      <c r="Q513">
        <f t="shared" si="981"/>
        <v>958065.62869955448</v>
      </c>
      <c r="R513">
        <f t="shared" si="982"/>
        <v>-9867997.5730700158</v>
      </c>
      <c r="S513">
        <f t="shared" si="983"/>
        <v>-98.679975730700164</v>
      </c>
      <c r="T513">
        <f t="shared" si="984"/>
        <v>-9.867997573070017E-2</v>
      </c>
    </row>
    <row r="514" spans="1:20" x14ac:dyDescent="0.25">
      <c r="A514" s="5">
        <v>44079</v>
      </c>
      <c r="B514">
        <v>0.37280000000000002</v>
      </c>
      <c r="C514">
        <v>0.38129999999999997</v>
      </c>
      <c r="D514">
        <v>0.2873</v>
      </c>
      <c r="E514">
        <v>0.29570000000000002</v>
      </c>
      <c r="F514">
        <v>2384976.3199999998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-0.82127659574468037</v>
      </c>
      <c r="Q514">
        <f t="shared" si="981"/>
        <v>-1958725.2330212754</v>
      </c>
      <c r="R514">
        <f t="shared" si="982"/>
        <v>-10826063.20176957</v>
      </c>
      <c r="S514">
        <f t="shared" si="983"/>
        <v>-108.2606320176957</v>
      </c>
      <c r="T514">
        <f t="shared" si="984"/>
        <v>-0.1082606320176957</v>
      </c>
    </row>
    <row r="515" spans="1:20" x14ac:dyDescent="0.25">
      <c r="A515" s="5">
        <v>44078</v>
      </c>
      <c r="B515">
        <v>0.34960000000000002</v>
      </c>
      <c r="C515">
        <v>0.39889999999999998</v>
      </c>
      <c r="D515">
        <v>0.34229999999999999</v>
      </c>
      <c r="E515">
        <v>0.37280000000000002</v>
      </c>
      <c r="F515">
        <v>1522111.4</v>
      </c>
      <c r="G515">
        <v>0</v>
      </c>
      <c r="L515" t="s">
        <v>8</v>
      </c>
      <c r="M515" t="s">
        <v>8</v>
      </c>
      <c r="N515" t="s">
        <v>7</v>
      </c>
      <c r="P515">
        <f t="shared" si="980"/>
        <v>7.7738515901061345E-2</v>
      </c>
      <c r="Q515">
        <f t="shared" si="981"/>
        <v>118326.68127208673</v>
      </c>
      <c r="R515">
        <f t="shared" si="982"/>
        <v>-8867337.9687482938</v>
      </c>
      <c r="S515">
        <f t="shared" si="983"/>
        <v>-88.673379687482935</v>
      </c>
      <c r="T515">
        <f t="shared" si="984"/>
        <v>-8.8673379687482928E-2</v>
      </c>
    </row>
    <row r="516" spans="1:20" x14ac:dyDescent="0.25">
      <c r="A516" s="5">
        <v>44077</v>
      </c>
      <c r="B516">
        <v>0.43419999999999997</v>
      </c>
      <c r="C516">
        <v>0.43419999999999997</v>
      </c>
      <c r="D516">
        <v>0.33700000000000002</v>
      </c>
      <c r="E516">
        <v>0.34949999999999998</v>
      </c>
      <c r="F516">
        <v>2338874.2799999998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-0.7427983539094658</v>
      </c>
      <c r="Q516">
        <f t="shared" si="981"/>
        <v>-1737311.9651851868</v>
      </c>
      <c r="R516">
        <f t="shared" si="982"/>
        <v>-8985664.6500203814</v>
      </c>
      <c r="S516">
        <f t="shared" si="983"/>
        <v>-89.856646500203809</v>
      </c>
      <c r="T516">
        <f t="shared" si="984"/>
        <v>-8.9856646500203807E-2</v>
      </c>
    </row>
    <row r="517" spans="1:20" x14ac:dyDescent="0.25">
      <c r="A517" s="5">
        <v>44076</v>
      </c>
      <c r="B517">
        <v>0.4637</v>
      </c>
      <c r="C517">
        <v>0.46500000000000002</v>
      </c>
      <c r="D517">
        <v>0.41539999999999999</v>
      </c>
      <c r="E517">
        <v>0.43309999999999998</v>
      </c>
      <c r="F517">
        <v>1702348.06</v>
      </c>
      <c r="G517">
        <v>0</v>
      </c>
      <c r="L517" t="s">
        <v>7</v>
      </c>
      <c r="M517" t="s">
        <v>7</v>
      </c>
      <c r="N517" t="s">
        <v>7</v>
      </c>
      <c r="P517">
        <f t="shared" si="980"/>
        <v>-0.28629032258064591</v>
      </c>
      <c r="Q517">
        <f t="shared" si="981"/>
        <v>-487365.77524193679</v>
      </c>
      <c r="R517">
        <f t="shared" si="982"/>
        <v>-7248352.6848351946</v>
      </c>
      <c r="S517">
        <f t="shared" si="983"/>
        <v>-72.483526848351943</v>
      </c>
      <c r="T517">
        <f t="shared" si="984"/>
        <v>-7.2483526848351937E-2</v>
      </c>
    </row>
    <row r="518" spans="1:20" x14ac:dyDescent="0.25">
      <c r="A518" s="5">
        <v>44075</v>
      </c>
      <c r="B518">
        <v>0.47289999999999999</v>
      </c>
      <c r="C518">
        <v>0.48459999999999998</v>
      </c>
      <c r="D518">
        <v>0.45500000000000002</v>
      </c>
      <c r="E518">
        <v>0.4612</v>
      </c>
      <c r="F518">
        <v>2814018.97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5">IF(C518=D518,0,((E518-D518)-(C518-E518))/(C518-D518))</f>
        <v>-0.58108108108108159</v>
      </c>
      <c r="Q518">
        <f t="shared" ref="Q518:Q581" si="986">F518*P518</f>
        <v>-1635173.1852702717</v>
      </c>
      <c r="R518">
        <f t="shared" ref="R518:R581" si="987">R519+Q518</f>
        <v>-6760986.9095932581</v>
      </c>
      <c r="S518">
        <f t="shared" ref="S518:S581" si="988">R518/100000</f>
        <v>-67.609869095932581</v>
      </c>
      <c r="T518">
        <f t="shared" ref="T518:T581" si="989">S518/1000</f>
        <v>-6.7609869095932584E-2</v>
      </c>
    </row>
    <row r="519" spans="1:20" x14ac:dyDescent="0.25">
      <c r="A519" s="5">
        <v>44074</v>
      </c>
      <c r="B519">
        <v>0.48520000000000002</v>
      </c>
      <c r="C519">
        <v>0.50600000000000001</v>
      </c>
      <c r="D519">
        <v>0.47</v>
      </c>
      <c r="E519">
        <v>0.47010000000000002</v>
      </c>
      <c r="F519">
        <v>2252795.89</v>
      </c>
      <c r="G519">
        <v>0</v>
      </c>
      <c r="L519" t="s">
        <v>7</v>
      </c>
      <c r="M519" t="s">
        <v>8</v>
      </c>
      <c r="N519" t="s">
        <v>7</v>
      </c>
      <c r="P519">
        <f t="shared" si="985"/>
        <v>-0.99444444444444202</v>
      </c>
      <c r="Q519">
        <f t="shared" si="986"/>
        <v>-2240280.3572777724</v>
      </c>
      <c r="R519">
        <f t="shared" si="987"/>
        <v>-5125813.7243229868</v>
      </c>
      <c r="S519">
        <f t="shared" si="988"/>
        <v>-51.258137243229868</v>
      </c>
      <c r="T519">
        <f t="shared" si="989"/>
        <v>-5.1258137243229869E-2</v>
      </c>
    </row>
    <row r="520" spans="1:20" x14ac:dyDescent="0.25">
      <c r="A520" s="5">
        <v>44073</v>
      </c>
      <c r="B520">
        <v>0.44969999999999999</v>
      </c>
      <c r="C520">
        <v>0.50600000000000001</v>
      </c>
      <c r="D520">
        <v>0.44500000000000001</v>
      </c>
      <c r="E520">
        <v>0.48359999999999997</v>
      </c>
      <c r="F520">
        <v>2720353.64</v>
      </c>
      <c r="G520">
        <v>0</v>
      </c>
      <c r="L520" t="s">
        <v>8</v>
      </c>
      <c r="M520" t="s">
        <v>8</v>
      </c>
      <c r="N520" t="s">
        <v>7</v>
      </c>
      <c r="P520">
        <f t="shared" si="985"/>
        <v>0.26557377049180225</v>
      </c>
      <c r="Q520">
        <f t="shared" si="986"/>
        <v>722454.57324589894</v>
      </c>
      <c r="R520">
        <f t="shared" si="987"/>
        <v>-2885533.3670452144</v>
      </c>
      <c r="S520">
        <f t="shared" si="988"/>
        <v>-28.855333670452143</v>
      </c>
      <c r="T520">
        <f t="shared" si="989"/>
        <v>-2.8855333670452142E-2</v>
      </c>
    </row>
    <row r="521" spans="1:20" x14ac:dyDescent="0.25">
      <c r="A521" s="5">
        <v>44072</v>
      </c>
      <c r="B521">
        <v>0.47110000000000002</v>
      </c>
      <c r="C521">
        <v>0.4713</v>
      </c>
      <c r="D521">
        <v>0.43690000000000001</v>
      </c>
      <c r="E521">
        <v>0.44729999999999998</v>
      </c>
      <c r="F521">
        <v>3231890.71</v>
      </c>
      <c r="G521">
        <v>0</v>
      </c>
      <c r="L521" t="s">
        <v>7</v>
      </c>
      <c r="M521" t="s">
        <v>7</v>
      </c>
      <c r="N521" t="s">
        <v>7</v>
      </c>
      <c r="P521">
        <f t="shared" si="985"/>
        <v>-0.39534883720930414</v>
      </c>
      <c r="Q521">
        <f t="shared" si="986"/>
        <v>-1277724.2341860523</v>
      </c>
      <c r="R521">
        <f t="shared" si="987"/>
        <v>-3607987.9402911132</v>
      </c>
      <c r="S521">
        <f t="shared" si="988"/>
        <v>-36.079879402911132</v>
      </c>
      <c r="T521">
        <f t="shared" si="989"/>
        <v>-3.607987940291113E-2</v>
      </c>
    </row>
    <row r="522" spans="1:20" x14ac:dyDescent="0.25">
      <c r="A522" s="5">
        <v>44071</v>
      </c>
      <c r="B522">
        <v>0.4506</v>
      </c>
      <c r="C522">
        <v>0.47520000000000001</v>
      </c>
      <c r="D522">
        <v>0.44</v>
      </c>
      <c r="E522">
        <v>0.47120000000000001</v>
      </c>
      <c r="F522">
        <v>973219.95</v>
      </c>
      <c r="G522">
        <v>0</v>
      </c>
      <c r="L522" t="s">
        <v>8</v>
      </c>
      <c r="M522" t="s">
        <v>7</v>
      </c>
      <c r="N522" t="s">
        <v>7</v>
      </c>
      <c r="P522">
        <f t="shared" si="985"/>
        <v>0.7727272727272726</v>
      </c>
      <c r="Q522">
        <f t="shared" si="986"/>
        <v>752033.59772727254</v>
      </c>
      <c r="R522">
        <f t="shared" si="987"/>
        <v>-2330263.7061050609</v>
      </c>
      <c r="S522">
        <f t="shared" si="988"/>
        <v>-23.302637061050607</v>
      </c>
      <c r="T522">
        <f t="shared" si="989"/>
        <v>-2.3302637061050607E-2</v>
      </c>
    </row>
    <row r="523" spans="1:20" x14ac:dyDescent="0.25">
      <c r="A523" s="5">
        <v>44070</v>
      </c>
      <c r="B523">
        <v>0.49690000000000001</v>
      </c>
      <c r="C523">
        <v>0.50280000000000002</v>
      </c>
      <c r="D523">
        <v>0.43369999999999997</v>
      </c>
      <c r="E523">
        <v>0.45329999999999998</v>
      </c>
      <c r="F523">
        <v>1763814.26</v>
      </c>
      <c r="G523">
        <v>0</v>
      </c>
      <c r="L523" t="s">
        <v>7</v>
      </c>
      <c r="M523" t="s">
        <v>7</v>
      </c>
      <c r="N523" t="s">
        <v>7</v>
      </c>
      <c r="P523">
        <f t="shared" si="985"/>
        <v>-0.43270622286541266</v>
      </c>
      <c r="Q523">
        <f t="shared" si="986"/>
        <v>-763213.40628075297</v>
      </c>
      <c r="R523">
        <f t="shared" si="987"/>
        <v>-3082297.3038323335</v>
      </c>
      <c r="S523">
        <f t="shared" si="988"/>
        <v>-30.822973038323337</v>
      </c>
      <c r="T523">
        <f t="shared" si="989"/>
        <v>-3.0822973038323338E-2</v>
      </c>
    </row>
    <row r="524" spans="1:20" x14ac:dyDescent="0.25">
      <c r="A524" s="5">
        <v>44069</v>
      </c>
      <c r="B524">
        <v>0.49430000000000002</v>
      </c>
      <c r="C524">
        <v>0.50629999999999997</v>
      </c>
      <c r="D524">
        <v>0.47199999999999998</v>
      </c>
      <c r="E524">
        <v>0.49640000000000001</v>
      </c>
      <c r="F524">
        <v>1207020.19</v>
      </c>
      <c r="G524">
        <v>0</v>
      </c>
      <c r="L524" t="s">
        <v>8</v>
      </c>
      <c r="M524" t="s">
        <v>7</v>
      </c>
      <c r="N524" t="s">
        <v>7</v>
      </c>
      <c r="P524">
        <f t="shared" si="985"/>
        <v>0.42274052478134316</v>
      </c>
      <c r="Q524">
        <f t="shared" si="986"/>
        <v>510256.34854227654</v>
      </c>
      <c r="R524">
        <f t="shared" si="987"/>
        <v>-2319083.8975515803</v>
      </c>
      <c r="S524">
        <f t="shared" si="988"/>
        <v>-23.190838975515803</v>
      </c>
      <c r="T524">
        <f t="shared" si="989"/>
        <v>-2.3190838975515802E-2</v>
      </c>
    </row>
    <row r="525" spans="1:20" x14ac:dyDescent="0.25">
      <c r="A525" s="5">
        <v>44068</v>
      </c>
      <c r="B525">
        <v>0.53820000000000001</v>
      </c>
      <c r="C525">
        <v>0.54059999999999997</v>
      </c>
      <c r="D525">
        <v>0.46550000000000002</v>
      </c>
      <c r="E525">
        <v>0.49530000000000002</v>
      </c>
      <c r="F525">
        <v>2286041.9</v>
      </c>
      <c r="G525">
        <v>0</v>
      </c>
      <c r="L525" t="s">
        <v>7</v>
      </c>
      <c r="M525" t="s">
        <v>7</v>
      </c>
      <c r="N525" t="s">
        <v>7</v>
      </c>
      <c r="P525">
        <f t="shared" si="985"/>
        <v>-0.20639147802929386</v>
      </c>
      <c r="Q525">
        <f t="shared" si="986"/>
        <v>-471819.5665778952</v>
      </c>
      <c r="R525">
        <f t="shared" si="987"/>
        <v>-2829340.2460938571</v>
      </c>
      <c r="S525">
        <f t="shared" si="988"/>
        <v>-28.293402460938569</v>
      </c>
      <c r="T525">
        <f t="shared" si="989"/>
        <v>-2.8293402460938571E-2</v>
      </c>
    </row>
    <row r="526" spans="1:20" x14ac:dyDescent="0.25">
      <c r="A526" s="5">
        <v>44067</v>
      </c>
      <c r="B526">
        <v>0.54690000000000005</v>
      </c>
      <c r="C526">
        <v>0.56010000000000004</v>
      </c>
      <c r="D526">
        <v>0.52990000000000004</v>
      </c>
      <c r="E526">
        <v>0.53839999999999999</v>
      </c>
      <c r="F526">
        <v>1461045.86</v>
      </c>
      <c r="G526">
        <v>0</v>
      </c>
      <c r="L526" t="s">
        <v>7</v>
      </c>
      <c r="M526" t="s">
        <v>8</v>
      </c>
      <c r="N526" t="s">
        <v>8</v>
      </c>
      <c r="P526">
        <f t="shared" si="985"/>
        <v>-0.43708609271523508</v>
      </c>
      <c r="Q526">
        <f t="shared" si="986"/>
        <v>-638602.8262251704</v>
      </c>
      <c r="R526">
        <f t="shared" si="987"/>
        <v>-2357520.679515962</v>
      </c>
      <c r="S526">
        <f t="shared" si="988"/>
        <v>-23.57520679515962</v>
      </c>
      <c r="T526">
        <f t="shared" si="989"/>
        <v>-2.357520679515962E-2</v>
      </c>
    </row>
    <row r="527" spans="1:20" x14ac:dyDescent="0.25">
      <c r="A527" s="5">
        <v>44066</v>
      </c>
      <c r="B527">
        <v>0.53810000000000002</v>
      </c>
      <c r="C527">
        <v>0.56999999999999995</v>
      </c>
      <c r="D527">
        <v>0.52259999999999995</v>
      </c>
      <c r="E527">
        <v>0.54679999999999995</v>
      </c>
      <c r="F527">
        <v>1812333.6</v>
      </c>
      <c r="G527">
        <v>0</v>
      </c>
      <c r="L527" t="s">
        <v>8</v>
      </c>
      <c r="M527" t="s">
        <v>8</v>
      </c>
      <c r="N527" t="s">
        <v>8</v>
      </c>
      <c r="P527">
        <f t="shared" si="985"/>
        <v>2.109704641350213E-2</v>
      </c>
      <c r="Q527">
        <f t="shared" si="986"/>
        <v>38234.886075949405</v>
      </c>
      <c r="R527">
        <f t="shared" si="987"/>
        <v>-1718917.8532907916</v>
      </c>
      <c r="S527">
        <f t="shared" si="988"/>
        <v>-17.189178532907917</v>
      </c>
      <c r="T527">
        <f t="shared" si="989"/>
        <v>-1.7189178532907919E-2</v>
      </c>
    </row>
    <row r="528" spans="1:20" x14ac:dyDescent="0.25">
      <c r="A528" s="5">
        <v>44065</v>
      </c>
      <c r="B528">
        <v>0.53090000000000004</v>
      </c>
      <c r="C528">
        <v>0.54900000000000004</v>
      </c>
      <c r="D528">
        <v>0.47439999999999999</v>
      </c>
      <c r="E528">
        <v>0.53680000000000005</v>
      </c>
      <c r="F528">
        <v>2753726.88</v>
      </c>
      <c r="G528">
        <v>0</v>
      </c>
      <c r="L528" t="s">
        <v>7</v>
      </c>
      <c r="M528" t="s">
        <v>7</v>
      </c>
      <c r="N528" t="s">
        <v>8</v>
      </c>
      <c r="P528">
        <f t="shared" si="985"/>
        <v>0.67292225201072442</v>
      </c>
      <c r="Q528">
        <f t="shared" si="986"/>
        <v>1853044.0935120657</v>
      </c>
      <c r="R528">
        <f t="shared" si="987"/>
        <v>-1757152.7393667409</v>
      </c>
      <c r="S528">
        <f t="shared" si="988"/>
        <v>-17.571527393667409</v>
      </c>
      <c r="T528">
        <f t="shared" si="989"/>
        <v>-1.7571527393667411E-2</v>
      </c>
    </row>
    <row r="529" spans="1:20" x14ac:dyDescent="0.25">
      <c r="A529" s="5">
        <v>44064</v>
      </c>
      <c r="B529">
        <v>0.60489999999999999</v>
      </c>
      <c r="C529">
        <v>0.60770000000000002</v>
      </c>
      <c r="D529">
        <v>0.52529999999999999</v>
      </c>
      <c r="E529">
        <v>0.53100000000000003</v>
      </c>
      <c r="F529">
        <v>3212502.5</v>
      </c>
      <c r="G529">
        <v>0</v>
      </c>
      <c r="L529" t="s">
        <v>7</v>
      </c>
      <c r="M529" t="s">
        <v>7</v>
      </c>
      <c r="N529" t="s">
        <v>8</v>
      </c>
      <c r="P529">
        <f t="shared" si="985"/>
        <v>-0.86165048543689227</v>
      </c>
      <c r="Q529">
        <f t="shared" si="986"/>
        <v>-2768054.3385922299</v>
      </c>
      <c r="R529">
        <f t="shared" si="987"/>
        <v>-3610196.8328788066</v>
      </c>
      <c r="S529">
        <f t="shared" si="988"/>
        <v>-36.101968328788068</v>
      </c>
      <c r="T529">
        <f t="shared" si="989"/>
        <v>-3.6101968328788071E-2</v>
      </c>
    </row>
    <row r="530" spans="1:20" x14ac:dyDescent="0.25">
      <c r="A530" s="5">
        <v>44063</v>
      </c>
      <c r="B530">
        <v>0.57099999999999995</v>
      </c>
      <c r="C530">
        <v>0.60929999999999995</v>
      </c>
      <c r="D530">
        <v>0.55379999999999996</v>
      </c>
      <c r="E530">
        <v>0.60509999999999997</v>
      </c>
      <c r="F530">
        <v>1533842.49</v>
      </c>
      <c r="G530">
        <v>0</v>
      </c>
      <c r="L530" t="s">
        <v>8</v>
      </c>
      <c r="M530" t="s">
        <v>7</v>
      </c>
      <c r="N530" t="s">
        <v>8</v>
      </c>
      <c r="P530">
        <f t="shared" si="985"/>
        <v>0.84864864864864931</v>
      </c>
      <c r="Q530">
        <f t="shared" si="986"/>
        <v>1301693.3563783793</v>
      </c>
      <c r="R530">
        <f t="shared" si="987"/>
        <v>-842142.49428657675</v>
      </c>
      <c r="S530">
        <f t="shared" si="988"/>
        <v>-8.4214249428657677</v>
      </c>
      <c r="T530">
        <f t="shared" si="989"/>
        <v>-8.4214249428657684E-3</v>
      </c>
    </row>
    <row r="531" spans="1:20" x14ac:dyDescent="0.25">
      <c r="A531" s="5">
        <v>44062</v>
      </c>
      <c r="B531">
        <v>0.62419999999999998</v>
      </c>
      <c r="C531">
        <v>0.64</v>
      </c>
      <c r="D531">
        <v>0.53549999999999998</v>
      </c>
      <c r="E531">
        <v>0.57099999999999995</v>
      </c>
      <c r="F531">
        <v>2691273.44</v>
      </c>
      <c r="G531">
        <v>0</v>
      </c>
      <c r="L531" t="s">
        <v>7</v>
      </c>
      <c r="M531" t="s">
        <v>7</v>
      </c>
      <c r="N531" t="s">
        <v>8</v>
      </c>
      <c r="P531">
        <f t="shared" si="985"/>
        <v>-0.32057416267942657</v>
      </c>
      <c r="Q531">
        <f t="shared" si="986"/>
        <v>-862752.72956937994</v>
      </c>
      <c r="R531">
        <f t="shared" si="987"/>
        <v>-2143835.850664956</v>
      </c>
      <c r="S531">
        <f t="shared" si="988"/>
        <v>-21.438358506649561</v>
      </c>
      <c r="T531">
        <f t="shared" si="989"/>
        <v>-2.143835850664956E-2</v>
      </c>
    </row>
    <row r="532" spans="1:20" x14ac:dyDescent="0.25">
      <c r="A532" s="5">
        <v>44061</v>
      </c>
      <c r="B532">
        <v>0.60160000000000002</v>
      </c>
      <c r="C532">
        <v>0.65</v>
      </c>
      <c r="D532">
        <v>0.56950000000000001</v>
      </c>
      <c r="E532">
        <v>0.62160000000000004</v>
      </c>
      <c r="F532">
        <v>3930261.77</v>
      </c>
      <c r="G532">
        <v>0</v>
      </c>
      <c r="L532" t="s">
        <v>8</v>
      </c>
      <c r="M532" t="s">
        <v>8</v>
      </c>
      <c r="N532" t="s">
        <v>8</v>
      </c>
      <c r="P532">
        <f t="shared" si="985"/>
        <v>0.29440993788819936</v>
      </c>
      <c r="Q532">
        <f t="shared" si="986"/>
        <v>1157108.1235900645</v>
      </c>
      <c r="R532">
        <f t="shared" si="987"/>
        <v>-1281083.1210955761</v>
      </c>
      <c r="S532">
        <f t="shared" si="988"/>
        <v>-12.810831210955762</v>
      </c>
      <c r="T532">
        <f t="shared" si="989"/>
        <v>-1.2810831210955761E-2</v>
      </c>
    </row>
    <row r="533" spans="1:20" x14ac:dyDescent="0.25">
      <c r="A533" s="5">
        <v>44060</v>
      </c>
      <c r="B533">
        <v>0.54610000000000003</v>
      </c>
      <c r="C533">
        <v>0.63880000000000003</v>
      </c>
      <c r="D533">
        <v>0.53890000000000005</v>
      </c>
      <c r="E533">
        <v>0.60029999999999994</v>
      </c>
      <c r="F533">
        <v>4578250.16</v>
      </c>
      <c r="G533">
        <v>0</v>
      </c>
      <c r="L533" t="s">
        <v>8</v>
      </c>
      <c r="M533" t="s">
        <v>8</v>
      </c>
      <c r="N533" t="s">
        <v>8</v>
      </c>
      <c r="P533">
        <f t="shared" si="985"/>
        <v>0.22922922922922734</v>
      </c>
      <c r="Q533">
        <f t="shared" si="986"/>
        <v>1049468.7553953868</v>
      </c>
      <c r="R533">
        <f t="shared" si="987"/>
        <v>-2438191.2446856406</v>
      </c>
      <c r="S533">
        <f t="shared" si="988"/>
        <v>-24.381912446856404</v>
      </c>
      <c r="T533">
        <f t="shared" si="989"/>
        <v>-2.4381912446856405E-2</v>
      </c>
    </row>
    <row r="534" spans="1:20" x14ac:dyDescent="0.25">
      <c r="A534" s="5">
        <v>44059</v>
      </c>
      <c r="B534">
        <v>0.55569999999999997</v>
      </c>
      <c r="C534">
        <v>0.56000000000000005</v>
      </c>
      <c r="D534">
        <v>0.50749999999999995</v>
      </c>
      <c r="E534">
        <v>0.54890000000000005</v>
      </c>
      <c r="F534">
        <v>1768460.01</v>
      </c>
      <c r="G534">
        <v>0</v>
      </c>
      <c r="L534" t="s">
        <v>7</v>
      </c>
      <c r="M534" t="s">
        <v>7</v>
      </c>
      <c r="N534" t="s">
        <v>8</v>
      </c>
      <c r="P534">
        <f t="shared" si="985"/>
        <v>0.57714285714285807</v>
      </c>
      <c r="Q534">
        <f t="shared" si="986"/>
        <v>1020654.0629142873</v>
      </c>
      <c r="R534">
        <f t="shared" si="987"/>
        <v>-3487660.0000810274</v>
      </c>
      <c r="S534">
        <f t="shared" si="988"/>
        <v>-34.876600000810271</v>
      </c>
      <c r="T534">
        <f t="shared" si="989"/>
        <v>-3.4876600000810269E-2</v>
      </c>
    </row>
    <row r="535" spans="1:20" x14ac:dyDescent="0.25">
      <c r="A535" s="5">
        <v>44058</v>
      </c>
      <c r="B535">
        <v>0.55869999999999997</v>
      </c>
      <c r="C535">
        <v>0.57699999999999996</v>
      </c>
      <c r="D535">
        <v>0.52749999999999997</v>
      </c>
      <c r="E535">
        <v>0.55569999999999997</v>
      </c>
      <c r="F535">
        <v>1595465.37</v>
      </c>
      <c r="G535">
        <v>0</v>
      </c>
      <c r="L535" t="s">
        <v>7</v>
      </c>
      <c r="M535" t="s">
        <v>7</v>
      </c>
      <c r="N535" t="s">
        <v>8</v>
      </c>
      <c r="P535">
        <f t="shared" si="985"/>
        <v>0.13939393939393976</v>
      </c>
      <c r="Q535">
        <f t="shared" si="986"/>
        <v>222398.20309090969</v>
      </c>
      <c r="R535">
        <f t="shared" si="987"/>
        <v>-4508314.0629953146</v>
      </c>
      <c r="S535">
        <f t="shared" si="988"/>
        <v>-45.083140629953149</v>
      </c>
      <c r="T535">
        <f t="shared" si="989"/>
        <v>-4.5083140629953153E-2</v>
      </c>
    </row>
    <row r="536" spans="1:20" x14ac:dyDescent="0.25">
      <c r="A536" s="5">
        <v>44057</v>
      </c>
      <c r="B536">
        <v>0.55400000000000005</v>
      </c>
      <c r="C536">
        <v>0.58409999999999995</v>
      </c>
      <c r="D536">
        <v>0.54</v>
      </c>
      <c r="E536">
        <v>0.56079999999999997</v>
      </c>
      <c r="F536">
        <v>1854131.81</v>
      </c>
      <c r="G536">
        <v>0</v>
      </c>
      <c r="L536" t="s">
        <v>8</v>
      </c>
      <c r="M536" t="s">
        <v>8</v>
      </c>
      <c r="N536" t="s">
        <v>8</v>
      </c>
      <c r="P536">
        <f t="shared" si="985"/>
        <v>-5.6689342403629536E-2</v>
      </c>
      <c r="Q536">
        <f t="shared" si="986"/>
        <v>-105109.51303855139</v>
      </c>
      <c r="R536">
        <f t="shared" si="987"/>
        <v>-4730712.2660862245</v>
      </c>
      <c r="S536">
        <f t="shared" si="988"/>
        <v>-47.307122660862248</v>
      </c>
      <c r="T536">
        <f t="shared" si="989"/>
        <v>-4.7307122660862247E-2</v>
      </c>
    </row>
    <row r="537" spans="1:20" x14ac:dyDescent="0.25">
      <c r="A537" s="5">
        <v>44056</v>
      </c>
      <c r="B537">
        <v>0.58740000000000003</v>
      </c>
      <c r="C537">
        <v>0.59989999999999999</v>
      </c>
      <c r="D537">
        <v>0.53469999999999995</v>
      </c>
      <c r="E537">
        <v>0.55400000000000005</v>
      </c>
      <c r="F537">
        <v>3008533.85</v>
      </c>
      <c r="G537">
        <v>0</v>
      </c>
      <c r="L537" t="s">
        <v>7</v>
      </c>
      <c r="M537" t="s">
        <v>8</v>
      </c>
      <c r="N537" t="s">
        <v>8</v>
      </c>
      <c r="P537">
        <f t="shared" si="985"/>
        <v>-0.40797546012269681</v>
      </c>
      <c r="Q537">
        <f t="shared" si="986"/>
        <v>-1227407.9817484585</v>
      </c>
      <c r="R537">
        <f t="shared" si="987"/>
        <v>-4625602.753047673</v>
      </c>
      <c r="S537">
        <f t="shared" si="988"/>
        <v>-46.256027530476729</v>
      </c>
      <c r="T537">
        <f t="shared" si="989"/>
        <v>-4.625602753047673E-2</v>
      </c>
    </row>
    <row r="538" spans="1:20" x14ac:dyDescent="0.25">
      <c r="A538" s="5">
        <v>44055</v>
      </c>
      <c r="B538">
        <v>0.50239999999999996</v>
      </c>
      <c r="C538">
        <v>0.62460000000000004</v>
      </c>
      <c r="D538">
        <v>0.48620000000000002</v>
      </c>
      <c r="E538">
        <v>0.58709999999999996</v>
      </c>
      <c r="F538">
        <v>4369576.01</v>
      </c>
      <c r="G538">
        <v>0</v>
      </c>
      <c r="L538" t="s">
        <v>8</v>
      </c>
      <c r="M538" t="s">
        <v>8</v>
      </c>
      <c r="N538" t="s">
        <v>8</v>
      </c>
      <c r="P538">
        <f t="shared" si="985"/>
        <v>0.45809248554913173</v>
      </c>
      <c r="Q538">
        <f t="shared" si="986"/>
        <v>2001669.9352167577</v>
      </c>
      <c r="R538">
        <f t="shared" si="987"/>
        <v>-3398194.7712992141</v>
      </c>
      <c r="S538">
        <f t="shared" si="988"/>
        <v>-33.981947712992138</v>
      </c>
      <c r="T538">
        <f t="shared" si="989"/>
        <v>-3.3981947712992136E-2</v>
      </c>
    </row>
    <row r="539" spans="1:20" x14ac:dyDescent="0.25">
      <c r="A539" s="5">
        <v>44054</v>
      </c>
      <c r="B539">
        <v>0.56169999999999998</v>
      </c>
      <c r="C539">
        <v>0.58550000000000002</v>
      </c>
      <c r="D539">
        <v>0.47710000000000002</v>
      </c>
      <c r="E539">
        <v>0.50309999999999999</v>
      </c>
      <c r="F539">
        <v>3859968.45</v>
      </c>
      <c r="G539">
        <v>0</v>
      </c>
      <c r="L539" t="s">
        <v>7</v>
      </c>
      <c r="M539" t="s">
        <v>7</v>
      </c>
      <c r="N539" t="s">
        <v>8</v>
      </c>
      <c r="P539">
        <f t="shared" si="985"/>
        <v>-0.52029520295203013</v>
      </c>
      <c r="Q539">
        <f t="shared" si="986"/>
        <v>-2008323.0680811834</v>
      </c>
      <c r="R539">
        <f t="shared" si="987"/>
        <v>-5399864.7065159716</v>
      </c>
      <c r="S539">
        <f t="shared" si="988"/>
        <v>-53.998647065159716</v>
      </c>
      <c r="T539">
        <f t="shared" si="989"/>
        <v>-5.3998647065159715E-2</v>
      </c>
    </row>
    <row r="540" spans="1:20" x14ac:dyDescent="0.25">
      <c r="A540" s="5">
        <v>44053</v>
      </c>
      <c r="B540">
        <v>0.59570000000000001</v>
      </c>
      <c r="C540">
        <v>0.59899999999999998</v>
      </c>
      <c r="D540">
        <v>0.52200000000000002</v>
      </c>
      <c r="E540">
        <v>0.56189999999999996</v>
      </c>
      <c r="F540">
        <v>4427105.83</v>
      </c>
      <c r="G540">
        <v>0</v>
      </c>
      <c r="L540" t="s">
        <v>7</v>
      </c>
      <c r="M540" t="s">
        <v>7</v>
      </c>
      <c r="N540" t="s">
        <v>8</v>
      </c>
      <c r="P540">
        <f t="shared" si="985"/>
        <v>3.6363636363635266E-2</v>
      </c>
      <c r="Q540">
        <f t="shared" si="986"/>
        <v>160985.6665454497</v>
      </c>
      <c r="R540">
        <f t="shared" si="987"/>
        <v>-3391541.6384347882</v>
      </c>
      <c r="S540">
        <f t="shared" si="988"/>
        <v>-33.915416384347886</v>
      </c>
      <c r="T540">
        <f t="shared" si="989"/>
        <v>-3.3915416384347884E-2</v>
      </c>
    </row>
    <row r="541" spans="1:20" x14ac:dyDescent="0.25">
      <c r="A541" s="5">
        <v>44052</v>
      </c>
      <c r="B541">
        <v>0.50119999999999998</v>
      </c>
      <c r="C541">
        <v>0.65610000000000002</v>
      </c>
      <c r="D541">
        <v>0.501</v>
      </c>
      <c r="E541">
        <v>0.59499999999999997</v>
      </c>
      <c r="F541">
        <v>11158608.59</v>
      </c>
      <c r="G541">
        <v>0</v>
      </c>
      <c r="L541" t="s">
        <v>8</v>
      </c>
      <c r="M541" t="s">
        <v>8</v>
      </c>
      <c r="N541" t="s">
        <v>8</v>
      </c>
      <c r="P541">
        <f t="shared" si="985"/>
        <v>0.21212121212121166</v>
      </c>
      <c r="Q541">
        <f t="shared" si="986"/>
        <v>2366977.5796969645</v>
      </c>
      <c r="R541">
        <f t="shared" si="987"/>
        <v>-3552527.304980238</v>
      </c>
      <c r="S541">
        <f t="shared" si="988"/>
        <v>-35.525273049802379</v>
      </c>
      <c r="T541">
        <f t="shared" si="989"/>
        <v>-3.5525273049802381E-2</v>
      </c>
    </row>
    <row r="542" spans="1:20" x14ac:dyDescent="0.25">
      <c r="A542" s="5">
        <v>44051</v>
      </c>
      <c r="B542">
        <v>0.43080000000000002</v>
      </c>
      <c r="C542">
        <v>0.52080000000000004</v>
      </c>
      <c r="D542">
        <v>0.42380000000000001</v>
      </c>
      <c r="E542">
        <v>0.50319999999999998</v>
      </c>
      <c r="F542">
        <v>4495555.0999999996</v>
      </c>
      <c r="G542">
        <v>0</v>
      </c>
      <c r="L542" t="s">
        <v>8</v>
      </c>
      <c r="M542" t="s">
        <v>8</v>
      </c>
      <c r="N542" t="s">
        <v>8</v>
      </c>
      <c r="P542">
        <f t="shared" si="985"/>
        <v>0.63711340206185452</v>
      </c>
      <c r="Q542">
        <f t="shared" si="986"/>
        <v>2864178.4039175203</v>
      </c>
      <c r="R542">
        <f t="shared" si="987"/>
        <v>-5919504.8846772024</v>
      </c>
      <c r="S542">
        <f t="shared" si="988"/>
        <v>-59.195048846772025</v>
      </c>
      <c r="T542">
        <f t="shared" si="989"/>
        <v>-5.9195048846772028E-2</v>
      </c>
    </row>
    <row r="543" spans="1:20" x14ac:dyDescent="0.25">
      <c r="A543" s="5">
        <v>44050</v>
      </c>
      <c r="B543">
        <v>0.43469999999999998</v>
      </c>
      <c r="C543">
        <v>0.45</v>
      </c>
      <c r="D543">
        <v>0.41120000000000001</v>
      </c>
      <c r="E543">
        <v>0.43240000000000001</v>
      </c>
      <c r="F543">
        <v>1862016.76</v>
      </c>
      <c r="G543">
        <v>0</v>
      </c>
      <c r="L543" t="s">
        <v>7</v>
      </c>
      <c r="M543" t="s">
        <v>8</v>
      </c>
      <c r="N543" t="s">
        <v>8</v>
      </c>
      <c r="P543">
        <f t="shared" si="985"/>
        <v>9.2783505154638971E-2</v>
      </c>
      <c r="Q543">
        <f t="shared" si="986"/>
        <v>172764.44164948416</v>
      </c>
      <c r="R543">
        <f t="shared" si="987"/>
        <v>-8783683.2885947227</v>
      </c>
      <c r="S543">
        <f t="shared" si="988"/>
        <v>-87.836832885947231</v>
      </c>
      <c r="T543">
        <f t="shared" si="989"/>
        <v>-8.7836832885947236E-2</v>
      </c>
    </row>
    <row r="544" spans="1:20" x14ac:dyDescent="0.25">
      <c r="A544" s="5">
        <v>44049</v>
      </c>
      <c r="B544">
        <v>0.41520000000000001</v>
      </c>
      <c r="C544">
        <v>0.44850000000000001</v>
      </c>
      <c r="D544">
        <v>0.41</v>
      </c>
      <c r="E544">
        <v>0.43590000000000001</v>
      </c>
      <c r="F544">
        <v>2266465.7999999998</v>
      </c>
      <c r="G544">
        <v>0</v>
      </c>
      <c r="L544" t="s">
        <v>8</v>
      </c>
      <c r="M544" t="s">
        <v>8</v>
      </c>
      <c r="N544" t="s">
        <v>8</v>
      </c>
      <c r="P544">
        <f t="shared" si="985"/>
        <v>0.34545454545454601</v>
      </c>
      <c r="Q544">
        <f t="shared" si="986"/>
        <v>782960.91272727388</v>
      </c>
      <c r="R544">
        <f t="shared" si="987"/>
        <v>-8956447.7302442063</v>
      </c>
      <c r="S544">
        <f t="shared" si="988"/>
        <v>-89.564477302442057</v>
      </c>
      <c r="T544">
        <f t="shared" si="989"/>
        <v>-8.9564477302442061E-2</v>
      </c>
    </row>
    <row r="545" spans="1:20" x14ac:dyDescent="0.25">
      <c r="A545" s="5">
        <v>44048</v>
      </c>
      <c r="B545">
        <v>0.40560000000000002</v>
      </c>
      <c r="C545">
        <v>0.4224</v>
      </c>
      <c r="D545">
        <v>0.40300000000000002</v>
      </c>
      <c r="E545">
        <v>0.41499999999999998</v>
      </c>
      <c r="F545">
        <v>1549056.11</v>
      </c>
      <c r="G545">
        <v>0</v>
      </c>
      <c r="L545" t="s">
        <v>8</v>
      </c>
      <c r="M545" t="s">
        <v>8</v>
      </c>
      <c r="N545" t="s">
        <v>8</v>
      </c>
      <c r="P545">
        <f t="shared" si="985"/>
        <v>0.23711340206185277</v>
      </c>
      <c r="Q545">
        <f t="shared" si="986"/>
        <v>367301.96422679967</v>
      </c>
      <c r="R545">
        <f t="shared" si="987"/>
        <v>-9739408.6429714803</v>
      </c>
      <c r="S545">
        <f t="shared" si="988"/>
        <v>-97.394086429714804</v>
      </c>
      <c r="T545">
        <f t="shared" si="989"/>
        <v>-9.739408642971481E-2</v>
      </c>
    </row>
    <row r="546" spans="1:20" x14ac:dyDescent="0.25">
      <c r="A546" s="5">
        <v>44047</v>
      </c>
      <c r="B546">
        <v>0.39789999999999998</v>
      </c>
      <c r="C546">
        <v>0.41270000000000001</v>
      </c>
      <c r="D546">
        <v>0.39510000000000001</v>
      </c>
      <c r="E546">
        <v>0.40560000000000002</v>
      </c>
      <c r="F546">
        <v>981864.43</v>
      </c>
      <c r="G546">
        <v>0</v>
      </c>
      <c r="L546" t="s">
        <v>7</v>
      </c>
      <c r="M546" t="s">
        <v>8</v>
      </c>
      <c r="N546" t="s">
        <v>8</v>
      </c>
      <c r="P546">
        <f t="shared" si="985"/>
        <v>0.19318181818181893</v>
      </c>
      <c r="Q546">
        <f t="shared" si="986"/>
        <v>189678.35579545528</v>
      </c>
      <c r="R546">
        <f t="shared" si="987"/>
        <v>-10106710.607198279</v>
      </c>
      <c r="S546">
        <f t="shared" si="988"/>
        <v>-101.06710607198279</v>
      </c>
      <c r="T546">
        <f t="shared" si="989"/>
        <v>-0.1010671060719828</v>
      </c>
    </row>
    <row r="547" spans="1:20" x14ac:dyDescent="0.25">
      <c r="A547" s="5">
        <v>44046</v>
      </c>
      <c r="B547">
        <v>0.39879999999999999</v>
      </c>
      <c r="C547">
        <v>0.40699999999999997</v>
      </c>
      <c r="D547">
        <v>0.38890000000000002</v>
      </c>
      <c r="E547">
        <v>0.39589999999999997</v>
      </c>
      <c r="F547">
        <v>1384752.69</v>
      </c>
      <c r="G547">
        <v>0</v>
      </c>
      <c r="L547" t="s">
        <v>7</v>
      </c>
      <c r="M547" t="s">
        <v>8</v>
      </c>
      <c r="N547" t="s">
        <v>8</v>
      </c>
      <c r="P547">
        <f t="shared" si="985"/>
        <v>-0.22651933701657787</v>
      </c>
      <c r="Q547">
        <f t="shared" si="986"/>
        <v>-313673.26127072278</v>
      </c>
      <c r="R547">
        <f t="shared" si="987"/>
        <v>-10296388.962993735</v>
      </c>
      <c r="S547">
        <f t="shared" si="988"/>
        <v>-102.96388962993736</v>
      </c>
      <c r="T547">
        <f t="shared" si="989"/>
        <v>-0.10296388962993736</v>
      </c>
    </row>
    <row r="548" spans="1:20" x14ac:dyDescent="0.25">
      <c r="A548" s="5">
        <v>44045</v>
      </c>
      <c r="B548">
        <v>0.41620000000000001</v>
      </c>
      <c r="C548">
        <v>0.44090000000000001</v>
      </c>
      <c r="D548">
        <v>0.38640000000000002</v>
      </c>
      <c r="E548">
        <v>0.3987</v>
      </c>
      <c r="F548">
        <v>2325234.17</v>
      </c>
      <c r="G548">
        <v>0</v>
      </c>
      <c r="L548" t="s">
        <v>8</v>
      </c>
      <c r="M548" t="s">
        <v>8</v>
      </c>
      <c r="N548" t="s">
        <v>8</v>
      </c>
      <c r="P548">
        <f t="shared" si="985"/>
        <v>-0.54862385321100993</v>
      </c>
      <c r="Q548">
        <f t="shared" si="986"/>
        <v>-1275678.9299633044</v>
      </c>
      <c r="R548">
        <f t="shared" si="987"/>
        <v>-9982715.7017230131</v>
      </c>
      <c r="S548">
        <f t="shared" si="988"/>
        <v>-99.827157017230135</v>
      </c>
      <c r="T548">
        <f t="shared" si="989"/>
        <v>-9.9827157017230134E-2</v>
      </c>
    </row>
    <row r="549" spans="1:20" x14ac:dyDescent="0.25">
      <c r="A549" s="5">
        <v>44044</v>
      </c>
      <c r="B549">
        <v>0.40529999999999999</v>
      </c>
      <c r="C549">
        <v>0.41799999999999998</v>
      </c>
      <c r="D549">
        <v>0.39700000000000002</v>
      </c>
      <c r="E549">
        <v>0.41660000000000003</v>
      </c>
      <c r="F549">
        <v>1450644.32</v>
      </c>
      <c r="G549">
        <v>0</v>
      </c>
      <c r="L549" t="s">
        <v>8</v>
      </c>
      <c r="M549" t="s">
        <v>7</v>
      </c>
      <c r="N549" t="s">
        <v>8</v>
      </c>
      <c r="P549">
        <f t="shared" si="985"/>
        <v>0.86666666666667058</v>
      </c>
      <c r="Q549">
        <f t="shared" si="986"/>
        <v>1257225.077333339</v>
      </c>
      <c r="R549">
        <f t="shared" si="987"/>
        <v>-8707036.7717597093</v>
      </c>
      <c r="S549">
        <f t="shared" si="988"/>
        <v>-87.070367717597094</v>
      </c>
      <c r="T549">
        <f t="shared" si="989"/>
        <v>-8.7070367717597089E-2</v>
      </c>
    </row>
    <row r="550" spans="1:20" x14ac:dyDescent="0.25">
      <c r="A550" s="5">
        <v>44043</v>
      </c>
      <c r="B550">
        <v>0.39950000000000002</v>
      </c>
      <c r="C550">
        <v>0.40710000000000002</v>
      </c>
      <c r="D550">
        <v>0.39029999999999998</v>
      </c>
      <c r="E550">
        <v>0.40529999999999999</v>
      </c>
      <c r="F550">
        <v>819648.36</v>
      </c>
      <c r="G550">
        <v>0</v>
      </c>
      <c r="L550" t="s">
        <v>8</v>
      </c>
      <c r="M550" t="s">
        <v>7</v>
      </c>
      <c r="N550" t="s">
        <v>8</v>
      </c>
      <c r="P550">
        <f t="shared" si="985"/>
        <v>0.78571428571428337</v>
      </c>
      <c r="Q550">
        <f t="shared" si="986"/>
        <v>644009.42571428383</v>
      </c>
      <c r="R550">
        <f t="shared" si="987"/>
        <v>-9964261.8490930479</v>
      </c>
      <c r="S550">
        <f t="shared" si="988"/>
        <v>-99.642618490930474</v>
      </c>
      <c r="T550">
        <f t="shared" si="989"/>
        <v>-9.9642618490930479E-2</v>
      </c>
    </row>
    <row r="551" spans="1:20" x14ac:dyDescent="0.25">
      <c r="A551" s="5">
        <v>44042</v>
      </c>
      <c r="B551">
        <v>0.3957</v>
      </c>
      <c r="C551">
        <v>0.41420000000000001</v>
      </c>
      <c r="D551">
        <v>0.38979999999999998</v>
      </c>
      <c r="E551">
        <v>0.39839999999999998</v>
      </c>
      <c r="F551">
        <v>1174321.96</v>
      </c>
      <c r="G551">
        <v>0</v>
      </c>
      <c r="L551" t="s">
        <v>8</v>
      </c>
      <c r="M551" t="s">
        <v>7</v>
      </c>
      <c r="N551" t="s">
        <v>8</v>
      </c>
      <c r="P551">
        <f t="shared" si="985"/>
        <v>-0.29508196721311597</v>
      </c>
      <c r="Q551">
        <f t="shared" si="986"/>
        <v>-346521.2340983621</v>
      </c>
      <c r="R551">
        <f t="shared" si="987"/>
        <v>-10608271.274807332</v>
      </c>
      <c r="S551">
        <f t="shared" si="988"/>
        <v>-106.08271274807332</v>
      </c>
      <c r="T551">
        <f t="shared" si="989"/>
        <v>-0.10608271274807332</v>
      </c>
    </row>
    <row r="552" spans="1:20" x14ac:dyDescent="0.25">
      <c r="A552" s="5">
        <v>44041</v>
      </c>
      <c r="B552">
        <v>0.40350000000000003</v>
      </c>
      <c r="C552">
        <v>0.41610000000000003</v>
      </c>
      <c r="D552">
        <v>0.39100000000000001</v>
      </c>
      <c r="E552">
        <v>0.39460000000000001</v>
      </c>
      <c r="F552">
        <v>1018937.6</v>
      </c>
      <c r="G552">
        <v>0</v>
      </c>
      <c r="L552" t="s">
        <v>8</v>
      </c>
      <c r="M552" t="s">
        <v>7</v>
      </c>
      <c r="N552" t="s">
        <v>8</v>
      </c>
      <c r="P552">
        <f t="shared" si="985"/>
        <v>-0.71314741035856655</v>
      </c>
      <c r="Q552">
        <f t="shared" si="986"/>
        <v>-726652.7107569729</v>
      </c>
      <c r="R552">
        <f t="shared" si="987"/>
        <v>-10261750.04070897</v>
      </c>
      <c r="S552">
        <f t="shared" si="988"/>
        <v>-102.61750040708971</v>
      </c>
      <c r="T552">
        <f t="shared" si="989"/>
        <v>-0.10261750040708971</v>
      </c>
    </row>
    <row r="553" spans="1:20" x14ac:dyDescent="0.25">
      <c r="A553" s="5">
        <v>44040</v>
      </c>
      <c r="B553">
        <v>0.38419999999999999</v>
      </c>
      <c r="C553">
        <v>0.41599999999999998</v>
      </c>
      <c r="D553">
        <v>0.38350000000000001</v>
      </c>
      <c r="E553">
        <v>0.40560000000000002</v>
      </c>
      <c r="F553">
        <v>1982683.98</v>
      </c>
      <c r="G553">
        <v>0</v>
      </c>
      <c r="L553" t="s">
        <v>8</v>
      </c>
      <c r="M553" t="s">
        <v>7</v>
      </c>
      <c r="N553" t="s">
        <v>8</v>
      </c>
      <c r="P553">
        <f t="shared" si="985"/>
        <v>0.36000000000000165</v>
      </c>
      <c r="Q553">
        <f t="shared" si="986"/>
        <v>713766.23280000326</v>
      </c>
      <c r="R553">
        <f t="shared" si="987"/>
        <v>-9535097.3299519978</v>
      </c>
      <c r="S553">
        <f t="shared" si="988"/>
        <v>-95.350973299519978</v>
      </c>
      <c r="T553">
        <f t="shared" si="989"/>
        <v>-9.5350973299519984E-2</v>
      </c>
    </row>
    <row r="554" spans="1:20" x14ac:dyDescent="0.25">
      <c r="A554" s="5">
        <v>44039</v>
      </c>
      <c r="B554">
        <v>0.41830000000000001</v>
      </c>
      <c r="C554">
        <v>0.42070000000000002</v>
      </c>
      <c r="D554">
        <v>0.36</v>
      </c>
      <c r="E554">
        <v>0.38500000000000001</v>
      </c>
      <c r="F554">
        <v>4334844.3899999997</v>
      </c>
      <c r="G554">
        <v>0</v>
      </c>
      <c r="L554" t="s">
        <v>7</v>
      </c>
      <c r="M554" t="s">
        <v>7</v>
      </c>
      <c r="N554" t="s">
        <v>8</v>
      </c>
      <c r="P554">
        <f t="shared" si="985"/>
        <v>-0.17627677100494205</v>
      </c>
      <c r="Q554">
        <f t="shared" si="986"/>
        <v>-764132.37187808764</v>
      </c>
      <c r="R554">
        <f t="shared" si="987"/>
        <v>-10248863.562752001</v>
      </c>
      <c r="S554">
        <f t="shared" si="988"/>
        <v>-102.48863562752001</v>
      </c>
      <c r="T554">
        <f t="shared" si="989"/>
        <v>-0.10248863562752002</v>
      </c>
    </row>
    <row r="555" spans="1:20" x14ac:dyDescent="0.25">
      <c r="A555" s="5">
        <v>44038</v>
      </c>
      <c r="B555">
        <v>0.45629999999999998</v>
      </c>
      <c r="C555">
        <v>0.46050000000000002</v>
      </c>
      <c r="D555">
        <v>0.40200000000000002</v>
      </c>
      <c r="E555">
        <v>0.41830000000000001</v>
      </c>
      <c r="F555">
        <v>3253768.43</v>
      </c>
      <c r="G555">
        <v>0</v>
      </c>
      <c r="L555" t="s">
        <v>7</v>
      </c>
      <c r="M555" t="s">
        <v>7</v>
      </c>
      <c r="N555" t="s">
        <v>8</v>
      </c>
      <c r="P555">
        <f t="shared" si="985"/>
        <v>-0.44273504273504333</v>
      </c>
      <c r="Q555">
        <f t="shared" si="986"/>
        <v>-1440557.304905985</v>
      </c>
      <c r="R555">
        <f t="shared" si="987"/>
        <v>-9484731.1908739135</v>
      </c>
      <c r="S555">
        <f t="shared" si="988"/>
        <v>-94.84731190873913</v>
      </c>
      <c r="T555">
        <f t="shared" si="989"/>
        <v>-9.4847311908739129E-2</v>
      </c>
    </row>
    <row r="556" spans="1:20" x14ac:dyDescent="0.25">
      <c r="A556" s="5">
        <v>44037</v>
      </c>
      <c r="B556">
        <v>0.44800000000000001</v>
      </c>
      <c r="C556">
        <v>0.48520000000000002</v>
      </c>
      <c r="D556">
        <v>0.43290000000000001</v>
      </c>
      <c r="E556">
        <v>0.45629999999999998</v>
      </c>
      <c r="F556">
        <v>3127690.75</v>
      </c>
      <c r="G556">
        <v>0</v>
      </c>
      <c r="L556" t="s">
        <v>8</v>
      </c>
      <c r="M556" t="s">
        <v>8</v>
      </c>
      <c r="N556" t="s">
        <v>8</v>
      </c>
      <c r="P556">
        <f t="shared" si="985"/>
        <v>-0.10516252390057475</v>
      </c>
      <c r="Q556">
        <f t="shared" si="986"/>
        <v>-328915.85325048154</v>
      </c>
      <c r="R556">
        <f t="shared" si="987"/>
        <v>-8044173.8859679289</v>
      </c>
      <c r="S556">
        <f t="shared" si="988"/>
        <v>-80.44173885967929</v>
      </c>
      <c r="T556">
        <f t="shared" si="989"/>
        <v>-8.0441738859679285E-2</v>
      </c>
    </row>
    <row r="557" spans="1:20" x14ac:dyDescent="0.25">
      <c r="A557" s="5">
        <v>44036</v>
      </c>
      <c r="B557">
        <v>0.43020000000000003</v>
      </c>
      <c r="C557">
        <v>0.47560000000000002</v>
      </c>
      <c r="D557">
        <v>0.41370000000000001</v>
      </c>
      <c r="E557">
        <v>0.44779999999999998</v>
      </c>
      <c r="F557">
        <v>5722471.04</v>
      </c>
      <c r="G557">
        <v>0</v>
      </c>
      <c r="L557" t="s">
        <v>8</v>
      </c>
      <c r="M557" t="s">
        <v>8</v>
      </c>
      <c r="N557" t="s">
        <v>8</v>
      </c>
      <c r="P557">
        <f t="shared" si="985"/>
        <v>0.10177705977382739</v>
      </c>
      <c r="Q557">
        <f t="shared" si="986"/>
        <v>582416.27709207626</v>
      </c>
      <c r="R557">
        <f t="shared" si="987"/>
        <v>-7715258.0327174477</v>
      </c>
      <c r="S557">
        <f t="shared" si="988"/>
        <v>-77.152580327174476</v>
      </c>
      <c r="T557">
        <f t="shared" si="989"/>
        <v>-7.715258032717448E-2</v>
      </c>
    </row>
    <row r="558" spans="1:20" x14ac:dyDescent="0.25">
      <c r="A558" s="5">
        <v>44035</v>
      </c>
      <c r="B558">
        <v>0.39340000000000003</v>
      </c>
      <c r="C558">
        <v>0.45950000000000002</v>
      </c>
      <c r="D558">
        <v>0.38729999999999998</v>
      </c>
      <c r="E558">
        <v>0.42959999999999998</v>
      </c>
      <c r="F558">
        <v>4997383.58</v>
      </c>
      <c r="G558">
        <v>0</v>
      </c>
      <c r="L558" t="s">
        <v>8</v>
      </c>
      <c r="M558" t="s">
        <v>8</v>
      </c>
      <c r="N558" t="s">
        <v>7</v>
      </c>
      <c r="P558">
        <f t="shared" si="985"/>
        <v>0.17174515235457008</v>
      </c>
      <c r="Q558">
        <f t="shared" si="986"/>
        <v>858276.40432132687</v>
      </c>
      <c r="R558">
        <f t="shared" si="987"/>
        <v>-8297674.3098095236</v>
      </c>
      <c r="S558">
        <f t="shared" si="988"/>
        <v>-82.976743098095241</v>
      </c>
      <c r="T558">
        <f t="shared" si="989"/>
        <v>-8.2976743098095246E-2</v>
      </c>
    </row>
    <row r="559" spans="1:20" x14ac:dyDescent="0.25">
      <c r="A559" s="5">
        <v>44034</v>
      </c>
      <c r="B559">
        <v>0.3846</v>
      </c>
      <c r="C559">
        <v>0.40129999999999999</v>
      </c>
      <c r="D559">
        <v>0.37959999999999999</v>
      </c>
      <c r="E559">
        <v>0.39050000000000001</v>
      </c>
      <c r="F559">
        <v>1967051.22</v>
      </c>
      <c r="G559">
        <v>0</v>
      </c>
      <c r="L559" t="s">
        <v>8</v>
      </c>
      <c r="M559" t="s">
        <v>7</v>
      </c>
      <c r="N559" t="s">
        <v>7</v>
      </c>
      <c r="P559">
        <f t="shared" si="985"/>
        <v>4.6082949308776273E-3</v>
      </c>
      <c r="Q559">
        <f t="shared" si="986"/>
        <v>9064.7521659026515</v>
      </c>
      <c r="R559">
        <f t="shared" si="987"/>
        <v>-9155950.7141308505</v>
      </c>
      <c r="S559">
        <f t="shared" si="988"/>
        <v>-91.559507141308501</v>
      </c>
      <c r="T559">
        <f t="shared" si="989"/>
        <v>-9.1559507141308505E-2</v>
      </c>
    </row>
    <row r="560" spans="1:20" x14ac:dyDescent="0.25">
      <c r="A560" s="5">
        <v>44033</v>
      </c>
      <c r="B560">
        <v>0.38579999999999998</v>
      </c>
      <c r="C560">
        <v>0.39750000000000002</v>
      </c>
      <c r="D560">
        <v>0.37880000000000003</v>
      </c>
      <c r="E560">
        <v>0.38429999999999997</v>
      </c>
      <c r="F560">
        <v>1362004.1</v>
      </c>
      <c r="G560">
        <v>0</v>
      </c>
      <c r="L560" t="s">
        <v>8</v>
      </c>
      <c r="M560" t="s">
        <v>7</v>
      </c>
      <c r="N560" t="s">
        <v>7</v>
      </c>
      <c r="P560">
        <f t="shared" si="985"/>
        <v>-0.4117647058823582</v>
      </c>
      <c r="Q560">
        <f t="shared" si="986"/>
        <v>-560825.21764706599</v>
      </c>
      <c r="R560">
        <f t="shared" si="987"/>
        <v>-9165015.4662967529</v>
      </c>
      <c r="S560">
        <f t="shared" si="988"/>
        <v>-91.650154662967523</v>
      </c>
      <c r="T560">
        <f t="shared" si="989"/>
        <v>-9.1650154662967526E-2</v>
      </c>
    </row>
    <row r="561" spans="1:104" x14ac:dyDescent="0.25">
      <c r="A561" s="5">
        <v>44032</v>
      </c>
      <c r="B561">
        <v>0.37109999999999999</v>
      </c>
      <c r="C561">
        <v>0.3952</v>
      </c>
      <c r="D561">
        <v>0.36809999999999998</v>
      </c>
      <c r="E561">
        <v>0.38690000000000002</v>
      </c>
      <c r="F561">
        <v>1659591.75</v>
      </c>
      <c r="G561">
        <v>0</v>
      </c>
      <c r="L561" t="s">
        <v>8</v>
      </c>
      <c r="M561" t="s">
        <v>7</v>
      </c>
      <c r="N561" t="s">
        <v>7</v>
      </c>
      <c r="P561">
        <f t="shared" si="985"/>
        <v>0.38745387453874758</v>
      </c>
      <c r="Q561">
        <f t="shared" si="986"/>
        <v>643015.25369004055</v>
      </c>
      <c r="R561">
        <f t="shared" si="987"/>
        <v>-8604190.2486496866</v>
      </c>
      <c r="S561">
        <f t="shared" si="988"/>
        <v>-86.041902486496866</v>
      </c>
      <c r="T561">
        <f t="shared" si="989"/>
        <v>-8.604190248649686E-2</v>
      </c>
      <c r="CZ561" t="s">
        <v>7</v>
      </c>
    </row>
    <row r="562" spans="1:104" x14ac:dyDescent="0.25">
      <c r="A562" s="5">
        <v>44031</v>
      </c>
      <c r="B562">
        <v>0.37040000000000001</v>
      </c>
      <c r="C562">
        <v>0.373</v>
      </c>
      <c r="D562">
        <v>0.36020000000000002</v>
      </c>
      <c r="E562">
        <v>0.37119999999999997</v>
      </c>
      <c r="F562">
        <v>968792.49</v>
      </c>
      <c r="G562">
        <v>0</v>
      </c>
      <c r="L562" t="s">
        <v>8</v>
      </c>
      <c r="M562" t="s">
        <v>7</v>
      </c>
      <c r="N562" t="s">
        <v>7</v>
      </c>
      <c r="P562">
        <f t="shared" si="985"/>
        <v>0.71874999999999578</v>
      </c>
      <c r="Q562">
        <f t="shared" si="986"/>
        <v>696319.60218749591</v>
      </c>
      <c r="R562">
        <f t="shared" si="987"/>
        <v>-9247205.5023397263</v>
      </c>
      <c r="S562">
        <f t="shared" si="988"/>
        <v>-92.47205502339726</v>
      </c>
      <c r="T562">
        <f t="shared" si="989"/>
        <v>-9.2472055023397254E-2</v>
      </c>
      <c r="CZ562" t="s">
        <v>7</v>
      </c>
    </row>
    <row r="563" spans="1:104" x14ac:dyDescent="0.25">
      <c r="A563" s="5">
        <v>44030</v>
      </c>
      <c r="B563">
        <v>0.35399999999999998</v>
      </c>
      <c r="C563">
        <v>0.37380000000000002</v>
      </c>
      <c r="D563">
        <v>0.35020000000000001</v>
      </c>
      <c r="E563">
        <v>0.37240000000000001</v>
      </c>
      <c r="F563">
        <v>1001610.61</v>
      </c>
      <c r="G563">
        <v>0</v>
      </c>
      <c r="L563" t="s">
        <v>8</v>
      </c>
      <c r="M563" t="s">
        <v>7</v>
      </c>
      <c r="N563" t="s">
        <v>7</v>
      </c>
      <c r="P563">
        <f t="shared" si="985"/>
        <v>0.88135593220338881</v>
      </c>
      <c r="Q563">
        <f t="shared" si="986"/>
        <v>882775.45288135496</v>
      </c>
      <c r="R563">
        <f t="shared" si="987"/>
        <v>-9943525.104527222</v>
      </c>
      <c r="S563">
        <f t="shared" si="988"/>
        <v>-99.435251045272224</v>
      </c>
      <c r="T563">
        <f t="shared" si="989"/>
        <v>-9.9435251045272219E-2</v>
      </c>
      <c r="CZ563" t="s">
        <v>7</v>
      </c>
    </row>
    <row r="564" spans="1:104" x14ac:dyDescent="0.25">
      <c r="A564" s="5">
        <v>44029</v>
      </c>
      <c r="B564">
        <v>0.35210000000000002</v>
      </c>
      <c r="C564">
        <v>0.36780000000000002</v>
      </c>
      <c r="D564">
        <v>0.34510000000000002</v>
      </c>
      <c r="E564">
        <v>0.35489999999999999</v>
      </c>
      <c r="F564">
        <v>1163630.03</v>
      </c>
      <c r="G564">
        <v>0</v>
      </c>
      <c r="L564" t="s">
        <v>7</v>
      </c>
      <c r="M564" t="s">
        <v>7</v>
      </c>
      <c r="N564" t="s">
        <v>7</v>
      </c>
      <c r="P564">
        <f t="shared" si="985"/>
        <v>-0.13656387665198447</v>
      </c>
      <c r="Q564">
        <f t="shared" si="986"/>
        <v>-158909.827885465</v>
      </c>
      <c r="R564">
        <f t="shared" si="987"/>
        <v>-10826300.557408577</v>
      </c>
      <c r="S564">
        <f t="shared" si="988"/>
        <v>-108.26300557408577</v>
      </c>
      <c r="T564">
        <f t="shared" si="989"/>
        <v>-0.10826300557408576</v>
      </c>
    </row>
    <row r="565" spans="1:104" x14ac:dyDescent="0.25">
      <c r="A565" s="5">
        <v>44028</v>
      </c>
      <c r="B565">
        <v>0.36849999999999999</v>
      </c>
      <c r="C565">
        <v>0.37459999999999999</v>
      </c>
      <c r="D565">
        <v>0.34499999999999997</v>
      </c>
      <c r="E565">
        <v>0.35010000000000002</v>
      </c>
      <c r="F565">
        <v>1748037.92</v>
      </c>
      <c r="G565">
        <v>0</v>
      </c>
      <c r="L565" t="s">
        <v>7</v>
      </c>
      <c r="M565" t="s">
        <v>7</v>
      </c>
      <c r="N565" t="s">
        <v>7</v>
      </c>
      <c r="P565">
        <f t="shared" si="985"/>
        <v>-0.65540540540540226</v>
      </c>
      <c r="Q565">
        <f t="shared" si="986"/>
        <v>-1145673.5016216161</v>
      </c>
      <c r="R565">
        <f t="shared" si="987"/>
        <v>-10667390.729523111</v>
      </c>
      <c r="S565">
        <f t="shared" si="988"/>
        <v>-106.67390729523112</v>
      </c>
      <c r="T565">
        <f t="shared" si="989"/>
        <v>-0.10667390729523112</v>
      </c>
    </row>
    <row r="566" spans="1:104" x14ac:dyDescent="0.25">
      <c r="A566" s="5">
        <v>44027</v>
      </c>
      <c r="B566">
        <v>0.38</v>
      </c>
      <c r="C566">
        <v>0.38800000000000001</v>
      </c>
      <c r="D566">
        <v>0.36380000000000001</v>
      </c>
      <c r="E566">
        <v>0.36849999999999999</v>
      </c>
      <c r="F566">
        <v>799551.36</v>
      </c>
      <c r="G566">
        <v>0</v>
      </c>
      <c r="L566" t="s">
        <v>7</v>
      </c>
      <c r="M566" t="s">
        <v>8</v>
      </c>
      <c r="N566" t="s">
        <v>7</v>
      </c>
      <c r="P566">
        <f t="shared" si="985"/>
        <v>-0.61157024793388581</v>
      </c>
      <c r="Q566">
        <f t="shared" si="986"/>
        <v>-488981.82347107556</v>
      </c>
      <c r="R566">
        <f t="shared" si="987"/>
        <v>-9521717.227901496</v>
      </c>
      <c r="S566">
        <f t="shared" si="988"/>
        <v>-95.21717227901496</v>
      </c>
      <c r="T566">
        <f t="shared" si="989"/>
        <v>-9.5217172279014967E-2</v>
      </c>
    </row>
    <row r="567" spans="1:104" x14ac:dyDescent="0.25">
      <c r="A567" s="5">
        <v>44026</v>
      </c>
      <c r="B567">
        <v>0.38350000000000001</v>
      </c>
      <c r="C567">
        <v>0.38740000000000002</v>
      </c>
      <c r="D567">
        <v>0.374</v>
      </c>
      <c r="E567">
        <v>0.38109999999999999</v>
      </c>
      <c r="F567">
        <v>864854.39</v>
      </c>
      <c r="G567">
        <v>0</v>
      </c>
      <c r="L567" t="s">
        <v>7</v>
      </c>
      <c r="M567" t="s">
        <v>8</v>
      </c>
      <c r="N567" t="s">
        <v>7</v>
      </c>
      <c r="P567">
        <f t="shared" si="985"/>
        <v>5.9701492537310899E-2</v>
      </c>
      <c r="Q567">
        <f t="shared" si="986"/>
        <v>51633.097910445569</v>
      </c>
      <c r="R567">
        <f t="shared" si="987"/>
        <v>-9032735.4044304211</v>
      </c>
      <c r="S567">
        <f t="shared" si="988"/>
        <v>-90.327354044304215</v>
      </c>
      <c r="T567">
        <f t="shared" si="989"/>
        <v>-9.0327354044304212E-2</v>
      </c>
    </row>
    <row r="568" spans="1:104" x14ac:dyDescent="0.25">
      <c r="A568" s="5">
        <v>44025</v>
      </c>
      <c r="B568">
        <v>0.39950000000000002</v>
      </c>
      <c r="C568">
        <v>0.40379999999999999</v>
      </c>
      <c r="D568">
        <v>0.38</v>
      </c>
      <c r="E568">
        <v>0.38350000000000001</v>
      </c>
      <c r="F568">
        <v>1127562.1399999999</v>
      </c>
      <c r="G568">
        <v>0</v>
      </c>
      <c r="L568" t="s">
        <v>7</v>
      </c>
      <c r="M568" t="s">
        <v>8</v>
      </c>
      <c r="N568" t="s">
        <v>7</v>
      </c>
      <c r="P568">
        <f t="shared" si="985"/>
        <v>-0.70588235294117607</v>
      </c>
      <c r="Q568">
        <f t="shared" si="986"/>
        <v>-795926.21647058777</v>
      </c>
      <c r="R568">
        <f t="shared" si="987"/>
        <v>-9084368.5023408663</v>
      </c>
      <c r="S568">
        <f t="shared" si="988"/>
        <v>-90.843685023408668</v>
      </c>
      <c r="T568">
        <f t="shared" si="989"/>
        <v>-9.0843685023408671E-2</v>
      </c>
    </row>
    <row r="569" spans="1:104" x14ac:dyDescent="0.25">
      <c r="A569" s="5">
        <v>44024</v>
      </c>
      <c r="B569">
        <v>0.40160000000000001</v>
      </c>
      <c r="C569">
        <v>0.4078</v>
      </c>
      <c r="D569">
        <v>0.39</v>
      </c>
      <c r="E569">
        <v>0.39960000000000001</v>
      </c>
      <c r="F569">
        <v>738199.98</v>
      </c>
      <c r="G569">
        <v>0</v>
      </c>
      <c r="L569" t="s">
        <v>7</v>
      </c>
      <c r="M569" t="s">
        <v>8</v>
      </c>
      <c r="N569" t="s">
        <v>7</v>
      </c>
      <c r="P569">
        <f t="shared" si="985"/>
        <v>7.8651685393259202E-2</v>
      </c>
      <c r="Q569">
        <f t="shared" si="986"/>
        <v>58060.672584270236</v>
      </c>
      <c r="R569">
        <f t="shared" si="987"/>
        <v>-8288442.2858702792</v>
      </c>
      <c r="S569">
        <f t="shared" si="988"/>
        <v>-82.884422858702791</v>
      </c>
      <c r="T569">
        <f t="shared" si="989"/>
        <v>-8.2884422858702789E-2</v>
      </c>
    </row>
    <row r="570" spans="1:104" x14ac:dyDescent="0.25">
      <c r="A570" s="5">
        <v>44023</v>
      </c>
      <c r="B570">
        <v>0.40500000000000003</v>
      </c>
      <c r="C570">
        <v>0.40970000000000001</v>
      </c>
      <c r="D570">
        <v>0.39550000000000002</v>
      </c>
      <c r="E570">
        <v>0.4027</v>
      </c>
      <c r="F570">
        <v>661662.76</v>
      </c>
      <c r="G570">
        <v>0</v>
      </c>
      <c r="L570" t="s">
        <v>7</v>
      </c>
      <c r="M570" t="s">
        <v>8</v>
      </c>
      <c r="N570" t="s">
        <v>7</v>
      </c>
      <c r="P570">
        <f t="shared" si="985"/>
        <v>1.4084507042251979E-2</v>
      </c>
      <c r="Q570">
        <f t="shared" si="986"/>
        <v>9319.193802815882</v>
      </c>
      <c r="R570">
        <f t="shared" si="987"/>
        <v>-8346502.9584545493</v>
      </c>
      <c r="S570">
        <f t="shared" si="988"/>
        <v>-83.465029584545491</v>
      </c>
      <c r="T570">
        <f t="shared" si="989"/>
        <v>-8.3465029584545491E-2</v>
      </c>
    </row>
    <row r="571" spans="1:104" x14ac:dyDescent="0.25">
      <c r="A571" s="5">
        <v>44022</v>
      </c>
      <c r="B571">
        <v>0.4017</v>
      </c>
      <c r="C571">
        <v>0.40989999999999999</v>
      </c>
      <c r="D571">
        <v>0.38</v>
      </c>
      <c r="E571">
        <v>0.40579999999999999</v>
      </c>
      <c r="F571">
        <v>974052.9</v>
      </c>
      <c r="G571">
        <v>0</v>
      </c>
      <c r="L571" t="s">
        <v>7</v>
      </c>
      <c r="M571" t="s">
        <v>8</v>
      </c>
      <c r="N571" t="s">
        <v>7</v>
      </c>
      <c r="P571">
        <f t="shared" si="985"/>
        <v>0.72575250836120431</v>
      </c>
      <c r="Q571">
        <f t="shared" si="986"/>
        <v>706921.33545150526</v>
      </c>
      <c r="R571">
        <f t="shared" si="987"/>
        <v>-8355822.1522573652</v>
      </c>
      <c r="S571">
        <f t="shared" si="988"/>
        <v>-83.558221522573646</v>
      </c>
      <c r="T571">
        <f t="shared" si="989"/>
        <v>-8.3558221522573653E-2</v>
      </c>
    </row>
    <row r="572" spans="1:104" x14ac:dyDescent="0.25">
      <c r="A572" s="5">
        <v>44021</v>
      </c>
      <c r="B572">
        <v>0.4113</v>
      </c>
      <c r="C572">
        <v>0.41849999999999998</v>
      </c>
      <c r="D572">
        <v>0.38700000000000001</v>
      </c>
      <c r="E572">
        <v>0.4017</v>
      </c>
      <c r="F572">
        <v>1199871.58</v>
      </c>
      <c r="G572">
        <v>0</v>
      </c>
      <c r="L572" t="s">
        <v>8</v>
      </c>
      <c r="M572" t="s">
        <v>8</v>
      </c>
      <c r="N572" t="s">
        <v>7</v>
      </c>
      <c r="P572">
        <f t="shared" si="985"/>
        <v>-6.666666666666643E-2</v>
      </c>
      <c r="Q572">
        <f t="shared" si="986"/>
        <v>-79991.438666666392</v>
      </c>
      <c r="R572">
        <f t="shared" si="987"/>
        <v>-9062743.4877088703</v>
      </c>
      <c r="S572">
        <f t="shared" si="988"/>
        <v>-90.627434877088703</v>
      </c>
      <c r="T572">
        <f t="shared" si="989"/>
        <v>-9.06274348770887E-2</v>
      </c>
    </row>
    <row r="573" spans="1:104" x14ac:dyDescent="0.25">
      <c r="A573" s="5">
        <v>44020</v>
      </c>
      <c r="B573">
        <v>0.38840000000000002</v>
      </c>
      <c r="C573">
        <v>0.41699999999999998</v>
      </c>
      <c r="D573">
        <v>0.38390000000000002</v>
      </c>
      <c r="E573">
        <v>0.41139999999999999</v>
      </c>
      <c r="F573">
        <v>1284716.8</v>
      </c>
      <c r="G573">
        <v>0</v>
      </c>
      <c r="L573" t="s">
        <v>8</v>
      </c>
      <c r="M573" t="s">
        <v>8</v>
      </c>
      <c r="N573" t="s">
        <v>7</v>
      </c>
      <c r="P573">
        <f t="shared" si="985"/>
        <v>0.66163141993957708</v>
      </c>
      <c r="Q573">
        <f t="shared" si="986"/>
        <v>850009.00060422975</v>
      </c>
      <c r="R573">
        <f t="shared" si="987"/>
        <v>-8982752.0490422044</v>
      </c>
      <c r="S573">
        <f t="shared" si="988"/>
        <v>-89.827520490422046</v>
      </c>
      <c r="T573">
        <f t="shared" si="989"/>
        <v>-8.9827520490422044E-2</v>
      </c>
    </row>
    <row r="574" spans="1:104" x14ac:dyDescent="0.25">
      <c r="A574" s="5">
        <v>44019</v>
      </c>
      <c r="B574">
        <v>0.39489999999999997</v>
      </c>
      <c r="C574">
        <v>0.3987</v>
      </c>
      <c r="D574">
        <v>0.38519999999999999</v>
      </c>
      <c r="E574">
        <v>0.38829999999999998</v>
      </c>
      <c r="F574">
        <v>661480.27</v>
      </c>
      <c r="G574">
        <v>0</v>
      </c>
      <c r="L574" t="s">
        <v>8</v>
      </c>
      <c r="M574" t="s">
        <v>7</v>
      </c>
      <c r="N574" t="s">
        <v>7</v>
      </c>
      <c r="P574">
        <f t="shared" si="985"/>
        <v>-0.54074074074074241</v>
      </c>
      <c r="Q574">
        <f t="shared" si="986"/>
        <v>-357689.33118518628</v>
      </c>
      <c r="R574">
        <f t="shared" si="987"/>
        <v>-9832761.0496464334</v>
      </c>
      <c r="S574">
        <f t="shared" si="988"/>
        <v>-98.327610496464331</v>
      </c>
      <c r="T574">
        <f t="shared" si="989"/>
        <v>-9.8327610496464338E-2</v>
      </c>
    </row>
    <row r="575" spans="1:104" x14ac:dyDescent="0.25">
      <c r="A575" s="5">
        <v>44018</v>
      </c>
      <c r="B575">
        <v>0.3634</v>
      </c>
      <c r="C575">
        <v>0.4</v>
      </c>
      <c r="D575">
        <v>0.36309999999999998</v>
      </c>
      <c r="E575">
        <v>0.39489999999999997</v>
      </c>
      <c r="F575">
        <v>1001234.32</v>
      </c>
      <c r="G575">
        <v>0</v>
      </c>
      <c r="L575" t="s">
        <v>8</v>
      </c>
      <c r="M575" t="s">
        <v>7</v>
      </c>
      <c r="N575" t="s">
        <v>7</v>
      </c>
      <c r="P575">
        <f t="shared" si="985"/>
        <v>0.72357723577235544</v>
      </c>
      <c r="Q575">
        <f t="shared" si="986"/>
        <v>724470.361626014</v>
      </c>
      <c r="R575">
        <f t="shared" si="987"/>
        <v>-9475071.7184612472</v>
      </c>
      <c r="S575">
        <f t="shared" si="988"/>
        <v>-94.750717184612469</v>
      </c>
      <c r="T575">
        <f t="shared" si="989"/>
        <v>-9.4750717184612462E-2</v>
      </c>
    </row>
    <row r="576" spans="1:104" x14ac:dyDescent="0.25">
      <c r="A576" s="5">
        <v>44017</v>
      </c>
      <c r="B576">
        <v>0.38019999999999998</v>
      </c>
      <c r="C576">
        <v>0.38429999999999997</v>
      </c>
      <c r="D576">
        <v>0.35160000000000002</v>
      </c>
      <c r="E576">
        <v>0.36349999999999999</v>
      </c>
      <c r="F576">
        <v>926277.38</v>
      </c>
      <c r="G576">
        <v>0</v>
      </c>
      <c r="L576" t="s">
        <v>7</v>
      </c>
      <c r="M576" t="s">
        <v>7</v>
      </c>
      <c r="N576" t="s">
        <v>7</v>
      </c>
      <c r="P576">
        <f t="shared" si="985"/>
        <v>-0.27217125382263097</v>
      </c>
      <c r="Q576">
        <f t="shared" si="986"/>
        <v>-252106.0759021416</v>
      </c>
      <c r="R576">
        <f t="shared" si="987"/>
        <v>-10199542.080087261</v>
      </c>
      <c r="S576">
        <f t="shared" si="988"/>
        <v>-101.99542080087261</v>
      </c>
      <c r="T576">
        <f t="shared" si="989"/>
        <v>-0.10199542080087261</v>
      </c>
    </row>
    <row r="577" spans="1:20" x14ac:dyDescent="0.25">
      <c r="A577" s="5">
        <v>44016</v>
      </c>
      <c r="B577">
        <v>0.37130000000000002</v>
      </c>
      <c r="C577">
        <v>0.39400000000000002</v>
      </c>
      <c r="D577">
        <v>0.36899999999999999</v>
      </c>
      <c r="E577">
        <v>0.38019999999999998</v>
      </c>
      <c r="F577">
        <v>1585714.09</v>
      </c>
      <c r="G577">
        <v>0</v>
      </c>
      <c r="L577" t="s">
        <v>7</v>
      </c>
      <c r="M577" t="s">
        <v>7</v>
      </c>
      <c r="N577" t="s">
        <v>7</v>
      </c>
      <c r="P577">
        <f t="shared" si="985"/>
        <v>-0.10400000000000177</v>
      </c>
      <c r="Q577">
        <f t="shared" si="986"/>
        <v>-164914.26536000281</v>
      </c>
      <c r="R577">
        <f t="shared" si="987"/>
        <v>-9947436.0041851196</v>
      </c>
      <c r="S577">
        <f t="shared" si="988"/>
        <v>-99.474360041851199</v>
      </c>
      <c r="T577">
        <f t="shared" si="989"/>
        <v>-9.9474360041851201E-2</v>
      </c>
    </row>
    <row r="578" spans="1:20" x14ac:dyDescent="0.25">
      <c r="A578" s="5">
        <v>44015</v>
      </c>
      <c r="B578">
        <v>0.38440000000000002</v>
      </c>
      <c r="C578">
        <v>0.38629999999999998</v>
      </c>
      <c r="D578">
        <v>0.36799999999999999</v>
      </c>
      <c r="E578">
        <v>0.3705</v>
      </c>
      <c r="F578">
        <v>920038.36</v>
      </c>
      <c r="G578">
        <v>0</v>
      </c>
      <c r="L578" t="s">
        <v>7</v>
      </c>
      <c r="M578" t="s">
        <v>7</v>
      </c>
      <c r="N578" t="s">
        <v>7</v>
      </c>
      <c r="P578">
        <f t="shared" si="985"/>
        <v>-0.72677595628415248</v>
      </c>
      <c r="Q578">
        <f t="shared" si="986"/>
        <v>-668661.75890710333</v>
      </c>
      <c r="R578">
        <f t="shared" si="987"/>
        <v>-9782521.7388251163</v>
      </c>
      <c r="S578">
        <f t="shared" si="988"/>
        <v>-97.825217388251161</v>
      </c>
      <c r="T578">
        <f t="shared" si="989"/>
        <v>-9.7825217388251159E-2</v>
      </c>
    </row>
    <row r="579" spans="1:20" x14ac:dyDescent="0.25">
      <c r="A579" s="5">
        <v>44014</v>
      </c>
      <c r="B579">
        <v>0.39140000000000003</v>
      </c>
      <c r="C579">
        <v>0.39979999999999999</v>
      </c>
      <c r="D579">
        <v>0.36559999999999998</v>
      </c>
      <c r="E579">
        <v>0.38440000000000002</v>
      </c>
      <c r="F579">
        <v>1929724.3</v>
      </c>
      <c r="G579">
        <v>0</v>
      </c>
      <c r="L579" t="s">
        <v>7</v>
      </c>
      <c r="M579" t="s">
        <v>7</v>
      </c>
      <c r="N579" t="s">
        <v>7</v>
      </c>
      <c r="P579">
        <f t="shared" si="985"/>
        <v>9.941520467836458E-2</v>
      </c>
      <c r="Q579">
        <f t="shared" si="986"/>
        <v>191843.93625731382</v>
      </c>
      <c r="R579">
        <f t="shared" si="987"/>
        <v>-9113859.9799180124</v>
      </c>
      <c r="S579">
        <f t="shared" si="988"/>
        <v>-91.138599799180128</v>
      </c>
      <c r="T579">
        <f t="shared" si="989"/>
        <v>-9.1138599799180126E-2</v>
      </c>
    </row>
    <row r="580" spans="1:20" x14ac:dyDescent="0.25">
      <c r="A580" s="5">
        <v>44013</v>
      </c>
      <c r="B580">
        <v>0.41060000000000002</v>
      </c>
      <c r="C580">
        <v>0.41270000000000001</v>
      </c>
      <c r="D580">
        <v>0.38819999999999999</v>
      </c>
      <c r="E580">
        <v>0.39140000000000003</v>
      </c>
      <c r="F580">
        <v>1391007.89</v>
      </c>
      <c r="G580">
        <v>0</v>
      </c>
      <c r="L580" t="s">
        <v>7</v>
      </c>
      <c r="M580" t="s">
        <v>7</v>
      </c>
      <c r="N580" t="s">
        <v>7</v>
      </c>
      <c r="P580">
        <f t="shared" si="985"/>
        <v>-0.73877551020407894</v>
      </c>
      <c r="Q580">
        <f t="shared" si="986"/>
        <v>-1027642.5636326493</v>
      </c>
      <c r="R580">
        <f t="shared" si="987"/>
        <v>-9305703.9161753263</v>
      </c>
      <c r="S580">
        <f t="shared" si="988"/>
        <v>-93.057039161753266</v>
      </c>
      <c r="T580">
        <f t="shared" si="989"/>
        <v>-9.3057039161753272E-2</v>
      </c>
    </row>
    <row r="581" spans="1:20" x14ac:dyDescent="0.25">
      <c r="A581" s="5">
        <v>44012</v>
      </c>
      <c r="B581">
        <v>0.4209</v>
      </c>
      <c r="C581">
        <v>0.42959999999999998</v>
      </c>
      <c r="D581">
        <v>0.40629999999999999</v>
      </c>
      <c r="E581">
        <v>0.41139999999999999</v>
      </c>
      <c r="F581">
        <v>1127892.72</v>
      </c>
      <c r="G581">
        <v>0</v>
      </c>
      <c r="L581" t="s">
        <v>7</v>
      </c>
      <c r="M581" t="s">
        <v>7</v>
      </c>
      <c r="N581" t="s">
        <v>7</v>
      </c>
      <c r="P581">
        <f t="shared" si="985"/>
        <v>-0.56223175965665273</v>
      </c>
      <c r="Q581">
        <f t="shared" si="986"/>
        <v>-634137.10866952827</v>
      </c>
      <c r="R581">
        <f t="shared" si="987"/>
        <v>-8278061.3525426779</v>
      </c>
      <c r="S581">
        <f t="shared" si="988"/>
        <v>-82.780613525426773</v>
      </c>
      <c r="T581">
        <f t="shared" si="989"/>
        <v>-8.2780613525426774E-2</v>
      </c>
    </row>
    <row r="582" spans="1:20" x14ac:dyDescent="0.25">
      <c r="A582" s="5">
        <v>44011</v>
      </c>
      <c r="B582">
        <v>0.43669999999999998</v>
      </c>
      <c r="C582">
        <v>0.44</v>
      </c>
      <c r="D582">
        <v>0.40570000000000001</v>
      </c>
      <c r="E582">
        <v>0.42</v>
      </c>
      <c r="F582">
        <v>1446776.69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90">IF(C582=D582,0,((E582-D582)-(C582-E582))/(C582-D582))</f>
        <v>-0.16618075801749385</v>
      </c>
      <c r="Q582">
        <f t="shared" ref="Q582:Q645" si="991">F582*P582</f>
        <v>-240426.4470262407</v>
      </c>
      <c r="R582">
        <f t="shared" ref="R582:R645" si="992">R583+Q582</f>
        <v>-7643924.2438731501</v>
      </c>
      <c r="S582">
        <f t="shared" ref="S582:S645" si="993">R582/100000</f>
        <v>-76.439242438731497</v>
      </c>
      <c r="T582">
        <f t="shared" ref="T582:T645" si="994">S582/1000</f>
        <v>-7.64392424387315E-2</v>
      </c>
    </row>
    <row r="583" spans="1:20" x14ac:dyDescent="0.25">
      <c r="A583" s="5">
        <v>44010</v>
      </c>
      <c r="B583">
        <v>0.43719999999999998</v>
      </c>
      <c r="C583">
        <v>0.45550000000000002</v>
      </c>
      <c r="D583">
        <v>0.4158</v>
      </c>
      <c r="E583">
        <v>0.43969999999999998</v>
      </c>
      <c r="F583">
        <v>1390998.39</v>
      </c>
      <c r="G583">
        <v>0</v>
      </c>
      <c r="L583" t="s">
        <v>7</v>
      </c>
      <c r="M583" t="s">
        <v>7</v>
      </c>
      <c r="N583" t="s">
        <v>7</v>
      </c>
      <c r="P583">
        <f t="shared" si="990"/>
        <v>0.20403022670025034</v>
      </c>
      <c r="Q583">
        <f t="shared" si="991"/>
        <v>283805.71685138321</v>
      </c>
      <c r="R583">
        <f t="shared" si="992"/>
        <v>-7403497.7968469094</v>
      </c>
      <c r="S583">
        <f t="shared" si="993"/>
        <v>-74.034977968469093</v>
      </c>
      <c r="T583">
        <f t="shared" si="994"/>
        <v>-7.4034977968469098E-2</v>
      </c>
    </row>
    <row r="584" spans="1:20" x14ac:dyDescent="0.25">
      <c r="A584" s="5">
        <v>44009</v>
      </c>
      <c r="B584">
        <v>0.49519999999999997</v>
      </c>
      <c r="C584">
        <v>0.49559999999999998</v>
      </c>
      <c r="D584">
        <v>0.42</v>
      </c>
      <c r="E584">
        <v>0.43719999999999998</v>
      </c>
      <c r="F584">
        <v>2219950.0800000001</v>
      </c>
      <c r="G584">
        <v>0</v>
      </c>
      <c r="L584" t="s">
        <v>7</v>
      </c>
      <c r="M584" t="s">
        <v>7</v>
      </c>
      <c r="N584" t="s">
        <v>7</v>
      </c>
      <c r="P584">
        <f t="shared" si="990"/>
        <v>-0.54497354497354511</v>
      </c>
      <c r="Q584">
        <f t="shared" si="991"/>
        <v>-1209814.064761905</v>
      </c>
      <c r="R584">
        <f t="shared" si="992"/>
        <v>-7687303.5136982929</v>
      </c>
      <c r="S584">
        <f t="shared" si="993"/>
        <v>-76.873035136982935</v>
      </c>
      <c r="T584">
        <f t="shared" si="994"/>
        <v>-7.6873035136982931E-2</v>
      </c>
    </row>
    <row r="585" spans="1:20" x14ac:dyDescent="0.25">
      <c r="A585" s="5">
        <v>44008</v>
      </c>
      <c r="B585">
        <v>0.50290000000000001</v>
      </c>
      <c r="C585">
        <v>0.53500000000000003</v>
      </c>
      <c r="D585">
        <v>0.48349999999999999</v>
      </c>
      <c r="E585">
        <v>0.49519999999999997</v>
      </c>
      <c r="F585">
        <v>5056155.28</v>
      </c>
      <c r="G585">
        <v>0</v>
      </c>
      <c r="L585" t="s">
        <v>8</v>
      </c>
      <c r="M585" t="s">
        <v>8</v>
      </c>
      <c r="N585" t="s">
        <v>8</v>
      </c>
      <c r="P585">
        <f t="shared" si="990"/>
        <v>-0.54563106796116589</v>
      </c>
      <c r="Q585">
        <f t="shared" si="991"/>
        <v>-2758795.4052038877</v>
      </c>
      <c r="R585">
        <f t="shared" si="992"/>
        <v>-6477489.4489363879</v>
      </c>
      <c r="S585">
        <f t="shared" si="993"/>
        <v>-64.774894489363874</v>
      </c>
      <c r="T585">
        <f t="shared" si="994"/>
        <v>-6.4774894489363868E-2</v>
      </c>
    </row>
    <row r="586" spans="1:20" x14ac:dyDescent="0.25">
      <c r="A586" s="5">
        <v>44007</v>
      </c>
      <c r="B586">
        <v>0.4819</v>
      </c>
      <c r="C586">
        <v>0.50600000000000001</v>
      </c>
      <c r="D586">
        <v>0.45150000000000001</v>
      </c>
      <c r="E586">
        <v>0.50049999999999994</v>
      </c>
      <c r="F586">
        <v>1924137.38</v>
      </c>
      <c r="G586">
        <v>0</v>
      </c>
      <c r="L586" t="s">
        <v>7</v>
      </c>
      <c r="M586" t="s">
        <v>8</v>
      </c>
      <c r="N586" t="s">
        <v>8</v>
      </c>
      <c r="P586">
        <f t="shared" si="990"/>
        <v>0.79816513761467667</v>
      </c>
      <c r="Q586">
        <f t="shared" si="991"/>
        <v>1535779.3766972434</v>
      </c>
      <c r="R586">
        <f t="shared" si="992"/>
        <v>-3718694.0437325006</v>
      </c>
      <c r="S586">
        <f t="shared" si="993"/>
        <v>-37.186940437325006</v>
      </c>
      <c r="T586">
        <f t="shared" si="994"/>
        <v>-3.7186940437325004E-2</v>
      </c>
    </row>
    <row r="587" spans="1:20" x14ac:dyDescent="0.25">
      <c r="A587" s="5">
        <v>44006</v>
      </c>
      <c r="B587">
        <v>0.49320000000000003</v>
      </c>
      <c r="C587">
        <v>0.49580000000000002</v>
      </c>
      <c r="D587">
        <v>0.46200000000000002</v>
      </c>
      <c r="E587">
        <v>0.47939999999999999</v>
      </c>
      <c r="F587">
        <v>1420676.79</v>
      </c>
      <c r="G587">
        <v>0</v>
      </c>
      <c r="L587" t="s">
        <v>7</v>
      </c>
      <c r="M587" t="s">
        <v>8</v>
      </c>
      <c r="N587" t="s">
        <v>8</v>
      </c>
      <c r="P587">
        <f t="shared" si="990"/>
        <v>2.9585798816566432E-2</v>
      </c>
      <c r="Q587">
        <f t="shared" si="991"/>
        <v>42031.857692305399</v>
      </c>
      <c r="R587">
        <f t="shared" si="992"/>
        <v>-5254473.4204297438</v>
      </c>
      <c r="S587">
        <f t="shared" si="993"/>
        <v>-52.544734204297441</v>
      </c>
      <c r="T587">
        <f t="shared" si="994"/>
        <v>-5.2544734204297443E-2</v>
      </c>
    </row>
    <row r="588" spans="1:20" x14ac:dyDescent="0.25">
      <c r="A588" s="5">
        <v>44005</v>
      </c>
      <c r="B588">
        <v>0.49030000000000001</v>
      </c>
      <c r="C588">
        <v>0.497</v>
      </c>
      <c r="D588">
        <v>0.48199999999999998</v>
      </c>
      <c r="E588">
        <v>0.49159999999999998</v>
      </c>
      <c r="F588">
        <v>624864.16</v>
      </c>
      <c r="G588">
        <v>0</v>
      </c>
      <c r="L588" t="s">
        <v>7</v>
      </c>
      <c r="M588" t="s">
        <v>8</v>
      </c>
      <c r="N588" t="s">
        <v>8</v>
      </c>
      <c r="P588">
        <f t="shared" si="990"/>
        <v>0.27999999999999853</v>
      </c>
      <c r="Q588">
        <f t="shared" si="991"/>
        <v>174961.96479999908</v>
      </c>
      <c r="R588">
        <f t="shared" si="992"/>
        <v>-5296505.2781220488</v>
      </c>
      <c r="S588">
        <f t="shared" si="993"/>
        <v>-52.965052781220486</v>
      </c>
      <c r="T588">
        <f t="shared" si="994"/>
        <v>-5.2965052781220483E-2</v>
      </c>
    </row>
    <row r="589" spans="1:20" x14ac:dyDescent="0.25">
      <c r="A589" s="5">
        <v>44004</v>
      </c>
      <c r="B589">
        <v>0.49109999999999998</v>
      </c>
      <c r="C589">
        <v>0.50090000000000001</v>
      </c>
      <c r="D589">
        <v>0.47549999999999998</v>
      </c>
      <c r="E589">
        <v>0.49030000000000001</v>
      </c>
      <c r="F589">
        <v>1276604.58</v>
      </c>
      <c r="G589">
        <v>0</v>
      </c>
      <c r="L589" t="s">
        <v>7</v>
      </c>
      <c r="M589" t="s">
        <v>8</v>
      </c>
      <c r="N589" t="s">
        <v>8</v>
      </c>
      <c r="P589">
        <f t="shared" si="990"/>
        <v>0.16535433070866265</v>
      </c>
      <c r="Q589">
        <f t="shared" si="991"/>
        <v>211092.09590551339</v>
      </c>
      <c r="R589">
        <f t="shared" si="992"/>
        <v>-5471467.2429220481</v>
      </c>
      <c r="S589">
        <f t="shared" si="993"/>
        <v>-54.714672429220478</v>
      </c>
      <c r="T589">
        <f t="shared" si="994"/>
        <v>-5.4714672429220478E-2</v>
      </c>
    </row>
    <row r="590" spans="1:20" x14ac:dyDescent="0.25">
      <c r="A590" s="5">
        <v>44003</v>
      </c>
      <c r="B590">
        <v>0.49080000000000001</v>
      </c>
      <c r="C590">
        <v>0.50800000000000001</v>
      </c>
      <c r="D590">
        <v>0.48880000000000001</v>
      </c>
      <c r="E590">
        <v>0.48920000000000002</v>
      </c>
      <c r="F590">
        <v>652945.39</v>
      </c>
      <c r="G590">
        <v>0</v>
      </c>
      <c r="L590" t="s">
        <v>7</v>
      </c>
      <c r="M590" t="s">
        <v>8</v>
      </c>
      <c r="N590" t="s">
        <v>8</v>
      </c>
      <c r="P590">
        <f t="shared" si="990"/>
        <v>-0.95833333333333215</v>
      </c>
      <c r="Q590">
        <f t="shared" si="991"/>
        <v>-625739.33208333259</v>
      </c>
      <c r="R590">
        <f t="shared" si="992"/>
        <v>-5682559.3388275616</v>
      </c>
      <c r="S590">
        <f t="shared" si="993"/>
        <v>-56.825593388275614</v>
      </c>
      <c r="T590">
        <f t="shared" si="994"/>
        <v>-5.6825593388275614E-2</v>
      </c>
    </row>
    <row r="591" spans="1:20" x14ac:dyDescent="0.25">
      <c r="A591" s="5">
        <v>44002</v>
      </c>
      <c r="B591">
        <v>0.50309999999999999</v>
      </c>
      <c r="C591">
        <v>0.51939999999999997</v>
      </c>
      <c r="D591">
        <v>0.48509999999999998</v>
      </c>
      <c r="E591">
        <v>0.49099999999999999</v>
      </c>
      <c r="F591">
        <v>1640802.88</v>
      </c>
      <c r="G591">
        <v>0</v>
      </c>
      <c r="L591" t="s">
        <v>7</v>
      </c>
      <c r="M591" t="s">
        <v>8</v>
      </c>
      <c r="N591" t="s">
        <v>8</v>
      </c>
      <c r="P591">
        <f t="shared" si="990"/>
        <v>-0.6559766763848387</v>
      </c>
      <c r="Q591">
        <f t="shared" si="991"/>
        <v>-1076328.4198250712</v>
      </c>
      <c r="R591">
        <f t="shared" si="992"/>
        <v>-5056820.0067442292</v>
      </c>
      <c r="S591">
        <f t="shared" si="993"/>
        <v>-50.568200067442291</v>
      </c>
      <c r="T591">
        <f t="shared" si="994"/>
        <v>-5.0568200067442289E-2</v>
      </c>
    </row>
    <row r="592" spans="1:20" x14ac:dyDescent="0.25">
      <c r="A592" s="5">
        <v>44001</v>
      </c>
      <c r="B592">
        <v>0.49509999999999998</v>
      </c>
      <c r="C592">
        <v>0.53</v>
      </c>
      <c r="D592">
        <v>0.48070000000000002</v>
      </c>
      <c r="E592">
        <v>0.50419999999999998</v>
      </c>
      <c r="F592">
        <v>2300086</v>
      </c>
      <c r="G592">
        <v>0</v>
      </c>
      <c r="L592" t="s">
        <v>8</v>
      </c>
      <c r="M592" t="s">
        <v>8</v>
      </c>
      <c r="N592" t="s">
        <v>8</v>
      </c>
      <c r="P592">
        <f t="shared" si="990"/>
        <v>-4.665314401622879E-2</v>
      </c>
      <c r="Q592">
        <f t="shared" si="991"/>
        <v>-107306.2434077116</v>
      </c>
      <c r="R592">
        <f t="shared" si="992"/>
        <v>-3980491.5869191578</v>
      </c>
      <c r="S592">
        <f t="shared" si="993"/>
        <v>-39.804915869191575</v>
      </c>
      <c r="T592">
        <f t="shared" si="994"/>
        <v>-3.9804915869191576E-2</v>
      </c>
    </row>
    <row r="593" spans="1:20" x14ac:dyDescent="0.25">
      <c r="A593" s="5">
        <v>44000</v>
      </c>
      <c r="B593">
        <v>0.46929999999999999</v>
      </c>
      <c r="C593">
        <v>0.505</v>
      </c>
      <c r="D593">
        <v>0.46160000000000001</v>
      </c>
      <c r="E593">
        <v>0.49790000000000001</v>
      </c>
      <c r="F593">
        <v>1943047.64</v>
      </c>
      <c r="G593">
        <v>0</v>
      </c>
      <c r="L593" t="s">
        <v>8</v>
      </c>
      <c r="M593" t="s">
        <v>7</v>
      </c>
      <c r="N593" t="s">
        <v>8</v>
      </c>
      <c r="P593">
        <f t="shared" si="990"/>
        <v>0.6728110599078343</v>
      </c>
      <c r="Q593">
        <f t="shared" si="991"/>
        <v>1307303.9421198161</v>
      </c>
      <c r="R593">
        <f t="shared" si="992"/>
        <v>-3873185.3435114464</v>
      </c>
      <c r="S593">
        <f t="shared" si="993"/>
        <v>-38.731853435114466</v>
      </c>
      <c r="T593">
        <f t="shared" si="994"/>
        <v>-3.8731853435114469E-2</v>
      </c>
    </row>
    <row r="594" spans="1:20" x14ac:dyDescent="0.25">
      <c r="A594" s="5">
        <v>43999</v>
      </c>
      <c r="B594">
        <v>0.4783</v>
      </c>
      <c r="C594">
        <v>0.4824</v>
      </c>
      <c r="D594">
        <v>0.45100000000000001</v>
      </c>
      <c r="E594">
        <v>0.47070000000000001</v>
      </c>
      <c r="F594">
        <v>698665.39</v>
      </c>
      <c r="G594">
        <v>0</v>
      </c>
      <c r="L594" t="s">
        <v>7</v>
      </c>
      <c r="M594" t="s">
        <v>7</v>
      </c>
      <c r="N594" t="s">
        <v>8</v>
      </c>
      <c r="P594">
        <f t="shared" si="990"/>
        <v>0.25477707006369466</v>
      </c>
      <c r="Q594">
        <f t="shared" si="991"/>
        <v>178003.92101910856</v>
      </c>
      <c r="R594">
        <f t="shared" si="992"/>
        <v>-5180489.2856312627</v>
      </c>
      <c r="S594">
        <f t="shared" si="993"/>
        <v>-51.804892856312627</v>
      </c>
      <c r="T594">
        <f t="shared" si="994"/>
        <v>-5.180489285631263E-2</v>
      </c>
    </row>
    <row r="595" spans="1:20" x14ac:dyDescent="0.25">
      <c r="A595" s="5">
        <v>43998</v>
      </c>
      <c r="B595">
        <v>0.48370000000000002</v>
      </c>
      <c r="C595">
        <v>0.49419999999999997</v>
      </c>
      <c r="D595">
        <v>0.47060000000000002</v>
      </c>
      <c r="E595">
        <v>0.47620000000000001</v>
      </c>
      <c r="F595">
        <v>849625.17</v>
      </c>
      <c r="G595">
        <v>0</v>
      </c>
      <c r="L595" t="s">
        <v>8</v>
      </c>
      <c r="M595" t="s">
        <v>7</v>
      </c>
      <c r="N595" t="s">
        <v>8</v>
      </c>
      <c r="P595">
        <f t="shared" si="990"/>
        <v>-0.52542372881355892</v>
      </c>
      <c r="Q595">
        <f t="shared" si="991"/>
        <v>-446413.22491525393</v>
      </c>
      <c r="R595">
        <f t="shared" si="992"/>
        <v>-5358493.2066503717</v>
      </c>
      <c r="S595">
        <f t="shared" si="993"/>
        <v>-53.584932066503718</v>
      </c>
      <c r="T595">
        <f t="shared" si="994"/>
        <v>-5.3584932066503721E-2</v>
      </c>
    </row>
    <row r="596" spans="1:20" x14ac:dyDescent="0.25">
      <c r="A596" s="5">
        <v>43997</v>
      </c>
      <c r="B596">
        <v>0.48099999999999998</v>
      </c>
      <c r="C596">
        <v>0.49320000000000003</v>
      </c>
      <c r="D596">
        <v>0.42549999999999999</v>
      </c>
      <c r="E596">
        <v>0.47939999999999999</v>
      </c>
      <c r="F596">
        <v>2338145.85</v>
      </c>
      <c r="G596">
        <v>0</v>
      </c>
      <c r="L596" t="s">
        <v>7</v>
      </c>
      <c r="M596" t="s">
        <v>7</v>
      </c>
      <c r="N596" t="s">
        <v>8</v>
      </c>
      <c r="P596">
        <f t="shared" si="990"/>
        <v>0.5923190546528796</v>
      </c>
      <c r="Q596">
        <f t="shared" si="991"/>
        <v>1384928.3395125538</v>
      </c>
      <c r="R596">
        <f t="shared" si="992"/>
        <v>-4912079.9817351177</v>
      </c>
      <c r="S596">
        <f t="shared" si="993"/>
        <v>-49.120799817351177</v>
      </c>
      <c r="T596">
        <f t="shared" si="994"/>
        <v>-4.912079981735118E-2</v>
      </c>
    </row>
    <row r="597" spans="1:20" x14ac:dyDescent="0.25">
      <c r="A597" s="5">
        <v>43996</v>
      </c>
      <c r="B597">
        <v>0.496</v>
      </c>
      <c r="C597">
        <v>0.51500000000000001</v>
      </c>
      <c r="D597">
        <v>0.46489999999999998</v>
      </c>
      <c r="E597">
        <v>0.47849999999999998</v>
      </c>
      <c r="F597">
        <v>1601510</v>
      </c>
      <c r="G597">
        <v>0</v>
      </c>
      <c r="L597" t="s">
        <v>8</v>
      </c>
      <c r="M597" t="s">
        <v>8</v>
      </c>
      <c r="N597" t="s">
        <v>8</v>
      </c>
      <c r="P597">
        <f t="shared" si="990"/>
        <v>-0.45708582834331368</v>
      </c>
      <c r="Q597">
        <f t="shared" si="991"/>
        <v>-732027.52495010034</v>
      </c>
      <c r="R597">
        <f t="shared" si="992"/>
        <v>-6297008.3212476717</v>
      </c>
      <c r="S597">
        <f t="shared" si="993"/>
        <v>-62.970083212476716</v>
      </c>
      <c r="T597">
        <f t="shared" si="994"/>
        <v>-6.2970083212476713E-2</v>
      </c>
    </row>
    <row r="598" spans="1:20" x14ac:dyDescent="0.25">
      <c r="A598" s="5">
        <v>43995</v>
      </c>
      <c r="B598">
        <v>0.46779999999999999</v>
      </c>
      <c r="C598">
        <v>0.50629999999999997</v>
      </c>
      <c r="D598">
        <v>0.45</v>
      </c>
      <c r="E598">
        <v>0.49490000000000001</v>
      </c>
      <c r="F598">
        <v>1831517.6</v>
      </c>
      <c r="G598">
        <v>0</v>
      </c>
      <c r="L598" t="s">
        <v>8</v>
      </c>
      <c r="M598" t="s">
        <v>8</v>
      </c>
      <c r="N598" t="s">
        <v>8</v>
      </c>
      <c r="P598">
        <f t="shared" si="990"/>
        <v>0.5950266429840152</v>
      </c>
      <c r="Q598">
        <f t="shared" si="991"/>
        <v>1089801.7690941405</v>
      </c>
      <c r="R598">
        <f t="shared" si="992"/>
        <v>-5564980.7962975716</v>
      </c>
      <c r="S598">
        <f t="shared" si="993"/>
        <v>-55.649807962975714</v>
      </c>
      <c r="T598">
        <f t="shared" si="994"/>
        <v>-5.5649807962975716E-2</v>
      </c>
    </row>
    <row r="599" spans="1:20" x14ac:dyDescent="0.25">
      <c r="A599" s="5">
        <v>43994</v>
      </c>
      <c r="B599">
        <v>0.44690000000000002</v>
      </c>
      <c r="C599">
        <v>0.48599999999999999</v>
      </c>
      <c r="D599">
        <v>0.43330000000000002</v>
      </c>
      <c r="E599">
        <v>0.46710000000000002</v>
      </c>
      <c r="F599">
        <v>1316594.5900000001</v>
      </c>
      <c r="G599">
        <v>0</v>
      </c>
      <c r="L599" t="s">
        <v>8</v>
      </c>
      <c r="M599" t="s">
        <v>7</v>
      </c>
      <c r="N599" t="s">
        <v>8</v>
      </c>
      <c r="P599">
        <f t="shared" si="990"/>
        <v>0.28273244781783746</v>
      </c>
      <c r="Q599">
        <f t="shared" si="991"/>
        <v>372244.01121442212</v>
      </c>
      <c r="R599">
        <f t="shared" si="992"/>
        <v>-6654782.5653917119</v>
      </c>
      <c r="S599">
        <f t="shared" si="993"/>
        <v>-66.547825653917116</v>
      </c>
      <c r="T599">
        <f t="shared" si="994"/>
        <v>-6.654782565391712E-2</v>
      </c>
    </row>
    <row r="600" spans="1:20" x14ac:dyDescent="0.25">
      <c r="A600" s="5">
        <v>43993</v>
      </c>
      <c r="B600">
        <v>0.50439999999999996</v>
      </c>
      <c r="C600">
        <v>0.51829999999999998</v>
      </c>
      <c r="D600">
        <v>0.4284</v>
      </c>
      <c r="E600">
        <v>0.44869999999999999</v>
      </c>
      <c r="F600">
        <v>2656450.9900000002</v>
      </c>
      <c r="G600">
        <v>0</v>
      </c>
      <c r="L600" t="s">
        <v>7</v>
      </c>
      <c r="M600" t="s">
        <v>7</v>
      </c>
      <c r="N600" t="s">
        <v>8</v>
      </c>
      <c r="P600">
        <f t="shared" si="990"/>
        <v>-0.54838709677419384</v>
      </c>
      <c r="Q600">
        <f t="shared" si="991"/>
        <v>-1456763.4461290331</v>
      </c>
      <c r="R600">
        <f t="shared" si="992"/>
        <v>-7027026.576606134</v>
      </c>
      <c r="S600">
        <f t="shared" si="993"/>
        <v>-70.270265766061343</v>
      </c>
      <c r="T600">
        <f t="shared" si="994"/>
        <v>-7.0270265766061338E-2</v>
      </c>
    </row>
    <row r="601" spans="1:20" x14ac:dyDescent="0.25">
      <c r="A601" s="5">
        <v>43992</v>
      </c>
      <c r="B601">
        <v>0.47310000000000002</v>
      </c>
      <c r="C601">
        <v>0.52</v>
      </c>
      <c r="D601">
        <v>0.4587</v>
      </c>
      <c r="E601">
        <v>0.50349999999999995</v>
      </c>
      <c r="F601">
        <v>2153748.46</v>
      </c>
      <c r="G601">
        <v>0</v>
      </c>
      <c r="L601" t="s">
        <v>8</v>
      </c>
      <c r="M601" t="s">
        <v>7</v>
      </c>
      <c r="N601" t="s">
        <v>8</v>
      </c>
      <c r="P601">
        <f t="shared" si="990"/>
        <v>0.46166394779771402</v>
      </c>
      <c r="Q601">
        <f t="shared" si="991"/>
        <v>994308.01660684694</v>
      </c>
      <c r="R601">
        <f t="shared" si="992"/>
        <v>-5570263.1304771006</v>
      </c>
      <c r="S601">
        <f t="shared" si="993"/>
        <v>-55.702631304771003</v>
      </c>
      <c r="T601">
        <f t="shared" si="994"/>
        <v>-5.5702631304771003E-2</v>
      </c>
    </row>
    <row r="602" spans="1:20" x14ac:dyDescent="0.25">
      <c r="A602" s="5">
        <v>43991</v>
      </c>
      <c r="B602">
        <v>0.47520000000000001</v>
      </c>
      <c r="C602">
        <v>0.48130000000000001</v>
      </c>
      <c r="D602">
        <v>0.44800000000000001</v>
      </c>
      <c r="E602">
        <v>0.47339999999999999</v>
      </c>
      <c r="F602">
        <v>1237190.17</v>
      </c>
      <c r="G602">
        <v>0</v>
      </c>
      <c r="L602" t="s">
        <v>7</v>
      </c>
      <c r="M602" t="s">
        <v>7</v>
      </c>
      <c r="N602" t="s">
        <v>8</v>
      </c>
      <c r="P602">
        <f t="shared" si="990"/>
        <v>0.52552552552552434</v>
      </c>
      <c r="Q602">
        <f t="shared" si="991"/>
        <v>650175.01426426275</v>
      </c>
      <c r="R602">
        <f t="shared" si="992"/>
        <v>-6564571.1470839474</v>
      </c>
      <c r="S602">
        <f t="shared" si="993"/>
        <v>-65.645711470839473</v>
      </c>
      <c r="T602">
        <f t="shared" si="994"/>
        <v>-6.5645711470839474E-2</v>
      </c>
    </row>
    <row r="603" spans="1:20" x14ac:dyDescent="0.25">
      <c r="A603" s="5">
        <v>43990</v>
      </c>
      <c r="B603">
        <v>0.48159999999999997</v>
      </c>
      <c r="C603">
        <v>0.48480000000000001</v>
      </c>
      <c r="D603">
        <v>0.46660000000000001</v>
      </c>
      <c r="E603">
        <v>0.47599999999999998</v>
      </c>
      <c r="F603">
        <v>880290.58</v>
      </c>
      <c r="G603">
        <v>0</v>
      </c>
      <c r="L603" t="s">
        <v>8</v>
      </c>
      <c r="M603" t="s">
        <v>7</v>
      </c>
      <c r="N603" t="s">
        <v>8</v>
      </c>
      <c r="P603">
        <f t="shared" si="990"/>
        <v>3.2967032967029346E-2</v>
      </c>
      <c r="Q603">
        <f t="shared" si="991"/>
        <v>29020.568571425381</v>
      </c>
      <c r="R603">
        <f t="shared" si="992"/>
        <v>-7214746.1613482097</v>
      </c>
      <c r="S603">
        <f t="shared" si="993"/>
        <v>-72.147461613482093</v>
      </c>
      <c r="T603">
        <f t="shared" si="994"/>
        <v>-7.2147461613482095E-2</v>
      </c>
    </row>
    <row r="604" spans="1:20" x14ac:dyDescent="0.25">
      <c r="A604" s="5">
        <v>43989</v>
      </c>
      <c r="B604">
        <v>0.48470000000000002</v>
      </c>
      <c r="C604">
        <v>0.50429999999999997</v>
      </c>
      <c r="D604">
        <v>0.45219999999999999</v>
      </c>
      <c r="E604">
        <v>0.48380000000000001</v>
      </c>
      <c r="F604">
        <v>1662286.92</v>
      </c>
      <c r="G604">
        <v>0</v>
      </c>
      <c r="L604" t="s">
        <v>7</v>
      </c>
      <c r="M604" t="s">
        <v>7</v>
      </c>
      <c r="N604" t="s">
        <v>8</v>
      </c>
      <c r="P604">
        <f t="shared" si="990"/>
        <v>0.21305182341650783</v>
      </c>
      <c r="Q604">
        <f t="shared" si="991"/>
        <v>354153.25934741064</v>
      </c>
      <c r="R604">
        <f t="shared" si="992"/>
        <v>-7243766.7299196348</v>
      </c>
      <c r="S604">
        <f t="shared" si="993"/>
        <v>-72.437667299196349</v>
      </c>
      <c r="T604">
        <f t="shared" si="994"/>
        <v>-7.2437667299196346E-2</v>
      </c>
    </row>
    <row r="605" spans="1:20" x14ac:dyDescent="0.25">
      <c r="A605" s="5">
        <v>43988</v>
      </c>
      <c r="B605">
        <v>0.49819999999999998</v>
      </c>
      <c r="C605">
        <v>0.4995</v>
      </c>
      <c r="D605">
        <v>0.46920000000000001</v>
      </c>
      <c r="E605">
        <v>0.48299999999999998</v>
      </c>
      <c r="F605">
        <v>1672885.66</v>
      </c>
      <c r="G605">
        <v>0</v>
      </c>
      <c r="L605" t="s">
        <v>7</v>
      </c>
      <c r="M605" t="s">
        <v>7</v>
      </c>
      <c r="N605" t="s">
        <v>8</v>
      </c>
      <c r="P605">
        <f t="shared" si="990"/>
        <v>-8.9108910891090312E-2</v>
      </c>
      <c r="Q605">
        <f t="shared" si="991"/>
        <v>-149069.0192079228</v>
      </c>
      <c r="R605">
        <f t="shared" si="992"/>
        <v>-7597919.9892670456</v>
      </c>
      <c r="S605">
        <f t="shared" si="993"/>
        <v>-75.979199892670451</v>
      </c>
      <c r="T605">
        <f t="shared" si="994"/>
        <v>-7.5979199892670449E-2</v>
      </c>
    </row>
    <row r="606" spans="1:20" x14ac:dyDescent="0.25">
      <c r="A606" s="5">
        <v>43987</v>
      </c>
      <c r="B606">
        <v>0.50570000000000004</v>
      </c>
      <c r="C606">
        <v>0.54810000000000003</v>
      </c>
      <c r="D606">
        <v>0.49009999999999998</v>
      </c>
      <c r="E606">
        <v>0.50019999999999998</v>
      </c>
      <c r="F606">
        <v>2110010.6</v>
      </c>
      <c r="G606">
        <v>0</v>
      </c>
      <c r="L606" t="s">
        <v>7</v>
      </c>
      <c r="M606" t="s">
        <v>8</v>
      </c>
      <c r="N606" t="s">
        <v>8</v>
      </c>
      <c r="P606">
        <f t="shared" si="990"/>
        <v>-0.6517241379310349</v>
      </c>
      <c r="Q606">
        <f t="shared" si="991"/>
        <v>-1375144.8393103457</v>
      </c>
      <c r="R606">
        <f t="shared" si="992"/>
        <v>-7448850.9700591229</v>
      </c>
      <c r="S606">
        <f t="shared" si="993"/>
        <v>-74.488509700591223</v>
      </c>
      <c r="T606">
        <f t="shared" si="994"/>
        <v>-7.4488509700591218E-2</v>
      </c>
    </row>
    <row r="607" spans="1:20" x14ac:dyDescent="0.25">
      <c r="A607" s="5">
        <v>43986</v>
      </c>
      <c r="B607">
        <v>0.46729999999999999</v>
      </c>
      <c r="C607">
        <v>0.57699999999999996</v>
      </c>
      <c r="D607">
        <v>0.46350000000000002</v>
      </c>
      <c r="E607">
        <v>0.50570000000000004</v>
      </c>
      <c r="F607">
        <v>4539288.83</v>
      </c>
      <c r="G607">
        <v>0</v>
      </c>
      <c r="L607" t="s">
        <v>8</v>
      </c>
      <c r="M607" t="s">
        <v>8</v>
      </c>
      <c r="N607" t="s">
        <v>8</v>
      </c>
      <c r="P607">
        <f t="shared" si="990"/>
        <v>-0.25638766519823719</v>
      </c>
      <c r="Q607">
        <f t="shared" si="991"/>
        <v>-1163817.6647841379</v>
      </c>
      <c r="R607">
        <f t="shared" si="992"/>
        <v>-6073706.1307487767</v>
      </c>
      <c r="S607">
        <f t="shared" si="993"/>
        <v>-60.737061307487764</v>
      </c>
      <c r="T607">
        <f t="shared" si="994"/>
        <v>-6.0737061307487766E-2</v>
      </c>
    </row>
    <row r="608" spans="1:20" x14ac:dyDescent="0.25">
      <c r="A608" s="5">
        <v>43985</v>
      </c>
      <c r="B608">
        <v>0.4713</v>
      </c>
      <c r="C608">
        <v>0.49740000000000001</v>
      </c>
      <c r="D608">
        <v>0.4461</v>
      </c>
      <c r="E608">
        <v>0.46899999999999997</v>
      </c>
      <c r="F608">
        <v>2106817.4</v>
      </c>
      <c r="G608">
        <v>0</v>
      </c>
      <c r="L608" t="s">
        <v>7</v>
      </c>
      <c r="M608" t="s">
        <v>8</v>
      </c>
      <c r="N608" t="s">
        <v>8</v>
      </c>
      <c r="P608">
        <f t="shared" si="990"/>
        <v>-0.10721247563352941</v>
      </c>
      <c r="Q608">
        <f t="shared" si="991"/>
        <v>-225877.10916179579</v>
      </c>
      <c r="R608">
        <f t="shared" si="992"/>
        <v>-4909888.4659646386</v>
      </c>
      <c r="S608">
        <f t="shared" si="993"/>
        <v>-49.098884659646387</v>
      </c>
      <c r="T608">
        <f t="shared" si="994"/>
        <v>-4.9098884659646388E-2</v>
      </c>
    </row>
    <row r="609" spans="1:20" x14ac:dyDescent="0.25">
      <c r="A609" s="5">
        <v>43984</v>
      </c>
      <c r="B609">
        <v>0.43209999999999998</v>
      </c>
      <c r="C609">
        <v>0.52990000000000004</v>
      </c>
      <c r="D609">
        <v>0.42149999999999999</v>
      </c>
      <c r="E609">
        <v>0.4713</v>
      </c>
      <c r="F609">
        <v>6546439.75</v>
      </c>
      <c r="G609">
        <v>0</v>
      </c>
      <c r="L609" t="s">
        <v>8</v>
      </c>
      <c r="M609" t="s">
        <v>8</v>
      </c>
      <c r="N609" t="s">
        <v>8</v>
      </c>
      <c r="P609">
        <f t="shared" si="990"/>
        <v>-8.1180811808118314E-2</v>
      </c>
      <c r="Q609">
        <f t="shared" si="991"/>
        <v>-531445.29335793515</v>
      </c>
      <c r="R609">
        <f t="shared" si="992"/>
        <v>-4684011.3568028426</v>
      </c>
      <c r="S609">
        <f t="shared" si="993"/>
        <v>-46.840113568028428</v>
      </c>
      <c r="T609">
        <f t="shared" si="994"/>
        <v>-4.6840113568028426E-2</v>
      </c>
    </row>
    <row r="610" spans="1:20" x14ac:dyDescent="0.25">
      <c r="A610" s="5">
        <v>43983</v>
      </c>
      <c r="B610">
        <v>0.39900000000000002</v>
      </c>
      <c r="C610">
        <v>0.46860000000000002</v>
      </c>
      <c r="D610">
        <v>0.39610000000000001</v>
      </c>
      <c r="E610">
        <v>0.43440000000000001</v>
      </c>
      <c r="F610">
        <v>1633385.09</v>
      </c>
      <c r="G610">
        <v>0</v>
      </c>
      <c r="L610" t="s">
        <v>8</v>
      </c>
      <c r="M610" t="s">
        <v>8</v>
      </c>
      <c r="N610" t="s">
        <v>8</v>
      </c>
      <c r="P610">
        <f t="shared" si="990"/>
        <v>5.6551724137930921E-2</v>
      </c>
      <c r="Q610">
        <f t="shared" si="991"/>
        <v>92370.743020689479</v>
      </c>
      <c r="R610">
        <f t="shared" si="992"/>
        <v>-4152566.0634449073</v>
      </c>
      <c r="S610">
        <f t="shared" si="993"/>
        <v>-41.525660634449075</v>
      </c>
      <c r="T610">
        <f t="shared" si="994"/>
        <v>-4.1525660634449076E-2</v>
      </c>
    </row>
    <row r="611" spans="1:20" x14ac:dyDescent="0.25">
      <c r="A611" s="5">
        <v>43982</v>
      </c>
      <c r="B611">
        <v>0.41449999999999998</v>
      </c>
      <c r="C611">
        <v>0.45</v>
      </c>
      <c r="D611">
        <v>0.39489999999999997</v>
      </c>
      <c r="E611">
        <v>0.40050000000000002</v>
      </c>
      <c r="F611">
        <v>3111106.12</v>
      </c>
      <c r="G611">
        <v>0</v>
      </c>
      <c r="L611" t="s">
        <v>8</v>
      </c>
      <c r="M611" t="s">
        <v>8</v>
      </c>
      <c r="N611" t="s">
        <v>8</v>
      </c>
      <c r="P611">
        <f t="shared" si="990"/>
        <v>-0.79673321234119621</v>
      </c>
      <c r="Q611">
        <f t="shared" si="991"/>
        <v>-2478721.572921955</v>
      </c>
      <c r="R611">
        <f t="shared" si="992"/>
        <v>-4244936.8064655969</v>
      </c>
      <c r="S611">
        <f t="shared" si="993"/>
        <v>-42.449368064655971</v>
      </c>
      <c r="T611">
        <f t="shared" si="994"/>
        <v>-4.2449368064655969E-2</v>
      </c>
    </row>
    <row r="612" spans="1:20" x14ac:dyDescent="0.25">
      <c r="A612" s="5">
        <v>43981</v>
      </c>
      <c r="B612">
        <v>0.3805</v>
      </c>
      <c r="C612">
        <v>0.44</v>
      </c>
      <c r="D612">
        <v>0.36770000000000003</v>
      </c>
      <c r="E612">
        <v>0.41470000000000001</v>
      </c>
      <c r="F612">
        <v>3609228.15</v>
      </c>
      <c r="G612">
        <v>0</v>
      </c>
      <c r="L612" t="s">
        <v>8</v>
      </c>
      <c r="M612" t="s">
        <v>8</v>
      </c>
      <c r="N612" t="s">
        <v>8</v>
      </c>
      <c r="P612">
        <f t="shared" si="990"/>
        <v>0.30013831258644541</v>
      </c>
      <c r="Q612">
        <f t="shared" si="991"/>
        <v>1083267.646680498</v>
      </c>
      <c r="R612">
        <f t="shared" si="992"/>
        <v>-1766215.2335436419</v>
      </c>
      <c r="S612">
        <f t="shared" si="993"/>
        <v>-17.662152335436417</v>
      </c>
      <c r="T612">
        <f t="shared" si="994"/>
        <v>-1.7662152335436419E-2</v>
      </c>
    </row>
    <row r="613" spans="1:20" x14ac:dyDescent="0.25">
      <c r="A613" s="5">
        <v>43980</v>
      </c>
      <c r="B613">
        <v>0.36220000000000002</v>
      </c>
      <c r="C613">
        <v>0.38800000000000001</v>
      </c>
      <c r="D613">
        <v>0.35749999999999998</v>
      </c>
      <c r="E613">
        <v>0.38019999999999998</v>
      </c>
      <c r="F613">
        <v>1254686.42</v>
      </c>
      <c r="G613">
        <v>0</v>
      </c>
      <c r="L613" t="s">
        <v>8</v>
      </c>
      <c r="M613" t="s">
        <v>8</v>
      </c>
      <c r="N613" t="s">
        <v>8</v>
      </c>
      <c r="P613">
        <f t="shared" si="990"/>
        <v>0.48852459016393296</v>
      </c>
      <c r="Q613">
        <f t="shared" si="991"/>
        <v>612945.16911475221</v>
      </c>
      <c r="R613">
        <f t="shared" si="992"/>
        <v>-2849482.8802241399</v>
      </c>
      <c r="S613">
        <f t="shared" si="993"/>
        <v>-28.4948288022414</v>
      </c>
      <c r="T613">
        <f t="shared" si="994"/>
        <v>-2.8494828802241402E-2</v>
      </c>
    </row>
    <row r="614" spans="1:20" x14ac:dyDescent="0.25">
      <c r="A614" s="5">
        <v>43979</v>
      </c>
      <c r="B614">
        <v>0.3604</v>
      </c>
      <c r="C614">
        <v>0.372</v>
      </c>
      <c r="D614">
        <v>0.35210000000000002</v>
      </c>
      <c r="E614">
        <v>0.36170000000000002</v>
      </c>
      <c r="F614">
        <v>906673.81</v>
      </c>
      <c r="G614">
        <v>0</v>
      </c>
      <c r="L614" t="s">
        <v>8</v>
      </c>
      <c r="M614" t="s">
        <v>8</v>
      </c>
      <c r="N614" t="s">
        <v>8</v>
      </c>
      <c r="P614">
        <f t="shared" si="990"/>
        <v>-3.517587939698389E-2</v>
      </c>
      <c r="Q614">
        <f t="shared" si="991"/>
        <v>-31893.048592963889</v>
      </c>
      <c r="R614">
        <f t="shared" si="992"/>
        <v>-3462428.0493388921</v>
      </c>
      <c r="S614">
        <f t="shared" si="993"/>
        <v>-34.624280493388923</v>
      </c>
      <c r="T614">
        <f t="shared" si="994"/>
        <v>-3.462428049338892E-2</v>
      </c>
    </row>
    <row r="615" spans="1:20" x14ac:dyDescent="0.25">
      <c r="A615" s="5">
        <v>43978</v>
      </c>
      <c r="B615">
        <v>0.37690000000000001</v>
      </c>
      <c r="C615">
        <v>0.37890000000000001</v>
      </c>
      <c r="D615">
        <v>0.34710000000000002</v>
      </c>
      <c r="E615">
        <v>0.3604</v>
      </c>
      <c r="F615">
        <v>1580698.18</v>
      </c>
      <c r="G615">
        <v>0</v>
      </c>
      <c r="L615" t="s">
        <v>7</v>
      </c>
      <c r="M615" t="s">
        <v>8</v>
      </c>
      <c r="N615" t="s">
        <v>8</v>
      </c>
      <c r="P615">
        <f t="shared" si="990"/>
        <v>-0.16352201257861756</v>
      </c>
      <c r="Q615">
        <f t="shared" si="991"/>
        <v>-258478.94767295787</v>
      </c>
      <c r="R615">
        <f t="shared" si="992"/>
        <v>-3430535.0007459284</v>
      </c>
      <c r="S615">
        <f t="shared" si="993"/>
        <v>-34.305350007459282</v>
      </c>
      <c r="T615">
        <f t="shared" si="994"/>
        <v>-3.4305350007459282E-2</v>
      </c>
    </row>
    <row r="616" spans="1:20" x14ac:dyDescent="0.25">
      <c r="A616" s="5">
        <v>43977</v>
      </c>
      <c r="B616">
        <v>0.35339999999999999</v>
      </c>
      <c r="C616">
        <v>0.37690000000000001</v>
      </c>
      <c r="D616">
        <v>0.3458</v>
      </c>
      <c r="E616">
        <v>0.37690000000000001</v>
      </c>
      <c r="F616">
        <v>1731395.3</v>
      </c>
      <c r="G616">
        <v>0</v>
      </c>
      <c r="L616" t="s">
        <v>8</v>
      </c>
      <c r="M616" t="s">
        <v>8</v>
      </c>
      <c r="N616" t="s">
        <v>8</v>
      </c>
      <c r="P616">
        <f t="shared" si="990"/>
        <v>1</v>
      </c>
      <c r="Q616">
        <f t="shared" si="991"/>
        <v>1731395.3</v>
      </c>
      <c r="R616">
        <f t="shared" si="992"/>
        <v>-3172056.0530729704</v>
      </c>
      <c r="S616">
        <f t="shared" si="993"/>
        <v>-31.720560530729703</v>
      </c>
      <c r="T616">
        <f t="shared" si="994"/>
        <v>-3.1720560530729705E-2</v>
      </c>
    </row>
    <row r="617" spans="1:20" x14ac:dyDescent="0.25">
      <c r="A617" s="5">
        <v>43976</v>
      </c>
      <c r="B617">
        <v>0.32419999999999999</v>
      </c>
      <c r="C617">
        <v>0.36099999999999999</v>
      </c>
      <c r="D617">
        <v>0.32100000000000001</v>
      </c>
      <c r="E617">
        <v>0.35570000000000002</v>
      </c>
      <c r="F617">
        <v>1466824.35</v>
      </c>
      <c r="G617">
        <v>0</v>
      </c>
      <c r="L617" t="s">
        <v>8</v>
      </c>
      <c r="M617" t="s">
        <v>8</v>
      </c>
      <c r="N617" t="s">
        <v>8</v>
      </c>
      <c r="P617">
        <f t="shared" si="990"/>
        <v>0.73500000000000132</v>
      </c>
      <c r="Q617">
        <f t="shared" si="991"/>
        <v>1078115.897250002</v>
      </c>
      <c r="R617">
        <f t="shared" si="992"/>
        <v>-4903451.3530729702</v>
      </c>
      <c r="S617">
        <f t="shared" si="993"/>
        <v>-49.034513530729704</v>
      </c>
      <c r="T617">
        <f t="shared" si="994"/>
        <v>-4.9034513530729705E-2</v>
      </c>
    </row>
    <row r="618" spans="1:20" x14ac:dyDescent="0.25">
      <c r="A618" s="5">
        <v>43975</v>
      </c>
      <c r="B618">
        <v>0.35360000000000003</v>
      </c>
      <c r="C618">
        <v>0.3659</v>
      </c>
      <c r="D618">
        <v>0.32100000000000001</v>
      </c>
      <c r="E618">
        <v>0.32419999999999999</v>
      </c>
      <c r="F618">
        <v>2101721.04</v>
      </c>
      <c r="G618">
        <v>0</v>
      </c>
      <c r="L618" t="s">
        <v>7</v>
      </c>
      <c r="M618" t="s">
        <v>8</v>
      </c>
      <c r="N618" t="s">
        <v>8</v>
      </c>
      <c r="P618">
        <f t="shared" si="990"/>
        <v>-0.85746102449888728</v>
      </c>
      <c r="Q618">
        <f t="shared" si="991"/>
        <v>-1802143.8761692669</v>
      </c>
      <c r="R618">
        <f t="shared" si="992"/>
        <v>-5981567.2503229724</v>
      </c>
      <c r="S618">
        <f t="shared" si="993"/>
        <v>-59.815672503229727</v>
      </c>
      <c r="T618">
        <f t="shared" si="994"/>
        <v>-5.9815672503229729E-2</v>
      </c>
    </row>
    <row r="619" spans="1:20" x14ac:dyDescent="0.25">
      <c r="A619" s="5">
        <v>43974</v>
      </c>
      <c r="B619">
        <v>0.33650000000000002</v>
      </c>
      <c r="C619">
        <v>0.36809999999999998</v>
      </c>
      <c r="D619">
        <v>0.33460000000000001</v>
      </c>
      <c r="E619">
        <v>0.35299999999999998</v>
      </c>
      <c r="F619">
        <v>1996908.75</v>
      </c>
      <c r="G619">
        <v>0</v>
      </c>
      <c r="L619" t="s">
        <v>8</v>
      </c>
      <c r="M619" t="s">
        <v>8</v>
      </c>
      <c r="N619" t="s">
        <v>8</v>
      </c>
      <c r="P619">
        <f t="shared" si="990"/>
        <v>9.8507462686566336E-2</v>
      </c>
      <c r="Q619">
        <f t="shared" si="991"/>
        <v>196710.41417910281</v>
      </c>
      <c r="R619">
        <f t="shared" si="992"/>
        <v>-4179423.3741537058</v>
      </c>
      <c r="S619">
        <f t="shared" si="993"/>
        <v>-41.794233741537056</v>
      </c>
      <c r="T619">
        <f t="shared" si="994"/>
        <v>-4.1794233741537054E-2</v>
      </c>
    </row>
    <row r="620" spans="1:20" x14ac:dyDescent="0.25">
      <c r="A620" s="5">
        <v>43973</v>
      </c>
      <c r="B620">
        <v>0.31759999999999999</v>
      </c>
      <c r="C620">
        <v>0.34160000000000001</v>
      </c>
      <c r="D620">
        <v>0.316</v>
      </c>
      <c r="E620">
        <v>0.33650000000000002</v>
      </c>
      <c r="F620">
        <v>1167526.3500000001</v>
      </c>
      <c r="G620">
        <v>0</v>
      </c>
      <c r="L620" t="s">
        <v>8</v>
      </c>
      <c r="M620" t="s">
        <v>7</v>
      </c>
      <c r="N620" t="s">
        <v>8</v>
      </c>
      <c r="P620">
        <f t="shared" si="990"/>
        <v>0.60156250000000067</v>
      </c>
      <c r="Q620">
        <f t="shared" si="991"/>
        <v>702340.06992187584</v>
      </c>
      <c r="R620">
        <f t="shared" si="992"/>
        <v>-4376133.7883328088</v>
      </c>
      <c r="S620">
        <f t="shared" si="993"/>
        <v>-43.761337883328089</v>
      </c>
      <c r="T620">
        <f t="shared" si="994"/>
        <v>-4.3761337883328089E-2</v>
      </c>
    </row>
    <row r="621" spans="1:20" x14ac:dyDescent="0.25">
      <c r="A621" s="5">
        <v>43972</v>
      </c>
      <c r="B621">
        <v>0.33779999999999999</v>
      </c>
      <c r="C621">
        <v>0.3402</v>
      </c>
      <c r="D621">
        <v>0.30669999999999997</v>
      </c>
      <c r="E621">
        <v>0.32</v>
      </c>
      <c r="F621">
        <v>854717.8</v>
      </c>
      <c r="G621">
        <v>0</v>
      </c>
      <c r="L621" t="s">
        <v>7</v>
      </c>
      <c r="M621" t="s">
        <v>7</v>
      </c>
      <c r="N621" t="s">
        <v>8</v>
      </c>
      <c r="P621">
        <f t="shared" si="990"/>
        <v>-0.20597014925373003</v>
      </c>
      <c r="Q621">
        <f t="shared" si="991"/>
        <v>-176046.35283581979</v>
      </c>
      <c r="R621">
        <f t="shared" si="992"/>
        <v>-5078473.8582546841</v>
      </c>
      <c r="S621">
        <f t="shared" si="993"/>
        <v>-50.784738582546844</v>
      </c>
      <c r="T621">
        <f t="shared" si="994"/>
        <v>-5.0784738582546847E-2</v>
      </c>
    </row>
    <row r="622" spans="1:20" x14ac:dyDescent="0.25">
      <c r="A622" s="5">
        <v>43971</v>
      </c>
      <c r="B622">
        <v>0.34470000000000001</v>
      </c>
      <c r="C622">
        <v>0.3548</v>
      </c>
      <c r="D622">
        <v>0.32540000000000002</v>
      </c>
      <c r="E622">
        <v>0.33789999999999998</v>
      </c>
      <c r="F622">
        <v>1182078.8</v>
      </c>
      <c r="G622">
        <v>0</v>
      </c>
      <c r="L622" t="s">
        <v>8</v>
      </c>
      <c r="M622" t="s">
        <v>8</v>
      </c>
      <c r="N622" t="s">
        <v>8</v>
      </c>
      <c r="P622">
        <f t="shared" si="990"/>
        <v>-0.14965986394558073</v>
      </c>
      <c r="Q622">
        <f t="shared" si="991"/>
        <v>-176909.75238095535</v>
      </c>
      <c r="R622">
        <f t="shared" si="992"/>
        <v>-4902427.5054188641</v>
      </c>
      <c r="S622">
        <f t="shared" si="993"/>
        <v>-49.024275054188642</v>
      </c>
      <c r="T622">
        <f t="shared" si="994"/>
        <v>-4.9024275054188646E-2</v>
      </c>
    </row>
    <row r="623" spans="1:20" x14ac:dyDescent="0.25">
      <c r="A623" s="5">
        <v>43970</v>
      </c>
      <c r="B623">
        <v>0.34029999999999999</v>
      </c>
      <c r="C623">
        <v>0.35360000000000003</v>
      </c>
      <c r="D623">
        <v>0.32700000000000001</v>
      </c>
      <c r="E623">
        <v>0.34399999999999997</v>
      </c>
      <c r="F623">
        <v>1419046.13</v>
      </c>
      <c r="G623">
        <v>0</v>
      </c>
      <c r="L623" t="s">
        <v>7</v>
      </c>
      <c r="M623" t="s">
        <v>8</v>
      </c>
      <c r="N623" t="s">
        <v>8</v>
      </c>
      <c r="P623">
        <f t="shared" si="990"/>
        <v>0.27819548872180089</v>
      </c>
      <c r="Q623">
        <f t="shared" si="991"/>
        <v>394772.23165413016</v>
      </c>
      <c r="R623">
        <f t="shared" si="992"/>
        <v>-4725517.753037909</v>
      </c>
      <c r="S623">
        <f t="shared" si="993"/>
        <v>-47.255177530379093</v>
      </c>
      <c r="T623">
        <f t="shared" si="994"/>
        <v>-4.725517753037909E-2</v>
      </c>
    </row>
    <row r="624" spans="1:20" x14ac:dyDescent="0.25">
      <c r="A624" s="5">
        <v>43969</v>
      </c>
      <c r="B624">
        <v>0.33460000000000001</v>
      </c>
      <c r="C624">
        <v>0.36799999999999999</v>
      </c>
      <c r="D624">
        <v>0.33379999999999999</v>
      </c>
      <c r="E624">
        <v>0.3407</v>
      </c>
      <c r="F624">
        <v>1371265.76</v>
      </c>
      <c r="G624">
        <v>0</v>
      </c>
      <c r="L624" t="s">
        <v>8</v>
      </c>
      <c r="M624" t="s">
        <v>8</v>
      </c>
      <c r="N624" t="s">
        <v>8</v>
      </c>
      <c r="P624">
        <f t="shared" si="990"/>
        <v>-0.59649122807017452</v>
      </c>
      <c r="Q624">
        <f t="shared" si="991"/>
        <v>-817947.99719298119</v>
      </c>
      <c r="R624">
        <f t="shared" si="992"/>
        <v>-5120289.984692039</v>
      </c>
      <c r="S624">
        <f t="shared" si="993"/>
        <v>-51.202899846920388</v>
      </c>
      <c r="T624">
        <f t="shared" si="994"/>
        <v>-5.1202899846920391E-2</v>
      </c>
    </row>
    <row r="625" spans="1:20" x14ac:dyDescent="0.25">
      <c r="A625" s="5">
        <v>43968</v>
      </c>
      <c r="B625">
        <v>0.3155</v>
      </c>
      <c r="C625">
        <v>0.34379999999999999</v>
      </c>
      <c r="D625">
        <v>0.31359999999999999</v>
      </c>
      <c r="E625">
        <v>0.33589999999999998</v>
      </c>
      <c r="F625">
        <v>1358466.6</v>
      </c>
      <c r="G625">
        <v>0</v>
      </c>
      <c r="L625" t="s">
        <v>8</v>
      </c>
      <c r="M625" t="s">
        <v>8</v>
      </c>
      <c r="N625" t="s">
        <v>7</v>
      </c>
      <c r="P625">
        <f t="shared" si="990"/>
        <v>0.47682119205297901</v>
      </c>
      <c r="Q625">
        <f t="shared" si="991"/>
        <v>647745.66357615741</v>
      </c>
      <c r="R625">
        <f t="shared" si="992"/>
        <v>-4302341.9874990582</v>
      </c>
      <c r="S625">
        <f t="shared" si="993"/>
        <v>-43.02341987499058</v>
      </c>
      <c r="T625">
        <f t="shared" si="994"/>
        <v>-4.302341987499058E-2</v>
      </c>
    </row>
    <row r="626" spans="1:20" x14ac:dyDescent="0.25">
      <c r="A626" s="5">
        <v>43967</v>
      </c>
      <c r="B626">
        <v>0.30649999999999999</v>
      </c>
      <c r="C626">
        <v>0.3211</v>
      </c>
      <c r="D626">
        <v>0.30299999999999999</v>
      </c>
      <c r="E626">
        <v>0.3175</v>
      </c>
      <c r="F626">
        <v>555935.69999999995</v>
      </c>
      <c r="G626">
        <v>0</v>
      </c>
      <c r="L626" t="s">
        <v>7</v>
      </c>
      <c r="M626" t="s">
        <v>8</v>
      </c>
      <c r="N626" t="s">
        <v>7</v>
      </c>
      <c r="P626">
        <f t="shared" si="990"/>
        <v>0.60220994475138223</v>
      </c>
      <c r="Q626">
        <f t="shared" si="991"/>
        <v>334790.00718232099</v>
      </c>
      <c r="R626">
        <f t="shared" si="992"/>
        <v>-4950087.651075216</v>
      </c>
      <c r="S626">
        <f t="shared" si="993"/>
        <v>-49.500876510752157</v>
      </c>
      <c r="T626">
        <f t="shared" si="994"/>
        <v>-4.9500876510752155E-2</v>
      </c>
    </row>
    <row r="627" spans="1:20" x14ac:dyDescent="0.25">
      <c r="A627" s="5">
        <v>43966</v>
      </c>
      <c r="B627">
        <v>0.30780000000000002</v>
      </c>
      <c r="C627">
        <v>0.3251</v>
      </c>
      <c r="D627">
        <v>0.29630000000000001</v>
      </c>
      <c r="E627">
        <v>0.30649999999999999</v>
      </c>
      <c r="F627">
        <v>684999.36</v>
      </c>
      <c r="G627">
        <v>0</v>
      </c>
      <c r="L627" t="s">
        <v>8</v>
      </c>
      <c r="M627" t="s">
        <v>8</v>
      </c>
      <c r="N627" t="s">
        <v>7</v>
      </c>
      <c r="P627">
        <f t="shared" si="990"/>
        <v>-0.29166666666666741</v>
      </c>
      <c r="Q627">
        <f t="shared" si="991"/>
        <v>-199791.48000000051</v>
      </c>
      <c r="R627">
        <f t="shared" si="992"/>
        <v>-5284877.6582575366</v>
      </c>
      <c r="S627">
        <f t="shared" si="993"/>
        <v>-52.848776582575368</v>
      </c>
      <c r="T627">
        <f t="shared" si="994"/>
        <v>-5.284877658257537E-2</v>
      </c>
    </row>
    <row r="628" spans="1:20" x14ac:dyDescent="0.25">
      <c r="A628" s="5">
        <v>43965</v>
      </c>
      <c r="B628">
        <v>0.312</v>
      </c>
      <c r="C628">
        <v>0.32100000000000001</v>
      </c>
      <c r="D628">
        <v>0.30180000000000001</v>
      </c>
      <c r="E628">
        <v>0.3075</v>
      </c>
      <c r="F628">
        <v>1162010.67</v>
      </c>
      <c r="G628">
        <v>0</v>
      </c>
      <c r="L628" t="s">
        <v>8</v>
      </c>
      <c r="M628" t="s">
        <v>8</v>
      </c>
      <c r="N628" t="s">
        <v>7</v>
      </c>
      <c r="P628">
        <f t="shared" si="990"/>
        <v>-0.40625000000000161</v>
      </c>
      <c r="Q628">
        <f t="shared" si="991"/>
        <v>-472066.83468750183</v>
      </c>
      <c r="R628">
        <f t="shared" si="992"/>
        <v>-5085086.1782575361</v>
      </c>
      <c r="S628">
        <f t="shared" si="993"/>
        <v>-50.850861782575365</v>
      </c>
      <c r="T628">
        <f t="shared" si="994"/>
        <v>-5.0850861782575363E-2</v>
      </c>
    </row>
    <row r="629" spans="1:20" x14ac:dyDescent="0.25">
      <c r="A629" s="5">
        <v>43964</v>
      </c>
      <c r="B629">
        <v>0.29149999999999998</v>
      </c>
      <c r="C629">
        <v>0.31659999999999999</v>
      </c>
      <c r="D629">
        <v>0.28589999999999999</v>
      </c>
      <c r="E629">
        <v>0.312</v>
      </c>
      <c r="F629">
        <v>954942.61</v>
      </c>
      <c r="G629">
        <v>0</v>
      </c>
      <c r="L629" t="s">
        <v>8</v>
      </c>
      <c r="M629" t="s">
        <v>8</v>
      </c>
      <c r="N629" t="s">
        <v>7</v>
      </c>
      <c r="P629">
        <f t="shared" si="990"/>
        <v>0.70032573289902333</v>
      </c>
      <c r="Q629">
        <f t="shared" si="991"/>
        <v>668770.88322475622</v>
      </c>
      <c r="R629">
        <f t="shared" si="992"/>
        <v>-4613019.343570034</v>
      </c>
      <c r="S629">
        <f t="shared" si="993"/>
        <v>-46.130193435700342</v>
      </c>
      <c r="T629">
        <f t="shared" si="994"/>
        <v>-4.6130193435700344E-2</v>
      </c>
    </row>
    <row r="630" spans="1:20" x14ac:dyDescent="0.25">
      <c r="A630" s="5">
        <v>43963</v>
      </c>
      <c r="B630">
        <v>0.2757</v>
      </c>
      <c r="C630">
        <v>0.2954</v>
      </c>
      <c r="D630">
        <v>0.27060000000000001</v>
      </c>
      <c r="E630">
        <v>0.28839999999999999</v>
      </c>
      <c r="F630">
        <v>724494.82</v>
      </c>
      <c r="G630">
        <v>0</v>
      </c>
      <c r="L630" t="s">
        <v>8</v>
      </c>
      <c r="M630" t="s">
        <v>8</v>
      </c>
      <c r="N630" t="s">
        <v>7</v>
      </c>
      <c r="P630">
        <f t="shared" si="990"/>
        <v>0.43548387096774116</v>
      </c>
      <c r="Q630">
        <f t="shared" si="991"/>
        <v>315505.80870967684</v>
      </c>
      <c r="R630">
        <f t="shared" si="992"/>
        <v>-5281790.2267947905</v>
      </c>
      <c r="S630">
        <f t="shared" si="993"/>
        <v>-52.817902267947908</v>
      </c>
      <c r="T630">
        <f t="shared" si="994"/>
        <v>-5.2817902267947907E-2</v>
      </c>
    </row>
    <row r="631" spans="1:20" x14ac:dyDescent="0.25">
      <c r="A631" s="5">
        <v>43962</v>
      </c>
      <c r="B631">
        <v>0.28699999999999998</v>
      </c>
      <c r="C631">
        <v>0.31419999999999998</v>
      </c>
      <c r="D631">
        <v>0.24610000000000001</v>
      </c>
      <c r="E631">
        <v>0.27600000000000002</v>
      </c>
      <c r="F631">
        <v>1435603.28</v>
      </c>
      <c r="G631">
        <v>0</v>
      </c>
      <c r="L631" t="s">
        <v>7</v>
      </c>
      <c r="M631" t="s">
        <v>7</v>
      </c>
      <c r="N631" t="s">
        <v>7</v>
      </c>
      <c r="P631">
        <f t="shared" si="990"/>
        <v>-0.12187958883994053</v>
      </c>
      <c r="Q631">
        <f t="shared" si="991"/>
        <v>-174970.73750367001</v>
      </c>
      <c r="R631">
        <f t="shared" si="992"/>
        <v>-5597296.0355044678</v>
      </c>
      <c r="S631">
        <f t="shared" si="993"/>
        <v>-55.972960355044677</v>
      </c>
      <c r="T631">
        <f t="shared" si="994"/>
        <v>-5.5972960355044676E-2</v>
      </c>
    </row>
    <row r="632" spans="1:20" x14ac:dyDescent="0.25">
      <c r="A632" s="5">
        <v>43961</v>
      </c>
      <c r="B632">
        <v>0.33310000000000001</v>
      </c>
      <c r="C632">
        <v>0.33310000000000001</v>
      </c>
      <c r="D632">
        <v>0.26840000000000003</v>
      </c>
      <c r="E632">
        <v>0.28699999999999998</v>
      </c>
      <c r="F632">
        <v>2084565.13</v>
      </c>
      <c r="G632">
        <v>0</v>
      </c>
      <c r="L632" t="s">
        <v>7</v>
      </c>
      <c r="M632" t="s">
        <v>7</v>
      </c>
      <c r="N632" t="s">
        <v>8</v>
      </c>
      <c r="P632">
        <f t="shared" si="990"/>
        <v>-0.42503863987635376</v>
      </c>
      <c r="Q632">
        <f t="shared" si="991"/>
        <v>-886020.72758887452</v>
      </c>
      <c r="R632">
        <f t="shared" si="992"/>
        <v>-5422325.2980007976</v>
      </c>
      <c r="S632">
        <f t="shared" si="993"/>
        <v>-54.223252980007977</v>
      </c>
      <c r="T632">
        <f t="shared" si="994"/>
        <v>-5.4223252980007977E-2</v>
      </c>
    </row>
    <row r="633" spans="1:20" x14ac:dyDescent="0.25">
      <c r="A633" s="5">
        <v>43960</v>
      </c>
      <c r="B633">
        <v>0.33360000000000001</v>
      </c>
      <c r="C633">
        <v>0.34179999999999999</v>
      </c>
      <c r="D633">
        <v>0.32419999999999999</v>
      </c>
      <c r="E633">
        <v>0.33310000000000001</v>
      </c>
      <c r="F633">
        <v>796023.4</v>
      </c>
      <c r="G633">
        <v>0</v>
      </c>
      <c r="L633" t="s">
        <v>7</v>
      </c>
      <c r="M633" t="s">
        <v>7</v>
      </c>
      <c r="N633" t="s">
        <v>8</v>
      </c>
      <c r="P633">
        <f t="shared" si="990"/>
        <v>1.1363636363638263E-2</v>
      </c>
      <c r="Q633">
        <f t="shared" si="991"/>
        <v>9045.7204545469667</v>
      </c>
      <c r="R633">
        <f t="shared" si="992"/>
        <v>-4536304.5704119233</v>
      </c>
      <c r="S633">
        <f t="shared" si="993"/>
        <v>-45.36304570411923</v>
      </c>
      <c r="T633">
        <f t="shared" si="994"/>
        <v>-4.5363045704119233E-2</v>
      </c>
    </row>
    <row r="634" spans="1:20" x14ac:dyDescent="0.25">
      <c r="A634" s="5">
        <v>43959</v>
      </c>
      <c r="B634">
        <v>0.34100000000000003</v>
      </c>
      <c r="C634">
        <v>0.34300000000000003</v>
      </c>
      <c r="D634">
        <v>0.32200000000000001</v>
      </c>
      <c r="E634">
        <v>0.33429999999999999</v>
      </c>
      <c r="F634">
        <v>922876.06</v>
      </c>
      <c r="G634">
        <v>0</v>
      </c>
      <c r="L634" t="s">
        <v>7</v>
      </c>
      <c r="M634" t="s">
        <v>7</v>
      </c>
      <c r="N634" t="s">
        <v>8</v>
      </c>
      <c r="P634">
        <f t="shared" si="990"/>
        <v>0.17142857142856827</v>
      </c>
      <c r="Q634">
        <f t="shared" si="991"/>
        <v>158207.32457142565</v>
      </c>
      <c r="R634">
        <f t="shared" si="992"/>
        <v>-4545350.29086647</v>
      </c>
      <c r="S634">
        <f t="shared" si="993"/>
        <v>-45.453502908664703</v>
      </c>
      <c r="T634">
        <f t="shared" si="994"/>
        <v>-4.5453502908664706E-2</v>
      </c>
    </row>
    <row r="635" spans="1:20" x14ac:dyDescent="0.25">
      <c r="A635" s="5">
        <v>43958</v>
      </c>
      <c r="B635">
        <v>0.32950000000000002</v>
      </c>
      <c r="C635">
        <v>0.34320000000000001</v>
      </c>
      <c r="D635">
        <v>0.31929999999999997</v>
      </c>
      <c r="E635">
        <v>0.34250000000000003</v>
      </c>
      <c r="F635">
        <v>741527.77</v>
      </c>
      <c r="G635">
        <v>0</v>
      </c>
      <c r="L635" t="s">
        <v>7</v>
      </c>
      <c r="M635" t="s">
        <v>7</v>
      </c>
      <c r="N635" t="s">
        <v>8</v>
      </c>
      <c r="P635">
        <f t="shared" si="990"/>
        <v>0.94142259414226126</v>
      </c>
      <c r="Q635">
        <f t="shared" si="991"/>
        <v>698090.99686192605</v>
      </c>
      <c r="R635">
        <f t="shared" si="992"/>
        <v>-4703557.615437896</v>
      </c>
      <c r="S635">
        <f t="shared" si="993"/>
        <v>-47.035576154378958</v>
      </c>
      <c r="T635">
        <f t="shared" si="994"/>
        <v>-4.7035576154378957E-2</v>
      </c>
    </row>
    <row r="636" spans="1:20" x14ac:dyDescent="0.25">
      <c r="A636" s="5">
        <v>43957</v>
      </c>
      <c r="B636">
        <v>0.33040000000000003</v>
      </c>
      <c r="C636">
        <v>0.34470000000000001</v>
      </c>
      <c r="D636">
        <v>0.32629999999999998</v>
      </c>
      <c r="E636">
        <v>0.33069999999999999</v>
      </c>
      <c r="F636">
        <v>837533.82</v>
      </c>
      <c r="G636">
        <v>0</v>
      </c>
      <c r="L636" t="s">
        <v>8</v>
      </c>
      <c r="M636" t="s">
        <v>7</v>
      </c>
      <c r="N636" t="s">
        <v>8</v>
      </c>
      <c r="P636">
        <f t="shared" si="990"/>
        <v>-0.52173913043478171</v>
      </c>
      <c r="Q636">
        <f t="shared" si="991"/>
        <v>-436974.16695652093</v>
      </c>
      <c r="R636">
        <f t="shared" si="992"/>
        <v>-5401648.6122998223</v>
      </c>
      <c r="S636">
        <f t="shared" si="993"/>
        <v>-54.016486122998224</v>
      </c>
      <c r="T636">
        <f t="shared" si="994"/>
        <v>-5.4016486122998225E-2</v>
      </c>
    </row>
    <row r="637" spans="1:20" x14ac:dyDescent="0.25">
      <c r="A637" s="5">
        <v>43956</v>
      </c>
      <c r="B637">
        <v>0.33639999999999998</v>
      </c>
      <c r="C637">
        <v>0.3478</v>
      </c>
      <c r="D637">
        <v>0.32100000000000001</v>
      </c>
      <c r="E637">
        <v>0.3301</v>
      </c>
      <c r="F637">
        <v>878945.75</v>
      </c>
      <c r="G637">
        <v>0</v>
      </c>
      <c r="L637" t="s">
        <v>8</v>
      </c>
      <c r="M637" t="s">
        <v>7</v>
      </c>
      <c r="N637" t="s">
        <v>8</v>
      </c>
      <c r="P637">
        <f t="shared" si="990"/>
        <v>-0.32089552238805968</v>
      </c>
      <c r="Q637">
        <f t="shared" si="991"/>
        <v>-282049.75559701491</v>
      </c>
      <c r="R637">
        <f t="shared" si="992"/>
        <v>-4964674.4453433016</v>
      </c>
      <c r="S637">
        <f t="shared" si="993"/>
        <v>-49.646744453433016</v>
      </c>
      <c r="T637">
        <f t="shared" si="994"/>
        <v>-4.9646744453433013E-2</v>
      </c>
    </row>
    <row r="638" spans="1:20" x14ac:dyDescent="0.25">
      <c r="A638" s="5">
        <v>43955</v>
      </c>
      <c r="B638">
        <v>0.33950000000000002</v>
      </c>
      <c r="C638">
        <v>0.35</v>
      </c>
      <c r="D638">
        <v>0.31619999999999998</v>
      </c>
      <c r="E638">
        <v>0.33560000000000001</v>
      </c>
      <c r="F638">
        <v>1363181.33</v>
      </c>
      <c r="G638">
        <v>0</v>
      </c>
      <c r="L638" t="s">
        <v>7</v>
      </c>
      <c r="M638" t="s">
        <v>7</v>
      </c>
      <c r="N638" t="s">
        <v>8</v>
      </c>
      <c r="P638">
        <f t="shared" si="990"/>
        <v>0.14792899408284202</v>
      </c>
      <c r="Q638">
        <f t="shared" si="991"/>
        <v>201654.04289941074</v>
      </c>
      <c r="R638">
        <f t="shared" si="992"/>
        <v>-4682624.6897462867</v>
      </c>
      <c r="S638">
        <f t="shared" si="993"/>
        <v>-46.826246897462866</v>
      </c>
      <c r="T638">
        <f t="shared" si="994"/>
        <v>-4.6826246897462863E-2</v>
      </c>
    </row>
    <row r="639" spans="1:20" x14ac:dyDescent="0.25">
      <c r="A639" s="5">
        <v>43954</v>
      </c>
      <c r="B639">
        <v>0.36380000000000001</v>
      </c>
      <c r="C639">
        <v>0.37869999999999998</v>
      </c>
      <c r="D639">
        <v>0.33</v>
      </c>
      <c r="E639">
        <v>0.33950000000000002</v>
      </c>
      <c r="F639">
        <v>2023739.1</v>
      </c>
      <c r="G639">
        <v>0</v>
      </c>
      <c r="L639" t="s">
        <v>7</v>
      </c>
      <c r="M639" t="s">
        <v>8</v>
      </c>
      <c r="N639" t="s">
        <v>8</v>
      </c>
      <c r="P639">
        <f t="shared" si="990"/>
        <v>-0.60985626283367489</v>
      </c>
      <c r="Q639">
        <f t="shared" si="991"/>
        <v>-1234189.9644763847</v>
      </c>
      <c r="R639">
        <f t="shared" si="992"/>
        <v>-4884278.7326456979</v>
      </c>
      <c r="S639">
        <f t="shared" si="993"/>
        <v>-48.842787326456978</v>
      </c>
      <c r="T639">
        <f t="shared" si="994"/>
        <v>-4.8842787326456978E-2</v>
      </c>
    </row>
    <row r="640" spans="1:20" x14ac:dyDescent="0.25">
      <c r="A640" s="5">
        <v>43953</v>
      </c>
      <c r="B640">
        <v>0.34289999999999998</v>
      </c>
      <c r="C640">
        <v>0.378</v>
      </c>
      <c r="D640">
        <v>0.33710000000000001</v>
      </c>
      <c r="E640">
        <v>0.36380000000000001</v>
      </c>
      <c r="F640">
        <v>2303002.11</v>
      </c>
      <c r="G640">
        <v>0</v>
      </c>
      <c r="L640" t="s">
        <v>8</v>
      </c>
      <c r="M640" t="s">
        <v>8</v>
      </c>
      <c r="N640" t="s">
        <v>8</v>
      </c>
      <c r="P640">
        <f t="shared" si="990"/>
        <v>0.30562347188264094</v>
      </c>
      <c r="Q640">
        <f t="shared" si="991"/>
        <v>703851.50061124773</v>
      </c>
      <c r="R640">
        <f t="shared" si="992"/>
        <v>-3650088.7681693127</v>
      </c>
      <c r="S640">
        <f t="shared" si="993"/>
        <v>-36.500887681693129</v>
      </c>
      <c r="T640">
        <f t="shared" si="994"/>
        <v>-3.6500887681693128E-2</v>
      </c>
    </row>
    <row r="641" spans="1:20" x14ac:dyDescent="0.25">
      <c r="A641" s="5">
        <v>43952</v>
      </c>
      <c r="B641">
        <v>0.32279999999999998</v>
      </c>
      <c r="C641">
        <v>0.35489999999999999</v>
      </c>
      <c r="D641">
        <v>0.3206</v>
      </c>
      <c r="E641">
        <v>0.34350000000000003</v>
      </c>
      <c r="F641">
        <v>1402008.32</v>
      </c>
      <c r="G641">
        <v>0</v>
      </c>
      <c r="L641" t="s">
        <v>7</v>
      </c>
      <c r="M641" t="s">
        <v>7</v>
      </c>
      <c r="N641" t="s">
        <v>8</v>
      </c>
      <c r="P641">
        <f t="shared" si="990"/>
        <v>0.33527696793003109</v>
      </c>
      <c r="Q641">
        <f t="shared" si="991"/>
        <v>470061.09854227677</v>
      </c>
      <c r="R641">
        <f t="shared" si="992"/>
        <v>-4353940.2687805602</v>
      </c>
      <c r="S641">
        <f t="shared" si="993"/>
        <v>-43.539402687805605</v>
      </c>
      <c r="T641">
        <f t="shared" si="994"/>
        <v>-4.3539402687805602E-2</v>
      </c>
    </row>
    <row r="642" spans="1:20" x14ac:dyDescent="0.25">
      <c r="A642" s="5">
        <v>43951</v>
      </c>
      <c r="B642">
        <v>0.34339999999999998</v>
      </c>
      <c r="C642">
        <v>0.38500000000000001</v>
      </c>
      <c r="D642">
        <v>0.31619999999999998</v>
      </c>
      <c r="E642">
        <v>0.32319999999999999</v>
      </c>
      <c r="F642">
        <v>2310390.42</v>
      </c>
      <c r="G642">
        <v>0</v>
      </c>
      <c r="L642" t="s">
        <v>8</v>
      </c>
      <c r="M642" t="s">
        <v>8</v>
      </c>
      <c r="N642" t="s">
        <v>8</v>
      </c>
      <c r="P642">
        <f t="shared" si="990"/>
        <v>-0.7965116279069766</v>
      </c>
      <c r="Q642">
        <f t="shared" si="991"/>
        <v>-1840252.8345348833</v>
      </c>
      <c r="R642">
        <f t="shared" si="992"/>
        <v>-4824001.367322837</v>
      </c>
      <c r="S642">
        <f t="shared" si="993"/>
        <v>-48.240013673228368</v>
      </c>
      <c r="T642">
        <f t="shared" si="994"/>
        <v>-4.8240013673228367E-2</v>
      </c>
    </row>
    <row r="643" spans="1:20" x14ac:dyDescent="0.25">
      <c r="A643" s="5">
        <v>43950</v>
      </c>
      <c r="B643">
        <v>0.32850000000000001</v>
      </c>
      <c r="C643">
        <v>0.35899999999999999</v>
      </c>
      <c r="D643">
        <v>0.32690000000000002</v>
      </c>
      <c r="E643">
        <v>0.34499999999999997</v>
      </c>
      <c r="F643">
        <v>1589981.86</v>
      </c>
      <c r="G643">
        <v>0</v>
      </c>
      <c r="L643" t="s">
        <v>8</v>
      </c>
      <c r="M643" t="s">
        <v>8</v>
      </c>
      <c r="N643" t="s">
        <v>8</v>
      </c>
      <c r="P643">
        <f t="shared" si="990"/>
        <v>0.1277258566978175</v>
      </c>
      <c r="Q643">
        <f t="shared" si="991"/>
        <v>203081.79520248933</v>
      </c>
      <c r="R643">
        <f t="shared" si="992"/>
        <v>-2983748.532787954</v>
      </c>
      <c r="S643">
        <f t="shared" si="993"/>
        <v>-29.837485327879541</v>
      </c>
      <c r="T643">
        <f t="shared" si="994"/>
        <v>-2.983748532787954E-2</v>
      </c>
    </row>
    <row r="644" spans="1:20" x14ac:dyDescent="0.25">
      <c r="A644" s="5">
        <v>43949</v>
      </c>
      <c r="B644">
        <v>0.32369999999999999</v>
      </c>
      <c r="C644">
        <v>0.34499999999999997</v>
      </c>
      <c r="D644">
        <v>0.31319999999999998</v>
      </c>
      <c r="E644">
        <v>0.32840000000000003</v>
      </c>
      <c r="F644">
        <v>1323491.48</v>
      </c>
      <c r="G644">
        <v>0</v>
      </c>
      <c r="L644" t="s">
        <v>8</v>
      </c>
      <c r="M644" t="s">
        <v>8</v>
      </c>
      <c r="N644" t="s">
        <v>8</v>
      </c>
      <c r="P644">
        <f t="shared" si="990"/>
        <v>-4.4025157232701305E-2</v>
      </c>
      <c r="Q644">
        <f t="shared" si="991"/>
        <v>-58266.920503140551</v>
      </c>
      <c r="R644">
        <f t="shared" si="992"/>
        <v>-3186830.3279904434</v>
      </c>
      <c r="S644">
        <f t="shared" si="993"/>
        <v>-31.868303279904435</v>
      </c>
      <c r="T644">
        <f t="shared" si="994"/>
        <v>-3.1868303279904434E-2</v>
      </c>
    </row>
    <row r="645" spans="1:20" x14ac:dyDescent="0.25">
      <c r="A645" s="5">
        <v>43948</v>
      </c>
      <c r="B645">
        <v>0.3337</v>
      </c>
      <c r="C645">
        <v>0.34989999999999999</v>
      </c>
      <c r="D645">
        <v>0.30680000000000002</v>
      </c>
      <c r="E645">
        <v>0.32490000000000002</v>
      </c>
      <c r="F645">
        <v>2004650.78</v>
      </c>
      <c r="G645">
        <v>0</v>
      </c>
      <c r="L645" t="s">
        <v>7</v>
      </c>
      <c r="M645" t="s">
        <v>8</v>
      </c>
      <c r="N645" t="s">
        <v>8</v>
      </c>
      <c r="P645">
        <f t="shared" si="990"/>
        <v>-0.1600928074245932</v>
      </c>
      <c r="Q645">
        <f t="shared" si="991"/>
        <v>-320930.17127610056</v>
      </c>
      <c r="R645">
        <f t="shared" si="992"/>
        <v>-3128563.407487303</v>
      </c>
      <c r="S645">
        <f t="shared" si="993"/>
        <v>-31.28563407487303</v>
      </c>
      <c r="T645">
        <f t="shared" si="994"/>
        <v>-3.1285634074873031E-2</v>
      </c>
    </row>
    <row r="646" spans="1:20" x14ac:dyDescent="0.25">
      <c r="A646" s="5">
        <v>43947</v>
      </c>
      <c r="B646">
        <v>0.31219999999999998</v>
      </c>
      <c r="C646">
        <v>0.35160000000000002</v>
      </c>
      <c r="D646">
        <v>0.31219999999999998</v>
      </c>
      <c r="E646">
        <v>0.33329999999999999</v>
      </c>
      <c r="F646">
        <v>3134057.41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5">IF(C646=D646,0,((E646-D646)-(C646-E646))/(C646-D646))</f>
        <v>7.1065989847714867E-2</v>
      </c>
      <c r="Q646">
        <f t="shared" ref="Q646:Q709" si="996">F646*P646</f>
        <v>222724.89208121557</v>
      </c>
      <c r="R646">
        <f t="shared" ref="R646:R709" si="997">R647+Q646</f>
        <v>-2807633.2362112026</v>
      </c>
      <c r="S646">
        <f t="shared" ref="S646:S709" si="998">R646/100000</f>
        <v>-28.076332362112026</v>
      </c>
      <c r="T646">
        <f t="shared" ref="T646:T709" si="999">S646/1000</f>
        <v>-2.8076332362112027E-2</v>
      </c>
    </row>
    <row r="647" spans="1:20" x14ac:dyDescent="0.25">
      <c r="A647" s="5">
        <v>43946</v>
      </c>
      <c r="B647">
        <v>0.2848</v>
      </c>
      <c r="C647">
        <v>0.32700000000000001</v>
      </c>
      <c r="D647">
        <v>0.28470000000000001</v>
      </c>
      <c r="E647">
        <v>0.31219999999999998</v>
      </c>
      <c r="F647">
        <v>2813944.86</v>
      </c>
      <c r="G647">
        <v>0</v>
      </c>
      <c r="L647" t="s">
        <v>8</v>
      </c>
      <c r="M647" t="s">
        <v>8</v>
      </c>
      <c r="N647" t="s">
        <v>7</v>
      </c>
      <c r="P647">
        <f t="shared" si="995"/>
        <v>0.30023640661938372</v>
      </c>
      <c r="Q647">
        <f t="shared" si="996"/>
        <v>844848.69319148478</v>
      </c>
      <c r="R647">
        <f t="shared" si="997"/>
        <v>-3030358.1282924181</v>
      </c>
      <c r="S647">
        <f t="shared" si="998"/>
        <v>-30.303581282924181</v>
      </c>
      <c r="T647">
        <f t="shared" si="999"/>
        <v>-3.030358128292418E-2</v>
      </c>
    </row>
    <row r="648" spans="1:20" x14ac:dyDescent="0.25">
      <c r="A648" s="5">
        <v>43945</v>
      </c>
      <c r="B648">
        <v>0.27760000000000001</v>
      </c>
      <c r="C648">
        <v>0.29430000000000001</v>
      </c>
      <c r="D648">
        <v>0.27610000000000001</v>
      </c>
      <c r="E648">
        <v>0.28470000000000001</v>
      </c>
      <c r="F648">
        <v>1449714.69</v>
      </c>
      <c r="G648">
        <v>0</v>
      </c>
      <c r="L648" t="s">
        <v>8</v>
      </c>
      <c r="M648" t="s">
        <v>7</v>
      </c>
      <c r="N648" t="s">
        <v>7</v>
      </c>
      <c r="P648">
        <f t="shared" si="995"/>
        <v>-5.4945054945055014E-2</v>
      </c>
      <c r="Q648">
        <f t="shared" si="996"/>
        <v>-79654.6532967034</v>
      </c>
      <c r="R648">
        <f t="shared" si="997"/>
        <v>-3875206.8214839031</v>
      </c>
      <c r="S648">
        <f t="shared" si="998"/>
        <v>-38.752068214839028</v>
      </c>
      <c r="T648">
        <f t="shared" si="999"/>
        <v>-3.8752068214839029E-2</v>
      </c>
    </row>
    <row r="649" spans="1:20" x14ac:dyDescent="0.25">
      <c r="A649" s="5">
        <v>43944</v>
      </c>
      <c r="B649">
        <v>0.27429999999999999</v>
      </c>
      <c r="C649">
        <v>0.28570000000000001</v>
      </c>
      <c r="D649">
        <v>0.26400000000000001</v>
      </c>
      <c r="E649">
        <v>0.27760000000000001</v>
      </c>
      <c r="F649">
        <v>1396155.96</v>
      </c>
      <c r="G649">
        <v>0</v>
      </c>
      <c r="L649" t="s">
        <v>7</v>
      </c>
      <c r="M649" t="s">
        <v>7</v>
      </c>
      <c r="N649" t="s">
        <v>7</v>
      </c>
      <c r="P649">
        <f t="shared" si="995"/>
        <v>0.25345622119815692</v>
      </c>
      <c r="Q649">
        <f t="shared" si="996"/>
        <v>353864.41382488509</v>
      </c>
      <c r="R649">
        <f t="shared" si="997"/>
        <v>-3795552.1681871996</v>
      </c>
      <c r="S649">
        <f t="shared" si="998"/>
        <v>-37.955521681871993</v>
      </c>
      <c r="T649">
        <f t="shared" si="999"/>
        <v>-3.7955521681871995E-2</v>
      </c>
    </row>
    <row r="650" spans="1:20" x14ac:dyDescent="0.25">
      <c r="A650" s="5">
        <v>43943</v>
      </c>
      <c r="B650">
        <v>0.25469999999999998</v>
      </c>
      <c r="C650">
        <v>0.28199999999999997</v>
      </c>
      <c r="D650">
        <v>0.25209999999999999</v>
      </c>
      <c r="E650">
        <v>0.27429999999999999</v>
      </c>
      <c r="F650">
        <v>1446480.32</v>
      </c>
      <c r="G650">
        <v>0</v>
      </c>
      <c r="L650" t="s">
        <v>8</v>
      </c>
      <c r="M650" t="s">
        <v>7</v>
      </c>
      <c r="N650" t="s">
        <v>7</v>
      </c>
      <c r="P650">
        <f t="shared" si="995"/>
        <v>0.48494983277592046</v>
      </c>
      <c r="Q650">
        <f t="shared" si="996"/>
        <v>701470.38929765997</v>
      </c>
      <c r="R650">
        <f t="shared" si="997"/>
        <v>-4149416.5820120848</v>
      </c>
      <c r="S650">
        <f t="shared" si="998"/>
        <v>-41.494165820120848</v>
      </c>
      <c r="T650">
        <f t="shared" si="999"/>
        <v>-4.1494165820120846E-2</v>
      </c>
    </row>
    <row r="651" spans="1:20" x14ac:dyDescent="0.25">
      <c r="A651" s="5">
        <v>43942</v>
      </c>
      <c r="B651">
        <v>0.25540000000000002</v>
      </c>
      <c r="C651">
        <v>0.26129999999999998</v>
      </c>
      <c r="D651">
        <v>0.249</v>
      </c>
      <c r="E651">
        <v>0.25469999999999998</v>
      </c>
      <c r="F651">
        <v>385077.15</v>
      </c>
      <c r="G651">
        <v>0</v>
      </c>
      <c r="L651" t="s">
        <v>7</v>
      </c>
      <c r="M651" t="s">
        <v>7</v>
      </c>
      <c r="N651" t="s">
        <v>7</v>
      </c>
      <c r="P651">
        <f t="shared" si="995"/>
        <v>-7.3170731707318179E-2</v>
      </c>
      <c r="Q651">
        <f t="shared" si="996"/>
        <v>-28176.37682926872</v>
      </c>
      <c r="R651">
        <f t="shared" si="997"/>
        <v>-4850886.9713097448</v>
      </c>
      <c r="S651">
        <f t="shared" si="998"/>
        <v>-48.508869713097447</v>
      </c>
      <c r="T651">
        <f t="shared" si="999"/>
        <v>-4.8508869713097445E-2</v>
      </c>
    </row>
    <row r="652" spans="1:20" x14ac:dyDescent="0.25">
      <c r="A652" s="5">
        <v>43941</v>
      </c>
      <c r="B652">
        <v>0.2712</v>
      </c>
      <c r="C652">
        <v>0.27529999999999999</v>
      </c>
      <c r="D652">
        <v>0.25</v>
      </c>
      <c r="E652">
        <v>0.25530000000000003</v>
      </c>
      <c r="F652">
        <v>571164.80000000005</v>
      </c>
      <c r="G652">
        <v>0</v>
      </c>
      <c r="L652" t="s">
        <v>7</v>
      </c>
      <c r="M652" t="s">
        <v>7</v>
      </c>
      <c r="N652" t="s">
        <v>7</v>
      </c>
      <c r="P652">
        <f t="shared" si="995"/>
        <v>-0.58102766798418737</v>
      </c>
      <c r="Q652">
        <f t="shared" si="996"/>
        <v>-331862.5517786548</v>
      </c>
      <c r="R652">
        <f t="shared" si="997"/>
        <v>-4822710.5944804763</v>
      </c>
      <c r="S652">
        <f t="shared" si="998"/>
        <v>-48.227105944804762</v>
      </c>
      <c r="T652">
        <f t="shared" si="999"/>
        <v>-4.8227105944804761E-2</v>
      </c>
    </row>
    <row r="653" spans="1:20" x14ac:dyDescent="0.25">
      <c r="A653" s="5">
        <v>43940</v>
      </c>
      <c r="B653">
        <v>0.28029999999999999</v>
      </c>
      <c r="C653">
        <v>0.28179999999999999</v>
      </c>
      <c r="D653">
        <v>0.26619999999999999</v>
      </c>
      <c r="E653">
        <v>0.27129999999999999</v>
      </c>
      <c r="F653">
        <v>579523.68000000005</v>
      </c>
      <c r="G653">
        <v>0</v>
      </c>
      <c r="L653" t="s">
        <v>8</v>
      </c>
      <c r="M653" t="s">
        <v>7</v>
      </c>
      <c r="N653" t="s">
        <v>7</v>
      </c>
      <c r="P653">
        <f t="shared" si="995"/>
        <v>-0.34615384615384709</v>
      </c>
      <c r="Q653">
        <f t="shared" si="996"/>
        <v>-200604.35076923133</v>
      </c>
      <c r="R653">
        <f t="shared" si="997"/>
        <v>-4490848.0427018218</v>
      </c>
      <c r="S653">
        <f t="shared" si="998"/>
        <v>-44.908480427018219</v>
      </c>
      <c r="T653">
        <f t="shared" si="999"/>
        <v>-4.490848042701822E-2</v>
      </c>
    </row>
    <row r="654" spans="1:20" x14ac:dyDescent="0.25">
      <c r="A654" s="5">
        <v>43939</v>
      </c>
      <c r="B654">
        <v>0.27560000000000001</v>
      </c>
      <c r="C654">
        <v>0.28370000000000001</v>
      </c>
      <c r="D654">
        <v>0.27089999999999997</v>
      </c>
      <c r="E654">
        <v>0.27900000000000003</v>
      </c>
      <c r="F654">
        <v>659017.19999999995</v>
      </c>
      <c r="G654">
        <v>0</v>
      </c>
      <c r="L654" t="s">
        <v>8</v>
      </c>
      <c r="M654" t="s">
        <v>7</v>
      </c>
      <c r="N654" t="s">
        <v>7</v>
      </c>
      <c r="P654">
        <f t="shared" si="995"/>
        <v>0.26562500000000472</v>
      </c>
      <c r="Q654">
        <f t="shared" si="996"/>
        <v>175051.44375000309</v>
      </c>
      <c r="R654">
        <f t="shared" si="997"/>
        <v>-4290243.6919325907</v>
      </c>
      <c r="S654">
        <f t="shared" si="998"/>
        <v>-42.902436919325908</v>
      </c>
      <c r="T654">
        <f t="shared" si="999"/>
        <v>-4.2902436919325909E-2</v>
      </c>
    </row>
    <row r="655" spans="1:20" x14ac:dyDescent="0.25">
      <c r="A655" s="5">
        <v>43938</v>
      </c>
      <c r="B655">
        <v>0.26960000000000001</v>
      </c>
      <c r="C655">
        <v>0.27860000000000001</v>
      </c>
      <c r="D655">
        <v>0.26540000000000002</v>
      </c>
      <c r="E655">
        <v>0.27310000000000001</v>
      </c>
      <c r="F655">
        <v>328999.67</v>
      </c>
      <c r="G655">
        <v>0</v>
      </c>
      <c r="L655" t="s">
        <v>8</v>
      </c>
      <c r="M655" t="s">
        <v>7</v>
      </c>
      <c r="N655" t="s">
        <v>7</v>
      </c>
      <c r="P655">
        <f t="shared" si="995"/>
        <v>0.16666666666666527</v>
      </c>
      <c r="Q655">
        <f t="shared" si="996"/>
        <v>54833.27833333287</v>
      </c>
      <c r="R655">
        <f t="shared" si="997"/>
        <v>-4465295.135682594</v>
      </c>
      <c r="S655">
        <f t="shared" si="998"/>
        <v>-44.652951356825938</v>
      </c>
      <c r="T655">
        <f t="shared" si="999"/>
        <v>-4.465295135682594E-2</v>
      </c>
    </row>
    <row r="656" spans="1:20" x14ac:dyDescent="0.25">
      <c r="A656" s="5">
        <v>43937</v>
      </c>
      <c r="B656">
        <v>0.2586</v>
      </c>
      <c r="C656">
        <v>0.28000000000000003</v>
      </c>
      <c r="D656">
        <v>0.25309999999999999</v>
      </c>
      <c r="E656">
        <v>0.2722</v>
      </c>
      <c r="F656">
        <v>726018.18</v>
      </c>
      <c r="G656">
        <v>0</v>
      </c>
      <c r="L656" t="s">
        <v>7</v>
      </c>
      <c r="M656" t="s">
        <v>7</v>
      </c>
      <c r="N656" t="s">
        <v>7</v>
      </c>
      <c r="P656">
        <f t="shared" si="995"/>
        <v>0.42007434944237776</v>
      </c>
      <c r="Q656">
        <f t="shared" si="996"/>
        <v>304981.61464683915</v>
      </c>
      <c r="R656">
        <f t="shared" si="997"/>
        <v>-4520128.4140159274</v>
      </c>
      <c r="S656">
        <f t="shared" si="998"/>
        <v>-45.201284140159274</v>
      </c>
      <c r="T656">
        <f t="shared" si="999"/>
        <v>-4.5201284140159274E-2</v>
      </c>
    </row>
    <row r="657" spans="1:20" x14ac:dyDescent="0.25">
      <c r="A657" s="5">
        <v>43936</v>
      </c>
      <c r="B657">
        <v>0.27050000000000002</v>
      </c>
      <c r="C657">
        <v>0.2747</v>
      </c>
      <c r="D657">
        <v>0.25800000000000001</v>
      </c>
      <c r="E657">
        <v>0.26119999999999999</v>
      </c>
      <c r="F657">
        <v>317859.96999999997</v>
      </c>
      <c r="G657">
        <v>0</v>
      </c>
      <c r="L657" t="s">
        <v>7</v>
      </c>
      <c r="M657" t="s">
        <v>7</v>
      </c>
      <c r="N657" t="s">
        <v>7</v>
      </c>
      <c r="P657">
        <f t="shared" si="995"/>
        <v>-0.61676646706587046</v>
      </c>
      <c r="Q657">
        <f t="shared" si="996"/>
        <v>-196045.37071856356</v>
      </c>
      <c r="R657">
        <f t="shared" si="997"/>
        <v>-4825110.0286627663</v>
      </c>
      <c r="S657">
        <f t="shared" si="998"/>
        <v>-48.251100286627661</v>
      </c>
      <c r="T657">
        <f t="shared" si="999"/>
        <v>-4.8251100286627664E-2</v>
      </c>
    </row>
    <row r="658" spans="1:20" x14ac:dyDescent="0.25">
      <c r="A658" s="5">
        <v>43935</v>
      </c>
      <c r="B658">
        <v>0.27450000000000002</v>
      </c>
      <c r="C658">
        <v>0.27700000000000002</v>
      </c>
      <c r="D658">
        <v>0.26429999999999998</v>
      </c>
      <c r="E658">
        <v>0.2707</v>
      </c>
      <c r="F658">
        <v>543570.72</v>
      </c>
      <c r="G658">
        <v>0</v>
      </c>
      <c r="L658" t="s">
        <v>7</v>
      </c>
      <c r="M658" t="s">
        <v>7</v>
      </c>
      <c r="N658" t="s">
        <v>7</v>
      </c>
      <c r="P658">
        <f t="shared" si="995"/>
        <v>7.8740157480306008E-3</v>
      </c>
      <c r="Q658">
        <f t="shared" si="996"/>
        <v>4280.0844094483318</v>
      </c>
      <c r="R658">
        <f t="shared" si="997"/>
        <v>-4629064.6579442024</v>
      </c>
      <c r="S658">
        <f t="shared" si="998"/>
        <v>-46.290646579442026</v>
      </c>
      <c r="T658">
        <f t="shared" si="999"/>
        <v>-4.6290646579442027E-2</v>
      </c>
    </row>
    <row r="659" spans="1:20" x14ac:dyDescent="0.25">
      <c r="A659" s="5">
        <v>43934</v>
      </c>
      <c r="B659">
        <v>0.28000000000000003</v>
      </c>
      <c r="C659">
        <v>0.28079999999999999</v>
      </c>
      <c r="D659">
        <v>0.26190000000000002</v>
      </c>
      <c r="E659">
        <v>0.27479999999999999</v>
      </c>
      <c r="F659">
        <v>954633.24</v>
      </c>
      <c r="G659">
        <v>0</v>
      </c>
      <c r="L659" t="s">
        <v>7</v>
      </c>
      <c r="M659" t="s">
        <v>7</v>
      </c>
      <c r="N659" t="s">
        <v>7</v>
      </c>
      <c r="P659">
        <f t="shared" si="995"/>
        <v>0.36507936507936356</v>
      </c>
      <c r="Q659">
        <f t="shared" si="996"/>
        <v>348516.89714285568</v>
      </c>
      <c r="R659">
        <f t="shared" si="997"/>
        <v>-4633344.7423536507</v>
      </c>
      <c r="S659">
        <f t="shared" si="998"/>
        <v>-46.333447423536505</v>
      </c>
      <c r="T659">
        <f t="shared" si="999"/>
        <v>-4.6333447423536504E-2</v>
      </c>
    </row>
    <row r="660" spans="1:20" x14ac:dyDescent="0.25">
      <c r="A660" s="5">
        <v>43933</v>
      </c>
      <c r="B660">
        <v>0.28749999999999998</v>
      </c>
      <c r="C660">
        <v>0.29930000000000001</v>
      </c>
      <c r="D660">
        <v>0.27679999999999999</v>
      </c>
      <c r="E660">
        <v>0.28199999999999997</v>
      </c>
      <c r="F660">
        <v>1732364.78</v>
      </c>
      <c r="G660">
        <v>0</v>
      </c>
      <c r="L660" t="s">
        <v>7</v>
      </c>
      <c r="M660" t="s">
        <v>7</v>
      </c>
      <c r="N660" t="s">
        <v>7</v>
      </c>
      <c r="P660">
        <f t="shared" si="995"/>
        <v>-0.5377777777777798</v>
      </c>
      <c r="Q660">
        <f t="shared" si="996"/>
        <v>-931627.2816888924</v>
      </c>
      <c r="R660">
        <f t="shared" si="997"/>
        <v>-4981861.6394965062</v>
      </c>
      <c r="S660">
        <f t="shared" si="998"/>
        <v>-49.818616394965062</v>
      </c>
      <c r="T660">
        <f t="shared" si="999"/>
        <v>-4.9818616394965064E-2</v>
      </c>
    </row>
    <row r="661" spans="1:20" x14ac:dyDescent="0.25">
      <c r="A661" s="5">
        <v>43932</v>
      </c>
      <c r="B661">
        <v>0.26550000000000001</v>
      </c>
      <c r="C661">
        <v>0.3</v>
      </c>
      <c r="D661">
        <v>0.26479999999999998</v>
      </c>
      <c r="E661">
        <v>0.28749999999999998</v>
      </c>
      <c r="F661">
        <v>1453011.9</v>
      </c>
      <c r="G661">
        <v>0</v>
      </c>
      <c r="L661" t="s">
        <v>8</v>
      </c>
      <c r="M661" t="s">
        <v>7</v>
      </c>
      <c r="N661" t="s">
        <v>7</v>
      </c>
      <c r="P661">
        <f t="shared" si="995"/>
        <v>0.28977272727272685</v>
      </c>
      <c r="Q661">
        <f t="shared" si="996"/>
        <v>421043.22102272662</v>
      </c>
      <c r="R661">
        <f t="shared" si="997"/>
        <v>-4050234.3578076134</v>
      </c>
      <c r="S661">
        <f t="shared" si="998"/>
        <v>-40.502343578076136</v>
      </c>
      <c r="T661">
        <f t="shared" si="999"/>
        <v>-4.0502343578076139E-2</v>
      </c>
    </row>
    <row r="662" spans="1:20" x14ac:dyDescent="0.25">
      <c r="A662" s="5">
        <v>43931</v>
      </c>
      <c r="B662">
        <v>0.2949</v>
      </c>
      <c r="C662">
        <v>0.30080000000000001</v>
      </c>
      <c r="D662">
        <v>0.25650000000000001</v>
      </c>
      <c r="E662">
        <v>0.2656</v>
      </c>
      <c r="F662">
        <v>1345463.86</v>
      </c>
      <c r="G662">
        <v>0</v>
      </c>
      <c r="L662" t="s">
        <v>7</v>
      </c>
      <c r="M662" t="s">
        <v>7</v>
      </c>
      <c r="N662" t="s">
        <v>7</v>
      </c>
      <c r="P662">
        <f t="shared" si="995"/>
        <v>-0.58916478555304763</v>
      </c>
      <c r="Q662">
        <f t="shared" si="996"/>
        <v>-792699.92654627573</v>
      </c>
      <c r="R662">
        <f t="shared" si="997"/>
        <v>-4471277.5788303399</v>
      </c>
      <c r="S662">
        <f t="shared" si="998"/>
        <v>-44.712775788303396</v>
      </c>
      <c r="T662">
        <f t="shared" si="999"/>
        <v>-4.4712775788303398E-2</v>
      </c>
    </row>
    <row r="663" spans="1:20" x14ac:dyDescent="0.25">
      <c r="A663" s="5">
        <v>43930</v>
      </c>
      <c r="B663">
        <v>0.28989999999999999</v>
      </c>
      <c r="C663">
        <v>0.3014</v>
      </c>
      <c r="D663">
        <v>0.28170000000000001</v>
      </c>
      <c r="E663">
        <v>0.29549999999999998</v>
      </c>
      <c r="F663">
        <v>1141875.1000000001</v>
      </c>
      <c r="G663">
        <v>0</v>
      </c>
      <c r="L663" t="s">
        <v>8</v>
      </c>
      <c r="M663" t="s">
        <v>7</v>
      </c>
      <c r="N663" t="s">
        <v>7</v>
      </c>
      <c r="P663">
        <f t="shared" si="995"/>
        <v>0.40101522842639414</v>
      </c>
      <c r="Q663">
        <f t="shared" si="996"/>
        <v>457909.3040609117</v>
      </c>
      <c r="R663">
        <f t="shared" si="997"/>
        <v>-3678577.6522840643</v>
      </c>
      <c r="S663">
        <f t="shared" si="998"/>
        <v>-36.785776522840642</v>
      </c>
      <c r="T663">
        <f t="shared" si="999"/>
        <v>-3.6785776522840645E-2</v>
      </c>
    </row>
    <row r="664" spans="1:20" x14ac:dyDescent="0.25">
      <c r="A664" s="5">
        <v>43929</v>
      </c>
      <c r="B664">
        <v>0.27889999999999998</v>
      </c>
      <c r="C664">
        <v>0.2918</v>
      </c>
      <c r="D664">
        <v>0.27660000000000001</v>
      </c>
      <c r="E664">
        <v>0.28910000000000002</v>
      </c>
      <c r="F664">
        <v>904099.17</v>
      </c>
      <c r="G664">
        <v>0</v>
      </c>
      <c r="L664" t="s">
        <v>7</v>
      </c>
      <c r="M664" t="s">
        <v>7</v>
      </c>
      <c r="N664" t="s">
        <v>7</v>
      </c>
      <c r="P664">
        <f t="shared" si="995"/>
        <v>0.64473684210526561</v>
      </c>
      <c r="Q664">
        <f t="shared" si="996"/>
        <v>582906.04381579172</v>
      </c>
      <c r="R664">
        <f t="shared" si="997"/>
        <v>-4136486.9563449761</v>
      </c>
      <c r="S664">
        <f t="shared" si="998"/>
        <v>-41.364869563449759</v>
      </c>
      <c r="T664">
        <f t="shared" si="999"/>
        <v>-4.1364869563449758E-2</v>
      </c>
    </row>
    <row r="665" spans="1:20" x14ac:dyDescent="0.25">
      <c r="A665" s="5">
        <v>43928</v>
      </c>
      <c r="B665">
        <v>0.2883</v>
      </c>
      <c r="C665">
        <v>0.3</v>
      </c>
      <c r="D665">
        <v>0.27639999999999998</v>
      </c>
      <c r="E665">
        <v>0.27989999999999998</v>
      </c>
      <c r="F665">
        <v>1041768.53</v>
      </c>
      <c r="G665">
        <v>0</v>
      </c>
      <c r="L665" t="s">
        <v>8</v>
      </c>
      <c r="M665" t="s">
        <v>7</v>
      </c>
      <c r="N665" t="s">
        <v>7</v>
      </c>
      <c r="P665">
        <f t="shared" si="995"/>
        <v>-0.70338983050847448</v>
      </c>
      <c r="Q665">
        <f t="shared" si="996"/>
        <v>-732769.38974576257</v>
      </c>
      <c r="R665">
        <f t="shared" si="997"/>
        <v>-4719393.0001607677</v>
      </c>
      <c r="S665">
        <f t="shared" si="998"/>
        <v>-47.193930001607676</v>
      </c>
      <c r="T665">
        <f t="shared" si="999"/>
        <v>-4.7193930001607674E-2</v>
      </c>
    </row>
    <row r="666" spans="1:20" x14ac:dyDescent="0.25">
      <c r="A666" s="5">
        <v>43927</v>
      </c>
      <c r="B666">
        <v>0.26100000000000001</v>
      </c>
      <c r="C666">
        <v>0.2898</v>
      </c>
      <c r="D666">
        <v>0.26090000000000002</v>
      </c>
      <c r="E666">
        <v>0.2898</v>
      </c>
      <c r="F666">
        <v>1188747.7</v>
      </c>
      <c r="G666">
        <v>0</v>
      </c>
      <c r="L666" t="s">
        <v>8</v>
      </c>
      <c r="M666" t="s">
        <v>7</v>
      </c>
      <c r="N666" t="s">
        <v>7</v>
      </c>
      <c r="P666">
        <f t="shared" si="995"/>
        <v>1</v>
      </c>
      <c r="Q666">
        <f t="shared" si="996"/>
        <v>1188747.7</v>
      </c>
      <c r="R666">
        <f t="shared" si="997"/>
        <v>-3986623.6104150051</v>
      </c>
      <c r="S666">
        <f t="shared" si="998"/>
        <v>-39.866236104150055</v>
      </c>
      <c r="T666">
        <f t="shared" si="999"/>
        <v>-3.9866236104150056E-2</v>
      </c>
    </row>
    <row r="667" spans="1:20" x14ac:dyDescent="0.25">
      <c r="A667" s="5">
        <v>43926</v>
      </c>
      <c r="B667">
        <v>0.26979999999999998</v>
      </c>
      <c r="C667">
        <v>0.27300000000000002</v>
      </c>
      <c r="D667">
        <v>0.25929999999999997</v>
      </c>
      <c r="E667">
        <v>0.2606</v>
      </c>
      <c r="F667">
        <v>423769.46</v>
      </c>
      <c r="G667">
        <v>0</v>
      </c>
      <c r="L667" t="s">
        <v>7</v>
      </c>
      <c r="M667" t="s">
        <v>7</v>
      </c>
      <c r="N667" t="s">
        <v>7</v>
      </c>
      <c r="P667">
        <f t="shared" si="995"/>
        <v>-0.81021897810218702</v>
      </c>
      <c r="Q667">
        <f t="shared" si="996"/>
        <v>-343346.05883211561</v>
      </c>
      <c r="R667">
        <f t="shared" si="997"/>
        <v>-5175371.3104150053</v>
      </c>
      <c r="S667">
        <f t="shared" si="998"/>
        <v>-51.753713104150052</v>
      </c>
      <c r="T667">
        <f t="shared" si="999"/>
        <v>-5.1753713104150049E-2</v>
      </c>
    </row>
    <row r="668" spans="1:20" x14ac:dyDescent="0.25">
      <c r="A668" s="5">
        <v>43925</v>
      </c>
      <c r="B668">
        <v>0.2601</v>
      </c>
      <c r="C668">
        <v>0.27489999999999998</v>
      </c>
      <c r="D668">
        <v>0.26</v>
      </c>
      <c r="E668">
        <v>0.26939999999999997</v>
      </c>
      <c r="F668">
        <v>402540.56</v>
      </c>
      <c r="G668">
        <v>0</v>
      </c>
      <c r="L668" t="s">
        <v>7</v>
      </c>
      <c r="M668" t="s">
        <v>7</v>
      </c>
      <c r="N668" t="s">
        <v>7</v>
      </c>
      <c r="P668">
        <f t="shared" si="995"/>
        <v>0.26174496644295081</v>
      </c>
      <c r="Q668">
        <f t="shared" si="996"/>
        <v>105362.96536912663</v>
      </c>
      <c r="R668">
        <f t="shared" si="997"/>
        <v>-4832025.2515828898</v>
      </c>
      <c r="S668">
        <f t="shared" si="998"/>
        <v>-48.320252515828898</v>
      </c>
      <c r="T668">
        <f t="shared" si="999"/>
        <v>-4.8320252515828895E-2</v>
      </c>
    </row>
    <row r="669" spans="1:20" x14ac:dyDescent="0.25">
      <c r="A669" s="5">
        <v>43924</v>
      </c>
      <c r="B669">
        <v>0.27010000000000001</v>
      </c>
      <c r="C669">
        <v>0.27750000000000002</v>
      </c>
      <c r="D669">
        <v>0.2555</v>
      </c>
      <c r="E669">
        <v>0.26150000000000001</v>
      </c>
      <c r="F669">
        <v>894335.76</v>
      </c>
      <c r="G669">
        <v>0</v>
      </c>
      <c r="L669" t="s">
        <v>7</v>
      </c>
      <c r="M669" t="s">
        <v>7</v>
      </c>
      <c r="N669" t="s">
        <v>7</v>
      </c>
      <c r="P669">
        <f t="shared" si="995"/>
        <v>-0.45454545454545453</v>
      </c>
      <c r="Q669">
        <f t="shared" si="996"/>
        <v>-406516.25454545452</v>
      </c>
      <c r="R669">
        <f t="shared" si="997"/>
        <v>-4937388.2169520166</v>
      </c>
      <c r="S669">
        <f t="shared" si="998"/>
        <v>-49.373882169520165</v>
      </c>
      <c r="T669">
        <f t="shared" si="999"/>
        <v>-4.9373882169520163E-2</v>
      </c>
    </row>
    <row r="670" spans="1:20" x14ac:dyDescent="0.25">
      <c r="A670" s="5">
        <v>43923</v>
      </c>
      <c r="B670">
        <v>0.26889999999999997</v>
      </c>
      <c r="C670">
        <v>0.28699999999999998</v>
      </c>
      <c r="D670">
        <v>0.26519999999999999</v>
      </c>
      <c r="E670">
        <v>0.2712</v>
      </c>
      <c r="F670">
        <v>1154235.18</v>
      </c>
      <c r="G670">
        <v>0</v>
      </c>
      <c r="L670" t="s">
        <v>8</v>
      </c>
      <c r="M670" t="s">
        <v>7</v>
      </c>
      <c r="N670" t="s">
        <v>7</v>
      </c>
      <c r="P670">
        <f t="shared" si="995"/>
        <v>-0.44954128440366886</v>
      </c>
      <c r="Q670">
        <f t="shared" si="996"/>
        <v>-518876.36532109987</v>
      </c>
      <c r="R670">
        <f t="shared" si="997"/>
        <v>-4530871.9624065617</v>
      </c>
      <c r="S670">
        <f t="shared" si="998"/>
        <v>-45.308719624065617</v>
      </c>
      <c r="T670">
        <f t="shared" si="999"/>
        <v>-4.5308719624065616E-2</v>
      </c>
    </row>
    <row r="671" spans="1:20" x14ac:dyDescent="0.25">
      <c r="A671" s="5">
        <v>43922</v>
      </c>
      <c r="B671">
        <v>0.2707</v>
      </c>
      <c r="C671">
        <v>0.27610000000000001</v>
      </c>
      <c r="D671">
        <v>0.25890000000000002</v>
      </c>
      <c r="E671">
        <v>0.27039999999999997</v>
      </c>
      <c r="F671">
        <v>482022.34</v>
      </c>
      <c r="G671">
        <v>0</v>
      </c>
      <c r="L671" t="s">
        <v>7</v>
      </c>
      <c r="M671" t="s">
        <v>7</v>
      </c>
      <c r="N671" t="s">
        <v>7</v>
      </c>
      <c r="P671">
        <f t="shared" si="995"/>
        <v>0.33720930232557667</v>
      </c>
      <c r="Q671">
        <f t="shared" si="996"/>
        <v>162542.41697674192</v>
      </c>
      <c r="R671">
        <f t="shared" si="997"/>
        <v>-4011995.5970854615</v>
      </c>
      <c r="S671">
        <f t="shared" si="998"/>
        <v>-40.119955970854612</v>
      </c>
      <c r="T671">
        <f t="shared" si="999"/>
        <v>-4.0119955970854611E-2</v>
      </c>
    </row>
    <row r="672" spans="1:20" x14ac:dyDescent="0.25">
      <c r="A672" s="5">
        <v>43921</v>
      </c>
      <c r="B672">
        <v>0.2752</v>
      </c>
      <c r="C672">
        <v>0.29799999999999999</v>
      </c>
      <c r="D672">
        <v>0.26550000000000001</v>
      </c>
      <c r="E672">
        <v>0.2707</v>
      </c>
      <c r="F672">
        <v>580418.61</v>
      </c>
      <c r="G672">
        <v>0</v>
      </c>
      <c r="L672" t="s">
        <v>7</v>
      </c>
      <c r="M672" t="s">
        <v>7</v>
      </c>
      <c r="N672" t="s">
        <v>7</v>
      </c>
      <c r="P672">
        <f t="shared" si="995"/>
        <v>-0.68000000000000083</v>
      </c>
      <c r="Q672">
        <f t="shared" si="996"/>
        <v>-394684.65480000048</v>
      </c>
      <c r="R672">
        <f t="shared" si="997"/>
        <v>-4174538.0140622035</v>
      </c>
      <c r="S672">
        <f t="shared" si="998"/>
        <v>-41.745380140622032</v>
      </c>
      <c r="T672">
        <f t="shared" si="999"/>
        <v>-4.1745380140622033E-2</v>
      </c>
    </row>
    <row r="673" spans="1:20" x14ac:dyDescent="0.25">
      <c r="A673" s="5">
        <v>43920</v>
      </c>
      <c r="B673">
        <v>0.24540000000000001</v>
      </c>
      <c r="C673">
        <v>0.33</v>
      </c>
      <c r="D673">
        <v>0.24299999999999999</v>
      </c>
      <c r="E673">
        <v>0.27510000000000001</v>
      </c>
      <c r="F673">
        <v>1424641.61</v>
      </c>
      <c r="G673">
        <v>0</v>
      </c>
      <c r="L673" t="s">
        <v>8</v>
      </c>
      <c r="M673" t="s">
        <v>8</v>
      </c>
      <c r="N673" t="s">
        <v>7</v>
      </c>
      <c r="P673">
        <f t="shared" si="995"/>
        <v>-0.26206896551724118</v>
      </c>
      <c r="Q673">
        <f t="shared" si="996"/>
        <v>-373354.35296551697</v>
      </c>
      <c r="R673">
        <f t="shared" si="997"/>
        <v>-3779853.3592622029</v>
      </c>
      <c r="S673">
        <f t="shared" si="998"/>
        <v>-37.798533592622029</v>
      </c>
      <c r="T673">
        <f t="shared" si="999"/>
        <v>-3.779853359262203E-2</v>
      </c>
    </row>
    <row r="674" spans="1:20" x14ac:dyDescent="0.25">
      <c r="A674" s="5">
        <v>43919</v>
      </c>
      <c r="B674">
        <v>0.25600000000000001</v>
      </c>
      <c r="C674">
        <v>0.26040000000000002</v>
      </c>
      <c r="D674">
        <v>0.24030000000000001</v>
      </c>
      <c r="E674">
        <v>0.24540000000000001</v>
      </c>
      <c r="F674">
        <v>487741.56</v>
      </c>
      <c r="G674">
        <v>0</v>
      </c>
      <c r="L674" t="s">
        <v>8</v>
      </c>
      <c r="M674" t="s">
        <v>7</v>
      </c>
      <c r="N674" t="s">
        <v>7</v>
      </c>
      <c r="P674">
        <f t="shared" si="995"/>
        <v>-0.49253731343283663</v>
      </c>
      <c r="Q674">
        <f t="shared" si="996"/>
        <v>-240230.91761194071</v>
      </c>
      <c r="R674">
        <f t="shared" si="997"/>
        <v>-3406499.0062966859</v>
      </c>
      <c r="S674">
        <f t="shared" si="998"/>
        <v>-34.064990062966856</v>
      </c>
      <c r="T674">
        <f t="shared" si="999"/>
        <v>-3.4064990062966857E-2</v>
      </c>
    </row>
    <row r="675" spans="1:20" x14ac:dyDescent="0.25">
      <c r="A675" s="5">
        <v>43918</v>
      </c>
      <c r="B675">
        <v>0.25509999999999999</v>
      </c>
      <c r="C675">
        <v>0.26379999999999998</v>
      </c>
      <c r="D675">
        <v>0.2402</v>
      </c>
      <c r="E675">
        <v>0.2555</v>
      </c>
      <c r="F675">
        <v>658135.31999999995</v>
      </c>
      <c r="G675">
        <v>0</v>
      </c>
      <c r="L675" t="s">
        <v>7</v>
      </c>
      <c r="M675" t="s">
        <v>7</v>
      </c>
      <c r="N675" t="s">
        <v>7</v>
      </c>
      <c r="P675">
        <f t="shared" si="995"/>
        <v>0.29661016949152708</v>
      </c>
      <c r="Q675">
        <f t="shared" si="996"/>
        <v>195209.62881356038</v>
      </c>
      <c r="R675">
        <f t="shared" si="997"/>
        <v>-3166268.0886847451</v>
      </c>
      <c r="S675">
        <f t="shared" si="998"/>
        <v>-31.662680886847451</v>
      </c>
      <c r="T675">
        <f t="shared" si="999"/>
        <v>-3.1662680886847448E-2</v>
      </c>
    </row>
    <row r="676" spans="1:20" x14ac:dyDescent="0.25">
      <c r="A676" s="5">
        <v>43917</v>
      </c>
      <c r="B676">
        <v>0.27360000000000001</v>
      </c>
      <c r="C676">
        <v>0.28000000000000003</v>
      </c>
      <c r="D676">
        <v>0.25359999999999999</v>
      </c>
      <c r="E676">
        <v>0.25509999999999999</v>
      </c>
      <c r="F676">
        <v>550146.81000000006</v>
      </c>
      <c r="G676">
        <v>0</v>
      </c>
      <c r="L676" t="s">
        <v>8</v>
      </c>
      <c r="M676" t="s">
        <v>7</v>
      </c>
      <c r="N676" t="s">
        <v>7</v>
      </c>
      <c r="P676">
        <f t="shared" si="995"/>
        <v>-0.88636363636363646</v>
      </c>
      <c r="Q676">
        <f t="shared" si="996"/>
        <v>-487630.12704545463</v>
      </c>
      <c r="R676">
        <f t="shared" si="997"/>
        <v>-3361477.7174983057</v>
      </c>
      <c r="S676">
        <f t="shared" si="998"/>
        <v>-33.614777174983054</v>
      </c>
      <c r="T676">
        <f t="shared" si="999"/>
        <v>-3.3614777174983054E-2</v>
      </c>
    </row>
    <row r="677" spans="1:20" x14ac:dyDescent="0.25">
      <c r="A677" s="5">
        <v>43916</v>
      </c>
      <c r="B677">
        <v>0.27010000000000001</v>
      </c>
      <c r="C677">
        <v>0.27339999999999998</v>
      </c>
      <c r="D677">
        <v>0.26400000000000001</v>
      </c>
      <c r="E677">
        <v>0.27339999999999998</v>
      </c>
      <c r="F677">
        <v>461884.71</v>
      </c>
      <c r="G677">
        <v>0</v>
      </c>
      <c r="L677" t="s">
        <v>8</v>
      </c>
      <c r="M677" t="s">
        <v>7</v>
      </c>
      <c r="N677" t="s">
        <v>7</v>
      </c>
      <c r="P677">
        <f t="shared" si="995"/>
        <v>1</v>
      </c>
      <c r="Q677">
        <f t="shared" si="996"/>
        <v>461884.71</v>
      </c>
      <c r="R677">
        <f t="shared" si="997"/>
        <v>-2873847.5904528513</v>
      </c>
      <c r="S677">
        <f t="shared" si="998"/>
        <v>-28.738475904528514</v>
      </c>
      <c r="T677">
        <f t="shared" si="999"/>
        <v>-2.8738475904528514E-2</v>
      </c>
    </row>
    <row r="678" spans="1:20" x14ac:dyDescent="0.25">
      <c r="A678" s="5">
        <v>43915</v>
      </c>
      <c r="B678">
        <v>0.27629999999999999</v>
      </c>
      <c r="C678">
        <v>0.27879999999999999</v>
      </c>
      <c r="D678">
        <v>0.253</v>
      </c>
      <c r="E678">
        <v>0.26919999999999999</v>
      </c>
      <c r="F678">
        <v>549087.16</v>
      </c>
      <c r="G678">
        <v>0</v>
      </c>
      <c r="L678" t="s">
        <v>7</v>
      </c>
      <c r="M678" t="s">
        <v>7</v>
      </c>
      <c r="N678" t="s">
        <v>7</v>
      </c>
      <c r="P678">
        <f t="shared" si="995"/>
        <v>0.25581395348837199</v>
      </c>
      <c r="Q678">
        <f t="shared" si="996"/>
        <v>140464.15720930227</v>
      </c>
      <c r="R678">
        <f t="shared" si="997"/>
        <v>-3335732.3004528512</v>
      </c>
      <c r="S678">
        <f t="shared" si="998"/>
        <v>-33.35732300452851</v>
      </c>
      <c r="T678">
        <f t="shared" si="999"/>
        <v>-3.3357323004528511E-2</v>
      </c>
    </row>
    <row r="679" spans="1:20" x14ac:dyDescent="0.25">
      <c r="A679" s="5">
        <v>43914</v>
      </c>
      <c r="B679">
        <v>0.27579999999999999</v>
      </c>
      <c r="C679">
        <v>0.28370000000000001</v>
      </c>
      <c r="D679">
        <v>0.26579999999999998</v>
      </c>
      <c r="E679">
        <v>0.2787</v>
      </c>
      <c r="F679">
        <v>753013.75</v>
      </c>
      <c r="G679">
        <v>0</v>
      </c>
      <c r="L679" t="s">
        <v>8</v>
      </c>
      <c r="M679" t="s">
        <v>7</v>
      </c>
      <c r="N679" t="s">
        <v>8</v>
      </c>
      <c r="P679">
        <f t="shared" si="995"/>
        <v>0.4413407821229054</v>
      </c>
      <c r="Q679">
        <f t="shared" si="996"/>
        <v>332335.67737430194</v>
      </c>
      <c r="R679">
        <f t="shared" si="997"/>
        <v>-3476196.4576621535</v>
      </c>
      <c r="S679">
        <f t="shared" si="998"/>
        <v>-34.761964576621537</v>
      </c>
      <c r="T679">
        <f t="shared" si="999"/>
        <v>-3.4761964576621535E-2</v>
      </c>
    </row>
    <row r="680" spans="1:20" x14ac:dyDescent="0.25">
      <c r="A680" s="5">
        <v>43913</v>
      </c>
      <c r="B680">
        <v>0.24260000000000001</v>
      </c>
      <c r="C680">
        <v>0.35820000000000002</v>
      </c>
      <c r="D680">
        <v>0.24</v>
      </c>
      <c r="E680">
        <v>0.2752</v>
      </c>
      <c r="F680">
        <v>782759.63</v>
      </c>
      <c r="G680">
        <v>0</v>
      </c>
      <c r="L680" t="s">
        <v>7</v>
      </c>
      <c r="M680" t="s">
        <v>8</v>
      </c>
      <c r="N680" t="s">
        <v>8</v>
      </c>
      <c r="P680">
        <f t="shared" si="995"/>
        <v>-0.40439932318104904</v>
      </c>
      <c r="Q680">
        <f t="shared" si="996"/>
        <v>-316547.46458544838</v>
      </c>
      <c r="R680">
        <f t="shared" si="997"/>
        <v>-3808532.1350364555</v>
      </c>
      <c r="S680">
        <f t="shared" si="998"/>
        <v>-38.085321350364552</v>
      </c>
      <c r="T680">
        <f t="shared" si="999"/>
        <v>-3.8085321350364555E-2</v>
      </c>
    </row>
    <row r="681" spans="1:20" x14ac:dyDescent="0.25">
      <c r="A681" s="5">
        <v>43912</v>
      </c>
      <c r="B681">
        <v>0.27529999999999999</v>
      </c>
      <c r="C681">
        <v>0.28999999999999998</v>
      </c>
      <c r="D681">
        <v>0.24099999999999999</v>
      </c>
      <c r="E681">
        <v>0.24410000000000001</v>
      </c>
      <c r="F681">
        <v>882192.52</v>
      </c>
      <c r="G681">
        <v>0</v>
      </c>
      <c r="L681" t="s">
        <v>7</v>
      </c>
      <c r="M681" t="s">
        <v>7</v>
      </c>
      <c r="N681" t="s">
        <v>8</v>
      </c>
      <c r="P681">
        <f t="shared" si="995"/>
        <v>-0.87346938775510119</v>
      </c>
      <c r="Q681">
        <f t="shared" si="996"/>
        <v>-770568.16032652988</v>
      </c>
      <c r="R681">
        <f t="shared" si="997"/>
        <v>-3491984.6704510073</v>
      </c>
      <c r="S681">
        <f t="shared" si="998"/>
        <v>-34.919846704510071</v>
      </c>
      <c r="T681">
        <f t="shared" si="999"/>
        <v>-3.4919846704510073E-2</v>
      </c>
    </row>
    <row r="682" spans="1:20" x14ac:dyDescent="0.25">
      <c r="A682" s="5">
        <v>43911</v>
      </c>
      <c r="B682">
        <v>0.28870000000000001</v>
      </c>
      <c r="C682">
        <v>0.30209999999999998</v>
      </c>
      <c r="D682">
        <v>0.25929999999999997</v>
      </c>
      <c r="E682">
        <v>0.27689999999999998</v>
      </c>
      <c r="F682">
        <v>941187.76</v>
      </c>
      <c r="G682">
        <v>0</v>
      </c>
      <c r="L682" t="s">
        <v>7</v>
      </c>
      <c r="M682" t="s">
        <v>7</v>
      </c>
      <c r="N682" t="s">
        <v>8</v>
      </c>
      <c r="P682">
        <f t="shared" si="995"/>
        <v>-0.17757009345794381</v>
      </c>
      <c r="Q682">
        <f t="shared" si="996"/>
        <v>-167126.7985046728</v>
      </c>
      <c r="R682">
        <f t="shared" si="997"/>
        <v>-2721416.5101244776</v>
      </c>
      <c r="S682">
        <f t="shared" si="998"/>
        <v>-27.214165101244774</v>
      </c>
      <c r="T682">
        <f t="shared" si="999"/>
        <v>-2.7214165101244775E-2</v>
      </c>
    </row>
    <row r="683" spans="1:20" x14ac:dyDescent="0.25">
      <c r="A683" s="5">
        <v>43910</v>
      </c>
      <c r="B683">
        <v>0.26900000000000002</v>
      </c>
      <c r="C683">
        <v>0.31790000000000002</v>
      </c>
      <c r="D683">
        <v>0.2661</v>
      </c>
      <c r="E683">
        <v>0.28870000000000001</v>
      </c>
      <c r="F683">
        <v>1394136.19</v>
      </c>
      <c r="G683">
        <v>0</v>
      </c>
      <c r="L683" t="s">
        <v>8</v>
      </c>
      <c r="M683" t="s">
        <v>8</v>
      </c>
      <c r="N683" t="s">
        <v>8</v>
      </c>
      <c r="P683">
        <f t="shared" si="995"/>
        <v>-0.12741312741312727</v>
      </c>
      <c r="Q683">
        <f t="shared" si="996"/>
        <v>-177631.25200772181</v>
      </c>
      <c r="R683">
        <f t="shared" si="997"/>
        <v>-2554289.7116198046</v>
      </c>
      <c r="S683">
        <f t="shared" si="998"/>
        <v>-25.542897116198045</v>
      </c>
      <c r="T683">
        <f t="shared" si="999"/>
        <v>-2.5542897116198046E-2</v>
      </c>
    </row>
    <row r="684" spans="1:20" x14ac:dyDescent="0.25">
      <c r="A684" s="5">
        <v>43909</v>
      </c>
      <c r="B684">
        <v>0.24490000000000001</v>
      </c>
      <c r="C684">
        <v>0.28320000000000001</v>
      </c>
      <c r="D684">
        <v>0.2402</v>
      </c>
      <c r="E684">
        <v>0.26889999999999997</v>
      </c>
      <c r="F684">
        <v>1186912.77</v>
      </c>
      <c r="G684">
        <v>0</v>
      </c>
      <c r="L684" t="s">
        <v>8</v>
      </c>
      <c r="M684" t="s">
        <v>8</v>
      </c>
      <c r="N684" t="s">
        <v>8</v>
      </c>
      <c r="P684">
        <f t="shared" si="995"/>
        <v>0.33488372093023111</v>
      </c>
      <c r="Q684">
        <f t="shared" si="996"/>
        <v>397477.76483720756</v>
      </c>
      <c r="R684">
        <f t="shared" si="997"/>
        <v>-2376658.4596120827</v>
      </c>
      <c r="S684">
        <f t="shared" si="998"/>
        <v>-23.766584596120826</v>
      </c>
      <c r="T684">
        <f t="shared" si="999"/>
        <v>-2.3766584596120827E-2</v>
      </c>
    </row>
    <row r="685" spans="1:20" x14ac:dyDescent="0.25">
      <c r="A685" s="5">
        <v>43908</v>
      </c>
      <c r="B685">
        <v>0.2404</v>
      </c>
      <c r="C685">
        <v>0.2545</v>
      </c>
      <c r="D685">
        <v>0.22</v>
      </c>
      <c r="E685">
        <v>0.24160000000000001</v>
      </c>
      <c r="F685">
        <v>970261.82</v>
      </c>
      <c r="G685">
        <v>0</v>
      </c>
      <c r="L685" t="s">
        <v>7</v>
      </c>
      <c r="M685" t="s">
        <v>7</v>
      </c>
      <c r="N685" t="s">
        <v>7</v>
      </c>
      <c r="P685">
        <f t="shared" si="995"/>
        <v>0.25217391304347864</v>
      </c>
      <c r="Q685">
        <f t="shared" si="996"/>
        <v>244674.7198260873</v>
      </c>
      <c r="R685">
        <f t="shared" si="997"/>
        <v>-2774136.2244492904</v>
      </c>
      <c r="S685">
        <f t="shared" si="998"/>
        <v>-27.741362244492905</v>
      </c>
      <c r="T685">
        <f t="shared" si="999"/>
        <v>-2.7741362244492904E-2</v>
      </c>
    </row>
    <row r="686" spans="1:20" x14ac:dyDescent="0.25">
      <c r="A686" s="5">
        <v>43907</v>
      </c>
      <c r="B686">
        <v>0.2311</v>
      </c>
      <c r="C686">
        <v>0.25990000000000002</v>
      </c>
      <c r="D686">
        <v>0.22520000000000001</v>
      </c>
      <c r="E686">
        <v>0.24210000000000001</v>
      </c>
      <c r="F686">
        <v>725006.63</v>
      </c>
      <c r="G686">
        <v>0</v>
      </c>
      <c r="L686" t="s">
        <v>8</v>
      </c>
      <c r="M686" t="s">
        <v>8</v>
      </c>
      <c r="N686" t="s">
        <v>7</v>
      </c>
      <c r="P686">
        <f t="shared" si="995"/>
        <v>-2.5936599423631461E-2</v>
      </c>
      <c r="Q686">
        <f t="shared" si="996"/>
        <v>-18804.206541786989</v>
      </c>
      <c r="R686">
        <f t="shared" si="997"/>
        <v>-3018810.9442753778</v>
      </c>
      <c r="S686">
        <f t="shared" si="998"/>
        <v>-30.188109442753778</v>
      </c>
      <c r="T686">
        <f t="shared" si="999"/>
        <v>-3.0188109442753776E-2</v>
      </c>
    </row>
    <row r="687" spans="1:20" x14ac:dyDescent="0.25">
      <c r="A687" s="5">
        <v>43906</v>
      </c>
      <c r="B687">
        <v>0.2485</v>
      </c>
      <c r="C687">
        <v>0.26050000000000001</v>
      </c>
      <c r="D687">
        <v>0.1953</v>
      </c>
      <c r="E687">
        <v>0.22989999999999999</v>
      </c>
      <c r="F687">
        <v>1284245.8500000001</v>
      </c>
      <c r="G687">
        <v>0</v>
      </c>
      <c r="L687" t="s">
        <v>7</v>
      </c>
      <c r="M687" t="s">
        <v>7</v>
      </c>
      <c r="N687" t="s">
        <v>7</v>
      </c>
      <c r="P687">
        <f t="shared" si="995"/>
        <v>6.134969325153336E-2</v>
      </c>
      <c r="Q687">
        <f t="shared" si="996"/>
        <v>78788.08895705473</v>
      </c>
      <c r="R687">
        <f t="shared" si="997"/>
        <v>-3000006.7377335909</v>
      </c>
      <c r="S687">
        <f t="shared" si="998"/>
        <v>-30.00006737733591</v>
      </c>
      <c r="T687">
        <f t="shared" si="999"/>
        <v>-3.0000067377335911E-2</v>
      </c>
    </row>
    <row r="688" spans="1:20" x14ac:dyDescent="0.25">
      <c r="A688" s="5">
        <v>43905</v>
      </c>
      <c r="B688">
        <v>0.222</v>
      </c>
      <c r="C688">
        <v>0.26690000000000003</v>
      </c>
      <c r="D688">
        <v>0.21879999999999999</v>
      </c>
      <c r="E688">
        <v>0.24959999999999999</v>
      </c>
      <c r="F688">
        <v>1082519</v>
      </c>
      <c r="G688">
        <v>0</v>
      </c>
      <c r="L688" t="s">
        <v>8</v>
      </c>
      <c r="M688" t="s">
        <v>7</v>
      </c>
      <c r="N688" t="s">
        <v>8</v>
      </c>
      <c r="P688">
        <f t="shared" si="995"/>
        <v>0.28066528066527957</v>
      </c>
      <c r="Q688">
        <f t="shared" si="996"/>
        <v>303825.49896049779</v>
      </c>
      <c r="R688">
        <f t="shared" si="997"/>
        <v>-3078794.8266906454</v>
      </c>
      <c r="S688">
        <f t="shared" si="998"/>
        <v>-30.787948266906454</v>
      </c>
      <c r="T688">
        <f t="shared" si="999"/>
        <v>-3.0787948266906454E-2</v>
      </c>
    </row>
    <row r="689" spans="1:20" x14ac:dyDescent="0.25">
      <c r="A689" s="5">
        <v>43904</v>
      </c>
      <c r="B689">
        <v>0.24310000000000001</v>
      </c>
      <c r="C689">
        <v>0.25729999999999997</v>
      </c>
      <c r="D689">
        <v>0.21690000000000001</v>
      </c>
      <c r="E689">
        <v>0.22170000000000001</v>
      </c>
      <c r="F689">
        <v>967018.14</v>
      </c>
      <c r="G689">
        <v>0</v>
      </c>
      <c r="L689" t="s">
        <v>8</v>
      </c>
      <c r="M689" t="s">
        <v>8</v>
      </c>
      <c r="N689" t="s">
        <v>8</v>
      </c>
      <c r="P689">
        <f t="shared" si="995"/>
        <v>-0.76237623762376228</v>
      </c>
      <c r="Q689">
        <f t="shared" si="996"/>
        <v>-737231.65128712868</v>
      </c>
      <c r="R689">
        <f t="shared" si="997"/>
        <v>-3382620.3256511432</v>
      </c>
      <c r="S689">
        <f t="shared" si="998"/>
        <v>-33.826203256511434</v>
      </c>
      <c r="T689">
        <f t="shared" si="999"/>
        <v>-3.3826203256511436E-2</v>
      </c>
    </row>
    <row r="690" spans="1:20" x14ac:dyDescent="0.25">
      <c r="A690" s="5">
        <v>43903</v>
      </c>
      <c r="B690">
        <v>0.22159999999999999</v>
      </c>
      <c r="C690">
        <v>0.26800000000000002</v>
      </c>
      <c r="D690">
        <v>0.13059999999999999</v>
      </c>
      <c r="E690">
        <v>0.24660000000000001</v>
      </c>
      <c r="F690">
        <v>2515846.08</v>
      </c>
      <c r="G690">
        <v>0</v>
      </c>
      <c r="L690" t="s">
        <v>7</v>
      </c>
      <c r="M690" t="s">
        <v>7</v>
      </c>
      <c r="N690" t="s">
        <v>7</v>
      </c>
      <c r="P690">
        <f t="shared" si="995"/>
        <v>0.68850072780203786</v>
      </c>
      <c r="Q690">
        <f t="shared" si="996"/>
        <v>1732161.8571179041</v>
      </c>
      <c r="R690">
        <f t="shared" si="997"/>
        <v>-2645388.6743640145</v>
      </c>
      <c r="S690">
        <f t="shared" si="998"/>
        <v>-26.453886743640144</v>
      </c>
      <c r="T690">
        <f t="shared" si="999"/>
        <v>-2.6453886743640145E-2</v>
      </c>
    </row>
    <row r="691" spans="1:20" x14ac:dyDescent="0.25">
      <c r="A691" s="5">
        <v>43902</v>
      </c>
      <c r="B691">
        <v>0.47599999999999998</v>
      </c>
      <c r="C691">
        <v>0.47910000000000003</v>
      </c>
      <c r="D691">
        <v>0.2031</v>
      </c>
      <c r="E691">
        <v>0.222</v>
      </c>
      <c r="F691">
        <v>2955618.55</v>
      </c>
      <c r="G691">
        <v>0</v>
      </c>
      <c r="L691" t="s">
        <v>7</v>
      </c>
      <c r="M691" t="s">
        <v>7</v>
      </c>
      <c r="N691" t="s">
        <v>7</v>
      </c>
      <c r="P691">
        <f t="shared" si="995"/>
        <v>-0.86304347826086947</v>
      </c>
      <c r="Q691">
        <f t="shared" si="996"/>
        <v>-2550827.3138043475</v>
      </c>
      <c r="R691">
        <f t="shared" si="997"/>
        <v>-4377550.5314819189</v>
      </c>
      <c r="S691">
        <f t="shared" si="998"/>
        <v>-43.775505314819192</v>
      </c>
      <c r="T691">
        <f t="shared" si="999"/>
        <v>-4.3775505314819191E-2</v>
      </c>
    </row>
    <row r="692" spans="1:20" x14ac:dyDescent="0.25">
      <c r="A692" s="5">
        <v>43901</v>
      </c>
      <c r="B692">
        <v>0.49540000000000001</v>
      </c>
      <c r="C692">
        <v>0.55249999999999999</v>
      </c>
      <c r="D692">
        <v>0.4516</v>
      </c>
      <c r="E692">
        <v>0.47460000000000002</v>
      </c>
      <c r="F692">
        <v>846308.17</v>
      </c>
      <c r="G692">
        <v>0</v>
      </c>
      <c r="L692" t="s">
        <v>8</v>
      </c>
      <c r="M692" t="s">
        <v>8</v>
      </c>
      <c r="N692" t="s">
        <v>7</v>
      </c>
      <c r="P692">
        <f t="shared" si="995"/>
        <v>-0.5441030723488598</v>
      </c>
      <c r="Q692">
        <f t="shared" si="996"/>
        <v>-460478.87545094115</v>
      </c>
      <c r="R692">
        <f t="shared" si="997"/>
        <v>-1826723.2176775713</v>
      </c>
      <c r="S692">
        <f t="shared" si="998"/>
        <v>-18.267232176775714</v>
      </c>
      <c r="T692">
        <f t="shared" si="999"/>
        <v>-1.8267232176775713E-2</v>
      </c>
    </row>
    <row r="693" spans="1:20" x14ac:dyDescent="0.25">
      <c r="A693" s="5">
        <v>43900</v>
      </c>
      <c r="B693">
        <v>0.4919</v>
      </c>
      <c r="C693">
        <v>0.51329999999999998</v>
      </c>
      <c r="D693">
        <v>0.47399999999999998</v>
      </c>
      <c r="E693">
        <v>0.49070000000000003</v>
      </c>
      <c r="F693">
        <v>660118.63</v>
      </c>
      <c r="G693">
        <v>0</v>
      </c>
      <c r="L693" t="s">
        <v>8</v>
      </c>
      <c r="M693" t="s">
        <v>7</v>
      </c>
      <c r="N693" t="s">
        <v>7</v>
      </c>
      <c r="P693">
        <f t="shared" si="995"/>
        <v>-0.15012722646310192</v>
      </c>
      <c r="Q693">
        <f t="shared" si="996"/>
        <v>-99101.779058522588</v>
      </c>
      <c r="R693">
        <f t="shared" si="997"/>
        <v>-1366244.3422266301</v>
      </c>
      <c r="S693">
        <f t="shared" si="998"/>
        <v>-13.662443422266302</v>
      </c>
      <c r="T693">
        <f t="shared" si="999"/>
        <v>-1.3662443422266302E-2</v>
      </c>
    </row>
    <row r="694" spans="1:20" x14ac:dyDescent="0.25">
      <c r="A694" s="5">
        <v>43899</v>
      </c>
      <c r="B694">
        <v>0.49330000000000002</v>
      </c>
      <c r="C694">
        <v>0.51849999999999996</v>
      </c>
      <c r="D694">
        <v>0.4405</v>
      </c>
      <c r="E694">
        <v>0.4919</v>
      </c>
      <c r="F694">
        <v>980464.71</v>
      </c>
      <c r="G694">
        <v>0</v>
      </c>
      <c r="L694" t="s">
        <v>7</v>
      </c>
      <c r="M694" t="s">
        <v>7</v>
      </c>
      <c r="N694" t="s">
        <v>7</v>
      </c>
      <c r="P694">
        <f t="shared" si="995"/>
        <v>0.31794871794871871</v>
      </c>
      <c r="Q694">
        <f t="shared" si="996"/>
        <v>311737.49753846228</v>
      </c>
      <c r="R694">
        <f t="shared" si="997"/>
        <v>-1267142.5631681075</v>
      </c>
      <c r="S694">
        <f t="shared" si="998"/>
        <v>-12.671425631681075</v>
      </c>
      <c r="T694">
        <f t="shared" si="999"/>
        <v>-1.2671425631681076E-2</v>
      </c>
    </row>
    <row r="695" spans="1:20" x14ac:dyDescent="0.25">
      <c r="A695" s="5">
        <v>43898</v>
      </c>
      <c r="B695">
        <v>0.60770000000000002</v>
      </c>
      <c r="C695">
        <v>0.61619999999999997</v>
      </c>
      <c r="D695">
        <v>0.4536</v>
      </c>
      <c r="E695">
        <v>0.49430000000000002</v>
      </c>
      <c r="F695">
        <v>1236689.03</v>
      </c>
      <c r="G695">
        <v>0</v>
      </c>
      <c r="L695" t="s">
        <v>7</v>
      </c>
      <c r="M695" t="s">
        <v>7</v>
      </c>
      <c r="N695" t="s">
        <v>7</v>
      </c>
      <c r="P695">
        <f t="shared" si="995"/>
        <v>-0.49938499384993823</v>
      </c>
      <c r="Q695">
        <f t="shared" si="996"/>
        <v>-617583.94364083605</v>
      </c>
      <c r="R695">
        <f t="shared" si="997"/>
        <v>-1578880.0607065698</v>
      </c>
      <c r="S695">
        <f t="shared" si="998"/>
        <v>-15.788800607065697</v>
      </c>
      <c r="T695">
        <f t="shared" si="999"/>
        <v>-1.5788800607065698E-2</v>
      </c>
    </row>
    <row r="696" spans="1:20" x14ac:dyDescent="0.25">
      <c r="A696" s="5">
        <v>43897</v>
      </c>
      <c r="B696">
        <v>0.64190000000000003</v>
      </c>
      <c r="C696">
        <v>0.64280000000000004</v>
      </c>
      <c r="D696">
        <v>0.60499999999999998</v>
      </c>
      <c r="E696">
        <v>0.60770000000000002</v>
      </c>
      <c r="F696">
        <v>377138.27</v>
      </c>
      <c r="G696">
        <v>0</v>
      </c>
      <c r="L696" t="s">
        <v>7</v>
      </c>
      <c r="M696" t="s">
        <v>8</v>
      </c>
      <c r="N696" t="s">
        <v>7</v>
      </c>
      <c r="P696">
        <f t="shared" si="995"/>
        <v>-0.85714285714285543</v>
      </c>
      <c r="Q696">
        <f t="shared" si="996"/>
        <v>-323261.37428571365</v>
      </c>
      <c r="R696">
        <f t="shared" si="997"/>
        <v>-961296.11706573365</v>
      </c>
      <c r="S696">
        <f t="shared" si="998"/>
        <v>-9.6129611706573357</v>
      </c>
      <c r="T696">
        <f t="shared" si="999"/>
        <v>-9.6129611706573352E-3</v>
      </c>
    </row>
    <row r="697" spans="1:20" x14ac:dyDescent="0.25">
      <c r="A697" s="5">
        <v>43896</v>
      </c>
      <c r="B697">
        <v>0.62350000000000005</v>
      </c>
      <c r="C697">
        <v>0.64959999999999996</v>
      </c>
      <c r="D697">
        <v>0.62009999999999998</v>
      </c>
      <c r="E697">
        <v>0.64190000000000003</v>
      </c>
      <c r="F697">
        <v>361956.38</v>
      </c>
      <c r="G697">
        <v>0</v>
      </c>
      <c r="L697" t="s">
        <v>8</v>
      </c>
      <c r="M697" t="s">
        <v>8</v>
      </c>
      <c r="N697" t="s">
        <v>7</v>
      </c>
      <c r="P697">
        <f t="shared" si="995"/>
        <v>0.47796610169491954</v>
      </c>
      <c r="Q697">
        <f t="shared" si="996"/>
        <v>173002.87993220493</v>
      </c>
      <c r="R697">
        <f t="shared" si="997"/>
        <v>-638034.74278001999</v>
      </c>
      <c r="S697">
        <f t="shared" si="998"/>
        <v>-6.3803474278002001</v>
      </c>
      <c r="T697">
        <f t="shared" si="999"/>
        <v>-6.3803474278002004E-3</v>
      </c>
    </row>
    <row r="698" spans="1:20" x14ac:dyDescent="0.25">
      <c r="A698" s="5">
        <v>43895</v>
      </c>
      <c r="B698">
        <v>0.61919999999999997</v>
      </c>
      <c r="C698">
        <v>0.64980000000000004</v>
      </c>
      <c r="D698">
        <v>0.6169</v>
      </c>
      <c r="E698">
        <v>0.62380000000000002</v>
      </c>
      <c r="F698">
        <v>413020.06</v>
      </c>
      <c r="G698">
        <v>0</v>
      </c>
      <c r="L698" t="s">
        <v>8</v>
      </c>
      <c r="M698" t="s">
        <v>8</v>
      </c>
      <c r="N698" t="s">
        <v>7</v>
      </c>
      <c r="P698">
        <f t="shared" si="995"/>
        <v>-0.58054711246200552</v>
      </c>
      <c r="Q698">
        <f t="shared" si="996"/>
        <v>-239777.60322188426</v>
      </c>
      <c r="R698">
        <f t="shared" si="997"/>
        <v>-811037.62271222495</v>
      </c>
      <c r="S698">
        <f t="shared" si="998"/>
        <v>-8.1103762271222504</v>
      </c>
      <c r="T698">
        <f t="shared" si="999"/>
        <v>-8.1103762271222506E-3</v>
      </c>
    </row>
    <row r="699" spans="1:20" x14ac:dyDescent="0.25">
      <c r="A699" s="5">
        <v>43894</v>
      </c>
      <c r="B699">
        <v>0.63370000000000004</v>
      </c>
      <c r="C699">
        <v>0.63590000000000002</v>
      </c>
      <c r="D699">
        <v>0.60299999999999998</v>
      </c>
      <c r="E699">
        <v>0.61780000000000002</v>
      </c>
      <c r="F699">
        <v>372055.32</v>
      </c>
      <c r="G699">
        <v>0</v>
      </c>
      <c r="L699" t="s">
        <v>8</v>
      </c>
      <c r="M699" t="s">
        <v>7</v>
      </c>
      <c r="N699" t="s">
        <v>7</v>
      </c>
      <c r="P699">
        <f t="shared" si="995"/>
        <v>-0.10030395136778011</v>
      </c>
      <c r="Q699">
        <f t="shared" si="996"/>
        <v>-37318.618723403866</v>
      </c>
      <c r="R699">
        <f t="shared" si="997"/>
        <v>-571260.01949034072</v>
      </c>
      <c r="S699">
        <f t="shared" si="998"/>
        <v>-5.7126001949034073</v>
      </c>
      <c r="T699">
        <f t="shared" si="999"/>
        <v>-5.7126001949034076E-3</v>
      </c>
    </row>
    <row r="700" spans="1:20" x14ac:dyDescent="0.25">
      <c r="A700" s="5">
        <v>43893</v>
      </c>
      <c r="B700">
        <v>0.62990000000000002</v>
      </c>
      <c r="C700">
        <v>0.63859999999999995</v>
      </c>
      <c r="D700">
        <v>0.6</v>
      </c>
      <c r="E700">
        <v>0.63370000000000004</v>
      </c>
      <c r="F700">
        <v>383618.85</v>
      </c>
      <c r="G700">
        <v>0</v>
      </c>
      <c r="L700" t="s">
        <v>8</v>
      </c>
      <c r="M700" t="s">
        <v>7</v>
      </c>
      <c r="N700" t="s">
        <v>7</v>
      </c>
      <c r="P700">
        <f t="shared" si="995"/>
        <v>0.74611398963731046</v>
      </c>
      <c r="Q700">
        <f t="shared" si="996"/>
        <v>286223.39067357691</v>
      </c>
      <c r="R700">
        <f t="shared" si="997"/>
        <v>-533941.40076693683</v>
      </c>
      <c r="S700">
        <f t="shared" si="998"/>
        <v>-5.3394140076693679</v>
      </c>
      <c r="T700">
        <f t="shared" si="999"/>
        <v>-5.3394140076693675E-3</v>
      </c>
    </row>
    <row r="701" spans="1:20" x14ac:dyDescent="0.25">
      <c r="A701" s="5">
        <v>43892</v>
      </c>
      <c r="B701">
        <v>0.58089999999999997</v>
      </c>
      <c r="C701">
        <v>0.63970000000000005</v>
      </c>
      <c r="D701">
        <v>0.57699999999999996</v>
      </c>
      <c r="E701">
        <v>0.62990000000000002</v>
      </c>
      <c r="F701">
        <v>397237.22</v>
      </c>
      <c r="G701">
        <v>0</v>
      </c>
      <c r="L701" t="s">
        <v>8</v>
      </c>
      <c r="M701" t="s">
        <v>7</v>
      </c>
      <c r="N701" t="s">
        <v>7</v>
      </c>
      <c r="P701">
        <f t="shared" si="995"/>
        <v>0.68740031897926579</v>
      </c>
      <c r="Q701">
        <f t="shared" si="996"/>
        <v>273060.99173843674</v>
      </c>
      <c r="R701">
        <f t="shared" si="997"/>
        <v>-820164.79144051368</v>
      </c>
      <c r="S701">
        <f t="shared" si="998"/>
        <v>-8.201647914405136</v>
      </c>
      <c r="T701">
        <f t="shared" si="999"/>
        <v>-8.2016479144051361E-3</v>
      </c>
    </row>
    <row r="702" spans="1:20" x14ac:dyDescent="0.25">
      <c r="A702" s="5">
        <v>43891</v>
      </c>
      <c r="B702">
        <v>0.56699999999999995</v>
      </c>
      <c r="C702">
        <v>0.59840000000000004</v>
      </c>
      <c r="D702">
        <v>0.56220000000000003</v>
      </c>
      <c r="E702">
        <v>0.57779999999999998</v>
      </c>
      <c r="F702">
        <v>400739.79</v>
      </c>
      <c r="G702">
        <v>0</v>
      </c>
      <c r="L702" t="s">
        <v>7</v>
      </c>
      <c r="M702" t="s">
        <v>7</v>
      </c>
      <c r="N702" t="s">
        <v>7</v>
      </c>
      <c r="P702">
        <f t="shared" si="995"/>
        <v>-0.13812154696132911</v>
      </c>
      <c r="Q702">
        <f t="shared" si="996"/>
        <v>-55350.799723758166</v>
      </c>
      <c r="R702">
        <f t="shared" si="997"/>
        <v>-1093225.7831789504</v>
      </c>
      <c r="S702">
        <f t="shared" si="998"/>
        <v>-10.932257831789505</v>
      </c>
      <c r="T702">
        <f t="shared" si="999"/>
        <v>-1.0932257831789504E-2</v>
      </c>
    </row>
    <row r="703" spans="1:20" x14ac:dyDescent="0.25">
      <c r="A703" s="5">
        <v>43890</v>
      </c>
      <c r="B703">
        <v>0.56999999999999995</v>
      </c>
      <c r="C703">
        <v>0.60499999999999998</v>
      </c>
      <c r="D703">
        <v>0.56430000000000002</v>
      </c>
      <c r="E703">
        <v>0.56720000000000004</v>
      </c>
      <c r="F703">
        <v>239493.86</v>
      </c>
      <c r="G703">
        <v>0</v>
      </c>
      <c r="L703" t="s">
        <v>8</v>
      </c>
      <c r="M703" t="s">
        <v>7</v>
      </c>
      <c r="N703" t="s">
        <v>7</v>
      </c>
      <c r="P703">
        <f t="shared" si="995"/>
        <v>-0.85749385749385665</v>
      </c>
      <c r="Q703">
        <f t="shared" si="996"/>
        <v>-205364.51385749364</v>
      </c>
      <c r="R703">
        <f t="shared" si="997"/>
        <v>-1037874.9834551923</v>
      </c>
      <c r="S703">
        <f t="shared" si="998"/>
        <v>-10.378749834551924</v>
      </c>
      <c r="T703">
        <f t="shared" si="999"/>
        <v>-1.0378749834551924E-2</v>
      </c>
    </row>
    <row r="704" spans="1:20" x14ac:dyDescent="0.25">
      <c r="A704" s="5">
        <v>43889</v>
      </c>
      <c r="B704">
        <v>0.59060000000000001</v>
      </c>
      <c r="C704">
        <v>0.60629999999999995</v>
      </c>
      <c r="D704">
        <v>0.54379999999999995</v>
      </c>
      <c r="E704">
        <v>0.56699999999999995</v>
      </c>
      <c r="F704">
        <v>920504.11</v>
      </c>
      <c r="G704">
        <v>0</v>
      </c>
      <c r="L704" t="s">
        <v>7</v>
      </c>
      <c r="M704" t="s">
        <v>7</v>
      </c>
      <c r="N704" t="s">
        <v>7</v>
      </c>
      <c r="P704">
        <f t="shared" si="995"/>
        <v>-0.25760000000000005</v>
      </c>
      <c r="Q704">
        <f t="shared" si="996"/>
        <v>-237121.85873600005</v>
      </c>
      <c r="R704">
        <f t="shared" si="997"/>
        <v>-832510.46959769865</v>
      </c>
      <c r="S704">
        <f t="shared" si="998"/>
        <v>-8.3251046959769859</v>
      </c>
      <c r="T704">
        <f t="shared" si="999"/>
        <v>-8.3251046959769859E-3</v>
      </c>
    </row>
    <row r="705" spans="1:20" x14ac:dyDescent="0.25">
      <c r="A705" s="5">
        <v>43888</v>
      </c>
      <c r="B705">
        <v>0.57010000000000005</v>
      </c>
      <c r="C705">
        <v>0.61129999999999995</v>
      </c>
      <c r="D705">
        <v>0.54020000000000001</v>
      </c>
      <c r="E705">
        <v>0.58779999999999999</v>
      </c>
      <c r="F705">
        <v>787104.97</v>
      </c>
      <c r="G705">
        <v>0</v>
      </c>
      <c r="L705" t="s">
        <v>8</v>
      </c>
      <c r="M705" t="s">
        <v>7</v>
      </c>
      <c r="N705" t="s">
        <v>7</v>
      </c>
      <c r="P705">
        <f t="shared" si="995"/>
        <v>0.33895921237693433</v>
      </c>
      <c r="Q705">
        <f t="shared" si="996"/>
        <v>266796.48068917054</v>
      </c>
      <c r="R705">
        <f t="shared" si="997"/>
        <v>-595388.61086169863</v>
      </c>
      <c r="S705">
        <f t="shared" si="998"/>
        <v>-5.9538861086169863</v>
      </c>
      <c r="T705">
        <f t="shared" si="999"/>
        <v>-5.9538861086169863E-3</v>
      </c>
    </row>
    <row r="706" spans="1:20" x14ac:dyDescent="0.25">
      <c r="A706" s="5">
        <v>43887</v>
      </c>
      <c r="B706">
        <v>0.62980000000000003</v>
      </c>
      <c r="C706">
        <v>0.62980000000000003</v>
      </c>
      <c r="D706">
        <v>0.53500000000000003</v>
      </c>
      <c r="E706">
        <v>0.57530000000000003</v>
      </c>
      <c r="F706">
        <v>1169022.26</v>
      </c>
      <c r="G706">
        <v>0</v>
      </c>
      <c r="L706" t="s">
        <v>7</v>
      </c>
      <c r="M706" t="s">
        <v>7</v>
      </c>
      <c r="N706" t="s">
        <v>7</v>
      </c>
      <c r="P706">
        <f t="shared" si="995"/>
        <v>-0.1497890295358649</v>
      </c>
      <c r="Q706">
        <f t="shared" si="996"/>
        <v>-175106.70983122353</v>
      </c>
      <c r="R706">
        <f t="shared" si="997"/>
        <v>-862185.09155086917</v>
      </c>
      <c r="S706">
        <f t="shared" si="998"/>
        <v>-8.6218509155086913</v>
      </c>
      <c r="T706">
        <f t="shared" si="999"/>
        <v>-8.6218509155086918E-3</v>
      </c>
    </row>
    <row r="707" spans="1:20" x14ac:dyDescent="0.25">
      <c r="A707" s="5">
        <v>43886</v>
      </c>
      <c r="B707">
        <v>0.67230000000000001</v>
      </c>
      <c r="C707">
        <v>0.6784</v>
      </c>
      <c r="D707">
        <v>0.62319999999999998</v>
      </c>
      <c r="E707">
        <v>0.626</v>
      </c>
      <c r="F707">
        <v>750167.85</v>
      </c>
      <c r="G707">
        <v>0</v>
      </c>
      <c r="L707" t="s">
        <v>7</v>
      </c>
      <c r="M707" t="s">
        <v>7</v>
      </c>
      <c r="N707" t="s">
        <v>7</v>
      </c>
      <c r="P707">
        <f t="shared" si="995"/>
        <v>-0.89855072463768026</v>
      </c>
      <c r="Q707">
        <f t="shared" si="996"/>
        <v>-674063.86521739059</v>
      </c>
      <c r="R707">
        <f t="shared" si="997"/>
        <v>-687078.38171964558</v>
      </c>
      <c r="S707">
        <f t="shared" si="998"/>
        <v>-6.8707838171964557</v>
      </c>
      <c r="T707">
        <f t="shared" si="999"/>
        <v>-6.8707838171964556E-3</v>
      </c>
    </row>
    <row r="708" spans="1:20" x14ac:dyDescent="0.25">
      <c r="A708" s="5">
        <v>43885</v>
      </c>
      <c r="B708">
        <v>0.72599999999999998</v>
      </c>
      <c r="C708">
        <v>0.73419999999999996</v>
      </c>
      <c r="D708">
        <v>0.66200000000000003</v>
      </c>
      <c r="E708">
        <v>0.67459999999999998</v>
      </c>
      <c r="F708">
        <v>477675.07</v>
      </c>
      <c r="G708">
        <v>0</v>
      </c>
      <c r="L708" t="s">
        <v>7</v>
      </c>
      <c r="M708" t="s">
        <v>7</v>
      </c>
      <c r="N708" t="s">
        <v>7</v>
      </c>
      <c r="P708">
        <f t="shared" si="995"/>
        <v>-0.6509695290858738</v>
      </c>
      <c r="Q708">
        <f t="shared" si="996"/>
        <v>-310951.91537396179</v>
      </c>
      <c r="R708">
        <f t="shared" si="997"/>
        <v>-13014.516502254992</v>
      </c>
      <c r="S708">
        <f t="shared" si="998"/>
        <v>-0.13014516502254991</v>
      </c>
      <c r="T708">
        <f t="shared" si="999"/>
        <v>-1.301451650225499E-4</v>
      </c>
    </row>
    <row r="709" spans="1:20" x14ac:dyDescent="0.25">
      <c r="A709" s="5">
        <v>43884</v>
      </c>
      <c r="B709">
        <v>0.69889999999999997</v>
      </c>
      <c r="C709">
        <v>0.72860000000000003</v>
      </c>
      <c r="D709">
        <v>0.69620000000000004</v>
      </c>
      <c r="E709">
        <v>0.72860000000000003</v>
      </c>
      <c r="F709">
        <v>286746.76</v>
      </c>
      <c r="G709">
        <v>0</v>
      </c>
      <c r="L709" t="s">
        <v>8</v>
      </c>
      <c r="M709" t="s">
        <v>8</v>
      </c>
      <c r="N709" t="s">
        <v>7</v>
      </c>
      <c r="P709">
        <f t="shared" si="995"/>
        <v>1</v>
      </c>
      <c r="Q709">
        <f t="shared" si="996"/>
        <v>286746.76</v>
      </c>
      <c r="R709">
        <f t="shared" si="997"/>
        <v>297937.3988717068</v>
      </c>
      <c r="S709">
        <f t="shared" si="998"/>
        <v>2.979373988717068</v>
      </c>
      <c r="T709">
        <f t="shared" si="999"/>
        <v>2.9793739887170679E-3</v>
      </c>
    </row>
    <row r="710" spans="1:20" x14ac:dyDescent="0.25">
      <c r="A710" s="5">
        <v>43883</v>
      </c>
      <c r="B710">
        <v>0.70799999999999996</v>
      </c>
      <c r="C710">
        <v>0.71530000000000005</v>
      </c>
      <c r="D710">
        <v>0.6865</v>
      </c>
      <c r="E710">
        <v>0.69630000000000003</v>
      </c>
      <c r="F710">
        <v>224988.49</v>
      </c>
      <c r="G710">
        <v>0</v>
      </c>
      <c r="L710" t="s">
        <v>8</v>
      </c>
      <c r="M710" t="s">
        <v>8</v>
      </c>
      <c r="N710" t="s">
        <v>7</v>
      </c>
      <c r="P710">
        <f t="shared" ref="P710:P766" si="1000">IF(C710=D710,0,((E710-D710)-(C710-E710))/(C710-D710))</f>
        <v>-0.31944444444444342</v>
      </c>
      <c r="Q710">
        <f t="shared" ref="Q710:Q766" si="1001">F710*P710</f>
        <v>-71871.323194444209</v>
      </c>
      <c r="R710">
        <f t="shared" ref="R710:R766" si="1002">R711+Q710</f>
        <v>11190.638871706818</v>
      </c>
      <c r="S710">
        <f t="shared" ref="S710:S766" si="1003">R710/100000</f>
        <v>0.11190638871706818</v>
      </c>
      <c r="T710">
        <f t="shared" ref="T710:T766" si="1004">S710/1000</f>
        <v>1.1190638871706817E-4</v>
      </c>
    </row>
    <row r="711" spans="1:20" x14ac:dyDescent="0.25">
      <c r="A711" s="5">
        <v>43882</v>
      </c>
      <c r="B711">
        <v>0.70669999999999999</v>
      </c>
      <c r="C711">
        <v>0.73509999999999998</v>
      </c>
      <c r="D711">
        <v>0.70620000000000005</v>
      </c>
      <c r="E711">
        <v>0.71060000000000001</v>
      </c>
      <c r="F711">
        <v>376147.11</v>
      </c>
      <c r="G711">
        <v>0</v>
      </c>
      <c r="L711" t="s">
        <v>8</v>
      </c>
      <c r="M711" t="s">
        <v>8</v>
      </c>
      <c r="N711" t="s">
        <v>7</v>
      </c>
      <c r="P711">
        <f t="shared" si="1000"/>
        <v>-0.69550173010380822</v>
      </c>
      <c r="Q711">
        <f t="shared" si="1001"/>
        <v>-261610.96577854746</v>
      </c>
      <c r="R711">
        <f t="shared" si="1002"/>
        <v>83061.962066151027</v>
      </c>
      <c r="S711">
        <f t="shared" si="1003"/>
        <v>0.83061962066151029</v>
      </c>
      <c r="T711">
        <f t="shared" si="1004"/>
        <v>8.3061962066151025E-4</v>
      </c>
    </row>
    <row r="712" spans="1:20" x14ac:dyDescent="0.25">
      <c r="A712" s="5">
        <v>43881</v>
      </c>
      <c r="B712">
        <v>0.70369999999999999</v>
      </c>
      <c r="C712">
        <v>0.73960000000000004</v>
      </c>
      <c r="D712">
        <v>0.68600000000000005</v>
      </c>
      <c r="E712">
        <v>0.70479999999999998</v>
      </c>
      <c r="F712">
        <v>495018.48</v>
      </c>
      <c r="G712">
        <v>0</v>
      </c>
      <c r="L712" t="s">
        <v>8</v>
      </c>
      <c r="M712" t="s">
        <v>8</v>
      </c>
      <c r="N712" t="s">
        <v>7</v>
      </c>
      <c r="P712">
        <f t="shared" si="1000"/>
        <v>-0.29850746268656958</v>
      </c>
      <c r="Q712">
        <f t="shared" si="1001"/>
        <v>-147766.71044776239</v>
      </c>
      <c r="R712">
        <f t="shared" si="1002"/>
        <v>344672.92784469848</v>
      </c>
      <c r="S712">
        <f t="shared" si="1003"/>
        <v>3.446729278446985</v>
      </c>
      <c r="T712">
        <f t="shared" si="1004"/>
        <v>3.446729278446985E-3</v>
      </c>
    </row>
    <row r="713" spans="1:20" x14ac:dyDescent="0.25">
      <c r="A713" s="5">
        <v>43880</v>
      </c>
      <c r="B713">
        <v>0.77359999999999995</v>
      </c>
      <c r="C713">
        <v>0.78</v>
      </c>
      <c r="D713">
        <v>0.68500000000000005</v>
      </c>
      <c r="E713">
        <v>0.70789999999999997</v>
      </c>
      <c r="F713">
        <v>553732.04</v>
      </c>
      <c r="G713">
        <v>0</v>
      </c>
      <c r="L713" t="s">
        <v>7</v>
      </c>
      <c r="M713" t="s">
        <v>8</v>
      </c>
      <c r="N713" t="s">
        <v>7</v>
      </c>
      <c r="P713">
        <f t="shared" si="1000"/>
        <v>-0.51789473684210685</v>
      </c>
      <c r="Q713">
        <f t="shared" si="1001"/>
        <v>-286774.90913684299</v>
      </c>
      <c r="R713">
        <f t="shared" si="1002"/>
        <v>492439.63829246088</v>
      </c>
      <c r="S713">
        <f t="shared" si="1003"/>
        <v>4.9243963829246091</v>
      </c>
      <c r="T713">
        <f t="shared" si="1004"/>
        <v>4.9243963829246088E-3</v>
      </c>
    </row>
    <row r="714" spans="1:20" x14ac:dyDescent="0.25">
      <c r="A714" s="5">
        <v>43879</v>
      </c>
      <c r="B714">
        <v>0.74009999999999998</v>
      </c>
      <c r="C714">
        <v>0.79179999999999995</v>
      </c>
      <c r="D714">
        <v>0.71560000000000001</v>
      </c>
      <c r="E714">
        <v>0.77259999999999995</v>
      </c>
      <c r="F714">
        <v>594094.19999999995</v>
      </c>
      <c r="G714">
        <v>0</v>
      </c>
      <c r="L714" t="s">
        <v>8</v>
      </c>
      <c r="M714" t="s">
        <v>8</v>
      </c>
      <c r="N714" t="s">
        <v>7</v>
      </c>
      <c r="P714">
        <f t="shared" si="1000"/>
        <v>0.49606299212598398</v>
      </c>
      <c r="Q714">
        <f t="shared" si="1001"/>
        <v>294708.14645669272</v>
      </c>
      <c r="R714">
        <f t="shared" si="1002"/>
        <v>779214.54742930387</v>
      </c>
      <c r="S714">
        <f t="shared" si="1003"/>
        <v>7.7921454742930383</v>
      </c>
      <c r="T714">
        <f t="shared" si="1004"/>
        <v>7.7921454742930383E-3</v>
      </c>
    </row>
    <row r="715" spans="1:20" x14ac:dyDescent="0.25">
      <c r="A715" s="5">
        <v>43878</v>
      </c>
      <c r="B715">
        <v>0.74850000000000005</v>
      </c>
      <c r="C715">
        <v>0.75590000000000002</v>
      </c>
      <c r="D715">
        <v>0.66979999999999995</v>
      </c>
      <c r="E715">
        <v>0.74370000000000003</v>
      </c>
      <c r="F715">
        <v>1031540.05</v>
      </c>
      <c r="G715">
        <v>0</v>
      </c>
      <c r="L715" t="s">
        <v>8</v>
      </c>
      <c r="M715" t="s">
        <v>7</v>
      </c>
      <c r="N715" t="s">
        <v>7</v>
      </c>
      <c r="P715">
        <f t="shared" si="1000"/>
        <v>0.71660859465737559</v>
      </c>
      <c r="Q715">
        <f t="shared" si="1001"/>
        <v>739210.46556329902</v>
      </c>
      <c r="R715">
        <f t="shared" si="1002"/>
        <v>484506.4009726111</v>
      </c>
      <c r="S715">
        <f t="shared" si="1003"/>
        <v>4.8450640097261113</v>
      </c>
      <c r="T715">
        <f t="shared" si="1004"/>
        <v>4.845064009726111E-3</v>
      </c>
    </row>
    <row r="716" spans="1:20" x14ac:dyDescent="0.25">
      <c r="A716" s="5">
        <v>43877</v>
      </c>
      <c r="B716">
        <v>0.82120000000000004</v>
      </c>
      <c r="C716">
        <v>0.84730000000000005</v>
      </c>
      <c r="D716">
        <v>0.65</v>
      </c>
      <c r="E716">
        <v>0.75219999999999998</v>
      </c>
      <c r="F716">
        <v>1611695.37</v>
      </c>
      <c r="G716">
        <v>0</v>
      </c>
      <c r="L716" t="s">
        <v>7</v>
      </c>
      <c r="M716" t="s">
        <v>7</v>
      </c>
      <c r="N716" t="s">
        <v>7</v>
      </c>
      <c r="P716">
        <f t="shared" si="1000"/>
        <v>3.598580841358278E-2</v>
      </c>
      <c r="Q716">
        <f t="shared" si="1001"/>
        <v>57998.160805878419</v>
      </c>
      <c r="R716">
        <f t="shared" si="1002"/>
        <v>-254704.06459068792</v>
      </c>
      <c r="S716">
        <f t="shared" si="1003"/>
        <v>-2.5470406459068791</v>
      </c>
      <c r="T716">
        <f t="shared" si="1004"/>
        <v>-2.5470406459068792E-3</v>
      </c>
    </row>
    <row r="717" spans="1:20" x14ac:dyDescent="0.25">
      <c r="A717" s="5">
        <v>43876</v>
      </c>
      <c r="B717">
        <v>0.93740000000000001</v>
      </c>
      <c r="C717">
        <v>0.95720000000000005</v>
      </c>
      <c r="D717">
        <v>0.80059999999999998</v>
      </c>
      <c r="E717">
        <v>0.82120000000000004</v>
      </c>
      <c r="F717">
        <v>1184804.5900000001</v>
      </c>
      <c r="G717">
        <v>0</v>
      </c>
      <c r="L717" t="s">
        <v>7</v>
      </c>
      <c r="M717" t="s">
        <v>7</v>
      </c>
      <c r="N717" t="s">
        <v>8</v>
      </c>
      <c r="P717">
        <f t="shared" si="1000"/>
        <v>-0.73690932311621904</v>
      </c>
      <c r="Q717">
        <f t="shared" si="1001"/>
        <v>-873093.54844188946</v>
      </c>
      <c r="R717">
        <f t="shared" si="1002"/>
        <v>-312702.22539656633</v>
      </c>
      <c r="S717">
        <f t="shared" si="1003"/>
        <v>-3.1270222539656634</v>
      </c>
      <c r="T717">
        <f t="shared" si="1004"/>
        <v>-3.1270222539656633E-3</v>
      </c>
    </row>
    <row r="718" spans="1:20" x14ac:dyDescent="0.25">
      <c r="A718" s="5">
        <v>43875</v>
      </c>
      <c r="B718">
        <v>0.91159999999999997</v>
      </c>
      <c r="C718">
        <v>0.96499999999999997</v>
      </c>
      <c r="D718">
        <v>0.89590000000000003</v>
      </c>
      <c r="E718">
        <v>0.93510000000000004</v>
      </c>
      <c r="F718">
        <v>548071.85</v>
      </c>
      <c r="G718">
        <v>0</v>
      </c>
      <c r="L718" t="s">
        <v>8</v>
      </c>
      <c r="M718" t="s">
        <v>8</v>
      </c>
      <c r="N718" t="s">
        <v>8</v>
      </c>
      <c r="P718">
        <f t="shared" si="1000"/>
        <v>0.13458755426917648</v>
      </c>
      <c r="Q718">
        <f t="shared" si="1001"/>
        <v>73763.649855282958</v>
      </c>
      <c r="R718">
        <f t="shared" si="1002"/>
        <v>560391.32304532314</v>
      </c>
      <c r="S718">
        <f t="shared" si="1003"/>
        <v>5.6039132304532311</v>
      </c>
      <c r="T718">
        <f t="shared" si="1004"/>
        <v>5.6039132304532314E-3</v>
      </c>
    </row>
    <row r="719" spans="1:20" x14ac:dyDescent="0.25">
      <c r="A719" s="5">
        <v>43874</v>
      </c>
      <c r="B719">
        <v>0.97770000000000001</v>
      </c>
      <c r="C719">
        <v>1.0065999999999999</v>
      </c>
      <c r="D719">
        <v>0.89329999999999998</v>
      </c>
      <c r="E719">
        <v>0.91210000000000002</v>
      </c>
      <c r="F719">
        <v>1336452.72</v>
      </c>
      <c r="G719">
        <v>0</v>
      </c>
      <c r="L719" t="s">
        <v>7</v>
      </c>
      <c r="M719" t="s">
        <v>8</v>
      </c>
      <c r="N719" t="s">
        <v>8</v>
      </c>
      <c r="P719">
        <f t="shared" si="1000"/>
        <v>-0.66813768755516245</v>
      </c>
      <c r="Q719">
        <f t="shared" si="1001"/>
        <v>-892934.42986760696</v>
      </c>
      <c r="R719">
        <f t="shared" si="1002"/>
        <v>486627.67319004016</v>
      </c>
      <c r="S719">
        <f t="shared" si="1003"/>
        <v>4.8662767319004017</v>
      </c>
      <c r="T719">
        <f t="shared" si="1004"/>
        <v>4.8662767319004015E-3</v>
      </c>
    </row>
    <row r="720" spans="1:20" x14ac:dyDescent="0.25">
      <c r="A720" s="5">
        <v>43873</v>
      </c>
      <c r="B720">
        <v>0.93110000000000004</v>
      </c>
      <c r="C720">
        <v>1.0249999999999999</v>
      </c>
      <c r="D720">
        <v>0.92759999999999998</v>
      </c>
      <c r="E720">
        <v>0.97760000000000002</v>
      </c>
      <c r="F720">
        <v>1513334.54</v>
      </c>
      <c r="G720">
        <v>0</v>
      </c>
      <c r="L720" t="s">
        <v>8</v>
      </c>
      <c r="M720" t="s">
        <v>8</v>
      </c>
      <c r="N720" t="s">
        <v>8</v>
      </c>
      <c r="P720">
        <f t="shared" si="1000"/>
        <v>2.6694045174539625E-2</v>
      </c>
      <c r="Q720">
        <f t="shared" si="1001"/>
        <v>40397.020574951144</v>
      </c>
      <c r="R720">
        <f t="shared" si="1002"/>
        <v>1379562.1030576471</v>
      </c>
      <c r="S720">
        <f t="shared" si="1003"/>
        <v>13.795621030576472</v>
      </c>
      <c r="T720">
        <f t="shared" si="1004"/>
        <v>1.3795621030576471E-2</v>
      </c>
    </row>
    <row r="721" spans="1:20" x14ac:dyDescent="0.25">
      <c r="A721" s="5">
        <v>43872</v>
      </c>
      <c r="B721">
        <v>0.87639999999999996</v>
      </c>
      <c r="C721">
        <v>0.98499999999999999</v>
      </c>
      <c r="D721">
        <v>0.81910000000000005</v>
      </c>
      <c r="E721">
        <v>0.93140000000000001</v>
      </c>
      <c r="F721">
        <v>1231116.71</v>
      </c>
      <c r="G721">
        <v>0</v>
      </c>
      <c r="L721" t="s">
        <v>8</v>
      </c>
      <c r="M721" t="s">
        <v>8</v>
      </c>
      <c r="N721" t="s">
        <v>8</v>
      </c>
      <c r="P721">
        <f t="shared" si="1000"/>
        <v>0.35382760699216392</v>
      </c>
      <c r="Q721">
        <f t="shared" si="1001"/>
        <v>435603.07942736585</v>
      </c>
      <c r="R721">
        <f t="shared" si="1002"/>
        <v>1339165.082482696</v>
      </c>
      <c r="S721">
        <f t="shared" si="1003"/>
        <v>13.391650824826961</v>
      </c>
      <c r="T721">
        <f t="shared" si="1004"/>
        <v>1.339165082482696E-2</v>
      </c>
    </row>
    <row r="722" spans="1:20" x14ac:dyDescent="0.25">
      <c r="A722" s="5">
        <v>43871</v>
      </c>
      <c r="B722">
        <v>0.83040000000000003</v>
      </c>
      <c r="C722">
        <v>0.91610000000000003</v>
      </c>
      <c r="D722">
        <v>0.81730000000000003</v>
      </c>
      <c r="E722">
        <v>0.87939999999999996</v>
      </c>
      <c r="F722">
        <v>1873704.57</v>
      </c>
      <c r="G722">
        <v>0</v>
      </c>
      <c r="L722" t="s">
        <v>8</v>
      </c>
      <c r="M722" t="s">
        <v>8</v>
      </c>
      <c r="N722" t="s">
        <v>8</v>
      </c>
      <c r="P722">
        <f t="shared" si="1000"/>
        <v>0.25708502024291363</v>
      </c>
      <c r="Q722">
        <f t="shared" si="1001"/>
        <v>481701.37730768981</v>
      </c>
      <c r="R722">
        <f t="shared" si="1002"/>
        <v>903562.00305533025</v>
      </c>
      <c r="S722">
        <f t="shared" si="1003"/>
        <v>9.0356200305533019</v>
      </c>
      <c r="T722">
        <f t="shared" si="1004"/>
        <v>9.0356200305533024E-3</v>
      </c>
    </row>
    <row r="723" spans="1:20" x14ac:dyDescent="0.25">
      <c r="A723" s="5">
        <v>43870</v>
      </c>
      <c r="B723">
        <v>0.80420000000000003</v>
      </c>
      <c r="C723">
        <v>0.84</v>
      </c>
      <c r="D723">
        <v>0.79010000000000002</v>
      </c>
      <c r="E723">
        <v>0.82930000000000004</v>
      </c>
      <c r="F723">
        <v>708001.61</v>
      </c>
      <c r="G723">
        <v>0</v>
      </c>
      <c r="L723" t="s">
        <v>8</v>
      </c>
      <c r="M723" t="s">
        <v>8</v>
      </c>
      <c r="N723" t="s">
        <v>8</v>
      </c>
      <c r="P723">
        <f t="shared" si="1000"/>
        <v>0.57114228456914051</v>
      </c>
      <c r="Q723">
        <f t="shared" si="1001"/>
        <v>404369.65701402962</v>
      </c>
      <c r="R723">
        <f t="shared" si="1002"/>
        <v>421860.62574764044</v>
      </c>
      <c r="S723">
        <f t="shared" si="1003"/>
        <v>4.2186062574764041</v>
      </c>
      <c r="T723">
        <f t="shared" si="1004"/>
        <v>4.2186062574764037E-3</v>
      </c>
    </row>
    <row r="724" spans="1:20" x14ac:dyDescent="0.25">
      <c r="A724" s="5">
        <v>43869</v>
      </c>
      <c r="B724">
        <v>0.83150000000000002</v>
      </c>
      <c r="C724">
        <v>0.84570000000000001</v>
      </c>
      <c r="D724">
        <v>0.76829999999999998</v>
      </c>
      <c r="E724">
        <v>0.80479999999999996</v>
      </c>
      <c r="F724">
        <v>1407283.99</v>
      </c>
      <c r="G724">
        <v>0</v>
      </c>
      <c r="L724" t="s">
        <v>7</v>
      </c>
      <c r="M724" t="s">
        <v>8</v>
      </c>
      <c r="N724" t="s">
        <v>8</v>
      </c>
      <c r="P724">
        <f t="shared" si="1000"/>
        <v>-5.684754521963914E-2</v>
      </c>
      <c r="Q724">
        <f t="shared" si="1001"/>
        <v>-80000.640258399188</v>
      </c>
      <c r="R724">
        <f t="shared" si="1002"/>
        <v>17490.968733610818</v>
      </c>
      <c r="S724">
        <f t="shared" si="1003"/>
        <v>0.17490968733610818</v>
      </c>
      <c r="T724">
        <f t="shared" si="1004"/>
        <v>1.7490968733610817E-4</v>
      </c>
    </row>
    <row r="725" spans="1:20" x14ac:dyDescent="0.25">
      <c r="A725" s="5">
        <v>43868</v>
      </c>
      <c r="B725">
        <v>0.74550000000000005</v>
      </c>
      <c r="C725">
        <v>0.84619999999999995</v>
      </c>
      <c r="D725">
        <v>0.74260000000000004</v>
      </c>
      <c r="E725">
        <v>0.82789999999999997</v>
      </c>
      <c r="F725">
        <v>1476749.67</v>
      </c>
      <c r="G725">
        <v>0</v>
      </c>
      <c r="L725" t="s">
        <v>8</v>
      </c>
      <c r="M725" t="s">
        <v>8</v>
      </c>
      <c r="N725" t="s">
        <v>8</v>
      </c>
      <c r="P725">
        <f t="shared" si="1000"/>
        <v>0.64671814671814676</v>
      </c>
      <c r="Q725">
        <f t="shared" si="1001"/>
        <v>955040.80974903482</v>
      </c>
      <c r="R725">
        <f t="shared" si="1002"/>
        <v>97491.608992010006</v>
      </c>
      <c r="S725">
        <f t="shared" si="1003"/>
        <v>0.97491608992010004</v>
      </c>
      <c r="T725">
        <f t="shared" si="1004"/>
        <v>9.7491608992010005E-4</v>
      </c>
    </row>
    <row r="726" spans="1:20" x14ac:dyDescent="0.25">
      <c r="A726" s="5">
        <v>43867</v>
      </c>
      <c r="B726">
        <v>0.754</v>
      </c>
      <c r="C726">
        <v>0.7702</v>
      </c>
      <c r="D726">
        <v>0.73729999999999996</v>
      </c>
      <c r="E726">
        <v>0.74550000000000005</v>
      </c>
      <c r="F726">
        <v>709443.05</v>
      </c>
      <c r="G726">
        <v>0</v>
      </c>
      <c r="L726" t="s">
        <v>8</v>
      </c>
      <c r="M726" t="s">
        <v>8</v>
      </c>
      <c r="N726" t="s">
        <v>8</v>
      </c>
      <c r="P726">
        <f t="shared" si="1000"/>
        <v>-0.5015197568389006</v>
      </c>
      <c r="Q726">
        <f t="shared" si="1001"/>
        <v>-355799.70592704799</v>
      </c>
      <c r="R726">
        <f t="shared" si="1002"/>
        <v>-857549.20075702481</v>
      </c>
      <c r="S726">
        <f t="shared" si="1003"/>
        <v>-8.5754920075702472</v>
      </c>
      <c r="T726">
        <f t="shared" si="1004"/>
        <v>-8.575492007570247E-3</v>
      </c>
    </row>
    <row r="727" spans="1:20" x14ac:dyDescent="0.25">
      <c r="A727" s="5">
        <v>43866</v>
      </c>
      <c r="B727">
        <v>0.72240000000000004</v>
      </c>
      <c r="C727">
        <v>0.77910000000000001</v>
      </c>
      <c r="D727">
        <v>0.71730000000000005</v>
      </c>
      <c r="E727">
        <v>0.75090000000000001</v>
      </c>
      <c r="F727">
        <v>840162.91</v>
      </c>
      <c r="G727">
        <v>0</v>
      </c>
      <c r="L727" t="s">
        <v>8</v>
      </c>
      <c r="M727" t="s">
        <v>8</v>
      </c>
      <c r="N727" t="s">
        <v>8</v>
      </c>
      <c r="P727">
        <f t="shared" si="1000"/>
        <v>8.7378640776698435E-2</v>
      </c>
      <c r="Q727">
        <f t="shared" si="1001"/>
        <v>73412.293106795623</v>
      </c>
      <c r="R727">
        <f t="shared" si="1002"/>
        <v>-501749.49482997681</v>
      </c>
      <c r="S727">
        <f t="shared" si="1003"/>
        <v>-5.0174949482997677</v>
      </c>
      <c r="T727">
        <f t="shared" si="1004"/>
        <v>-5.0174949482997677E-3</v>
      </c>
    </row>
    <row r="728" spans="1:20" x14ac:dyDescent="0.25">
      <c r="A728" s="5">
        <v>43865</v>
      </c>
      <c r="B728">
        <v>0.74019999999999997</v>
      </c>
      <c r="C728">
        <v>0.75</v>
      </c>
      <c r="D728">
        <v>0.69520000000000004</v>
      </c>
      <c r="E728">
        <v>0.72109999999999996</v>
      </c>
      <c r="F728">
        <v>753274.05</v>
      </c>
      <c r="G728">
        <v>0</v>
      </c>
      <c r="L728" t="s">
        <v>7</v>
      </c>
      <c r="M728" t="s">
        <v>8</v>
      </c>
      <c r="N728" t="s">
        <v>8</v>
      </c>
      <c r="P728">
        <f t="shared" si="1000"/>
        <v>-5.4744525547447367E-2</v>
      </c>
      <c r="Q728">
        <f t="shared" si="1001"/>
        <v>-41237.630474454148</v>
      </c>
      <c r="R728">
        <f t="shared" si="1002"/>
        <v>-575161.78793677245</v>
      </c>
      <c r="S728">
        <f t="shared" si="1003"/>
        <v>-5.7516178793677248</v>
      </c>
      <c r="T728">
        <f t="shared" si="1004"/>
        <v>-5.751617879367725E-3</v>
      </c>
    </row>
    <row r="729" spans="1:20" x14ac:dyDescent="0.25">
      <c r="A729" s="5">
        <v>43864</v>
      </c>
      <c r="B729">
        <v>0.76670000000000005</v>
      </c>
      <c r="C729">
        <v>0.77259999999999995</v>
      </c>
      <c r="D729">
        <v>0.70209999999999995</v>
      </c>
      <c r="E729">
        <v>0.74019999999999997</v>
      </c>
      <c r="F729">
        <v>1305728.54</v>
      </c>
      <c r="G729">
        <v>0</v>
      </c>
      <c r="L729" t="s">
        <v>7</v>
      </c>
      <c r="M729" t="s">
        <v>8</v>
      </c>
      <c r="N729" t="s">
        <v>8</v>
      </c>
      <c r="P729">
        <f t="shared" si="1000"/>
        <v>8.0851063829787767E-2</v>
      </c>
      <c r="Q729">
        <f t="shared" si="1001"/>
        <v>105569.54153191559</v>
      </c>
      <c r="R729">
        <f t="shared" si="1002"/>
        <v>-533924.15746231831</v>
      </c>
      <c r="S729">
        <f t="shared" si="1003"/>
        <v>-5.3392415746231832</v>
      </c>
      <c r="T729">
        <f t="shared" si="1004"/>
        <v>-5.339241574623183E-3</v>
      </c>
    </row>
    <row r="730" spans="1:20" x14ac:dyDescent="0.25">
      <c r="A730" s="5">
        <v>43863</v>
      </c>
      <c r="B730">
        <v>0.80900000000000005</v>
      </c>
      <c r="C730">
        <v>0.82269999999999999</v>
      </c>
      <c r="D730">
        <v>0.76170000000000004</v>
      </c>
      <c r="E730">
        <v>0.76759999999999995</v>
      </c>
      <c r="F730">
        <v>869306.51</v>
      </c>
      <c r="G730">
        <v>0</v>
      </c>
      <c r="L730" t="s">
        <v>7</v>
      </c>
      <c r="M730" t="s">
        <v>8</v>
      </c>
      <c r="N730" t="s">
        <v>8</v>
      </c>
      <c r="P730">
        <f t="shared" si="1000"/>
        <v>-0.80655737704918329</v>
      </c>
      <c r="Q730">
        <f t="shared" si="1001"/>
        <v>-701145.57855737966</v>
      </c>
      <c r="R730">
        <f t="shared" si="1002"/>
        <v>-639493.69899423386</v>
      </c>
      <c r="S730">
        <f t="shared" si="1003"/>
        <v>-6.3949369899423383</v>
      </c>
      <c r="T730">
        <f t="shared" si="1004"/>
        <v>-6.3949369899423385E-3</v>
      </c>
    </row>
    <row r="731" spans="1:20" x14ac:dyDescent="0.25">
      <c r="A731" s="5">
        <v>43862</v>
      </c>
      <c r="B731">
        <v>0.72699999999999998</v>
      </c>
      <c r="C731">
        <v>0.82189999999999996</v>
      </c>
      <c r="D731">
        <v>0.72099999999999997</v>
      </c>
      <c r="E731">
        <v>0.8085</v>
      </c>
      <c r="F731">
        <v>1058467.47</v>
      </c>
      <c r="G731">
        <v>0</v>
      </c>
      <c r="L731" t="s">
        <v>8</v>
      </c>
      <c r="M731" t="s">
        <v>8</v>
      </c>
      <c r="N731" t="s">
        <v>8</v>
      </c>
      <c r="P731">
        <f t="shared" si="1000"/>
        <v>0.73439048562933662</v>
      </c>
      <c r="Q731">
        <f t="shared" si="1001"/>
        <v>777328.43931615527</v>
      </c>
      <c r="R731">
        <f t="shared" si="1002"/>
        <v>61651.879563145805</v>
      </c>
      <c r="S731">
        <f t="shared" si="1003"/>
        <v>0.61651879563145806</v>
      </c>
      <c r="T731">
        <f t="shared" si="1004"/>
        <v>6.1651879563145811E-4</v>
      </c>
    </row>
    <row r="732" spans="1:20" x14ac:dyDescent="0.25">
      <c r="A732" s="5">
        <v>43861</v>
      </c>
      <c r="B732">
        <v>0.69130000000000003</v>
      </c>
      <c r="C732">
        <v>0.76939999999999997</v>
      </c>
      <c r="D732">
        <v>0.6885</v>
      </c>
      <c r="E732">
        <v>0.72729999999999995</v>
      </c>
      <c r="F732">
        <v>1490985.96</v>
      </c>
      <c r="G732">
        <v>0</v>
      </c>
      <c r="L732" t="s">
        <v>8</v>
      </c>
      <c r="M732" t="s">
        <v>8</v>
      </c>
      <c r="N732" t="s">
        <v>8</v>
      </c>
      <c r="P732">
        <f t="shared" si="1000"/>
        <v>-4.0791100123610403E-2</v>
      </c>
      <c r="Q732">
        <f t="shared" si="1001"/>
        <v>-60818.957577257373</v>
      </c>
      <c r="R732">
        <f t="shared" si="1002"/>
        <v>-715676.55975300947</v>
      </c>
      <c r="S732">
        <f t="shared" si="1003"/>
        <v>-7.1567655975300948</v>
      </c>
      <c r="T732">
        <f t="shared" si="1004"/>
        <v>-7.1567655975300947E-3</v>
      </c>
    </row>
    <row r="733" spans="1:20" x14ac:dyDescent="0.25">
      <c r="A733" s="5">
        <v>43860</v>
      </c>
      <c r="B733">
        <v>0.65459999999999996</v>
      </c>
      <c r="C733">
        <v>0.70730000000000004</v>
      </c>
      <c r="D733">
        <v>0.63629999999999998</v>
      </c>
      <c r="E733">
        <v>0.69120000000000004</v>
      </c>
      <c r="F733">
        <v>969102.25</v>
      </c>
      <c r="G733">
        <v>0</v>
      </c>
      <c r="L733" t="s">
        <v>8</v>
      </c>
      <c r="M733" t="s">
        <v>8</v>
      </c>
      <c r="N733" t="s">
        <v>8</v>
      </c>
      <c r="P733">
        <f t="shared" si="1000"/>
        <v>0.54647887323943689</v>
      </c>
      <c r="Q733">
        <f t="shared" si="1001"/>
        <v>529593.90563380311</v>
      </c>
      <c r="R733">
        <f t="shared" si="1002"/>
        <v>-654857.60217575205</v>
      </c>
      <c r="S733">
        <f t="shared" si="1003"/>
        <v>-6.5485760217575208</v>
      </c>
      <c r="T733">
        <f t="shared" si="1004"/>
        <v>-6.5485760217575207E-3</v>
      </c>
    </row>
    <row r="734" spans="1:20" x14ac:dyDescent="0.25">
      <c r="A734" s="5">
        <v>43859</v>
      </c>
      <c r="B734">
        <v>0.628</v>
      </c>
      <c r="C734">
        <v>0.68</v>
      </c>
      <c r="D734">
        <v>0.62129999999999996</v>
      </c>
      <c r="E734">
        <v>0.65549999999999997</v>
      </c>
      <c r="F734">
        <v>1034229.82</v>
      </c>
      <c r="G734">
        <v>0</v>
      </c>
      <c r="L734" t="s">
        <v>8</v>
      </c>
      <c r="M734" t="s">
        <v>8</v>
      </c>
      <c r="N734" t="s">
        <v>8</v>
      </c>
      <c r="P734">
        <f t="shared" si="1000"/>
        <v>0.16524701873935121</v>
      </c>
      <c r="Q734">
        <f t="shared" si="1001"/>
        <v>170903.39444633582</v>
      </c>
      <c r="R734">
        <f t="shared" si="1002"/>
        <v>-1184451.5078095552</v>
      </c>
      <c r="S734">
        <f t="shared" si="1003"/>
        <v>-11.844515078095551</v>
      </c>
      <c r="T734">
        <f t="shared" si="1004"/>
        <v>-1.1844515078095551E-2</v>
      </c>
    </row>
    <row r="735" spans="1:20" x14ac:dyDescent="0.25">
      <c r="A735" s="5">
        <v>43858</v>
      </c>
      <c r="B735">
        <v>0.63390000000000002</v>
      </c>
      <c r="C735">
        <v>0.64429999999999998</v>
      </c>
      <c r="D735">
        <v>0.61560000000000004</v>
      </c>
      <c r="E735">
        <v>0.62949999999999995</v>
      </c>
      <c r="F735">
        <v>486703.69</v>
      </c>
      <c r="G735">
        <v>0</v>
      </c>
      <c r="L735" t="s">
        <v>8</v>
      </c>
      <c r="M735" t="s">
        <v>8</v>
      </c>
      <c r="N735" t="s">
        <v>8</v>
      </c>
      <c r="P735">
        <f t="shared" si="1000"/>
        <v>-3.1358885017425946E-2</v>
      </c>
      <c r="Q735">
        <f t="shared" si="1001"/>
        <v>-15262.485052266922</v>
      </c>
      <c r="R735">
        <f t="shared" si="1002"/>
        <v>-1355354.9022558909</v>
      </c>
      <c r="S735">
        <f t="shared" si="1003"/>
        <v>-13.55354902255891</v>
      </c>
      <c r="T735">
        <f t="shared" si="1004"/>
        <v>-1.3553549022558909E-2</v>
      </c>
    </row>
    <row r="736" spans="1:20" x14ac:dyDescent="0.25">
      <c r="A736" s="5">
        <v>43857</v>
      </c>
      <c r="B736">
        <v>0.6149</v>
      </c>
      <c r="C736">
        <v>0.64990000000000003</v>
      </c>
      <c r="D736">
        <v>0.61099999999999999</v>
      </c>
      <c r="E736">
        <v>0.63390000000000002</v>
      </c>
      <c r="F736">
        <v>453163.23</v>
      </c>
      <c r="G736">
        <v>0</v>
      </c>
      <c r="L736" t="s">
        <v>8</v>
      </c>
      <c r="M736" t="s">
        <v>8</v>
      </c>
      <c r="N736" t="s">
        <v>8</v>
      </c>
      <c r="P736">
        <f t="shared" si="1000"/>
        <v>0.17737789203084856</v>
      </c>
      <c r="Q736">
        <f t="shared" si="1001"/>
        <v>80381.13848329059</v>
      </c>
      <c r="R736">
        <f t="shared" si="1002"/>
        <v>-1340092.417203624</v>
      </c>
      <c r="S736">
        <f t="shared" si="1003"/>
        <v>-13.400924172036241</v>
      </c>
      <c r="T736">
        <f t="shared" si="1004"/>
        <v>-1.3400924172036241E-2</v>
      </c>
    </row>
    <row r="737" spans="1:20" x14ac:dyDescent="0.25">
      <c r="A737" s="5">
        <v>43856</v>
      </c>
      <c r="B737">
        <v>0.61099999999999999</v>
      </c>
      <c r="C737">
        <v>0.62390000000000001</v>
      </c>
      <c r="D737">
        <v>0.60240000000000005</v>
      </c>
      <c r="E737">
        <v>0.6149</v>
      </c>
      <c r="F737">
        <v>364039.82</v>
      </c>
      <c r="G737">
        <v>0</v>
      </c>
      <c r="L737" t="s">
        <v>7</v>
      </c>
      <c r="M737" t="s">
        <v>7</v>
      </c>
      <c r="N737" t="s">
        <v>8</v>
      </c>
      <c r="P737">
        <f t="shared" si="1000"/>
        <v>0.16279069767441645</v>
      </c>
      <c r="Q737">
        <f t="shared" si="1001"/>
        <v>59262.296279068985</v>
      </c>
      <c r="R737">
        <f t="shared" si="1002"/>
        <v>-1420473.5556869146</v>
      </c>
      <c r="S737">
        <f t="shared" si="1003"/>
        <v>-14.204735556869146</v>
      </c>
      <c r="T737">
        <f t="shared" si="1004"/>
        <v>-1.4204735556869146E-2</v>
      </c>
    </row>
    <row r="738" spans="1:20" x14ac:dyDescent="0.25">
      <c r="A738" s="5">
        <v>43855</v>
      </c>
      <c r="B738">
        <v>0.61499999999999999</v>
      </c>
      <c r="C738">
        <v>0.629</v>
      </c>
      <c r="D738">
        <v>0.59630000000000005</v>
      </c>
      <c r="E738">
        <v>0.61099999999999999</v>
      </c>
      <c r="F738">
        <v>493149.66</v>
      </c>
      <c r="G738">
        <v>0</v>
      </c>
      <c r="L738" t="s">
        <v>7</v>
      </c>
      <c r="M738" t="s">
        <v>7</v>
      </c>
      <c r="N738" t="s">
        <v>8</v>
      </c>
      <c r="P738">
        <f t="shared" si="1000"/>
        <v>-0.10091743119266317</v>
      </c>
      <c r="Q738">
        <f t="shared" si="1001"/>
        <v>-49767.396880735228</v>
      </c>
      <c r="R738">
        <f t="shared" si="1002"/>
        <v>-1479735.8519659836</v>
      </c>
      <c r="S738">
        <f t="shared" si="1003"/>
        <v>-14.797358519659836</v>
      </c>
      <c r="T738">
        <f t="shared" si="1004"/>
        <v>-1.4797358519659836E-2</v>
      </c>
    </row>
    <row r="739" spans="1:20" x14ac:dyDescent="0.25">
      <c r="A739" s="5">
        <v>43854</v>
      </c>
      <c r="B739">
        <v>0.59089999999999998</v>
      </c>
      <c r="C739">
        <v>0.63449999999999995</v>
      </c>
      <c r="D739">
        <v>0.5786</v>
      </c>
      <c r="E739">
        <v>0.61499999999999999</v>
      </c>
      <c r="F739">
        <v>533955.38</v>
      </c>
      <c r="G739">
        <v>0</v>
      </c>
      <c r="L739" t="s">
        <v>8</v>
      </c>
      <c r="M739" t="s">
        <v>7</v>
      </c>
      <c r="N739" t="s">
        <v>8</v>
      </c>
      <c r="P739">
        <f t="shared" si="1000"/>
        <v>0.3023255813953496</v>
      </c>
      <c r="Q739">
        <f t="shared" si="1001"/>
        <v>161428.37069767484</v>
      </c>
      <c r="R739">
        <f t="shared" si="1002"/>
        <v>-1429968.4550852485</v>
      </c>
      <c r="S739">
        <f t="shared" si="1003"/>
        <v>-14.299684550852485</v>
      </c>
      <c r="T739">
        <f t="shared" si="1004"/>
        <v>-1.4299684550852485E-2</v>
      </c>
    </row>
    <row r="740" spans="1:20" x14ac:dyDescent="0.25">
      <c r="A740" s="5">
        <v>43853</v>
      </c>
      <c r="B740">
        <v>0.59060000000000001</v>
      </c>
      <c r="C740">
        <v>0.60709999999999997</v>
      </c>
      <c r="D740">
        <v>0.57099999999999995</v>
      </c>
      <c r="E740">
        <v>0.59219999999999995</v>
      </c>
      <c r="F740">
        <v>344630.08</v>
      </c>
      <c r="G740">
        <v>0</v>
      </c>
      <c r="L740" t="s">
        <v>7</v>
      </c>
      <c r="M740" t="s">
        <v>7</v>
      </c>
      <c r="N740" t="s">
        <v>8</v>
      </c>
      <c r="P740">
        <f t="shared" si="1000"/>
        <v>0.17451523545706285</v>
      </c>
      <c r="Q740">
        <f t="shared" si="1001"/>
        <v>60143.199556786407</v>
      </c>
      <c r="R740">
        <f t="shared" si="1002"/>
        <v>-1591396.8257829233</v>
      </c>
      <c r="S740">
        <f t="shared" si="1003"/>
        <v>-15.913968257829232</v>
      </c>
      <c r="T740">
        <f t="shared" si="1004"/>
        <v>-1.5913968257829231E-2</v>
      </c>
    </row>
    <row r="741" spans="1:20" x14ac:dyDescent="0.25">
      <c r="A741" s="5">
        <v>43852</v>
      </c>
      <c r="B741">
        <v>0.60450000000000004</v>
      </c>
      <c r="C741">
        <v>0.61470000000000002</v>
      </c>
      <c r="D741">
        <v>0.58609999999999995</v>
      </c>
      <c r="E741">
        <v>0.59340000000000004</v>
      </c>
      <c r="F741">
        <v>406798.71</v>
      </c>
      <c r="G741">
        <v>0</v>
      </c>
      <c r="L741" t="s">
        <v>8</v>
      </c>
      <c r="M741" t="s">
        <v>7</v>
      </c>
      <c r="N741" t="s">
        <v>8</v>
      </c>
      <c r="P741">
        <f t="shared" si="1000"/>
        <v>-0.48951048951048487</v>
      </c>
      <c r="Q741">
        <f t="shared" si="1001"/>
        <v>-199132.2356643338</v>
      </c>
      <c r="R741">
        <f t="shared" si="1002"/>
        <v>-1651540.0253397096</v>
      </c>
      <c r="S741">
        <f t="shared" si="1003"/>
        <v>-16.515400253397097</v>
      </c>
      <c r="T741">
        <f t="shared" si="1004"/>
        <v>-1.6515400253397098E-2</v>
      </c>
    </row>
    <row r="742" spans="1:20" x14ac:dyDescent="0.25">
      <c r="A742" s="5">
        <v>43851</v>
      </c>
      <c r="B742">
        <v>0.58899999999999997</v>
      </c>
      <c r="C742">
        <v>0.60980000000000001</v>
      </c>
      <c r="D742">
        <v>0.57340000000000002</v>
      </c>
      <c r="E742">
        <v>0.60209999999999997</v>
      </c>
      <c r="F742">
        <v>256988.64</v>
      </c>
      <c r="G742">
        <v>0</v>
      </c>
      <c r="L742" t="s">
        <v>8</v>
      </c>
      <c r="M742" t="s">
        <v>7</v>
      </c>
      <c r="N742" t="s">
        <v>8</v>
      </c>
      <c r="P742">
        <f t="shared" si="1000"/>
        <v>0.57692307692307454</v>
      </c>
      <c r="Q742">
        <f t="shared" si="1001"/>
        <v>148262.67692307633</v>
      </c>
      <c r="R742">
        <f t="shared" si="1002"/>
        <v>-1452407.7896753757</v>
      </c>
      <c r="S742">
        <f t="shared" si="1003"/>
        <v>-14.524077896753758</v>
      </c>
      <c r="T742">
        <f t="shared" si="1004"/>
        <v>-1.4524077896753758E-2</v>
      </c>
    </row>
    <row r="743" spans="1:20" x14ac:dyDescent="0.25">
      <c r="A743" s="5">
        <v>43850</v>
      </c>
      <c r="B743">
        <v>0.58740000000000003</v>
      </c>
      <c r="C743">
        <v>0.6</v>
      </c>
      <c r="D743">
        <v>0.55579999999999996</v>
      </c>
      <c r="E743">
        <v>0.58899999999999997</v>
      </c>
      <c r="F743">
        <v>424166.59</v>
      </c>
      <c r="G743">
        <v>0</v>
      </c>
      <c r="L743" t="s">
        <v>8</v>
      </c>
      <c r="M743" t="s">
        <v>7</v>
      </c>
      <c r="N743" t="s">
        <v>8</v>
      </c>
      <c r="P743">
        <f t="shared" si="1000"/>
        <v>0.5022624434389138</v>
      </c>
      <c r="Q743">
        <f t="shared" si="1001"/>
        <v>213042.94791855194</v>
      </c>
      <c r="R743">
        <f t="shared" si="1002"/>
        <v>-1600670.4665984521</v>
      </c>
      <c r="S743">
        <f t="shared" si="1003"/>
        <v>-16.006704665984522</v>
      </c>
      <c r="T743">
        <f t="shared" si="1004"/>
        <v>-1.6006704665984521E-2</v>
      </c>
    </row>
    <row r="744" spans="1:20" x14ac:dyDescent="0.25">
      <c r="A744" s="5">
        <v>43849</v>
      </c>
      <c r="B744">
        <v>0.63219999999999998</v>
      </c>
      <c r="C744">
        <v>0.63500000000000001</v>
      </c>
      <c r="D744">
        <v>0.55979999999999996</v>
      </c>
      <c r="E744">
        <v>0.58599999999999997</v>
      </c>
      <c r="F744">
        <v>967051.18</v>
      </c>
      <c r="G744">
        <v>0</v>
      </c>
      <c r="L744" t="s">
        <v>7</v>
      </c>
      <c r="M744" t="s">
        <v>7</v>
      </c>
      <c r="N744" t="s">
        <v>8</v>
      </c>
      <c r="P744">
        <f t="shared" si="1000"/>
        <v>-0.30319148936170254</v>
      </c>
      <c r="Q744">
        <f t="shared" si="1001"/>
        <v>-293201.68755319191</v>
      </c>
      <c r="R744">
        <f t="shared" si="1002"/>
        <v>-1813713.414517004</v>
      </c>
      <c r="S744">
        <f t="shared" si="1003"/>
        <v>-18.137134145170041</v>
      </c>
      <c r="T744">
        <f t="shared" si="1004"/>
        <v>-1.8137134145170042E-2</v>
      </c>
    </row>
    <row r="745" spans="1:20" x14ac:dyDescent="0.25">
      <c r="A745" s="5">
        <v>43848</v>
      </c>
      <c r="B745">
        <v>0.63039999999999996</v>
      </c>
      <c r="C745">
        <v>0.68940000000000001</v>
      </c>
      <c r="D745">
        <v>0.61970000000000003</v>
      </c>
      <c r="E745">
        <v>0.63039999999999996</v>
      </c>
      <c r="F745">
        <v>1162669.58</v>
      </c>
      <c r="G745">
        <v>0</v>
      </c>
      <c r="L745" t="s">
        <v>8</v>
      </c>
      <c r="M745" t="s">
        <v>8</v>
      </c>
      <c r="N745" t="s">
        <v>8</v>
      </c>
      <c r="P745">
        <f t="shared" si="1000"/>
        <v>-0.69296987087518125</v>
      </c>
      <c r="Q745">
        <f t="shared" si="1001"/>
        <v>-805694.98872310121</v>
      </c>
      <c r="R745">
        <f t="shared" si="1002"/>
        <v>-1520511.726963812</v>
      </c>
      <c r="S745">
        <f t="shared" si="1003"/>
        <v>-15.205117269638119</v>
      </c>
      <c r="T745">
        <f t="shared" si="1004"/>
        <v>-1.520511726963812E-2</v>
      </c>
    </row>
    <row r="746" spans="1:20" x14ac:dyDescent="0.25">
      <c r="A746" s="5">
        <v>43847</v>
      </c>
      <c r="B746">
        <v>0.60440000000000005</v>
      </c>
      <c r="C746">
        <v>0.64970000000000006</v>
      </c>
      <c r="D746">
        <v>0.58660000000000001</v>
      </c>
      <c r="E746">
        <v>0.63019999999999998</v>
      </c>
      <c r="F746">
        <v>1179659.94</v>
      </c>
      <c r="G746">
        <v>0</v>
      </c>
      <c r="L746" t="s">
        <v>8</v>
      </c>
      <c r="M746" t="s">
        <v>7</v>
      </c>
      <c r="N746" t="s">
        <v>7</v>
      </c>
      <c r="P746">
        <f t="shared" si="1000"/>
        <v>0.38193343898573506</v>
      </c>
      <c r="Q746">
        <f t="shared" si="1001"/>
        <v>450551.57771790586</v>
      </c>
      <c r="R746">
        <f t="shared" si="1002"/>
        <v>-714816.73824071093</v>
      </c>
      <c r="S746">
        <f t="shared" si="1003"/>
        <v>-7.1481673824071095</v>
      </c>
      <c r="T746">
        <f t="shared" si="1004"/>
        <v>-7.1481673824071099E-3</v>
      </c>
    </row>
    <row r="747" spans="1:20" x14ac:dyDescent="0.25">
      <c r="A747" s="5">
        <v>43846</v>
      </c>
      <c r="B747">
        <v>0.60060000000000002</v>
      </c>
      <c r="C747">
        <v>0.60760000000000003</v>
      </c>
      <c r="D747">
        <v>0.56940000000000002</v>
      </c>
      <c r="E747">
        <v>0.60309999999999997</v>
      </c>
      <c r="F747">
        <v>775289.17</v>
      </c>
      <c r="G747">
        <v>0</v>
      </c>
      <c r="L747" t="s">
        <v>7</v>
      </c>
      <c r="M747" t="s">
        <v>7</v>
      </c>
      <c r="N747" t="s">
        <v>7</v>
      </c>
      <c r="P747">
        <f t="shared" si="1000"/>
        <v>0.76439790575915922</v>
      </c>
      <c r="Q747">
        <f t="shared" si="1001"/>
        <v>592629.41790575685</v>
      </c>
      <c r="R747">
        <f t="shared" si="1002"/>
        <v>-1165368.3159586168</v>
      </c>
      <c r="S747">
        <f t="shared" si="1003"/>
        <v>-11.653683159586167</v>
      </c>
      <c r="T747">
        <f t="shared" si="1004"/>
        <v>-1.1653683159586167E-2</v>
      </c>
    </row>
    <row r="748" spans="1:20" x14ac:dyDescent="0.25">
      <c r="A748" s="5">
        <v>43845</v>
      </c>
      <c r="B748">
        <v>0.61150000000000004</v>
      </c>
      <c r="C748">
        <v>0.68100000000000005</v>
      </c>
      <c r="D748">
        <v>0.57879999999999998</v>
      </c>
      <c r="E748">
        <v>0.60070000000000001</v>
      </c>
      <c r="F748">
        <v>2462256.46</v>
      </c>
      <c r="G748">
        <v>0</v>
      </c>
      <c r="L748" t="s">
        <v>8</v>
      </c>
      <c r="M748" t="s">
        <v>8</v>
      </c>
      <c r="N748" t="s">
        <v>7</v>
      </c>
      <c r="P748">
        <f t="shared" si="1000"/>
        <v>-0.57142857142857106</v>
      </c>
      <c r="Q748">
        <f t="shared" si="1001"/>
        <v>-1407003.6914285705</v>
      </c>
      <c r="R748">
        <f t="shared" si="1002"/>
        <v>-1757997.7338643735</v>
      </c>
      <c r="S748">
        <f t="shared" si="1003"/>
        <v>-17.579977338643737</v>
      </c>
      <c r="T748">
        <f t="shared" si="1004"/>
        <v>-1.7579977338643738E-2</v>
      </c>
    </row>
    <row r="749" spans="1:20" x14ac:dyDescent="0.25">
      <c r="A749" s="5">
        <v>43844</v>
      </c>
      <c r="B749">
        <v>0.52910000000000001</v>
      </c>
      <c r="C749">
        <v>0.63</v>
      </c>
      <c r="D749">
        <v>0.52910000000000001</v>
      </c>
      <c r="E749">
        <v>0.60809999999999997</v>
      </c>
      <c r="F749">
        <v>2549841.13</v>
      </c>
      <c r="G749">
        <v>0</v>
      </c>
      <c r="L749" t="s">
        <v>8</v>
      </c>
      <c r="M749" t="s">
        <v>8</v>
      </c>
      <c r="N749" t="s">
        <v>7</v>
      </c>
      <c r="P749">
        <f t="shared" si="1000"/>
        <v>0.5659068384539141</v>
      </c>
      <c r="Q749">
        <f t="shared" si="1001"/>
        <v>1442972.5324380556</v>
      </c>
      <c r="R749">
        <f t="shared" si="1002"/>
        <v>-350994.04243580298</v>
      </c>
      <c r="S749">
        <f t="shared" si="1003"/>
        <v>-3.5099404243580299</v>
      </c>
      <c r="T749">
        <f t="shared" si="1004"/>
        <v>-3.5099404243580301E-3</v>
      </c>
    </row>
    <row r="750" spans="1:20" x14ac:dyDescent="0.25">
      <c r="A750" s="5">
        <v>43843</v>
      </c>
      <c r="B750">
        <v>0.54490000000000005</v>
      </c>
      <c r="C750">
        <v>0.54710000000000003</v>
      </c>
      <c r="D750">
        <v>0.52059999999999995</v>
      </c>
      <c r="E750">
        <v>0.52939999999999998</v>
      </c>
      <c r="F750">
        <v>348686.8</v>
      </c>
      <c r="G750">
        <v>0</v>
      </c>
      <c r="L750" t="s">
        <v>7</v>
      </c>
      <c r="M750" t="s">
        <v>7</v>
      </c>
      <c r="N750" t="s">
        <v>7</v>
      </c>
      <c r="P750">
        <f t="shared" si="1000"/>
        <v>-0.33584905660377329</v>
      </c>
      <c r="Q750">
        <f t="shared" si="1001"/>
        <v>-117106.13283018857</v>
      </c>
      <c r="R750">
        <f t="shared" si="1002"/>
        <v>-1793966.5748738586</v>
      </c>
      <c r="S750">
        <f t="shared" si="1003"/>
        <v>-17.939665748738587</v>
      </c>
      <c r="T750">
        <f t="shared" si="1004"/>
        <v>-1.7939665748738589E-2</v>
      </c>
    </row>
    <row r="751" spans="1:20" x14ac:dyDescent="0.25">
      <c r="A751" s="5">
        <v>43842</v>
      </c>
      <c r="B751">
        <v>0.53669999999999995</v>
      </c>
      <c r="C751">
        <v>0.55569999999999997</v>
      </c>
      <c r="D751">
        <v>0.53200000000000003</v>
      </c>
      <c r="E751">
        <v>0.54500000000000004</v>
      </c>
      <c r="F751">
        <v>297668.28999999998</v>
      </c>
      <c r="G751">
        <v>0</v>
      </c>
      <c r="L751" t="s">
        <v>8</v>
      </c>
      <c r="M751" t="s">
        <v>7</v>
      </c>
      <c r="N751" t="s">
        <v>7</v>
      </c>
      <c r="P751">
        <f t="shared" si="1000"/>
        <v>9.7046413502113307E-2</v>
      </c>
      <c r="Q751">
        <f t="shared" si="1001"/>
        <v>28887.639957806976</v>
      </c>
      <c r="R751">
        <f t="shared" si="1002"/>
        <v>-1676860.44204367</v>
      </c>
      <c r="S751">
        <f t="shared" si="1003"/>
        <v>-16.768604420436699</v>
      </c>
      <c r="T751">
        <f t="shared" si="1004"/>
        <v>-1.6768604420436699E-2</v>
      </c>
    </row>
    <row r="752" spans="1:20" x14ac:dyDescent="0.25">
      <c r="A752" s="5">
        <v>43841</v>
      </c>
      <c r="B752">
        <v>0.5333</v>
      </c>
      <c r="C752">
        <v>0.56799999999999995</v>
      </c>
      <c r="D752">
        <v>0.53180000000000005</v>
      </c>
      <c r="E752">
        <v>0.53449999999999998</v>
      </c>
      <c r="F752">
        <v>865621.84</v>
      </c>
      <c r="G752">
        <v>0</v>
      </c>
      <c r="L752" t="s">
        <v>8</v>
      </c>
      <c r="M752" t="s">
        <v>7</v>
      </c>
      <c r="N752" t="s">
        <v>7</v>
      </c>
      <c r="P752">
        <f t="shared" si="1000"/>
        <v>-0.85082872928177167</v>
      </c>
      <c r="Q752">
        <f t="shared" si="1001"/>
        <v>-736495.93016574904</v>
      </c>
      <c r="R752">
        <f t="shared" si="1002"/>
        <v>-1705748.082001477</v>
      </c>
      <c r="S752">
        <f t="shared" si="1003"/>
        <v>-17.057480820014771</v>
      </c>
      <c r="T752">
        <f t="shared" si="1004"/>
        <v>-1.7057480820014771E-2</v>
      </c>
    </row>
    <row r="753" spans="1:20" x14ac:dyDescent="0.25">
      <c r="A753" s="5">
        <v>43840</v>
      </c>
      <c r="B753">
        <v>0.5242</v>
      </c>
      <c r="C753">
        <v>0.54510000000000003</v>
      </c>
      <c r="D753">
        <v>0.5181</v>
      </c>
      <c r="E753">
        <v>0.53539999999999999</v>
      </c>
      <c r="F753">
        <v>526691.24</v>
      </c>
      <c r="G753">
        <v>0</v>
      </c>
      <c r="L753" t="s">
        <v>7</v>
      </c>
      <c r="M753" t="s">
        <v>7</v>
      </c>
      <c r="N753" t="s">
        <v>7</v>
      </c>
      <c r="P753">
        <f t="shared" si="1000"/>
        <v>0.281481481481479</v>
      </c>
      <c r="Q753">
        <f t="shared" si="1001"/>
        <v>148253.83051851721</v>
      </c>
      <c r="R753">
        <f t="shared" si="1002"/>
        <v>-969252.15183572797</v>
      </c>
      <c r="S753">
        <f t="shared" si="1003"/>
        <v>-9.6925215183572799</v>
      </c>
      <c r="T753">
        <f t="shared" si="1004"/>
        <v>-9.6925215183572798E-3</v>
      </c>
    </row>
    <row r="754" spans="1:20" x14ac:dyDescent="0.25">
      <c r="A754" s="5">
        <v>43839</v>
      </c>
      <c r="B754">
        <v>0.53339999999999999</v>
      </c>
      <c r="C754">
        <v>0.54710000000000003</v>
      </c>
      <c r="D754">
        <v>0.51910000000000001</v>
      </c>
      <c r="E754">
        <v>0.52470000000000006</v>
      </c>
      <c r="F754">
        <v>651508.15</v>
      </c>
      <c r="G754">
        <v>0</v>
      </c>
      <c r="L754" t="s">
        <v>7</v>
      </c>
      <c r="M754" t="s">
        <v>7</v>
      </c>
      <c r="N754" t="s">
        <v>7</v>
      </c>
      <c r="P754">
        <f t="shared" si="1000"/>
        <v>-0.59999999999999687</v>
      </c>
      <c r="Q754">
        <f t="shared" si="1001"/>
        <v>-390904.88999999798</v>
      </c>
      <c r="R754">
        <f t="shared" si="1002"/>
        <v>-1117505.9823542451</v>
      </c>
      <c r="S754">
        <f t="shared" si="1003"/>
        <v>-11.175059823542451</v>
      </c>
      <c r="T754">
        <f t="shared" si="1004"/>
        <v>-1.1175059823542451E-2</v>
      </c>
    </row>
    <row r="755" spans="1:20" x14ac:dyDescent="0.25">
      <c r="A755" s="5">
        <v>43838</v>
      </c>
      <c r="B755">
        <v>0.55930000000000002</v>
      </c>
      <c r="C755">
        <v>0.57369999999999999</v>
      </c>
      <c r="D755">
        <v>0.52229999999999999</v>
      </c>
      <c r="E755">
        <v>0.53220000000000001</v>
      </c>
      <c r="F755">
        <v>763654.82</v>
      </c>
      <c r="G755">
        <v>0</v>
      </c>
      <c r="L755" t="s">
        <v>7</v>
      </c>
      <c r="M755" t="s">
        <v>7</v>
      </c>
      <c r="N755" t="s">
        <v>7</v>
      </c>
      <c r="P755">
        <f t="shared" si="1000"/>
        <v>-0.61478599221789809</v>
      </c>
      <c r="Q755">
        <f t="shared" si="1001"/>
        <v>-469484.28622568032</v>
      </c>
      <c r="R755">
        <f t="shared" si="1002"/>
        <v>-726601.09235424711</v>
      </c>
      <c r="S755">
        <f t="shared" si="1003"/>
        <v>-7.2660109235424715</v>
      </c>
      <c r="T755">
        <f t="shared" si="1004"/>
        <v>-7.2660109235424715E-3</v>
      </c>
    </row>
    <row r="756" spans="1:20" x14ac:dyDescent="0.25">
      <c r="A756" s="5">
        <v>43837</v>
      </c>
      <c r="B756">
        <v>0.60970000000000002</v>
      </c>
      <c r="C756">
        <v>0.61929999999999996</v>
      </c>
      <c r="D756">
        <v>0.55279999999999996</v>
      </c>
      <c r="E756">
        <v>0.56059999999999999</v>
      </c>
      <c r="F756">
        <v>971415.65</v>
      </c>
      <c r="G756">
        <v>0</v>
      </c>
      <c r="L756" t="s">
        <v>7</v>
      </c>
      <c r="M756" t="s">
        <v>8</v>
      </c>
      <c r="N756" t="s">
        <v>7</v>
      </c>
      <c r="P756">
        <f t="shared" si="1000"/>
        <v>-0.76541353383458566</v>
      </c>
      <c r="Q756">
        <f t="shared" si="1001"/>
        <v>-743534.68548872101</v>
      </c>
      <c r="R756">
        <f t="shared" si="1002"/>
        <v>-257116.80612856685</v>
      </c>
      <c r="S756">
        <f t="shared" si="1003"/>
        <v>-2.5711680612856687</v>
      </c>
      <c r="T756">
        <f t="shared" si="1004"/>
        <v>-2.5711680612856688E-3</v>
      </c>
    </row>
    <row r="757" spans="1:20" x14ac:dyDescent="0.25">
      <c r="A757" s="5">
        <v>43836</v>
      </c>
      <c r="B757">
        <v>0.58140000000000003</v>
      </c>
      <c r="C757">
        <v>0.629</v>
      </c>
      <c r="D757">
        <v>0.5696</v>
      </c>
      <c r="E757">
        <v>0.61</v>
      </c>
      <c r="F757">
        <v>1644569.75</v>
      </c>
      <c r="G757">
        <v>0</v>
      </c>
      <c r="L757" t="s">
        <v>7</v>
      </c>
      <c r="M757" t="s">
        <v>8</v>
      </c>
      <c r="N757" t="s">
        <v>7</v>
      </c>
      <c r="P757">
        <f t="shared" si="1000"/>
        <v>0.3602693602693598</v>
      </c>
      <c r="Q757">
        <f t="shared" si="1001"/>
        <v>592488.09175084101</v>
      </c>
      <c r="R757">
        <f t="shared" si="1002"/>
        <v>486417.87936015415</v>
      </c>
      <c r="S757">
        <f t="shared" si="1003"/>
        <v>4.8641787936015417</v>
      </c>
      <c r="T757">
        <f t="shared" si="1004"/>
        <v>4.8641787936015415E-3</v>
      </c>
    </row>
    <row r="758" spans="1:20" x14ac:dyDescent="0.25">
      <c r="A758" s="5">
        <v>43835</v>
      </c>
      <c r="B758">
        <v>0.52129999999999999</v>
      </c>
      <c r="C758">
        <v>0.6361</v>
      </c>
      <c r="D758">
        <v>0.52080000000000004</v>
      </c>
      <c r="E758">
        <v>0.57979999999999998</v>
      </c>
      <c r="F758">
        <v>1833857.66</v>
      </c>
      <c r="G758">
        <v>0</v>
      </c>
      <c r="L758" t="s">
        <v>8</v>
      </c>
      <c r="M758" t="s">
        <v>8</v>
      </c>
      <c r="N758" t="s">
        <v>7</v>
      </c>
      <c r="P758">
        <f t="shared" si="1000"/>
        <v>2.3417172593234396E-2</v>
      </c>
      <c r="Q758">
        <f t="shared" si="1001"/>
        <v>42943.761335644958</v>
      </c>
      <c r="R758">
        <f t="shared" si="1002"/>
        <v>-106070.21239068685</v>
      </c>
      <c r="S758">
        <f t="shared" si="1003"/>
        <v>-1.0607021239068686</v>
      </c>
      <c r="T758">
        <f t="shared" si="1004"/>
        <v>-1.0607021239068687E-3</v>
      </c>
    </row>
    <row r="759" spans="1:20" x14ac:dyDescent="0.25">
      <c r="A759" s="5">
        <v>43834</v>
      </c>
      <c r="B759">
        <v>0.54120000000000001</v>
      </c>
      <c r="C759">
        <v>0.54700000000000004</v>
      </c>
      <c r="D759">
        <v>0.51770000000000005</v>
      </c>
      <c r="E759">
        <v>0.52349999999999997</v>
      </c>
      <c r="F759">
        <v>407107.18</v>
      </c>
      <c r="G759">
        <v>0</v>
      </c>
      <c r="L759" t="s">
        <v>8</v>
      </c>
      <c r="M759" t="s">
        <v>7</v>
      </c>
      <c r="N759" t="s">
        <v>7</v>
      </c>
      <c r="P759">
        <f t="shared" si="1000"/>
        <v>-0.6040955631399374</v>
      </c>
      <c r="Q759">
        <f t="shared" si="1001"/>
        <v>-245931.64116041185</v>
      </c>
      <c r="R759">
        <f t="shared" si="1002"/>
        <v>-149013.97372633181</v>
      </c>
      <c r="S759">
        <f t="shared" si="1003"/>
        <v>-1.4901397372633181</v>
      </c>
      <c r="T759">
        <f t="shared" si="1004"/>
        <v>-1.490139737263318E-3</v>
      </c>
    </row>
    <row r="760" spans="1:20" x14ac:dyDescent="0.25">
      <c r="A760" s="5">
        <v>43833</v>
      </c>
      <c r="B760">
        <v>0.52059999999999995</v>
      </c>
      <c r="C760">
        <v>0.55000000000000004</v>
      </c>
      <c r="D760">
        <v>0.5</v>
      </c>
      <c r="E760">
        <v>0.53810000000000002</v>
      </c>
      <c r="F760">
        <v>497833.49</v>
      </c>
      <c r="G760">
        <v>0</v>
      </c>
      <c r="L760" t="s">
        <v>7</v>
      </c>
      <c r="M760" t="s">
        <v>7</v>
      </c>
      <c r="N760" t="s">
        <v>7</v>
      </c>
      <c r="P760">
        <f t="shared" si="1000"/>
        <v>0.52399999999999958</v>
      </c>
      <c r="Q760">
        <f t="shared" si="1001"/>
        <v>260864.74875999978</v>
      </c>
      <c r="R760">
        <f t="shared" si="1002"/>
        <v>96917.667434080038</v>
      </c>
      <c r="S760">
        <f t="shared" si="1003"/>
        <v>0.96917667434080035</v>
      </c>
      <c r="T760">
        <f t="shared" si="1004"/>
        <v>9.691766743408003E-4</v>
      </c>
    </row>
    <row r="761" spans="1:20" x14ac:dyDescent="0.25">
      <c r="A761" s="5">
        <v>43832</v>
      </c>
      <c r="B761">
        <v>0.54400000000000004</v>
      </c>
      <c r="C761">
        <v>0.54590000000000005</v>
      </c>
      <c r="D761">
        <v>0.51090000000000002</v>
      </c>
      <c r="E761">
        <v>0.51990000000000003</v>
      </c>
      <c r="F761">
        <v>402160.25</v>
      </c>
      <c r="G761">
        <v>0</v>
      </c>
      <c r="L761" t="s">
        <v>7</v>
      </c>
      <c r="M761" t="s">
        <v>7</v>
      </c>
      <c r="N761" t="s">
        <v>7</v>
      </c>
      <c r="P761">
        <f t="shared" si="1000"/>
        <v>-0.48571428571428571</v>
      </c>
      <c r="Q761">
        <f t="shared" si="1001"/>
        <v>-195334.97857142857</v>
      </c>
      <c r="R761">
        <f t="shared" si="1002"/>
        <v>-163947.08132591975</v>
      </c>
      <c r="S761">
        <f t="shared" si="1003"/>
        <v>-1.6394708132591975</v>
      </c>
      <c r="T761">
        <f t="shared" si="1004"/>
        <v>-1.6394708132591975E-3</v>
      </c>
    </row>
    <row r="762" spans="1:20" x14ac:dyDescent="0.25">
      <c r="A762" s="5">
        <v>43831</v>
      </c>
      <c r="B762">
        <v>0.53549999999999998</v>
      </c>
      <c r="C762">
        <v>0.55100000000000005</v>
      </c>
      <c r="D762">
        <v>0.5343</v>
      </c>
      <c r="E762">
        <v>0.54420000000000002</v>
      </c>
      <c r="F762">
        <v>169089.64</v>
      </c>
      <c r="G762">
        <v>0</v>
      </c>
      <c r="P762">
        <f t="shared" si="1000"/>
        <v>0.18562874251496903</v>
      </c>
      <c r="Q762">
        <f t="shared" si="1001"/>
        <v>31387.897245508811</v>
      </c>
      <c r="R762">
        <f t="shared" si="1002"/>
        <v>31387.897245508811</v>
      </c>
      <c r="S762">
        <f t="shared" si="1003"/>
        <v>0.31387897245508811</v>
      </c>
      <c r="T762">
        <f t="shared" si="1004"/>
        <v>3.138789724550881E-4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X648" sqref="NX64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$A$647</v>
      </c>
      <c r="D111" s="1" t="str">
        <f>ADDRESS(C121-1,D121,1,1)</f>
        <v>$NX$647</v>
      </c>
      <c r="E111"/>
    </row>
    <row r="112" spans="1:5" x14ac:dyDescent="0.25">
      <c r="A112" s="7">
        <v>12164.144957890772</v>
      </c>
      <c r="C112" s="1" t="str">
        <f>ADDRESS(C121,1,1,1)</f>
        <v>$A$648</v>
      </c>
      <c r="D112" s="1" t="str">
        <f>ADDRESS(C121,D121-1,1,1)</f>
        <v>$NW$648</v>
      </c>
      <c r="E112"/>
    </row>
    <row r="113" spans="1:5" x14ac:dyDescent="0.25">
      <c r="A113" s="7">
        <v>11925.63231165762</v>
      </c>
      <c r="C113" s="1" t="str">
        <f>ADDRESS(C121+1,1,1,1)</f>
        <v>$A$649</v>
      </c>
      <c r="D113" s="1" t="str">
        <f>ADDRESS(C121-1,D121+1,1,1)</f>
        <v>$NY$647</v>
      </c>
    </row>
    <row r="114" spans="1:5" x14ac:dyDescent="0.25">
      <c r="A114" s="7">
        <v>11691.796383978059</v>
      </c>
      <c r="C114" s="1" t="str">
        <f>ADDRESS(C121,D121,1,1)</f>
        <v>$NX$648</v>
      </c>
      <c r="D114" s="1" t="str">
        <f>ADDRESS(C121+1,D121+1,1,1)</f>
        <v>$NY$649</v>
      </c>
    </row>
    <row r="115" spans="1:5" x14ac:dyDescent="0.25">
      <c r="A115" s="7">
        <v>11462.545474488292</v>
      </c>
      <c r="C115" s="1" t="str">
        <f>ADDRESS(C121+1,D121,1,1)</f>
        <v>$NX$649</v>
      </c>
    </row>
    <row r="116" spans="1:5" x14ac:dyDescent="0.25">
      <c r="A116" s="7">
        <v>11237.789680870874</v>
      </c>
      <c r="C116" s="1">
        <f>C117-1</f>
        <v>647</v>
      </c>
    </row>
    <row r="117" spans="1:5" x14ac:dyDescent="0.25">
      <c r="A117" s="7">
        <v>11017.440863598895</v>
      </c>
      <c r="C117" s="1">
        <f>C121</f>
        <v>648</v>
      </c>
      <c r="D117" s="1">
        <f>D121</f>
        <v>388</v>
      </c>
    </row>
    <row r="118" spans="1:5" x14ac:dyDescent="0.25">
      <c r="A118" s="7">
        <v>10801.412611371465</v>
      </c>
      <c r="C118" s="1">
        <f>C117+1</f>
        <v>649</v>
      </c>
      <c r="D118" s="1">
        <f>D117+1</f>
        <v>389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648</v>
      </c>
      <c r="D121" s="19">
        <v>388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R648</v>
      </c>
      <c r="D123" s="1" t="str">
        <f>"C"&amp;D121</f>
        <v>C388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0.29880614358732388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247" x14ac:dyDescent="0.25">
      <c r="A545" s="7">
        <v>2.2972444660248938</v>
      </c>
      <c r="B545"/>
      <c r="C545"/>
      <c r="D545"/>
      <c r="E545"/>
    </row>
    <row r="546" spans="1:247" x14ac:dyDescent="0.25">
      <c r="A546" s="7">
        <v>2.252200456887151</v>
      </c>
      <c r="B546"/>
      <c r="C546"/>
      <c r="D546"/>
      <c r="E546"/>
    </row>
    <row r="547" spans="1:247" x14ac:dyDescent="0.25">
      <c r="A547" s="7">
        <v>2.208039663614854</v>
      </c>
      <c r="B547"/>
      <c r="C547"/>
      <c r="D547"/>
      <c r="E547"/>
    </row>
    <row r="548" spans="1:247" x14ac:dyDescent="0.25">
      <c r="A548" s="7">
        <v>2.1647447682498568</v>
      </c>
      <c r="B548"/>
      <c r="C548"/>
      <c r="D548"/>
      <c r="E548"/>
    </row>
    <row r="549" spans="1:247" x14ac:dyDescent="0.25">
      <c r="A549" s="7">
        <v>2.1222987924018204</v>
      </c>
      <c r="B549"/>
      <c r="C549"/>
      <c r="D549"/>
      <c r="E549"/>
    </row>
    <row r="550" spans="1:247" x14ac:dyDescent="0.25">
      <c r="A550" s="7">
        <v>2.0806850905900198</v>
      </c>
      <c r="B550"/>
      <c r="C550"/>
      <c r="D550"/>
      <c r="E550"/>
      <c r="HW550" s="27" t="s">
        <v>8</v>
      </c>
    </row>
    <row r="551" spans="1:247" x14ac:dyDescent="0.25">
      <c r="A551" s="7">
        <v>2.0398873437157055</v>
      </c>
      <c r="B551"/>
      <c r="C551"/>
      <c r="D551"/>
      <c r="E551"/>
      <c r="HW551" s="27" t="s">
        <v>8</v>
      </c>
      <c r="HX551" s="27" t="s">
        <v>7</v>
      </c>
    </row>
    <row r="552" spans="1:247" x14ac:dyDescent="0.25">
      <c r="A552" s="7">
        <v>1.9998895526624565</v>
      </c>
      <c r="B552"/>
      <c r="C552"/>
      <c r="D552"/>
      <c r="E552"/>
      <c r="HW552" s="27" t="s">
        <v>8</v>
      </c>
      <c r="HX552" s="27" t="s">
        <v>7</v>
      </c>
    </row>
    <row r="553" spans="1:247" x14ac:dyDescent="0.25">
      <c r="A553" s="7">
        <v>1.9606760320220162</v>
      </c>
      <c r="B553"/>
      <c r="C553"/>
      <c r="D553"/>
      <c r="E553"/>
      <c r="HW553" s="27" t="s">
        <v>8</v>
      </c>
      <c r="HX553" s="27" t="s">
        <v>7</v>
      </c>
      <c r="HY553" s="27" t="s">
        <v>8</v>
      </c>
    </row>
    <row r="554" spans="1:247" x14ac:dyDescent="0.25">
      <c r="A554" s="7">
        <v>1.9222314039431532</v>
      </c>
      <c r="B554"/>
      <c r="C554"/>
      <c r="D554"/>
      <c r="E554"/>
      <c r="HW554" s="27" t="s">
        <v>8</v>
      </c>
      <c r="HX554" s="27" t="s">
        <v>7</v>
      </c>
      <c r="HY554" s="27" t="s">
        <v>8</v>
      </c>
      <c r="HZ554" s="27" t="s">
        <v>7</v>
      </c>
    </row>
    <row r="555" spans="1:247" x14ac:dyDescent="0.25">
      <c r="A555" s="7">
        <v>1.8845405921011305</v>
      </c>
      <c r="B555"/>
      <c r="C555"/>
      <c r="D555"/>
      <c r="E555"/>
      <c r="HW555" s="27" t="s">
        <v>8</v>
      </c>
      <c r="HX555" s="27" t="s">
        <v>7</v>
      </c>
      <c r="HY555" s="27" t="s">
        <v>8</v>
      </c>
      <c r="HZ555" s="27" t="s">
        <v>7</v>
      </c>
    </row>
    <row r="556" spans="1:247" x14ac:dyDescent="0.25">
      <c r="A556" s="7">
        <v>1.8475888157854219</v>
      </c>
      <c r="B556"/>
      <c r="C556"/>
      <c r="D556"/>
      <c r="E556"/>
      <c r="HW556" s="27" t="s">
        <v>8</v>
      </c>
      <c r="HX556" s="27" t="s">
        <v>7</v>
      </c>
      <c r="HY556" s="27" t="s">
        <v>8</v>
      </c>
      <c r="HZ556" s="27" t="s">
        <v>7</v>
      </c>
    </row>
    <row r="557" spans="1:247" x14ac:dyDescent="0.25">
      <c r="A557" s="7">
        <v>1.8113615841033548</v>
      </c>
      <c r="B557"/>
      <c r="C557"/>
      <c r="D557"/>
      <c r="E557"/>
      <c r="HW557" s="27" t="s">
        <v>8</v>
      </c>
      <c r="HX557" s="27" t="s">
        <v>7</v>
      </c>
      <c r="HY557" s="27" t="s">
        <v>8</v>
      </c>
      <c r="HZ557" s="27" t="s">
        <v>7</v>
      </c>
      <c r="IA557" s="27" t="s">
        <v>8</v>
      </c>
      <c r="IC557" s="27" t="s">
        <v>8</v>
      </c>
    </row>
    <row r="558" spans="1:247" x14ac:dyDescent="0.25">
      <c r="A558" s="7">
        <v>1.7758446902974065</v>
      </c>
      <c r="B558"/>
      <c r="C558"/>
      <c r="D558"/>
      <c r="E558"/>
      <c r="HW558" s="27" t="s">
        <v>8</v>
      </c>
      <c r="HX558" s="27" t="s">
        <v>7</v>
      </c>
      <c r="HY558" s="27" t="s">
        <v>8</v>
      </c>
      <c r="HZ558" s="27" t="s">
        <v>7</v>
      </c>
      <c r="IA558" s="27" t="s">
        <v>8</v>
      </c>
      <c r="IB558" s="27" t="s">
        <v>7</v>
      </c>
      <c r="IC558" s="27" t="s">
        <v>8</v>
      </c>
      <c r="ID558" s="27" t="s">
        <v>7</v>
      </c>
    </row>
    <row r="559" spans="1:247" x14ac:dyDescent="0.25">
      <c r="A559" s="7">
        <v>1.7410242061739281</v>
      </c>
      <c r="B559"/>
      <c r="C559"/>
      <c r="D559"/>
      <c r="E559"/>
      <c r="HW559" s="27" t="s">
        <v>8</v>
      </c>
      <c r="HX559" s="27" t="s">
        <v>7</v>
      </c>
      <c r="HY559" s="27" t="s">
        <v>8</v>
      </c>
      <c r="HZ559" s="27" t="s">
        <v>7</v>
      </c>
      <c r="IA559" s="27" t="s">
        <v>8</v>
      </c>
      <c r="IB559" s="27" t="s">
        <v>7</v>
      </c>
      <c r="IC559" s="27" t="s">
        <v>8</v>
      </c>
      <c r="ID559" s="27" t="s">
        <v>7</v>
      </c>
    </row>
    <row r="560" spans="1:247" x14ac:dyDescent="0.25">
      <c r="A560" s="7">
        <v>1.7068864766411058</v>
      </c>
      <c r="B560"/>
      <c r="C560"/>
      <c r="D560"/>
      <c r="E560"/>
      <c r="HW560" s="27" t="s">
        <v>8</v>
      </c>
      <c r="HX560" s="27" t="s">
        <v>7</v>
      </c>
      <c r="HY560" s="27" t="s">
        <v>8</v>
      </c>
      <c r="HZ560" s="27" t="s">
        <v>7</v>
      </c>
      <c r="IA560" s="27" t="s">
        <v>8</v>
      </c>
      <c r="IB560" s="27" t="s">
        <v>7</v>
      </c>
      <c r="IC560" s="27" t="s">
        <v>8</v>
      </c>
      <c r="ID560" s="27" t="s">
        <v>7</v>
      </c>
      <c r="IM560" s="27" t="s">
        <v>8</v>
      </c>
    </row>
    <row r="561" spans="1:254" x14ac:dyDescent="0.25">
      <c r="A561" s="7">
        <v>1.6734181143540252</v>
      </c>
      <c r="B561"/>
      <c r="C561"/>
      <c r="D561"/>
      <c r="E561"/>
      <c r="HW561" s="27" t="s">
        <v>8</v>
      </c>
      <c r="HX561" s="27" t="s">
        <v>7</v>
      </c>
      <c r="HY561" s="27" t="s">
        <v>8</v>
      </c>
      <c r="HZ561" s="27" t="s">
        <v>7</v>
      </c>
      <c r="IA561" s="27" t="s">
        <v>8</v>
      </c>
      <c r="IB561" s="27" t="s">
        <v>7</v>
      </c>
      <c r="IC561" s="27" t="s">
        <v>8</v>
      </c>
      <c r="ID561" s="27" t="s">
        <v>7</v>
      </c>
      <c r="IE561" s="27" t="s">
        <v>8</v>
      </c>
      <c r="IK561" s="27" t="s">
        <v>8</v>
      </c>
      <c r="IM561" s="27" t="s">
        <v>8</v>
      </c>
      <c r="IN561" s="27" t="s">
        <v>7</v>
      </c>
    </row>
    <row r="562" spans="1:254" x14ac:dyDescent="0.25">
      <c r="A562" s="7">
        <v>1.6406059944647307</v>
      </c>
      <c r="B562"/>
      <c r="C562"/>
      <c r="D562"/>
      <c r="E562"/>
      <c r="HW562" s="27" t="s">
        <v>8</v>
      </c>
      <c r="HX562" s="27" t="s">
        <v>7</v>
      </c>
      <c r="HY562" s="27" t="s">
        <v>8</v>
      </c>
      <c r="HZ562" s="27" t="s">
        <v>7</v>
      </c>
      <c r="IA562" s="27" t="s">
        <v>8</v>
      </c>
      <c r="IB562" s="27" t="s">
        <v>7</v>
      </c>
      <c r="IC562" s="27" t="s">
        <v>8</v>
      </c>
      <c r="ID562" s="27" t="s">
        <v>7</v>
      </c>
      <c r="IE562" s="27" t="s">
        <v>8</v>
      </c>
      <c r="IF562" s="27" t="s">
        <v>7</v>
      </c>
      <c r="IK562" s="27" t="s">
        <v>8</v>
      </c>
      <c r="IL562" s="27" t="s">
        <v>7</v>
      </c>
      <c r="IM562" s="27" t="s">
        <v>8</v>
      </c>
      <c r="IN562" s="27" t="s">
        <v>7</v>
      </c>
    </row>
    <row r="563" spans="1:254" x14ac:dyDescent="0.25">
      <c r="A563" s="7">
        <v>1.6084372494752261</v>
      </c>
      <c r="B563"/>
      <c r="C563"/>
      <c r="D563"/>
      <c r="E563"/>
      <c r="HW563" s="27" t="s">
        <v>8</v>
      </c>
      <c r="HX563" s="27" t="s">
        <v>7</v>
      </c>
      <c r="HY563" s="27" t="s">
        <v>8</v>
      </c>
      <c r="HZ563" s="27" t="s">
        <v>7</v>
      </c>
      <c r="IA563" s="27" t="s">
        <v>8</v>
      </c>
      <c r="IB563" s="27" t="s">
        <v>7</v>
      </c>
      <c r="IC563" s="27" t="s">
        <v>8</v>
      </c>
      <c r="ID563" s="27" t="s">
        <v>7</v>
      </c>
      <c r="IE563" s="27" t="s">
        <v>8</v>
      </c>
      <c r="IF563" s="27" t="s">
        <v>7</v>
      </c>
      <c r="IK563" s="27" t="s">
        <v>8</v>
      </c>
      <c r="IL563" s="27" t="s">
        <v>7</v>
      </c>
      <c r="IM563" s="27" t="s">
        <v>8</v>
      </c>
      <c r="IN563" s="27" t="s">
        <v>7</v>
      </c>
      <c r="IO563" s="27" t="s">
        <v>8</v>
      </c>
    </row>
    <row r="564" spans="1:254" x14ac:dyDescent="0.25">
      <c r="A564" s="7">
        <v>1.5768992641913981</v>
      </c>
      <c r="B564"/>
      <c r="C564"/>
      <c r="D564"/>
      <c r="E564"/>
      <c r="HW564" s="27" t="s">
        <v>8</v>
      </c>
      <c r="HX564" s="27" t="s">
        <v>7</v>
      </c>
      <c r="HY564" s="27" t="s">
        <v>8</v>
      </c>
      <c r="HZ564" s="27" t="s">
        <v>7</v>
      </c>
      <c r="IA564" s="27" t="s">
        <v>8</v>
      </c>
      <c r="IB564" s="27" t="s">
        <v>7</v>
      </c>
      <c r="IC564" s="27" t="s">
        <v>8</v>
      </c>
      <c r="ID564" s="27" t="s">
        <v>7</v>
      </c>
      <c r="IE564" s="27" t="s">
        <v>8</v>
      </c>
      <c r="IF564" s="27" t="s">
        <v>7</v>
      </c>
      <c r="IK564" s="27" t="s">
        <v>8</v>
      </c>
      <c r="IL564" s="27" t="s">
        <v>7</v>
      </c>
      <c r="IM564" s="27" t="s">
        <v>8</v>
      </c>
      <c r="IN564" s="27" t="s">
        <v>7</v>
      </c>
      <c r="IO564" s="27" t="s">
        <v>8</v>
      </c>
      <c r="IP564" s="27" t="s">
        <v>7</v>
      </c>
    </row>
    <row r="565" spans="1:254" x14ac:dyDescent="0.25">
      <c r="A565" s="7">
        <v>1.5459796707758806</v>
      </c>
      <c r="B565"/>
      <c r="C565"/>
      <c r="D565"/>
      <c r="E565"/>
      <c r="HW565" s="27" t="s">
        <v>8</v>
      </c>
      <c r="HX565" s="27" t="s">
        <v>7</v>
      </c>
      <c r="HY565" s="27" t="s">
        <v>8</v>
      </c>
      <c r="HZ565" s="27" t="s">
        <v>7</v>
      </c>
      <c r="IA565" s="27" t="s">
        <v>8</v>
      </c>
      <c r="IB565" s="27" t="s">
        <v>7</v>
      </c>
      <c r="IC565" s="27" t="s">
        <v>8</v>
      </c>
      <c r="ID565" s="27" t="s">
        <v>7</v>
      </c>
      <c r="IE565" s="27" t="s">
        <v>8</v>
      </c>
      <c r="IF565" s="27" t="s">
        <v>7</v>
      </c>
      <c r="IK565" s="27" t="s">
        <v>8</v>
      </c>
      <c r="IL565" s="27" t="s">
        <v>7</v>
      </c>
      <c r="IM565" s="27" t="s">
        <v>8</v>
      </c>
      <c r="IN565" s="27" t="s">
        <v>7</v>
      </c>
      <c r="IO565" s="27" t="s">
        <v>8</v>
      </c>
      <c r="IP565" s="27" t="s">
        <v>7</v>
      </c>
      <c r="IQ565" s="27" t="s">
        <v>8</v>
      </c>
    </row>
    <row r="566" spans="1:254" x14ac:dyDescent="0.25">
      <c r="A566" s="7">
        <v>1.5156663438979221</v>
      </c>
      <c r="B566"/>
      <c r="C566"/>
      <c r="D566"/>
      <c r="E566"/>
      <c r="HW566" s="27" t="s">
        <v>8</v>
      </c>
      <c r="HX566" s="27" t="s">
        <v>7</v>
      </c>
      <c r="HY566" s="27" t="s">
        <v>8</v>
      </c>
      <c r="HZ566" s="27" t="s">
        <v>7</v>
      </c>
      <c r="IB566" s="27" t="s">
        <v>7</v>
      </c>
      <c r="IC566" s="27" t="s">
        <v>8</v>
      </c>
      <c r="ID566" s="27" t="s">
        <v>7</v>
      </c>
      <c r="IE566" s="27" t="s">
        <v>8</v>
      </c>
      <c r="IF566" s="27" t="s">
        <v>7</v>
      </c>
      <c r="IK566" s="27" t="s">
        <v>8</v>
      </c>
      <c r="IL566" s="27" t="s">
        <v>7</v>
      </c>
      <c r="IM566" s="27" t="s">
        <v>8</v>
      </c>
      <c r="IN566" s="27" t="s">
        <v>7</v>
      </c>
      <c r="IO566" s="27" t="s">
        <v>8</v>
      </c>
      <c r="IP566" s="27" t="s">
        <v>7</v>
      </c>
      <c r="IQ566" s="27" t="s">
        <v>8</v>
      </c>
      <c r="IR566" s="27" t="s">
        <v>7</v>
      </c>
    </row>
    <row r="567" spans="1:254" x14ac:dyDescent="0.25">
      <c r="A567" s="7">
        <v>1.4859473959783549</v>
      </c>
      <c r="B567"/>
      <c r="C567"/>
      <c r="D567"/>
      <c r="E567"/>
      <c r="HW567" s="27" t="s">
        <v>8</v>
      </c>
      <c r="HX567" s="27" t="s">
        <v>7</v>
      </c>
      <c r="HY567" s="27" t="s">
        <v>8</v>
      </c>
      <c r="IB567" s="27" t="s">
        <v>7</v>
      </c>
      <c r="IC567" s="27" t="s">
        <v>8</v>
      </c>
      <c r="ID567" s="27" t="s">
        <v>7</v>
      </c>
      <c r="IE567" s="27" t="s">
        <v>8</v>
      </c>
      <c r="IF567" s="27" t="s">
        <v>7</v>
      </c>
      <c r="IK567" s="27" t="s">
        <v>8</v>
      </c>
      <c r="IL567" s="27" t="s">
        <v>7</v>
      </c>
      <c r="IM567" s="27" t="s">
        <v>8</v>
      </c>
      <c r="IN567" s="27" t="s">
        <v>7</v>
      </c>
      <c r="IO567" s="27" t="s">
        <v>8</v>
      </c>
      <c r="IP567" s="27" t="s">
        <v>7</v>
      </c>
      <c r="IQ567" s="27" t="s">
        <v>8</v>
      </c>
      <c r="IR567" s="27" t="s">
        <v>7</v>
      </c>
    </row>
    <row r="568" spans="1:254" x14ac:dyDescent="0.25">
      <c r="A568" s="7">
        <v>1.4568111725277988</v>
      </c>
      <c r="B568"/>
      <c r="C568"/>
      <c r="D568"/>
      <c r="E568"/>
      <c r="HO568" s="27" t="s">
        <v>8</v>
      </c>
      <c r="HS568" s="27" t="s">
        <v>8</v>
      </c>
      <c r="HW568" s="27" t="s">
        <v>8</v>
      </c>
      <c r="HX568" s="27" t="s">
        <v>7</v>
      </c>
      <c r="HY568" s="27" t="s">
        <v>8</v>
      </c>
      <c r="IB568" s="27" t="s">
        <v>7</v>
      </c>
      <c r="IC568" s="27" t="s">
        <v>8</v>
      </c>
      <c r="ID568" s="27" t="s">
        <v>7</v>
      </c>
      <c r="IE568" s="27" t="s">
        <v>8</v>
      </c>
      <c r="IF568" s="27" t="s">
        <v>7</v>
      </c>
      <c r="IK568" s="27" t="s">
        <v>8</v>
      </c>
      <c r="IL568" s="27" t="s">
        <v>7</v>
      </c>
      <c r="IM568" s="27" t="s">
        <v>8</v>
      </c>
      <c r="IN568" s="27" t="s">
        <v>7</v>
      </c>
      <c r="IO568" s="27" t="s">
        <v>8</v>
      </c>
      <c r="IP568" s="27" t="s">
        <v>7</v>
      </c>
      <c r="IQ568" s="27" t="s">
        <v>8</v>
      </c>
      <c r="IR568" s="27" t="s">
        <v>7</v>
      </c>
    </row>
    <row r="569" spans="1:254" x14ac:dyDescent="0.25">
      <c r="A569" s="7">
        <v>1.4282462475762734</v>
      </c>
      <c r="B569"/>
      <c r="C569"/>
      <c r="D569"/>
      <c r="E569"/>
      <c r="HO569" s="27" t="s">
        <v>8</v>
      </c>
      <c r="HP569" s="27" t="s">
        <v>7</v>
      </c>
      <c r="HS569" s="27" t="s">
        <v>8</v>
      </c>
      <c r="HT569" s="27" t="s">
        <v>7</v>
      </c>
      <c r="HW569" s="27" t="s">
        <v>8</v>
      </c>
      <c r="HX569" s="27" t="s">
        <v>7</v>
      </c>
      <c r="HY569" s="27" t="s">
        <v>8</v>
      </c>
      <c r="IB569" s="27" t="s">
        <v>7</v>
      </c>
      <c r="IC569" s="27" t="s">
        <v>8</v>
      </c>
      <c r="ID569" s="27" t="s">
        <v>7</v>
      </c>
      <c r="IE569" s="27" t="s">
        <v>8</v>
      </c>
      <c r="IF569" s="27" t="s">
        <v>7</v>
      </c>
      <c r="IK569" s="27" t="s">
        <v>8</v>
      </c>
      <c r="IL569" s="27" t="s">
        <v>7</v>
      </c>
      <c r="IM569" s="27" t="s">
        <v>8</v>
      </c>
      <c r="IN569" s="27" t="s">
        <v>7</v>
      </c>
      <c r="IO569" s="27" t="s">
        <v>8</v>
      </c>
      <c r="IP569" s="27" t="s">
        <v>7</v>
      </c>
      <c r="IQ569" s="27" t="s">
        <v>8</v>
      </c>
      <c r="IR569" s="27" t="s">
        <v>7</v>
      </c>
    </row>
    <row r="570" spans="1:254" x14ac:dyDescent="0.25">
      <c r="A570" s="7">
        <v>1.4002414191924248</v>
      </c>
      <c r="B570"/>
      <c r="C570"/>
      <c r="D570"/>
      <c r="E570"/>
      <c r="HO570" s="27" t="s">
        <v>8</v>
      </c>
      <c r="HP570" s="27" t="s">
        <v>7</v>
      </c>
      <c r="HS570" s="27" t="s">
        <v>8</v>
      </c>
      <c r="HT570" s="27" t="s">
        <v>7</v>
      </c>
      <c r="HW570" s="27" t="s">
        <v>8</v>
      </c>
      <c r="HX570" s="27" t="s">
        <v>7</v>
      </c>
      <c r="HY570" s="27" t="s">
        <v>8</v>
      </c>
      <c r="IB570" s="27" t="s">
        <v>7</v>
      </c>
      <c r="IC570" s="27" t="s">
        <v>8</v>
      </c>
      <c r="ID570" s="27" t="s">
        <v>7</v>
      </c>
      <c r="IE570" s="27" t="s">
        <v>8</v>
      </c>
      <c r="IF570" s="27" t="s">
        <v>7</v>
      </c>
      <c r="II570" s="27" t="s">
        <v>8</v>
      </c>
      <c r="IK570" s="27" t="s">
        <v>8</v>
      </c>
      <c r="IL570" s="27" t="s">
        <v>7</v>
      </c>
      <c r="IM570" s="27" t="s">
        <v>8</v>
      </c>
      <c r="IN570" s="27" t="s">
        <v>7</v>
      </c>
      <c r="IO570" s="27" t="s">
        <v>8</v>
      </c>
      <c r="IP570" s="27" t="s">
        <v>7</v>
      </c>
      <c r="IQ570" s="27" t="s">
        <v>8</v>
      </c>
      <c r="IR570" s="27" t="s">
        <v>7</v>
      </c>
      <c r="IS570" s="27" t="s">
        <v>8</v>
      </c>
    </row>
    <row r="571" spans="1:254" x14ac:dyDescent="0.25">
      <c r="A571" s="7">
        <v>1.3727857050906125</v>
      </c>
      <c r="B571"/>
      <c r="C571"/>
      <c r="D571"/>
      <c r="E571"/>
      <c r="HO571" s="27" t="s">
        <v>8</v>
      </c>
      <c r="HP571" s="27" t="s">
        <v>7</v>
      </c>
      <c r="HS571" s="27" t="s">
        <v>8</v>
      </c>
      <c r="HT571" s="27" t="s">
        <v>7</v>
      </c>
      <c r="HW571" s="27" t="s">
        <v>8</v>
      </c>
      <c r="HX571" s="27" t="s">
        <v>7</v>
      </c>
      <c r="HY571" s="27" t="s">
        <v>8</v>
      </c>
      <c r="IB571" s="27" t="s">
        <v>7</v>
      </c>
      <c r="ID571" s="27" t="s">
        <v>7</v>
      </c>
      <c r="IF571" s="27" t="s">
        <v>7</v>
      </c>
      <c r="II571" s="27" t="s">
        <v>8</v>
      </c>
      <c r="IJ571" s="27" t="s">
        <v>7</v>
      </c>
      <c r="IK571" s="27" t="s">
        <v>8</v>
      </c>
      <c r="IL571" s="27" t="s">
        <v>7</v>
      </c>
      <c r="IN571" s="27" t="s">
        <v>7</v>
      </c>
      <c r="IO571" s="27" t="s">
        <v>8</v>
      </c>
      <c r="IP571" s="27" t="s">
        <v>7</v>
      </c>
      <c r="IQ571" s="27" t="s">
        <v>8</v>
      </c>
      <c r="IR571" s="27" t="s">
        <v>7</v>
      </c>
      <c r="IS571" s="27" t="s">
        <v>8</v>
      </c>
      <c r="IT571" s="27" t="s">
        <v>7</v>
      </c>
    </row>
    <row r="572" spans="1:254" x14ac:dyDescent="0.25">
      <c r="A572" s="7">
        <v>1.3458683383241299</v>
      </c>
      <c r="B572"/>
      <c r="C572"/>
      <c r="D572"/>
      <c r="E572"/>
      <c r="HO572" s="27" t="s">
        <v>8</v>
      </c>
      <c r="HP572" s="27" t="s">
        <v>7</v>
      </c>
      <c r="HS572" s="27" t="s">
        <v>8</v>
      </c>
      <c r="HT572" s="27" t="s">
        <v>7</v>
      </c>
      <c r="HW572" s="27" t="s">
        <v>8</v>
      </c>
      <c r="HX572" s="27" t="s">
        <v>7</v>
      </c>
      <c r="HY572" s="27" t="s">
        <v>8</v>
      </c>
      <c r="IF572" s="27" t="s">
        <v>7</v>
      </c>
      <c r="II572" s="27" t="s">
        <v>8</v>
      </c>
      <c r="IJ572" s="27" t="s">
        <v>7</v>
      </c>
      <c r="IK572" s="27" t="s">
        <v>8</v>
      </c>
      <c r="IN572" s="27" t="s">
        <v>7</v>
      </c>
      <c r="IO572" s="27" t="s">
        <v>8</v>
      </c>
      <c r="IP572" s="27" t="s">
        <v>7</v>
      </c>
      <c r="IQ572" s="27" t="s">
        <v>8</v>
      </c>
      <c r="IR572" s="27" t="s">
        <v>7</v>
      </c>
      <c r="IS572" s="27" t="s">
        <v>8</v>
      </c>
      <c r="IT572" s="27" t="s">
        <v>7</v>
      </c>
    </row>
    <row r="573" spans="1:254" x14ac:dyDescent="0.25">
      <c r="A573" s="7">
        <v>1.3194787630628724</v>
      </c>
      <c r="B573"/>
      <c r="C573"/>
      <c r="D573"/>
      <c r="E573"/>
      <c r="HO573" s="27" t="s">
        <v>8</v>
      </c>
      <c r="HP573" s="27" t="s">
        <v>7</v>
      </c>
      <c r="HS573" s="27" t="s">
        <v>8</v>
      </c>
      <c r="HT573" s="27" t="s">
        <v>7</v>
      </c>
      <c r="HU573" s="27" t="s">
        <v>8</v>
      </c>
      <c r="HW573" s="27" t="s">
        <v>8</v>
      </c>
      <c r="HX573" s="27" t="s">
        <v>7</v>
      </c>
      <c r="IF573" s="27" t="s">
        <v>7</v>
      </c>
      <c r="II573" s="27" t="s">
        <v>8</v>
      </c>
      <c r="IJ573" s="27" t="s">
        <v>7</v>
      </c>
      <c r="IK573" s="27" t="s">
        <v>8</v>
      </c>
      <c r="IN573" s="27" t="s">
        <v>7</v>
      </c>
      <c r="IO573" s="27" t="s">
        <v>8</v>
      </c>
      <c r="IP573" s="27" t="s">
        <v>7</v>
      </c>
      <c r="IQ573" s="27" t="s">
        <v>8</v>
      </c>
      <c r="IR573" s="27" t="s">
        <v>7</v>
      </c>
      <c r="IS573" s="27" t="s">
        <v>8</v>
      </c>
      <c r="IT573" s="27" t="s">
        <v>7</v>
      </c>
    </row>
    <row r="574" spans="1:254" x14ac:dyDescent="0.25">
      <c r="A574" s="7">
        <v>1.2936066304537963</v>
      </c>
      <c r="B574"/>
      <c r="C574"/>
      <c r="D574"/>
      <c r="E574"/>
      <c r="HO574" s="27" t="s">
        <v>8</v>
      </c>
      <c r="HP574" s="27" t="s">
        <v>7</v>
      </c>
      <c r="HS574" s="27" t="s">
        <v>8</v>
      </c>
      <c r="HT574" s="27" t="s">
        <v>7</v>
      </c>
      <c r="HU574" s="27" t="s">
        <v>8</v>
      </c>
      <c r="HV574" s="27" t="s">
        <v>7</v>
      </c>
      <c r="HW574" s="27" t="s">
        <v>8</v>
      </c>
      <c r="IF574" s="27" t="s">
        <v>7</v>
      </c>
      <c r="II574" s="27" t="s">
        <v>8</v>
      </c>
      <c r="IJ574" s="27" t="s">
        <v>7</v>
      </c>
      <c r="IK574" s="27" t="s">
        <v>8</v>
      </c>
      <c r="IN574" s="27" t="s">
        <v>7</v>
      </c>
      <c r="IO574" s="27" t="s">
        <v>8</v>
      </c>
      <c r="IP574" s="27" t="s">
        <v>7</v>
      </c>
      <c r="IQ574" s="27" t="s">
        <v>8</v>
      </c>
      <c r="IR574" s="27" t="s">
        <v>7</v>
      </c>
      <c r="IS574" s="27" t="s">
        <v>8</v>
      </c>
      <c r="IT574" s="27" t="s">
        <v>7</v>
      </c>
    </row>
    <row r="575" spans="1:254" x14ac:dyDescent="0.25">
      <c r="A575" s="7">
        <v>1.2682417945625455</v>
      </c>
      <c r="B575"/>
      <c r="C575"/>
      <c r="D575"/>
      <c r="E575"/>
      <c r="HO575" s="27" t="s">
        <v>8</v>
      </c>
      <c r="HP575" s="27" t="s">
        <v>7</v>
      </c>
      <c r="HS575" s="27" t="s">
        <v>8</v>
      </c>
      <c r="HT575" s="27" t="s">
        <v>7</v>
      </c>
      <c r="HU575" s="27" t="s">
        <v>8</v>
      </c>
      <c r="HV575" s="27" t="s">
        <v>7</v>
      </c>
      <c r="HW575" s="27" t="s">
        <v>8</v>
      </c>
      <c r="IF575" s="27" t="s">
        <v>7</v>
      </c>
      <c r="II575" s="27" t="s">
        <v>8</v>
      </c>
      <c r="IJ575" s="27" t="s">
        <v>7</v>
      </c>
      <c r="IK575" s="27" t="s">
        <v>8</v>
      </c>
      <c r="IN575" s="27" t="s">
        <v>7</v>
      </c>
      <c r="IO575" s="27" t="s">
        <v>8</v>
      </c>
      <c r="IP575" s="27" t="s">
        <v>7</v>
      </c>
      <c r="IR575" s="27" t="s">
        <v>7</v>
      </c>
      <c r="IS575" s="27" t="s">
        <v>8</v>
      </c>
      <c r="IT575" s="27" t="s">
        <v>7</v>
      </c>
    </row>
    <row r="576" spans="1:254" x14ac:dyDescent="0.25">
      <c r="A576" s="7">
        <v>1.2433743083946525</v>
      </c>
      <c r="B576"/>
      <c r="C576"/>
      <c r="D576"/>
      <c r="E576"/>
      <c r="HO576" s="27" t="s">
        <v>8</v>
      </c>
      <c r="HP576" s="27" t="s">
        <v>7</v>
      </c>
      <c r="HS576" s="27" t="s">
        <v>8</v>
      </c>
      <c r="HT576" s="27" t="s">
        <v>7</v>
      </c>
      <c r="HU576" s="27" t="s">
        <v>8</v>
      </c>
      <c r="HV576" s="27" t="s">
        <v>7</v>
      </c>
      <c r="HW576" s="27" t="s">
        <v>8</v>
      </c>
      <c r="IF576" s="27" t="s">
        <v>7</v>
      </c>
      <c r="IG576" s="27" t="s">
        <v>8</v>
      </c>
      <c r="II576" s="27" t="s">
        <v>8</v>
      </c>
      <c r="IJ576" s="27" t="s">
        <v>7</v>
      </c>
      <c r="IK576" s="27" t="s">
        <v>8</v>
      </c>
      <c r="IN576" s="27" t="s">
        <v>7</v>
      </c>
      <c r="IR576" s="27" t="s">
        <v>7</v>
      </c>
      <c r="IT576" s="27" t="s">
        <v>7</v>
      </c>
    </row>
    <row r="577" spans="1:364" x14ac:dyDescent="0.25">
      <c r="A577" s="7">
        <v>1.2189944199947573</v>
      </c>
      <c r="B577"/>
      <c r="C577"/>
      <c r="D577"/>
      <c r="E577"/>
      <c r="HO577" s="27" t="s">
        <v>8</v>
      </c>
      <c r="HP577" s="27" t="s">
        <v>7</v>
      </c>
      <c r="HS577" s="27" t="s">
        <v>8</v>
      </c>
      <c r="HT577" s="27" t="s">
        <v>7</v>
      </c>
      <c r="HU577" s="27" t="s">
        <v>8</v>
      </c>
      <c r="HV577" s="27" t="s">
        <v>7</v>
      </c>
      <c r="HW577" s="27" t="s">
        <v>8</v>
      </c>
      <c r="IF577" s="27" t="s">
        <v>7</v>
      </c>
      <c r="IG577" s="27" t="s">
        <v>8</v>
      </c>
      <c r="IH577" s="27" t="s">
        <v>7</v>
      </c>
      <c r="II577" s="27" t="s">
        <v>8</v>
      </c>
      <c r="IJ577" s="27" t="s">
        <v>7</v>
      </c>
      <c r="IT577" s="27" t="s">
        <v>7</v>
      </c>
    </row>
    <row r="578" spans="1:364" x14ac:dyDescent="0.25">
      <c r="A578" s="7">
        <v>1.1950925686223111</v>
      </c>
      <c r="B578"/>
      <c r="C578"/>
      <c r="D578"/>
      <c r="E578"/>
      <c r="HO578" s="27" t="s">
        <v>8</v>
      </c>
      <c r="HP578" s="27" t="s">
        <v>7</v>
      </c>
      <c r="HS578" s="27" t="s">
        <v>8</v>
      </c>
      <c r="HT578" s="27" t="s">
        <v>7</v>
      </c>
      <c r="HU578" s="27" t="s">
        <v>8</v>
      </c>
      <c r="HV578" s="27" t="s">
        <v>7</v>
      </c>
      <c r="HW578" s="27" t="s">
        <v>8</v>
      </c>
      <c r="IF578" s="27" t="s">
        <v>7</v>
      </c>
      <c r="IG578" s="27" t="s">
        <v>8</v>
      </c>
      <c r="IH578" s="27" t="s">
        <v>7</v>
      </c>
      <c r="II578" s="27" t="s">
        <v>8</v>
      </c>
      <c r="IT578" s="27" t="s">
        <v>7</v>
      </c>
    </row>
    <row r="579" spans="1:364" x14ac:dyDescent="0.25">
      <c r="A579" s="7">
        <v>1.1716593810022657</v>
      </c>
      <c r="B579"/>
      <c r="C579"/>
      <c r="D579"/>
      <c r="E579"/>
      <c r="HO579" s="27" t="s">
        <v>8</v>
      </c>
      <c r="HP579" s="27" t="s">
        <v>7</v>
      </c>
      <c r="HS579" s="27" t="s">
        <v>8</v>
      </c>
      <c r="HT579" s="27" t="s">
        <v>7</v>
      </c>
      <c r="HU579" s="27" t="s">
        <v>8</v>
      </c>
      <c r="HV579" s="27" t="s">
        <v>7</v>
      </c>
      <c r="HW579" s="27" t="s">
        <v>8</v>
      </c>
      <c r="IF579" s="27" t="s">
        <v>7</v>
      </c>
      <c r="IG579" s="27" t="s">
        <v>8</v>
      </c>
      <c r="IH579" s="27" t="s">
        <v>7</v>
      </c>
      <c r="II579" s="27" t="s">
        <v>8</v>
      </c>
      <c r="IT579" s="27" t="s">
        <v>7</v>
      </c>
      <c r="MW579" s="27" t="s">
        <v>8</v>
      </c>
    </row>
    <row r="580" spans="1:364" x14ac:dyDescent="0.25">
      <c r="A580" s="7">
        <v>1.14868566764928</v>
      </c>
      <c r="B580"/>
      <c r="C580"/>
      <c r="D580"/>
      <c r="E580"/>
      <c r="HO580" s="27" t="s">
        <v>8</v>
      </c>
      <c r="HP580" s="27" t="s">
        <v>7</v>
      </c>
      <c r="HS580" s="27" t="s">
        <v>8</v>
      </c>
      <c r="HT580" s="27" t="s">
        <v>7</v>
      </c>
      <c r="HU580" s="27" t="s">
        <v>8</v>
      </c>
      <c r="HV580" s="27" t="s">
        <v>7</v>
      </c>
      <c r="HW580" s="27" t="s">
        <v>8</v>
      </c>
      <c r="IF580" s="27" t="s">
        <v>7</v>
      </c>
      <c r="IG580" s="27" t="s">
        <v>8</v>
      </c>
      <c r="IH580" s="27" t="s">
        <v>7</v>
      </c>
      <c r="II580" s="27" t="s">
        <v>8</v>
      </c>
      <c r="IT580" s="27" t="s">
        <v>7</v>
      </c>
      <c r="MW580" s="27" t="s">
        <v>8</v>
      </c>
      <c r="MX580" s="27" t="s">
        <v>7</v>
      </c>
    </row>
    <row r="581" spans="1:364" x14ac:dyDescent="0.25">
      <c r="A581" s="7">
        <v>1.1261624192640001</v>
      </c>
      <c r="B581"/>
      <c r="C581"/>
      <c r="D581"/>
      <c r="E581"/>
      <c r="HO581" s="27" t="s">
        <v>8</v>
      </c>
      <c r="HP581" s="27" t="s">
        <v>7</v>
      </c>
      <c r="HS581" s="27" t="s">
        <v>8</v>
      </c>
      <c r="HT581" s="27" t="s">
        <v>7</v>
      </c>
      <c r="HU581" s="27" t="s">
        <v>8</v>
      </c>
      <c r="HV581" s="27" t="s">
        <v>7</v>
      </c>
      <c r="HW581" s="27" t="s">
        <v>8</v>
      </c>
      <c r="IF581" s="27" t="s">
        <v>7</v>
      </c>
      <c r="IG581" s="27" t="s">
        <v>8</v>
      </c>
      <c r="IH581" s="27" t="s">
        <v>7</v>
      </c>
      <c r="II581" s="27" t="s">
        <v>8</v>
      </c>
      <c r="IT581" s="27" t="s">
        <v>7</v>
      </c>
      <c r="MW581" s="27" t="s">
        <v>8</v>
      </c>
      <c r="MX581" s="27" t="s">
        <v>7</v>
      </c>
    </row>
    <row r="582" spans="1:364" x14ac:dyDescent="0.25">
      <c r="A582" s="7">
        <v>1.1040808032</v>
      </c>
      <c r="B582"/>
      <c r="C582"/>
      <c r="D582"/>
      <c r="E582"/>
      <c r="HO582" s="27" t="s">
        <v>8</v>
      </c>
      <c r="HP582" s="27" t="s">
        <v>7</v>
      </c>
      <c r="HS582" s="27" t="s">
        <v>8</v>
      </c>
      <c r="HT582" s="27" t="s">
        <v>7</v>
      </c>
      <c r="HU582" s="27" t="s">
        <v>8</v>
      </c>
      <c r="HV582" s="27" t="s">
        <v>7</v>
      </c>
      <c r="HW582" s="27" t="s">
        <v>8</v>
      </c>
      <c r="IF582" s="27" t="s">
        <v>7</v>
      </c>
      <c r="IG582" s="27" t="s">
        <v>8</v>
      </c>
      <c r="IH582" s="27" t="s">
        <v>7</v>
      </c>
      <c r="II582" s="27" t="s">
        <v>8</v>
      </c>
      <c r="IT582" s="27" t="s">
        <v>7</v>
      </c>
      <c r="MW582" s="27" t="s">
        <v>8</v>
      </c>
      <c r="MX582" s="27" t="s">
        <v>7</v>
      </c>
    </row>
    <row r="583" spans="1:364" x14ac:dyDescent="0.25">
      <c r="A583" s="7">
        <v>1.08243216</v>
      </c>
      <c r="B583"/>
      <c r="C583"/>
      <c r="D583"/>
      <c r="E583"/>
      <c r="HO583" s="27" t="s">
        <v>8</v>
      </c>
      <c r="HP583" s="27" t="s">
        <v>7</v>
      </c>
      <c r="HQ583" s="27" t="s">
        <v>8</v>
      </c>
      <c r="HS583" s="27" t="s">
        <v>8</v>
      </c>
      <c r="HT583" s="27" t="s">
        <v>7</v>
      </c>
      <c r="HU583" s="27" t="s">
        <v>8</v>
      </c>
      <c r="HV583" s="27" t="s">
        <v>7</v>
      </c>
      <c r="HW583" s="27" t="s">
        <v>8</v>
      </c>
      <c r="IF583" s="27" t="s">
        <v>7</v>
      </c>
      <c r="IG583" s="27" t="s">
        <v>8</v>
      </c>
      <c r="IH583" s="27" t="s">
        <v>7</v>
      </c>
      <c r="II583" s="27" t="s">
        <v>8</v>
      </c>
      <c r="IT583" s="27" t="s">
        <v>7</v>
      </c>
      <c r="MW583" s="27" t="s">
        <v>8</v>
      </c>
      <c r="MX583" s="27" t="s">
        <v>7</v>
      </c>
    </row>
    <row r="584" spans="1:364" x14ac:dyDescent="0.25">
      <c r="A584" s="7">
        <v>1.0612079999999999</v>
      </c>
      <c r="B584"/>
      <c r="C584"/>
      <c r="D584"/>
      <c r="E584"/>
      <c r="HK584" s="27" t="s">
        <v>8</v>
      </c>
      <c r="HO584" s="27" t="s">
        <v>8</v>
      </c>
      <c r="HP584" s="27" t="s">
        <v>7</v>
      </c>
      <c r="HQ584" s="27" t="s">
        <v>8</v>
      </c>
      <c r="HR584" s="27" t="s">
        <v>7</v>
      </c>
      <c r="HS584" s="27" t="s">
        <v>8</v>
      </c>
      <c r="HT584" s="27" t="s">
        <v>7</v>
      </c>
      <c r="HV584" s="27" t="s">
        <v>7</v>
      </c>
      <c r="HW584" s="27" t="s">
        <v>8</v>
      </c>
      <c r="IF584" s="27" t="s">
        <v>7</v>
      </c>
      <c r="IG584" s="27" t="s">
        <v>8</v>
      </c>
      <c r="IH584" s="27" t="s">
        <v>7</v>
      </c>
      <c r="II584" s="27" t="s">
        <v>8</v>
      </c>
      <c r="IT584" s="27" t="s">
        <v>7</v>
      </c>
      <c r="MW584" s="27" t="s">
        <v>8</v>
      </c>
      <c r="MX584" s="27" t="s">
        <v>7</v>
      </c>
    </row>
    <row r="585" spans="1:364" x14ac:dyDescent="0.25">
      <c r="A585" s="7">
        <v>1.0404</v>
      </c>
      <c r="B585"/>
      <c r="C585"/>
      <c r="D585"/>
      <c r="E585"/>
      <c r="HK585" s="27" t="s">
        <v>8</v>
      </c>
      <c r="HL585" s="27" t="s">
        <v>7</v>
      </c>
      <c r="HM585" s="27" t="s">
        <v>8</v>
      </c>
      <c r="HO585" s="27" t="s">
        <v>8</v>
      </c>
      <c r="HP585" s="27" t="s">
        <v>7</v>
      </c>
      <c r="HQ585" s="27" t="s">
        <v>8</v>
      </c>
      <c r="HR585" s="27" t="s">
        <v>7</v>
      </c>
      <c r="HS585" s="27" t="s">
        <v>8</v>
      </c>
      <c r="HV585" s="27" t="s">
        <v>7</v>
      </c>
      <c r="HW585" s="27" t="s">
        <v>8</v>
      </c>
      <c r="IF585" s="27" t="s">
        <v>7</v>
      </c>
      <c r="IG585" s="27" t="s">
        <v>8</v>
      </c>
      <c r="IH585" s="27" t="s">
        <v>7</v>
      </c>
      <c r="II585" s="27" t="s">
        <v>8</v>
      </c>
      <c r="IT585" s="27" t="s">
        <v>7</v>
      </c>
      <c r="MW585" s="27" t="s">
        <v>8</v>
      </c>
      <c r="MX585" s="27" t="s">
        <v>7</v>
      </c>
    </row>
    <row r="586" spans="1:364" x14ac:dyDescent="0.25">
      <c r="A586" s="7">
        <v>1.02</v>
      </c>
      <c r="B586"/>
      <c r="C586"/>
      <c r="D586"/>
      <c r="E586"/>
      <c r="W586" s="27" t="s">
        <v>8</v>
      </c>
      <c r="HK586" s="27" t="s">
        <v>8</v>
      </c>
      <c r="HL586" s="27" t="s">
        <v>7</v>
      </c>
      <c r="HM586" s="27" t="s">
        <v>8</v>
      </c>
      <c r="HN586" s="27" t="s">
        <v>7</v>
      </c>
      <c r="HO586" s="27" t="s">
        <v>8</v>
      </c>
      <c r="HP586" s="27" t="s">
        <v>7</v>
      </c>
      <c r="HQ586" s="27" t="s">
        <v>8</v>
      </c>
      <c r="HR586" s="27" t="s">
        <v>7</v>
      </c>
      <c r="HS586" s="27" t="s">
        <v>8</v>
      </c>
      <c r="HV586" s="27" t="s">
        <v>7</v>
      </c>
      <c r="IF586" s="27" t="s">
        <v>7</v>
      </c>
      <c r="IG586" s="27" t="s">
        <v>8</v>
      </c>
      <c r="IH586" s="27" t="s">
        <v>7</v>
      </c>
      <c r="IT586" s="27" t="s">
        <v>7</v>
      </c>
      <c r="IU586" s="27" t="s">
        <v>8</v>
      </c>
      <c r="MW586" s="27" t="s">
        <v>8</v>
      </c>
      <c r="MX586" s="27" t="s">
        <v>7</v>
      </c>
    </row>
    <row r="587" spans="1:364" x14ac:dyDescent="0.25">
      <c r="A587" s="7">
        <v>1</v>
      </c>
      <c r="B587"/>
      <c r="C587"/>
      <c r="D587"/>
      <c r="E587" s="29" t="s">
        <v>8</v>
      </c>
      <c r="W587" s="27" t="s">
        <v>8</v>
      </c>
      <c r="X587" s="27" t="s">
        <v>7</v>
      </c>
      <c r="HK587" s="27" t="s">
        <v>8</v>
      </c>
      <c r="HL587" s="27" t="s">
        <v>7</v>
      </c>
      <c r="HM587" s="27" t="s">
        <v>8</v>
      </c>
      <c r="HN587" s="27" t="s">
        <v>7</v>
      </c>
      <c r="HO587" s="27" t="s">
        <v>8</v>
      </c>
      <c r="HP587" s="27" t="s">
        <v>7</v>
      </c>
      <c r="HQ587" s="27" t="s">
        <v>8</v>
      </c>
      <c r="HR587" s="27" t="s">
        <v>7</v>
      </c>
      <c r="IF587" s="27" t="s">
        <v>7</v>
      </c>
      <c r="IT587" s="27" t="s">
        <v>7</v>
      </c>
      <c r="IU587" s="27" t="s">
        <v>8</v>
      </c>
      <c r="IV587" s="27" t="s">
        <v>7</v>
      </c>
      <c r="LW587" s="27" t="s">
        <v>8</v>
      </c>
      <c r="MW587" s="27" t="s">
        <v>8</v>
      </c>
      <c r="MX587" s="27" t="s">
        <v>7</v>
      </c>
    </row>
    <row r="588" spans="1:364" x14ac:dyDescent="0.25">
      <c r="A588" s="7">
        <v>0.98039215686274506</v>
      </c>
      <c r="B588"/>
      <c r="C588"/>
      <c r="D588"/>
      <c r="E588"/>
      <c r="F588" s="27" t="s">
        <v>7</v>
      </c>
      <c r="W588" s="27" t="s">
        <v>8</v>
      </c>
      <c r="X588" s="27" t="s">
        <v>7</v>
      </c>
      <c r="HK588" s="27" t="s">
        <v>8</v>
      </c>
      <c r="HL588" s="27" t="s">
        <v>7</v>
      </c>
      <c r="HM588" s="27" t="s">
        <v>8</v>
      </c>
      <c r="HN588" s="27" t="s">
        <v>7</v>
      </c>
      <c r="HO588" s="27" t="s">
        <v>8</v>
      </c>
      <c r="HP588" s="27" t="s">
        <v>7</v>
      </c>
      <c r="HQ588" s="27" t="s">
        <v>8</v>
      </c>
      <c r="IT588" s="27" t="s">
        <v>7</v>
      </c>
      <c r="IU588" s="27" t="s">
        <v>8</v>
      </c>
      <c r="IV588" s="27" t="s">
        <v>7</v>
      </c>
      <c r="LW588" s="27" t="s">
        <v>8</v>
      </c>
      <c r="LX588" s="27" t="s">
        <v>7</v>
      </c>
      <c r="MC588" s="27" t="s">
        <v>8</v>
      </c>
      <c r="MW588" s="27" t="s">
        <v>8</v>
      </c>
      <c r="MX588" s="27" t="s">
        <v>7</v>
      </c>
    </row>
    <row r="589" spans="1:364" x14ac:dyDescent="0.25">
      <c r="A589" s="7">
        <v>0.96116878123798544</v>
      </c>
      <c r="B589"/>
      <c r="C589"/>
      <c r="D589"/>
      <c r="E589"/>
      <c r="F589" s="27" t="s">
        <v>7</v>
      </c>
      <c r="W589" s="27" t="s">
        <v>8</v>
      </c>
      <c r="X589" s="27" t="s">
        <v>7</v>
      </c>
      <c r="Y589" s="27" t="s">
        <v>8</v>
      </c>
      <c r="HK589" s="27" t="s">
        <v>8</v>
      </c>
      <c r="HL589" s="27" t="s">
        <v>7</v>
      </c>
      <c r="HM589" s="27" t="s">
        <v>8</v>
      </c>
      <c r="HN589" s="27" t="s">
        <v>7</v>
      </c>
      <c r="HO589" s="27" t="s">
        <v>8</v>
      </c>
      <c r="HP589" s="27" t="s">
        <v>7</v>
      </c>
      <c r="HQ589" s="27" t="s">
        <v>8</v>
      </c>
      <c r="IT589" s="27" t="s">
        <v>7</v>
      </c>
      <c r="IU589" s="27" t="s">
        <v>8</v>
      </c>
      <c r="IV589" s="27" t="s">
        <v>7</v>
      </c>
      <c r="JA589" s="27" t="s">
        <v>8</v>
      </c>
      <c r="LW589" s="27" t="s">
        <v>8</v>
      </c>
      <c r="LX589" s="27" t="s">
        <v>7</v>
      </c>
      <c r="MC589" s="27" t="s">
        <v>8</v>
      </c>
      <c r="MD589" s="27" t="s">
        <v>7</v>
      </c>
      <c r="MW589" s="27" t="s">
        <v>8</v>
      </c>
      <c r="MX589" s="27" t="s">
        <v>7</v>
      </c>
    </row>
    <row r="590" spans="1:364" x14ac:dyDescent="0.25">
      <c r="A590" s="7">
        <v>0.94232233454704462</v>
      </c>
      <c r="B590"/>
      <c r="C590"/>
      <c r="D590"/>
      <c r="E590"/>
      <c r="F590" s="27" t="s">
        <v>7</v>
      </c>
      <c r="W590" s="27" t="s">
        <v>8</v>
      </c>
      <c r="X590" s="27" t="s">
        <v>7</v>
      </c>
      <c r="Y590" s="27" t="s">
        <v>8</v>
      </c>
      <c r="Z590" s="27" t="s">
        <v>7</v>
      </c>
      <c r="HK590" s="27" t="s">
        <v>8</v>
      </c>
      <c r="HL590" s="27" t="s">
        <v>7</v>
      </c>
      <c r="HM590" s="27" t="s">
        <v>8</v>
      </c>
      <c r="HN590" s="27" t="s">
        <v>7</v>
      </c>
      <c r="HO590" s="27" t="s">
        <v>8</v>
      </c>
      <c r="HP590" s="27" t="s">
        <v>7</v>
      </c>
      <c r="HQ590" s="27" t="s">
        <v>8</v>
      </c>
      <c r="IT590" s="27" t="s">
        <v>7</v>
      </c>
      <c r="IU590" s="27" t="s">
        <v>8</v>
      </c>
      <c r="IV590" s="27" t="s">
        <v>7</v>
      </c>
      <c r="JA590" s="27" t="s">
        <v>8</v>
      </c>
      <c r="JB590" s="27" t="s">
        <v>7</v>
      </c>
      <c r="LW590" s="27" t="s">
        <v>8</v>
      </c>
      <c r="LX590" s="27" t="s">
        <v>7</v>
      </c>
      <c r="MC590" s="27" t="s">
        <v>8</v>
      </c>
      <c r="MD590" s="27" t="s">
        <v>7</v>
      </c>
      <c r="MW590" s="27" t="s">
        <v>8</v>
      </c>
      <c r="MX590" s="27" t="s">
        <v>7</v>
      </c>
    </row>
    <row r="591" spans="1:364" x14ac:dyDescent="0.25">
      <c r="A591" s="7">
        <v>0.92384542602651432</v>
      </c>
      <c r="B591"/>
      <c r="C591"/>
      <c r="D591"/>
      <c r="E591"/>
      <c r="F591" s="27" t="s">
        <v>7</v>
      </c>
      <c r="W591" s="27" t="s">
        <v>8</v>
      </c>
      <c r="X591" s="27" t="s">
        <v>7</v>
      </c>
      <c r="Y591" s="27" t="s">
        <v>8</v>
      </c>
      <c r="Z591" s="27" t="s">
        <v>7</v>
      </c>
      <c r="HK591" s="27" t="s">
        <v>8</v>
      </c>
      <c r="HL591" s="27" t="s">
        <v>7</v>
      </c>
      <c r="HM591" s="27" t="s">
        <v>8</v>
      </c>
      <c r="HN591" s="27" t="s">
        <v>7</v>
      </c>
      <c r="HO591" s="27" t="s">
        <v>8</v>
      </c>
      <c r="HP591" s="27" t="s">
        <v>7</v>
      </c>
      <c r="HQ591" s="27" t="s">
        <v>8</v>
      </c>
      <c r="IT591" s="27" t="s">
        <v>7</v>
      </c>
      <c r="IU591" s="27" t="s">
        <v>8</v>
      </c>
      <c r="IV591" s="27" t="s">
        <v>7</v>
      </c>
      <c r="JA591" s="27" t="s">
        <v>8</v>
      </c>
      <c r="JB591" s="27" t="s">
        <v>7</v>
      </c>
      <c r="LW591" s="27" t="s">
        <v>8</v>
      </c>
      <c r="LX591" s="27" t="s">
        <v>7</v>
      </c>
      <c r="MC591" s="27" t="s">
        <v>8</v>
      </c>
      <c r="MD591" s="27" t="s">
        <v>7</v>
      </c>
      <c r="MW591" s="27" t="s">
        <v>8</v>
      </c>
      <c r="MX591" s="27" t="s">
        <v>7</v>
      </c>
      <c r="MY591" s="27" t="s">
        <v>8</v>
      </c>
    </row>
    <row r="592" spans="1:364" x14ac:dyDescent="0.25">
      <c r="A592" s="7">
        <v>0.90573080982991594</v>
      </c>
      <c r="B592"/>
      <c r="C592"/>
      <c r="D592"/>
      <c r="E592"/>
      <c r="F592" s="27" t="s">
        <v>7</v>
      </c>
      <c r="W592" s="27" t="s">
        <v>8</v>
      </c>
      <c r="X592" s="27" t="s">
        <v>7</v>
      </c>
      <c r="Z592" s="27" t="s">
        <v>7</v>
      </c>
      <c r="GY592" s="27" t="s">
        <v>8</v>
      </c>
      <c r="HK592" s="27" t="s">
        <v>8</v>
      </c>
      <c r="HL592" s="27" t="s">
        <v>7</v>
      </c>
      <c r="HM592" s="27" t="s">
        <v>8</v>
      </c>
      <c r="HN592" s="27" t="s">
        <v>7</v>
      </c>
      <c r="HO592" s="27" t="s">
        <v>8</v>
      </c>
      <c r="HP592" s="27" t="s">
        <v>7</v>
      </c>
      <c r="HQ592" s="27" t="s">
        <v>8</v>
      </c>
      <c r="IT592" s="27" t="s">
        <v>7</v>
      </c>
      <c r="IU592" s="27" t="s">
        <v>8</v>
      </c>
      <c r="IV592" s="27" t="s">
        <v>7</v>
      </c>
      <c r="JA592" s="27" t="s">
        <v>8</v>
      </c>
      <c r="JB592" s="27" t="s">
        <v>7</v>
      </c>
      <c r="LW592" s="27" t="s">
        <v>8</v>
      </c>
      <c r="LX592" s="27" t="s">
        <v>7</v>
      </c>
      <c r="MC592" s="27" t="s">
        <v>8</v>
      </c>
      <c r="MD592" s="27" t="s">
        <v>7</v>
      </c>
      <c r="ME592" s="27" t="s">
        <v>8</v>
      </c>
      <c r="MW592" s="27" t="s">
        <v>8</v>
      </c>
      <c r="MX592" s="27" t="s">
        <v>7</v>
      </c>
      <c r="MY592" s="27" t="s">
        <v>8</v>
      </c>
      <c r="MZ592" s="27" t="s">
        <v>7</v>
      </c>
    </row>
    <row r="593" spans="1:378" x14ac:dyDescent="0.25">
      <c r="A593" s="7">
        <v>0.8879713821861922</v>
      </c>
      <c r="B593"/>
      <c r="C593"/>
      <c r="D593"/>
      <c r="E593"/>
      <c r="F593" s="27" t="s">
        <v>7</v>
      </c>
      <c r="W593" s="27" t="s">
        <v>8</v>
      </c>
      <c r="Z593" s="27" t="s">
        <v>7</v>
      </c>
      <c r="GY593" s="27" t="s">
        <v>8</v>
      </c>
      <c r="GZ593" s="27" t="s">
        <v>7</v>
      </c>
      <c r="HK593" s="27" t="s">
        <v>8</v>
      </c>
      <c r="HL593" s="27" t="s">
        <v>7</v>
      </c>
      <c r="HM593" s="27" t="s">
        <v>8</v>
      </c>
      <c r="HN593" s="27" t="s">
        <v>7</v>
      </c>
      <c r="HP593" s="27" t="s">
        <v>7</v>
      </c>
      <c r="IT593" s="27" t="s">
        <v>7</v>
      </c>
      <c r="IU593" s="27" t="s">
        <v>8</v>
      </c>
      <c r="IV593" s="27" t="s">
        <v>7</v>
      </c>
      <c r="JA593" s="27" t="s">
        <v>8</v>
      </c>
      <c r="JB593" s="27" t="s">
        <v>7</v>
      </c>
      <c r="LE593" s="27" t="s">
        <v>8</v>
      </c>
      <c r="LG593" s="27" t="s">
        <v>8</v>
      </c>
      <c r="LW593" s="27" t="s">
        <v>8</v>
      </c>
      <c r="LX593" s="27" t="s">
        <v>7</v>
      </c>
      <c r="MA593" s="27" t="s">
        <v>8</v>
      </c>
      <c r="MC593" s="27" t="s">
        <v>8</v>
      </c>
      <c r="MD593" s="27" t="s">
        <v>7</v>
      </c>
      <c r="ME593" s="27" t="s">
        <v>8</v>
      </c>
      <c r="MF593" s="27" t="s">
        <v>7</v>
      </c>
      <c r="MW593" s="27" t="s">
        <v>8</v>
      </c>
      <c r="MX593" s="27" t="s">
        <v>7</v>
      </c>
      <c r="MY593" s="27" t="s">
        <v>8</v>
      </c>
      <c r="MZ593" s="27" t="s">
        <v>7</v>
      </c>
    </row>
    <row r="594" spans="1:378" x14ac:dyDescent="0.25">
      <c r="A594" s="7">
        <v>0.87056017861391399</v>
      </c>
      <c r="B594"/>
      <c r="C594"/>
      <c r="D594"/>
      <c r="E594"/>
      <c r="F594" s="27" t="s">
        <v>7</v>
      </c>
      <c r="W594" s="27" t="s">
        <v>8</v>
      </c>
      <c r="Z594" s="27" t="s">
        <v>7</v>
      </c>
      <c r="GY594" s="27" t="s">
        <v>8</v>
      </c>
      <c r="GZ594" s="27" t="s">
        <v>7</v>
      </c>
      <c r="HK594" s="27" t="s">
        <v>8</v>
      </c>
      <c r="HL594" s="27" t="s">
        <v>7</v>
      </c>
      <c r="HM594" s="27" t="s">
        <v>8</v>
      </c>
      <c r="IT594" s="27" t="s">
        <v>7</v>
      </c>
      <c r="IU594" s="27" t="s">
        <v>8</v>
      </c>
      <c r="IV594" s="27" t="s">
        <v>7</v>
      </c>
      <c r="JA594" s="27" t="s">
        <v>8</v>
      </c>
      <c r="JB594" s="27" t="s">
        <v>7</v>
      </c>
      <c r="JC594" s="27" t="s">
        <v>8</v>
      </c>
      <c r="JE594" s="27" t="s">
        <v>8</v>
      </c>
      <c r="LE594" s="27" t="s">
        <v>8</v>
      </c>
      <c r="LF594" s="27" t="s">
        <v>7</v>
      </c>
      <c r="LG594" s="27" t="s">
        <v>8</v>
      </c>
      <c r="LH594" s="27" t="s">
        <v>7</v>
      </c>
      <c r="LW594" s="27" t="s">
        <v>8</v>
      </c>
      <c r="LX594" s="27" t="s">
        <v>7</v>
      </c>
      <c r="MA594" s="27" t="s">
        <v>8</v>
      </c>
      <c r="MB594" s="27" t="s">
        <v>7</v>
      </c>
      <c r="MC594" s="27" t="s">
        <v>8</v>
      </c>
      <c r="MD594" s="27" t="s">
        <v>7</v>
      </c>
      <c r="ME594" s="27" t="s">
        <v>8</v>
      </c>
      <c r="MF594" s="27" t="s">
        <v>7</v>
      </c>
      <c r="MQ594" s="27" t="s">
        <v>8</v>
      </c>
      <c r="MW594" s="27" t="s">
        <v>8</v>
      </c>
      <c r="MX594" s="27" t="s">
        <v>7</v>
      </c>
      <c r="MY594" s="27" t="s">
        <v>8</v>
      </c>
      <c r="MZ594" s="27" t="s">
        <v>7</v>
      </c>
    </row>
    <row r="595" spans="1:378" x14ac:dyDescent="0.25">
      <c r="A595" s="7">
        <v>0.85349037119011173</v>
      </c>
      <c r="B595"/>
      <c r="C595"/>
      <c r="D595"/>
      <c r="E595"/>
      <c r="F595" s="27" t="s">
        <v>7</v>
      </c>
      <c r="W595" s="27" t="s">
        <v>8</v>
      </c>
      <c r="Z595" s="27" t="s">
        <v>7</v>
      </c>
      <c r="GY595" s="27" t="s">
        <v>8</v>
      </c>
      <c r="GZ595" s="27" t="s">
        <v>7</v>
      </c>
      <c r="HK595" s="27" t="s">
        <v>8</v>
      </c>
      <c r="HL595" s="27" t="s">
        <v>7</v>
      </c>
      <c r="HM595" s="27" t="s">
        <v>8</v>
      </c>
      <c r="IT595" s="27" t="s">
        <v>7</v>
      </c>
      <c r="IU595" s="27" t="s">
        <v>8</v>
      </c>
      <c r="IV595" s="27" t="s">
        <v>7</v>
      </c>
      <c r="JA595" s="27" t="s">
        <v>8</v>
      </c>
      <c r="JB595" s="27" t="s">
        <v>7</v>
      </c>
      <c r="JC595" s="27" t="s">
        <v>8</v>
      </c>
      <c r="JD595" s="27" t="s">
        <v>7</v>
      </c>
      <c r="JE595" s="27" t="s">
        <v>8</v>
      </c>
      <c r="JF595" s="27" t="s">
        <v>7</v>
      </c>
      <c r="LE595" s="27" t="s">
        <v>8</v>
      </c>
      <c r="LF595" s="27" t="s">
        <v>7</v>
      </c>
      <c r="LG595" s="27" t="s">
        <v>8</v>
      </c>
      <c r="LH595" s="27" t="s">
        <v>7</v>
      </c>
      <c r="LW595" s="27" t="s">
        <v>8</v>
      </c>
      <c r="LX595" s="27" t="s">
        <v>7</v>
      </c>
      <c r="MA595" s="27" t="s">
        <v>8</v>
      </c>
      <c r="MB595" s="27" t="s">
        <v>7</v>
      </c>
      <c r="MC595" s="27" t="s">
        <v>8</v>
      </c>
      <c r="MD595" s="27" t="s">
        <v>7</v>
      </c>
      <c r="MF595" s="27" t="s">
        <v>7</v>
      </c>
      <c r="MQ595" s="27" t="s">
        <v>8</v>
      </c>
      <c r="MR595" s="27" t="s">
        <v>7</v>
      </c>
      <c r="MW595" s="27" t="s">
        <v>8</v>
      </c>
      <c r="MX595" s="27" t="s">
        <v>7</v>
      </c>
      <c r="MY595" s="27" t="s">
        <v>8</v>
      </c>
      <c r="MZ595" s="27" t="s">
        <v>7</v>
      </c>
    </row>
    <row r="596" spans="1:378" x14ac:dyDescent="0.25">
      <c r="A596" s="7">
        <v>0.83675526587265858</v>
      </c>
      <c r="B596"/>
      <c r="C596"/>
      <c r="D596"/>
      <c r="E596"/>
      <c r="F596" s="27" t="s">
        <v>7</v>
      </c>
      <c r="U596" s="27" t="s">
        <v>8</v>
      </c>
      <c r="W596" s="27" t="s">
        <v>8</v>
      </c>
      <c r="Z596" s="27" t="s">
        <v>7</v>
      </c>
      <c r="GY596" s="27" t="s">
        <v>8</v>
      </c>
      <c r="GZ596" s="27" t="s">
        <v>7</v>
      </c>
      <c r="HK596" s="27" t="s">
        <v>8</v>
      </c>
      <c r="HL596" s="27" t="s">
        <v>7</v>
      </c>
      <c r="HM596" s="27" t="s">
        <v>8</v>
      </c>
      <c r="IT596" s="27" t="s">
        <v>7</v>
      </c>
      <c r="IU596" s="27" t="s">
        <v>8</v>
      </c>
      <c r="IV596" s="27" t="s">
        <v>7</v>
      </c>
      <c r="JA596" s="27" t="s">
        <v>8</v>
      </c>
      <c r="JB596" s="27" t="s">
        <v>7</v>
      </c>
      <c r="JC596" s="27" t="s">
        <v>8</v>
      </c>
      <c r="JD596" s="27" t="s">
        <v>7</v>
      </c>
      <c r="JE596" s="27" t="s">
        <v>8</v>
      </c>
      <c r="JF596" s="27" t="s">
        <v>7</v>
      </c>
      <c r="LE596" s="27" t="s">
        <v>8</v>
      </c>
      <c r="LF596" s="27" t="s">
        <v>7</v>
      </c>
      <c r="LG596" s="27" t="s">
        <v>8</v>
      </c>
      <c r="LH596" s="27" t="s">
        <v>7</v>
      </c>
      <c r="LW596" s="27" t="s">
        <v>8</v>
      </c>
      <c r="LX596" s="27" t="s">
        <v>7</v>
      </c>
      <c r="LY596" s="27" t="s">
        <v>8</v>
      </c>
      <c r="MA596" s="27" t="s">
        <v>8</v>
      </c>
      <c r="MB596" s="27" t="s">
        <v>7</v>
      </c>
      <c r="MC596" s="27" t="s">
        <v>8</v>
      </c>
      <c r="MF596" s="27" t="s">
        <v>7</v>
      </c>
      <c r="MG596" s="27" t="s">
        <v>8</v>
      </c>
      <c r="MQ596" s="27" t="s">
        <v>8</v>
      </c>
      <c r="MR596" s="27" t="s">
        <v>7</v>
      </c>
      <c r="MW596" s="27" t="s">
        <v>8</v>
      </c>
      <c r="MX596" s="27" t="s">
        <v>7</v>
      </c>
      <c r="MY596" s="27" t="s">
        <v>8</v>
      </c>
      <c r="MZ596" s="27" t="s">
        <v>7</v>
      </c>
      <c r="NA596" s="27" t="s">
        <v>8</v>
      </c>
    </row>
    <row r="597" spans="1:378" x14ac:dyDescent="0.25">
      <c r="A597" s="7">
        <v>0.82034829987515545</v>
      </c>
      <c r="B597"/>
      <c r="C597"/>
      <c r="D597"/>
      <c r="E597"/>
      <c r="F597" s="27" t="s">
        <v>7</v>
      </c>
      <c r="S597" s="27" t="s">
        <v>8</v>
      </c>
      <c r="U597" s="27" t="s">
        <v>8</v>
      </c>
      <c r="V597" s="27" t="s">
        <v>7</v>
      </c>
      <c r="W597" s="27" t="s">
        <v>8</v>
      </c>
      <c r="Z597" s="27" t="s">
        <v>7</v>
      </c>
      <c r="GY597" s="27" t="s">
        <v>8</v>
      </c>
      <c r="GZ597" s="27" t="s">
        <v>7</v>
      </c>
      <c r="HK597" s="27" t="s">
        <v>8</v>
      </c>
      <c r="HL597" s="27" t="s">
        <v>7</v>
      </c>
      <c r="HM597" s="27" t="s">
        <v>8</v>
      </c>
      <c r="IT597" s="27" t="s">
        <v>7</v>
      </c>
      <c r="IU597" s="27" t="s">
        <v>8</v>
      </c>
      <c r="IV597" s="27" t="s">
        <v>7</v>
      </c>
      <c r="JA597" s="27" t="s">
        <v>8</v>
      </c>
      <c r="JB597" s="27" t="s">
        <v>7</v>
      </c>
      <c r="JC597" s="27" t="s">
        <v>8</v>
      </c>
      <c r="JD597" s="27" t="s">
        <v>7</v>
      </c>
      <c r="JE597" s="27" t="s">
        <v>8</v>
      </c>
      <c r="JF597" s="27" t="s">
        <v>7</v>
      </c>
      <c r="LE597" s="27" t="s">
        <v>8</v>
      </c>
      <c r="LF597" s="27" t="s">
        <v>7</v>
      </c>
      <c r="LG597" s="27" t="s">
        <v>8</v>
      </c>
      <c r="LH597" s="27" t="s">
        <v>7</v>
      </c>
      <c r="LW597" s="27" t="s">
        <v>8</v>
      </c>
      <c r="LX597" s="27" t="s">
        <v>7</v>
      </c>
      <c r="LY597" s="27" t="s">
        <v>8</v>
      </c>
      <c r="LZ597" s="27" t="s">
        <v>7</v>
      </c>
      <c r="MA597" s="27" t="s">
        <v>8</v>
      </c>
      <c r="MB597" s="27" t="s">
        <v>7</v>
      </c>
      <c r="MC597" s="27" t="s">
        <v>8</v>
      </c>
      <c r="MF597" s="27" t="s">
        <v>7</v>
      </c>
      <c r="MG597" s="27" t="s">
        <v>8</v>
      </c>
      <c r="MH597" s="27" t="s">
        <v>7</v>
      </c>
      <c r="MQ597" s="27" t="s">
        <v>8</v>
      </c>
      <c r="MR597" s="27" t="s">
        <v>7</v>
      </c>
      <c r="MW597" s="27" t="s">
        <v>8</v>
      </c>
      <c r="MX597" s="27" t="s">
        <v>7</v>
      </c>
      <c r="MY597" s="27" t="s">
        <v>8</v>
      </c>
      <c r="MZ597" s="27" t="s">
        <v>7</v>
      </c>
      <c r="NA597" s="27" t="s">
        <v>8</v>
      </c>
      <c r="NB597" s="27" t="s">
        <v>7</v>
      </c>
    </row>
    <row r="598" spans="1:378" x14ac:dyDescent="0.25">
      <c r="A598" s="7">
        <v>0.80426303909328967</v>
      </c>
      <c r="B598"/>
      <c r="C598"/>
      <c r="D598"/>
      <c r="E598"/>
      <c r="F598" s="27" t="s">
        <v>7</v>
      </c>
      <c r="S598" s="27" t="s">
        <v>8</v>
      </c>
      <c r="T598" s="27" t="s">
        <v>7</v>
      </c>
      <c r="U598" s="27" t="s">
        <v>8</v>
      </c>
      <c r="V598" s="27" t="s">
        <v>7</v>
      </c>
      <c r="W598" s="27" t="s">
        <v>8</v>
      </c>
      <c r="Z598" s="27" t="s">
        <v>7</v>
      </c>
      <c r="GY598" s="27" t="s">
        <v>8</v>
      </c>
      <c r="GZ598" s="27" t="s">
        <v>7</v>
      </c>
      <c r="HK598" s="27" t="s">
        <v>8</v>
      </c>
      <c r="HL598" s="27" t="s">
        <v>7</v>
      </c>
      <c r="HM598" s="27" t="s">
        <v>8</v>
      </c>
      <c r="IT598" s="27" t="s">
        <v>7</v>
      </c>
      <c r="IU598" s="27" t="s">
        <v>8</v>
      </c>
      <c r="IV598" s="27" t="s">
        <v>7</v>
      </c>
      <c r="JA598" s="27" t="s">
        <v>8</v>
      </c>
      <c r="JB598" s="27" t="s">
        <v>7</v>
      </c>
      <c r="JC598" s="27" t="s">
        <v>8</v>
      </c>
      <c r="JD598" s="27" t="s">
        <v>7</v>
      </c>
      <c r="JF598" s="27" t="s">
        <v>7</v>
      </c>
      <c r="KS598" s="27" t="s">
        <v>8</v>
      </c>
      <c r="LE598" s="27" t="s">
        <v>8</v>
      </c>
      <c r="LF598" s="27" t="s">
        <v>7</v>
      </c>
      <c r="LG598" s="27" t="s">
        <v>8</v>
      </c>
      <c r="LH598" s="27" t="s">
        <v>7</v>
      </c>
      <c r="LW598" s="27" t="s">
        <v>8</v>
      </c>
      <c r="LX598" s="27" t="s">
        <v>7</v>
      </c>
      <c r="LY598" s="27" t="s">
        <v>8</v>
      </c>
      <c r="LZ598" s="27" t="s">
        <v>7</v>
      </c>
      <c r="MA598" s="27" t="s">
        <v>8</v>
      </c>
      <c r="MB598" s="27" t="s">
        <v>7</v>
      </c>
      <c r="MC598" s="27" t="s">
        <v>8</v>
      </c>
      <c r="MF598" s="27" t="s">
        <v>7</v>
      </c>
      <c r="MG598" s="27" t="s">
        <v>8</v>
      </c>
      <c r="MH598" s="27" t="s">
        <v>7</v>
      </c>
      <c r="MQ598" s="27" t="s">
        <v>8</v>
      </c>
      <c r="MR598" s="27" t="s">
        <v>7</v>
      </c>
      <c r="MW598" s="27" t="s">
        <v>8</v>
      </c>
      <c r="MX598" s="27" t="s">
        <v>7</v>
      </c>
      <c r="MY598" s="27" t="s">
        <v>8</v>
      </c>
      <c r="MZ598" s="27" t="s">
        <v>7</v>
      </c>
      <c r="NA598" s="27" t="s">
        <v>8</v>
      </c>
      <c r="NB598" s="27" t="s">
        <v>7</v>
      </c>
    </row>
    <row r="599" spans="1:378" x14ac:dyDescent="0.25">
      <c r="A599" s="7">
        <v>0.78849317558165644</v>
      </c>
      <c r="B599"/>
      <c r="C599"/>
      <c r="D599"/>
      <c r="E599"/>
      <c r="F599" s="27" t="s">
        <v>7</v>
      </c>
      <c r="S599" s="27" t="s">
        <v>8</v>
      </c>
      <c r="T599" s="27" t="s">
        <v>7</v>
      </c>
      <c r="U599" s="27" t="s">
        <v>8</v>
      </c>
      <c r="V599" s="27" t="s">
        <v>7</v>
      </c>
      <c r="W599" s="27" t="s">
        <v>8</v>
      </c>
      <c r="Z599" s="27" t="s">
        <v>7</v>
      </c>
      <c r="AA599" s="27" t="s">
        <v>8</v>
      </c>
      <c r="GY599" s="27" t="s">
        <v>8</v>
      </c>
      <c r="GZ599" s="27" t="s">
        <v>7</v>
      </c>
      <c r="HK599" s="27" t="s">
        <v>8</v>
      </c>
      <c r="HL599" s="27" t="s">
        <v>7</v>
      </c>
      <c r="IT599" s="27" t="s">
        <v>7</v>
      </c>
      <c r="IU599" s="27" t="s">
        <v>8</v>
      </c>
      <c r="IV599" s="27" t="s">
        <v>7</v>
      </c>
      <c r="JA599" s="27" t="s">
        <v>8</v>
      </c>
      <c r="JB599" s="27" t="s">
        <v>7</v>
      </c>
      <c r="JC599" s="27" t="s">
        <v>8</v>
      </c>
      <c r="JF599" s="27" t="s">
        <v>7</v>
      </c>
      <c r="KS599" s="27" t="s">
        <v>8</v>
      </c>
      <c r="KT599" s="27" t="s">
        <v>7</v>
      </c>
      <c r="KW599" s="27" t="s">
        <v>8</v>
      </c>
      <c r="LE599" s="27" t="s">
        <v>8</v>
      </c>
      <c r="LF599" s="27" t="s">
        <v>7</v>
      </c>
      <c r="LG599" s="27" t="s">
        <v>8</v>
      </c>
      <c r="LH599" s="27" t="s">
        <v>7</v>
      </c>
      <c r="LW599" s="27" t="s">
        <v>8</v>
      </c>
      <c r="LX599" s="27" t="s">
        <v>7</v>
      </c>
      <c r="LY599" s="27" t="s">
        <v>8</v>
      </c>
      <c r="LZ599" s="27" t="s">
        <v>7</v>
      </c>
      <c r="MA599" s="27" t="s">
        <v>8</v>
      </c>
      <c r="MB599" s="27" t="s">
        <v>7</v>
      </c>
      <c r="MC599" s="27" t="s">
        <v>8</v>
      </c>
      <c r="MF599" s="27" t="s">
        <v>7</v>
      </c>
      <c r="MG599" s="27" t="s">
        <v>8</v>
      </c>
      <c r="MH599" s="27" t="s">
        <v>7</v>
      </c>
      <c r="MM599" s="27" t="s">
        <v>8</v>
      </c>
      <c r="MQ599" s="27" t="s">
        <v>8</v>
      </c>
      <c r="MR599" s="27" t="s">
        <v>7</v>
      </c>
      <c r="MW599" s="27" t="s">
        <v>8</v>
      </c>
      <c r="MX599" s="27" t="s">
        <v>7</v>
      </c>
      <c r="MY599" s="27" t="s">
        <v>8</v>
      </c>
      <c r="MZ599" s="27" t="s">
        <v>7</v>
      </c>
      <c r="NA599" s="27" t="s">
        <v>8</v>
      </c>
      <c r="NB599" s="27" t="s">
        <v>7</v>
      </c>
    </row>
    <row r="600" spans="1:378" x14ac:dyDescent="0.25">
      <c r="A600" s="7">
        <v>0.77303252508005538</v>
      </c>
      <c r="B600"/>
      <c r="C600"/>
      <c r="D600"/>
      <c r="E600"/>
      <c r="F600" s="27" t="s">
        <v>7</v>
      </c>
      <c r="S600" s="27" t="s">
        <v>8</v>
      </c>
      <c r="T600" s="27" t="s">
        <v>7</v>
      </c>
      <c r="U600" s="27" t="s">
        <v>8</v>
      </c>
      <c r="V600" s="27" t="s">
        <v>7</v>
      </c>
      <c r="Z600" s="27" t="s">
        <v>7</v>
      </c>
      <c r="AA600" s="27" t="s">
        <v>8</v>
      </c>
      <c r="AB600" s="27" t="s">
        <v>7</v>
      </c>
      <c r="GU600" s="27" t="s">
        <v>8</v>
      </c>
      <c r="GY600" s="27" t="s">
        <v>8</v>
      </c>
      <c r="GZ600" s="27" t="s">
        <v>7</v>
      </c>
      <c r="HI600" s="27" t="s">
        <v>8</v>
      </c>
      <c r="HK600" s="27" t="s">
        <v>8</v>
      </c>
      <c r="IT600" s="27" t="s">
        <v>7</v>
      </c>
      <c r="IU600" s="27" t="s">
        <v>8</v>
      </c>
      <c r="IV600" s="27" t="s">
        <v>7</v>
      </c>
      <c r="IW600" s="27" t="s">
        <v>8</v>
      </c>
      <c r="JA600" s="27" t="s">
        <v>8</v>
      </c>
      <c r="JB600" s="27" t="s">
        <v>7</v>
      </c>
      <c r="JC600" s="27" t="s">
        <v>8</v>
      </c>
      <c r="JF600" s="27" t="s">
        <v>7</v>
      </c>
      <c r="JG600" s="27" t="s">
        <v>8</v>
      </c>
      <c r="KS600" s="27" t="s">
        <v>8</v>
      </c>
      <c r="KT600" s="27" t="s">
        <v>7</v>
      </c>
      <c r="KW600" s="27" t="s">
        <v>8</v>
      </c>
      <c r="KX600" s="27" t="s">
        <v>7</v>
      </c>
      <c r="LE600" s="27" t="s">
        <v>8</v>
      </c>
      <c r="LF600" s="27" t="s">
        <v>7</v>
      </c>
      <c r="LG600" s="27" t="s">
        <v>8</v>
      </c>
      <c r="LH600" s="27" t="s">
        <v>7</v>
      </c>
      <c r="LW600" s="27" t="s">
        <v>8</v>
      </c>
      <c r="LX600" s="27" t="s">
        <v>7</v>
      </c>
      <c r="LY600" s="27" t="s">
        <v>8</v>
      </c>
      <c r="LZ600" s="27" t="s">
        <v>7</v>
      </c>
      <c r="MA600" s="27" t="s">
        <v>8</v>
      </c>
      <c r="MB600" s="27" t="s">
        <v>7</v>
      </c>
      <c r="MC600" s="27" t="s">
        <v>8</v>
      </c>
      <c r="MF600" s="27" t="s">
        <v>7</v>
      </c>
      <c r="MG600" s="27" t="s">
        <v>8</v>
      </c>
      <c r="MH600" s="27" t="s">
        <v>7</v>
      </c>
      <c r="MI600" s="27" t="s">
        <v>8</v>
      </c>
      <c r="MM600" s="27" t="s">
        <v>8</v>
      </c>
      <c r="MN600" s="27" t="s">
        <v>7</v>
      </c>
      <c r="MQ600" s="27" t="s">
        <v>8</v>
      </c>
      <c r="MR600" s="27" t="s">
        <v>7</v>
      </c>
      <c r="MW600" s="27" t="s">
        <v>8</v>
      </c>
      <c r="MX600" s="27" t="s">
        <v>7</v>
      </c>
      <c r="MY600" s="27" t="s">
        <v>8</v>
      </c>
      <c r="MZ600" s="27" t="s">
        <v>7</v>
      </c>
      <c r="NA600" s="27" t="s">
        <v>8</v>
      </c>
      <c r="NB600" s="27" t="s">
        <v>7</v>
      </c>
      <c r="NE600" s="27" t="s">
        <v>8</v>
      </c>
    </row>
    <row r="601" spans="1:378" x14ac:dyDescent="0.25">
      <c r="A601" s="7">
        <v>0.75787502458828959</v>
      </c>
      <c r="B601"/>
      <c r="C601"/>
      <c r="D601"/>
      <c r="E601"/>
      <c r="F601" s="27" t="s">
        <v>7</v>
      </c>
      <c r="S601" s="27" t="s">
        <v>8</v>
      </c>
      <c r="T601" s="27" t="s">
        <v>7</v>
      </c>
      <c r="U601" s="27" t="s">
        <v>8</v>
      </c>
      <c r="Z601" s="27" t="s">
        <v>7</v>
      </c>
      <c r="AA601" s="27" t="s">
        <v>8</v>
      </c>
      <c r="AB601" s="27" t="s">
        <v>7</v>
      </c>
      <c r="GU601" s="27" t="s">
        <v>8</v>
      </c>
      <c r="GV601" s="27" t="s">
        <v>7</v>
      </c>
      <c r="GY601" s="27" t="s">
        <v>8</v>
      </c>
      <c r="GZ601" s="27" t="s">
        <v>7</v>
      </c>
      <c r="HI601" s="27" t="s">
        <v>8</v>
      </c>
      <c r="HJ601" s="27" t="s">
        <v>7</v>
      </c>
      <c r="HK601" s="27" t="s">
        <v>8</v>
      </c>
      <c r="IT601" s="27" t="s">
        <v>7</v>
      </c>
      <c r="IU601" s="27" t="s">
        <v>8</v>
      </c>
      <c r="IV601" s="27" t="s">
        <v>7</v>
      </c>
      <c r="IW601" s="27" t="s">
        <v>8</v>
      </c>
      <c r="IX601" s="27" t="s">
        <v>7</v>
      </c>
      <c r="IY601" s="27" t="s">
        <v>8</v>
      </c>
      <c r="JA601" s="27" t="s">
        <v>8</v>
      </c>
      <c r="JB601" s="27" t="s">
        <v>7</v>
      </c>
      <c r="JC601" s="27" t="s">
        <v>8</v>
      </c>
      <c r="JF601" s="27" t="s">
        <v>7</v>
      </c>
      <c r="JG601" s="27" t="s">
        <v>8</v>
      </c>
      <c r="JH601" s="27" t="s">
        <v>7</v>
      </c>
      <c r="JI601" s="27" t="s">
        <v>8</v>
      </c>
      <c r="KS601" s="27" t="s">
        <v>8</v>
      </c>
      <c r="KT601" s="27" t="s">
        <v>7</v>
      </c>
      <c r="KU601" s="27" t="s">
        <v>8</v>
      </c>
      <c r="KW601" s="27" t="s">
        <v>8</v>
      </c>
      <c r="KX601" s="27" t="s">
        <v>7</v>
      </c>
      <c r="LE601" s="27" t="s">
        <v>8</v>
      </c>
      <c r="LF601" s="27" t="s">
        <v>7</v>
      </c>
      <c r="LG601" s="27" t="s">
        <v>8</v>
      </c>
      <c r="LH601" s="27" t="s">
        <v>7</v>
      </c>
      <c r="LI601" s="27" t="s">
        <v>8</v>
      </c>
      <c r="LW601" s="27" t="s">
        <v>8</v>
      </c>
      <c r="LX601" s="27" t="s">
        <v>7</v>
      </c>
      <c r="LY601" s="27" t="s">
        <v>8</v>
      </c>
      <c r="LZ601" s="27" t="s">
        <v>7</v>
      </c>
      <c r="MA601" s="27" t="s">
        <v>8</v>
      </c>
      <c r="MB601" s="27" t="s">
        <v>7</v>
      </c>
      <c r="MF601" s="27" t="s">
        <v>7</v>
      </c>
      <c r="MH601" s="27" t="s">
        <v>7</v>
      </c>
      <c r="MI601" s="27" t="s">
        <v>8</v>
      </c>
      <c r="MJ601" s="27" t="s">
        <v>7</v>
      </c>
      <c r="MK601" s="27" t="s">
        <v>8</v>
      </c>
      <c r="MM601" s="27" t="s">
        <v>8</v>
      </c>
      <c r="MN601" s="27" t="s">
        <v>7</v>
      </c>
      <c r="MQ601" s="27" t="s">
        <v>8</v>
      </c>
      <c r="MR601" s="27" t="s">
        <v>7</v>
      </c>
      <c r="MW601" s="27" t="s">
        <v>8</v>
      </c>
      <c r="MX601" s="27" t="s">
        <v>7</v>
      </c>
      <c r="MY601" s="27" t="s">
        <v>8</v>
      </c>
      <c r="MZ601" s="27" t="s">
        <v>7</v>
      </c>
      <c r="NA601" s="27" t="s">
        <v>8</v>
      </c>
      <c r="NB601" s="27" t="s">
        <v>7</v>
      </c>
      <c r="NE601" s="27" t="s">
        <v>8</v>
      </c>
      <c r="NF601" s="27" t="s">
        <v>7</v>
      </c>
    </row>
    <row r="602" spans="1:378" x14ac:dyDescent="0.25">
      <c r="A602" s="7">
        <v>0.74301472998851925</v>
      </c>
      <c r="B602"/>
      <c r="C602"/>
      <c r="D602"/>
      <c r="E602"/>
      <c r="F602" s="27" t="s">
        <v>7</v>
      </c>
      <c r="S602" s="27" t="s">
        <v>8</v>
      </c>
      <c r="T602" s="27" t="s">
        <v>7</v>
      </c>
      <c r="U602" s="27" t="s">
        <v>8</v>
      </c>
      <c r="Z602" s="27" t="s">
        <v>7</v>
      </c>
      <c r="AA602" s="27" t="s">
        <v>8</v>
      </c>
      <c r="AB602" s="27" t="s">
        <v>7</v>
      </c>
      <c r="GU602" s="27" t="s">
        <v>8</v>
      </c>
      <c r="GV602" s="27" t="s">
        <v>7</v>
      </c>
      <c r="GY602" s="27" t="s">
        <v>8</v>
      </c>
      <c r="GZ602" s="27" t="s">
        <v>7</v>
      </c>
      <c r="HI602" s="27" t="s">
        <v>8</v>
      </c>
      <c r="HJ602" s="27" t="s">
        <v>7</v>
      </c>
      <c r="HK602" s="27" t="s">
        <v>8</v>
      </c>
      <c r="IT602" s="27" t="s">
        <v>7</v>
      </c>
      <c r="IU602" s="27" t="s">
        <v>8</v>
      </c>
      <c r="IV602" s="27" t="s">
        <v>7</v>
      </c>
      <c r="IW602" s="27" t="s">
        <v>8</v>
      </c>
      <c r="IX602" s="27" t="s">
        <v>7</v>
      </c>
      <c r="IY602" s="27" t="s">
        <v>8</v>
      </c>
      <c r="IZ602" s="27" t="s">
        <v>7</v>
      </c>
      <c r="JA602" s="27" t="s">
        <v>8</v>
      </c>
      <c r="JB602" s="27" t="s">
        <v>7</v>
      </c>
      <c r="JC602" s="27" t="s">
        <v>8</v>
      </c>
      <c r="JF602" s="27" t="s">
        <v>7</v>
      </c>
      <c r="JG602" s="27" t="s">
        <v>8</v>
      </c>
      <c r="JH602" s="27" t="s">
        <v>7</v>
      </c>
      <c r="JI602" s="27" t="s">
        <v>8</v>
      </c>
      <c r="JJ602" s="27" t="s">
        <v>7</v>
      </c>
      <c r="KS602" s="27" t="s">
        <v>8</v>
      </c>
      <c r="KT602" s="27" t="s">
        <v>7</v>
      </c>
      <c r="KU602" s="27" t="s">
        <v>8</v>
      </c>
      <c r="KV602" s="27" t="s">
        <v>7</v>
      </c>
      <c r="KW602" s="27" t="s">
        <v>8</v>
      </c>
      <c r="KX602" s="27" t="s">
        <v>7</v>
      </c>
      <c r="KY602" s="27" t="s">
        <v>8</v>
      </c>
      <c r="LC602" s="27" t="s">
        <v>8</v>
      </c>
      <c r="LE602" s="27" t="s">
        <v>8</v>
      </c>
      <c r="LF602" s="27" t="s">
        <v>7</v>
      </c>
      <c r="LG602" s="27" t="s">
        <v>8</v>
      </c>
      <c r="LH602" s="27" t="s">
        <v>7</v>
      </c>
      <c r="LI602" s="27" t="s">
        <v>8</v>
      </c>
      <c r="LJ602" s="27" t="s">
        <v>7</v>
      </c>
      <c r="LK602" s="27" t="s">
        <v>8</v>
      </c>
      <c r="LW602" s="27" t="s">
        <v>8</v>
      </c>
      <c r="LX602" s="27" t="s">
        <v>7</v>
      </c>
      <c r="LY602" s="27" t="s">
        <v>8</v>
      </c>
      <c r="LZ602" s="27" t="s">
        <v>7</v>
      </c>
      <c r="MA602" s="27" t="s">
        <v>8</v>
      </c>
      <c r="MH602" s="27" t="s">
        <v>7</v>
      </c>
      <c r="MI602" s="27" t="s">
        <v>8</v>
      </c>
      <c r="MJ602" s="27" t="s">
        <v>7</v>
      </c>
      <c r="MK602" s="27" t="s">
        <v>8</v>
      </c>
      <c r="ML602" s="27" t="s">
        <v>7</v>
      </c>
      <c r="MM602" s="27" t="s">
        <v>8</v>
      </c>
      <c r="MN602" s="27" t="s">
        <v>7</v>
      </c>
      <c r="MO602" s="27" t="s">
        <v>8</v>
      </c>
      <c r="MQ602" s="27" t="s">
        <v>8</v>
      </c>
      <c r="MR602" s="27" t="s">
        <v>7</v>
      </c>
      <c r="MW602" s="27" t="s">
        <v>8</v>
      </c>
      <c r="MX602" s="27" t="s">
        <v>7</v>
      </c>
      <c r="MY602" s="27" t="s">
        <v>8</v>
      </c>
      <c r="MZ602" s="27" t="s">
        <v>7</v>
      </c>
      <c r="NA602" s="27" t="s">
        <v>8</v>
      </c>
      <c r="NB602" s="27" t="s">
        <v>7</v>
      </c>
      <c r="NE602" s="27" t="s">
        <v>8</v>
      </c>
      <c r="NF602" s="27" t="s">
        <v>7</v>
      </c>
      <c r="NM602" s="27" t="s">
        <v>8</v>
      </c>
    </row>
    <row r="603" spans="1:378" x14ac:dyDescent="0.25">
      <c r="A603" s="7">
        <v>0.72844581371423456</v>
      </c>
      <c r="B603"/>
      <c r="C603"/>
      <c r="D603"/>
      <c r="E603"/>
      <c r="F603" s="27" t="s">
        <v>7</v>
      </c>
      <c r="S603" s="27" t="s">
        <v>8</v>
      </c>
      <c r="T603" s="27" t="s">
        <v>7</v>
      </c>
      <c r="U603" s="27" t="s">
        <v>8</v>
      </c>
      <c r="Z603" s="27" t="s">
        <v>7</v>
      </c>
      <c r="AA603" s="27" t="s">
        <v>8</v>
      </c>
      <c r="AB603" s="27" t="s">
        <v>7</v>
      </c>
      <c r="AC603" s="27" t="s">
        <v>8</v>
      </c>
      <c r="GU603" s="27" t="s">
        <v>8</v>
      </c>
      <c r="GV603" s="27" t="s">
        <v>7</v>
      </c>
      <c r="GY603" s="27" t="s">
        <v>8</v>
      </c>
      <c r="GZ603" s="27" t="s">
        <v>7</v>
      </c>
      <c r="HI603" s="27" t="s">
        <v>8</v>
      </c>
      <c r="HJ603" s="27" t="s">
        <v>7</v>
      </c>
      <c r="HK603" s="27" t="s">
        <v>8</v>
      </c>
      <c r="IT603" s="27" t="s">
        <v>7</v>
      </c>
      <c r="IU603" s="27" t="s">
        <v>8</v>
      </c>
      <c r="IV603" s="27" t="s">
        <v>7</v>
      </c>
      <c r="IW603" s="27" t="s">
        <v>8</v>
      </c>
      <c r="IX603" s="27" t="s">
        <v>7</v>
      </c>
      <c r="IY603" s="27" t="s">
        <v>8</v>
      </c>
      <c r="IZ603" s="27" t="s">
        <v>7</v>
      </c>
      <c r="JA603" s="27" t="s">
        <v>8</v>
      </c>
      <c r="JB603" s="27" t="s">
        <v>7</v>
      </c>
      <c r="JC603" s="27" t="s">
        <v>8</v>
      </c>
      <c r="JF603" s="27" t="s">
        <v>7</v>
      </c>
      <c r="JG603" s="27" t="s">
        <v>8</v>
      </c>
      <c r="JH603" s="27" t="s">
        <v>7</v>
      </c>
      <c r="JI603" s="27" t="s">
        <v>8</v>
      </c>
      <c r="JJ603" s="27" t="s">
        <v>7</v>
      </c>
      <c r="KO603" s="27" t="s">
        <v>8</v>
      </c>
      <c r="KS603" s="27" t="s">
        <v>8</v>
      </c>
      <c r="KT603" s="27" t="s">
        <v>7</v>
      </c>
      <c r="KU603" s="27" t="s">
        <v>8</v>
      </c>
      <c r="KV603" s="27" t="s">
        <v>7</v>
      </c>
      <c r="KW603" s="27" t="s">
        <v>8</v>
      </c>
      <c r="KX603" s="27" t="s">
        <v>7</v>
      </c>
      <c r="KY603" s="27" t="s">
        <v>8</v>
      </c>
      <c r="KZ603" s="27" t="s">
        <v>7</v>
      </c>
      <c r="LC603" s="27" t="s">
        <v>8</v>
      </c>
      <c r="LD603" s="27" t="s">
        <v>7</v>
      </c>
      <c r="LE603" s="27" t="s">
        <v>8</v>
      </c>
      <c r="LF603" s="27" t="s">
        <v>7</v>
      </c>
      <c r="LG603" s="27" t="s">
        <v>8</v>
      </c>
      <c r="LH603" s="27" t="s">
        <v>7</v>
      </c>
      <c r="LI603" s="27" t="s">
        <v>8</v>
      </c>
      <c r="LJ603" s="27" t="s">
        <v>7</v>
      </c>
      <c r="LK603" s="27" t="s">
        <v>8</v>
      </c>
      <c r="LL603" s="27" t="s">
        <v>7</v>
      </c>
      <c r="LW603" s="27" t="s">
        <v>8</v>
      </c>
      <c r="LX603" s="27" t="s">
        <v>7</v>
      </c>
      <c r="LY603" s="27" t="s">
        <v>8</v>
      </c>
      <c r="LZ603" s="27" t="s">
        <v>7</v>
      </c>
      <c r="MA603" s="27" t="s">
        <v>8</v>
      </c>
      <c r="MH603" s="27" t="s">
        <v>7</v>
      </c>
      <c r="MI603" s="27" t="s">
        <v>8</v>
      </c>
      <c r="MJ603" s="27" t="s">
        <v>7</v>
      </c>
      <c r="MK603" s="27" t="s">
        <v>8</v>
      </c>
      <c r="ML603" s="27" t="s">
        <v>7</v>
      </c>
      <c r="MM603" s="27" t="s">
        <v>8</v>
      </c>
      <c r="MN603" s="27" t="s">
        <v>7</v>
      </c>
      <c r="MO603" s="27" t="s">
        <v>8</v>
      </c>
      <c r="MP603" s="27" t="s">
        <v>7</v>
      </c>
      <c r="MQ603" s="27" t="s">
        <v>8</v>
      </c>
      <c r="MR603" s="27" t="s">
        <v>7</v>
      </c>
      <c r="MU603" s="27" t="s">
        <v>8</v>
      </c>
      <c r="MW603" s="27" t="s">
        <v>8</v>
      </c>
      <c r="MX603" s="27" t="s">
        <v>7</v>
      </c>
      <c r="MY603" s="27" t="s">
        <v>8</v>
      </c>
      <c r="MZ603" s="27" t="s">
        <v>7</v>
      </c>
      <c r="NA603" s="27" t="s">
        <v>8</v>
      </c>
      <c r="NB603" s="27" t="s">
        <v>7</v>
      </c>
      <c r="NE603" s="27" t="s">
        <v>8</v>
      </c>
      <c r="NF603" s="27" t="s">
        <v>7</v>
      </c>
      <c r="NM603" s="27" t="s">
        <v>8</v>
      </c>
      <c r="NN603" s="27" t="s">
        <v>7</v>
      </c>
    </row>
    <row r="604" spans="1:378" x14ac:dyDescent="0.25">
      <c r="A604" s="7">
        <v>0.71416256246493581</v>
      </c>
      <c r="B604"/>
      <c r="C604"/>
      <c r="D604"/>
      <c r="E604"/>
      <c r="F604" s="27" t="s">
        <v>7</v>
      </c>
      <c r="S604" s="27" t="s">
        <v>8</v>
      </c>
      <c r="T604" s="27" t="s">
        <v>7</v>
      </c>
      <c r="U604" s="27" t="s">
        <v>8</v>
      </c>
      <c r="Z604" s="27" t="s">
        <v>7</v>
      </c>
      <c r="AA604" s="27" t="s">
        <v>8</v>
      </c>
      <c r="AB604" s="27" t="s">
        <v>7</v>
      </c>
      <c r="AC604" s="27" t="s">
        <v>8</v>
      </c>
      <c r="AD604" s="27" t="s">
        <v>7</v>
      </c>
      <c r="GU604" s="27" t="s">
        <v>8</v>
      </c>
      <c r="GV604" s="27" t="s">
        <v>7</v>
      </c>
      <c r="GW604" s="27" t="s">
        <v>8</v>
      </c>
      <c r="GY604" s="27" t="s">
        <v>8</v>
      </c>
      <c r="GZ604" s="27" t="s">
        <v>7</v>
      </c>
      <c r="HI604" s="27" t="s">
        <v>8</v>
      </c>
      <c r="HJ604" s="27" t="s">
        <v>7</v>
      </c>
      <c r="HK604" s="27" t="s">
        <v>8</v>
      </c>
      <c r="IT604" s="27" t="s">
        <v>7</v>
      </c>
      <c r="IU604" s="27" t="s">
        <v>8</v>
      </c>
      <c r="IV604" s="27" t="s">
        <v>7</v>
      </c>
      <c r="IW604" s="27" t="s">
        <v>8</v>
      </c>
      <c r="IX604" s="27" t="s">
        <v>7</v>
      </c>
      <c r="IY604" s="27" t="s">
        <v>8</v>
      </c>
      <c r="IZ604" s="27" t="s">
        <v>7</v>
      </c>
      <c r="JA604" s="27" t="s">
        <v>8</v>
      </c>
      <c r="JB604" s="27" t="s">
        <v>7</v>
      </c>
      <c r="JC604" s="27" t="s">
        <v>8</v>
      </c>
      <c r="JF604" s="27" t="s">
        <v>7</v>
      </c>
      <c r="JG604" s="27" t="s">
        <v>8</v>
      </c>
      <c r="JH604" s="27" t="s">
        <v>7</v>
      </c>
      <c r="JI604" s="27" t="s">
        <v>8</v>
      </c>
      <c r="JJ604" s="27" t="s">
        <v>7</v>
      </c>
      <c r="JM604" s="27" t="s">
        <v>8</v>
      </c>
      <c r="KO604" s="27" t="s">
        <v>8</v>
      </c>
      <c r="KP604" s="27" t="s">
        <v>7</v>
      </c>
      <c r="KS604" s="27" t="s">
        <v>8</v>
      </c>
      <c r="KT604" s="27" t="s">
        <v>7</v>
      </c>
      <c r="KU604" s="27" t="s">
        <v>8</v>
      </c>
      <c r="KV604" s="27" t="s">
        <v>7</v>
      </c>
      <c r="KX604" s="27" t="s">
        <v>7</v>
      </c>
      <c r="KY604" s="27" t="s">
        <v>8</v>
      </c>
      <c r="KZ604" s="27" t="s">
        <v>7</v>
      </c>
      <c r="LA604" s="27" t="s">
        <v>8</v>
      </c>
      <c r="LC604" s="27" t="s">
        <v>8</v>
      </c>
      <c r="LD604" s="27" t="s">
        <v>7</v>
      </c>
      <c r="LE604" s="27" t="s">
        <v>8</v>
      </c>
      <c r="LF604" s="27" t="s">
        <v>7</v>
      </c>
      <c r="LG604" s="27" t="s">
        <v>8</v>
      </c>
      <c r="LH604" s="27" t="s">
        <v>7</v>
      </c>
      <c r="LI604" s="27" t="s">
        <v>8</v>
      </c>
      <c r="LJ604" s="27" t="s">
        <v>7</v>
      </c>
      <c r="LK604" s="27" t="s">
        <v>8</v>
      </c>
      <c r="LL604" s="27" t="s">
        <v>7</v>
      </c>
      <c r="LW604" s="27" t="s">
        <v>8</v>
      </c>
      <c r="LX604" s="27" t="s">
        <v>7</v>
      </c>
      <c r="LY604" s="27" t="s">
        <v>8</v>
      </c>
      <c r="LZ604" s="27" t="s">
        <v>7</v>
      </c>
      <c r="MH604" s="27" t="s">
        <v>7</v>
      </c>
      <c r="MI604" s="27" t="s">
        <v>8</v>
      </c>
      <c r="MJ604" s="27" t="s">
        <v>7</v>
      </c>
      <c r="MK604" s="27" t="s">
        <v>8</v>
      </c>
      <c r="ML604" s="27" t="s">
        <v>7</v>
      </c>
      <c r="MN604" s="27" t="s">
        <v>7</v>
      </c>
      <c r="MO604" s="27" t="s">
        <v>8</v>
      </c>
      <c r="MP604" s="27" t="s">
        <v>7</v>
      </c>
      <c r="MQ604" s="27" t="s">
        <v>8</v>
      </c>
      <c r="MR604" s="27" t="s">
        <v>7</v>
      </c>
      <c r="MU604" s="27" t="s">
        <v>8</v>
      </c>
      <c r="MV604" s="27" t="s">
        <v>7</v>
      </c>
      <c r="MW604" s="27" t="s">
        <v>8</v>
      </c>
      <c r="MX604" s="27" t="s">
        <v>7</v>
      </c>
      <c r="MY604" s="27" t="s">
        <v>8</v>
      </c>
      <c r="MZ604" s="27" t="s">
        <v>7</v>
      </c>
      <c r="NA604" s="27" t="s">
        <v>8</v>
      </c>
      <c r="NB604" s="27" t="s">
        <v>7</v>
      </c>
      <c r="NE604" s="27" t="s">
        <v>8</v>
      </c>
      <c r="NF604" s="27" t="s">
        <v>7</v>
      </c>
      <c r="NM604" s="27" t="s">
        <v>8</v>
      </c>
      <c r="NN604" s="27" t="s">
        <v>7</v>
      </c>
    </row>
    <row r="605" spans="1:378" x14ac:dyDescent="0.25">
      <c r="A605" s="7">
        <v>0.7001593749656233</v>
      </c>
      <c r="B605"/>
      <c r="C605"/>
      <c r="D605"/>
      <c r="E605"/>
      <c r="F605" s="27" t="s">
        <v>7</v>
      </c>
      <c r="S605" s="27" t="s">
        <v>8</v>
      </c>
      <c r="T605" s="27" t="s">
        <v>7</v>
      </c>
      <c r="Z605" s="27" t="s">
        <v>7</v>
      </c>
      <c r="AA605" s="27" t="s">
        <v>8</v>
      </c>
      <c r="AB605" s="27" t="s">
        <v>7</v>
      </c>
      <c r="AC605" s="27" t="s">
        <v>8</v>
      </c>
      <c r="AD605" s="27" t="s">
        <v>7</v>
      </c>
      <c r="GU605" s="27" t="s">
        <v>8</v>
      </c>
      <c r="GV605" s="27" t="s">
        <v>7</v>
      </c>
      <c r="GW605" s="27" t="s">
        <v>8</v>
      </c>
      <c r="GX605" s="27" t="s">
        <v>7</v>
      </c>
      <c r="GY605" s="27" t="s">
        <v>8</v>
      </c>
      <c r="GZ605" s="27" t="s">
        <v>7</v>
      </c>
      <c r="HI605" s="27" t="s">
        <v>8</v>
      </c>
      <c r="HJ605" s="27" t="s">
        <v>7</v>
      </c>
      <c r="HK605" s="27" t="s">
        <v>8</v>
      </c>
      <c r="IT605" s="27" t="s">
        <v>7</v>
      </c>
      <c r="IU605" s="27" t="s">
        <v>8</v>
      </c>
      <c r="IV605" s="27" t="s">
        <v>7</v>
      </c>
      <c r="IW605" s="27" t="s">
        <v>8</v>
      </c>
      <c r="IX605" s="27" t="s">
        <v>7</v>
      </c>
      <c r="IY605" s="27" t="s">
        <v>8</v>
      </c>
      <c r="IZ605" s="27" t="s">
        <v>7</v>
      </c>
      <c r="JA605" s="27" t="s">
        <v>8</v>
      </c>
      <c r="JB605" s="27" t="s">
        <v>7</v>
      </c>
      <c r="JC605" s="27" t="s">
        <v>8</v>
      </c>
      <c r="JF605" s="27" t="s">
        <v>7</v>
      </c>
      <c r="JG605" s="27" t="s">
        <v>8</v>
      </c>
      <c r="JH605" s="27" t="s">
        <v>7</v>
      </c>
      <c r="JI605" s="27" t="s">
        <v>8</v>
      </c>
      <c r="JJ605" s="27" t="s">
        <v>7</v>
      </c>
      <c r="JM605" s="27" t="s">
        <v>8</v>
      </c>
      <c r="JN605" s="27" t="s">
        <v>7</v>
      </c>
      <c r="KO605" s="27" t="s">
        <v>8</v>
      </c>
      <c r="KP605" s="27" t="s">
        <v>7</v>
      </c>
      <c r="KQ605" s="27" t="s">
        <v>8</v>
      </c>
      <c r="KS605" s="27" t="s">
        <v>8</v>
      </c>
      <c r="KT605" s="27" t="s">
        <v>7</v>
      </c>
      <c r="KU605" s="27" t="s">
        <v>8</v>
      </c>
      <c r="KX605" s="27" t="s">
        <v>7</v>
      </c>
      <c r="KY605" s="27" t="s">
        <v>8</v>
      </c>
      <c r="KZ605" s="27" t="s">
        <v>7</v>
      </c>
      <c r="LA605" s="27" t="s">
        <v>8</v>
      </c>
      <c r="LB605" s="27" t="s">
        <v>7</v>
      </c>
      <c r="LC605" s="27" t="s">
        <v>8</v>
      </c>
      <c r="LD605" s="27" t="s">
        <v>7</v>
      </c>
      <c r="LE605" s="27" t="s">
        <v>8</v>
      </c>
      <c r="LF605" s="27" t="s">
        <v>7</v>
      </c>
      <c r="LG605" s="27" t="s">
        <v>8</v>
      </c>
      <c r="LH605" s="27" t="s">
        <v>7</v>
      </c>
      <c r="LI605" s="27" t="s">
        <v>8</v>
      </c>
      <c r="LJ605" s="27" t="s">
        <v>7</v>
      </c>
      <c r="LK605" s="27" t="s">
        <v>8</v>
      </c>
      <c r="LL605" s="27" t="s">
        <v>7</v>
      </c>
      <c r="LW605" s="27" t="s">
        <v>8</v>
      </c>
      <c r="LX605" s="27" t="s">
        <v>7</v>
      </c>
      <c r="LY605" s="27" t="s">
        <v>8</v>
      </c>
      <c r="MH605" s="27" t="s">
        <v>7</v>
      </c>
      <c r="MI605" s="27" t="s">
        <v>8</v>
      </c>
      <c r="MJ605" s="27" t="s">
        <v>7</v>
      </c>
      <c r="MN605" s="27" t="s">
        <v>7</v>
      </c>
      <c r="MO605" s="27" t="s">
        <v>8</v>
      </c>
      <c r="MP605" s="27" t="s">
        <v>7</v>
      </c>
      <c r="MQ605" s="27" t="s">
        <v>8</v>
      </c>
      <c r="MR605" s="27" t="s">
        <v>7</v>
      </c>
      <c r="MS605" s="27" t="s">
        <v>8</v>
      </c>
      <c r="MU605" s="27" t="s">
        <v>8</v>
      </c>
      <c r="MV605" s="27" t="s">
        <v>7</v>
      </c>
      <c r="MW605" s="27" t="s">
        <v>8</v>
      </c>
      <c r="MX605" s="27" t="s">
        <v>7</v>
      </c>
      <c r="MY605" s="27" t="s">
        <v>8</v>
      </c>
      <c r="MZ605" s="27" t="s">
        <v>7</v>
      </c>
      <c r="NA605" s="27" t="s">
        <v>8</v>
      </c>
      <c r="NB605" s="27" t="s">
        <v>7</v>
      </c>
      <c r="NE605" s="27" t="s">
        <v>8</v>
      </c>
      <c r="NF605" s="27" t="s">
        <v>7</v>
      </c>
      <c r="NM605" s="27" t="s">
        <v>8</v>
      </c>
      <c r="NN605" s="27" t="s">
        <v>7</v>
      </c>
    </row>
    <row r="606" spans="1:378" x14ac:dyDescent="0.25">
      <c r="A606" s="7">
        <v>0.68643075977021883</v>
      </c>
      <c r="B606"/>
      <c r="C606"/>
      <c r="D606"/>
      <c r="E606"/>
      <c r="F606" s="27" t="s">
        <v>7</v>
      </c>
      <c r="M606" s="27" t="s">
        <v>8</v>
      </c>
      <c r="S606" s="27" t="s">
        <v>8</v>
      </c>
      <c r="Z606" s="27" t="s">
        <v>7</v>
      </c>
      <c r="AA606" s="27" t="s">
        <v>8</v>
      </c>
      <c r="AB606" s="27" t="s">
        <v>7</v>
      </c>
      <c r="AD606" s="27" t="s">
        <v>7</v>
      </c>
      <c r="GU606" s="27" t="s">
        <v>8</v>
      </c>
      <c r="GV606" s="27" t="s">
        <v>7</v>
      </c>
      <c r="GW606" s="27" t="s">
        <v>8</v>
      </c>
      <c r="GX606" s="27" t="s">
        <v>7</v>
      </c>
      <c r="GY606" s="27" t="s">
        <v>8</v>
      </c>
      <c r="GZ606" s="27" t="s">
        <v>7</v>
      </c>
      <c r="HI606" s="27" t="s">
        <v>8</v>
      </c>
      <c r="HJ606" s="27" t="s">
        <v>7</v>
      </c>
      <c r="IT606" s="27" t="s">
        <v>7</v>
      </c>
      <c r="IU606" s="27" t="s">
        <v>8</v>
      </c>
      <c r="IV606" s="27" t="s">
        <v>7</v>
      </c>
      <c r="IW606" s="27" t="s">
        <v>8</v>
      </c>
      <c r="IX606" s="27" t="s">
        <v>7</v>
      </c>
      <c r="IY606" s="27" t="s">
        <v>8</v>
      </c>
      <c r="IZ606" s="27" t="s">
        <v>7</v>
      </c>
      <c r="JA606" s="27" t="s">
        <v>8</v>
      </c>
      <c r="JB606" s="27" t="s">
        <v>7</v>
      </c>
      <c r="JF606" s="27" t="s">
        <v>7</v>
      </c>
      <c r="JH606" s="27" t="s">
        <v>7</v>
      </c>
      <c r="JI606" s="27" t="s">
        <v>8</v>
      </c>
      <c r="JJ606" s="27" t="s">
        <v>7</v>
      </c>
      <c r="JK606" s="27" t="s">
        <v>8</v>
      </c>
      <c r="JM606" s="27" t="s">
        <v>8</v>
      </c>
      <c r="JN606" s="27" t="s">
        <v>7</v>
      </c>
      <c r="KO606" s="27" t="s">
        <v>8</v>
      </c>
      <c r="KP606" s="27" t="s">
        <v>7</v>
      </c>
      <c r="KQ606" s="27" t="s">
        <v>8</v>
      </c>
      <c r="KR606" s="27" t="s">
        <v>7</v>
      </c>
      <c r="KS606" s="27" t="s">
        <v>8</v>
      </c>
      <c r="KT606" s="27" t="s">
        <v>7</v>
      </c>
      <c r="KU606" s="27" t="s">
        <v>8</v>
      </c>
      <c r="KX606" s="27" t="s">
        <v>7</v>
      </c>
      <c r="KZ606" s="27" t="s">
        <v>7</v>
      </c>
      <c r="LA606" s="27" t="s">
        <v>8</v>
      </c>
      <c r="LB606" s="27" t="s">
        <v>7</v>
      </c>
      <c r="LC606" s="27" t="s">
        <v>8</v>
      </c>
      <c r="LD606" s="27" t="s">
        <v>7</v>
      </c>
      <c r="LF606" s="27" t="s">
        <v>7</v>
      </c>
      <c r="LG606" s="27" t="s">
        <v>8</v>
      </c>
      <c r="LH606" s="27" t="s">
        <v>7</v>
      </c>
      <c r="LI606" s="27" t="s">
        <v>8</v>
      </c>
      <c r="LJ606" s="27" t="s">
        <v>7</v>
      </c>
      <c r="LK606" s="27" t="s">
        <v>8</v>
      </c>
      <c r="LL606" s="27" t="s">
        <v>7</v>
      </c>
      <c r="LW606" s="27" t="s">
        <v>8</v>
      </c>
      <c r="LX606" s="27" t="s">
        <v>7</v>
      </c>
      <c r="LY606" s="27" t="s">
        <v>8</v>
      </c>
      <c r="MH606" s="27" t="s">
        <v>7</v>
      </c>
      <c r="MN606" s="27" t="s">
        <v>7</v>
      </c>
      <c r="MO606" s="27" t="s">
        <v>8</v>
      </c>
      <c r="MP606" s="27" t="s">
        <v>7</v>
      </c>
      <c r="MQ606" s="27" t="s">
        <v>8</v>
      </c>
      <c r="MR606" s="27" t="s">
        <v>7</v>
      </c>
      <c r="MS606" s="27" t="s">
        <v>8</v>
      </c>
      <c r="MT606" s="27" t="s">
        <v>7</v>
      </c>
      <c r="MU606" s="27" t="s">
        <v>8</v>
      </c>
      <c r="MV606" s="27" t="s">
        <v>7</v>
      </c>
      <c r="MW606" s="27" t="s">
        <v>8</v>
      </c>
      <c r="MX606" s="27" t="s">
        <v>7</v>
      </c>
      <c r="MY606" s="27" t="s">
        <v>8</v>
      </c>
      <c r="MZ606" s="27" t="s">
        <v>7</v>
      </c>
      <c r="NB606" s="27" t="s">
        <v>7</v>
      </c>
      <c r="NC606" s="27" t="s">
        <v>8</v>
      </c>
      <c r="NE606" s="27" t="s">
        <v>8</v>
      </c>
      <c r="NF606" s="27" t="s">
        <v>7</v>
      </c>
      <c r="NM606" s="27" t="s">
        <v>8</v>
      </c>
      <c r="NN606" s="27" t="s">
        <v>7</v>
      </c>
    </row>
    <row r="607" spans="1:378" x14ac:dyDescent="0.25">
      <c r="A607" s="7">
        <v>0.67297133310805768</v>
      </c>
      <c r="B607"/>
      <c r="C607"/>
      <c r="D607"/>
      <c r="E607"/>
      <c r="F607" s="27" t="s">
        <v>7</v>
      </c>
      <c r="K607" s="27" t="s">
        <v>8</v>
      </c>
      <c r="M607" s="27" t="s">
        <v>8</v>
      </c>
      <c r="N607" s="27" t="s">
        <v>7</v>
      </c>
      <c r="S607" s="27" t="s">
        <v>8</v>
      </c>
      <c r="Z607" s="27" t="s">
        <v>7</v>
      </c>
      <c r="AA607" s="27" t="s">
        <v>8</v>
      </c>
      <c r="AD607" s="27" t="s">
        <v>7</v>
      </c>
      <c r="GU607" s="27" t="s">
        <v>8</v>
      </c>
      <c r="GV607" s="27" t="s">
        <v>7</v>
      </c>
      <c r="GW607" s="27" t="s">
        <v>8</v>
      </c>
      <c r="GX607" s="27" t="s">
        <v>7</v>
      </c>
      <c r="GY607" s="27" t="s">
        <v>8</v>
      </c>
      <c r="GZ607" s="27" t="s">
        <v>7</v>
      </c>
      <c r="HI607" s="27" t="s">
        <v>8</v>
      </c>
      <c r="IT607" s="27" t="s">
        <v>7</v>
      </c>
      <c r="IU607" s="27" t="s">
        <v>8</v>
      </c>
      <c r="IV607" s="27" t="s">
        <v>7</v>
      </c>
      <c r="IX607" s="27" t="s">
        <v>7</v>
      </c>
      <c r="IY607" s="27" t="s">
        <v>8</v>
      </c>
      <c r="IZ607" s="27" t="s">
        <v>7</v>
      </c>
      <c r="JA607" s="27" t="s">
        <v>8</v>
      </c>
      <c r="JH607" s="27" t="s">
        <v>7</v>
      </c>
      <c r="JI607" s="27" t="s">
        <v>8</v>
      </c>
      <c r="JJ607" s="27" t="s">
        <v>7</v>
      </c>
      <c r="JK607" s="27" t="s">
        <v>8</v>
      </c>
      <c r="JL607" s="27" t="s">
        <v>7</v>
      </c>
      <c r="JM607" s="27" t="s">
        <v>8</v>
      </c>
      <c r="JN607" s="27" t="s">
        <v>7</v>
      </c>
      <c r="KO607" s="27" t="s">
        <v>8</v>
      </c>
      <c r="KP607" s="27" t="s">
        <v>7</v>
      </c>
      <c r="KQ607" s="27" t="s">
        <v>8</v>
      </c>
      <c r="KR607" s="27" t="s">
        <v>7</v>
      </c>
      <c r="KS607" s="27" t="s">
        <v>8</v>
      </c>
      <c r="KT607" s="27" t="s">
        <v>7</v>
      </c>
      <c r="KU607" s="27" t="s">
        <v>8</v>
      </c>
      <c r="KZ607" s="27" t="s">
        <v>7</v>
      </c>
      <c r="LA607" s="27" t="s">
        <v>8</v>
      </c>
      <c r="LB607" s="27" t="s">
        <v>7</v>
      </c>
      <c r="LC607" s="27" t="s">
        <v>8</v>
      </c>
      <c r="LF607" s="27" t="s">
        <v>7</v>
      </c>
      <c r="LG607" s="27" t="s">
        <v>8</v>
      </c>
      <c r="LH607" s="27" t="s">
        <v>7</v>
      </c>
      <c r="LI607" s="27" t="s">
        <v>8</v>
      </c>
      <c r="LJ607" s="27" t="s">
        <v>7</v>
      </c>
      <c r="LL607" s="27" t="s">
        <v>7</v>
      </c>
      <c r="LW607" s="27" t="s">
        <v>8</v>
      </c>
      <c r="LX607" s="27" t="s">
        <v>7</v>
      </c>
      <c r="LY607" s="27" t="s">
        <v>8</v>
      </c>
      <c r="MN607" s="27" t="s">
        <v>7</v>
      </c>
      <c r="MP607" s="27" t="s">
        <v>7</v>
      </c>
      <c r="MQ607" s="27" t="s">
        <v>8</v>
      </c>
      <c r="MR607" s="27" t="s">
        <v>7</v>
      </c>
      <c r="MS607" s="27" t="s">
        <v>8</v>
      </c>
      <c r="MT607" s="27" t="s">
        <v>7</v>
      </c>
      <c r="MU607" s="27" t="s">
        <v>8</v>
      </c>
      <c r="MV607" s="27" t="s">
        <v>7</v>
      </c>
      <c r="MW607" s="27" t="s">
        <v>8</v>
      </c>
      <c r="MX607" s="27" t="s">
        <v>7</v>
      </c>
      <c r="MY607" s="27" t="s">
        <v>8</v>
      </c>
      <c r="NB607" s="27" t="s">
        <v>7</v>
      </c>
      <c r="NC607" s="27" t="s">
        <v>8</v>
      </c>
      <c r="ND607" s="27" t="s">
        <v>7</v>
      </c>
      <c r="NE607" s="27" t="s">
        <v>8</v>
      </c>
      <c r="NF607" s="27" t="s">
        <v>7</v>
      </c>
      <c r="NG607" s="27" t="s">
        <v>8</v>
      </c>
      <c r="NI607" s="27" t="s">
        <v>8</v>
      </c>
      <c r="NM607" s="27" t="s">
        <v>8</v>
      </c>
      <c r="NN607" s="27" t="s">
        <v>7</v>
      </c>
    </row>
    <row r="608" spans="1:378" x14ac:dyDescent="0.25">
      <c r="A608" s="7">
        <v>0.65977581677260566</v>
      </c>
      <c r="B608"/>
      <c r="C608"/>
      <c r="D608"/>
      <c r="E608"/>
      <c r="F608" s="27" t="s">
        <v>7</v>
      </c>
      <c r="K608" s="27" t="s">
        <v>8</v>
      </c>
      <c r="L608" s="27" t="s">
        <v>7</v>
      </c>
      <c r="M608" s="27" t="s">
        <v>8</v>
      </c>
      <c r="N608" s="27" t="s">
        <v>7</v>
      </c>
      <c r="S608" s="27" t="s">
        <v>8</v>
      </c>
      <c r="Z608" s="27" t="s">
        <v>7</v>
      </c>
      <c r="AD608" s="27" t="s">
        <v>7</v>
      </c>
      <c r="GU608" s="27" t="s">
        <v>8</v>
      </c>
      <c r="GV608" s="27" t="s">
        <v>7</v>
      </c>
      <c r="GW608" s="27" t="s">
        <v>8</v>
      </c>
      <c r="GX608" s="27" t="s">
        <v>7</v>
      </c>
      <c r="GZ608" s="27" t="s">
        <v>7</v>
      </c>
      <c r="HI608" s="27" t="s">
        <v>8</v>
      </c>
      <c r="IT608" s="27" t="s">
        <v>7</v>
      </c>
      <c r="IU608" s="27" t="s">
        <v>8</v>
      </c>
      <c r="IX608" s="27" t="s">
        <v>7</v>
      </c>
      <c r="IY608" s="27" t="s">
        <v>8</v>
      </c>
      <c r="IZ608" s="27" t="s">
        <v>7</v>
      </c>
      <c r="JH608" s="27" t="s">
        <v>7</v>
      </c>
      <c r="JI608" s="27" t="s">
        <v>8</v>
      </c>
      <c r="JJ608" s="27" t="s">
        <v>7</v>
      </c>
      <c r="JK608" s="27" t="s">
        <v>8</v>
      </c>
      <c r="JL608" s="27" t="s">
        <v>7</v>
      </c>
      <c r="JM608" s="27" t="s">
        <v>8</v>
      </c>
      <c r="JN608" s="27" t="s">
        <v>7</v>
      </c>
      <c r="JO608" s="27" t="s">
        <v>8</v>
      </c>
      <c r="KM608" s="27" t="s">
        <v>8</v>
      </c>
      <c r="KO608" s="27" t="s">
        <v>8</v>
      </c>
      <c r="KP608" s="27" t="s">
        <v>7</v>
      </c>
      <c r="KQ608" s="27" t="s">
        <v>8</v>
      </c>
      <c r="KR608" s="27" t="s">
        <v>7</v>
      </c>
      <c r="KS608" s="27" t="s">
        <v>8</v>
      </c>
      <c r="KT608" s="27" t="s">
        <v>7</v>
      </c>
      <c r="KU608" s="27" t="s">
        <v>8</v>
      </c>
      <c r="KZ608" s="27" t="s">
        <v>7</v>
      </c>
      <c r="LB608" s="27" t="s">
        <v>7</v>
      </c>
      <c r="LC608" s="27" t="s">
        <v>8</v>
      </c>
      <c r="LF608" s="27" t="s">
        <v>7</v>
      </c>
      <c r="LG608" s="27" t="s">
        <v>8</v>
      </c>
      <c r="LH608" s="27" t="s">
        <v>7</v>
      </c>
      <c r="LI608" s="27" t="s">
        <v>8</v>
      </c>
      <c r="LL608" s="27" t="s">
        <v>7</v>
      </c>
      <c r="LM608" s="27" t="s">
        <v>8</v>
      </c>
      <c r="LW608" s="27" t="s">
        <v>8</v>
      </c>
      <c r="LX608" s="27" t="s">
        <v>7</v>
      </c>
      <c r="MP608" s="27" t="s">
        <v>7</v>
      </c>
      <c r="MQ608" s="27" t="s">
        <v>8</v>
      </c>
      <c r="MR608" s="27" t="s">
        <v>7</v>
      </c>
      <c r="MS608" s="27" t="s">
        <v>8</v>
      </c>
      <c r="MT608" s="27" t="s">
        <v>7</v>
      </c>
      <c r="MU608" s="27" t="s">
        <v>8</v>
      </c>
      <c r="MV608" s="27" t="s">
        <v>7</v>
      </c>
      <c r="MW608" s="27" t="s">
        <v>8</v>
      </c>
      <c r="MX608" s="27" t="s">
        <v>7</v>
      </c>
      <c r="NB608" s="27" t="s">
        <v>7</v>
      </c>
      <c r="NC608" s="27" t="s">
        <v>8</v>
      </c>
      <c r="ND608" s="27" t="s">
        <v>7</v>
      </c>
      <c r="NE608" s="27" t="s">
        <v>8</v>
      </c>
      <c r="NF608" s="27" t="s">
        <v>7</v>
      </c>
      <c r="NG608" s="27" t="s">
        <v>8</v>
      </c>
      <c r="NH608" s="27" t="s">
        <v>7</v>
      </c>
      <c r="NI608" s="27" t="s">
        <v>8</v>
      </c>
      <c r="NJ608" s="27" t="s">
        <v>7</v>
      </c>
      <c r="NK608" s="27" t="s">
        <v>8</v>
      </c>
      <c r="NM608" s="27" t="s">
        <v>8</v>
      </c>
      <c r="NN608" s="27" t="s">
        <v>7</v>
      </c>
    </row>
    <row r="609" spans="1:383" x14ac:dyDescent="0.25">
      <c r="A609" s="7">
        <v>0.64683903605157422</v>
      </c>
      <c r="B609"/>
      <c r="C609"/>
      <c r="D609"/>
      <c r="E609"/>
      <c r="F609" s="27" t="s">
        <v>7</v>
      </c>
      <c r="K609" s="27" t="s">
        <v>8</v>
      </c>
      <c r="L609" s="27" t="s">
        <v>7</v>
      </c>
      <c r="M609" s="27" t="s">
        <v>8</v>
      </c>
      <c r="N609" s="27" t="s">
        <v>7</v>
      </c>
      <c r="S609" s="27" t="s">
        <v>8</v>
      </c>
      <c r="AD609" s="27" t="s">
        <v>7</v>
      </c>
      <c r="AI609" s="27" t="s">
        <v>8</v>
      </c>
      <c r="DA609" s="27" t="s">
        <v>8</v>
      </c>
      <c r="DG609" s="27" t="s">
        <v>8</v>
      </c>
      <c r="GU609" s="27" t="s">
        <v>8</v>
      </c>
      <c r="GV609" s="27" t="s">
        <v>7</v>
      </c>
      <c r="GW609" s="27" t="s">
        <v>8</v>
      </c>
      <c r="GZ609" s="27" t="s">
        <v>7</v>
      </c>
      <c r="HA609" s="27" t="s">
        <v>8</v>
      </c>
      <c r="HI609" s="27" t="s">
        <v>8</v>
      </c>
      <c r="IT609" s="27" t="s">
        <v>7</v>
      </c>
      <c r="IX609" s="27" t="s">
        <v>7</v>
      </c>
      <c r="IY609" s="27" t="s">
        <v>8</v>
      </c>
      <c r="JH609" s="27" t="s">
        <v>7</v>
      </c>
      <c r="JI609" s="27" t="s">
        <v>8</v>
      </c>
      <c r="JJ609" s="27" t="s">
        <v>7</v>
      </c>
      <c r="JK609" s="27" t="s">
        <v>8</v>
      </c>
      <c r="JL609" s="27" t="s">
        <v>7</v>
      </c>
      <c r="JN609" s="27" t="s">
        <v>7</v>
      </c>
      <c r="JO609" s="27" t="s">
        <v>8</v>
      </c>
      <c r="JP609" s="27" t="s">
        <v>7</v>
      </c>
      <c r="JQ609" s="27" t="s">
        <v>8</v>
      </c>
      <c r="KA609" s="27" t="s">
        <v>8</v>
      </c>
      <c r="KM609" s="27" t="s">
        <v>8</v>
      </c>
      <c r="KN609" s="27" t="s">
        <v>7</v>
      </c>
      <c r="KO609" s="27" t="s">
        <v>8</v>
      </c>
      <c r="KP609" s="27" t="s">
        <v>7</v>
      </c>
      <c r="KQ609" s="27" t="s">
        <v>8</v>
      </c>
      <c r="KR609" s="27" t="s">
        <v>7</v>
      </c>
      <c r="KS609" s="27" t="s">
        <v>8</v>
      </c>
      <c r="KT609" s="27" t="s">
        <v>7</v>
      </c>
      <c r="LB609" s="27" t="s">
        <v>7</v>
      </c>
      <c r="LF609" s="27" t="s">
        <v>7</v>
      </c>
      <c r="LG609" s="27" t="s">
        <v>8</v>
      </c>
      <c r="LH609" s="27" t="s">
        <v>7</v>
      </c>
      <c r="LL609" s="27" t="s">
        <v>7</v>
      </c>
      <c r="LM609" s="27" t="s">
        <v>8</v>
      </c>
      <c r="LN609" s="27" t="s">
        <v>7</v>
      </c>
      <c r="LW609" s="27" t="s">
        <v>8</v>
      </c>
      <c r="MP609" s="27" t="s">
        <v>7</v>
      </c>
      <c r="MQ609" s="27" t="s">
        <v>8</v>
      </c>
      <c r="MR609" s="27" t="s">
        <v>7</v>
      </c>
      <c r="MS609" s="27" t="s">
        <v>8</v>
      </c>
      <c r="MT609" s="27" t="s">
        <v>7</v>
      </c>
      <c r="MU609" s="27" t="s">
        <v>8</v>
      </c>
      <c r="MV609" s="27" t="s">
        <v>7</v>
      </c>
      <c r="MW609" s="27" t="s">
        <v>8</v>
      </c>
      <c r="NB609" s="27" t="s">
        <v>7</v>
      </c>
      <c r="ND609" s="27" t="s">
        <v>7</v>
      </c>
      <c r="NE609" s="27" t="s">
        <v>8</v>
      </c>
      <c r="NF609" s="27" t="s">
        <v>7</v>
      </c>
      <c r="NG609" s="27" t="s">
        <v>8</v>
      </c>
      <c r="NH609" s="27" t="s">
        <v>7</v>
      </c>
      <c r="NI609" s="27" t="s">
        <v>8</v>
      </c>
      <c r="NJ609" s="27" t="s">
        <v>7</v>
      </c>
      <c r="NK609" s="27" t="s">
        <v>8</v>
      </c>
      <c r="NL609" s="27" t="s">
        <v>7</v>
      </c>
      <c r="NM609" s="27" t="s">
        <v>8</v>
      </c>
      <c r="NN609" s="27" t="s">
        <v>7</v>
      </c>
    </row>
    <row r="610" spans="1:383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K610" s="27" t="s">
        <v>8</v>
      </c>
      <c r="L610" s="27" t="s">
        <v>7</v>
      </c>
      <c r="M610" s="27" t="s">
        <v>8</v>
      </c>
      <c r="N610" s="27" t="s">
        <v>7</v>
      </c>
      <c r="Q610" s="27" t="s">
        <v>8</v>
      </c>
      <c r="S610" s="27" t="s">
        <v>8</v>
      </c>
      <c r="AD610" s="27" t="s">
        <v>7</v>
      </c>
      <c r="AI610" s="27" t="s">
        <v>8</v>
      </c>
      <c r="AJ610" s="27" t="s">
        <v>7</v>
      </c>
      <c r="DA610" s="27" t="s">
        <v>8</v>
      </c>
      <c r="DB610" s="27" t="s">
        <v>7</v>
      </c>
      <c r="DG610" s="27" t="s">
        <v>8</v>
      </c>
      <c r="DH610" s="27" t="s">
        <v>7</v>
      </c>
      <c r="GU610" s="27" t="s">
        <v>8</v>
      </c>
      <c r="GV610" s="27" t="s">
        <v>7</v>
      </c>
      <c r="GW610" s="27" t="s">
        <v>8</v>
      </c>
      <c r="GZ610" s="27" t="s">
        <v>7</v>
      </c>
      <c r="HA610" s="27" t="s">
        <v>8</v>
      </c>
      <c r="HB610" s="27" t="s">
        <v>7</v>
      </c>
      <c r="HI610" s="27" t="s">
        <v>8</v>
      </c>
      <c r="IX610" s="27" t="s">
        <v>7</v>
      </c>
      <c r="IY610" s="27" t="s">
        <v>8</v>
      </c>
      <c r="JH610" s="27" t="s">
        <v>7</v>
      </c>
      <c r="JI610" s="27" t="s">
        <v>8</v>
      </c>
      <c r="JJ610" s="27" t="s">
        <v>7</v>
      </c>
      <c r="JK610" s="27" t="s">
        <v>8</v>
      </c>
      <c r="JN610" s="27" t="s">
        <v>7</v>
      </c>
      <c r="JO610" s="27" t="s">
        <v>8</v>
      </c>
      <c r="JP610" s="27" t="s">
        <v>7</v>
      </c>
      <c r="JQ610" s="27" t="s">
        <v>8</v>
      </c>
      <c r="JR610" s="27" t="s">
        <v>7</v>
      </c>
      <c r="KA610" s="27" t="s">
        <v>8</v>
      </c>
      <c r="KB610" s="27" t="s">
        <v>7</v>
      </c>
      <c r="KM610" s="27" t="s">
        <v>8</v>
      </c>
      <c r="KN610" s="27" t="s">
        <v>7</v>
      </c>
      <c r="KO610" s="27" t="s">
        <v>8</v>
      </c>
      <c r="KP610" s="27" t="s">
        <v>7</v>
      </c>
      <c r="KR610" s="27" t="s">
        <v>7</v>
      </c>
      <c r="KS610" s="27" t="s">
        <v>8</v>
      </c>
      <c r="LF610" s="27" t="s">
        <v>7</v>
      </c>
      <c r="LG610" s="27" t="s">
        <v>8</v>
      </c>
      <c r="LL610" s="27" t="s">
        <v>7</v>
      </c>
      <c r="LM610" s="27" t="s">
        <v>8</v>
      </c>
      <c r="LN610" s="27" t="s">
        <v>7</v>
      </c>
      <c r="LW610" s="27" t="s">
        <v>8</v>
      </c>
      <c r="MP610" s="27" t="s">
        <v>7</v>
      </c>
      <c r="MQ610" s="27" t="s">
        <v>8</v>
      </c>
      <c r="MR610" s="27" t="s">
        <v>7</v>
      </c>
      <c r="MS610" s="27" t="s">
        <v>8</v>
      </c>
      <c r="MT610" s="27" t="s">
        <v>7</v>
      </c>
      <c r="MU610" s="27" t="s">
        <v>8</v>
      </c>
      <c r="MV610" s="27" t="s">
        <v>7</v>
      </c>
      <c r="MW610" s="27" t="s">
        <v>8</v>
      </c>
      <c r="ND610" s="27" t="s">
        <v>7</v>
      </c>
      <c r="NE610" s="27" t="s">
        <v>8</v>
      </c>
      <c r="NF610" s="27" t="s">
        <v>7</v>
      </c>
      <c r="NG610" s="27" t="s">
        <v>8</v>
      </c>
      <c r="NH610" s="27" t="s">
        <v>7</v>
      </c>
      <c r="NI610" s="27" t="s">
        <v>8</v>
      </c>
      <c r="NJ610" s="27" t="s">
        <v>7</v>
      </c>
      <c r="NK610" s="27" t="s">
        <v>8</v>
      </c>
      <c r="NL610" s="27" t="s">
        <v>7</v>
      </c>
      <c r="NM610" s="27" t="s">
        <v>8</v>
      </c>
      <c r="NN610" s="27" t="s">
        <v>7</v>
      </c>
      <c r="NO610" s="27" t="s">
        <v>8</v>
      </c>
    </row>
    <row r="611" spans="1:383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K611" s="27" t="s">
        <v>8</v>
      </c>
      <c r="L611" s="27" t="s">
        <v>7</v>
      </c>
      <c r="M611" s="27" t="s">
        <v>8</v>
      </c>
      <c r="N611" s="27" t="s">
        <v>7</v>
      </c>
      <c r="Q611" s="27" t="s">
        <v>8</v>
      </c>
      <c r="R611" s="27" t="s">
        <v>7</v>
      </c>
      <c r="S611" s="27" t="s">
        <v>8</v>
      </c>
      <c r="AD611" s="27" t="s">
        <v>7</v>
      </c>
      <c r="AI611" s="27" t="s">
        <v>8</v>
      </c>
      <c r="AJ611" s="27" t="s">
        <v>7</v>
      </c>
      <c r="DA611" s="27" t="s">
        <v>8</v>
      </c>
      <c r="DB611" s="27" t="s">
        <v>7</v>
      </c>
      <c r="DC611" s="27" t="s">
        <v>8</v>
      </c>
      <c r="DG611" s="27" t="s">
        <v>8</v>
      </c>
      <c r="DH611" s="27" t="s">
        <v>7</v>
      </c>
      <c r="GU611" s="27" t="s">
        <v>8</v>
      </c>
      <c r="GV611" s="27" t="s">
        <v>7</v>
      </c>
      <c r="GW611" s="27" t="s">
        <v>8</v>
      </c>
      <c r="GZ611" s="27" t="s">
        <v>7</v>
      </c>
      <c r="HA611" s="27" t="s">
        <v>8</v>
      </c>
      <c r="HB611" s="27" t="s">
        <v>7</v>
      </c>
      <c r="HI611" s="27" t="s">
        <v>8</v>
      </c>
      <c r="IX611" s="27" t="s">
        <v>7</v>
      </c>
      <c r="IY611" s="27" t="s">
        <v>8</v>
      </c>
      <c r="JH611" s="27" t="s">
        <v>7</v>
      </c>
      <c r="JI611" s="27" t="s">
        <v>8</v>
      </c>
      <c r="JJ611" s="27" t="s">
        <v>7</v>
      </c>
      <c r="JK611" s="27" t="s">
        <v>8</v>
      </c>
      <c r="JN611" s="27" t="s">
        <v>7</v>
      </c>
      <c r="JP611" s="27" t="s">
        <v>7</v>
      </c>
      <c r="JQ611" s="27" t="s">
        <v>8</v>
      </c>
      <c r="JR611" s="27" t="s">
        <v>7</v>
      </c>
      <c r="KA611" s="27" t="s">
        <v>8</v>
      </c>
      <c r="KB611" s="27" t="s">
        <v>7</v>
      </c>
      <c r="KM611" s="27" t="s">
        <v>8</v>
      </c>
      <c r="KN611" s="27" t="s">
        <v>7</v>
      </c>
      <c r="KO611" s="27" t="s">
        <v>8</v>
      </c>
      <c r="KR611" s="27" t="s">
        <v>7</v>
      </c>
      <c r="LF611" s="27" t="s">
        <v>7</v>
      </c>
      <c r="LG611" s="27" t="s">
        <v>8</v>
      </c>
      <c r="LL611" s="27" t="s">
        <v>7</v>
      </c>
      <c r="LM611" s="27" t="s">
        <v>8</v>
      </c>
      <c r="LN611" s="27" t="s">
        <v>7</v>
      </c>
      <c r="LS611" s="27" t="s">
        <v>8</v>
      </c>
      <c r="LW611" s="27" t="s">
        <v>8</v>
      </c>
      <c r="MP611" s="27" t="s">
        <v>7</v>
      </c>
      <c r="MQ611" s="27" t="s">
        <v>8</v>
      </c>
      <c r="MR611" s="27" t="s">
        <v>7</v>
      </c>
      <c r="MS611" s="27" t="s">
        <v>8</v>
      </c>
      <c r="MT611" s="27" t="s">
        <v>7</v>
      </c>
      <c r="MU611" s="27" t="s">
        <v>8</v>
      </c>
      <c r="MV611" s="27" t="s">
        <v>7</v>
      </c>
      <c r="MW611" s="27" t="s">
        <v>8</v>
      </c>
      <c r="ND611" s="27" t="s">
        <v>7</v>
      </c>
      <c r="NE611" s="27" t="s">
        <v>8</v>
      </c>
      <c r="NF611" s="27" t="s">
        <v>7</v>
      </c>
      <c r="NH611" s="27" t="s">
        <v>7</v>
      </c>
      <c r="NI611" s="27" t="s">
        <v>8</v>
      </c>
      <c r="NJ611" s="27" t="s">
        <v>7</v>
      </c>
      <c r="NK611" s="27" t="s">
        <v>8</v>
      </c>
      <c r="NL611" s="27" t="s">
        <v>7</v>
      </c>
      <c r="NN611" s="27" t="s">
        <v>7</v>
      </c>
      <c r="NO611" s="27" t="s">
        <v>8</v>
      </c>
      <c r="NP611" s="27" t="s">
        <v>7</v>
      </c>
    </row>
    <row r="612" spans="1:383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K612" s="27" t="s">
        <v>8</v>
      </c>
      <c r="L612" s="27" t="s">
        <v>7</v>
      </c>
      <c r="M612" s="27" t="s">
        <v>8</v>
      </c>
      <c r="N612" s="27" t="s">
        <v>7</v>
      </c>
      <c r="O612" s="27" t="s">
        <v>8</v>
      </c>
      <c r="Q612" s="27" t="s">
        <v>8</v>
      </c>
      <c r="R612" s="27" t="s">
        <v>7</v>
      </c>
      <c r="S612" s="27" t="s">
        <v>8</v>
      </c>
      <c r="AD612" s="27" t="s">
        <v>7</v>
      </c>
      <c r="AE612" s="27" t="s">
        <v>8</v>
      </c>
      <c r="AI612" s="27" t="s">
        <v>8</v>
      </c>
      <c r="AJ612" s="27" t="s">
        <v>7</v>
      </c>
      <c r="DA612" s="27" t="s">
        <v>8</v>
      </c>
      <c r="DB612" s="27" t="s">
        <v>7</v>
      </c>
      <c r="DC612" s="27" t="s">
        <v>8</v>
      </c>
      <c r="DD612" s="27" t="s">
        <v>7</v>
      </c>
      <c r="DG612" s="27" t="s">
        <v>8</v>
      </c>
      <c r="DH612" s="27" t="s">
        <v>7</v>
      </c>
      <c r="GU612" s="27" t="s">
        <v>8</v>
      </c>
      <c r="GV612" s="27" t="s">
        <v>7</v>
      </c>
      <c r="GW612" s="27" t="s">
        <v>8</v>
      </c>
      <c r="GZ612" s="27" t="s">
        <v>7</v>
      </c>
      <c r="HA612" s="27" t="s">
        <v>8</v>
      </c>
      <c r="HB612" s="27" t="s">
        <v>7</v>
      </c>
      <c r="HG612" s="27" t="s">
        <v>8</v>
      </c>
      <c r="HI612" s="27" t="s">
        <v>8</v>
      </c>
      <c r="IX612" s="27" t="s">
        <v>7</v>
      </c>
      <c r="IY612" s="27" t="s">
        <v>8</v>
      </c>
      <c r="JH612" s="27" t="s">
        <v>7</v>
      </c>
      <c r="JI612" s="27" t="s">
        <v>8</v>
      </c>
      <c r="JJ612" s="27" t="s">
        <v>7</v>
      </c>
      <c r="JK612" s="27" t="s">
        <v>8</v>
      </c>
      <c r="JP612" s="27" t="s">
        <v>7</v>
      </c>
      <c r="JQ612" s="27" t="s">
        <v>8</v>
      </c>
      <c r="JR612" s="27" t="s">
        <v>7</v>
      </c>
      <c r="KA612" s="27" t="s">
        <v>8</v>
      </c>
      <c r="KB612" s="27" t="s">
        <v>7</v>
      </c>
      <c r="KM612" s="27" t="s">
        <v>8</v>
      </c>
      <c r="KN612" s="27" t="s">
        <v>7</v>
      </c>
      <c r="KO612" s="27" t="s">
        <v>8</v>
      </c>
      <c r="LF612" s="27" t="s">
        <v>7</v>
      </c>
      <c r="LG612" s="27" t="s">
        <v>8</v>
      </c>
      <c r="LL612" s="27" t="s">
        <v>7</v>
      </c>
      <c r="LM612" s="27" t="s">
        <v>8</v>
      </c>
      <c r="LN612" s="27" t="s">
        <v>7</v>
      </c>
      <c r="LS612" s="27" t="s">
        <v>8</v>
      </c>
      <c r="LT612" s="27" t="s">
        <v>7</v>
      </c>
      <c r="LU612" s="27" t="s">
        <v>8</v>
      </c>
      <c r="LW612" s="27" t="s">
        <v>8</v>
      </c>
      <c r="MP612" s="27" t="s">
        <v>7</v>
      </c>
      <c r="MQ612" s="27" t="s">
        <v>8</v>
      </c>
      <c r="MR612" s="27" t="s">
        <v>7</v>
      </c>
      <c r="MS612" s="27" t="s">
        <v>8</v>
      </c>
      <c r="MT612" s="27" t="s">
        <v>7</v>
      </c>
      <c r="MU612" s="27" t="s">
        <v>8</v>
      </c>
      <c r="MV612" s="27" t="s">
        <v>7</v>
      </c>
      <c r="ND612" s="27" t="s">
        <v>7</v>
      </c>
      <c r="NE612" s="27" t="s">
        <v>8</v>
      </c>
      <c r="NH612" s="27" t="s">
        <v>7</v>
      </c>
      <c r="NI612" s="27" t="s">
        <v>8</v>
      </c>
      <c r="NJ612" s="27" t="s">
        <v>7</v>
      </c>
      <c r="NN612" s="27" t="s">
        <v>7</v>
      </c>
      <c r="NO612" s="27" t="s">
        <v>8</v>
      </c>
      <c r="NP612" s="27" t="s">
        <v>7</v>
      </c>
    </row>
    <row r="613" spans="1:383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K613" s="27" t="s">
        <v>8</v>
      </c>
      <c r="L613" s="27" t="s">
        <v>7</v>
      </c>
      <c r="M613" s="27" t="s">
        <v>8</v>
      </c>
      <c r="N613" s="27" t="s">
        <v>7</v>
      </c>
      <c r="O613" s="27" t="s">
        <v>8</v>
      </c>
      <c r="P613" s="27" t="s">
        <v>7</v>
      </c>
      <c r="Q613" s="27" t="s">
        <v>8</v>
      </c>
      <c r="R613" s="27" t="s">
        <v>7</v>
      </c>
      <c r="AD613" s="27" t="s">
        <v>7</v>
      </c>
      <c r="AE613" s="27" t="s">
        <v>8</v>
      </c>
      <c r="AF613" s="27" t="s">
        <v>7</v>
      </c>
      <c r="AG613" s="27" t="s">
        <v>8</v>
      </c>
      <c r="AI613" s="27" t="s">
        <v>8</v>
      </c>
      <c r="AJ613" s="27" t="s">
        <v>7</v>
      </c>
      <c r="DA613" s="27" t="s">
        <v>8</v>
      </c>
      <c r="DB613" s="27" t="s">
        <v>7</v>
      </c>
      <c r="DC613" s="27" t="s">
        <v>8</v>
      </c>
      <c r="DD613" s="27" t="s">
        <v>7</v>
      </c>
      <c r="DG613" s="27" t="s">
        <v>8</v>
      </c>
      <c r="DH613" s="27" t="s">
        <v>7</v>
      </c>
      <c r="DI613" s="27" t="s">
        <v>8</v>
      </c>
      <c r="GU613" s="27" t="s">
        <v>8</v>
      </c>
      <c r="GV613" s="27" t="s">
        <v>7</v>
      </c>
      <c r="GW613" s="27" t="s">
        <v>8</v>
      </c>
      <c r="GZ613" s="27" t="s">
        <v>7</v>
      </c>
      <c r="HA613" s="27" t="s">
        <v>8</v>
      </c>
      <c r="HB613" s="27" t="s">
        <v>7</v>
      </c>
      <c r="HG613" s="27" t="s">
        <v>8</v>
      </c>
      <c r="HH613" s="27" t="s">
        <v>7</v>
      </c>
      <c r="HI613" s="27" t="s">
        <v>8</v>
      </c>
      <c r="IX613" s="27" t="s">
        <v>7</v>
      </c>
      <c r="IY613" s="27" t="s">
        <v>8</v>
      </c>
      <c r="JH613" s="27" t="s">
        <v>7</v>
      </c>
      <c r="JI613" s="27" t="s">
        <v>8</v>
      </c>
      <c r="JJ613" s="27" t="s">
        <v>7</v>
      </c>
      <c r="JK613" s="27" t="s">
        <v>8</v>
      </c>
      <c r="JP613" s="27" t="s">
        <v>7</v>
      </c>
      <c r="JQ613" s="27" t="s">
        <v>8</v>
      </c>
      <c r="JR613" s="27" t="s">
        <v>7</v>
      </c>
      <c r="KA613" s="27" t="s">
        <v>8</v>
      </c>
      <c r="KB613" s="27" t="s">
        <v>7</v>
      </c>
      <c r="KM613" s="27" t="s">
        <v>8</v>
      </c>
      <c r="KN613" s="27" t="s">
        <v>7</v>
      </c>
      <c r="LF613" s="27" t="s">
        <v>7</v>
      </c>
      <c r="LL613" s="27" t="s">
        <v>7</v>
      </c>
      <c r="LM613" s="27" t="s">
        <v>8</v>
      </c>
      <c r="LN613" s="27" t="s">
        <v>7</v>
      </c>
      <c r="LQ613" s="27" t="s">
        <v>8</v>
      </c>
      <c r="LS613" s="27" t="s">
        <v>8</v>
      </c>
      <c r="LT613" s="27" t="s">
        <v>7</v>
      </c>
      <c r="LU613" s="27" t="s">
        <v>8</v>
      </c>
      <c r="LV613" s="27" t="s">
        <v>7</v>
      </c>
      <c r="LW613" s="27" t="s">
        <v>8</v>
      </c>
      <c r="MP613" s="27" t="s">
        <v>7</v>
      </c>
      <c r="MQ613" s="27" t="s">
        <v>8</v>
      </c>
      <c r="MR613" s="27" t="s">
        <v>7</v>
      </c>
      <c r="MS613" s="27" t="s">
        <v>8</v>
      </c>
      <c r="MT613" s="27" t="s">
        <v>7</v>
      </c>
      <c r="ND613" s="27" t="s">
        <v>7</v>
      </c>
      <c r="NE613" s="27" t="s">
        <v>8</v>
      </c>
      <c r="NH613" s="27" t="s">
        <v>7</v>
      </c>
      <c r="NI613" s="27" t="s">
        <v>8</v>
      </c>
      <c r="NN613" s="27" t="s">
        <v>7</v>
      </c>
      <c r="NO613" s="27" t="s">
        <v>8</v>
      </c>
      <c r="NP613" s="27" t="s">
        <v>7</v>
      </c>
    </row>
    <row r="614" spans="1:383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K614" s="27" t="s">
        <v>8</v>
      </c>
      <c r="L614" s="27" t="s">
        <v>7</v>
      </c>
      <c r="M614" s="27" t="s">
        <v>8</v>
      </c>
      <c r="N614" s="27" t="s">
        <v>7</v>
      </c>
      <c r="O614" s="27" t="s">
        <v>8</v>
      </c>
      <c r="P614" s="27" t="s">
        <v>7</v>
      </c>
      <c r="Q614" s="27" t="s">
        <v>8</v>
      </c>
      <c r="AD614" s="27" t="s">
        <v>7</v>
      </c>
      <c r="AE614" s="27" t="s">
        <v>8</v>
      </c>
      <c r="AF614" s="27" t="s">
        <v>7</v>
      </c>
      <c r="AG614" s="27" t="s">
        <v>8</v>
      </c>
      <c r="AH614" s="27" t="s">
        <v>7</v>
      </c>
      <c r="AI614" s="27" t="s">
        <v>8</v>
      </c>
      <c r="AJ614" s="27" t="s">
        <v>7</v>
      </c>
      <c r="DA614" s="27" t="s">
        <v>8</v>
      </c>
      <c r="DB614" s="27" t="s">
        <v>7</v>
      </c>
      <c r="DC614" s="27" t="s">
        <v>8</v>
      </c>
      <c r="DD614" s="27" t="s">
        <v>7</v>
      </c>
      <c r="DG614" s="27" t="s">
        <v>8</v>
      </c>
      <c r="DH614" s="27" t="s">
        <v>7</v>
      </c>
      <c r="DI614" s="27" t="s">
        <v>8</v>
      </c>
      <c r="DJ614" s="27" t="s">
        <v>7</v>
      </c>
      <c r="GU614" s="27" t="s">
        <v>8</v>
      </c>
      <c r="GV614" s="27" t="s">
        <v>7</v>
      </c>
      <c r="GZ614" s="27" t="s">
        <v>7</v>
      </c>
      <c r="HA614" s="27" t="s">
        <v>8</v>
      </c>
      <c r="HB614" s="27" t="s">
        <v>7</v>
      </c>
      <c r="HG614" s="27" t="s">
        <v>8</v>
      </c>
      <c r="HH614" s="27" t="s">
        <v>7</v>
      </c>
      <c r="HI614" s="27" t="s">
        <v>8</v>
      </c>
      <c r="IX614" s="27" t="s">
        <v>7</v>
      </c>
      <c r="IY614" s="27" t="s">
        <v>8</v>
      </c>
      <c r="JH614" s="27" t="s">
        <v>7</v>
      </c>
      <c r="JI614" s="27" t="s">
        <v>8</v>
      </c>
      <c r="JJ614" s="27" t="s">
        <v>7</v>
      </c>
      <c r="JK614" s="27" t="s">
        <v>8</v>
      </c>
      <c r="JP614" s="27" t="s">
        <v>7</v>
      </c>
      <c r="JQ614" s="27" t="s">
        <v>8</v>
      </c>
      <c r="JR614" s="27" t="s">
        <v>7</v>
      </c>
      <c r="KA614" s="27" t="s">
        <v>8</v>
      </c>
      <c r="KB614" s="27" t="s">
        <v>7</v>
      </c>
      <c r="KM614" s="27" t="s">
        <v>8</v>
      </c>
      <c r="LL614" s="27" t="s">
        <v>7</v>
      </c>
      <c r="LM614" s="27" t="s">
        <v>8</v>
      </c>
      <c r="LN614" s="27" t="s">
        <v>7</v>
      </c>
      <c r="LQ614" s="27" t="s">
        <v>8</v>
      </c>
      <c r="LR614" s="27" t="s">
        <v>7</v>
      </c>
      <c r="LS614" s="27" t="s">
        <v>8</v>
      </c>
      <c r="LT614" s="27" t="s">
        <v>7</v>
      </c>
      <c r="LU614" s="27" t="s">
        <v>8</v>
      </c>
      <c r="LV614" s="27" t="s">
        <v>7</v>
      </c>
      <c r="LW614" s="27" t="s">
        <v>8</v>
      </c>
      <c r="MP614" s="27" t="s">
        <v>7</v>
      </c>
      <c r="MQ614" s="27" t="s">
        <v>8</v>
      </c>
      <c r="MR614" s="27" t="s">
        <v>7</v>
      </c>
      <c r="ND614" s="27" t="s">
        <v>7</v>
      </c>
      <c r="NE614" s="27" t="s">
        <v>8</v>
      </c>
      <c r="NH614" s="27" t="s">
        <v>7</v>
      </c>
      <c r="NI614" s="27" t="s">
        <v>8</v>
      </c>
      <c r="NN614" s="27" t="s">
        <v>7</v>
      </c>
      <c r="NO614" s="27" t="s">
        <v>8</v>
      </c>
      <c r="NP614" s="27" t="s">
        <v>7</v>
      </c>
    </row>
    <row r="615" spans="1:383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K615" s="27" t="s">
        <v>8</v>
      </c>
      <c r="L615" s="27" t="s">
        <v>7</v>
      </c>
      <c r="N615" s="27" t="s">
        <v>7</v>
      </c>
      <c r="O615" s="27" t="s">
        <v>8</v>
      </c>
      <c r="P615" s="27" t="s">
        <v>7</v>
      </c>
      <c r="AD615" s="27" t="s">
        <v>7</v>
      </c>
      <c r="AE615" s="27" t="s">
        <v>8</v>
      </c>
      <c r="AF615" s="27" t="s">
        <v>7</v>
      </c>
      <c r="AG615" s="27" t="s">
        <v>8</v>
      </c>
      <c r="AH615" s="27" t="s">
        <v>7</v>
      </c>
      <c r="AI615" s="27" t="s">
        <v>8</v>
      </c>
      <c r="AJ615" s="27" t="s">
        <v>7</v>
      </c>
      <c r="CE615" s="27" t="s">
        <v>8</v>
      </c>
      <c r="DA615" s="27" t="s">
        <v>8</v>
      </c>
      <c r="DB615" s="27" t="s">
        <v>7</v>
      </c>
      <c r="DC615" s="27" t="s">
        <v>8</v>
      </c>
      <c r="DD615" s="27" t="s">
        <v>7</v>
      </c>
      <c r="DE615" s="27" t="s">
        <v>8</v>
      </c>
      <c r="DG615" s="27" t="s">
        <v>8</v>
      </c>
      <c r="DH615" s="27" t="s">
        <v>7</v>
      </c>
      <c r="DI615" s="27" t="s">
        <v>8</v>
      </c>
      <c r="DJ615" s="27" t="s">
        <v>7</v>
      </c>
      <c r="GU615" s="27" t="s">
        <v>8</v>
      </c>
      <c r="GZ615" s="27" t="s">
        <v>7</v>
      </c>
      <c r="HA615" s="27" t="s">
        <v>8</v>
      </c>
      <c r="HB615" s="27" t="s">
        <v>7</v>
      </c>
      <c r="HC615" s="27" t="s">
        <v>8</v>
      </c>
      <c r="HE615" s="27" t="s">
        <v>8</v>
      </c>
      <c r="HG615" s="27" t="s">
        <v>8</v>
      </c>
      <c r="HH615" s="27" t="s">
        <v>7</v>
      </c>
      <c r="HI615" s="27" t="s">
        <v>8</v>
      </c>
      <c r="IX615" s="27" t="s">
        <v>7</v>
      </c>
      <c r="IY615" s="27" t="s">
        <v>8</v>
      </c>
      <c r="JH615" s="27" t="s">
        <v>7</v>
      </c>
      <c r="JI615" s="27" t="s">
        <v>8</v>
      </c>
      <c r="JJ615" s="27" t="s">
        <v>7</v>
      </c>
      <c r="JP615" s="27" t="s">
        <v>7</v>
      </c>
      <c r="JR615" s="27" t="s">
        <v>7</v>
      </c>
      <c r="KA615" s="27" t="s">
        <v>8</v>
      </c>
      <c r="KB615" s="27" t="s">
        <v>7</v>
      </c>
      <c r="KK615" s="27" t="s">
        <v>8</v>
      </c>
      <c r="KM615" s="27" t="s">
        <v>8</v>
      </c>
      <c r="LL615" s="27" t="s">
        <v>7</v>
      </c>
      <c r="LM615" s="27" t="s">
        <v>8</v>
      </c>
      <c r="LN615" s="27" t="s">
        <v>7</v>
      </c>
      <c r="LO615" s="27" t="s">
        <v>8</v>
      </c>
      <c r="LQ615" s="27" t="s">
        <v>8</v>
      </c>
      <c r="LR615" s="27" t="s">
        <v>7</v>
      </c>
      <c r="LS615" s="27" t="s">
        <v>8</v>
      </c>
      <c r="LT615" s="27" t="s">
        <v>7</v>
      </c>
      <c r="LU615" s="27" t="s">
        <v>8</v>
      </c>
      <c r="LV615" s="27" t="s">
        <v>7</v>
      </c>
      <c r="LW615" s="27" t="s">
        <v>8</v>
      </c>
      <c r="MP615" s="27" t="s">
        <v>7</v>
      </c>
      <c r="MQ615" s="27" t="s">
        <v>8</v>
      </c>
      <c r="ND615" s="27" t="s">
        <v>7</v>
      </c>
      <c r="NE615" s="27" t="s">
        <v>8</v>
      </c>
      <c r="NH615" s="27" t="s">
        <v>7</v>
      </c>
      <c r="NN615" s="27" t="s">
        <v>7</v>
      </c>
      <c r="NP615" s="27" t="s">
        <v>7</v>
      </c>
    </row>
    <row r="616" spans="1:383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I616" s="27" t="s">
        <v>8</v>
      </c>
      <c r="K616" s="27" t="s">
        <v>8</v>
      </c>
      <c r="N616" s="27" t="s">
        <v>7</v>
      </c>
      <c r="AD616" s="27" t="s">
        <v>7</v>
      </c>
      <c r="AE616" s="27" t="s">
        <v>8</v>
      </c>
      <c r="AF616" s="27" t="s">
        <v>7</v>
      </c>
      <c r="AG616" s="27" t="s">
        <v>8</v>
      </c>
      <c r="AH616" s="27" t="s">
        <v>7</v>
      </c>
      <c r="AJ616" s="27" t="s">
        <v>7</v>
      </c>
      <c r="CE616" s="27" t="s">
        <v>8</v>
      </c>
      <c r="CF616" s="27" t="s">
        <v>7</v>
      </c>
      <c r="DA616" s="27" t="s">
        <v>8</v>
      </c>
      <c r="DB616" s="27" t="s">
        <v>7</v>
      </c>
      <c r="DC616" s="27" t="s">
        <v>8</v>
      </c>
      <c r="DD616" s="27" t="s">
        <v>7</v>
      </c>
      <c r="DE616" s="27" t="s">
        <v>8</v>
      </c>
      <c r="DF616" s="27" t="s">
        <v>7</v>
      </c>
      <c r="DG616" s="27" t="s">
        <v>8</v>
      </c>
      <c r="DH616" s="27" t="s">
        <v>7</v>
      </c>
      <c r="DI616" s="27" t="s">
        <v>8</v>
      </c>
      <c r="DJ616" s="27" t="s">
        <v>7</v>
      </c>
      <c r="DK616" s="27" t="s">
        <v>8</v>
      </c>
      <c r="GU616" s="27" t="s">
        <v>8</v>
      </c>
      <c r="GZ616" s="27" t="s">
        <v>7</v>
      </c>
      <c r="HA616" s="27" t="s">
        <v>8</v>
      </c>
      <c r="HB616" s="27" t="s">
        <v>7</v>
      </c>
      <c r="HC616" s="27" t="s">
        <v>8</v>
      </c>
      <c r="HD616" s="27" t="s">
        <v>7</v>
      </c>
      <c r="HE616" s="27" t="s">
        <v>8</v>
      </c>
      <c r="HF616" s="27" t="s">
        <v>7</v>
      </c>
      <c r="HG616" s="27" t="s">
        <v>8</v>
      </c>
      <c r="HH616" s="27" t="s">
        <v>7</v>
      </c>
      <c r="HI616" s="27" t="s">
        <v>8</v>
      </c>
      <c r="IX616" s="27" t="s">
        <v>7</v>
      </c>
      <c r="IY616" s="27" t="s">
        <v>8</v>
      </c>
      <c r="JH616" s="27" t="s">
        <v>7</v>
      </c>
      <c r="JI616" s="27" t="s">
        <v>8</v>
      </c>
      <c r="JR616" s="27" t="s">
        <v>7</v>
      </c>
      <c r="KA616" s="27" t="s">
        <v>8</v>
      </c>
      <c r="KB616" s="27" t="s">
        <v>7</v>
      </c>
      <c r="KK616" s="27" t="s">
        <v>8</v>
      </c>
      <c r="KL616" s="27" t="s">
        <v>7</v>
      </c>
      <c r="KM616" s="27" t="s">
        <v>8</v>
      </c>
      <c r="LL616" s="27" t="s">
        <v>7</v>
      </c>
      <c r="LM616" s="27" t="s">
        <v>8</v>
      </c>
      <c r="LN616" s="27" t="s">
        <v>7</v>
      </c>
      <c r="LO616" s="27" t="s">
        <v>8</v>
      </c>
      <c r="LP616" s="27" t="s">
        <v>7</v>
      </c>
      <c r="LQ616" s="27" t="s">
        <v>8</v>
      </c>
      <c r="LR616" s="27" t="s">
        <v>7</v>
      </c>
      <c r="LS616" s="27" t="s">
        <v>8</v>
      </c>
      <c r="LT616" s="27" t="s">
        <v>7</v>
      </c>
      <c r="LV616" s="27" t="s">
        <v>7</v>
      </c>
      <c r="LW616" s="27" t="s">
        <v>8</v>
      </c>
      <c r="MP616" s="27" t="s">
        <v>7</v>
      </c>
      <c r="ND616" s="27" t="s">
        <v>7</v>
      </c>
      <c r="NE616" s="27" t="s">
        <v>8</v>
      </c>
      <c r="NP616" s="27" t="s">
        <v>7</v>
      </c>
    </row>
    <row r="617" spans="1:383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I617" s="27" t="s">
        <v>8</v>
      </c>
      <c r="J617" s="27" t="s">
        <v>7</v>
      </c>
      <c r="K617" s="27" t="s">
        <v>8</v>
      </c>
      <c r="AD617" s="27" t="s">
        <v>7</v>
      </c>
      <c r="AE617" s="27" t="s">
        <v>8</v>
      </c>
      <c r="AF617" s="27" t="s">
        <v>7</v>
      </c>
      <c r="AJ617" s="27" t="s">
        <v>7</v>
      </c>
      <c r="AK617" s="27" t="s">
        <v>8</v>
      </c>
      <c r="CE617" s="27" t="s">
        <v>8</v>
      </c>
      <c r="CF617" s="27" t="s">
        <v>7</v>
      </c>
      <c r="DA617" s="27" t="s">
        <v>8</v>
      </c>
      <c r="DB617" s="27" t="s">
        <v>7</v>
      </c>
      <c r="DC617" s="27" t="s">
        <v>8</v>
      </c>
      <c r="DD617" s="27" t="s">
        <v>7</v>
      </c>
      <c r="DE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DJ617" s="27" t="s">
        <v>7</v>
      </c>
      <c r="DK617" s="27" t="s">
        <v>8</v>
      </c>
      <c r="DL617" s="27" t="s">
        <v>7</v>
      </c>
      <c r="GU617" s="27" t="s">
        <v>8</v>
      </c>
      <c r="GZ617" s="27" t="s">
        <v>7</v>
      </c>
      <c r="HA617" s="27" t="s">
        <v>8</v>
      </c>
      <c r="HB617" s="27" t="s">
        <v>7</v>
      </c>
      <c r="HC617" s="27" t="s">
        <v>8</v>
      </c>
      <c r="HD617" s="27" t="s">
        <v>7</v>
      </c>
      <c r="HE617" s="27" t="s">
        <v>8</v>
      </c>
      <c r="HF617" s="27" t="s">
        <v>7</v>
      </c>
      <c r="HG617" s="27" t="s">
        <v>8</v>
      </c>
      <c r="HH617" s="27" t="s">
        <v>7</v>
      </c>
      <c r="HI617" s="27" t="s">
        <v>8</v>
      </c>
      <c r="IX617" s="27" t="s">
        <v>7</v>
      </c>
      <c r="IY617" s="27" t="s">
        <v>8</v>
      </c>
      <c r="JH617" s="27" t="s">
        <v>7</v>
      </c>
      <c r="JR617" s="27" t="s">
        <v>7</v>
      </c>
      <c r="KA617" s="27" t="s">
        <v>8</v>
      </c>
      <c r="KB617" s="27" t="s">
        <v>7</v>
      </c>
      <c r="KK617" s="27" t="s">
        <v>8</v>
      </c>
      <c r="KL617" s="27" t="s">
        <v>7</v>
      </c>
      <c r="KM617" s="27" t="s">
        <v>8</v>
      </c>
      <c r="LL617" s="27" t="s">
        <v>7</v>
      </c>
      <c r="LM617" s="27" t="s">
        <v>8</v>
      </c>
      <c r="LN617" s="27" t="s">
        <v>7</v>
      </c>
      <c r="LO617" s="27" t="s">
        <v>8</v>
      </c>
      <c r="LP617" s="27" t="s">
        <v>7</v>
      </c>
      <c r="LQ617" s="27" t="s">
        <v>8</v>
      </c>
      <c r="LR617" s="27" t="s">
        <v>7</v>
      </c>
      <c r="LS617" s="27" t="s">
        <v>8</v>
      </c>
      <c r="LV617" s="27" t="s">
        <v>7</v>
      </c>
      <c r="ND617" s="27" t="s">
        <v>7</v>
      </c>
      <c r="NE617" s="27" t="s">
        <v>8</v>
      </c>
      <c r="NP617" s="27" t="s">
        <v>7</v>
      </c>
    </row>
    <row r="618" spans="1:383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I618" s="27" t="s">
        <v>8</v>
      </c>
      <c r="J618" s="27" t="s">
        <v>7</v>
      </c>
      <c r="K618" s="27" t="s">
        <v>8</v>
      </c>
      <c r="AD618" s="27" t="s">
        <v>7</v>
      </c>
      <c r="AJ618" s="27" t="s">
        <v>7</v>
      </c>
      <c r="AK618" s="27" t="s">
        <v>8</v>
      </c>
      <c r="AL618" s="27" t="s">
        <v>7</v>
      </c>
      <c r="CE618" s="27" t="s">
        <v>8</v>
      </c>
      <c r="CF618" s="27" t="s">
        <v>7</v>
      </c>
      <c r="DA618" s="27" t="s">
        <v>8</v>
      </c>
      <c r="DB618" s="27" t="s">
        <v>7</v>
      </c>
      <c r="DC618" s="27" t="s">
        <v>8</v>
      </c>
      <c r="DD618" s="27" t="s">
        <v>7</v>
      </c>
      <c r="DF618" s="27" t="s">
        <v>7</v>
      </c>
      <c r="DG618" s="27" t="s">
        <v>8</v>
      </c>
      <c r="DH618" s="27" t="s">
        <v>7</v>
      </c>
      <c r="DJ618" s="27" t="s">
        <v>7</v>
      </c>
      <c r="DK618" s="27" t="s">
        <v>8</v>
      </c>
      <c r="DL618" s="27" t="s">
        <v>7</v>
      </c>
      <c r="GU618" s="27" t="s">
        <v>8</v>
      </c>
      <c r="GZ618" s="27" t="s">
        <v>7</v>
      </c>
      <c r="HA618" s="27" t="s">
        <v>8</v>
      </c>
      <c r="HB618" s="27" t="s">
        <v>7</v>
      </c>
      <c r="HC618" s="27" t="s">
        <v>8</v>
      </c>
      <c r="HD618" s="27" t="s">
        <v>7</v>
      </c>
      <c r="HE618" s="27" t="s">
        <v>8</v>
      </c>
      <c r="HF618" s="27" t="s">
        <v>7</v>
      </c>
      <c r="HG618" s="27" t="s">
        <v>8</v>
      </c>
      <c r="HH618" s="27" t="s">
        <v>7</v>
      </c>
      <c r="HI618" s="27" t="s">
        <v>8</v>
      </c>
      <c r="IX618" s="27" t="s">
        <v>7</v>
      </c>
      <c r="IY618" s="27" t="s">
        <v>8</v>
      </c>
      <c r="JR618" s="27" t="s">
        <v>7</v>
      </c>
      <c r="KA618" s="27" t="s">
        <v>8</v>
      </c>
      <c r="KB618" s="27" t="s">
        <v>7</v>
      </c>
      <c r="KK618" s="27" t="s">
        <v>8</v>
      </c>
      <c r="KL618" s="27" t="s">
        <v>7</v>
      </c>
      <c r="KM618" s="27" t="s">
        <v>8</v>
      </c>
      <c r="LL618" s="27" t="s">
        <v>7</v>
      </c>
      <c r="LM618" s="27" t="s">
        <v>8</v>
      </c>
      <c r="LN618" s="27" t="s">
        <v>7</v>
      </c>
      <c r="LO618" s="27" t="s">
        <v>8</v>
      </c>
      <c r="LP618" s="27" t="s">
        <v>7</v>
      </c>
      <c r="LQ618" s="27" t="s">
        <v>8</v>
      </c>
      <c r="LR618" s="27" t="s">
        <v>7</v>
      </c>
      <c r="ND618" s="27" t="s">
        <v>7</v>
      </c>
      <c r="NE618" s="27" t="s">
        <v>8</v>
      </c>
      <c r="NP618" s="27" t="s">
        <v>7</v>
      </c>
    </row>
    <row r="619" spans="1:383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I619" s="27" t="s">
        <v>8</v>
      </c>
      <c r="J619" s="27" t="s">
        <v>7</v>
      </c>
      <c r="AJ619" s="27" t="s">
        <v>7</v>
      </c>
      <c r="AK619" s="27" t="s">
        <v>8</v>
      </c>
      <c r="AL619" s="27" t="s">
        <v>7</v>
      </c>
      <c r="CE619" s="27" t="s">
        <v>8</v>
      </c>
      <c r="CF619" s="27" t="s">
        <v>7</v>
      </c>
      <c r="CQ619" s="27" t="s">
        <v>8</v>
      </c>
      <c r="DA619" s="27" t="s">
        <v>8</v>
      </c>
      <c r="DB619" s="27" t="s">
        <v>7</v>
      </c>
      <c r="DC619" s="27" t="s">
        <v>8</v>
      </c>
      <c r="DF619" s="27" t="s">
        <v>7</v>
      </c>
      <c r="DG619" s="27" t="s">
        <v>8</v>
      </c>
      <c r="DJ619" s="27" t="s">
        <v>7</v>
      </c>
      <c r="DK619" s="27" t="s">
        <v>8</v>
      </c>
      <c r="DL619" s="27" t="s">
        <v>7</v>
      </c>
      <c r="GU619" s="27" t="s">
        <v>8</v>
      </c>
      <c r="GZ619" s="27" t="s">
        <v>7</v>
      </c>
      <c r="HA619" s="27" t="s">
        <v>8</v>
      </c>
      <c r="HB619" s="27" t="s">
        <v>7</v>
      </c>
      <c r="HC619" s="27" t="s">
        <v>8</v>
      </c>
      <c r="HD619" s="27" t="s">
        <v>7</v>
      </c>
      <c r="HE619" s="27" t="s">
        <v>8</v>
      </c>
      <c r="HF619" s="27" t="s">
        <v>7</v>
      </c>
      <c r="HG619" s="27" t="s">
        <v>8</v>
      </c>
      <c r="HH619" s="27" t="s">
        <v>7</v>
      </c>
      <c r="HI619" s="27" t="s">
        <v>8</v>
      </c>
      <c r="IX619" s="27" t="s">
        <v>7</v>
      </c>
      <c r="IY619" s="27" t="s">
        <v>8</v>
      </c>
      <c r="JR619" s="27" t="s">
        <v>7</v>
      </c>
      <c r="KA619" s="27" t="s">
        <v>8</v>
      </c>
      <c r="KB619" s="27" t="s">
        <v>7</v>
      </c>
      <c r="KI619" s="27" t="s">
        <v>8</v>
      </c>
      <c r="KK619" s="27" t="s">
        <v>8</v>
      </c>
      <c r="KL619" s="27" t="s">
        <v>7</v>
      </c>
      <c r="KM619" s="27" t="s">
        <v>8</v>
      </c>
      <c r="LL619" s="27" t="s">
        <v>7</v>
      </c>
      <c r="LM619" s="27" t="s">
        <v>8</v>
      </c>
      <c r="LN619" s="27" t="s">
        <v>7</v>
      </c>
      <c r="LO619" s="27" t="s">
        <v>8</v>
      </c>
      <c r="LP619" s="27" t="s">
        <v>7</v>
      </c>
      <c r="LQ619" s="27" t="s">
        <v>8</v>
      </c>
      <c r="ND619" s="27" t="s">
        <v>7</v>
      </c>
      <c r="NP619" s="27" t="s">
        <v>7</v>
      </c>
    </row>
    <row r="620" spans="1:383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AJ620" s="27" t="s">
        <v>7</v>
      </c>
      <c r="AK620" s="27" t="s">
        <v>8</v>
      </c>
      <c r="AL620" s="27" t="s">
        <v>7</v>
      </c>
      <c r="CC620" s="27" t="s">
        <v>8</v>
      </c>
      <c r="CE620" s="27" t="s">
        <v>8</v>
      </c>
      <c r="CF620" s="27" t="s">
        <v>7</v>
      </c>
      <c r="CO620" s="27" t="s">
        <v>8</v>
      </c>
      <c r="CQ620" s="27" t="s">
        <v>8</v>
      </c>
      <c r="CR620" s="27" t="s">
        <v>7</v>
      </c>
      <c r="DA620" s="27" t="s">
        <v>8</v>
      </c>
      <c r="DB620" s="27" t="s">
        <v>7</v>
      </c>
      <c r="DC620" s="27" t="s">
        <v>8</v>
      </c>
      <c r="DF620" s="27" t="s">
        <v>7</v>
      </c>
      <c r="DG620" s="27" t="s">
        <v>8</v>
      </c>
      <c r="DJ620" s="27" t="s">
        <v>7</v>
      </c>
      <c r="DK620" s="27" t="s">
        <v>8</v>
      </c>
      <c r="DL620" s="27" t="s">
        <v>7</v>
      </c>
      <c r="GU620" s="27" t="s">
        <v>8</v>
      </c>
      <c r="GZ620" s="27" t="s">
        <v>7</v>
      </c>
      <c r="HA620" s="27" t="s">
        <v>8</v>
      </c>
      <c r="HB620" s="27" t="s">
        <v>7</v>
      </c>
      <c r="HC620" s="27" t="s">
        <v>8</v>
      </c>
      <c r="HD620" s="27" t="s">
        <v>7</v>
      </c>
      <c r="HE620" s="27" t="s">
        <v>8</v>
      </c>
      <c r="HF620" s="27" t="s">
        <v>7</v>
      </c>
      <c r="HH620" s="27" t="s">
        <v>7</v>
      </c>
      <c r="IX620" s="27" t="s">
        <v>7</v>
      </c>
      <c r="IY620" s="27" t="s">
        <v>8</v>
      </c>
      <c r="JR620" s="27" t="s">
        <v>7</v>
      </c>
      <c r="KA620" s="27" t="s">
        <v>8</v>
      </c>
      <c r="KB620" s="27" t="s">
        <v>7</v>
      </c>
      <c r="KC620" s="27" t="s">
        <v>8</v>
      </c>
      <c r="KI620" s="27" t="s">
        <v>8</v>
      </c>
      <c r="KJ620" s="27" t="s">
        <v>7</v>
      </c>
      <c r="KK620" s="27" t="s">
        <v>8</v>
      </c>
      <c r="KL620" s="27" t="s">
        <v>7</v>
      </c>
      <c r="KM620" s="27" t="s">
        <v>8</v>
      </c>
      <c r="LL620" s="27" t="s">
        <v>7</v>
      </c>
      <c r="LM620" s="27" t="s">
        <v>8</v>
      </c>
      <c r="LN620" s="27" t="s">
        <v>7</v>
      </c>
      <c r="LO620" s="27" t="s">
        <v>8</v>
      </c>
      <c r="LP620" s="27" t="s">
        <v>7</v>
      </c>
      <c r="LQ620" s="27" t="s">
        <v>8</v>
      </c>
      <c r="NP620" s="27" t="s">
        <v>7</v>
      </c>
    </row>
    <row r="621" spans="1:383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AJ621" s="27" t="s">
        <v>7</v>
      </c>
      <c r="AK621" s="27" t="s">
        <v>8</v>
      </c>
      <c r="AL621" s="27" t="s">
        <v>7</v>
      </c>
      <c r="CC621" s="27" t="s">
        <v>8</v>
      </c>
      <c r="CD621" s="27" t="s">
        <v>7</v>
      </c>
      <c r="CE621" s="27" t="s">
        <v>8</v>
      </c>
      <c r="CF621" s="27" t="s">
        <v>7</v>
      </c>
      <c r="CI621" s="27" t="s">
        <v>8</v>
      </c>
      <c r="CK621" s="27" t="s">
        <v>8</v>
      </c>
      <c r="CO621" s="27" t="s">
        <v>8</v>
      </c>
      <c r="CP621" s="27" t="s">
        <v>7</v>
      </c>
      <c r="CQ621" s="27" t="s">
        <v>8</v>
      </c>
      <c r="CR621" s="27" t="s">
        <v>7</v>
      </c>
      <c r="DA621" s="27" t="s">
        <v>8</v>
      </c>
      <c r="DB621" s="27" t="s">
        <v>7</v>
      </c>
      <c r="DC621" s="27" t="s">
        <v>8</v>
      </c>
      <c r="DF621" s="27" t="s">
        <v>7</v>
      </c>
      <c r="DJ621" s="27" t="s">
        <v>7</v>
      </c>
      <c r="DK621" s="27" t="s">
        <v>8</v>
      </c>
      <c r="DL621" s="27" t="s">
        <v>7</v>
      </c>
      <c r="FQ621" s="27" t="s">
        <v>8</v>
      </c>
      <c r="GU621" s="27" t="s">
        <v>8</v>
      </c>
      <c r="GZ621" s="27" t="s">
        <v>7</v>
      </c>
      <c r="HA621" s="27" t="s">
        <v>8</v>
      </c>
      <c r="HB621" s="27" t="s">
        <v>7</v>
      </c>
      <c r="HC621" s="27" t="s">
        <v>8</v>
      </c>
      <c r="HD621" s="27" t="s">
        <v>7</v>
      </c>
      <c r="HE621" s="27" t="s">
        <v>8</v>
      </c>
      <c r="IX621" s="27" t="s">
        <v>7</v>
      </c>
      <c r="IY621" s="27" t="s">
        <v>8</v>
      </c>
      <c r="JR621" s="27" t="s">
        <v>7</v>
      </c>
      <c r="JY621" s="27" t="s">
        <v>8</v>
      </c>
      <c r="KA621" s="27" t="s">
        <v>8</v>
      </c>
      <c r="KB621" s="27" t="s">
        <v>7</v>
      </c>
      <c r="KC621" s="27" t="s">
        <v>8</v>
      </c>
      <c r="KD621" s="27" t="s">
        <v>7</v>
      </c>
      <c r="KE621" s="27" t="s">
        <v>8</v>
      </c>
      <c r="KG621" s="27" t="s">
        <v>8</v>
      </c>
      <c r="KI621" s="27" t="s">
        <v>8</v>
      </c>
      <c r="KJ621" s="27" t="s">
        <v>7</v>
      </c>
      <c r="KK621" s="27" t="s">
        <v>8</v>
      </c>
      <c r="KL621" s="27" t="s">
        <v>7</v>
      </c>
      <c r="LL621" s="27" t="s">
        <v>7</v>
      </c>
      <c r="LM621" s="27" t="s">
        <v>8</v>
      </c>
      <c r="LN621" s="27" t="s">
        <v>7</v>
      </c>
      <c r="LP621" s="27" t="s">
        <v>7</v>
      </c>
      <c r="NP621" s="27" t="s">
        <v>7</v>
      </c>
    </row>
    <row r="622" spans="1:383" x14ac:dyDescent="0.25">
      <c r="A622" s="7">
        <v>0.50002761335929735</v>
      </c>
      <c r="B622"/>
      <c r="C622"/>
      <c r="D622"/>
      <c r="E622"/>
      <c r="F622" s="27" t="s">
        <v>7</v>
      </c>
      <c r="AJ622" s="27" t="s">
        <v>7</v>
      </c>
      <c r="AK622" s="27" t="s">
        <v>8</v>
      </c>
      <c r="AL622" s="27" t="s">
        <v>7</v>
      </c>
      <c r="CC622" s="27" t="s">
        <v>8</v>
      </c>
      <c r="CD622" s="27" t="s">
        <v>7</v>
      </c>
      <c r="CE622" s="27" t="s">
        <v>8</v>
      </c>
      <c r="CF622" s="27" t="s">
        <v>7</v>
      </c>
      <c r="CI622" s="27" t="s">
        <v>8</v>
      </c>
      <c r="CJ622" s="27" t="s">
        <v>7</v>
      </c>
      <c r="CK622" s="27" t="s">
        <v>8</v>
      </c>
      <c r="CL622" s="27" t="s">
        <v>7</v>
      </c>
      <c r="CO622" s="27" t="s">
        <v>8</v>
      </c>
      <c r="CP622" s="27" t="s">
        <v>7</v>
      </c>
      <c r="CQ622" s="27" t="s">
        <v>8</v>
      </c>
      <c r="CR622" s="27" t="s">
        <v>7</v>
      </c>
      <c r="DA622" s="27" t="s">
        <v>8</v>
      </c>
      <c r="DB622" s="27" t="s">
        <v>7</v>
      </c>
      <c r="DC622" s="27" t="s">
        <v>8</v>
      </c>
      <c r="DJ622" s="27" t="s">
        <v>7</v>
      </c>
      <c r="DK622" s="27" t="s">
        <v>8</v>
      </c>
      <c r="DL622" s="27" t="s">
        <v>7</v>
      </c>
      <c r="DM622" s="27" t="s">
        <v>8</v>
      </c>
      <c r="DQ622" s="27" t="s">
        <v>8</v>
      </c>
      <c r="FQ622" s="27" t="s">
        <v>8</v>
      </c>
      <c r="FR622" s="27" t="s">
        <v>7</v>
      </c>
      <c r="GU622" s="27" t="s">
        <v>8</v>
      </c>
      <c r="GZ622" s="27" t="s">
        <v>7</v>
      </c>
      <c r="HA622" s="27" t="s">
        <v>8</v>
      </c>
      <c r="HB622" s="27" t="s">
        <v>7</v>
      </c>
      <c r="HC622" s="27" t="s">
        <v>8</v>
      </c>
      <c r="HD622" s="27" t="s">
        <v>7</v>
      </c>
      <c r="HE622" s="27" t="s">
        <v>8</v>
      </c>
      <c r="IX622" s="27" t="s">
        <v>7</v>
      </c>
      <c r="IY622" s="27" t="s">
        <v>8</v>
      </c>
      <c r="JR622" s="27" t="s">
        <v>7</v>
      </c>
      <c r="JY622" s="27" t="s">
        <v>8</v>
      </c>
      <c r="JZ622" s="27" t="s">
        <v>7</v>
      </c>
      <c r="KA622" s="27" t="s">
        <v>8</v>
      </c>
      <c r="KB622" s="27" t="s">
        <v>7</v>
      </c>
      <c r="KC622" s="27" t="s">
        <v>8</v>
      </c>
      <c r="KD622" s="27" t="s">
        <v>7</v>
      </c>
      <c r="KE622" s="27" t="s">
        <v>8</v>
      </c>
      <c r="KF622" s="27" t="s">
        <v>7</v>
      </c>
      <c r="KG622" s="27" t="s">
        <v>8</v>
      </c>
      <c r="KH622" s="27" t="s">
        <v>7</v>
      </c>
      <c r="KI622" s="27" t="s">
        <v>8</v>
      </c>
      <c r="KJ622" s="27" t="s">
        <v>7</v>
      </c>
      <c r="KK622" s="27" t="s">
        <v>8</v>
      </c>
      <c r="LL622" s="27" t="s">
        <v>7</v>
      </c>
      <c r="NP622" s="27" t="s">
        <v>7</v>
      </c>
    </row>
    <row r="623" spans="1:383" x14ac:dyDescent="0.25">
      <c r="A623" s="7">
        <v>0.49022315035225228</v>
      </c>
      <c r="B623"/>
      <c r="C623"/>
      <c r="D623"/>
      <c r="E623"/>
      <c r="AJ623" s="27" t="s">
        <v>7</v>
      </c>
      <c r="AK623" s="27" t="s">
        <v>8</v>
      </c>
      <c r="AL623" s="27" t="s">
        <v>7</v>
      </c>
      <c r="CC623" s="27" t="s">
        <v>8</v>
      </c>
      <c r="CD623" s="27" t="s">
        <v>7</v>
      </c>
      <c r="CE623" s="27" t="s">
        <v>8</v>
      </c>
      <c r="CF623" s="27" t="s">
        <v>7</v>
      </c>
      <c r="CI623" s="27" t="s">
        <v>8</v>
      </c>
      <c r="CJ623" s="27" t="s">
        <v>7</v>
      </c>
      <c r="CK623" s="27" t="s">
        <v>8</v>
      </c>
      <c r="CL623" s="27" t="s">
        <v>7</v>
      </c>
      <c r="CM623" s="27" t="s">
        <v>8</v>
      </c>
      <c r="CO623" s="27" t="s">
        <v>8</v>
      </c>
      <c r="CP623" s="27" t="s">
        <v>7</v>
      </c>
      <c r="CQ623" s="27" t="s">
        <v>8</v>
      </c>
      <c r="CR623" s="27" t="s">
        <v>7</v>
      </c>
      <c r="DA623" s="27" t="s">
        <v>8</v>
      </c>
      <c r="DB623" s="27" t="s">
        <v>7</v>
      </c>
      <c r="DC623" s="27" t="s">
        <v>8</v>
      </c>
      <c r="DJ623" s="27" t="s">
        <v>7</v>
      </c>
      <c r="DK623" s="27" t="s">
        <v>8</v>
      </c>
      <c r="DL623" s="27" t="s">
        <v>7</v>
      </c>
      <c r="DM623" s="27" t="s">
        <v>8</v>
      </c>
      <c r="DN623" s="27" t="s">
        <v>7</v>
      </c>
      <c r="DQ623" s="27" t="s">
        <v>8</v>
      </c>
      <c r="DR623" s="27" t="s">
        <v>7</v>
      </c>
      <c r="FQ623" s="27" t="s">
        <v>8</v>
      </c>
      <c r="FR623" s="27" t="s">
        <v>7</v>
      </c>
      <c r="GU623" s="27" t="s">
        <v>8</v>
      </c>
      <c r="GZ623" s="27" t="s">
        <v>7</v>
      </c>
      <c r="HA623" s="27" t="s">
        <v>8</v>
      </c>
      <c r="HB623" s="27" t="s">
        <v>7</v>
      </c>
      <c r="HC623" s="27" t="s">
        <v>8</v>
      </c>
      <c r="HD623" s="27" t="s">
        <v>7</v>
      </c>
      <c r="HE623" s="27" t="s">
        <v>8</v>
      </c>
      <c r="IX623" s="27" t="s">
        <v>7</v>
      </c>
      <c r="IY623" s="27" t="s">
        <v>8</v>
      </c>
      <c r="JR623" s="27" t="s">
        <v>7</v>
      </c>
      <c r="JY623" s="27" t="s">
        <v>8</v>
      </c>
      <c r="JZ623" s="27" t="s">
        <v>7</v>
      </c>
      <c r="KA623" s="27" t="s">
        <v>8</v>
      </c>
      <c r="KB623" s="27" t="s">
        <v>7</v>
      </c>
      <c r="KC623" s="27" t="s">
        <v>8</v>
      </c>
      <c r="KD623" s="27" t="s">
        <v>7</v>
      </c>
      <c r="KE623" s="27" t="s">
        <v>8</v>
      </c>
      <c r="KF623" s="27" t="s">
        <v>7</v>
      </c>
      <c r="KG623" s="27" t="s">
        <v>8</v>
      </c>
      <c r="KH623" s="27" t="s">
        <v>7</v>
      </c>
      <c r="KI623" s="27" t="s">
        <v>8</v>
      </c>
      <c r="KJ623" s="27" t="s">
        <v>7</v>
      </c>
      <c r="KK623" s="27" t="s">
        <v>8</v>
      </c>
      <c r="NP623" s="27" t="s">
        <v>7</v>
      </c>
      <c r="NQ623" s="27" t="s">
        <v>8</v>
      </c>
    </row>
    <row r="624" spans="1:383" x14ac:dyDescent="0.25">
      <c r="A624" s="7">
        <v>0.48061093171789437</v>
      </c>
      <c r="B624"/>
      <c r="C624"/>
      <c r="D624"/>
      <c r="E624"/>
      <c r="AJ624" s="27" t="s">
        <v>7</v>
      </c>
      <c r="AK624" s="27" t="s">
        <v>8</v>
      </c>
      <c r="AL624" s="27" t="s">
        <v>7</v>
      </c>
      <c r="CC624" s="27" t="s">
        <v>8</v>
      </c>
      <c r="CD624" s="27" t="s">
        <v>7</v>
      </c>
      <c r="CE624" s="27" t="s">
        <v>8</v>
      </c>
      <c r="CF624" s="27" t="s">
        <v>7</v>
      </c>
      <c r="CG624" s="27" t="s">
        <v>8</v>
      </c>
      <c r="CI624" s="27" t="s">
        <v>8</v>
      </c>
      <c r="CJ624" s="27" t="s">
        <v>7</v>
      </c>
      <c r="CK624" s="27" t="s">
        <v>8</v>
      </c>
      <c r="CL624" s="27" t="s">
        <v>7</v>
      </c>
      <c r="CM624" s="27" t="s">
        <v>8</v>
      </c>
      <c r="CN624" s="27" t="s">
        <v>7</v>
      </c>
      <c r="CO624" s="27" t="s">
        <v>8</v>
      </c>
      <c r="CP624" s="27" t="s">
        <v>7</v>
      </c>
      <c r="CQ624" s="27" t="s">
        <v>8</v>
      </c>
      <c r="CR624" s="27" t="s">
        <v>7</v>
      </c>
      <c r="CU624" s="27" t="s">
        <v>8</v>
      </c>
      <c r="DA624" s="27" t="s">
        <v>8</v>
      </c>
      <c r="DB624" s="27" t="s">
        <v>7</v>
      </c>
      <c r="DJ624" s="27" t="s">
        <v>7</v>
      </c>
      <c r="DL624" s="27" t="s">
        <v>7</v>
      </c>
      <c r="DM624" s="27" t="s">
        <v>8</v>
      </c>
      <c r="DN624" s="27" t="s">
        <v>7</v>
      </c>
      <c r="DQ624" s="27" t="s">
        <v>8</v>
      </c>
      <c r="DR624" s="27" t="s">
        <v>7</v>
      </c>
      <c r="FQ624" s="27" t="s">
        <v>8</v>
      </c>
      <c r="FR624" s="27" t="s">
        <v>7</v>
      </c>
      <c r="GU624" s="27" t="s">
        <v>8</v>
      </c>
      <c r="GZ624" s="27" t="s">
        <v>7</v>
      </c>
      <c r="HB624" s="27" t="s">
        <v>7</v>
      </c>
      <c r="HD624" s="27" t="s">
        <v>7</v>
      </c>
      <c r="HE624" s="27" t="s">
        <v>8</v>
      </c>
      <c r="IX624" s="27" t="s">
        <v>7</v>
      </c>
      <c r="IY624" s="27" t="s">
        <v>8</v>
      </c>
      <c r="JR624" s="27" t="s">
        <v>7</v>
      </c>
      <c r="JU624" s="27" t="s">
        <v>8</v>
      </c>
      <c r="JY624" s="27" t="s">
        <v>8</v>
      </c>
      <c r="JZ624" s="27" t="s">
        <v>7</v>
      </c>
      <c r="KA624" s="27" t="s">
        <v>8</v>
      </c>
      <c r="KB624" s="27" t="s">
        <v>7</v>
      </c>
      <c r="KC624" s="27" t="s">
        <v>8</v>
      </c>
      <c r="KD624" s="27" t="s">
        <v>7</v>
      </c>
      <c r="KE624" s="27" t="s">
        <v>8</v>
      </c>
      <c r="KF624" s="27" t="s">
        <v>7</v>
      </c>
      <c r="KG624" s="27" t="s">
        <v>8</v>
      </c>
      <c r="KH624" s="27" t="s">
        <v>7</v>
      </c>
      <c r="KI624" s="27" t="s">
        <v>8</v>
      </c>
      <c r="KJ624" s="27" t="s">
        <v>7</v>
      </c>
      <c r="NP624" s="27" t="s">
        <v>7</v>
      </c>
      <c r="NQ624" s="27" t="s">
        <v>8</v>
      </c>
      <c r="NR624" s="27" t="s">
        <v>7</v>
      </c>
      <c r="NS624" s="27" t="s">
        <v>8</v>
      </c>
    </row>
    <row r="625" spans="1:384" x14ac:dyDescent="0.25">
      <c r="A625" s="7">
        <v>0.47118718795871994</v>
      </c>
      <c r="B625"/>
      <c r="C625"/>
      <c r="D625"/>
      <c r="E625"/>
      <c r="AJ625" s="27" t="s">
        <v>7</v>
      </c>
      <c r="AK625" s="27" t="s">
        <v>8</v>
      </c>
      <c r="AL625" s="27" t="s">
        <v>7</v>
      </c>
      <c r="CC625" s="27" t="s">
        <v>8</v>
      </c>
      <c r="CD625" s="27" t="s">
        <v>7</v>
      </c>
      <c r="CE625" s="27" t="s">
        <v>8</v>
      </c>
      <c r="CF625" s="27" t="s">
        <v>7</v>
      </c>
      <c r="CG625" s="27" t="s">
        <v>8</v>
      </c>
      <c r="CH625" s="27" t="s">
        <v>7</v>
      </c>
      <c r="CI625" s="27" t="s">
        <v>8</v>
      </c>
      <c r="CJ625" s="27" t="s">
        <v>7</v>
      </c>
      <c r="CK625" s="27" t="s">
        <v>8</v>
      </c>
      <c r="CL625" s="27" t="s">
        <v>7</v>
      </c>
      <c r="CM625" s="27" t="s">
        <v>8</v>
      </c>
      <c r="CN625" s="27" t="s">
        <v>7</v>
      </c>
      <c r="CO625" s="27" t="s">
        <v>8</v>
      </c>
      <c r="CP625" s="27" t="s">
        <v>7</v>
      </c>
      <c r="CQ625" s="27" t="s">
        <v>8</v>
      </c>
      <c r="CR625" s="27" t="s">
        <v>7</v>
      </c>
      <c r="CU625" s="27" t="s">
        <v>8</v>
      </c>
      <c r="CV625" s="27" t="s">
        <v>7</v>
      </c>
      <c r="DA625" s="27" t="s">
        <v>8</v>
      </c>
      <c r="DL625" s="27" t="s">
        <v>7</v>
      </c>
      <c r="DN625" s="27" t="s">
        <v>7</v>
      </c>
      <c r="DO625" s="27" t="s">
        <v>8</v>
      </c>
      <c r="DQ625" s="27" t="s">
        <v>8</v>
      </c>
      <c r="DR625" s="27" t="s">
        <v>7</v>
      </c>
      <c r="FQ625" s="27" t="s">
        <v>8</v>
      </c>
      <c r="FR625" s="27" t="s">
        <v>7</v>
      </c>
      <c r="GS625" s="27" t="s">
        <v>8</v>
      </c>
      <c r="GU625" s="27" t="s">
        <v>8</v>
      </c>
      <c r="HD625" s="27" t="s">
        <v>7</v>
      </c>
      <c r="IX625" s="27" t="s">
        <v>7</v>
      </c>
      <c r="IY625" s="27" t="s">
        <v>8</v>
      </c>
      <c r="JR625" s="27" t="s">
        <v>7</v>
      </c>
      <c r="JU625" s="27" t="s">
        <v>8</v>
      </c>
      <c r="JV625" s="27" t="s">
        <v>7</v>
      </c>
      <c r="JY625" s="27" t="s">
        <v>8</v>
      </c>
      <c r="JZ625" s="27" t="s">
        <v>7</v>
      </c>
      <c r="KA625" s="27" t="s">
        <v>8</v>
      </c>
      <c r="KB625" s="27" t="s">
        <v>7</v>
      </c>
      <c r="KC625" s="27" t="s">
        <v>8</v>
      </c>
      <c r="KD625" s="27" t="s">
        <v>7</v>
      </c>
      <c r="KE625" s="27" t="s">
        <v>8</v>
      </c>
      <c r="KF625" s="27" t="s">
        <v>7</v>
      </c>
      <c r="KG625" s="27" t="s">
        <v>8</v>
      </c>
      <c r="KH625" s="27" t="s">
        <v>7</v>
      </c>
      <c r="KI625" s="27" t="s">
        <v>8</v>
      </c>
      <c r="NP625" s="27" t="s">
        <v>7</v>
      </c>
      <c r="NQ625" s="27" t="s">
        <v>8</v>
      </c>
      <c r="NR625" s="27" t="s">
        <v>7</v>
      </c>
      <c r="NS625" s="27" t="s">
        <v>8</v>
      </c>
      <c r="NT625" s="27" t="s">
        <v>7</v>
      </c>
    </row>
    <row r="626" spans="1:384" x14ac:dyDescent="0.25">
      <c r="A626" s="7">
        <v>0.46194822348894116</v>
      </c>
      <c r="B626"/>
      <c r="C626"/>
      <c r="D626"/>
      <c r="E626"/>
      <c r="AJ626" s="27" t="s">
        <v>7</v>
      </c>
      <c r="AK626" s="27" t="s">
        <v>8</v>
      </c>
      <c r="AL626" s="27" t="s">
        <v>7</v>
      </c>
      <c r="CC626" s="27" t="s">
        <v>8</v>
      </c>
      <c r="CD626" s="27" t="s">
        <v>7</v>
      </c>
      <c r="CE626" s="27" t="s">
        <v>8</v>
      </c>
      <c r="CF626" s="27" t="s">
        <v>7</v>
      </c>
      <c r="CG626" s="27" t="s">
        <v>8</v>
      </c>
      <c r="CH626" s="27" t="s">
        <v>7</v>
      </c>
      <c r="CI626" s="27" t="s">
        <v>8</v>
      </c>
      <c r="CJ626" s="27" t="s">
        <v>7</v>
      </c>
      <c r="CK626" s="27" t="s">
        <v>8</v>
      </c>
      <c r="CL626" s="27" t="s">
        <v>7</v>
      </c>
      <c r="CM626" s="27" t="s">
        <v>8</v>
      </c>
      <c r="CN626" s="27" t="s">
        <v>7</v>
      </c>
      <c r="CO626" s="27" t="s">
        <v>8</v>
      </c>
      <c r="CP626" s="27" t="s">
        <v>7</v>
      </c>
      <c r="CQ626" s="27" t="s">
        <v>8</v>
      </c>
      <c r="CR626" s="27" t="s">
        <v>7</v>
      </c>
      <c r="CU626" s="27" t="s">
        <v>8</v>
      </c>
      <c r="CV626" s="27" t="s">
        <v>7</v>
      </c>
      <c r="DA626" s="27" t="s">
        <v>8</v>
      </c>
      <c r="DN626" s="27" t="s">
        <v>7</v>
      </c>
      <c r="DO626" s="27" t="s">
        <v>8</v>
      </c>
      <c r="DP626" s="27" t="s">
        <v>7</v>
      </c>
      <c r="DQ626" s="27" t="s">
        <v>8</v>
      </c>
      <c r="DR626" s="27" t="s">
        <v>7</v>
      </c>
      <c r="FQ626" s="27" t="s">
        <v>8</v>
      </c>
      <c r="FR626" s="27" t="s">
        <v>7</v>
      </c>
      <c r="GS626" s="27" t="s">
        <v>8</v>
      </c>
      <c r="GT626" s="27" t="s">
        <v>7</v>
      </c>
      <c r="GU626" s="27" t="s">
        <v>8</v>
      </c>
      <c r="IX626" s="27" t="s">
        <v>7</v>
      </c>
      <c r="JR626" s="27" t="s">
        <v>7</v>
      </c>
      <c r="JS626" s="27" t="s">
        <v>8</v>
      </c>
      <c r="JU626" s="27" t="s">
        <v>8</v>
      </c>
      <c r="JV626" s="27" t="s">
        <v>7</v>
      </c>
      <c r="JW626" s="27" t="s">
        <v>8</v>
      </c>
      <c r="JY626" s="27" t="s">
        <v>8</v>
      </c>
      <c r="JZ626" s="27" t="s">
        <v>7</v>
      </c>
      <c r="KA626" s="27" t="s">
        <v>8</v>
      </c>
      <c r="KB626" s="27" t="s">
        <v>7</v>
      </c>
      <c r="KC626" s="27" t="s">
        <v>8</v>
      </c>
      <c r="KD626" s="27" t="s">
        <v>7</v>
      </c>
      <c r="KE626" s="27" t="s">
        <v>8</v>
      </c>
      <c r="KF626" s="27" t="s">
        <v>7</v>
      </c>
      <c r="KG626" s="27" t="s">
        <v>8</v>
      </c>
      <c r="KH626" s="27" t="s">
        <v>7</v>
      </c>
      <c r="KI626" s="27" t="s">
        <v>8</v>
      </c>
      <c r="NP626" s="27" t="s">
        <v>7</v>
      </c>
      <c r="NQ626" s="27" t="s">
        <v>8</v>
      </c>
      <c r="NR626" s="27" t="s">
        <v>7</v>
      </c>
      <c r="NS626" s="27" t="s">
        <v>8</v>
      </c>
      <c r="NT626" s="27" t="s">
        <v>7</v>
      </c>
    </row>
    <row r="627" spans="1:384" x14ac:dyDescent="0.25">
      <c r="A627" s="7">
        <v>0.45289041518523643</v>
      </c>
      <c r="B627"/>
      <c r="C627"/>
      <c r="D627"/>
      <c r="E627"/>
      <c r="AJ627" s="27" t="s">
        <v>7</v>
      </c>
      <c r="AK627" s="27" t="s">
        <v>8</v>
      </c>
      <c r="AL627" s="27" t="s">
        <v>7</v>
      </c>
      <c r="CC627" s="27" t="s">
        <v>8</v>
      </c>
      <c r="CD627" s="27" t="s">
        <v>7</v>
      </c>
      <c r="CF627" s="27" t="s">
        <v>7</v>
      </c>
      <c r="CH627" s="27" t="s">
        <v>7</v>
      </c>
      <c r="CJ627" s="27" t="s">
        <v>7</v>
      </c>
      <c r="CK627" s="27" t="s">
        <v>8</v>
      </c>
      <c r="CL627" s="27" t="s">
        <v>7</v>
      </c>
      <c r="CM627" s="27" t="s">
        <v>8</v>
      </c>
      <c r="CN627" s="27" t="s">
        <v>7</v>
      </c>
      <c r="CP627" s="27" t="s">
        <v>7</v>
      </c>
      <c r="CR627" s="27" t="s">
        <v>7</v>
      </c>
      <c r="CU627" s="27" t="s">
        <v>8</v>
      </c>
      <c r="CV627" s="27" t="s">
        <v>7</v>
      </c>
      <c r="DA627" s="27" t="s">
        <v>8</v>
      </c>
      <c r="DN627" s="27" t="s">
        <v>7</v>
      </c>
      <c r="DO627" s="27" t="s">
        <v>8</v>
      </c>
      <c r="DP627" s="27" t="s">
        <v>7</v>
      </c>
      <c r="DQ627" s="27" t="s">
        <v>8</v>
      </c>
      <c r="DR627" s="27" t="s">
        <v>7</v>
      </c>
      <c r="FQ627" s="27" t="s">
        <v>8</v>
      </c>
      <c r="FR627" s="27" t="s">
        <v>7</v>
      </c>
      <c r="GS627" s="27" t="s">
        <v>8</v>
      </c>
      <c r="GT627" s="27" t="s">
        <v>7</v>
      </c>
      <c r="GU627" s="27" t="s">
        <v>8</v>
      </c>
      <c r="JR627" s="27" t="s">
        <v>7</v>
      </c>
      <c r="JS627" s="27" t="s">
        <v>8</v>
      </c>
      <c r="JT627" s="27" t="s">
        <v>7</v>
      </c>
      <c r="JU627" s="27" t="s">
        <v>8</v>
      </c>
      <c r="JV627" s="27" t="s">
        <v>7</v>
      </c>
      <c r="JW627" s="27" t="s">
        <v>8</v>
      </c>
      <c r="JX627" s="27" t="s">
        <v>7</v>
      </c>
      <c r="JY627" s="27" t="s">
        <v>8</v>
      </c>
      <c r="JZ627" s="27" t="s">
        <v>7</v>
      </c>
      <c r="KA627" s="27" t="s">
        <v>8</v>
      </c>
      <c r="KB627" s="27" t="s">
        <v>7</v>
      </c>
      <c r="KD627" s="27" t="s">
        <v>7</v>
      </c>
      <c r="KE627" s="27" t="s">
        <v>8</v>
      </c>
      <c r="KF627" s="27" t="s">
        <v>7</v>
      </c>
      <c r="KG627" s="27" t="s">
        <v>8</v>
      </c>
      <c r="KH627" s="27" t="s">
        <v>7</v>
      </c>
      <c r="NP627" s="27" t="s">
        <v>7</v>
      </c>
      <c r="NQ627" s="27" t="s">
        <v>8</v>
      </c>
      <c r="NR627" s="27" t="s">
        <v>7</v>
      </c>
      <c r="NT627" s="27" t="s">
        <v>7</v>
      </c>
    </row>
    <row r="628" spans="1:384" x14ac:dyDescent="0.25">
      <c r="A628" s="7">
        <v>0.44401021096591808</v>
      </c>
      <c r="B628"/>
      <c r="C628"/>
      <c r="D628"/>
      <c r="E628"/>
      <c r="AJ628" s="27" t="s">
        <v>7</v>
      </c>
      <c r="AL628" s="27" t="s">
        <v>7</v>
      </c>
      <c r="CC628" s="27" t="s">
        <v>8</v>
      </c>
      <c r="CJ628" s="27" t="s">
        <v>7</v>
      </c>
      <c r="CK628" s="27" t="s">
        <v>8</v>
      </c>
      <c r="CL628" s="27" t="s">
        <v>7</v>
      </c>
      <c r="CM628" s="27" t="s">
        <v>8</v>
      </c>
      <c r="CR628" s="27" t="s">
        <v>7</v>
      </c>
      <c r="CU628" s="27" t="s">
        <v>8</v>
      </c>
      <c r="CV628" s="27" t="s">
        <v>7</v>
      </c>
      <c r="CY628" s="27" t="s">
        <v>8</v>
      </c>
      <c r="DA628" s="27" t="s">
        <v>8</v>
      </c>
      <c r="DN628" s="27" t="s">
        <v>7</v>
      </c>
      <c r="DO628" s="27" t="s">
        <v>8</v>
      </c>
      <c r="DP628" s="27" t="s">
        <v>7</v>
      </c>
      <c r="DR628" s="27" t="s">
        <v>7</v>
      </c>
      <c r="FQ628" s="27" t="s">
        <v>8</v>
      </c>
      <c r="FR628" s="27" t="s">
        <v>7</v>
      </c>
      <c r="GS628" s="27" t="s">
        <v>8</v>
      </c>
      <c r="GT628" s="27" t="s">
        <v>7</v>
      </c>
      <c r="GU628" s="27" t="s">
        <v>8</v>
      </c>
      <c r="JR628" s="27" t="s">
        <v>7</v>
      </c>
      <c r="JS628" s="27" t="s">
        <v>8</v>
      </c>
      <c r="JT628" s="27" t="s">
        <v>7</v>
      </c>
      <c r="JU628" s="27" t="s">
        <v>8</v>
      </c>
      <c r="JV628" s="27" t="s">
        <v>7</v>
      </c>
      <c r="JW628" s="27" t="s">
        <v>8</v>
      </c>
      <c r="JX628" s="27" t="s">
        <v>7</v>
      </c>
      <c r="JY628" s="27" t="s">
        <v>8</v>
      </c>
      <c r="JZ628" s="27" t="s">
        <v>7</v>
      </c>
      <c r="KA628" s="27" t="s">
        <v>8</v>
      </c>
      <c r="KD628" s="27" t="s">
        <v>7</v>
      </c>
      <c r="KE628" s="27" t="s">
        <v>8</v>
      </c>
      <c r="KF628" s="27" t="s">
        <v>7</v>
      </c>
      <c r="NP628" s="27" t="s">
        <v>7</v>
      </c>
      <c r="NQ628" s="27" t="s">
        <v>8</v>
      </c>
      <c r="NT628" s="27" t="s">
        <v>7</v>
      </c>
    </row>
    <row r="629" spans="1:384" x14ac:dyDescent="0.25">
      <c r="A629" s="7">
        <v>0.4353041283979589</v>
      </c>
      <c r="B629"/>
      <c r="C629"/>
      <c r="D629"/>
      <c r="E629"/>
      <c r="AL629" s="27" t="s">
        <v>7</v>
      </c>
      <c r="CC629" s="27" t="s">
        <v>8</v>
      </c>
      <c r="CJ629" s="27" t="s">
        <v>7</v>
      </c>
      <c r="CL629" s="27" t="s">
        <v>7</v>
      </c>
      <c r="CM629" s="27" t="s">
        <v>8</v>
      </c>
      <c r="CR629" s="27" t="s">
        <v>7</v>
      </c>
      <c r="CU629" s="27" t="s">
        <v>8</v>
      </c>
      <c r="CV629" s="27" t="s">
        <v>7</v>
      </c>
      <c r="CW629" s="27" t="s">
        <v>8</v>
      </c>
      <c r="CY629" s="27" t="s">
        <v>8</v>
      </c>
      <c r="CZ629" s="27" t="s">
        <v>7</v>
      </c>
      <c r="DA629" s="27" t="s">
        <v>8</v>
      </c>
      <c r="DN629" s="27" t="s">
        <v>7</v>
      </c>
      <c r="DR629" s="27" t="s">
        <v>7</v>
      </c>
      <c r="FQ629" s="27" t="s">
        <v>8</v>
      </c>
      <c r="FR629" s="27" t="s">
        <v>7</v>
      </c>
      <c r="GQ629" s="27" t="s">
        <v>8</v>
      </c>
      <c r="GS629" s="27" t="s">
        <v>8</v>
      </c>
      <c r="GT629" s="27" t="s">
        <v>7</v>
      </c>
      <c r="GU629" s="27" t="s">
        <v>8</v>
      </c>
      <c r="JR629" s="27" t="s">
        <v>7</v>
      </c>
      <c r="JS629" s="27" t="s">
        <v>8</v>
      </c>
      <c r="JT629" s="27" t="s">
        <v>7</v>
      </c>
      <c r="JU629" s="27" t="s">
        <v>8</v>
      </c>
      <c r="JV629" s="27" t="s">
        <v>7</v>
      </c>
      <c r="JW629" s="27" t="s">
        <v>8</v>
      </c>
      <c r="JX629" s="27" t="s">
        <v>7</v>
      </c>
      <c r="JY629" s="27" t="s">
        <v>8</v>
      </c>
      <c r="JZ629" s="27" t="s">
        <v>7</v>
      </c>
      <c r="KA629" s="27" t="s">
        <v>8</v>
      </c>
      <c r="KD629" s="27" t="s">
        <v>7</v>
      </c>
      <c r="KE629" s="27" t="s">
        <v>8</v>
      </c>
      <c r="NP629" s="27" t="s">
        <v>7</v>
      </c>
      <c r="NQ629" s="27" t="s">
        <v>8</v>
      </c>
      <c r="NT629" s="27" t="s">
        <v>7</v>
      </c>
    </row>
    <row r="630" spans="1:384" x14ac:dyDescent="0.25">
      <c r="A630" s="7">
        <v>0.4267687533313323</v>
      </c>
      <c r="B630"/>
      <c r="C630"/>
      <c r="D630"/>
      <c r="E630"/>
      <c r="AL630" s="27" t="s">
        <v>7</v>
      </c>
      <c r="CC630" s="27" t="s">
        <v>8</v>
      </c>
      <c r="CL630" s="27" t="s">
        <v>7</v>
      </c>
      <c r="CR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  <c r="CY630" s="27" t="s">
        <v>8</v>
      </c>
      <c r="CZ630" s="27" t="s">
        <v>7</v>
      </c>
      <c r="DA630" s="27" t="s">
        <v>8</v>
      </c>
      <c r="DR630" s="27" t="s">
        <v>7</v>
      </c>
      <c r="FQ630" s="27" t="s">
        <v>8</v>
      </c>
      <c r="FR630" s="27" t="s">
        <v>7</v>
      </c>
      <c r="GK630" s="27" t="s">
        <v>8</v>
      </c>
      <c r="GQ630" s="27" t="s">
        <v>8</v>
      </c>
      <c r="GR630" s="27" t="s">
        <v>7</v>
      </c>
      <c r="GS630" s="27" t="s">
        <v>8</v>
      </c>
      <c r="GT630" s="27" t="s">
        <v>7</v>
      </c>
      <c r="GU630" s="27" t="s">
        <v>8</v>
      </c>
      <c r="JR630" s="27" t="s">
        <v>7</v>
      </c>
      <c r="JS630" s="27" t="s">
        <v>8</v>
      </c>
      <c r="JT630" s="27" t="s">
        <v>7</v>
      </c>
      <c r="JU630" s="27" t="s">
        <v>8</v>
      </c>
      <c r="JV630" s="27" t="s">
        <v>7</v>
      </c>
      <c r="JW630" s="27" t="s">
        <v>8</v>
      </c>
      <c r="JX630" s="27" t="s">
        <v>7</v>
      </c>
      <c r="JY630" s="27" t="s">
        <v>8</v>
      </c>
      <c r="JZ630" s="27" t="s">
        <v>7</v>
      </c>
      <c r="KA630" s="27" t="s">
        <v>8</v>
      </c>
      <c r="KD630" s="27" t="s">
        <v>7</v>
      </c>
      <c r="KE630" s="27" t="s">
        <v>8</v>
      </c>
      <c r="NP630" s="27" t="s">
        <v>7</v>
      </c>
      <c r="NT630" s="27" t="s">
        <v>7</v>
      </c>
    </row>
    <row r="631" spans="1:384" x14ac:dyDescent="0.25">
      <c r="A631" s="7">
        <v>0.41840073856012971</v>
      </c>
      <c r="B631"/>
      <c r="C631"/>
      <c r="D631"/>
      <c r="E631"/>
      <c r="AL631" s="27" t="s">
        <v>7</v>
      </c>
      <c r="CC631" s="27" t="s">
        <v>8</v>
      </c>
      <c r="CR631" s="27" t="s">
        <v>7</v>
      </c>
      <c r="CS631" s="27" t="s">
        <v>8</v>
      </c>
      <c r="CU631" s="27" t="s">
        <v>8</v>
      </c>
      <c r="CV631" s="27" t="s">
        <v>7</v>
      </c>
      <c r="CW631" s="27" t="s">
        <v>8</v>
      </c>
      <c r="CX631" s="27" t="s">
        <v>7</v>
      </c>
      <c r="CY631" s="27" t="s">
        <v>8</v>
      </c>
      <c r="CZ631" s="27" t="s">
        <v>7</v>
      </c>
      <c r="DR631" s="27" t="s">
        <v>7</v>
      </c>
      <c r="FQ631" s="27" t="s">
        <v>8</v>
      </c>
      <c r="FR631" s="27" t="s">
        <v>7</v>
      </c>
      <c r="FS631" s="27" t="s">
        <v>8</v>
      </c>
      <c r="GI631" s="27" t="s">
        <v>8</v>
      </c>
      <c r="GK631" s="27" t="s">
        <v>8</v>
      </c>
      <c r="GL631" s="27" t="s">
        <v>7</v>
      </c>
      <c r="GQ631" s="27" t="s">
        <v>8</v>
      </c>
      <c r="GR631" s="27" t="s">
        <v>7</v>
      </c>
      <c r="GS631" s="27" t="s">
        <v>8</v>
      </c>
      <c r="GT631" s="27" t="s">
        <v>7</v>
      </c>
      <c r="GU631" s="27" t="s">
        <v>8</v>
      </c>
      <c r="JR631" s="27" t="s">
        <v>7</v>
      </c>
      <c r="JS631" s="27" t="s">
        <v>8</v>
      </c>
      <c r="JT631" s="27" t="s">
        <v>7</v>
      </c>
      <c r="JU631" s="27" t="s">
        <v>8</v>
      </c>
      <c r="JV631" s="27" t="s">
        <v>7</v>
      </c>
      <c r="JW631" s="27" t="s">
        <v>8</v>
      </c>
      <c r="JX631" s="27" t="s">
        <v>7</v>
      </c>
      <c r="JZ631" s="27" t="s">
        <v>7</v>
      </c>
      <c r="KA631" s="27" t="s">
        <v>8</v>
      </c>
      <c r="KD631" s="27" t="s">
        <v>7</v>
      </c>
      <c r="KE631" s="27" t="s">
        <v>8</v>
      </c>
      <c r="NT631" s="27" t="s">
        <v>7</v>
      </c>
    </row>
    <row r="632" spans="1:384" x14ac:dyDescent="0.25">
      <c r="A632" s="7">
        <v>0.41019680250993112</v>
      </c>
      <c r="B632"/>
      <c r="C632"/>
      <c r="D632"/>
      <c r="E632"/>
      <c r="AL632" s="27" t="s">
        <v>7</v>
      </c>
      <c r="CC632" s="27" t="s">
        <v>8</v>
      </c>
      <c r="CR632" s="27" t="s">
        <v>7</v>
      </c>
      <c r="CS632" s="27" t="s">
        <v>8</v>
      </c>
      <c r="CT632" s="27" t="s">
        <v>7</v>
      </c>
      <c r="CU632" s="27" t="s">
        <v>8</v>
      </c>
      <c r="CV632" s="27" t="s">
        <v>7</v>
      </c>
      <c r="CW632" s="27" t="s">
        <v>8</v>
      </c>
      <c r="CX632" s="27" t="s">
        <v>7</v>
      </c>
      <c r="CY632" s="27" t="s">
        <v>8</v>
      </c>
      <c r="DR632" s="27" t="s">
        <v>7</v>
      </c>
      <c r="FQ632" s="27" t="s">
        <v>8</v>
      </c>
      <c r="FR632" s="27" t="s">
        <v>7</v>
      </c>
      <c r="FS632" s="27" t="s">
        <v>8</v>
      </c>
      <c r="FT632" s="27" t="s">
        <v>7</v>
      </c>
      <c r="GA632" s="27" t="s">
        <v>8</v>
      </c>
      <c r="GI632" s="27" t="s">
        <v>8</v>
      </c>
      <c r="GJ632" s="27" t="s">
        <v>7</v>
      </c>
      <c r="GK632" s="27" t="s">
        <v>8</v>
      </c>
      <c r="GL632" s="27" t="s">
        <v>7</v>
      </c>
      <c r="GQ632" s="27" t="s">
        <v>8</v>
      </c>
      <c r="GR632" s="27" t="s">
        <v>7</v>
      </c>
      <c r="GS632" s="27" t="s">
        <v>8</v>
      </c>
      <c r="GT632" s="27" t="s">
        <v>7</v>
      </c>
      <c r="GU632" s="27" t="s">
        <v>8</v>
      </c>
      <c r="JR632" s="27" t="s">
        <v>7</v>
      </c>
      <c r="JS632" s="27" t="s">
        <v>8</v>
      </c>
      <c r="JT632" s="27" t="s">
        <v>7</v>
      </c>
      <c r="JU632" s="27" t="s">
        <v>8</v>
      </c>
      <c r="JV632" s="27" t="s">
        <v>7</v>
      </c>
      <c r="JW632" s="27" t="s">
        <v>8</v>
      </c>
      <c r="JZ632" s="27" t="s">
        <v>7</v>
      </c>
      <c r="KA632" s="27" t="s">
        <v>8</v>
      </c>
      <c r="KD632" s="27" t="s">
        <v>7</v>
      </c>
      <c r="KE632" s="27" t="s">
        <v>8</v>
      </c>
      <c r="NT632" s="27" t="s">
        <v>7</v>
      </c>
    </row>
    <row r="633" spans="1:384" x14ac:dyDescent="0.25">
      <c r="A633" s="7">
        <v>0.40215372795091286</v>
      </c>
      <c r="B633"/>
      <c r="C633"/>
      <c r="D633"/>
      <c r="E633"/>
      <c r="AL633" s="27" t="s">
        <v>7</v>
      </c>
      <c r="CC633" s="27" t="s">
        <v>8</v>
      </c>
      <c r="CR633" s="27" t="s">
        <v>7</v>
      </c>
      <c r="CS633" s="27" t="s">
        <v>8</v>
      </c>
      <c r="CT633" s="27" t="s">
        <v>7</v>
      </c>
      <c r="CU633" s="27" t="s">
        <v>8</v>
      </c>
      <c r="CV633" s="27" t="s">
        <v>7</v>
      </c>
      <c r="CW633" s="27" t="s">
        <v>8</v>
      </c>
      <c r="CX633" s="27" t="s">
        <v>7</v>
      </c>
      <c r="CY633" s="27" t="s">
        <v>8</v>
      </c>
      <c r="DR633" s="27" t="s">
        <v>7</v>
      </c>
      <c r="FQ633" s="27" t="s">
        <v>8</v>
      </c>
      <c r="FR633" s="27" t="s">
        <v>7</v>
      </c>
      <c r="FS633" s="27" t="s">
        <v>8</v>
      </c>
      <c r="FT633" s="27" t="s">
        <v>7</v>
      </c>
      <c r="GA633" s="27" t="s">
        <v>8</v>
      </c>
      <c r="GB633" s="27" t="s">
        <v>7</v>
      </c>
      <c r="GI633" s="27" t="s">
        <v>8</v>
      </c>
      <c r="GJ633" s="27" t="s">
        <v>7</v>
      </c>
      <c r="GK633" s="27" t="s">
        <v>8</v>
      </c>
      <c r="GL633" s="27" t="s">
        <v>7</v>
      </c>
      <c r="GQ633" s="27" t="s">
        <v>8</v>
      </c>
      <c r="GR633" s="27" t="s">
        <v>7</v>
      </c>
      <c r="GS633" s="27" t="s">
        <v>8</v>
      </c>
      <c r="GT633" s="27" t="s">
        <v>7</v>
      </c>
      <c r="GU633" s="27" t="s">
        <v>8</v>
      </c>
      <c r="JR633" s="27" t="s">
        <v>7</v>
      </c>
      <c r="JS633" s="27" t="s">
        <v>8</v>
      </c>
      <c r="JT633" s="27" t="s">
        <v>7</v>
      </c>
      <c r="JU633" s="27" t="s">
        <v>8</v>
      </c>
      <c r="JV633" s="27" t="s">
        <v>7</v>
      </c>
      <c r="JW633" s="27" t="s">
        <v>8</v>
      </c>
      <c r="JZ633" s="27" t="s">
        <v>7</v>
      </c>
      <c r="KD633" s="27" t="s">
        <v>7</v>
      </c>
      <c r="KE633" s="27" t="s">
        <v>8</v>
      </c>
      <c r="NT633" s="27" t="s">
        <v>7</v>
      </c>
    </row>
    <row r="634" spans="1:384" x14ac:dyDescent="0.25">
      <c r="A634" s="7">
        <v>0.39426836073618904</v>
      </c>
      <c r="B634"/>
      <c r="C634"/>
      <c r="D634"/>
      <c r="E634"/>
      <c r="AL634" s="27" t="s">
        <v>7</v>
      </c>
      <c r="CC634" s="27" t="s">
        <v>8</v>
      </c>
      <c r="CR634" s="27" t="s">
        <v>7</v>
      </c>
      <c r="CS634" s="27" t="s">
        <v>8</v>
      </c>
      <c r="CT634" s="27" t="s">
        <v>7</v>
      </c>
      <c r="CU634" s="27" t="s">
        <v>8</v>
      </c>
      <c r="CV634" s="27" t="s">
        <v>7</v>
      </c>
      <c r="CW634" s="27" t="s">
        <v>8</v>
      </c>
      <c r="CX634" s="27" t="s">
        <v>7</v>
      </c>
      <c r="DR634" s="27" t="s">
        <v>7</v>
      </c>
      <c r="DS634" s="27" t="s">
        <v>8</v>
      </c>
      <c r="FQ634" s="27" t="s">
        <v>8</v>
      </c>
      <c r="FR634" s="27" t="s">
        <v>7</v>
      </c>
      <c r="FS634" s="27" t="s">
        <v>8</v>
      </c>
      <c r="FT634" s="27" t="s">
        <v>7</v>
      </c>
      <c r="GA634" s="27" t="s">
        <v>8</v>
      </c>
      <c r="GB634" s="27" t="s">
        <v>7</v>
      </c>
      <c r="GI634" s="27" t="s">
        <v>8</v>
      </c>
      <c r="GJ634" s="27" t="s">
        <v>7</v>
      </c>
      <c r="GK634" s="27" t="s">
        <v>8</v>
      </c>
      <c r="GL634" s="27" t="s">
        <v>7</v>
      </c>
      <c r="GQ634" s="27" t="s">
        <v>8</v>
      </c>
      <c r="GR634" s="27" t="s">
        <v>7</v>
      </c>
      <c r="GS634" s="27" t="s">
        <v>8</v>
      </c>
      <c r="GT634" s="27" t="s">
        <v>7</v>
      </c>
      <c r="GU634" s="27" t="s">
        <v>8</v>
      </c>
      <c r="JR634" s="27" t="s">
        <v>7</v>
      </c>
      <c r="JS634" s="27" t="s">
        <v>8</v>
      </c>
      <c r="JT634" s="27" t="s">
        <v>7</v>
      </c>
      <c r="JU634" s="27" t="s">
        <v>8</v>
      </c>
      <c r="JV634" s="27" t="s">
        <v>7</v>
      </c>
      <c r="KD634" s="27" t="s">
        <v>7</v>
      </c>
      <c r="KE634" s="27" t="s">
        <v>8</v>
      </c>
      <c r="NT634" s="27" t="s">
        <v>7</v>
      </c>
    </row>
    <row r="635" spans="1:384" x14ac:dyDescent="0.25">
      <c r="A635" s="7">
        <v>0.38653760856489122</v>
      </c>
      <c r="B635"/>
      <c r="C635"/>
      <c r="D635"/>
      <c r="E635"/>
      <c r="AL635" s="27" t="s">
        <v>7</v>
      </c>
      <c r="CC635" s="27" t="s">
        <v>8</v>
      </c>
      <c r="CR635" s="27" t="s">
        <v>7</v>
      </c>
      <c r="CS635" s="27" t="s">
        <v>8</v>
      </c>
      <c r="CT635" s="27" t="s">
        <v>7</v>
      </c>
      <c r="CU635" s="27" t="s">
        <v>8</v>
      </c>
      <c r="CV635" s="27" t="s">
        <v>7</v>
      </c>
      <c r="CW635" s="27" t="s">
        <v>8</v>
      </c>
      <c r="DR635" s="27" t="s">
        <v>7</v>
      </c>
      <c r="DS635" s="27" t="s">
        <v>8</v>
      </c>
      <c r="DT635" s="27" t="s">
        <v>7</v>
      </c>
      <c r="FQ635" s="27" t="s">
        <v>8</v>
      </c>
      <c r="FR635" s="27" t="s">
        <v>7</v>
      </c>
      <c r="FS635" s="27" t="s">
        <v>8</v>
      </c>
      <c r="FT635" s="27" t="s">
        <v>7</v>
      </c>
      <c r="GA635" s="27" t="s">
        <v>8</v>
      </c>
      <c r="GB635" s="27" t="s">
        <v>7</v>
      </c>
      <c r="GI635" s="27" t="s">
        <v>8</v>
      </c>
      <c r="GJ635" s="27" t="s">
        <v>7</v>
      </c>
      <c r="GK635" s="27" t="s">
        <v>8</v>
      </c>
      <c r="GL635" s="27" t="s">
        <v>7</v>
      </c>
      <c r="GQ635" s="27" t="s">
        <v>8</v>
      </c>
      <c r="GR635" s="27" t="s">
        <v>7</v>
      </c>
      <c r="GT635" s="27" t="s">
        <v>7</v>
      </c>
      <c r="JR635" s="27" t="s">
        <v>7</v>
      </c>
      <c r="JS635" s="27" t="s">
        <v>8</v>
      </c>
      <c r="JT635" s="27" t="s">
        <v>7</v>
      </c>
      <c r="JU635" s="27" t="s">
        <v>8</v>
      </c>
      <c r="KD635" s="18" t="s">
        <v>7</v>
      </c>
      <c r="KE635" s="27" t="s">
        <v>8</v>
      </c>
      <c r="NT635" s="27" t="s">
        <v>7</v>
      </c>
    </row>
    <row r="636" spans="1:384" x14ac:dyDescent="0.25">
      <c r="A636" s="7">
        <v>0.37895843976950117</v>
      </c>
      <c r="B636"/>
      <c r="C636"/>
      <c r="D636"/>
      <c r="E636"/>
      <c r="AL636" s="27" t="s">
        <v>7</v>
      </c>
      <c r="BM636" s="27" t="s">
        <v>8</v>
      </c>
      <c r="CC636" s="27" t="s">
        <v>8</v>
      </c>
      <c r="CR636" s="27" t="s">
        <v>7</v>
      </c>
      <c r="CS636" s="27" t="s">
        <v>8</v>
      </c>
      <c r="CT636" s="27" t="s">
        <v>7</v>
      </c>
      <c r="CU636" s="27" t="s">
        <v>8</v>
      </c>
      <c r="CV636" s="27" t="s">
        <v>7</v>
      </c>
      <c r="CW636" s="27" t="s">
        <v>8</v>
      </c>
      <c r="DR636" s="27" t="s">
        <v>7</v>
      </c>
      <c r="DS636" s="27" t="s">
        <v>8</v>
      </c>
      <c r="DT636" s="27" t="s">
        <v>7</v>
      </c>
      <c r="FQ636" s="27" t="s">
        <v>8</v>
      </c>
      <c r="FR636" s="27" t="s">
        <v>7</v>
      </c>
      <c r="FS636" s="27" t="s">
        <v>8</v>
      </c>
      <c r="FT636" s="27" t="s">
        <v>7</v>
      </c>
      <c r="GA636" s="27" t="s">
        <v>8</v>
      </c>
      <c r="GB636" s="27" t="s">
        <v>7</v>
      </c>
      <c r="GI636" s="27" t="s">
        <v>8</v>
      </c>
      <c r="GJ636" s="27" t="s">
        <v>7</v>
      </c>
      <c r="GK636" s="27" t="s">
        <v>8</v>
      </c>
      <c r="GL636" s="27" t="s">
        <v>7</v>
      </c>
      <c r="GM636" s="27" t="s">
        <v>8</v>
      </c>
      <c r="GQ636" s="27" t="s">
        <v>8</v>
      </c>
      <c r="JR636" s="27" t="s">
        <v>7</v>
      </c>
      <c r="JS636" s="27" t="s">
        <v>8</v>
      </c>
      <c r="JT636" s="27" t="s">
        <v>7</v>
      </c>
      <c r="KD636" s="27" t="s">
        <v>7</v>
      </c>
      <c r="KE636" s="27" t="s">
        <v>8</v>
      </c>
      <c r="NT636" s="27" t="s">
        <v>7</v>
      </c>
    </row>
    <row r="637" spans="1:384" x14ac:dyDescent="0.25">
      <c r="A637" s="7">
        <v>0.37152788212696197</v>
      </c>
      <c r="B637"/>
      <c r="C637"/>
      <c r="D637"/>
      <c r="E637"/>
      <c r="AL637" s="27" t="s">
        <v>7</v>
      </c>
      <c r="BM637" s="27" t="s">
        <v>8</v>
      </c>
      <c r="BN637" s="27" t="s">
        <v>7</v>
      </c>
      <c r="BO637" s="27" t="s">
        <v>8</v>
      </c>
      <c r="CA637" s="27" t="s">
        <v>8</v>
      </c>
      <c r="CC637" s="27" t="s">
        <v>8</v>
      </c>
      <c r="CR637" s="27" t="s">
        <v>7</v>
      </c>
      <c r="CS637" s="27" t="s">
        <v>8</v>
      </c>
      <c r="CT637" s="27" t="s">
        <v>7</v>
      </c>
      <c r="CU637" s="27" t="s">
        <v>8</v>
      </c>
      <c r="CV637" s="27" t="s">
        <v>7</v>
      </c>
      <c r="CW637" s="27" t="s">
        <v>8</v>
      </c>
      <c r="DR637" s="27" t="s">
        <v>7</v>
      </c>
      <c r="DS637" s="27" t="s">
        <v>8</v>
      </c>
      <c r="DT637" s="27" t="s">
        <v>7</v>
      </c>
      <c r="DY637" s="27" t="s">
        <v>8</v>
      </c>
      <c r="FQ637" s="27" t="s">
        <v>8</v>
      </c>
      <c r="FR637" s="27" t="s">
        <v>7</v>
      </c>
      <c r="FS637" s="27" t="s">
        <v>8</v>
      </c>
      <c r="FT637" s="27" t="s">
        <v>7</v>
      </c>
      <c r="GA637" s="27" t="s">
        <v>8</v>
      </c>
      <c r="GB637" s="27" t="s">
        <v>7</v>
      </c>
      <c r="GI637" s="27" t="s">
        <v>8</v>
      </c>
      <c r="GJ637" s="27" t="s">
        <v>7</v>
      </c>
      <c r="GK637" s="27" t="s">
        <v>8</v>
      </c>
      <c r="GL637" s="27" t="s">
        <v>7</v>
      </c>
      <c r="GM637" s="27" t="s">
        <v>8</v>
      </c>
      <c r="GN637" s="27" t="s">
        <v>7</v>
      </c>
      <c r="GO637" s="27" t="s">
        <v>8</v>
      </c>
      <c r="GQ637" s="27" t="s">
        <v>8</v>
      </c>
      <c r="JR637" s="27" t="s">
        <v>7</v>
      </c>
      <c r="JS637" s="27" t="s">
        <v>8</v>
      </c>
      <c r="KD637" s="27" t="s">
        <v>7</v>
      </c>
      <c r="KE637" s="27" t="s">
        <v>8</v>
      </c>
      <c r="NT637" s="27" t="s">
        <v>7</v>
      </c>
    </row>
    <row r="638" spans="1:384" x14ac:dyDescent="0.25">
      <c r="A638" s="7">
        <v>0.36424302169310002</v>
      </c>
      <c r="B638"/>
      <c r="C638"/>
      <c r="D638"/>
      <c r="E638"/>
      <c r="AL638" s="27" t="s">
        <v>7</v>
      </c>
      <c r="BM638" s="27" t="s">
        <v>8</v>
      </c>
      <c r="BN638" s="27" t="s">
        <v>7</v>
      </c>
      <c r="BO638" s="27" t="s">
        <v>8</v>
      </c>
      <c r="BP638" s="27" t="s">
        <v>7</v>
      </c>
      <c r="BU638" s="27" t="s">
        <v>8</v>
      </c>
      <c r="BY638" s="27" t="s">
        <v>8</v>
      </c>
      <c r="CA638" s="27" t="s">
        <v>8</v>
      </c>
      <c r="CB638" s="27" t="s">
        <v>7</v>
      </c>
      <c r="CC638" s="27" t="s">
        <v>8</v>
      </c>
      <c r="CR638" s="27" t="s">
        <v>7</v>
      </c>
      <c r="CS638" s="27" t="s">
        <v>8</v>
      </c>
      <c r="CT638" s="27" t="s">
        <v>7</v>
      </c>
      <c r="CU638" s="27" t="s">
        <v>8</v>
      </c>
      <c r="CV638" s="27" t="s">
        <v>7</v>
      </c>
      <c r="DR638" s="27" t="s">
        <v>7</v>
      </c>
      <c r="DS638" s="27" t="s">
        <v>8</v>
      </c>
      <c r="DT638" s="27" t="s">
        <v>7</v>
      </c>
      <c r="DY638" s="27" t="s">
        <v>8</v>
      </c>
      <c r="DZ638" s="27" t="s">
        <v>7</v>
      </c>
      <c r="FQ638" s="27" t="s">
        <v>8</v>
      </c>
      <c r="FR638" s="27" t="s">
        <v>7</v>
      </c>
      <c r="FT638" s="27" t="s">
        <v>7</v>
      </c>
      <c r="GA638" s="27" t="s">
        <v>8</v>
      </c>
      <c r="GB638" s="27" t="s">
        <v>7</v>
      </c>
      <c r="GC638" s="27" t="s">
        <v>8</v>
      </c>
      <c r="GI638" s="27" t="s">
        <v>8</v>
      </c>
      <c r="GJ638" s="27" t="s">
        <v>7</v>
      </c>
      <c r="GK638" s="27" t="s">
        <v>8</v>
      </c>
      <c r="GL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  <c r="GQ638" s="27" t="s">
        <v>8</v>
      </c>
      <c r="JR638" s="27" t="s">
        <v>7</v>
      </c>
      <c r="JS638" s="27" t="s">
        <v>8</v>
      </c>
      <c r="KD638" s="27" t="s">
        <v>7</v>
      </c>
      <c r="KE638" s="27" t="s">
        <v>8</v>
      </c>
      <c r="NT638" s="27" t="s">
        <v>7</v>
      </c>
    </row>
    <row r="639" spans="1:384" x14ac:dyDescent="0.25">
      <c r="A639" s="7">
        <v>0.35710100165990194</v>
      </c>
      <c r="B639"/>
      <c r="C639"/>
      <c r="D639"/>
      <c r="E639"/>
      <c r="AL639" s="27" t="s">
        <v>7</v>
      </c>
      <c r="BM639" s="27" t="s">
        <v>8</v>
      </c>
      <c r="BN639" s="27" t="s">
        <v>7</v>
      </c>
      <c r="BO639" s="27" t="s">
        <v>8</v>
      </c>
      <c r="BP639" s="27" t="s">
        <v>7</v>
      </c>
      <c r="BU639" s="27" t="s">
        <v>8</v>
      </c>
      <c r="BV639" s="27" t="s">
        <v>7</v>
      </c>
      <c r="BY639" s="27" t="s">
        <v>8</v>
      </c>
      <c r="BZ639" s="27" t="s">
        <v>7</v>
      </c>
      <c r="CA639" s="27" t="s">
        <v>8</v>
      </c>
      <c r="CB639" s="27" t="s">
        <v>7</v>
      </c>
      <c r="CC639" s="27" t="s">
        <v>8</v>
      </c>
      <c r="CR639" s="27" t="s">
        <v>7</v>
      </c>
      <c r="CT639" s="27" t="s">
        <v>7</v>
      </c>
      <c r="CU639" s="27" t="s">
        <v>8</v>
      </c>
      <c r="DR639" s="27" t="s">
        <v>7</v>
      </c>
      <c r="DS639" s="27" t="s">
        <v>8</v>
      </c>
      <c r="DT639" s="27" t="s">
        <v>7</v>
      </c>
      <c r="DY639" s="27" t="s">
        <v>8</v>
      </c>
      <c r="DZ639" s="27" t="s">
        <v>7</v>
      </c>
      <c r="FQ639" s="27" t="s">
        <v>8</v>
      </c>
      <c r="FT639" s="27" t="s">
        <v>7</v>
      </c>
      <c r="GA639" s="27" t="s">
        <v>8</v>
      </c>
      <c r="GB639" s="27" t="s">
        <v>7</v>
      </c>
      <c r="GC639" s="27" t="s">
        <v>8</v>
      </c>
      <c r="GD639" s="27" t="s">
        <v>7</v>
      </c>
      <c r="GE639" s="27" t="s">
        <v>8</v>
      </c>
      <c r="GG639" s="27" t="s">
        <v>8</v>
      </c>
      <c r="GI639" s="27" t="s">
        <v>8</v>
      </c>
      <c r="GJ639" s="27" t="s">
        <v>7</v>
      </c>
      <c r="GK639" s="27" t="s">
        <v>8</v>
      </c>
      <c r="GL639" s="27" t="s">
        <v>7</v>
      </c>
      <c r="GM639" s="27" t="s">
        <v>8</v>
      </c>
      <c r="GN639" s="27" t="s">
        <v>7</v>
      </c>
      <c r="GO639" s="27" t="s">
        <v>8</v>
      </c>
      <c r="GP639" s="27" t="s">
        <v>7</v>
      </c>
      <c r="GQ639" s="27" t="s">
        <v>8</v>
      </c>
      <c r="JR639" s="27" t="s">
        <v>7</v>
      </c>
      <c r="KD639" s="27" t="s">
        <v>7</v>
      </c>
      <c r="KE639" s="27" t="s">
        <v>8</v>
      </c>
      <c r="NT639" s="27" t="s">
        <v>7</v>
      </c>
    </row>
    <row r="640" spans="1:384" x14ac:dyDescent="0.25">
      <c r="A640" s="7">
        <v>0.35009902123519804</v>
      </c>
      <c r="B640"/>
      <c r="C640"/>
      <c r="D640"/>
      <c r="E640"/>
      <c r="AL640" s="27" t="s">
        <v>7</v>
      </c>
      <c r="BK640" s="27" t="s">
        <v>8</v>
      </c>
      <c r="BM640" s="27" t="s">
        <v>8</v>
      </c>
      <c r="BN640" s="27" t="s">
        <v>7</v>
      </c>
      <c r="BO640" s="27" t="s">
        <v>8</v>
      </c>
      <c r="BP640" s="27" t="s">
        <v>7</v>
      </c>
      <c r="BU640" s="27" t="s">
        <v>8</v>
      </c>
      <c r="BV640" s="27" t="s">
        <v>7</v>
      </c>
      <c r="BW640" s="27" t="s">
        <v>8</v>
      </c>
      <c r="BY640" s="27" t="s">
        <v>8</v>
      </c>
      <c r="BZ640" s="27" t="s">
        <v>7</v>
      </c>
      <c r="CA640" s="27" t="s">
        <v>8</v>
      </c>
      <c r="CB640" s="27" t="s">
        <v>7</v>
      </c>
      <c r="CT640" s="27" t="s">
        <v>7</v>
      </c>
      <c r="DR640" s="27" t="s">
        <v>7</v>
      </c>
      <c r="DS640" s="27" t="s">
        <v>8</v>
      </c>
      <c r="DT640" s="27" t="s">
        <v>7</v>
      </c>
      <c r="DY640" s="27" t="s">
        <v>8</v>
      </c>
      <c r="DZ640" s="27" t="s">
        <v>7</v>
      </c>
      <c r="FQ640" s="27" t="s">
        <v>8</v>
      </c>
      <c r="FT640" s="27" t="s">
        <v>7</v>
      </c>
      <c r="FY640" s="27" t="s">
        <v>8</v>
      </c>
      <c r="GA640" s="27" t="s">
        <v>8</v>
      </c>
      <c r="GB640" s="27" t="s">
        <v>7</v>
      </c>
      <c r="GC640" s="27" t="s">
        <v>8</v>
      </c>
      <c r="GD640" s="27" t="s">
        <v>7</v>
      </c>
      <c r="GE640" s="27" t="s">
        <v>8</v>
      </c>
      <c r="GF640" s="27" t="s">
        <v>7</v>
      </c>
      <c r="GG640" s="27" t="s">
        <v>8</v>
      </c>
      <c r="GH640" s="27" t="s">
        <v>7</v>
      </c>
      <c r="GI640" s="27" t="s">
        <v>8</v>
      </c>
      <c r="GJ640" s="27" t="s">
        <v>7</v>
      </c>
      <c r="GK640" s="27" t="s">
        <v>8</v>
      </c>
      <c r="GL640" s="27" t="s">
        <v>7</v>
      </c>
      <c r="GM640" s="27" t="s">
        <v>8</v>
      </c>
      <c r="GN640" s="27" t="s">
        <v>7</v>
      </c>
      <c r="GP640" s="27" t="s">
        <v>7</v>
      </c>
      <c r="GQ640" s="27" t="s">
        <v>8</v>
      </c>
      <c r="KD640" s="27" t="s">
        <v>7</v>
      </c>
      <c r="NT640" s="27" t="s">
        <v>7</v>
      </c>
    </row>
    <row r="641" spans="1:388" x14ac:dyDescent="0.25">
      <c r="A641" s="7">
        <v>0.34323433454431179</v>
      </c>
      <c r="B641"/>
      <c r="C641"/>
      <c r="D641"/>
      <c r="E641"/>
      <c r="AL641" s="27" t="s">
        <v>7</v>
      </c>
      <c r="BK641" s="27" t="s">
        <v>8</v>
      </c>
      <c r="BL641" s="27" t="s">
        <v>7</v>
      </c>
      <c r="BM641" s="27" t="s">
        <v>8</v>
      </c>
      <c r="BN641" s="27" t="s">
        <v>7</v>
      </c>
      <c r="BO641" s="27" t="s">
        <v>8</v>
      </c>
      <c r="BP641" s="27" t="s">
        <v>7</v>
      </c>
      <c r="BQ641" s="27" t="s">
        <v>8</v>
      </c>
      <c r="BU641" s="27" t="s">
        <v>8</v>
      </c>
      <c r="BV641" s="27" t="s">
        <v>7</v>
      </c>
      <c r="BW641" s="27" t="s">
        <v>8</v>
      </c>
      <c r="BX641" s="27" t="s">
        <v>7</v>
      </c>
      <c r="BY641" s="27" t="s">
        <v>8</v>
      </c>
      <c r="BZ641" s="27" t="s">
        <v>7</v>
      </c>
      <c r="CA641" s="27" t="s">
        <v>8</v>
      </c>
      <c r="DR641" s="27" t="s">
        <v>7</v>
      </c>
      <c r="DT641" s="27" t="s">
        <v>7</v>
      </c>
      <c r="DY641" s="27" t="s">
        <v>8</v>
      </c>
      <c r="DZ641" s="27" t="s">
        <v>7</v>
      </c>
      <c r="EA641" s="27" t="s">
        <v>8</v>
      </c>
      <c r="FG641" s="27" t="s">
        <v>8</v>
      </c>
      <c r="FQ641" s="27" t="s">
        <v>8</v>
      </c>
      <c r="FT641" s="27" t="s">
        <v>7</v>
      </c>
      <c r="FY641" s="27" t="s">
        <v>8</v>
      </c>
      <c r="FZ641" s="27" t="s">
        <v>7</v>
      </c>
      <c r="GA641" s="27" t="s">
        <v>8</v>
      </c>
      <c r="GB641" s="27" t="s">
        <v>7</v>
      </c>
      <c r="GC641" s="27" t="s">
        <v>8</v>
      </c>
      <c r="GD641" s="27" t="s">
        <v>7</v>
      </c>
      <c r="GE641" s="27" t="s">
        <v>8</v>
      </c>
      <c r="GF641" s="27" t="s">
        <v>7</v>
      </c>
      <c r="GG641" s="27" t="s">
        <v>8</v>
      </c>
      <c r="GH641" s="27" t="s">
        <v>7</v>
      </c>
      <c r="GI641" s="27" t="s">
        <v>8</v>
      </c>
      <c r="GJ641" s="27" t="s">
        <v>7</v>
      </c>
      <c r="GK641" s="27" t="s">
        <v>8</v>
      </c>
      <c r="GL641" s="27" t="s">
        <v>7</v>
      </c>
      <c r="GM641" s="27" t="s">
        <v>8</v>
      </c>
      <c r="GP641" s="27" t="s">
        <v>7</v>
      </c>
      <c r="GQ641" s="27" t="s">
        <v>8</v>
      </c>
      <c r="NT641" s="27" t="s">
        <v>7</v>
      </c>
    </row>
    <row r="642" spans="1:388" x14ac:dyDescent="0.25">
      <c r="A642" s="7">
        <v>0.33650424955324681</v>
      </c>
      <c r="B642"/>
      <c r="C642"/>
      <c r="D642"/>
      <c r="E642"/>
      <c r="AL642" s="27" t="s">
        <v>7</v>
      </c>
      <c r="BK642" s="27" t="s">
        <v>8</v>
      </c>
      <c r="BL642" s="27" t="s">
        <v>7</v>
      </c>
      <c r="BM642" s="27" t="s">
        <v>8</v>
      </c>
      <c r="BN642" s="27" t="s">
        <v>7</v>
      </c>
      <c r="BO642" s="27" t="s">
        <v>8</v>
      </c>
      <c r="BP642" s="27" t="s">
        <v>7</v>
      </c>
      <c r="BQ642" s="27" t="s">
        <v>8</v>
      </c>
      <c r="BR642" s="27" t="s">
        <v>7</v>
      </c>
      <c r="BU642" s="27" t="s">
        <v>8</v>
      </c>
      <c r="BV642" s="27" t="s">
        <v>7</v>
      </c>
      <c r="BW642" s="27" t="s">
        <v>8</v>
      </c>
      <c r="BX642" s="27" t="s">
        <v>7</v>
      </c>
      <c r="BY642" s="27" t="s">
        <v>8</v>
      </c>
      <c r="BZ642" s="27" t="s">
        <v>7</v>
      </c>
      <c r="CA642" s="27" t="s">
        <v>8</v>
      </c>
      <c r="DT642" s="27" t="s">
        <v>7</v>
      </c>
      <c r="DW642" s="27" t="s">
        <v>8</v>
      </c>
      <c r="DY642" s="27" t="s">
        <v>8</v>
      </c>
      <c r="DZ642" s="27" t="s">
        <v>7</v>
      </c>
      <c r="EA642" s="27" t="s">
        <v>8</v>
      </c>
      <c r="EB642" s="27" t="s">
        <v>7</v>
      </c>
      <c r="FG642" s="27" t="s">
        <v>8</v>
      </c>
      <c r="FH642" s="27" t="s">
        <v>7</v>
      </c>
      <c r="FQ642" s="27" t="s">
        <v>8</v>
      </c>
      <c r="FT642" s="27" t="s">
        <v>7</v>
      </c>
      <c r="FY642" s="27" t="s">
        <v>8</v>
      </c>
      <c r="FZ642" s="27" t="s">
        <v>7</v>
      </c>
      <c r="GA642" s="27" t="s">
        <v>8</v>
      </c>
      <c r="GB642" s="27" t="s">
        <v>7</v>
      </c>
      <c r="GC642" s="27" t="s">
        <v>8</v>
      </c>
      <c r="GD642" s="27" t="s">
        <v>7</v>
      </c>
      <c r="GE642" s="27" t="s">
        <v>8</v>
      </c>
      <c r="GF642" s="27" t="s">
        <v>7</v>
      </c>
      <c r="GG642" s="27" t="s">
        <v>8</v>
      </c>
      <c r="GH642" s="27" t="s">
        <v>7</v>
      </c>
      <c r="GI642" s="27" t="s">
        <v>8</v>
      </c>
      <c r="GJ642" s="27" t="s">
        <v>7</v>
      </c>
      <c r="GL642" s="27" t="s">
        <v>7</v>
      </c>
      <c r="GM642" s="27" t="s">
        <v>8</v>
      </c>
      <c r="GP642" s="27" t="s">
        <v>7</v>
      </c>
      <c r="GQ642" s="27" t="s">
        <v>8</v>
      </c>
      <c r="NT642" s="27" t="s">
        <v>7</v>
      </c>
      <c r="NW642" s="27" t="s">
        <v>8</v>
      </c>
    </row>
    <row r="643" spans="1:388" x14ac:dyDescent="0.25">
      <c r="A643" s="7">
        <v>0.3299061270129871</v>
      </c>
      <c r="B643"/>
      <c r="C643"/>
      <c r="D643"/>
      <c r="E643"/>
      <c r="AL643" s="27" t="s">
        <v>7</v>
      </c>
      <c r="AW643" s="27" t="s">
        <v>8</v>
      </c>
      <c r="BK643" s="27" t="s">
        <v>8</v>
      </c>
      <c r="BL643" s="27" t="s">
        <v>7</v>
      </c>
      <c r="BM643" s="27" t="s">
        <v>8</v>
      </c>
      <c r="BN643" s="27" t="s">
        <v>7</v>
      </c>
      <c r="BO643" s="27" t="s">
        <v>8</v>
      </c>
      <c r="BP643" s="27" t="s">
        <v>7</v>
      </c>
      <c r="BQ643" s="27" t="s">
        <v>8</v>
      </c>
      <c r="BR643" s="27" t="s">
        <v>7</v>
      </c>
      <c r="BU643" s="27" t="s">
        <v>8</v>
      </c>
      <c r="BV643" s="27" t="s">
        <v>7</v>
      </c>
      <c r="BX643" s="27" t="s">
        <v>7</v>
      </c>
      <c r="BY643" s="27" t="s">
        <v>8</v>
      </c>
      <c r="BZ643" s="27" t="s">
        <v>7</v>
      </c>
      <c r="CA643" s="27" t="s">
        <v>8</v>
      </c>
      <c r="DT643" s="27" t="s">
        <v>7</v>
      </c>
      <c r="DU643" s="27" t="s">
        <v>8</v>
      </c>
      <c r="DW643" s="27" t="s">
        <v>8</v>
      </c>
      <c r="DX643" s="27" t="s">
        <v>7</v>
      </c>
      <c r="DY643" s="27" t="s">
        <v>8</v>
      </c>
      <c r="DZ643" s="27" t="s">
        <v>7</v>
      </c>
      <c r="EA643" s="27" t="s">
        <v>8</v>
      </c>
      <c r="EB643" s="27" t="s">
        <v>7</v>
      </c>
      <c r="FG643" s="27" t="s">
        <v>8</v>
      </c>
      <c r="FH643" s="27" t="s">
        <v>7</v>
      </c>
      <c r="FQ643" s="27" t="s">
        <v>8</v>
      </c>
      <c r="FT643" s="27" t="s">
        <v>7</v>
      </c>
      <c r="FY643" s="27" t="s">
        <v>8</v>
      </c>
      <c r="FZ643" s="27" t="s">
        <v>7</v>
      </c>
      <c r="GA643" s="27" t="s">
        <v>8</v>
      </c>
      <c r="GB643" s="27" t="s">
        <v>7</v>
      </c>
      <c r="GC643" s="27" t="s">
        <v>8</v>
      </c>
      <c r="GD643" s="27" t="s">
        <v>7</v>
      </c>
      <c r="GE643" s="27" t="s">
        <v>8</v>
      </c>
      <c r="GF643" s="27" t="s">
        <v>7</v>
      </c>
      <c r="GG643" s="27" t="s">
        <v>8</v>
      </c>
      <c r="GH643" s="27" t="s">
        <v>7</v>
      </c>
      <c r="GI643" s="27" t="s">
        <v>8</v>
      </c>
      <c r="GL643" s="27" t="s">
        <v>7</v>
      </c>
      <c r="GP643" s="27" t="s">
        <v>7</v>
      </c>
      <c r="GQ643" s="27" t="s">
        <v>8</v>
      </c>
      <c r="NT643" s="27" t="s">
        <v>7</v>
      </c>
      <c r="NU643" s="27" t="s">
        <v>8</v>
      </c>
      <c r="NW643" s="27" t="s">
        <v>8</v>
      </c>
      <c r="NX643" s="27" t="s">
        <v>7</v>
      </c>
    </row>
    <row r="644" spans="1:388" x14ac:dyDescent="0.25">
      <c r="A644" s="7">
        <v>0.32343737942449713</v>
      </c>
      <c r="B644"/>
      <c r="C644"/>
      <c r="D644"/>
      <c r="E644"/>
      <c r="AL644" s="27" t="s">
        <v>7</v>
      </c>
      <c r="AW644" s="27" t="s">
        <v>8</v>
      </c>
      <c r="AX644" s="27" t="s">
        <v>7</v>
      </c>
      <c r="BK644" s="27" t="s">
        <v>8</v>
      </c>
      <c r="BL644" s="27" t="s">
        <v>7</v>
      </c>
      <c r="BM644" s="27" t="s">
        <v>8</v>
      </c>
      <c r="BN644" s="27" t="s">
        <v>7</v>
      </c>
      <c r="BP644" s="27" t="s">
        <v>7</v>
      </c>
      <c r="BQ644" s="27" t="s">
        <v>8</v>
      </c>
      <c r="BR644" s="27" t="s">
        <v>7</v>
      </c>
      <c r="BS644" s="27" t="s">
        <v>8</v>
      </c>
      <c r="BU644" s="27" t="s">
        <v>8</v>
      </c>
      <c r="BX644" s="27" t="s">
        <v>7</v>
      </c>
      <c r="BY644" s="27" t="s">
        <v>8</v>
      </c>
      <c r="BZ644" s="27" t="s">
        <v>7</v>
      </c>
      <c r="DT644" s="27" t="s">
        <v>7</v>
      </c>
      <c r="DU644" s="27" t="s">
        <v>8</v>
      </c>
      <c r="DV644" s="27" t="s">
        <v>7</v>
      </c>
      <c r="DW644" s="27" t="s">
        <v>8</v>
      </c>
      <c r="DX644" s="27" t="s">
        <v>7</v>
      </c>
      <c r="DY644" s="27" t="s">
        <v>8</v>
      </c>
      <c r="DZ644" s="27" t="s">
        <v>7</v>
      </c>
      <c r="EA644" s="27" t="s">
        <v>8</v>
      </c>
      <c r="EB644" s="27" t="s">
        <v>7</v>
      </c>
      <c r="FG644" s="27" t="s">
        <v>8</v>
      </c>
      <c r="FH644" s="27" t="s">
        <v>7</v>
      </c>
      <c r="FQ644" s="27" t="s">
        <v>8</v>
      </c>
      <c r="FT644" s="27" t="s">
        <v>7</v>
      </c>
      <c r="FY644" s="27" t="s">
        <v>8</v>
      </c>
      <c r="FZ644" s="27" t="s">
        <v>7</v>
      </c>
      <c r="GA644" s="27" t="s">
        <v>8</v>
      </c>
      <c r="GB644" s="27" t="s">
        <v>7</v>
      </c>
      <c r="GC644" s="27" t="s">
        <v>8</v>
      </c>
      <c r="GD644" s="27" t="s">
        <v>7</v>
      </c>
      <c r="GE644" s="27" t="s">
        <v>8</v>
      </c>
      <c r="GF644" s="27" t="s">
        <v>7</v>
      </c>
      <c r="GG644" s="27" t="s">
        <v>8</v>
      </c>
      <c r="GH644" s="27" t="s">
        <v>7</v>
      </c>
      <c r="GP644" s="27" t="s">
        <v>7</v>
      </c>
      <c r="GQ644" s="27" t="s">
        <v>8</v>
      </c>
      <c r="NT644" s="27" t="s">
        <v>7</v>
      </c>
      <c r="NU644" s="27" t="s">
        <v>8</v>
      </c>
      <c r="NV644" s="27" t="s">
        <v>7</v>
      </c>
      <c r="NW644" s="27" t="s">
        <v>8</v>
      </c>
      <c r="NX644" s="27" t="s">
        <v>7</v>
      </c>
    </row>
    <row r="645" spans="1:388" x14ac:dyDescent="0.25">
      <c r="A645" s="7">
        <v>0.31709547002401678</v>
      </c>
      <c r="B645"/>
      <c r="C645"/>
      <c r="D645"/>
      <c r="E645"/>
      <c r="AL645" s="27" t="s">
        <v>7</v>
      </c>
      <c r="AQ645" s="27" t="s">
        <v>8</v>
      </c>
      <c r="AW645" s="27" t="s">
        <v>8</v>
      </c>
      <c r="AX645" s="27" t="s">
        <v>7</v>
      </c>
      <c r="BK645" s="27" t="s">
        <v>8</v>
      </c>
      <c r="BL645" s="27" t="s">
        <v>7</v>
      </c>
      <c r="BM645" s="27" t="s">
        <v>8</v>
      </c>
      <c r="BP645" s="27" t="s">
        <v>7</v>
      </c>
      <c r="BR645" s="27" t="s">
        <v>7</v>
      </c>
      <c r="BS645" s="27" t="s">
        <v>8</v>
      </c>
      <c r="BT645" s="27" t="s">
        <v>7</v>
      </c>
      <c r="BU645" s="27" t="s">
        <v>8</v>
      </c>
      <c r="BX645" s="27" t="s">
        <v>7</v>
      </c>
      <c r="BY645" s="27" t="s">
        <v>8</v>
      </c>
      <c r="DT645" s="27" t="s">
        <v>7</v>
      </c>
      <c r="DU645" s="27" t="s">
        <v>8</v>
      </c>
      <c r="DV645" s="27" t="s">
        <v>7</v>
      </c>
      <c r="DW645" s="27" t="s">
        <v>8</v>
      </c>
      <c r="DX645" s="27" t="s">
        <v>7</v>
      </c>
      <c r="DY645" s="27" t="s">
        <v>8</v>
      </c>
      <c r="DZ645" s="27" t="s">
        <v>7</v>
      </c>
      <c r="EA645" s="27" t="s">
        <v>8</v>
      </c>
      <c r="EB645" s="27" t="s">
        <v>7</v>
      </c>
      <c r="FG645" s="27" t="s">
        <v>8</v>
      </c>
      <c r="FH645" s="27" t="s">
        <v>7</v>
      </c>
      <c r="FQ645" s="27" t="s">
        <v>8</v>
      </c>
      <c r="FT645" s="27" t="s">
        <v>7</v>
      </c>
      <c r="FY645" s="27" t="s">
        <v>8</v>
      </c>
      <c r="FZ645" s="27" t="s">
        <v>7</v>
      </c>
      <c r="GA645" s="27" t="s">
        <v>8</v>
      </c>
      <c r="GB645" s="27" t="s">
        <v>7</v>
      </c>
      <c r="GC645" s="27" t="s">
        <v>8</v>
      </c>
      <c r="GD645" s="27" t="s">
        <v>7</v>
      </c>
      <c r="GF645" s="27" t="s">
        <v>7</v>
      </c>
      <c r="GG645" s="27" t="s">
        <v>8</v>
      </c>
      <c r="GP645" s="27" t="s">
        <v>7</v>
      </c>
      <c r="GQ645" s="27" t="s">
        <v>8</v>
      </c>
      <c r="NT645" s="27" t="s">
        <v>7</v>
      </c>
      <c r="NU645" s="27" t="s">
        <v>8</v>
      </c>
      <c r="NV645" s="27" t="s">
        <v>7</v>
      </c>
      <c r="NW645" s="27" t="s">
        <v>8</v>
      </c>
      <c r="NX645" s="27" t="s">
        <v>7</v>
      </c>
    </row>
    <row r="646" spans="1:388" x14ac:dyDescent="0.25">
      <c r="A646" s="7">
        <v>0.31087791178825175</v>
      </c>
      <c r="B646"/>
      <c r="C646"/>
      <c r="D646"/>
      <c r="E646"/>
      <c r="AL646" s="27" t="s">
        <v>7</v>
      </c>
      <c r="AQ646" s="27" t="s">
        <v>8</v>
      </c>
      <c r="AR646" s="27" t="s">
        <v>7</v>
      </c>
      <c r="AW646" s="27" t="s">
        <v>8</v>
      </c>
      <c r="AX646" s="27" t="s">
        <v>7</v>
      </c>
      <c r="BK646" s="27" t="s">
        <v>8</v>
      </c>
      <c r="BL646" s="27" t="s">
        <v>7</v>
      </c>
      <c r="BR646" s="27" t="s">
        <v>7</v>
      </c>
      <c r="BS646" s="27" t="s">
        <v>8</v>
      </c>
      <c r="BT646" s="27" t="s">
        <v>7</v>
      </c>
      <c r="BU646" s="27" t="s">
        <v>8</v>
      </c>
      <c r="BX646" s="27" t="s">
        <v>7</v>
      </c>
      <c r="DT646" s="27" t="s">
        <v>7</v>
      </c>
      <c r="DU646" s="27" t="s">
        <v>8</v>
      </c>
      <c r="DV646" s="27" t="s">
        <v>7</v>
      </c>
      <c r="DW646" s="27" t="s">
        <v>8</v>
      </c>
      <c r="DX646" s="27" t="s">
        <v>7</v>
      </c>
      <c r="DY646" s="27" t="s">
        <v>8</v>
      </c>
      <c r="DZ646" s="27" t="s">
        <v>7</v>
      </c>
      <c r="EA646" s="27" t="s">
        <v>8</v>
      </c>
      <c r="EB646" s="27" t="s">
        <v>7</v>
      </c>
      <c r="EC646" s="27" t="s">
        <v>8</v>
      </c>
      <c r="EG646" s="27" t="s">
        <v>8</v>
      </c>
      <c r="FG646" s="27" t="s">
        <v>8</v>
      </c>
      <c r="FH646" s="27" t="s">
        <v>7</v>
      </c>
      <c r="FQ646" s="27" t="s">
        <v>8</v>
      </c>
      <c r="FT646" s="27" t="s">
        <v>7</v>
      </c>
      <c r="FU646" s="27" t="s">
        <v>8</v>
      </c>
      <c r="FY646" s="27" t="s">
        <v>8</v>
      </c>
      <c r="FZ646" s="27" t="s">
        <v>7</v>
      </c>
      <c r="GA646" s="27" t="s">
        <v>8</v>
      </c>
      <c r="GB646" s="27" t="s">
        <v>7</v>
      </c>
      <c r="GC646" s="27" t="s">
        <v>8</v>
      </c>
      <c r="GF646" s="27" t="s">
        <v>7</v>
      </c>
      <c r="GG646" s="27" t="s">
        <v>8</v>
      </c>
      <c r="GP646" s="27" t="s">
        <v>7</v>
      </c>
      <c r="NT646" s="27" t="s">
        <v>7</v>
      </c>
      <c r="NU646" s="27" t="s">
        <v>8</v>
      </c>
      <c r="NV646" s="27" t="s">
        <v>7</v>
      </c>
      <c r="NW646" s="27" t="s">
        <v>8</v>
      </c>
      <c r="NX646" s="27" t="s">
        <v>7</v>
      </c>
    </row>
    <row r="647" spans="1:388" x14ac:dyDescent="0.25">
      <c r="A647" s="7">
        <v>0.30478226645907036</v>
      </c>
      <c r="B647"/>
      <c r="C647"/>
      <c r="D647"/>
      <c r="E647"/>
      <c r="AL647" s="27" t="s">
        <v>7</v>
      </c>
      <c r="AQ647" s="27" t="s">
        <v>8</v>
      </c>
      <c r="AR647" s="27" t="s">
        <v>7</v>
      </c>
      <c r="AW647" s="27" t="s">
        <v>8</v>
      </c>
      <c r="AX647" s="27" t="s">
        <v>7</v>
      </c>
      <c r="BK647" s="27" t="s">
        <v>8</v>
      </c>
      <c r="BR647" s="27" t="s">
        <v>7</v>
      </c>
      <c r="BS647" s="27" t="s">
        <v>8</v>
      </c>
      <c r="BT647" s="27" t="s">
        <v>7</v>
      </c>
      <c r="DT647" s="27" t="s">
        <v>7</v>
      </c>
      <c r="DU647" s="27" t="s">
        <v>8</v>
      </c>
      <c r="DV647" s="27" t="s">
        <v>7</v>
      </c>
      <c r="DW647" s="27" t="s">
        <v>8</v>
      </c>
      <c r="DX647" s="27" t="s">
        <v>7</v>
      </c>
      <c r="DZ647" s="27" t="s">
        <v>7</v>
      </c>
      <c r="EB647" s="27" t="s">
        <v>7</v>
      </c>
      <c r="EC647" s="27" t="s">
        <v>8</v>
      </c>
      <c r="ED647" s="27" t="s">
        <v>7</v>
      </c>
      <c r="EG647" s="27" t="s">
        <v>8</v>
      </c>
      <c r="EH647" s="27" t="s">
        <v>7</v>
      </c>
      <c r="FG647" s="27" t="s">
        <v>8</v>
      </c>
      <c r="FH647" s="27" t="s">
        <v>7</v>
      </c>
      <c r="FQ647" s="27" t="s">
        <v>8</v>
      </c>
      <c r="FT647" s="27" t="s">
        <v>7</v>
      </c>
      <c r="FU647" s="27" t="s">
        <v>8</v>
      </c>
      <c r="FV647" s="27" t="s">
        <v>7</v>
      </c>
      <c r="FW647" s="27" t="s">
        <v>8</v>
      </c>
      <c r="FY647" s="27" t="s">
        <v>8</v>
      </c>
      <c r="FZ647" s="27" t="s">
        <v>7</v>
      </c>
      <c r="GA647" s="27" t="s">
        <v>8</v>
      </c>
      <c r="GB647" s="27" t="s">
        <v>7</v>
      </c>
      <c r="GF647" s="27" t="s">
        <v>7</v>
      </c>
      <c r="GG647" s="27" t="s">
        <v>8</v>
      </c>
      <c r="NT647" s="27" t="s">
        <v>7</v>
      </c>
      <c r="NU647" s="27" t="s">
        <v>8</v>
      </c>
      <c r="NV647" s="27" t="s">
        <v>7</v>
      </c>
      <c r="NW647" s="27" t="s">
        <v>8</v>
      </c>
      <c r="NX647" s="27" t="s">
        <v>7</v>
      </c>
    </row>
    <row r="648" spans="1:388" x14ac:dyDescent="0.25">
      <c r="A648" s="7">
        <v>0.29880614358732388</v>
      </c>
      <c r="B648"/>
      <c r="C648"/>
      <c r="D648"/>
      <c r="E648"/>
      <c r="AL648" s="27" t="s">
        <v>7</v>
      </c>
      <c r="AQ648" s="27" t="s">
        <v>8</v>
      </c>
      <c r="AR648" s="27" t="s">
        <v>7</v>
      </c>
      <c r="AW648" s="27" t="s">
        <v>8</v>
      </c>
      <c r="AX648" s="27" t="s">
        <v>7</v>
      </c>
      <c r="BA648" s="27" t="s">
        <v>8</v>
      </c>
      <c r="BC648" s="27" t="s">
        <v>8</v>
      </c>
      <c r="BE648" s="27" t="s">
        <v>8</v>
      </c>
      <c r="BK648" s="27" t="s">
        <v>8</v>
      </c>
      <c r="BR648" s="27" t="s">
        <v>7</v>
      </c>
      <c r="BS648" s="27" t="s">
        <v>8</v>
      </c>
      <c r="DT648" s="27" t="s">
        <v>7</v>
      </c>
      <c r="DU648" s="27" t="s">
        <v>8</v>
      </c>
      <c r="DV648" s="27" t="s">
        <v>7</v>
      </c>
      <c r="DW648" s="27" t="s">
        <v>8</v>
      </c>
      <c r="EB648" s="27" t="s">
        <v>7</v>
      </c>
      <c r="EC648" s="27" t="s">
        <v>8</v>
      </c>
      <c r="ED648" s="27" t="s">
        <v>7</v>
      </c>
      <c r="EE648" s="27" t="s">
        <v>8</v>
      </c>
      <c r="EG648" s="27" t="s">
        <v>8</v>
      </c>
      <c r="EH648" s="27" t="s">
        <v>7</v>
      </c>
      <c r="EK648" s="27" t="s">
        <v>8</v>
      </c>
      <c r="EU648" s="27" t="s">
        <v>8</v>
      </c>
      <c r="FG648" s="27" t="s">
        <v>8</v>
      </c>
      <c r="FH648" s="27" t="s">
        <v>7</v>
      </c>
      <c r="FQ648" s="27" t="s">
        <v>8</v>
      </c>
      <c r="FT648" s="27" t="s">
        <v>7</v>
      </c>
      <c r="FU648" s="27" t="s">
        <v>8</v>
      </c>
      <c r="FV648" s="27" t="s">
        <v>7</v>
      </c>
      <c r="FW648" s="27" t="s">
        <v>8</v>
      </c>
      <c r="FX648" s="27" t="s">
        <v>7</v>
      </c>
      <c r="FY648" s="27" t="s">
        <v>8</v>
      </c>
      <c r="FZ648" s="27" t="s">
        <v>7</v>
      </c>
      <c r="GA648" s="27" t="s">
        <v>8</v>
      </c>
      <c r="GF648" s="27" t="s">
        <v>7</v>
      </c>
      <c r="GG648" s="27" t="s">
        <v>8</v>
      </c>
      <c r="NT648" s="27" t="s">
        <v>7</v>
      </c>
      <c r="NU648" s="27" t="s">
        <v>8</v>
      </c>
      <c r="NV648" s="27" t="s">
        <v>7</v>
      </c>
      <c r="NW648" s="27" t="s">
        <v>8</v>
      </c>
      <c r="NX648" s="27" t="s">
        <v>7</v>
      </c>
    </row>
    <row r="649" spans="1:388" x14ac:dyDescent="0.25">
      <c r="A649" s="7">
        <v>0.2929471995954156</v>
      </c>
      <c r="B649"/>
      <c r="C649"/>
      <c r="D649"/>
      <c r="E649"/>
      <c r="AL649" s="27" t="s">
        <v>7</v>
      </c>
      <c r="AQ649" s="27" t="s">
        <v>8</v>
      </c>
      <c r="AR649" s="27" t="s">
        <v>7</v>
      </c>
      <c r="AW649" s="27" t="s">
        <v>8</v>
      </c>
      <c r="AX649" s="27" t="s">
        <v>7</v>
      </c>
      <c r="BA649" s="27" t="s">
        <v>8</v>
      </c>
      <c r="BB649" s="27" t="s">
        <v>7</v>
      </c>
      <c r="BC649" s="27" t="s">
        <v>8</v>
      </c>
      <c r="BD649" s="27" t="s">
        <v>7</v>
      </c>
      <c r="BE649" s="27" t="s">
        <v>8</v>
      </c>
      <c r="BF649" s="27" t="s">
        <v>7</v>
      </c>
      <c r="BK649" s="27" t="s">
        <v>8</v>
      </c>
      <c r="BR649" s="27" t="s">
        <v>7</v>
      </c>
      <c r="BS649" s="27" t="s">
        <v>8</v>
      </c>
      <c r="DT649" s="27" t="s">
        <v>7</v>
      </c>
      <c r="DV649" s="27" t="s">
        <v>7</v>
      </c>
      <c r="EB649" s="27" t="s">
        <v>7</v>
      </c>
      <c r="ED649" s="27" t="s">
        <v>7</v>
      </c>
      <c r="EE649" s="27" t="s">
        <v>8</v>
      </c>
      <c r="EF649" s="27" t="s">
        <v>7</v>
      </c>
      <c r="EG649" s="27" t="s">
        <v>8</v>
      </c>
      <c r="EH649" s="27" t="s">
        <v>7</v>
      </c>
      <c r="EK649" s="27" t="s">
        <v>8</v>
      </c>
      <c r="EL649" s="27" t="s">
        <v>7</v>
      </c>
      <c r="EU649" s="27" t="s">
        <v>8</v>
      </c>
      <c r="EV649" s="27" t="s">
        <v>7</v>
      </c>
      <c r="FG649" s="27" t="s">
        <v>8</v>
      </c>
      <c r="FH649" s="27" t="s">
        <v>7</v>
      </c>
      <c r="FQ649" s="27" t="s">
        <v>8</v>
      </c>
      <c r="FT649" s="27" t="s">
        <v>7</v>
      </c>
      <c r="FU649" s="27" t="s">
        <v>8</v>
      </c>
      <c r="FV649" s="27" t="s">
        <v>7</v>
      </c>
      <c r="FW649" s="27" t="s">
        <v>8</v>
      </c>
      <c r="FX649" s="27" t="s">
        <v>7</v>
      </c>
      <c r="FY649" s="27" t="s">
        <v>8</v>
      </c>
      <c r="FZ649" s="27" t="s">
        <v>7</v>
      </c>
      <c r="GF649" s="27" t="s">
        <v>7</v>
      </c>
      <c r="NT649" s="27" t="s">
        <v>7</v>
      </c>
      <c r="NU649" s="27" t="s">
        <v>8</v>
      </c>
      <c r="NV649" s="27" t="s">
        <v>7</v>
      </c>
      <c r="NW649" s="27" t="s">
        <v>8</v>
      </c>
    </row>
    <row r="650" spans="1:388" x14ac:dyDescent="0.25">
      <c r="A650" s="7">
        <v>0.28720313685825055</v>
      </c>
      <c r="B650"/>
      <c r="C650"/>
      <c r="D650"/>
      <c r="E650"/>
      <c r="AL650" s="27" t="s">
        <v>7</v>
      </c>
      <c r="AQ650" s="27" t="s">
        <v>8</v>
      </c>
      <c r="AR650" s="27" t="s">
        <v>7</v>
      </c>
      <c r="AW650" s="27" t="s">
        <v>8</v>
      </c>
      <c r="AX650" s="27" t="s">
        <v>7</v>
      </c>
      <c r="BA650" s="27" t="s">
        <v>8</v>
      </c>
      <c r="BB650" s="27" t="s">
        <v>7</v>
      </c>
      <c r="BC650" s="27" t="s">
        <v>8</v>
      </c>
      <c r="BD650" s="27" t="s">
        <v>7</v>
      </c>
      <c r="BE650" s="27" t="s">
        <v>8</v>
      </c>
      <c r="BF650" s="27" t="s">
        <v>7</v>
      </c>
      <c r="BK650" s="27" t="s">
        <v>8</v>
      </c>
      <c r="BR650" s="27" t="s">
        <v>7</v>
      </c>
      <c r="BS650" s="27" t="s">
        <v>8</v>
      </c>
      <c r="ED650" s="27" t="s">
        <v>7</v>
      </c>
      <c r="EE650" s="27" t="s">
        <v>8</v>
      </c>
      <c r="EF650" s="27" t="s">
        <v>7</v>
      </c>
      <c r="EG650" s="27" t="s">
        <v>8</v>
      </c>
      <c r="EH650" s="27" t="s">
        <v>7</v>
      </c>
      <c r="EK650" s="27" t="s">
        <v>8</v>
      </c>
      <c r="EL650" s="27" t="s">
        <v>7</v>
      </c>
      <c r="EU650" s="27" t="s">
        <v>8</v>
      </c>
      <c r="EV650" s="27" t="s">
        <v>7</v>
      </c>
      <c r="FG650" s="27" t="s">
        <v>8</v>
      </c>
      <c r="FH650" s="27" t="s">
        <v>7</v>
      </c>
      <c r="FI650" s="27" t="s">
        <v>8</v>
      </c>
      <c r="FO650" s="27" t="s">
        <v>8</v>
      </c>
      <c r="FQ650" s="27" t="s">
        <v>8</v>
      </c>
      <c r="FT650" s="27" t="s">
        <v>7</v>
      </c>
      <c r="FU650" s="27" t="s">
        <v>8</v>
      </c>
      <c r="FV650" s="27" t="s">
        <v>7</v>
      </c>
      <c r="FW650" s="27" t="s">
        <v>8</v>
      </c>
      <c r="FX650" s="27" t="s">
        <v>7</v>
      </c>
      <c r="FY650" s="27" t="s">
        <v>8</v>
      </c>
      <c r="NT650" s="27" t="s">
        <v>7</v>
      </c>
      <c r="NU650" s="27" t="s">
        <v>8</v>
      </c>
      <c r="NV650" s="27" t="s">
        <v>7</v>
      </c>
      <c r="NW650" s="27" t="s">
        <v>8</v>
      </c>
    </row>
    <row r="651" spans="1:388" x14ac:dyDescent="0.25">
      <c r="A651" s="7">
        <v>0.28157170280220645</v>
      </c>
      <c r="B651"/>
      <c r="C651"/>
      <c r="D651"/>
      <c r="E651"/>
      <c r="AL651" s="27" t="s">
        <v>7</v>
      </c>
      <c r="AQ651" s="27" t="s">
        <v>8</v>
      </c>
      <c r="AR651" s="27" t="s">
        <v>7</v>
      </c>
      <c r="AS651" s="27" t="s">
        <v>8</v>
      </c>
      <c r="AW651" s="27" t="s">
        <v>8</v>
      </c>
      <c r="AX651" s="27" t="s">
        <v>7</v>
      </c>
      <c r="AY651" s="27" t="s">
        <v>8</v>
      </c>
      <c r="BA651" s="27" t="s">
        <v>8</v>
      </c>
      <c r="BB651" s="27" t="s">
        <v>7</v>
      </c>
      <c r="BD651" s="27" t="s">
        <v>7</v>
      </c>
      <c r="BE651" s="27" t="s">
        <v>8</v>
      </c>
      <c r="BF651" s="27" t="s">
        <v>7</v>
      </c>
      <c r="BG651" s="27" t="s">
        <v>8</v>
      </c>
      <c r="BI651" s="27" t="s">
        <v>8</v>
      </c>
      <c r="BK651" s="27" t="s">
        <v>8</v>
      </c>
      <c r="BR651" s="27" t="s">
        <v>7</v>
      </c>
      <c r="BS651" s="27" t="s">
        <v>8</v>
      </c>
      <c r="ED651" s="27" t="s">
        <v>7</v>
      </c>
      <c r="EE651" s="27" t="s">
        <v>8</v>
      </c>
      <c r="EF651" s="27" t="s">
        <v>7</v>
      </c>
      <c r="EH651" s="27" t="s">
        <v>7</v>
      </c>
      <c r="EK651" s="27" t="s">
        <v>8</v>
      </c>
      <c r="EL651" s="27" t="s">
        <v>7</v>
      </c>
      <c r="EU651" s="27" t="s">
        <v>8</v>
      </c>
      <c r="EV651" s="27" t="s">
        <v>7</v>
      </c>
      <c r="FA651" s="27" t="s">
        <v>8</v>
      </c>
      <c r="FG651" s="27" t="s">
        <v>8</v>
      </c>
      <c r="FH651" s="27" t="s">
        <v>7</v>
      </c>
      <c r="FI651" s="27" t="s">
        <v>8</v>
      </c>
      <c r="FJ651" s="27" t="s">
        <v>7</v>
      </c>
      <c r="FO651" s="27" t="s">
        <v>8</v>
      </c>
      <c r="FP651" s="27" t="s">
        <v>7</v>
      </c>
      <c r="FQ651" s="27" t="s">
        <v>8</v>
      </c>
      <c r="FT651" s="27" t="s">
        <v>7</v>
      </c>
      <c r="FU651" s="27" t="s">
        <v>8</v>
      </c>
      <c r="FV651" s="27" t="s">
        <v>7</v>
      </c>
      <c r="FW651" s="27" t="s">
        <v>8</v>
      </c>
      <c r="FX651" s="27" t="s">
        <v>7</v>
      </c>
      <c r="FY651" s="27" t="s">
        <v>8</v>
      </c>
      <c r="NT651" s="27" t="s">
        <v>7</v>
      </c>
      <c r="NU651" s="27" t="s">
        <v>8</v>
      </c>
      <c r="NV651" s="27" t="s">
        <v>7</v>
      </c>
      <c r="NW651" s="27" t="s">
        <v>8</v>
      </c>
    </row>
    <row r="652" spans="1:388" x14ac:dyDescent="0.25">
      <c r="A652" s="7">
        <v>0.27605068902177105</v>
      </c>
      <c r="B652"/>
      <c r="C652"/>
      <c r="D652"/>
      <c r="E652"/>
      <c r="AL652" s="27" t="s">
        <v>7</v>
      </c>
      <c r="AQ652" s="27" t="s">
        <v>8</v>
      </c>
      <c r="AR652" s="27" t="s">
        <v>7</v>
      </c>
      <c r="AS652" s="27" t="s">
        <v>8</v>
      </c>
      <c r="AT652" s="27" t="s">
        <v>7</v>
      </c>
      <c r="AU652" s="27" t="s">
        <v>8</v>
      </c>
      <c r="AW652" s="27" t="s">
        <v>8</v>
      </c>
      <c r="AX652" s="27" t="s">
        <v>7</v>
      </c>
      <c r="AY652" s="27" t="s">
        <v>8</v>
      </c>
      <c r="AZ652" s="27" t="s">
        <v>7</v>
      </c>
      <c r="BA652" s="27" t="s">
        <v>8</v>
      </c>
      <c r="BD652" s="27" t="s">
        <v>7</v>
      </c>
      <c r="BE652" s="27" t="s">
        <v>8</v>
      </c>
      <c r="BF652" s="27" t="s">
        <v>7</v>
      </c>
      <c r="BG652" s="27" t="s">
        <v>8</v>
      </c>
      <c r="BH652" s="27" t="s">
        <v>7</v>
      </c>
      <c r="BI652" s="27" t="s">
        <v>8</v>
      </c>
      <c r="BJ652" s="27" t="s">
        <v>7</v>
      </c>
      <c r="BK652" s="27" t="s">
        <v>8</v>
      </c>
      <c r="BR652" s="27" t="s">
        <v>7</v>
      </c>
      <c r="BS652" s="27" t="s">
        <v>8</v>
      </c>
      <c r="ED652" s="27" t="s">
        <v>7</v>
      </c>
      <c r="EH652" s="27" t="s">
        <v>7</v>
      </c>
      <c r="EI652" s="27" t="s">
        <v>8</v>
      </c>
      <c r="EK652" s="27" t="s">
        <v>8</v>
      </c>
      <c r="EL652" s="27" t="s">
        <v>7</v>
      </c>
      <c r="EU652" s="27" t="s">
        <v>8</v>
      </c>
      <c r="EV652" s="27" t="s">
        <v>7</v>
      </c>
      <c r="FA652" s="27" t="s">
        <v>8</v>
      </c>
      <c r="FB652" s="27" t="s">
        <v>7</v>
      </c>
      <c r="FG652" s="27" t="s">
        <v>8</v>
      </c>
      <c r="FH652" s="27" t="s">
        <v>7</v>
      </c>
      <c r="FI652" s="27" t="s">
        <v>8</v>
      </c>
      <c r="FJ652" s="27" t="s">
        <v>7</v>
      </c>
      <c r="FK652" s="27" t="s">
        <v>8</v>
      </c>
      <c r="FO652" s="27" t="s">
        <v>8</v>
      </c>
      <c r="FP652" s="27" t="s">
        <v>7</v>
      </c>
      <c r="FQ652" s="27" t="s">
        <v>8</v>
      </c>
      <c r="FT652" s="27" t="s">
        <v>7</v>
      </c>
      <c r="FU652" s="27" t="s">
        <v>8</v>
      </c>
      <c r="FV652" s="27" t="s">
        <v>7</v>
      </c>
      <c r="FW652" s="27" t="s">
        <v>8</v>
      </c>
      <c r="FX652" s="27" t="s">
        <v>7</v>
      </c>
      <c r="FY652" s="27" t="s">
        <v>8</v>
      </c>
      <c r="NT652" s="27" t="s">
        <v>7</v>
      </c>
      <c r="NU652" s="27" t="s">
        <v>8</v>
      </c>
      <c r="NV652" s="27" t="s">
        <v>7</v>
      </c>
      <c r="NW652" s="27" t="s">
        <v>8</v>
      </c>
    </row>
    <row r="653" spans="1:388" x14ac:dyDescent="0.25">
      <c r="A653" s="7">
        <v>0.27063793041350104</v>
      </c>
      <c r="B653"/>
      <c r="C653"/>
      <c r="D653"/>
      <c r="E653"/>
      <c r="AL653" s="27" t="s">
        <v>7</v>
      </c>
      <c r="AQ653" s="27" t="s">
        <v>8</v>
      </c>
      <c r="AR653" s="27" t="s">
        <v>7</v>
      </c>
      <c r="AS653" s="27" t="s">
        <v>8</v>
      </c>
      <c r="AT653" s="27" t="s">
        <v>7</v>
      </c>
      <c r="AU653" s="27" t="s">
        <v>8</v>
      </c>
      <c r="AV653" s="27" t="s">
        <v>7</v>
      </c>
      <c r="AW653" s="27" t="s">
        <v>8</v>
      </c>
      <c r="AX653" s="27" t="s">
        <v>7</v>
      </c>
      <c r="AY653" s="27" t="s">
        <v>8</v>
      </c>
      <c r="AZ653" s="27" t="s">
        <v>7</v>
      </c>
      <c r="BA653" s="27" t="s">
        <v>8</v>
      </c>
      <c r="BD653" s="27" t="s">
        <v>7</v>
      </c>
      <c r="BE653" s="27" t="s">
        <v>8</v>
      </c>
      <c r="BF653" s="27" t="s">
        <v>7</v>
      </c>
      <c r="BG653" s="27" t="s">
        <v>8</v>
      </c>
      <c r="BH653" s="27" t="s">
        <v>7</v>
      </c>
      <c r="BI653" s="27" t="s">
        <v>8</v>
      </c>
      <c r="BJ653" s="27" t="s">
        <v>7</v>
      </c>
      <c r="BK653" s="27" t="s">
        <v>8</v>
      </c>
      <c r="BR653" s="27" t="s">
        <v>7</v>
      </c>
      <c r="BS653" s="27" t="s">
        <v>8</v>
      </c>
      <c r="EH653" s="27" t="s">
        <v>7</v>
      </c>
      <c r="EI653" s="27" t="s">
        <v>8</v>
      </c>
      <c r="EJ653" s="27" t="s">
        <v>7</v>
      </c>
      <c r="EK653" s="27" t="s">
        <v>8</v>
      </c>
      <c r="EL653" s="27" t="s">
        <v>7</v>
      </c>
      <c r="EU653" s="27" t="s">
        <v>8</v>
      </c>
      <c r="EV653" s="27" t="s">
        <v>7</v>
      </c>
      <c r="EY653" s="27" t="s">
        <v>8</v>
      </c>
      <c r="FA653" s="27" t="s">
        <v>8</v>
      </c>
      <c r="FB653" s="27" t="s">
        <v>7</v>
      </c>
      <c r="FC653" s="27" t="s">
        <v>8</v>
      </c>
      <c r="FE653" s="27" t="s">
        <v>8</v>
      </c>
      <c r="FG653" s="27" t="s">
        <v>8</v>
      </c>
      <c r="FH653" s="27" t="s">
        <v>7</v>
      </c>
      <c r="FI653" s="27" t="s">
        <v>8</v>
      </c>
      <c r="FJ653" s="27" t="s">
        <v>7</v>
      </c>
      <c r="FK653" s="27" t="s">
        <v>8</v>
      </c>
      <c r="FL653" s="27" t="s">
        <v>7</v>
      </c>
      <c r="FM653" s="27" t="s">
        <v>8</v>
      </c>
      <c r="FO653" s="27" t="s">
        <v>8</v>
      </c>
      <c r="FP653" s="27" t="s">
        <v>7</v>
      </c>
      <c r="FQ653" s="27" t="s">
        <v>8</v>
      </c>
      <c r="FT653" s="27" t="s">
        <v>7</v>
      </c>
      <c r="FV653" s="27" t="s">
        <v>7</v>
      </c>
      <c r="FW653" s="27" t="s">
        <v>8</v>
      </c>
      <c r="FX653" s="27" t="s">
        <v>7</v>
      </c>
      <c r="FY653" s="27" t="s">
        <v>8</v>
      </c>
      <c r="NT653" s="27" t="s">
        <v>7</v>
      </c>
      <c r="NV653" s="27" t="s">
        <v>7</v>
      </c>
    </row>
    <row r="654" spans="1:388" x14ac:dyDescent="0.25">
      <c r="A654" s="7">
        <v>0.26533130432696184</v>
      </c>
      <c r="B654"/>
      <c r="C654"/>
      <c r="D654"/>
      <c r="E654"/>
      <c r="AL654" s="27" t="s">
        <v>7</v>
      </c>
      <c r="AM654" s="27" t="s">
        <v>8</v>
      </c>
      <c r="AQ654" s="27" t="s">
        <v>8</v>
      </c>
      <c r="AR654" s="27" t="s">
        <v>7</v>
      </c>
      <c r="AS654" s="27" t="s">
        <v>8</v>
      </c>
      <c r="AT654" s="27" t="s">
        <v>7</v>
      </c>
      <c r="AU654" s="27" t="s">
        <v>8</v>
      </c>
      <c r="AV654" s="27" t="s">
        <v>7</v>
      </c>
      <c r="AW654" s="27" t="s">
        <v>8</v>
      </c>
      <c r="AX654" s="27" t="s">
        <v>7</v>
      </c>
      <c r="AY654" s="27" t="s">
        <v>8</v>
      </c>
      <c r="AZ654" s="27" t="s">
        <v>7</v>
      </c>
      <c r="BA654" s="27" t="s">
        <v>8</v>
      </c>
      <c r="BD654" s="27" t="s">
        <v>7</v>
      </c>
      <c r="BE654" s="27" t="s">
        <v>8</v>
      </c>
      <c r="BF654" s="27" t="s">
        <v>7</v>
      </c>
      <c r="BG654" s="27" t="s">
        <v>8</v>
      </c>
      <c r="BH654" s="27" t="s">
        <v>7</v>
      </c>
      <c r="BI654" s="27" t="s">
        <v>8</v>
      </c>
      <c r="BJ654" s="27" t="s">
        <v>7</v>
      </c>
      <c r="BR654" s="27" t="s">
        <v>7</v>
      </c>
      <c r="BS654" s="27" t="s">
        <v>8</v>
      </c>
      <c r="EH654" s="27" t="s">
        <v>7</v>
      </c>
      <c r="EI654" s="27" t="s">
        <v>8</v>
      </c>
      <c r="EJ654" s="27" t="s">
        <v>7</v>
      </c>
      <c r="EK654" s="27" t="s">
        <v>8</v>
      </c>
      <c r="EL654" s="27" t="s">
        <v>7</v>
      </c>
      <c r="EO654" s="27" t="s">
        <v>8</v>
      </c>
      <c r="EU654" s="27" t="s">
        <v>8</v>
      </c>
      <c r="EV654" s="27" t="s">
        <v>7</v>
      </c>
      <c r="EW654" s="27" t="s">
        <v>8</v>
      </c>
      <c r="EY654" s="27" t="s">
        <v>8</v>
      </c>
      <c r="EZ654" s="27" t="s">
        <v>7</v>
      </c>
      <c r="FA654" s="27" t="s">
        <v>8</v>
      </c>
      <c r="FB654" s="27" t="s">
        <v>7</v>
      </c>
      <c r="FC654" s="27" t="s">
        <v>8</v>
      </c>
      <c r="FD654" s="27" t="s">
        <v>7</v>
      </c>
      <c r="FE654" s="27" t="s">
        <v>8</v>
      </c>
      <c r="FF654" s="27" t="s">
        <v>7</v>
      </c>
      <c r="FG654" s="27" t="s">
        <v>8</v>
      </c>
      <c r="FH654" s="27" t="s">
        <v>7</v>
      </c>
      <c r="FI654" s="27" t="s">
        <v>8</v>
      </c>
      <c r="FJ654" s="27" t="s">
        <v>7</v>
      </c>
      <c r="FK654" s="27" t="s">
        <v>8</v>
      </c>
      <c r="FL654" s="27" t="s">
        <v>7</v>
      </c>
      <c r="FM654" s="27" t="s">
        <v>8</v>
      </c>
      <c r="FN654" s="27" t="s">
        <v>7</v>
      </c>
      <c r="FO654" s="27" t="s">
        <v>8</v>
      </c>
      <c r="FP654" s="27" t="s">
        <v>7</v>
      </c>
      <c r="FQ654" s="27" t="s">
        <v>8</v>
      </c>
      <c r="FV654" s="27" t="s">
        <v>7</v>
      </c>
      <c r="FW654" s="27" t="s">
        <v>8</v>
      </c>
      <c r="FX654" s="27" t="s">
        <v>7</v>
      </c>
    </row>
    <row r="655" spans="1:388" x14ac:dyDescent="0.25">
      <c r="A655" s="7">
        <v>0.26012872973231554</v>
      </c>
      <c r="B655"/>
      <c r="C655"/>
      <c r="D655"/>
      <c r="E655"/>
      <c r="AL655" s="27" t="s">
        <v>7</v>
      </c>
      <c r="AM655" s="27" t="s">
        <v>8</v>
      </c>
      <c r="AN655" s="27" t="s">
        <v>7</v>
      </c>
      <c r="AQ655" s="27" t="s">
        <v>8</v>
      </c>
      <c r="AR655" s="27" t="s">
        <v>7</v>
      </c>
      <c r="AS655" s="27" t="s">
        <v>8</v>
      </c>
      <c r="AT655" s="27" t="s">
        <v>7</v>
      </c>
      <c r="AU655" s="27" t="s">
        <v>8</v>
      </c>
      <c r="AV655" s="27" t="s">
        <v>7</v>
      </c>
      <c r="AW655" s="27" t="s">
        <v>8</v>
      </c>
      <c r="AX655" s="27" t="s">
        <v>7</v>
      </c>
      <c r="AZ655" s="27" t="s">
        <v>7</v>
      </c>
      <c r="BD655" s="27" t="s">
        <v>7</v>
      </c>
      <c r="BF655" s="27" t="s">
        <v>7</v>
      </c>
      <c r="BG655" s="27" t="s">
        <v>8</v>
      </c>
      <c r="BH655" s="27" t="s">
        <v>7</v>
      </c>
      <c r="BI655" s="27" t="s">
        <v>8</v>
      </c>
      <c r="BR655" s="27" t="s">
        <v>7</v>
      </c>
      <c r="BS655" s="27" t="s">
        <v>8</v>
      </c>
      <c r="EH655" s="27" t="s">
        <v>7</v>
      </c>
      <c r="EJ655" s="27" t="s">
        <v>7</v>
      </c>
      <c r="EK655" s="27" t="s">
        <v>8</v>
      </c>
      <c r="EL655" s="27" t="s">
        <v>7</v>
      </c>
      <c r="EO655" s="27" t="s">
        <v>8</v>
      </c>
      <c r="EP655" s="27" t="s">
        <v>7</v>
      </c>
      <c r="EU655" s="27" t="s">
        <v>8</v>
      </c>
      <c r="EV655" s="27" t="s">
        <v>7</v>
      </c>
      <c r="EW655" s="27" t="s">
        <v>8</v>
      </c>
      <c r="EX655" s="27" t="s">
        <v>7</v>
      </c>
      <c r="EY655" s="27" t="s">
        <v>8</v>
      </c>
      <c r="EZ655" s="27" t="s">
        <v>7</v>
      </c>
      <c r="FA655" s="27" t="s">
        <v>8</v>
      </c>
      <c r="FB655" s="27" t="s">
        <v>7</v>
      </c>
      <c r="FC655" s="27" t="s">
        <v>8</v>
      </c>
      <c r="FD655" s="27" t="s">
        <v>7</v>
      </c>
      <c r="FE655" s="27" t="s">
        <v>8</v>
      </c>
      <c r="FF655" s="27" t="s">
        <v>7</v>
      </c>
      <c r="FG655" s="27" t="s">
        <v>8</v>
      </c>
      <c r="FH655" s="27" t="s">
        <v>7</v>
      </c>
      <c r="FI655" s="27" t="s">
        <v>8</v>
      </c>
      <c r="FJ655" s="27" t="s">
        <v>7</v>
      </c>
      <c r="FL655" s="27" t="s">
        <v>7</v>
      </c>
      <c r="FM655" s="27" t="s">
        <v>8</v>
      </c>
      <c r="FN655" s="27" t="s">
        <v>7</v>
      </c>
      <c r="FO655" s="27" t="s">
        <v>8</v>
      </c>
      <c r="FP655" s="27" t="s">
        <v>7</v>
      </c>
      <c r="FV655" s="27" t="s">
        <v>7</v>
      </c>
      <c r="FW655" s="27" t="s">
        <v>8</v>
      </c>
    </row>
    <row r="656" spans="1:388" x14ac:dyDescent="0.25">
      <c r="A656" s="7">
        <v>0.25502816640423093</v>
      </c>
      <c r="B656"/>
      <c r="C656"/>
      <c r="D656"/>
      <c r="E656"/>
      <c r="AL656" s="27" t="s">
        <v>7</v>
      </c>
      <c r="AM656" s="27" t="s">
        <v>8</v>
      </c>
      <c r="AN656" s="27" t="s">
        <v>7</v>
      </c>
      <c r="AO656" s="27" t="s">
        <v>8</v>
      </c>
      <c r="AQ656" s="27" t="s">
        <v>8</v>
      </c>
      <c r="AR656" s="27" t="s">
        <v>7</v>
      </c>
      <c r="AS656" s="27" t="s">
        <v>8</v>
      </c>
      <c r="AT656" s="27" t="s">
        <v>7</v>
      </c>
      <c r="AV656" s="27" t="s">
        <v>7</v>
      </c>
      <c r="AW656" s="27" t="s">
        <v>8</v>
      </c>
      <c r="BF656" s="27" t="s">
        <v>7</v>
      </c>
      <c r="BH656" s="27" t="s">
        <v>7</v>
      </c>
      <c r="BI656" s="27" t="s">
        <v>8</v>
      </c>
      <c r="BR656" s="27" t="s">
        <v>7</v>
      </c>
      <c r="BS656" s="27" t="s">
        <v>8</v>
      </c>
      <c r="EJ656" s="27" t="s">
        <v>7</v>
      </c>
      <c r="EK656" s="27" t="s">
        <v>8</v>
      </c>
      <c r="EL656" s="27" t="s">
        <v>7</v>
      </c>
      <c r="EM656" s="27" t="s">
        <v>8</v>
      </c>
      <c r="EO656" s="27" t="s">
        <v>8</v>
      </c>
      <c r="EP656" s="27" t="s">
        <v>7</v>
      </c>
      <c r="EU656" s="27" t="s">
        <v>8</v>
      </c>
      <c r="EV656" s="27" t="s">
        <v>7</v>
      </c>
      <c r="EW656" s="27" t="s">
        <v>8</v>
      </c>
      <c r="EX656" s="27" t="s">
        <v>7</v>
      </c>
      <c r="EY656" s="27" t="s">
        <v>8</v>
      </c>
      <c r="EZ656" s="27" t="s">
        <v>7</v>
      </c>
      <c r="FA656" s="27" t="s">
        <v>8</v>
      </c>
      <c r="FB656" s="27" t="s">
        <v>7</v>
      </c>
      <c r="FC656" s="27" t="s">
        <v>8</v>
      </c>
      <c r="FD656" s="27" t="s">
        <v>7</v>
      </c>
      <c r="FE656" s="27" t="s">
        <v>8</v>
      </c>
      <c r="FF656" s="27" t="s">
        <v>7</v>
      </c>
      <c r="FG656" s="27" t="s">
        <v>8</v>
      </c>
      <c r="FH656" s="27" t="s">
        <v>7</v>
      </c>
      <c r="FI656" s="27" t="s">
        <v>8</v>
      </c>
      <c r="FL656" s="27" t="s">
        <v>7</v>
      </c>
      <c r="FM656" s="27" t="s">
        <v>8</v>
      </c>
      <c r="FN656" s="27" t="s">
        <v>7</v>
      </c>
      <c r="FO656" s="27" t="s">
        <v>8</v>
      </c>
      <c r="FV656" s="27" t="s">
        <v>7</v>
      </c>
      <c r="FW656" s="27" t="s">
        <v>8</v>
      </c>
    </row>
    <row r="657" spans="1:178" x14ac:dyDescent="0.25">
      <c r="A657" s="7">
        <v>0.25002761412179503</v>
      </c>
      <c r="B657"/>
      <c r="C657"/>
      <c r="D657"/>
      <c r="E657"/>
      <c r="AL657" s="27" t="s">
        <v>7</v>
      </c>
      <c r="AM657" s="27" t="s">
        <v>8</v>
      </c>
      <c r="AN657" s="27" t="s">
        <v>7</v>
      </c>
      <c r="AO657" s="27" t="s">
        <v>8</v>
      </c>
      <c r="AP657" s="27" t="s">
        <v>7</v>
      </c>
      <c r="AQ657" s="27" t="s">
        <v>8</v>
      </c>
      <c r="AR657" s="27" t="s">
        <v>7</v>
      </c>
      <c r="AS657" s="27" t="s">
        <v>8</v>
      </c>
      <c r="AV657" s="27" t="s">
        <v>7</v>
      </c>
      <c r="AW657" s="27" t="s">
        <v>8</v>
      </c>
      <c r="BH657" s="27" t="s">
        <v>7</v>
      </c>
      <c r="BR657" s="27" t="s">
        <v>7</v>
      </c>
      <c r="EJ657" s="27" t="s">
        <v>7</v>
      </c>
      <c r="EK657" s="27" t="s">
        <v>8</v>
      </c>
      <c r="EL657" s="27" t="s">
        <v>7</v>
      </c>
      <c r="EM657" s="27" t="s">
        <v>8</v>
      </c>
      <c r="EN657" s="27" t="s">
        <v>7</v>
      </c>
      <c r="EO657" s="27" t="s">
        <v>8</v>
      </c>
      <c r="EP657" s="27" t="s">
        <v>7</v>
      </c>
      <c r="EQ657" s="27" t="s">
        <v>8</v>
      </c>
      <c r="ES657" s="27" t="s">
        <v>8</v>
      </c>
      <c r="EU657" s="27" t="s">
        <v>8</v>
      </c>
      <c r="EV657" s="27" t="s">
        <v>7</v>
      </c>
      <c r="EW657" s="27" t="s">
        <v>8</v>
      </c>
      <c r="EX657" s="27" t="s">
        <v>7</v>
      </c>
      <c r="EY657" s="27" t="s">
        <v>8</v>
      </c>
      <c r="EZ657" s="27" t="s">
        <v>7</v>
      </c>
      <c r="FA657" s="27" t="s">
        <v>8</v>
      </c>
      <c r="FB657" s="27" t="s">
        <v>7</v>
      </c>
      <c r="FD657" s="27" t="s">
        <v>7</v>
      </c>
      <c r="FE657" s="27" t="s">
        <v>8</v>
      </c>
      <c r="FF657" s="27" t="s">
        <v>7</v>
      </c>
      <c r="FH657" s="27" t="s">
        <v>7</v>
      </c>
      <c r="FL657" s="27" t="s">
        <v>7</v>
      </c>
      <c r="FM657" s="27" t="s">
        <v>8</v>
      </c>
      <c r="FN657" s="27" t="s">
        <v>7</v>
      </c>
      <c r="FV657" s="27" t="s">
        <v>7</v>
      </c>
    </row>
    <row r="658" spans="1:178" x14ac:dyDescent="0.25">
      <c r="A658" s="7">
        <v>0.24512511188411276</v>
      </c>
      <c r="B658"/>
      <c r="C658"/>
      <c r="D658"/>
      <c r="E658"/>
      <c r="AL658" s="27" t="s">
        <v>7</v>
      </c>
      <c r="AM658" s="27" t="s">
        <v>8</v>
      </c>
      <c r="AN658" s="27" t="s">
        <v>7</v>
      </c>
      <c r="AO658" s="27" t="s">
        <v>8</v>
      </c>
      <c r="AP658" s="27" t="s">
        <v>7</v>
      </c>
      <c r="AQ658" s="27" t="s">
        <v>8</v>
      </c>
      <c r="AR658" s="27" t="s">
        <v>7</v>
      </c>
      <c r="AS658" s="27" t="s">
        <v>8</v>
      </c>
      <c r="AV658" s="27" t="s">
        <v>7</v>
      </c>
      <c r="AW658" s="27" t="s">
        <v>8</v>
      </c>
      <c r="EJ658" s="27" t="s">
        <v>7</v>
      </c>
      <c r="EL658" s="27" t="s">
        <v>7</v>
      </c>
      <c r="EM658" s="27" t="s">
        <v>8</v>
      </c>
      <c r="EN658" s="27" t="s">
        <v>7</v>
      </c>
      <c r="EO658" s="27" t="s">
        <v>8</v>
      </c>
      <c r="EP658" s="27" t="s">
        <v>7</v>
      </c>
      <c r="EQ658" s="27" t="s">
        <v>8</v>
      </c>
      <c r="ER658" s="27" t="s">
        <v>7</v>
      </c>
      <c r="ES658" s="27" t="s">
        <v>8</v>
      </c>
      <c r="ET658" s="27" t="s">
        <v>7</v>
      </c>
      <c r="EU658" s="27" t="s">
        <v>8</v>
      </c>
      <c r="EV658" s="27" t="s">
        <v>7</v>
      </c>
      <c r="EX658" s="27" t="s">
        <v>7</v>
      </c>
      <c r="EZ658" s="27" t="s">
        <v>7</v>
      </c>
      <c r="FD658" s="27" t="s">
        <v>7</v>
      </c>
      <c r="FE658" s="27" t="s">
        <v>8</v>
      </c>
      <c r="FL658" s="27" t="s">
        <v>7</v>
      </c>
      <c r="FM658" s="27" t="s">
        <v>8</v>
      </c>
    </row>
    <row r="659" spans="1:178" x14ac:dyDescent="0.25">
      <c r="A659" s="7">
        <v>0.24031873714128701</v>
      </c>
      <c r="B659"/>
      <c r="C659"/>
      <c r="D659"/>
      <c r="E659"/>
      <c r="AL659" s="27" t="s">
        <v>7</v>
      </c>
      <c r="AM659" s="27" t="s">
        <v>8</v>
      </c>
      <c r="AN659" s="27" t="s">
        <v>7</v>
      </c>
      <c r="AO659" s="27" t="s">
        <v>8</v>
      </c>
      <c r="AP659" s="27" t="s">
        <v>7</v>
      </c>
      <c r="AQ659" s="27" t="s">
        <v>8</v>
      </c>
      <c r="AR659" s="27" t="s">
        <v>7</v>
      </c>
      <c r="AV659" s="27" t="s">
        <v>7</v>
      </c>
      <c r="EL659" s="27" t="s">
        <v>7</v>
      </c>
      <c r="EM659" s="27" t="s">
        <v>8</v>
      </c>
      <c r="EN659" s="27" t="s">
        <v>7</v>
      </c>
      <c r="EO659" s="27" t="s">
        <v>8</v>
      </c>
      <c r="EP659" s="27" t="s">
        <v>7</v>
      </c>
      <c r="EQ659" s="27" t="s">
        <v>8</v>
      </c>
      <c r="ER659" s="27" t="s">
        <v>7</v>
      </c>
      <c r="ES659" s="27" t="s">
        <v>8</v>
      </c>
      <c r="ET659" s="27" t="s">
        <v>7</v>
      </c>
      <c r="EU659" s="27" t="s">
        <v>8</v>
      </c>
      <c r="FD659" s="27" t="s">
        <v>7</v>
      </c>
      <c r="FL659" s="27" t="s">
        <v>7</v>
      </c>
      <c r="FM659" s="27" t="s">
        <v>8</v>
      </c>
    </row>
    <row r="660" spans="1:178" x14ac:dyDescent="0.25">
      <c r="A660" s="7">
        <v>0.23560660504047748</v>
      </c>
      <c r="B660"/>
      <c r="C660"/>
      <c r="D660"/>
      <c r="E660"/>
      <c r="AL660" s="27" t="s">
        <v>7</v>
      </c>
      <c r="AM660" s="27" t="s">
        <v>8</v>
      </c>
      <c r="AN660" s="27" t="s">
        <v>7</v>
      </c>
      <c r="AO660" s="27" t="s">
        <v>8</v>
      </c>
      <c r="AP660" s="27" t="s">
        <v>7</v>
      </c>
      <c r="AQ660" s="27" t="s">
        <v>8</v>
      </c>
      <c r="EL660" s="27" t="s">
        <v>7</v>
      </c>
      <c r="EM660" s="27" t="s">
        <v>8</v>
      </c>
      <c r="EN660" s="27" t="s">
        <v>7</v>
      </c>
      <c r="EO660" s="27" t="s">
        <v>8</v>
      </c>
      <c r="EP660" s="27" t="s">
        <v>7</v>
      </c>
      <c r="EQ660" s="27" t="s">
        <v>8</v>
      </c>
      <c r="ER660" s="27" t="s">
        <v>7</v>
      </c>
      <c r="ES660" s="27" t="s">
        <v>8</v>
      </c>
      <c r="ET660" s="27" t="s">
        <v>7</v>
      </c>
      <c r="EU660" s="27" t="s">
        <v>8</v>
      </c>
      <c r="FL660" s="27" t="s">
        <v>7</v>
      </c>
      <c r="FM660" s="27" t="s">
        <v>8</v>
      </c>
    </row>
    <row r="661" spans="1:178" x14ac:dyDescent="0.25">
      <c r="A661" s="7">
        <v>0.23098686768674265</v>
      </c>
      <c r="B661"/>
      <c r="C661"/>
      <c r="D661"/>
      <c r="E661"/>
      <c r="AL661" s="27" t="s">
        <v>7</v>
      </c>
      <c r="AM661" s="27" t="s">
        <v>8</v>
      </c>
      <c r="AN661" s="27" t="s">
        <v>7</v>
      </c>
      <c r="AO661" s="27" t="s">
        <v>8</v>
      </c>
      <c r="AP661" s="27" t="s">
        <v>7</v>
      </c>
      <c r="AQ661" s="27" t="s">
        <v>8</v>
      </c>
      <c r="EL661" s="27" t="s">
        <v>7</v>
      </c>
      <c r="EN661" s="27" t="s">
        <v>7</v>
      </c>
      <c r="EP661" s="27" t="s">
        <v>7</v>
      </c>
      <c r="ER661" s="27" t="s">
        <v>7</v>
      </c>
      <c r="ES661" s="27" t="s">
        <v>8</v>
      </c>
      <c r="ET661" s="27" t="s">
        <v>7</v>
      </c>
      <c r="EU661" s="27" t="s">
        <v>8</v>
      </c>
      <c r="FL661" s="27" t="s">
        <v>7</v>
      </c>
      <c r="FM661" s="27" t="s">
        <v>8</v>
      </c>
    </row>
    <row r="662" spans="1:178" x14ac:dyDescent="0.25">
      <c r="A662" s="7">
        <v>0.22645771341837515</v>
      </c>
      <c r="B662"/>
      <c r="C662"/>
      <c r="D662"/>
      <c r="E662"/>
      <c r="AL662" s="27" t="s">
        <v>7</v>
      </c>
      <c r="AM662" s="27" t="s">
        <v>8</v>
      </c>
      <c r="AN662" s="27" t="s">
        <v>7</v>
      </c>
      <c r="AO662" s="27" t="s">
        <v>8</v>
      </c>
      <c r="AP662" s="27" t="s">
        <v>7</v>
      </c>
      <c r="AQ662" s="27" t="s">
        <v>8</v>
      </c>
      <c r="ER662" s="27" t="s">
        <v>7</v>
      </c>
      <c r="ES662" s="27" t="s">
        <v>8</v>
      </c>
      <c r="ET662" s="27" t="s">
        <v>7</v>
      </c>
      <c r="EU662" s="27" t="s">
        <v>8</v>
      </c>
      <c r="FL662" s="27" t="s">
        <v>7</v>
      </c>
    </row>
    <row r="663" spans="1:178" x14ac:dyDescent="0.25">
      <c r="A663" s="7">
        <v>0.22201736609644623</v>
      </c>
      <c r="B663"/>
      <c r="C663"/>
      <c r="D663"/>
      <c r="E663"/>
      <c r="AL663" s="27" t="s">
        <v>7</v>
      </c>
      <c r="AM663" s="27" t="s">
        <v>8</v>
      </c>
      <c r="AN663" s="27" t="s">
        <v>7</v>
      </c>
      <c r="AO663" s="27" t="s">
        <v>8</v>
      </c>
      <c r="AP663" s="27" t="s">
        <v>7</v>
      </c>
      <c r="ER663" s="27" t="s">
        <v>7</v>
      </c>
      <c r="ES663" s="27" t="s">
        <v>8</v>
      </c>
      <c r="ET663" s="27" t="s">
        <v>7</v>
      </c>
    </row>
    <row r="664" spans="1:178" x14ac:dyDescent="0.25">
      <c r="A664" s="7">
        <v>0.21766408440828061</v>
      </c>
      <c r="B664"/>
      <c r="C664"/>
      <c r="D664"/>
      <c r="E664"/>
      <c r="AL664" s="27" t="s">
        <v>7</v>
      </c>
      <c r="AM664" s="27" t="s">
        <v>8</v>
      </c>
      <c r="AN664" s="27" t="s">
        <v>7</v>
      </c>
      <c r="AO664" s="27" t="s">
        <v>8</v>
      </c>
      <c r="ER664" s="27" t="s">
        <v>7</v>
      </c>
      <c r="ES664" s="27" t="s">
        <v>8</v>
      </c>
    </row>
    <row r="665" spans="1:178" x14ac:dyDescent="0.25">
      <c r="A665" s="7">
        <v>0.21339616118458882</v>
      </c>
      <c r="B665"/>
      <c r="C665"/>
      <c r="D665"/>
      <c r="E665"/>
      <c r="AL665" s="27" t="s">
        <v>7</v>
      </c>
      <c r="AM665" s="27" t="s">
        <v>8</v>
      </c>
      <c r="AN665" s="27" t="s">
        <v>7</v>
      </c>
      <c r="AO665" s="27" t="s">
        <v>8</v>
      </c>
      <c r="ER665" s="27" t="s">
        <v>7</v>
      </c>
      <c r="ES665" s="27" t="s">
        <v>8</v>
      </c>
    </row>
    <row r="666" spans="1:178" x14ac:dyDescent="0.25">
      <c r="A666" s="7">
        <v>0.20921192272998904</v>
      </c>
      <c r="B666"/>
      <c r="C666"/>
      <c r="D666"/>
      <c r="E666"/>
      <c r="AL666" s="27" t="s">
        <v>7</v>
      </c>
      <c r="AM666" s="27" t="s">
        <v>8</v>
      </c>
      <c r="AN666" s="27" t="s">
        <v>7</v>
      </c>
      <c r="AO666" s="27" t="s">
        <v>8</v>
      </c>
      <c r="ER666" s="27" t="s">
        <v>7</v>
      </c>
      <c r="ES666" s="27" t="s">
        <v>8</v>
      </c>
    </row>
    <row r="667" spans="1:178" x14ac:dyDescent="0.25">
      <c r="A667" s="7">
        <v>0.20510972816665593</v>
      </c>
      <c r="B667"/>
      <c r="C667"/>
      <c r="D667"/>
      <c r="E667"/>
      <c r="AL667" s="27" t="s">
        <v>7</v>
      </c>
      <c r="AM667" s="27" t="s">
        <v>8</v>
      </c>
      <c r="AN667" s="27" t="s">
        <v>7</v>
      </c>
      <c r="AO667" s="27" t="s">
        <v>8</v>
      </c>
      <c r="ER667" s="27" t="s">
        <v>7</v>
      </c>
    </row>
    <row r="668" spans="1:178" x14ac:dyDescent="0.25">
      <c r="A668" s="7">
        <v>0.20108796879083912</v>
      </c>
      <c r="B668"/>
      <c r="C668"/>
      <c r="D668"/>
      <c r="E668"/>
      <c r="AL668" s="27" t="s">
        <v>7</v>
      </c>
      <c r="AM668" s="27" t="s">
        <v>8</v>
      </c>
      <c r="AN668" s="27" t="s">
        <v>7</v>
      </c>
      <c r="AO668" s="27" t="s">
        <v>8</v>
      </c>
    </row>
    <row r="669" spans="1:178" x14ac:dyDescent="0.25">
      <c r="A669" s="7">
        <v>0.19714506744199917</v>
      </c>
      <c r="B669"/>
      <c r="C669"/>
      <c r="D669"/>
      <c r="E669"/>
      <c r="AL669" s="27" t="s">
        <v>7</v>
      </c>
      <c r="AM669" s="27" t="s">
        <v>8</v>
      </c>
      <c r="AN669" s="27" t="s">
        <v>7</v>
      </c>
    </row>
    <row r="670" spans="1:178" x14ac:dyDescent="0.25">
      <c r="A670" s="7">
        <v>0.19327947788431293</v>
      </c>
      <c r="B670"/>
      <c r="C670"/>
      <c r="D670"/>
      <c r="E670"/>
      <c r="AL670" s="27" t="s">
        <v>7</v>
      </c>
      <c r="AM670" s="27" t="s">
        <v>8</v>
      </c>
    </row>
    <row r="671" spans="1:178" x14ac:dyDescent="0.25">
      <c r="A671" s="7">
        <v>0.18948968420030682</v>
      </c>
      <c r="B671"/>
      <c r="C671"/>
      <c r="D671"/>
      <c r="E671"/>
      <c r="AL671" s="27" t="s">
        <v>7</v>
      </c>
      <c r="AM671" s="27" t="s">
        <v>8</v>
      </c>
    </row>
    <row r="672" spans="1:178" x14ac:dyDescent="0.25">
      <c r="A672" s="7">
        <v>0.18577420019637925</v>
      </c>
      <c r="B672"/>
      <c r="C672"/>
      <c r="D672"/>
      <c r="E672"/>
      <c r="AL672" s="27" t="s">
        <v>7</v>
      </c>
      <c r="AM672" s="27" t="s">
        <v>8</v>
      </c>
    </row>
    <row r="673" spans="1:39" x14ac:dyDescent="0.25">
      <c r="A673" s="7">
        <v>0.18213156881997963</v>
      </c>
      <c r="B673"/>
      <c r="C673"/>
      <c r="D673"/>
      <c r="E673"/>
      <c r="AL673" s="27" t="s">
        <v>7</v>
      </c>
      <c r="AM673" s="27" t="s">
        <v>8</v>
      </c>
    </row>
    <row r="674" spans="1:39" x14ac:dyDescent="0.25">
      <c r="A674" s="7">
        <v>0.17856036158821534</v>
      </c>
      <c r="B674"/>
      <c r="C674"/>
      <c r="D674"/>
      <c r="E674"/>
      <c r="AL674" s="27" t="s">
        <v>7</v>
      </c>
      <c r="AM674" s="27" t="s">
        <v>8</v>
      </c>
    </row>
    <row r="675" spans="1:39" x14ac:dyDescent="0.25">
      <c r="A675" s="7">
        <v>0.17505917802766208</v>
      </c>
      <c r="B675"/>
      <c r="C675"/>
      <c r="D675"/>
      <c r="E675"/>
      <c r="AL675" s="27" t="s">
        <v>7</v>
      </c>
      <c r="AM675" s="27" t="s">
        <v>8</v>
      </c>
    </row>
    <row r="676" spans="1:39" x14ac:dyDescent="0.25">
      <c r="A676" s="7">
        <v>0.17162664512515888</v>
      </c>
      <c r="B676"/>
      <c r="C676"/>
      <c r="D676"/>
      <c r="E676"/>
      <c r="AL676" s="27" t="s">
        <v>7</v>
      </c>
      <c r="AM676" s="27" t="s">
        <v>8</v>
      </c>
    </row>
    <row r="677" spans="1:39" x14ac:dyDescent="0.25">
      <c r="A677" s="7">
        <v>0.16826141678937145</v>
      </c>
      <c r="B677"/>
      <c r="C677"/>
      <c r="D677"/>
      <c r="E677"/>
      <c r="AL677" s="27" t="s">
        <v>7</v>
      </c>
      <c r="AM677" s="27" t="s">
        <v>8</v>
      </c>
    </row>
    <row r="678" spans="1:39" x14ac:dyDescent="0.25">
      <c r="A678" s="7">
        <v>0.16496217332291319</v>
      </c>
      <c r="B678"/>
      <c r="C678"/>
      <c r="D678"/>
      <c r="E678"/>
      <c r="AL678" s="27" t="s">
        <v>7</v>
      </c>
      <c r="AM678" s="27" t="s">
        <v>8</v>
      </c>
    </row>
    <row r="679" spans="1:39" x14ac:dyDescent="0.25">
      <c r="A679" s="7">
        <v>0.16172762090481685</v>
      </c>
      <c r="B679"/>
      <c r="C679"/>
      <c r="D679"/>
      <c r="E679"/>
      <c r="AL679" s="27" t="s">
        <v>7</v>
      </c>
      <c r="AM679" s="27" t="s">
        <v>8</v>
      </c>
    </row>
    <row r="680" spans="1:39" x14ac:dyDescent="0.25">
      <c r="A680" s="7">
        <v>0.15855649108315376</v>
      </c>
      <c r="B680"/>
      <c r="C680"/>
      <c r="D680"/>
      <c r="E680"/>
      <c r="AL680" s="27" t="s">
        <v>7</v>
      </c>
      <c r="AM680" s="27" t="s">
        <v>8</v>
      </c>
    </row>
    <row r="681" spans="1:39" x14ac:dyDescent="0.25">
      <c r="A681" s="7">
        <v>0.15544754027760171</v>
      </c>
      <c r="B681"/>
      <c r="C681"/>
      <c r="D681"/>
      <c r="E681"/>
      <c r="AL681" s="27" t="s">
        <v>7</v>
      </c>
      <c r="AM681" s="27" t="s">
        <v>8</v>
      </c>
    </row>
    <row r="682" spans="1:39" x14ac:dyDescent="0.25">
      <c r="A682" s="7">
        <v>0.15239954929176638</v>
      </c>
      <c r="B682"/>
      <c r="C682"/>
      <c r="D682"/>
      <c r="E682"/>
      <c r="AL682" s="27" t="s">
        <v>7</v>
      </c>
      <c r="AM682" s="27" t="s">
        <v>8</v>
      </c>
    </row>
    <row r="683" spans="1:39" x14ac:dyDescent="0.25">
      <c r="A683" s="7">
        <v>0.14941132283506509</v>
      </c>
      <c r="B683"/>
      <c r="C683"/>
      <c r="D683"/>
      <c r="E683"/>
      <c r="AL683" s="27" t="s">
        <v>7</v>
      </c>
      <c r="AM683" s="27" t="s">
        <v>8</v>
      </c>
    </row>
    <row r="684" spans="1:39" x14ac:dyDescent="0.25">
      <c r="A684" s="7">
        <v>0.14648168905398537</v>
      </c>
      <c r="B684"/>
      <c r="C684"/>
      <c r="D684"/>
      <c r="E684"/>
      <c r="AL684" s="27" t="s">
        <v>7</v>
      </c>
      <c r="AM684" s="27" t="s">
        <v>8</v>
      </c>
    </row>
    <row r="685" spans="1:39" x14ac:dyDescent="0.25">
      <c r="A685" s="7">
        <v>0.14360949907253467</v>
      </c>
      <c r="B685"/>
      <c r="C685"/>
      <c r="D685"/>
      <c r="E685"/>
      <c r="AL685" s="27" t="s">
        <v>7</v>
      </c>
      <c r="AM685" s="27" t="s">
        <v>8</v>
      </c>
    </row>
    <row r="686" spans="1:39" x14ac:dyDescent="0.25">
      <c r="A686" s="7">
        <v>0.14079362654170066</v>
      </c>
      <c r="B686"/>
      <c r="C686"/>
      <c r="D686"/>
      <c r="E686"/>
      <c r="AL686" s="27" t="s">
        <v>7</v>
      </c>
      <c r="AM686" s="27" t="s">
        <v>8</v>
      </c>
    </row>
    <row r="687" spans="1:39" x14ac:dyDescent="0.25">
      <c r="A687" s="7">
        <v>0.13803296719774574</v>
      </c>
      <c r="B687"/>
      <c r="C687"/>
      <c r="D687"/>
      <c r="E687"/>
      <c r="AL687" s="27" t="s">
        <v>7</v>
      </c>
      <c r="AM687" s="27" t="s">
        <v>8</v>
      </c>
    </row>
    <row r="688" spans="1:39" x14ac:dyDescent="0.25">
      <c r="A688" s="7">
        <v>0.1353264384291625</v>
      </c>
      <c r="B688"/>
      <c r="C688"/>
      <c r="D688"/>
      <c r="E688"/>
      <c r="AL688" s="27" t="s">
        <v>7</v>
      </c>
      <c r="AM688" s="27" t="s">
        <v>8</v>
      </c>
    </row>
    <row r="689" spans="1:38" x14ac:dyDescent="0.25">
      <c r="A689" s="7">
        <v>0.13267297885212009</v>
      </c>
      <c r="B689"/>
      <c r="C689"/>
      <c r="D689"/>
      <c r="E689"/>
      <c r="AL689" s="27" t="s">
        <v>7</v>
      </c>
    </row>
    <row r="690" spans="1:38" x14ac:dyDescent="0.25">
      <c r="A690" s="7">
        <v>0.13007154789423539</v>
      </c>
      <c r="B690"/>
      <c r="C690"/>
      <c r="D690"/>
      <c r="E690"/>
    </row>
    <row r="691" spans="1:38" x14ac:dyDescent="0.25">
      <c r="A691" s="7">
        <v>0.12752112538650529</v>
      </c>
      <c r="B691"/>
      <c r="C691"/>
      <c r="D691"/>
      <c r="E691"/>
    </row>
    <row r="692" spans="1:38" x14ac:dyDescent="0.25">
      <c r="A692" s="7">
        <v>0.12502071116324048</v>
      </c>
      <c r="B692"/>
      <c r="C692"/>
      <c r="D692"/>
      <c r="E692"/>
    </row>
    <row r="693" spans="1:38" x14ac:dyDescent="0.25">
      <c r="A693" s="7">
        <v>0.1225693246698436</v>
      </c>
      <c r="B693"/>
      <c r="C693"/>
      <c r="D693"/>
      <c r="E693"/>
    </row>
    <row r="694" spans="1:38" x14ac:dyDescent="0.25">
      <c r="A694" s="7">
        <v>0.12016600457827803</v>
      </c>
      <c r="B694"/>
      <c r="C694"/>
      <c r="D694"/>
      <c r="E694"/>
    </row>
    <row r="695" spans="1:38" x14ac:dyDescent="0.25">
      <c r="A695" s="7">
        <v>0.1178098084100765</v>
      </c>
      <c r="B695"/>
      <c r="C695"/>
      <c r="D695"/>
      <c r="E695"/>
    </row>
    <row r="696" spans="1:38" x14ac:dyDescent="0.25">
      <c r="A696" s="7">
        <v>0.11549981216674166</v>
      </c>
      <c r="B696"/>
      <c r="C696"/>
      <c r="D696"/>
      <c r="E696"/>
    </row>
    <row r="697" spans="1:38" x14ac:dyDescent="0.25">
      <c r="A697" s="7">
        <v>0.11323510996739378</v>
      </c>
      <c r="B697"/>
      <c r="C697"/>
      <c r="D697"/>
      <c r="E697"/>
    </row>
    <row r="698" spans="1:38" x14ac:dyDescent="0.25">
      <c r="A698" s="7">
        <v>0.11101481369352331</v>
      </c>
      <c r="B698"/>
      <c r="C698"/>
      <c r="D698"/>
      <c r="E698"/>
    </row>
    <row r="699" spans="1:38" x14ac:dyDescent="0.25">
      <c r="A699" s="7">
        <v>0.10883805264070913</v>
      </c>
      <c r="B699"/>
      <c r="C699"/>
      <c r="D699"/>
      <c r="E699"/>
    </row>
    <row r="700" spans="1:38" x14ac:dyDescent="0.25">
      <c r="A700" s="7">
        <v>0.10670397317716582</v>
      </c>
      <c r="B700"/>
      <c r="C700"/>
      <c r="D700"/>
      <c r="E700"/>
    </row>
    <row r="701" spans="1:38" x14ac:dyDescent="0.25">
      <c r="A701" s="7">
        <v>0.1046117384089861</v>
      </c>
      <c r="B701"/>
      <c r="C701"/>
      <c r="D701"/>
      <c r="E701"/>
    </row>
    <row r="702" spans="1:38" x14ac:dyDescent="0.25">
      <c r="A702" s="7">
        <v>0.10256052785194716</v>
      </c>
      <c r="B702"/>
      <c r="C702"/>
      <c r="D702"/>
      <c r="E702"/>
    </row>
    <row r="703" spans="1:38" x14ac:dyDescent="0.25">
      <c r="A703" s="7">
        <v>0.10054953710975212</v>
      </c>
      <c r="B703"/>
      <c r="C703"/>
      <c r="D703"/>
      <c r="E703"/>
    </row>
    <row r="704" spans="1:38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2" zoomScale="90" zoomScaleNormal="90" workbookViewId="0">
      <pane xSplit="4" topLeftCell="CQ1" activePane="topRight" state="frozen"/>
      <selection activeCell="A109" sqref="A109"/>
      <selection pane="topRight" activeCell="FY263" sqref="FY26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$A$262</v>
      </c>
      <c r="D111" s="1" t="str">
        <f>ADDRESS(C121-1,D121,1,1)</f>
        <v>$FY$262</v>
      </c>
      <c r="E111"/>
    </row>
    <row r="112" spans="1:5" x14ac:dyDescent="0.25">
      <c r="A112" s="30">
        <v>515.50191262726139</v>
      </c>
      <c r="C112" s="1" t="str">
        <f>ADDRESS(C121,1,1,1)</f>
        <v>$A$263</v>
      </c>
      <c r="D112" s="1" t="str">
        <f>ADDRESS(C121,D121-1,1,1)</f>
        <v>$FX$263</v>
      </c>
      <c r="E112"/>
    </row>
    <row r="113" spans="1:5" x14ac:dyDescent="0.25">
      <c r="A113" s="30">
        <v>490.95420250215363</v>
      </c>
      <c r="C113" s="1" t="str">
        <f>ADDRESS(C121+1,1,1,1)</f>
        <v>$A$264</v>
      </c>
      <c r="D113" s="1" t="str">
        <f>ADDRESS(C121-1,D121+1,1,1)</f>
        <v>$FZ$262</v>
      </c>
    </row>
    <row r="114" spans="1:5" x14ac:dyDescent="0.25">
      <c r="A114" s="30">
        <v>467.57543095443202</v>
      </c>
      <c r="C114" s="1" t="str">
        <f>ADDRESS(C121,D121,1,1)</f>
        <v>$FY$263</v>
      </c>
      <c r="D114" s="1" t="str">
        <f>ADDRESS(C121+1,D121+1,1,1)</f>
        <v>$FZ$264</v>
      </c>
    </row>
    <row r="115" spans="1:5" x14ac:dyDescent="0.25">
      <c r="A115" s="30">
        <v>445.30993424231622</v>
      </c>
      <c r="C115" s="1" t="str">
        <f>ADDRESS(C121+1,D121,1,1)</f>
        <v>$FY$264</v>
      </c>
    </row>
    <row r="116" spans="1:5" x14ac:dyDescent="0.25">
      <c r="A116" s="30">
        <v>424.10469927839637</v>
      </c>
      <c r="C116" s="1">
        <f>C117-1</f>
        <v>262</v>
      </c>
    </row>
    <row r="117" spans="1:5" x14ac:dyDescent="0.25">
      <c r="A117" s="30">
        <v>403.9092374079965</v>
      </c>
      <c r="C117" s="1">
        <f>C121</f>
        <v>263</v>
      </c>
      <c r="D117" s="1">
        <f>D121</f>
        <v>181</v>
      </c>
    </row>
    <row r="118" spans="1:5" x14ac:dyDescent="0.25">
      <c r="A118" s="30">
        <v>384.6754641980919</v>
      </c>
      <c r="C118" s="1">
        <f>C117+1</f>
        <v>264</v>
      </c>
      <c r="D118" s="1">
        <f>D117+1</f>
        <v>182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263</v>
      </c>
      <c r="D121" s="19">
        <v>181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R263</v>
      </c>
      <c r="D123" s="1" t="str">
        <f>"C"&amp;D121</f>
        <v>C181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0.32557130579677979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68" x14ac:dyDescent="0.25">
      <c r="A225" s="30">
        <v>2.0789281794113688</v>
      </c>
      <c r="E225"/>
      <c r="DA225" s="27" t="s">
        <v>8</v>
      </c>
    </row>
    <row r="226" spans="1:168" x14ac:dyDescent="0.25">
      <c r="A226" s="30">
        <v>1.9799315994393987</v>
      </c>
      <c r="E226"/>
      <c r="DA226" s="27" t="s">
        <v>8</v>
      </c>
      <c r="DB226" s="27" t="s">
        <v>7</v>
      </c>
    </row>
    <row r="227" spans="1:168" x14ac:dyDescent="0.25">
      <c r="A227" s="30">
        <v>1.8856491423232367</v>
      </c>
      <c r="E227"/>
      <c r="DA227" s="27" t="s">
        <v>8</v>
      </c>
      <c r="DB227" s="27" t="s">
        <v>7</v>
      </c>
      <c r="DC227" s="27" t="s">
        <v>8</v>
      </c>
    </row>
    <row r="228" spans="1:168" x14ac:dyDescent="0.25">
      <c r="A228" s="30">
        <v>1.7958563260221301</v>
      </c>
      <c r="C228" s="7"/>
      <c r="D228"/>
      <c r="E228"/>
      <c r="DA228" s="27" t="s">
        <v>8</v>
      </c>
      <c r="DB228" s="27" t="s">
        <v>7</v>
      </c>
      <c r="DC228" s="27" t="s">
        <v>8</v>
      </c>
      <c r="DD228" s="27" t="s">
        <v>7</v>
      </c>
      <c r="DE228" s="31" t="s">
        <v>8</v>
      </c>
      <c r="DG228" s="31" t="s">
        <v>8</v>
      </c>
    </row>
    <row r="229" spans="1:168" x14ac:dyDescent="0.25">
      <c r="A229" s="30">
        <v>1.7103393581163142</v>
      </c>
      <c r="E229"/>
      <c r="DA229" s="27" t="s">
        <v>8</v>
      </c>
      <c r="DB229" s="27" t="s">
        <v>7</v>
      </c>
      <c r="DC229" s="27" t="s">
        <v>8</v>
      </c>
      <c r="DD229" s="27" t="s">
        <v>7</v>
      </c>
      <c r="DE229" s="27" t="s">
        <v>8</v>
      </c>
      <c r="DF229" s="27" t="s">
        <v>7</v>
      </c>
      <c r="DG229" s="27" t="s">
        <v>8</v>
      </c>
      <c r="DH229" s="32" t="s">
        <v>7</v>
      </c>
      <c r="DO229" s="32" t="s">
        <v>8</v>
      </c>
    </row>
    <row r="230" spans="1:168" x14ac:dyDescent="0.25">
      <c r="A230" s="30">
        <v>1.628894626777442</v>
      </c>
      <c r="E230"/>
      <c r="DA230" s="27" t="s">
        <v>8</v>
      </c>
      <c r="DB230" s="27" t="s">
        <v>7</v>
      </c>
      <c r="DC230" s="27" t="s">
        <v>8</v>
      </c>
      <c r="DD230" s="27" t="s">
        <v>7</v>
      </c>
      <c r="DE230" s="27" t="s">
        <v>8</v>
      </c>
      <c r="DF230" s="27" t="s">
        <v>7</v>
      </c>
      <c r="DG230" s="27" t="s">
        <v>8</v>
      </c>
      <c r="DH230" s="27" t="s">
        <v>7</v>
      </c>
      <c r="DI230" s="32" t="s">
        <v>8</v>
      </c>
      <c r="DM230" s="27" t="s">
        <v>8</v>
      </c>
      <c r="DO230" s="27" t="s">
        <v>8</v>
      </c>
      <c r="DP230" s="32" t="s">
        <v>7</v>
      </c>
    </row>
    <row r="231" spans="1:168" x14ac:dyDescent="0.25">
      <c r="A231" s="30">
        <v>1.5513282159785162</v>
      </c>
      <c r="C231"/>
      <c r="D231"/>
      <c r="E231"/>
      <c r="DA231" s="27" t="s">
        <v>8</v>
      </c>
      <c r="DB231" s="27" t="s">
        <v>7</v>
      </c>
      <c r="DC231" s="27" t="s">
        <v>8</v>
      </c>
      <c r="DD231" s="27" t="s">
        <v>7</v>
      </c>
      <c r="DF231" s="27" t="s">
        <v>7</v>
      </c>
      <c r="DG231" s="27" t="s">
        <v>8</v>
      </c>
      <c r="DH231" s="27" t="s">
        <v>7</v>
      </c>
      <c r="DI231" s="27" t="s">
        <v>8</v>
      </c>
      <c r="DJ231" s="32" t="s">
        <v>7</v>
      </c>
      <c r="DM231" s="27" t="s">
        <v>8</v>
      </c>
      <c r="DN231" s="27" t="s">
        <v>7</v>
      </c>
      <c r="DO231" s="27" t="s">
        <v>8</v>
      </c>
      <c r="DP231" s="27" t="s">
        <v>7</v>
      </c>
      <c r="DQ231" s="32" t="s">
        <v>8</v>
      </c>
    </row>
    <row r="232" spans="1:168" x14ac:dyDescent="0.25">
      <c r="A232" s="30">
        <v>1.477455443789063</v>
      </c>
      <c r="E232"/>
      <c r="CU232" s="27" t="s">
        <v>8</v>
      </c>
      <c r="DA232" s="27" t="s">
        <v>8</v>
      </c>
      <c r="DB232" s="27" t="s">
        <v>7</v>
      </c>
      <c r="DC232" s="27" t="s">
        <v>8</v>
      </c>
      <c r="DF232" s="34" t="s">
        <v>7</v>
      </c>
      <c r="DG232" s="27" t="s">
        <v>8</v>
      </c>
      <c r="DH232" s="27" t="s">
        <v>7</v>
      </c>
      <c r="DI232" s="27" t="s">
        <v>8</v>
      </c>
      <c r="DJ232" s="27" t="s">
        <v>7</v>
      </c>
      <c r="DK232" s="32"/>
      <c r="DM232" s="27" t="s">
        <v>8</v>
      </c>
      <c r="DN232" s="27" t="s">
        <v>7</v>
      </c>
      <c r="DO232" s="27" t="s">
        <v>8</v>
      </c>
      <c r="DP232" s="27" t="s">
        <v>7</v>
      </c>
      <c r="DQ232" s="27" t="s">
        <v>8</v>
      </c>
      <c r="DR232" s="32" t="s">
        <v>7</v>
      </c>
      <c r="DS232" s="27" t="s">
        <v>8</v>
      </c>
    </row>
    <row r="233" spans="1:168" x14ac:dyDescent="0.25">
      <c r="A233" s="30">
        <v>1.4071004226562505</v>
      </c>
      <c r="E233"/>
      <c r="CU233" s="27" t="s">
        <v>8</v>
      </c>
      <c r="CV233" s="27" t="s">
        <v>7</v>
      </c>
      <c r="CW233" s="27" t="s">
        <v>8</v>
      </c>
      <c r="DA233" s="27" t="s">
        <v>8</v>
      </c>
      <c r="DB233" s="27" t="s">
        <v>7</v>
      </c>
      <c r="DC233" s="27" t="s">
        <v>8</v>
      </c>
      <c r="DF233" s="31" t="s">
        <v>7</v>
      </c>
      <c r="DH233" s="31" t="s">
        <v>7</v>
      </c>
      <c r="DJ233" s="27" t="s">
        <v>7</v>
      </c>
      <c r="DL233" s="32"/>
      <c r="DM233" s="27" t="s">
        <v>8</v>
      </c>
      <c r="DN233" s="27" t="s">
        <v>7</v>
      </c>
      <c r="DP233" s="27" t="s">
        <v>7</v>
      </c>
      <c r="DQ233" s="27" t="s">
        <v>8</v>
      </c>
      <c r="DR233" s="27" t="s">
        <v>7</v>
      </c>
      <c r="DS233" s="32" t="s">
        <v>8</v>
      </c>
      <c r="DT233" s="32" t="s">
        <v>7</v>
      </c>
    </row>
    <row r="234" spans="1:168" x14ac:dyDescent="0.25">
      <c r="A234" s="30">
        <v>1.3400956406250004</v>
      </c>
      <c r="E234"/>
      <c r="CU234" s="27" t="s">
        <v>8</v>
      </c>
      <c r="CV234" s="27" t="s">
        <v>7</v>
      </c>
      <c r="CW234" s="27" t="s">
        <v>8</v>
      </c>
      <c r="CX234" s="27" t="s">
        <v>7</v>
      </c>
      <c r="DA234" s="33" t="s">
        <v>8</v>
      </c>
      <c r="DB234" s="27" t="s">
        <v>7</v>
      </c>
      <c r="DJ234" s="27" t="s">
        <v>7</v>
      </c>
      <c r="DM234" s="32" t="s">
        <v>8</v>
      </c>
      <c r="DP234" s="34" t="s">
        <v>7</v>
      </c>
      <c r="DQ234" s="27" t="s">
        <v>8</v>
      </c>
      <c r="DR234" s="27" t="s">
        <v>7</v>
      </c>
      <c r="DS234" s="27" t="s">
        <v>8</v>
      </c>
      <c r="DT234" s="27" t="s">
        <v>7</v>
      </c>
      <c r="DU234" s="32"/>
    </row>
    <row r="235" spans="1:168" x14ac:dyDescent="0.25">
      <c r="A235" s="30">
        <v>1.2762815625000004</v>
      </c>
      <c r="C235"/>
      <c r="E235"/>
      <c r="CU235" s="27" t="s">
        <v>8</v>
      </c>
      <c r="CV235" s="27" t="s">
        <v>7</v>
      </c>
      <c r="CW235" s="27" t="s">
        <v>8</v>
      </c>
      <c r="CX235" s="27" t="s">
        <v>7</v>
      </c>
      <c r="CY235" s="27" t="s">
        <v>8</v>
      </c>
      <c r="DA235" s="27" t="s">
        <v>8</v>
      </c>
      <c r="DJ235" s="32" t="s">
        <v>7</v>
      </c>
      <c r="DM235" s="33" t="s">
        <v>8</v>
      </c>
      <c r="DP235" s="27" t="s">
        <v>7</v>
      </c>
      <c r="DQ235" s="27" t="s">
        <v>8</v>
      </c>
      <c r="DR235" s="27" t="s">
        <v>7</v>
      </c>
      <c r="DT235" s="27" t="s">
        <v>7</v>
      </c>
      <c r="DV235" s="32"/>
      <c r="FK235" s="27" t="s">
        <v>8</v>
      </c>
    </row>
    <row r="236" spans="1:168" x14ac:dyDescent="0.25">
      <c r="A236" s="30">
        <v>1.2155062500000002</v>
      </c>
      <c r="E236"/>
      <c r="CU236" s="27" t="s">
        <v>8</v>
      </c>
      <c r="CV236" s="27" t="s">
        <v>7</v>
      </c>
      <c r="CW236" s="27" t="s">
        <v>8</v>
      </c>
      <c r="CX236" s="27" t="s">
        <v>7</v>
      </c>
      <c r="CY236" s="27" t="s">
        <v>8</v>
      </c>
      <c r="CZ236" s="27" t="s">
        <v>7</v>
      </c>
      <c r="DA236" s="27" t="s">
        <v>8</v>
      </c>
      <c r="DI236" s="32"/>
      <c r="DJ236" s="27" t="s">
        <v>7</v>
      </c>
      <c r="DK236" s="27" t="s">
        <v>8</v>
      </c>
      <c r="DM236" s="27" t="s">
        <v>8</v>
      </c>
      <c r="DP236" s="27" t="s">
        <v>7</v>
      </c>
      <c r="DQ236" s="27" t="s">
        <v>8</v>
      </c>
      <c r="DT236" s="27" t="s">
        <v>7</v>
      </c>
      <c r="DW236" s="32"/>
      <c r="FK236" s="27" t="s">
        <v>8</v>
      </c>
      <c r="FL236" s="27" t="s">
        <v>7</v>
      </c>
    </row>
    <row r="237" spans="1:16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U237" s="27" t="s">
        <v>8</v>
      </c>
      <c r="CV237" s="27" t="s">
        <v>7</v>
      </c>
      <c r="CW237" s="27" t="s">
        <v>8</v>
      </c>
      <c r="CX237" s="27" t="s">
        <v>7</v>
      </c>
      <c r="CY237" s="27" t="s">
        <v>8</v>
      </c>
      <c r="CZ237" s="27" t="s">
        <v>7</v>
      </c>
      <c r="DA237" s="27" t="s">
        <v>8</v>
      </c>
      <c r="DH237" s="32"/>
      <c r="DJ237" s="27" t="s">
        <v>7</v>
      </c>
      <c r="DK237" s="27" t="s">
        <v>8</v>
      </c>
      <c r="DL237" s="27" t="s">
        <v>7</v>
      </c>
      <c r="DM237" s="27" t="s">
        <v>8</v>
      </c>
      <c r="DP237" s="27" t="s">
        <v>7</v>
      </c>
      <c r="DT237" s="27" t="s">
        <v>7</v>
      </c>
      <c r="DX237" s="32"/>
      <c r="FK237" s="27" t="s">
        <v>8</v>
      </c>
      <c r="FL237" s="27" t="s">
        <v>7</v>
      </c>
    </row>
    <row r="238" spans="1:168" x14ac:dyDescent="0.25">
      <c r="A238" s="30">
        <v>1.1025</v>
      </c>
      <c r="E238"/>
      <c r="CU238" s="27" t="s">
        <v>8</v>
      </c>
      <c r="CV238" s="27" t="s">
        <v>7</v>
      </c>
      <c r="CW238" s="27" t="s">
        <v>8</v>
      </c>
      <c r="CX238" s="27" t="s">
        <v>7</v>
      </c>
      <c r="CZ238" s="27" t="s">
        <v>7</v>
      </c>
      <c r="DA238" s="27" t="s">
        <v>8</v>
      </c>
      <c r="DG238" s="32"/>
      <c r="DJ238" s="27" t="s">
        <v>7</v>
      </c>
      <c r="DK238" s="27" t="s">
        <v>8</v>
      </c>
      <c r="DL238" s="27" t="s">
        <v>7</v>
      </c>
      <c r="DM238" s="27" t="s">
        <v>8</v>
      </c>
      <c r="DT238" s="27" t="s">
        <v>7</v>
      </c>
      <c r="DY238" s="32"/>
      <c r="FK238" s="27" t="s">
        <v>8</v>
      </c>
      <c r="FL238" s="27" t="s">
        <v>7</v>
      </c>
    </row>
    <row r="239" spans="1:168" x14ac:dyDescent="0.25">
      <c r="A239" s="30">
        <v>1.05</v>
      </c>
      <c r="E239"/>
      <c r="CS239" s="27" t="s">
        <v>8</v>
      </c>
      <c r="CU239" s="27" t="s">
        <v>8</v>
      </c>
      <c r="CV239" s="27" t="s">
        <v>7</v>
      </c>
      <c r="CW239" s="27" t="s">
        <v>8</v>
      </c>
      <c r="CZ239" s="34" t="s">
        <v>7</v>
      </c>
      <c r="DF239" s="32"/>
      <c r="DJ239" s="27" t="s">
        <v>7</v>
      </c>
      <c r="DK239" s="27" t="s">
        <v>8</v>
      </c>
      <c r="DL239" s="27" t="s">
        <v>7</v>
      </c>
      <c r="DT239" s="27" t="s">
        <v>7</v>
      </c>
      <c r="DZ239" s="32"/>
      <c r="FK239" s="27" t="s">
        <v>8</v>
      </c>
      <c r="FL239" s="27" t="s">
        <v>7</v>
      </c>
    </row>
    <row r="240" spans="1:168" x14ac:dyDescent="0.25">
      <c r="A240" s="30">
        <v>1</v>
      </c>
      <c r="E240" s="29" t="s">
        <v>8</v>
      </c>
      <c r="M240" s="27" t="s">
        <v>8</v>
      </c>
      <c r="CS240" s="27" t="s">
        <v>8</v>
      </c>
      <c r="CT240" s="27" t="s">
        <v>7</v>
      </c>
      <c r="CU240" s="27" t="s">
        <v>8</v>
      </c>
      <c r="CV240" s="27" t="s">
        <v>7</v>
      </c>
      <c r="CW240" s="27" t="s">
        <v>8</v>
      </c>
      <c r="DE240" s="32"/>
      <c r="DJ240" s="27" t="s">
        <v>7</v>
      </c>
      <c r="DT240" s="27" t="s">
        <v>7</v>
      </c>
      <c r="DU240" s="27" t="s">
        <v>8</v>
      </c>
      <c r="EA240" s="32"/>
      <c r="FA240" s="27" t="s">
        <v>8</v>
      </c>
      <c r="FK240" s="27" t="s">
        <v>8</v>
      </c>
      <c r="FL240" s="27" t="s">
        <v>7</v>
      </c>
    </row>
    <row r="241" spans="1:178" x14ac:dyDescent="0.25">
      <c r="A241" s="30">
        <v>0.952380952380952</v>
      </c>
      <c r="B241"/>
      <c r="C241"/>
      <c r="D241"/>
      <c r="E241"/>
      <c r="F241" s="27" t="s">
        <v>7</v>
      </c>
      <c r="M241" s="27" t="s">
        <v>8</v>
      </c>
      <c r="N241" s="27" t="s">
        <v>7</v>
      </c>
      <c r="CS241" s="27" t="s">
        <v>8</v>
      </c>
      <c r="CT241" s="27" t="s">
        <v>7</v>
      </c>
      <c r="CU241" s="27" t="s">
        <v>8</v>
      </c>
      <c r="CV241" s="27" t="s">
        <v>7</v>
      </c>
      <c r="CW241" s="27" t="s">
        <v>8</v>
      </c>
      <c r="DD241" s="32"/>
      <c r="DT241" s="27" t="s">
        <v>7</v>
      </c>
      <c r="DU241" s="27" t="s">
        <v>8</v>
      </c>
      <c r="DV241" s="27" t="s">
        <v>7</v>
      </c>
      <c r="DY241" s="27" t="s">
        <v>8</v>
      </c>
      <c r="EB241" s="32"/>
      <c r="FA241" s="27" t="s">
        <v>8</v>
      </c>
      <c r="FB241" s="27" t="s">
        <v>7</v>
      </c>
      <c r="FC241" s="27" t="s">
        <v>8</v>
      </c>
      <c r="FK241" s="27" t="s">
        <v>8</v>
      </c>
      <c r="FL241" s="27" t="s">
        <v>7</v>
      </c>
    </row>
    <row r="242" spans="1:178" x14ac:dyDescent="0.25">
      <c r="A242" s="30">
        <v>0.90702947845804915</v>
      </c>
      <c r="B242"/>
      <c r="C242"/>
      <c r="D242"/>
      <c r="E242"/>
      <c r="F242" s="27" t="s">
        <v>7</v>
      </c>
      <c r="M242" s="27" t="s">
        <v>8</v>
      </c>
      <c r="N242" s="27" t="s">
        <v>7</v>
      </c>
      <c r="CK242" s="27" t="s">
        <v>8</v>
      </c>
      <c r="CS242" s="27" t="s">
        <v>8</v>
      </c>
      <c r="CT242" s="27" t="s">
        <v>7</v>
      </c>
      <c r="CU242" s="27" t="s">
        <v>8</v>
      </c>
      <c r="CV242" s="27" t="s">
        <v>7</v>
      </c>
      <c r="DC242" s="32"/>
      <c r="DT242" s="27" t="s">
        <v>7</v>
      </c>
      <c r="DU242" s="27" t="s">
        <v>8</v>
      </c>
      <c r="DV242" s="27" t="s">
        <v>7</v>
      </c>
      <c r="DY242" s="27" t="s">
        <v>8</v>
      </c>
      <c r="DZ242" s="27" t="s">
        <v>7</v>
      </c>
      <c r="EC242" s="32"/>
      <c r="FA242" s="27" t="s">
        <v>8</v>
      </c>
      <c r="FB242" s="27" t="s">
        <v>7</v>
      </c>
      <c r="FC242" s="27" t="s">
        <v>8</v>
      </c>
      <c r="FD242" s="27" t="s">
        <v>7</v>
      </c>
      <c r="FK242" s="27" t="s">
        <v>8</v>
      </c>
      <c r="FL242" s="27" t="s">
        <v>7</v>
      </c>
      <c r="FM242" s="27" t="s">
        <v>8</v>
      </c>
    </row>
    <row r="243" spans="1:178" x14ac:dyDescent="0.25">
      <c r="A243" s="30">
        <v>0.86383759853147501</v>
      </c>
      <c r="B243"/>
      <c r="C243"/>
      <c r="D243"/>
      <c r="E243"/>
      <c r="F243" s="27" t="s">
        <v>7</v>
      </c>
      <c r="M243" s="27" t="s">
        <v>8</v>
      </c>
      <c r="N243" s="27" t="s">
        <v>7</v>
      </c>
      <c r="CK243" s="27" t="s">
        <v>8</v>
      </c>
      <c r="CL243" s="27" t="s">
        <v>7</v>
      </c>
      <c r="CS243" s="27" t="s">
        <v>8</v>
      </c>
      <c r="CT243" s="27" t="s">
        <v>7</v>
      </c>
      <c r="CU243" s="27" t="s">
        <v>8</v>
      </c>
      <c r="DB243" s="32"/>
      <c r="DT243" s="27" t="s">
        <v>7</v>
      </c>
      <c r="DU243" s="27" t="s">
        <v>8</v>
      </c>
      <c r="DV243" s="27" t="s">
        <v>7</v>
      </c>
      <c r="DY243" s="27" t="s">
        <v>8</v>
      </c>
      <c r="DZ243" s="27" t="s">
        <v>7</v>
      </c>
      <c r="EA243" s="27" t="s">
        <v>8</v>
      </c>
      <c r="ED243" s="32"/>
      <c r="ES243" s="27" t="s">
        <v>8</v>
      </c>
      <c r="EU243" s="27" t="s">
        <v>8</v>
      </c>
      <c r="FA243" s="27" t="s">
        <v>8</v>
      </c>
      <c r="FB243" s="27" t="s">
        <v>7</v>
      </c>
      <c r="FC243" s="27" t="s">
        <v>8</v>
      </c>
      <c r="FD243" s="27" t="s">
        <v>7</v>
      </c>
      <c r="FG243" s="27" t="s">
        <v>8</v>
      </c>
      <c r="FK243" s="27" t="s">
        <v>8</v>
      </c>
      <c r="FL243" s="27" t="s">
        <v>7</v>
      </c>
      <c r="FM243" s="27" t="s">
        <v>8</v>
      </c>
      <c r="FN243" s="27" t="s">
        <v>7</v>
      </c>
    </row>
    <row r="244" spans="1:178" x14ac:dyDescent="0.25">
      <c r="A244" s="30">
        <v>0.82270247479188063</v>
      </c>
      <c r="B244"/>
      <c r="C244"/>
      <c r="D244"/>
      <c r="E244"/>
      <c r="F244" s="27" t="s">
        <v>7</v>
      </c>
      <c r="M244" s="27" t="s">
        <v>8</v>
      </c>
      <c r="N244" s="27" t="s">
        <v>7</v>
      </c>
      <c r="CK244" s="27" t="s">
        <v>8</v>
      </c>
      <c r="CL244" s="27" t="s">
        <v>7</v>
      </c>
      <c r="CS244" s="27" t="s">
        <v>8</v>
      </c>
      <c r="CT244" s="27" t="s">
        <v>7</v>
      </c>
      <c r="DA244" s="32"/>
      <c r="DT244" s="27" t="s">
        <v>7</v>
      </c>
      <c r="DU244" s="27" t="s">
        <v>8</v>
      </c>
      <c r="DV244" s="27" t="s">
        <v>7</v>
      </c>
      <c r="DY244" s="33" t="s">
        <v>8</v>
      </c>
      <c r="DZ244" s="27" t="s">
        <v>7</v>
      </c>
      <c r="EA244" s="27" t="s">
        <v>8</v>
      </c>
      <c r="EB244" s="27" t="s">
        <v>7</v>
      </c>
      <c r="EE244" s="32"/>
      <c r="ES244" s="27" t="s">
        <v>8</v>
      </c>
      <c r="ET244" s="27" t="s">
        <v>7</v>
      </c>
      <c r="EU244" s="27" t="s">
        <v>8</v>
      </c>
      <c r="EV244" s="27" t="s">
        <v>7</v>
      </c>
      <c r="FA244" s="27" t="s">
        <v>8</v>
      </c>
      <c r="FB244" s="27" t="s">
        <v>7</v>
      </c>
      <c r="FC244" s="27" t="s">
        <v>8</v>
      </c>
      <c r="FD244" s="27" t="s">
        <v>7</v>
      </c>
      <c r="FG244" s="27" t="s">
        <v>8</v>
      </c>
      <c r="FH244" s="27" t="s">
        <v>7</v>
      </c>
      <c r="FK244" s="27" t="s">
        <v>8</v>
      </c>
      <c r="FL244" s="27" t="s">
        <v>7</v>
      </c>
      <c r="FM244" s="27" t="s">
        <v>8</v>
      </c>
      <c r="FN244" s="27" t="s">
        <v>7</v>
      </c>
      <c r="FO244" s="27" t="s">
        <v>8</v>
      </c>
    </row>
    <row r="245" spans="1:178" x14ac:dyDescent="0.25">
      <c r="A245" s="30">
        <v>0.78352616646845741</v>
      </c>
      <c r="B245"/>
      <c r="C245"/>
      <c r="D245"/>
      <c r="E245"/>
      <c r="F245" s="27" t="s">
        <v>7</v>
      </c>
      <c r="M245" s="27" t="s">
        <v>8</v>
      </c>
      <c r="N245" s="27" t="s">
        <v>7</v>
      </c>
      <c r="O245" s="27" t="s">
        <v>8</v>
      </c>
      <c r="CK245" s="27" t="s">
        <v>8</v>
      </c>
      <c r="CL245" s="27" t="s">
        <v>7</v>
      </c>
      <c r="CS245" s="27" t="s">
        <v>8</v>
      </c>
      <c r="CZ245" s="32"/>
      <c r="DT245" s="27" t="s">
        <v>7</v>
      </c>
      <c r="DU245" s="27" t="s">
        <v>8</v>
      </c>
      <c r="DV245" s="27" t="s">
        <v>7</v>
      </c>
      <c r="DW245" s="27" t="s">
        <v>8</v>
      </c>
      <c r="DY245" s="27" t="s">
        <v>8</v>
      </c>
      <c r="DZ245" s="27" t="s">
        <v>7</v>
      </c>
      <c r="EA245" s="27" t="s">
        <v>8</v>
      </c>
      <c r="EB245" s="27" t="s">
        <v>7</v>
      </c>
      <c r="EF245" s="32"/>
      <c r="EO245" s="27" t="s">
        <v>8</v>
      </c>
      <c r="EQ245" s="27" t="s">
        <v>8</v>
      </c>
      <c r="ES245" s="27" t="s">
        <v>8</v>
      </c>
      <c r="ET245" s="27" t="s">
        <v>7</v>
      </c>
      <c r="EU245" s="27" t="s">
        <v>8</v>
      </c>
      <c r="EV245" s="27" t="s">
        <v>7</v>
      </c>
      <c r="FA245" s="27" t="s">
        <v>8</v>
      </c>
      <c r="FB245" s="27" t="s">
        <v>7</v>
      </c>
      <c r="FC245" s="27" t="s">
        <v>8</v>
      </c>
      <c r="FD245" s="27" t="s">
        <v>7</v>
      </c>
      <c r="FE245" s="27" t="s">
        <v>8</v>
      </c>
      <c r="FG245" s="27" t="s">
        <v>8</v>
      </c>
      <c r="FH245" s="27" t="s">
        <v>7</v>
      </c>
      <c r="FK245" s="27" t="s">
        <v>8</v>
      </c>
      <c r="FL245" s="27" t="s">
        <v>7</v>
      </c>
      <c r="FM245" s="27" t="s">
        <v>8</v>
      </c>
      <c r="FN245" s="27" t="s">
        <v>7</v>
      </c>
      <c r="FO245" s="27" t="s">
        <v>8</v>
      </c>
      <c r="FP245" s="27" t="s">
        <v>7</v>
      </c>
    </row>
    <row r="246" spans="1:178" x14ac:dyDescent="0.25">
      <c r="A246" s="30">
        <v>0.74621539663662584</v>
      </c>
      <c r="B246"/>
      <c r="C246"/>
      <c r="D246"/>
      <c r="E246"/>
      <c r="F246" s="27" t="s">
        <v>7</v>
      </c>
      <c r="M246" s="27" t="s">
        <v>8</v>
      </c>
      <c r="N246" s="27" t="s">
        <v>7</v>
      </c>
      <c r="O246" s="27" t="s">
        <v>8</v>
      </c>
      <c r="P246" s="27" t="s">
        <v>7</v>
      </c>
      <c r="CI246" s="27" t="s">
        <v>8</v>
      </c>
      <c r="CK246" s="27" t="s">
        <v>8</v>
      </c>
      <c r="CL246" s="27" t="s">
        <v>7</v>
      </c>
      <c r="CS246" s="27" t="s">
        <v>8</v>
      </c>
      <c r="CY246" s="32"/>
      <c r="DT246" s="27" t="s">
        <v>7</v>
      </c>
      <c r="DU246" s="27" t="s">
        <v>8</v>
      </c>
      <c r="DV246" s="27" t="s">
        <v>7</v>
      </c>
      <c r="DW246" s="27" t="s">
        <v>8</v>
      </c>
      <c r="DX246" s="27" t="s">
        <v>7</v>
      </c>
      <c r="DY246" s="27" t="s">
        <v>8</v>
      </c>
      <c r="DZ246" s="27" t="s">
        <v>7</v>
      </c>
      <c r="EA246" s="27" t="s">
        <v>8</v>
      </c>
      <c r="EB246" s="27" t="s">
        <v>7</v>
      </c>
      <c r="EC246" s="27" t="s">
        <v>8</v>
      </c>
      <c r="EG246" s="32"/>
      <c r="EO246" s="27" t="s">
        <v>8</v>
      </c>
      <c r="EP246" s="27" t="s">
        <v>7</v>
      </c>
      <c r="EQ246" s="27" t="s">
        <v>8</v>
      </c>
      <c r="ER246" s="27" t="s">
        <v>7</v>
      </c>
      <c r="ES246" s="27" t="s">
        <v>8</v>
      </c>
      <c r="ET246" s="27" t="s">
        <v>7</v>
      </c>
      <c r="EU246" s="27" t="s">
        <v>8</v>
      </c>
      <c r="EV246" s="27" t="s">
        <v>7</v>
      </c>
      <c r="EW246" s="27" t="s">
        <v>8</v>
      </c>
      <c r="FA246" s="27" t="s">
        <v>8</v>
      </c>
      <c r="FB246" s="27" t="s">
        <v>7</v>
      </c>
      <c r="FC246" s="27" t="s">
        <v>8</v>
      </c>
      <c r="FD246" s="27" t="s">
        <v>7</v>
      </c>
      <c r="FE246" s="27" t="s">
        <v>8</v>
      </c>
      <c r="FF246" s="27" t="s">
        <v>7</v>
      </c>
      <c r="FG246" s="27" t="s">
        <v>8</v>
      </c>
      <c r="FH246" s="27" t="s">
        <v>7</v>
      </c>
      <c r="FK246" s="27" t="s">
        <v>8</v>
      </c>
      <c r="FL246" s="27" t="s">
        <v>7</v>
      </c>
      <c r="FM246" s="27" t="s">
        <v>8</v>
      </c>
      <c r="FN246" s="27" t="s">
        <v>7</v>
      </c>
      <c r="FO246" s="27" t="s">
        <v>8</v>
      </c>
      <c r="FP246" s="27" t="s">
        <v>7</v>
      </c>
      <c r="FQ246" s="27" t="s">
        <v>8</v>
      </c>
      <c r="FS246" s="27" t="s">
        <v>8</v>
      </c>
    </row>
    <row r="247" spans="1:178" x14ac:dyDescent="0.25">
      <c r="A247" s="30">
        <v>0.71068133013011958</v>
      </c>
      <c r="B247"/>
      <c r="C247"/>
      <c r="D247"/>
      <c r="E247"/>
      <c r="F247" s="27" t="s">
        <v>7</v>
      </c>
      <c r="M247" s="27" t="s">
        <v>8</v>
      </c>
      <c r="N247" s="27" t="s">
        <v>7</v>
      </c>
      <c r="O247" s="27" t="s">
        <v>8</v>
      </c>
      <c r="P247" s="27" t="s">
        <v>7</v>
      </c>
      <c r="CI247" s="27" t="s">
        <v>8</v>
      </c>
      <c r="CJ247" s="27" t="s">
        <v>7</v>
      </c>
      <c r="CK247" s="27" t="s">
        <v>8</v>
      </c>
      <c r="CL247" s="27" t="s">
        <v>7</v>
      </c>
      <c r="CS247" s="27" t="s">
        <v>8</v>
      </c>
      <c r="CX247" s="32"/>
      <c r="DT247" s="27" t="s">
        <v>7</v>
      </c>
      <c r="DU247" s="27" t="s">
        <v>8</v>
      </c>
      <c r="DV247" s="27" t="s">
        <v>7</v>
      </c>
      <c r="DW247" s="27" t="s">
        <v>8</v>
      </c>
      <c r="DX247" s="27" t="s">
        <v>7</v>
      </c>
      <c r="DY247" s="27" t="s">
        <v>8</v>
      </c>
      <c r="DZ247" s="27" t="s">
        <v>7</v>
      </c>
      <c r="EB247" s="27" t="s">
        <v>7</v>
      </c>
      <c r="EC247" s="27" t="s">
        <v>8</v>
      </c>
      <c r="ED247" s="27" t="s">
        <v>7</v>
      </c>
      <c r="EE247" s="27" t="s">
        <v>8</v>
      </c>
      <c r="EH247" s="32"/>
      <c r="EO247" s="27" t="s">
        <v>8</v>
      </c>
      <c r="EP247" s="27" t="s">
        <v>7</v>
      </c>
      <c r="EQ247" s="27" t="s">
        <v>8</v>
      </c>
      <c r="ER247" s="27" t="s">
        <v>7</v>
      </c>
      <c r="ES247" s="27" t="s">
        <v>8</v>
      </c>
      <c r="ET247" s="27" t="s">
        <v>7</v>
      </c>
      <c r="EU247" s="27" t="s">
        <v>8</v>
      </c>
      <c r="EV247" s="27" t="s">
        <v>7</v>
      </c>
      <c r="EW247" s="27" t="s">
        <v>8</v>
      </c>
      <c r="EX247" s="27" t="s">
        <v>7</v>
      </c>
      <c r="FA247" s="27" t="s">
        <v>8</v>
      </c>
      <c r="FB247" s="27" t="s">
        <v>7</v>
      </c>
      <c r="FC247" s="27" t="s">
        <v>8</v>
      </c>
      <c r="FD247" s="27" t="s">
        <v>7</v>
      </c>
      <c r="FE247" s="27" t="s">
        <v>8</v>
      </c>
      <c r="FF247" s="27" t="s">
        <v>7</v>
      </c>
      <c r="FG247" s="27" t="s">
        <v>8</v>
      </c>
      <c r="FH247" s="27" t="s">
        <v>7</v>
      </c>
      <c r="FI247" s="27" t="s">
        <v>8</v>
      </c>
      <c r="FK247" s="27" t="s">
        <v>8</v>
      </c>
      <c r="FL247" s="27" t="s">
        <v>7</v>
      </c>
      <c r="FM247" s="27" t="s">
        <v>8</v>
      </c>
      <c r="FN247" s="27" t="s">
        <v>7</v>
      </c>
      <c r="FO247" s="27" t="s">
        <v>8</v>
      </c>
      <c r="FP247" s="27" t="s">
        <v>7</v>
      </c>
      <c r="FQ247" s="27" t="s">
        <v>8</v>
      </c>
      <c r="FR247" s="27" t="s">
        <v>7</v>
      </c>
      <c r="FS247" s="27" t="s">
        <v>8</v>
      </c>
      <c r="FT247" s="27" t="s">
        <v>7</v>
      </c>
    </row>
    <row r="248" spans="1:178" x14ac:dyDescent="0.25">
      <c r="A248" s="30">
        <v>0.676839362028685</v>
      </c>
      <c r="B248"/>
      <c r="C248"/>
      <c r="D248"/>
      <c r="E248"/>
      <c r="F248" s="27" t="s">
        <v>7</v>
      </c>
      <c r="I248" s="27" t="s">
        <v>8</v>
      </c>
      <c r="K248" s="27" t="s">
        <v>8</v>
      </c>
      <c r="M248" s="27" t="s">
        <v>8</v>
      </c>
      <c r="N248" s="27" t="s">
        <v>7</v>
      </c>
      <c r="P248" s="27" t="s">
        <v>7</v>
      </c>
      <c r="CI248" s="27" t="s">
        <v>8</v>
      </c>
      <c r="CJ248" s="27" t="s">
        <v>7</v>
      </c>
      <c r="CK248" s="27" t="s">
        <v>8</v>
      </c>
      <c r="CL248" s="27" t="s">
        <v>7</v>
      </c>
      <c r="CS248" s="27" t="s">
        <v>8</v>
      </c>
      <c r="CW248" s="32"/>
      <c r="DT248" s="31" t="s">
        <v>7</v>
      </c>
      <c r="DV248" s="31" t="s">
        <v>7</v>
      </c>
      <c r="DX248" s="27" t="s">
        <v>7</v>
      </c>
      <c r="DY248" s="27" t="s">
        <v>8</v>
      </c>
      <c r="EB248" s="34" t="s">
        <v>7</v>
      </c>
      <c r="EC248" s="27" t="s">
        <v>8</v>
      </c>
      <c r="ED248" s="27" t="s">
        <v>7</v>
      </c>
      <c r="EE248" s="27" t="s">
        <v>8</v>
      </c>
      <c r="EF248" s="27" t="s">
        <v>7</v>
      </c>
      <c r="EI248" s="32"/>
      <c r="EO248" s="27" t="s">
        <v>8</v>
      </c>
      <c r="EP248" s="27" t="s">
        <v>7</v>
      </c>
      <c r="EQ248" s="27" t="s">
        <v>8</v>
      </c>
      <c r="ER248" s="27" t="s">
        <v>7</v>
      </c>
      <c r="ES248" s="27" t="s">
        <v>8</v>
      </c>
      <c r="ET248" s="27" t="s">
        <v>7</v>
      </c>
      <c r="EU248" s="27" t="s">
        <v>8</v>
      </c>
      <c r="EV248" s="27" t="s">
        <v>7</v>
      </c>
      <c r="EW248" s="27" t="s">
        <v>8</v>
      </c>
      <c r="EX248" s="27" t="s">
        <v>7</v>
      </c>
      <c r="FA248" s="27" t="s">
        <v>8</v>
      </c>
      <c r="FB248" s="27" t="s">
        <v>7</v>
      </c>
      <c r="FD248" s="27" t="s">
        <v>7</v>
      </c>
      <c r="FF248" s="27" t="s">
        <v>7</v>
      </c>
      <c r="FG248" s="27" t="s">
        <v>8</v>
      </c>
      <c r="FH248" s="27" t="s">
        <v>7</v>
      </c>
      <c r="FI248" s="27" t="s">
        <v>8</v>
      </c>
      <c r="FJ248" s="27" t="s">
        <v>7</v>
      </c>
      <c r="FK248" s="27" t="s">
        <v>8</v>
      </c>
      <c r="FL248" s="27" t="s">
        <v>7</v>
      </c>
      <c r="FN248" s="27" t="s">
        <v>7</v>
      </c>
      <c r="FP248" s="27" t="s">
        <v>7</v>
      </c>
      <c r="FQ248" s="27" t="s">
        <v>8</v>
      </c>
      <c r="FR248" s="27" t="s">
        <v>7</v>
      </c>
      <c r="FS248" s="27" t="s">
        <v>8</v>
      </c>
      <c r="FT248" s="27" t="s">
        <v>7</v>
      </c>
    </row>
    <row r="249" spans="1:178" x14ac:dyDescent="0.25">
      <c r="A249" s="30">
        <v>0.64460891621779492</v>
      </c>
      <c r="B249"/>
      <c r="C249"/>
      <c r="D249"/>
      <c r="E249"/>
      <c r="F249" s="27" t="s">
        <v>7</v>
      </c>
      <c r="I249" s="27" t="s">
        <v>8</v>
      </c>
      <c r="J249" s="27" t="s">
        <v>7</v>
      </c>
      <c r="K249" s="27" t="s">
        <v>8</v>
      </c>
      <c r="L249" s="27" t="s">
        <v>7</v>
      </c>
      <c r="M249" s="27" t="s">
        <v>8</v>
      </c>
      <c r="P249" s="27" t="s">
        <v>7</v>
      </c>
      <c r="Q249" s="27" t="s">
        <v>8</v>
      </c>
      <c r="AU249" s="27" t="s">
        <v>8</v>
      </c>
      <c r="AY249" s="27" t="s">
        <v>8</v>
      </c>
      <c r="CI249" s="27" t="s">
        <v>8</v>
      </c>
      <c r="CJ249" s="27" t="s">
        <v>7</v>
      </c>
      <c r="CK249" s="27" t="s">
        <v>8</v>
      </c>
      <c r="CL249" s="27" t="s">
        <v>7</v>
      </c>
      <c r="CM249" s="27" t="s">
        <v>8</v>
      </c>
      <c r="CQ249" s="27" t="s">
        <v>8</v>
      </c>
      <c r="CS249" s="27" t="s">
        <v>8</v>
      </c>
      <c r="CV249" s="32"/>
      <c r="DX249" s="27" t="s">
        <v>7</v>
      </c>
      <c r="DY249" s="27" t="s">
        <v>8</v>
      </c>
      <c r="EB249" s="27" t="s">
        <v>7</v>
      </c>
      <c r="EC249" s="27" t="s">
        <v>8</v>
      </c>
      <c r="ED249" s="27" t="s">
        <v>7</v>
      </c>
      <c r="EE249" s="27" t="s">
        <v>8</v>
      </c>
      <c r="EF249" s="27" t="s">
        <v>7</v>
      </c>
      <c r="EJ249" s="32"/>
      <c r="EM249" s="32" t="s">
        <v>8</v>
      </c>
      <c r="EO249" s="27" t="s">
        <v>8</v>
      </c>
      <c r="EP249" s="27" t="s">
        <v>7</v>
      </c>
      <c r="ER249" s="27" t="s">
        <v>7</v>
      </c>
      <c r="ET249" s="27" t="s">
        <v>7</v>
      </c>
      <c r="EU249" s="27" t="s">
        <v>8</v>
      </c>
      <c r="EV249" s="27" t="s">
        <v>7</v>
      </c>
      <c r="EX249" s="27" t="s">
        <v>7</v>
      </c>
      <c r="EY249" s="27" t="s">
        <v>8</v>
      </c>
      <c r="FA249" s="27" t="s">
        <v>8</v>
      </c>
      <c r="FF249" s="27" t="s">
        <v>7</v>
      </c>
      <c r="FG249" s="27" t="s">
        <v>8</v>
      </c>
      <c r="FH249" s="27" t="s">
        <v>7</v>
      </c>
      <c r="FI249" s="27" t="s">
        <v>8</v>
      </c>
      <c r="FJ249" s="27" t="s">
        <v>7</v>
      </c>
      <c r="FK249" s="27" t="s">
        <v>8</v>
      </c>
      <c r="FP249" s="27" t="s">
        <v>7</v>
      </c>
      <c r="FQ249" s="27" t="s">
        <v>8</v>
      </c>
      <c r="FR249" s="27" t="s">
        <v>7</v>
      </c>
      <c r="FS249" s="27" t="s">
        <v>8</v>
      </c>
      <c r="FT249" s="27" t="s">
        <v>7</v>
      </c>
    </row>
    <row r="250" spans="1:178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I250" s="27" t="s">
        <v>8</v>
      </c>
      <c r="J250" s="27" t="s">
        <v>7</v>
      </c>
      <c r="K250" s="27" t="s">
        <v>8</v>
      </c>
      <c r="L250" s="27" t="s">
        <v>7</v>
      </c>
      <c r="M250" s="27" t="s">
        <v>8</v>
      </c>
      <c r="P250" s="27" t="s">
        <v>7</v>
      </c>
      <c r="Q250" s="27" t="s">
        <v>8</v>
      </c>
      <c r="R250" s="27" t="s">
        <v>7</v>
      </c>
      <c r="AU250" s="27" t="s">
        <v>8</v>
      </c>
      <c r="AV250" s="27" t="s">
        <v>7</v>
      </c>
      <c r="AW250" s="27" t="s">
        <v>8</v>
      </c>
      <c r="AY250" s="27" t="s">
        <v>8</v>
      </c>
      <c r="AZ250" s="27" t="s">
        <v>7</v>
      </c>
      <c r="CI250" s="27" t="s">
        <v>8</v>
      </c>
      <c r="CJ250" s="27" t="s">
        <v>7</v>
      </c>
      <c r="CK250" s="27" t="s">
        <v>8</v>
      </c>
      <c r="CL250" s="27" t="s">
        <v>7</v>
      </c>
      <c r="CM250" s="27" t="s">
        <v>8</v>
      </c>
      <c r="CN250" s="27" t="s">
        <v>7</v>
      </c>
      <c r="CQ250" s="33" t="s">
        <v>8</v>
      </c>
      <c r="CR250" s="27" t="s">
        <v>7</v>
      </c>
      <c r="CS250" s="27" t="s">
        <v>8</v>
      </c>
      <c r="CU250" s="32"/>
      <c r="DX250" s="27" t="s">
        <v>7</v>
      </c>
      <c r="DY250" s="27" t="s">
        <v>8</v>
      </c>
      <c r="EB250" s="27" t="s">
        <v>7</v>
      </c>
      <c r="EC250" s="27" t="s">
        <v>8</v>
      </c>
      <c r="ED250" s="27" t="s">
        <v>7</v>
      </c>
      <c r="EE250" s="27" t="s">
        <v>8</v>
      </c>
      <c r="EF250" s="27" t="s">
        <v>7</v>
      </c>
      <c r="EK250" s="32"/>
      <c r="EM250" s="27" t="s">
        <v>8</v>
      </c>
      <c r="EN250" s="32" t="s">
        <v>7</v>
      </c>
      <c r="EO250" s="27" t="s">
        <v>8</v>
      </c>
      <c r="ET250" s="27" t="s">
        <v>7</v>
      </c>
      <c r="EX250" s="27" t="s">
        <v>7</v>
      </c>
      <c r="EY250" s="27" t="s">
        <v>8</v>
      </c>
      <c r="EZ250" s="27" t="s">
        <v>7</v>
      </c>
      <c r="FA250" s="27" t="s">
        <v>8</v>
      </c>
      <c r="FF250" s="27" t="s">
        <v>7</v>
      </c>
      <c r="FG250" s="27" t="s">
        <v>8</v>
      </c>
      <c r="FH250" s="27" t="s">
        <v>7</v>
      </c>
      <c r="FI250" s="27" t="s">
        <v>8</v>
      </c>
      <c r="FJ250" s="27" t="s">
        <v>7</v>
      </c>
      <c r="FP250" s="27" t="s">
        <v>7</v>
      </c>
      <c r="FQ250" s="27" t="s">
        <v>8</v>
      </c>
      <c r="FR250" s="27" t="s">
        <v>7</v>
      </c>
      <c r="FS250" s="27" t="s">
        <v>8</v>
      </c>
      <c r="FT250" s="27" t="s">
        <v>7</v>
      </c>
    </row>
    <row r="251" spans="1:178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J251" s="27" t="s">
        <v>7</v>
      </c>
      <c r="L251" s="27" t="s">
        <v>7</v>
      </c>
      <c r="M251" s="27" t="s">
        <v>8</v>
      </c>
      <c r="P251" s="27" t="s">
        <v>7</v>
      </c>
      <c r="Q251" s="27" t="s">
        <v>8</v>
      </c>
      <c r="R251" s="27" t="s">
        <v>7</v>
      </c>
      <c r="AU251" s="27" t="s">
        <v>8</v>
      </c>
      <c r="AV251" s="27" t="s">
        <v>7</v>
      </c>
      <c r="AW251" s="27" t="s">
        <v>8</v>
      </c>
      <c r="AX251" s="27" t="s">
        <v>7</v>
      </c>
      <c r="AY251" s="27" t="s">
        <v>8</v>
      </c>
      <c r="AZ251" s="27" t="s">
        <v>7</v>
      </c>
      <c r="CI251" s="27" t="s">
        <v>8</v>
      </c>
      <c r="CJ251" s="27" t="s">
        <v>7</v>
      </c>
      <c r="CL251" s="27" t="s">
        <v>7</v>
      </c>
      <c r="CM251" s="27" t="s">
        <v>8</v>
      </c>
      <c r="CN251" s="27" t="s">
        <v>7</v>
      </c>
      <c r="CO251" s="27" t="s">
        <v>8</v>
      </c>
      <c r="CQ251" s="27" t="s">
        <v>8</v>
      </c>
      <c r="CR251" s="27" t="s">
        <v>7</v>
      </c>
      <c r="CS251" s="27" t="s">
        <v>8</v>
      </c>
      <c r="CT251" s="32"/>
      <c r="DX251" s="27" t="s">
        <v>7</v>
      </c>
      <c r="DY251" s="27" t="s">
        <v>8</v>
      </c>
      <c r="EB251" s="27" t="s">
        <v>7</v>
      </c>
      <c r="EC251" s="27" t="s">
        <v>8</v>
      </c>
      <c r="ED251" s="27" t="s">
        <v>7</v>
      </c>
      <c r="EF251" s="27" t="s">
        <v>7</v>
      </c>
      <c r="EL251" s="32"/>
      <c r="EM251" s="27" t="s">
        <v>8</v>
      </c>
      <c r="EN251" s="27" t="s">
        <v>7</v>
      </c>
      <c r="EO251" s="32" t="s">
        <v>8</v>
      </c>
      <c r="EX251" s="27" t="s">
        <v>7</v>
      </c>
      <c r="EY251" s="27" t="s">
        <v>8</v>
      </c>
      <c r="EZ251" s="27" t="s">
        <v>7</v>
      </c>
      <c r="FA251" s="27" t="s">
        <v>8</v>
      </c>
      <c r="FF251" s="27" t="s">
        <v>7</v>
      </c>
      <c r="FH251" s="27" t="s">
        <v>7</v>
      </c>
      <c r="FP251" s="27" t="s">
        <v>7</v>
      </c>
      <c r="FQ251" s="27" t="s">
        <v>8</v>
      </c>
      <c r="FR251" s="27" t="s">
        <v>7</v>
      </c>
      <c r="FT251" s="27" t="s">
        <v>7</v>
      </c>
    </row>
    <row r="252" spans="1:178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L252" s="27" t="s">
        <v>7</v>
      </c>
      <c r="P252" s="27" t="s">
        <v>7</v>
      </c>
      <c r="R252" s="27" t="s">
        <v>7</v>
      </c>
      <c r="AK252" s="27" t="s">
        <v>8</v>
      </c>
      <c r="AU252" s="27" t="s">
        <v>8</v>
      </c>
      <c r="AV252" s="27" t="s">
        <v>7</v>
      </c>
      <c r="AW252" s="27" t="s">
        <v>8</v>
      </c>
      <c r="AX252" s="27" t="s">
        <v>7</v>
      </c>
      <c r="AY252" s="27" t="s">
        <v>8</v>
      </c>
      <c r="AZ252" s="27" t="s">
        <v>7</v>
      </c>
      <c r="BA252" s="27" t="s">
        <v>8</v>
      </c>
      <c r="CI252" s="27" t="s">
        <v>8</v>
      </c>
      <c r="CL252" s="27" t="s">
        <v>7</v>
      </c>
      <c r="CM252" s="27" t="s">
        <v>8</v>
      </c>
      <c r="CN252" s="27" t="s">
        <v>7</v>
      </c>
      <c r="CO252" s="27" t="s">
        <v>8</v>
      </c>
      <c r="CP252" s="27" t="s">
        <v>7</v>
      </c>
      <c r="CQ252" s="27" t="s">
        <v>8</v>
      </c>
      <c r="CR252" s="27" t="s">
        <v>7</v>
      </c>
      <c r="CS252" s="32"/>
      <c r="DX252" s="27" t="s">
        <v>7</v>
      </c>
      <c r="DY252" s="27" t="s">
        <v>8</v>
      </c>
      <c r="EB252" s="27" t="s">
        <v>7</v>
      </c>
      <c r="EF252" s="27" t="s">
        <v>7</v>
      </c>
      <c r="EM252" s="32" t="s">
        <v>8</v>
      </c>
      <c r="EN252" s="27" t="s">
        <v>7</v>
      </c>
      <c r="EO252" s="27" t="s">
        <v>8</v>
      </c>
      <c r="EP252" s="36"/>
      <c r="EX252" s="27" t="s">
        <v>7</v>
      </c>
      <c r="EY252" s="27" t="s">
        <v>8</v>
      </c>
      <c r="EZ252" s="27" t="s">
        <v>7</v>
      </c>
      <c r="FA252" s="27" t="s">
        <v>8</v>
      </c>
      <c r="FP252" s="27" t="s">
        <v>7</v>
      </c>
      <c r="FQ252" s="27" t="s">
        <v>8</v>
      </c>
      <c r="FT252" s="27" t="s">
        <v>7</v>
      </c>
      <c r="FU252" s="27" t="s">
        <v>8</v>
      </c>
    </row>
    <row r="253" spans="1:178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R253" s="27" t="s">
        <v>7</v>
      </c>
      <c r="S253" s="27" t="s">
        <v>8</v>
      </c>
      <c r="AK253" s="27" t="s">
        <v>8</v>
      </c>
      <c r="AL253" s="27" t="s">
        <v>7</v>
      </c>
      <c r="AO253" s="27" t="s">
        <v>8</v>
      </c>
      <c r="AU253" s="27" t="s">
        <v>8</v>
      </c>
      <c r="AV253" s="27" t="s">
        <v>7</v>
      </c>
      <c r="AW253" s="27" t="s">
        <v>8</v>
      </c>
      <c r="AX253" s="27" t="s">
        <v>7</v>
      </c>
      <c r="AZ253" s="27" t="s">
        <v>7</v>
      </c>
      <c r="BA253" s="27" t="s">
        <v>8</v>
      </c>
      <c r="BB253" s="27" t="s">
        <v>7</v>
      </c>
      <c r="CI253" s="27" t="s">
        <v>8</v>
      </c>
      <c r="CL253" s="27" t="s">
        <v>7</v>
      </c>
      <c r="CM253" s="27" t="s">
        <v>8</v>
      </c>
      <c r="CN253" s="27" t="s">
        <v>7</v>
      </c>
      <c r="CO253" s="27" t="s">
        <v>8</v>
      </c>
      <c r="CP253" s="27" t="s">
        <v>7</v>
      </c>
      <c r="CQ253" s="27" t="s">
        <v>8</v>
      </c>
      <c r="CR253" s="32"/>
      <c r="DX253" s="27" t="s">
        <v>7</v>
      </c>
      <c r="DY253" s="27" t="s">
        <v>8</v>
      </c>
      <c r="EF253" s="27" t="s">
        <v>7</v>
      </c>
      <c r="EM253" s="27" t="s">
        <v>8</v>
      </c>
      <c r="EN253" s="27" t="s">
        <v>7</v>
      </c>
      <c r="EO253" s="27" t="s">
        <v>8</v>
      </c>
      <c r="EQ253" s="36"/>
      <c r="EV253" s="35"/>
      <c r="EX253" s="27" t="s">
        <v>7</v>
      </c>
      <c r="EY253" s="27" t="s">
        <v>8</v>
      </c>
      <c r="EZ253" s="27" t="s">
        <v>7</v>
      </c>
      <c r="FA253" s="27" t="s">
        <v>8</v>
      </c>
      <c r="FP253" s="27" t="s">
        <v>7</v>
      </c>
      <c r="FT253" s="27" t="s">
        <v>7</v>
      </c>
      <c r="FU253" s="27" t="s">
        <v>8</v>
      </c>
      <c r="FV253" s="27" t="s">
        <v>7</v>
      </c>
    </row>
    <row r="254" spans="1:178" x14ac:dyDescent="0.25">
      <c r="A254" s="30">
        <v>0.50506795299551588</v>
      </c>
      <c r="B254"/>
      <c r="C254"/>
      <c r="D254"/>
      <c r="E254"/>
      <c r="F254" s="27" t="s">
        <v>7</v>
      </c>
      <c r="R254" s="27" t="s">
        <v>7</v>
      </c>
      <c r="S254" s="27" t="s">
        <v>8</v>
      </c>
      <c r="T254" s="27" t="s">
        <v>7</v>
      </c>
      <c r="AK254" s="27" t="s">
        <v>8</v>
      </c>
      <c r="AL254" s="27" t="s">
        <v>7</v>
      </c>
      <c r="AM254" s="27" t="s">
        <v>8</v>
      </c>
      <c r="AO254" s="27" t="s">
        <v>8</v>
      </c>
      <c r="AP254" s="27" t="s">
        <v>7</v>
      </c>
      <c r="AU254" s="27" t="s">
        <v>8</v>
      </c>
      <c r="AV254" s="27" t="s">
        <v>7</v>
      </c>
      <c r="AW254" s="27" t="s">
        <v>8</v>
      </c>
      <c r="AZ254" s="27" t="s">
        <v>7</v>
      </c>
      <c r="BA254" s="27" t="s">
        <v>8</v>
      </c>
      <c r="BB254" s="27" t="s">
        <v>7</v>
      </c>
      <c r="BC254" s="27" t="s">
        <v>8</v>
      </c>
      <c r="BS254" s="27" t="s">
        <v>8</v>
      </c>
      <c r="CI254" s="27" t="s">
        <v>8</v>
      </c>
      <c r="CL254" s="27" t="s">
        <v>7</v>
      </c>
      <c r="CM254" s="27" t="s">
        <v>8</v>
      </c>
      <c r="CN254" s="27" t="s">
        <v>7</v>
      </c>
      <c r="CO254" s="27" t="s">
        <v>8</v>
      </c>
      <c r="CP254" s="27" t="s">
        <v>7</v>
      </c>
      <c r="CQ254" s="32" t="s">
        <v>8</v>
      </c>
      <c r="DX254" s="27" t="s">
        <v>7</v>
      </c>
      <c r="DY254" s="27" t="s">
        <v>8</v>
      </c>
      <c r="EF254" s="27" t="s">
        <v>7</v>
      </c>
      <c r="EK254" s="27" t="s">
        <v>8</v>
      </c>
      <c r="EM254" s="27" t="s">
        <v>8</v>
      </c>
      <c r="EN254" s="27" t="s">
        <v>7</v>
      </c>
      <c r="EO254" s="27" t="s">
        <v>8</v>
      </c>
      <c r="EU254" s="35"/>
      <c r="EX254" s="27" t="s">
        <v>7</v>
      </c>
      <c r="EZ254" s="27" t="s">
        <v>7</v>
      </c>
      <c r="FT254" s="27" t="s">
        <v>7</v>
      </c>
      <c r="FU254" s="27" t="s">
        <v>8</v>
      </c>
      <c r="FV254" s="27" t="s">
        <v>7</v>
      </c>
    </row>
    <row r="255" spans="1:178" x14ac:dyDescent="0.25">
      <c r="A255" s="30">
        <v>0.48101709809096732</v>
      </c>
      <c r="E255"/>
      <c r="R255" s="27" t="s">
        <v>7</v>
      </c>
      <c r="S255" s="27" t="s">
        <v>8</v>
      </c>
      <c r="T255" s="27" t="s">
        <v>7</v>
      </c>
      <c r="AK255" s="27" t="s">
        <v>8</v>
      </c>
      <c r="AL255" s="27" t="s">
        <v>7</v>
      </c>
      <c r="AM255" s="27" t="s">
        <v>8</v>
      </c>
      <c r="AN255" s="27" t="s">
        <v>7</v>
      </c>
      <c r="AO255" s="27" t="s">
        <v>8</v>
      </c>
      <c r="AP255" s="27" t="s">
        <v>7</v>
      </c>
      <c r="AS255" s="27" t="s">
        <v>8</v>
      </c>
      <c r="AU255" s="27" t="s">
        <v>8</v>
      </c>
      <c r="AV255" s="27" t="s">
        <v>7</v>
      </c>
      <c r="AZ255" s="27" t="s">
        <v>7</v>
      </c>
      <c r="BB255" s="27" t="s">
        <v>7</v>
      </c>
      <c r="BC255" s="27" t="s">
        <v>8</v>
      </c>
      <c r="BD255" s="27" t="s">
        <v>7</v>
      </c>
      <c r="BS255" s="27" t="s">
        <v>8</v>
      </c>
      <c r="BT255" s="27" t="s">
        <v>7</v>
      </c>
      <c r="CI255" s="27" t="s">
        <v>8</v>
      </c>
      <c r="CL255" s="31" t="s">
        <v>7</v>
      </c>
      <c r="CN255" s="31" t="s">
        <v>7</v>
      </c>
      <c r="CP255" s="31" t="s">
        <v>7</v>
      </c>
      <c r="DX255" s="27" t="s">
        <v>7</v>
      </c>
      <c r="DY255" s="27" t="s">
        <v>8</v>
      </c>
      <c r="EF255" s="27" t="s">
        <v>7</v>
      </c>
      <c r="EI255" s="33" t="s">
        <v>8</v>
      </c>
      <c r="EK255" s="27" t="s">
        <v>8</v>
      </c>
      <c r="EL255" s="27" t="s">
        <v>7</v>
      </c>
      <c r="EM255" s="27" t="s">
        <v>8</v>
      </c>
      <c r="EN255" s="27" t="s">
        <v>7</v>
      </c>
      <c r="EO255" s="27" t="s">
        <v>8</v>
      </c>
      <c r="ET255" s="35"/>
      <c r="FT255" s="27" t="s">
        <v>7</v>
      </c>
      <c r="FV255" s="27" t="s">
        <v>7</v>
      </c>
    </row>
    <row r="256" spans="1:178" x14ac:dyDescent="0.25">
      <c r="A256" s="30">
        <v>0.45811152199139726</v>
      </c>
      <c r="E256"/>
      <c r="R256" s="27" t="s">
        <v>7</v>
      </c>
      <c r="T256" s="27" t="s">
        <v>7</v>
      </c>
      <c r="AK256" s="27" t="s">
        <v>8</v>
      </c>
      <c r="AL256" s="27" t="s">
        <v>7</v>
      </c>
      <c r="AM256" s="27" t="s">
        <v>8</v>
      </c>
      <c r="AN256" s="27" t="s">
        <v>7</v>
      </c>
      <c r="AO256" s="27" t="s">
        <v>8</v>
      </c>
      <c r="AP256" s="27" t="s">
        <v>7</v>
      </c>
      <c r="AS256" s="27" t="s">
        <v>8</v>
      </c>
      <c r="AT256" s="27" t="s">
        <v>7</v>
      </c>
      <c r="AU256" s="27" t="s">
        <v>8</v>
      </c>
      <c r="BB256" s="27" t="s">
        <v>7</v>
      </c>
      <c r="BC256" s="27" t="s">
        <v>8</v>
      </c>
      <c r="BD256" s="27" t="s">
        <v>7</v>
      </c>
      <c r="BS256" s="27" t="s">
        <v>8</v>
      </c>
      <c r="BT256" s="27" t="s">
        <v>7</v>
      </c>
      <c r="CG256" s="27" t="s">
        <v>8</v>
      </c>
      <c r="CI256" s="27" t="s">
        <v>8</v>
      </c>
      <c r="DX256" s="27" t="s">
        <v>7</v>
      </c>
      <c r="EF256" s="27" t="s">
        <v>7</v>
      </c>
      <c r="EG256" s="27" t="s">
        <v>8</v>
      </c>
      <c r="EI256" s="27" t="s">
        <v>8</v>
      </c>
      <c r="EJ256" s="27" t="s">
        <v>7</v>
      </c>
      <c r="EK256" s="27" t="s">
        <v>8</v>
      </c>
      <c r="EL256" s="27" t="s">
        <v>7</v>
      </c>
      <c r="EM256" s="27" t="s">
        <v>8</v>
      </c>
      <c r="EN256" s="27" t="s">
        <v>7</v>
      </c>
      <c r="EO256" s="27" t="s">
        <v>8</v>
      </c>
      <c r="ES256" s="35"/>
      <c r="FV256" s="27" t="s">
        <v>7</v>
      </c>
    </row>
    <row r="257" spans="1:181" x14ac:dyDescent="0.25">
      <c r="A257" s="30">
        <v>0.43629668761085438</v>
      </c>
      <c r="B257"/>
      <c r="C257"/>
      <c r="D257"/>
      <c r="E257"/>
      <c r="T257" s="27" t="s">
        <v>7</v>
      </c>
      <c r="AK257" s="27" t="s">
        <v>8</v>
      </c>
      <c r="AL257" s="27" t="s">
        <v>7</v>
      </c>
      <c r="AN257" s="27" t="s">
        <v>7</v>
      </c>
      <c r="AP257" s="27" t="s">
        <v>7</v>
      </c>
      <c r="AS257" s="27" t="s">
        <v>8</v>
      </c>
      <c r="AT257" s="27" t="s">
        <v>7</v>
      </c>
      <c r="AU257" s="27" t="s">
        <v>8</v>
      </c>
      <c r="BB257" s="27" t="s">
        <v>7</v>
      </c>
      <c r="BD257" s="27" t="s">
        <v>7</v>
      </c>
      <c r="BS257" s="27" t="s">
        <v>8</v>
      </c>
      <c r="BT257" s="27" t="s">
        <v>7</v>
      </c>
      <c r="CG257" s="27" t="s">
        <v>8</v>
      </c>
      <c r="CH257" s="27" t="s">
        <v>7</v>
      </c>
      <c r="CI257" s="27" t="s">
        <v>8</v>
      </c>
      <c r="EF257" s="27" t="s">
        <v>7</v>
      </c>
      <c r="EG257" s="27" t="s">
        <v>8</v>
      </c>
      <c r="EH257" s="27" t="s">
        <v>7</v>
      </c>
      <c r="EI257" s="27" t="s">
        <v>8</v>
      </c>
      <c r="EJ257" s="27" t="s">
        <v>7</v>
      </c>
      <c r="EK257" s="27" t="s">
        <v>8</v>
      </c>
      <c r="EL257" s="27" t="s">
        <v>7</v>
      </c>
      <c r="EM257" s="27" t="s">
        <v>8</v>
      </c>
      <c r="EN257" s="27" t="s">
        <v>7</v>
      </c>
      <c r="EO257" s="27" t="s">
        <v>8</v>
      </c>
      <c r="ER257" s="35"/>
      <c r="FV257" s="27" t="s">
        <v>7</v>
      </c>
    </row>
    <row r="258" spans="1:181" x14ac:dyDescent="0.25">
      <c r="A258" s="30">
        <v>0.41552065486748019</v>
      </c>
      <c r="B258"/>
      <c r="C258"/>
      <c r="D258"/>
      <c r="E258"/>
      <c r="T258" s="27" t="s">
        <v>7</v>
      </c>
      <c r="AK258" s="27" t="s">
        <v>8</v>
      </c>
      <c r="AP258" s="27" t="s">
        <v>7</v>
      </c>
      <c r="AQ258" s="27" t="s">
        <v>8</v>
      </c>
      <c r="AS258" s="27" t="s">
        <v>8</v>
      </c>
      <c r="AT258" s="27" t="s">
        <v>7</v>
      </c>
      <c r="AU258" s="27" t="s">
        <v>8</v>
      </c>
      <c r="BD258" s="27" t="s">
        <v>7</v>
      </c>
      <c r="BS258" s="27" t="s">
        <v>8</v>
      </c>
      <c r="BT258" s="27" t="s">
        <v>7</v>
      </c>
      <c r="BY258" s="27" t="s">
        <v>8</v>
      </c>
      <c r="CC258" s="27" t="s">
        <v>8</v>
      </c>
      <c r="CE258" s="27" t="s">
        <v>8</v>
      </c>
      <c r="CG258" s="27" t="s">
        <v>8</v>
      </c>
      <c r="CH258" s="27" t="s">
        <v>7</v>
      </c>
      <c r="CI258" s="27" t="s">
        <v>8</v>
      </c>
      <c r="EF258" s="27" t="s">
        <v>7</v>
      </c>
      <c r="EG258" s="27" t="s">
        <v>8</v>
      </c>
      <c r="EH258" s="27" t="s">
        <v>7</v>
      </c>
      <c r="EI258" s="27" t="s">
        <v>8</v>
      </c>
      <c r="EJ258" s="27" t="s">
        <v>7</v>
      </c>
      <c r="EK258" s="27" t="s">
        <v>8</v>
      </c>
      <c r="EL258" s="27" t="s">
        <v>7</v>
      </c>
      <c r="EN258" s="27" t="s">
        <v>7</v>
      </c>
      <c r="EO258" s="27" t="s">
        <v>8</v>
      </c>
      <c r="EQ258" s="35"/>
      <c r="FV258" s="27" t="s">
        <v>7</v>
      </c>
    </row>
    <row r="259" spans="1:181" x14ac:dyDescent="0.25">
      <c r="A259" s="30">
        <v>0.39573395701664765</v>
      </c>
      <c r="B259"/>
      <c r="C259"/>
      <c r="D259"/>
      <c r="E259"/>
      <c r="T259" s="27" t="s">
        <v>7</v>
      </c>
      <c r="AK259" s="27" t="s">
        <v>8</v>
      </c>
      <c r="AP259" s="27" t="s">
        <v>7</v>
      </c>
      <c r="AQ259" s="27" t="s">
        <v>8</v>
      </c>
      <c r="AR259" s="27" t="s">
        <v>7</v>
      </c>
      <c r="AS259" s="27" t="s">
        <v>8</v>
      </c>
      <c r="AT259" s="27" t="s">
        <v>7</v>
      </c>
      <c r="AU259" s="27" t="s">
        <v>8</v>
      </c>
      <c r="BD259" s="27" t="s">
        <v>7</v>
      </c>
      <c r="BE259" s="27" t="s">
        <v>8</v>
      </c>
      <c r="BS259" s="27" t="s">
        <v>8</v>
      </c>
      <c r="BT259" s="27" t="s">
        <v>7</v>
      </c>
      <c r="BY259" s="27" t="s">
        <v>8</v>
      </c>
      <c r="BZ259" s="27" t="s">
        <v>7</v>
      </c>
      <c r="CC259" s="27" t="s">
        <v>8</v>
      </c>
      <c r="CD259" s="27" t="s">
        <v>7</v>
      </c>
      <c r="CE259" s="27" t="s">
        <v>8</v>
      </c>
      <c r="CF259" s="27" t="s">
        <v>7</v>
      </c>
      <c r="CG259" s="27" t="s">
        <v>8</v>
      </c>
      <c r="CH259" s="27" t="s">
        <v>7</v>
      </c>
      <c r="EF259" s="27" t="s">
        <v>7</v>
      </c>
      <c r="EG259" s="27" t="s">
        <v>8</v>
      </c>
      <c r="EH259" s="27" t="s">
        <v>7</v>
      </c>
      <c r="EI259" s="27" t="s">
        <v>8</v>
      </c>
      <c r="EJ259" s="27" t="s">
        <v>7</v>
      </c>
      <c r="EN259" s="34" t="s">
        <v>7</v>
      </c>
      <c r="EO259" s="27" t="s">
        <v>8</v>
      </c>
      <c r="EP259" s="35"/>
      <c r="FV259" s="27" t="s">
        <v>7</v>
      </c>
    </row>
    <row r="260" spans="1:181" x14ac:dyDescent="0.25">
      <c r="A260" s="30">
        <v>0.37688948287299762</v>
      </c>
      <c r="B260"/>
      <c r="C260"/>
      <c r="D260"/>
      <c r="E260"/>
      <c r="T260" s="27" t="s">
        <v>7</v>
      </c>
      <c r="AE260" s="27" t="s">
        <v>8</v>
      </c>
      <c r="AG260" s="27" t="s">
        <v>8</v>
      </c>
      <c r="AK260" s="27" t="s">
        <v>8</v>
      </c>
      <c r="AP260" s="27" t="s">
        <v>7</v>
      </c>
      <c r="AQ260" s="27" t="s">
        <v>8</v>
      </c>
      <c r="AR260" s="27" t="s">
        <v>7</v>
      </c>
      <c r="AS260" s="27" t="s">
        <v>8</v>
      </c>
      <c r="AT260" s="27" t="s">
        <v>7</v>
      </c>
      <c r="BD260" s="27" t="s">
        <v>7</v>
      </c>
      <c r="BE260" s="27" t="s">
        <v>8</v>
      </c>
      <c r="BF260" s="27" t="s">
        <v>7</v>
      </c>
      <c r="BS260" s="27" t="s">
        <v>8</v>
      </c>
      <c r="BT260" s="27" t="s">
        <v>7</v>
      </c>
      <c r="BY260" s="27" t="s">
        <v>8</v>
      </c>
      <c r="BZ260" s="27" t="s">
        <v>7</v>
      </c>
      <c r="CC260" s="27" t="s">
        <v>8</v>
      </c>
      <c r="CD260" s="27" t="s">
        <v>7</v>
      </c>
      <c r="CE260" s="27" t="s">
        <v>8</v>
      </c>
      <c r="CF260" s="27" t="s">
        <v>7</v>
      </c>
      <c r="CG260" s="27" t="s">
        <v>8</v>
      </c>
      <c r="EF260" s="27" t="s">
        <v>7</v>
      </c>
      <c r="EG260" s="27" t="s">
        <v>8</v>
      </c>
      <c r="EH260" s="27" t="s">
        <v>7</v>
      </c>
      <c r="EN260" s="27" t="s">
        <v>7</v>
      </c>
      <c r="EO260" s="35" t="s">
        <v>8</v>
      </c>
      <c r="FV260" s="27" t="s">
        <v>7</v>
      </c>
    </row>
    <row r="261" spans="1:181" x14ac:dyDescent="0.25">
      <c r="A261" s="30">
        <v>0.35894236464094997</v>
      </c>
      <c r="B261"/>
      <c r="C261"/>
      <c r="D261"/>
      <c r="E261"/>
      <c r="T261" s="27" t="s">
        <v>7</v>
      </c>
      <c r="AE261" s="27" t="s">
        <v>8</v>
      </c>
      <c r="AF261" s="27" t="s">
        <v>7</v>
      </c>
      <c r="AG261" s="27" t="s">
        <v>8</v>
      </c>
      <c r="AH261" s="27" t="s">
        <v>7</v>
      </c>
      <c r="AI261" s="27" t="s">
        <v>8</v>
      </c>
      <c r="AK261" s="27" t="s">
        <v>8</v>
      </c>
      <c r="AP261" s="27" t="s">
        <v>7</v>
      </c>
      <c r="AR261" s="27" t="s">
        <v>7</v>
      </c>
      <c r="BD261" s="27" t="s">
        <v>7</v>
      </c>
      <c r="BE261" s="27" t="s">
        <v>8</v>
      </c>
      <c r="BF261" s="27" t="s">
        <v>7</v>
      </c>
      <c r="BG261" s="27" t="s">
        <v>8</v>
      </c>
      <c r="BS261" s="27" t="s">
        <v>8</v>
      </c>
      <c r="BT261" s="27" t="s">
        <v>7</v>
      </c>
      <c r="BY261" s="27" t="s">
        <v>8</v>
      </c>
      <c r="BZ261" s="27" t="s">
        <v>7</v>
      </c>
      <c r="CA261" s="27" t="s">
        <v>8</v>
      </c>
      <c r="CC261" s="27" t="s">
        <v>8</v>
      </c>
      <c r="CD261" s="27" t="s">
        <v>7</v>
      </c>
      <c r="CE261" s="27" t="s">
        <v>8</v>
      </c>
      <c r="CF261" s="27" t="s">
        <v>7</v>
      </c>
      <c r="CG261" s="27" t="s">
        <v>8</v>
      </c>
      <c r="EF261" s="27" t="s">
        <v>7</v>
      </c>
      <c r="EN261" s="35" t="s">
        <v>7</v>
      </c>
      <c r="FV261" s="27" t="s">
        <v>7</v>
      </c>
    </row>
    <row r="262" spans="1:181" x14ac:dyDescent="0.25">
      <c r="A262" s="30">
        <v>0.34184987108661891</v>
      </c>
      <c r="B262"/>
      <c r="C262"/>
      <c r="D262"/>
      <c r="E262"/>
      <c r="T262" s="27" t="s">
        <v>7</v>
      </c>
      <c r="AA262" s="27" t="s">
        <v>8</v>
      </c>
      <c r="AE262" s="27" t="s">
        <v>8</v>
      </c>
      <c r="AF262" s="27" t="s">
        <v>7</v>
      </c>
      <c r="AG262" s="27" t="s">
        <v>8</v>
      </c>
      <c r="AH262" s="27" t="s">
        <v>7</v>
      </c>
      <c r="AI262" s="27" t="s">
        <v>8</v>
      </c>
      <c r="AJ262" s="27" t="s">
        <v>7</v>
      </c>
      <c r="AK262" s="27" t="s">
        <v>8</v>
      </c>
      <c r="BD262" s="27" t="s">
        <v>7</v>
      </c>
      <c r="BF262" s="27" t="s">
        <v>7</v>
      </c>
      <c r="BG262" s="27" t="s">
        <v>8</v>
      </c>
      <c r="BH262" s="27" t="s">
        <v>7</v>
      </c>
      <c r="BQ262" s="27" t="s">
        <v>8</v>
      </c>
      <c r="BS262" s="27" t="s">
        <v>8</v>
      </c>
      <c r="BT262" s="27" t="s">
        <v>7</v>
      </c>
      <c r="BW262" s="27" t="s">
        <v>8</v>
      </c>
      <c r="BY262" s="27" t="s">
        <v>8</v>
      </c>
      <c r="BZ262" s="27" t="s">
        <v>7</v>
      </c>
      <c r="CA262" s="27" t="s">
        <v>8</v>
      </c>
      <c r="CB262" s="27" t="s">
        <v>7</v>
      </c>
      <c r="CC262" s="27" t="s">
        <v>8</v>
      </c>
      <c r="CD262" s="27" t="s">
        <v>7</v>
      </c>
      <c r="CF262" s="27" t="s">
        <v>7</v>
      </c>
      <c r="CG262" s="27" t="s">
        <v>8</v>
      </c>
      <c r="FV262" s="27" t="s">
        <v>7</v>
      </c>
    </row>
    <row r="263" spans="1:181" x14ac:dyDescent="0.25">
      <c r="A263" s="30">
        <v>0.32557130579677979</v>
      </c>
      <c r="B263"/>
      <c r="C263"/>
      <c r="D263"/>
      <c r="E263"/>
      <c r="T263" s="27" t="s">
        <v>7</v>
      </c>
      <c r="AA263" s="27" t="s">
        <v>8</v>
      </c>
      <c r="AB263" s="27" t="s">
        <v>7</v>
      </c>
      <c r="AC263" s="27" t="s">
        <v>8</v>
      </c>
      <c r="AE263" s="27" t="s">
        <v>8</v>
      </c>
      <c r="AF263" s="27" t="s">
        <v>7</v>
      </c>
      <c r="AH263" s="27" t="s">
        <v>7</v>
      </c>
      <c r="AI263" s="27" t="s">
        <v>8</v>
      </c>
      <c r="AJ263" s="27" t="s">
        <v>7</v>
      </c>
      <c r="AK263" s="27" t="s">
        <v>8</v>
      </c>
      <c r="BF263" s="27" t="s">
        <v>7</v>
      </c>
      <c r="BG263" s="27" t="s">
        <v>8</v>
      </c>
      <c r="BH263" s="27" t="s">
        <v>7</v>
      </c>
      <c r="BQ263" s="27" t="s">
        <v>8</v>
      </c>
      <c r="BR263" s="27" t="s">
        <v>7</v>
      </c>
      <c r="BS263" s="27" t="s">
        <v>8</v>
      </c>
      <c r="BT263" s="27" t="s">
        <v>7</v>
      </c>
      <c r="BW263" s="27" t="s">
        <v>8</v>
      </c>
      <c r="BX263" s="27" t="s">
        <v>7</v>
      </c>
      <c r="BY263" s="27" t="s">
        <v>8</v>
      </c>
      <c r="BZ263" s="27" t="s">
        <v>7</v>
      </c>
      <c r="CA263" s="27" t="s">
        <v>8</v>
      </c>
      <c r="CB263" s="27" t="s">
        <v>7</v>
      </c>
      <c r="CC263" s="27" t="s">
        <v>8</v>
      </c>
      <c r="CF263" s="27" t="s">
        <v>7</v>
      </c>
      <c r="FV263" s="27" t="s">
        <v>7</v>
      </c>
      <c r="FW263" s="27" t="s">
        <v>8</v>
      </c>
      <c r="FY263" s="27" t="s">
        <v>8</v>
      </c>
    </row>
    <row r="264" spans="1:181" x14ac:dyDescent="0.25">
      <c r="A264" s="30">
        <v>0.3100679102826473</v>
      </c>
      <c r="B264"/>
      <c r="C264"/>
      <c r="D264"/>
      <c r="E264"/>
      <c r="T264" s="27" t="s">
        <v>7</v>
      </c>
      <c r="Y264" s="27" t="s">
        <v>8</v>
      </c>
      <c r="AA264" s="27" t="s">
        <v>8</v>
      </c>
      <c r="AB264" s="27" t="s">
        <v>7</v>
      </c>
      <c r="AC264" s="27" t="s">
        <v>8</v>
      </c>
      <c r="AD264" s="27" t="s">
        <v>7</v>
      </c>
      <c r="AE264" s="27" t="s">
        <v>8</v>
      </c>
      <c r="AH264" s="27" t="s">
        <v>7</v>
      </c>
      <c r="AI264" s="27" t="s">
        <v>8</v>
      </c>
      <c r="AJ264" s="27" t="s">
        <v>7</v>
      </c>
      <c r="BF264" s="27" t="s">
        <v>7</v>
      </c>
      <c r="BG264" s="27" t="s">
        <v>8</v>
      </c>
      <c r="BH264" s="27" t="s">
        <v>7</v>
      </c>
      <c r="BQ264" s="27" t="s">
        <v>8</v>
      </c>
      <c r="BR264" s="27" t="s">
        <v>7</v>
      </c>
      <c r="BS264" s="27" t="s">
        <v>8</v>
      </c>
      <c r="BT264" s="27" t="s">
        <v>7</v>
      </c>
      <c r="BU264" s="27" t="s">
        <v>8</v>
      </c>
      <c r="BW264" s="27" t="s">
        <v>8</v>
      </c>
      <c r="BX264" s="27" t="s">
        <v>7</v>
      </c>
      <c r="BY264" s="27" t="s">
        <v>8</v>
      </c>
      <c r="BZ264" s="27" t="s">
        <v>7</v>
      </c>
      <c r="CB264" s="27" t="s">
        <v>7</v>
      </c>
      <c r="CC264" s="27" t="s">
        <v>8</v>
      </c>
      <c r="FV264" s="27" t="s">
        <v>7</v>
      </c>
      <c r="FW264" s="27" t="s">
        <v>8</v>
      </c>
      <c r="FX264" s="27" t="s">
        <v>7</v>
      </c>
      <c r="FY264" s="27" t="s">
        <v>8</v>
      </c>
    </row>
    <row r="265" spans="1:181" x14ac:dyDescent="0.25">
      <c r="A265" s="30">
        <v>0.2953027716977592</v>
      </c>
      <c r="B265"/>
      <c r="C265"/>
      <c r="D265"/>
      <c r="E265"/>
      <c r="T265" s="27" t="s">
        <v>7</v>
      </c>
      <c r="Y265" s="27" t="s">
        <v>8</v>
      </c>
      <c r="Z265" s="27" t="s">
        <v>7</v>
      </c>
      <c r="AA265" s="27" t="s">
        <v>8</v>
      </c>
      <c r="AB265" s="27" t="s">
        <v>7</v>
      </c>
      <c r="AC265" s="27" t="s">
        <v>8</v>
      </c>
      <c r="AD265" s="27" t="s">
        <v>7</v>
      </c>
      <c r="AE265" s="27" t="s">
        <v>8</v>
      </c>
      <c r="AH265" s="27" t="s">
        <v>7</v>
      </c>
      <c r="AI265" s="27" t="s">
        <v>8</v>
      </c>
      <c r="BF265" s="27" t="s">
        <v>7</v>
      </c>
      <c r="BH265" s="27" t="s">
        <v>7</v>
      </c>
      <c r="BI265" s="27" t="s">
        <v>8</v>
      </c>
      <c r="BM265" s="27" t="s">
        <v>8</v>
      </c>
      <c r="BQ265" s="27" t="s">
        <v>8</v>
      </c>
      <c r="BR265" s="27" t="s">
        <v>7</v>
      </c>
      <c r="BS265" s="27" t="s">
        <v>8</v>
      </c>
      <c r="BT265" s="27" t="s">
        <v>7</v>
      </c>
      <c r="BU265" s="27" t="s">
        <v>8</v>
      </c>
      <c r="BV265" s="27" t="s">
        <v>7</v>
      </c>
      <c r="BW265" s="27" t="s">
        <v>8</v>
      </c>
      <c r="BX265" s="27" t="s">
        <v>7</v>
      </c>
      <c r="CB265" s="27" t="s">
        <v>7</v>
      </c>
      <c r="FV265" s="27" t="s">
        <v>7</v>
      </c>
      <c r="FW265" s="27" t="s">
        <v>8</v>
      </c>
      <c r="FX265" s="27" t="s">
        <v>7</v>
      </c>
      <c r="FY265" s="27" t="s">
        <v>8</v>
      </c>
    </row>
    <row r="266" spans="1:181" x14ac:dyDescent="0.25">
      <c r="A266" s="30">
        <v>0.28124073495024676</v>
      </c>
      <c r="B266"/>
      <c r="C266"/>
      <c r="D266"/>
      <c r="E266"/>
      <c r="T266" s="27" t="s">
        <v>7</v>
      </c>
      <c r="Y266" s="27" t="s">
        <v>8</v>
      </c>
      <c r="Z266" s="27" t="s">
        <v>7</v>
      </c>
      <c r="AA266" s="27" t="s">
        <v>8</v>
      </c>
      <c r="AB266" s="27" t="s">
        <v>7</v>
      </c>
      <c r="AC266" s="27" t="s">
        <v>8</v>
      </c>
      <c r="AD266" s="27" t="s">
        <v>7</v>
      </c>
      <c r="AE266" s="27" t="s">
        <v>8</v>
      </c>
      <c r="AH266" s="27" t="s">
        <v>7</v>
      </c>
      <c r="AI266" s="27" t="s">
        <v>8</v>
      </c>
      <c r="BH266" s="27" t="s">
        <v>7</v>
      </c>
      <c r="BI266" s="27" t="s">
        <v>8</v>
      </c>
      <c r="BJ266" s="27" t="s">
        <v>7</v>
      </c>
      <c r="BM266" s="27" t="s">
        <v>8</v>
      </c>
      <c r="BN266" s="27" t="s">
        <v>7</v>
      </c>
      <c r="BO266" s="27" t="s">
        <v>8</v>
      </c>
      <c r="BQ266" s="27" t="s">
        <v>8</v>
      </c>
      <c r="BR266" s="27" t="s">
        <v>7</v>
      </c>
      <c r="BS266" s="27" t="s">
        <v>8</v>
      </c>
      <c r="BT266" s="27" t="s">
        <v>7</v>
      </c>
      <c r="BU266" s="27" t="s">
        <v>8</v>
      </c>
      <c r="BV266" s="27" t="s">
        <v>7</v>
      </c>
      <c r="BW266" s="27" t="s">
        <v>8</v>
      </c>
      <c r="FV266" s="27" t="s">
        <v>7</v>
      </c>
      <c r="FX266" s="27" t="s">
        <v>7</v>
      </c>
    </row>
    <row r="267" spans="1:181" x14ac:dyDescent="0.25">
      <c r="A267" s="30">
        <v>0.26784831900023492</v>
      </c>
      <c r="B267"/>
      <c r="C267"/>
      <c r="D267"/>
      <c r="E267"/>
      <c r="T267" s="27" t="s">
        <v>7</v>
      </c>
      <c r="Y267" s="27" t="s">
        <v>8</v>
      </c>
      <c r="Z267" s="27" t="s">
        <v>7</v>
      </c>
      <c r="AA267" s="27" t="s">
        <v>8</v>
      </c>
      <c r="AB267" s="27" t="s">
        <v>7</v>
      </c>
      <c r="AC267" s="27" t="s">
        <v>8</v>
      </c>
      <c r="AD267" s="27" t="s">
        <v>7</v>
      </c>
      <c r="AE267" s="27" t="s">
        <v>8</v>
      </c>
      <c r="AH267" s="27" t="s">
        <v>7</v>
      </c>
      <c r="AI267" s="27" t="s">
        <v>8</v>
      </c>
      <c r="BH267" s="27" t="s">
        <v>7</v>
      </c>
      <c r="BI267" s="27" t="s">
        <v>8</v>
      </c>
      <c r="BJ267" s="27" t="s">
        <v>7</v>
      </c>
      <c r="BK267" s="27" t="s">
        <v>8</v>
      </c>
      <c r="BM267" s="27" t="s">
        <v>8</v>
      </c>
      <c r="BN267" s="27" t="s">
        <v>7</v>
      </c>
      <c r="BO267" s="27" t="s">
        <v>8</v>
      </c>
      <c r="BP267" s="27" t="s">
        <v>7</v>
      </c>
      <c r="BQ267" s="27" t="s">
        <v>8</v>
      </c>
      <c r="BR267" s="27" t="s">
        <v>7</v>
      </c>
      <c r="BS267" s="27" t="s">
        <v>8</v>
      </c>
      <c r="BT267" s="27" t="s">
        <v>7</v>
      </c>
      <c r="BV267" s="27" t="s">
        <v>7</v>
      </c>
      <c r="BW267" s="27" t="s">
        <v>8</v>
      </c>
    </row>
    <row r="268" spans="1:181" x14ac:dyDescent="0.25">
      <c r="A268" s="30">
        <v>0.25509363714308075</v>
      </c>
      <c r="B268"/>
      <c r="C268"/>
      <c r="D268"/>
      <c r="E268"/>
      <c r="T268" s="27" t="s">
        <v>7</v>
      </c>
      <c r="U268" s="27" t="s">
        <v>8</v>
      </c>
      <c r="W268" s="27" t="s">
        <v>8</v>
      </c>
      <c r="Y268" s="27" t="s">
        <v>8</v>
      </c>
      <c r="Z268" s="27" t="s">
        <v>7</v>
      </c>
      <c r="AA268" s="27" t="s">
        <v>8</v>
      </c>
      <c r="AB268" s="27" t="s">
        <v>7</v>
      </c>
      <c r="AC268" s="27" t="s">
        <v>8</v>
      </c>
      <c r="AD268" s="27" t="s">
        <v>7</v>
      </c>
      <c r="AH268" s="27" t="s">
        <v>7</v>
      </c>
      <c r="BH268" s="27" t="s">
        <v>7</v>
      </c>
      <c r="BI268" s="27" t="s">
        <v>8</v>
      </c>
      <c r="BJ268" s="27" t="s">
        <v>7</v>
      </c>
      <c r="BK268" s="27" t="s">
        <v>8</v>
      </c>
      <c r="BL268" s="27" t="s">
        <v>7</v>
      </c>
      <c r="BM268" s="27" t="s">
        <v>8</v>
      </c>
      <c r="BN268" s="27" t="s">
        <v>7</v>
      </c>
      <c r="BO268" s="27" t="s">
        <v>8</v>
      </c>
      <c r="BP268" s="27" t="s">
        <v>7</v>
      </c>
      <c r="BQ268" s="27" t="s">
        <v>8</v>
      </c>
      <c r="BR268" s="27" t="s">
        <v>7</v>
      </c>
      <c r="BS268" s="27" t="s">
        <v>8</v>
      </c>
      <c r="BV268" s="27" t="s">
        <v>7</v>
      </c>
    </row>
    <row r="269" spans="1:181" x14ac:dyDescent="0.25">
      <c r="A269" s="30">
        <v>0.24294632108864825</v>
      </c>
      <c r="B269"/>
      <c r="C269"/>
      <c r="D269"/>
      <c r="E269"/>
      <c r="T269" s="27" t="s">
        <v>7</v>
      </c>
      <c r="U269" s="27" t="s">
        <v>8</v>
      </c>
      <c r="V269" s="27" t="s">
        <v>7</v>
      </c>
      <c r="W269" s="27" t="s">
        <v>8</v>
      </c>
      <c r="X269" s="27" t="s">
        <v>7</v>
      </c>
      <c r="Y269" s="27" t="s">
        <v>8</v>
      </c>
      <c r="Z269" s="27" t="s">
        <v>7</v>
      </c>
      <c r="AB269" s="27" t="s">
        <v>7</v>
      </c>
      <c r="BH269" s="27" t="s">
        <v>7</v>
      </c>
      <c r="BJ269" s="27" t="s">
        <v>7</v>
      </c>
      <c r="BK269" s="27" t="s">
        <v>8</v>
      </c>
      <c r="BL269" s="27" t="s">
        <v>7</v>
      </c>
      <c r="BM269" s="27" t="s">
        <v>8</v>
      </c>
      <c r="BN269" s="27" t="s">
        <v>7</v>
      </c>
      <c r="BP269" s="27" t="s">
        <v>7</v>
      </c>
      <c r="BR269" s="27" t="s">
        <v>7</v>
      </c>
      <c r="BS269" s="27" t="s">
        <v>8</v>
      </c>
    </row>
    <row r="270" spans="1:181" x14ac:dyDescent="0.25">
      <c r="A270" s="30">
        <v>0.23137744865585538</v>
      </c>
      <c r="B270"/>
      <c r="C270"/>
      <c r="D270"/>
      <c r="E270"/>
      <c r="T270" s="27" t="s">
        <v>7</v>
      </c>
      <c r="U270" s="27" t="s">
        <v>8</v>
      </c>
      <c r="V270" s="27" t="s">
        <v>7</v>
      </c>
      <c r="W270" s="27" t="s">
        <v>8</v>
      </c>
      <c r="X270" s="27" t="s">
        <v>7</v>
      </c>
      <c r="Y270" s="27" t="s">
        <v>8</v>
      </c>
      <c r="BJ270" s="27" t="s">
        <v>7</v>
      </c>
      <c r="BL270" s="27" t="s">
        <v>7</v>
      </c>
      <c r="BM270" s="27" t="s">
        <v>8</v>
      </c>
      <c r="BR270" s="27" t="s">
        <v>7</v>
      </c>
    </row>
    <row r="271" spans="1:181" x14ac:dyDescent="0.25">
      <c r="A271" s="30">
        <v>0.22035947491033836</v>
      </c>
      <c r="B271"/>
      <c r="C271"/>
      <c r="D271"/>
      <c r="E271"/>
      <c r="T271" s="27" t="s">
        <v>7</v>
      </c>
      <c r="U271" s="27" t="s">
        <v>8</v>
      </c>
      <c r="V271" s="27" t="s">
        <v>7</v>
      </c>
      <c r="W271" s="27" t="s">
        <v>8</v>
      </c>
      <c r="X271" s="27" t="s">
        <v>7</v>
      </c>
      <c r="BL271" s="27" t="s">
        <v>7</v>
      </c>
      <c r="BM271" s="27" t="s">
        <v>8</v>
      </c>
    </row>
    <row r="272" spans="1:181" x14ac:dyDescent="0.25">
      <c r="A272" s="30">
        <v>0.20986616658127455</v>
      </c>
      <c r="B272"/>
      <c r="C272"/>
      <c r="D272"/>
      <c r="E272"/>
      <c r="T272" s="27" t="s">
        <v>7</v>
      </c>
      <c r="U272" s="27" t="s">
        <v>8</v>
      </c>
      <c r="V272" s="27" t="s">
        <v>7</v>
      </c>
      <c r="W272" s="27" t="s">
        <v>8</v>
      </c>
      <c r="BL272" s="27" t="s">
        <v>7</v>
      </c>
    </row>
    <row r="273" spans="1:22" x14ac:dyDescent="0.25">
      <c r="A273" s="30">
        <v>0.19987253960121379</v>
      </c>
      <c r="B273"/>
      <c r="C273"/>
      <c r="D273"/>
      <c r="E273"/>
      <c r="T273" s="27" t="s">
        <v>7</v>
      </c>
      <c r="U273" s="27" t="s">
        <v>8</v>
      </c>
      <c r="V273" s="27" t="s">
        <v>7</v>
      </c>
    </row>
    <row r="274" spans="1:22" x14ac:dyDescent="0.25">
      <c r="A274" s="30">
        <v>0.19035479962020352</v>
      </c>
      <c r="B274"/>
      <c r="C274"/>
      <c r="D274"/>
      <c r="E274"/>
      <c r="T274" s="27" t="s">
        <v>7</v>
      </c>
      <c r="U274" s="27" t="s">
        <v>8</v>
      </c>
    </row>
    <row r="275" spans="1:22" x14ac:dyDescent="0.25">
      <c r="A275" s="30">
        <v>0.18129028535257471</v>
      </c>
      <c r="B275"/>
      <c r="C275"/>
      <c r="D275"/>
      <c r="E275"/>
      <c r="T275" s="27" t="s">
        <v>7</v>
      </c>
      <c r="U275" s="27" t="s">
        <v>8</v>
      </c>
    </row>
    <row r="276" spans="1:22" x14ac:dyDescent="0.25">
      <c r="A276" s="30">
        <v>0.17265741462149967</v>
      </c>
      <c r="B276"/>
      <c r="C276"/>
      <c r="D276"/>
      <c r="E276"/>
      <c r="T276" s="27" t="s">
        <v>7</v>
      </c>
      <c r="U276" s="27" t="s">
        <v>8</v>
      </c>
    </row>
    <row r="277" spans="1:22" x14ac:dyDescent="0.25">
      <c r="A277" s="30">
        <v>0.16443563297285677</v>
      </c>
      <c r="B277"/>
      <c r="C277"/>
      <c r="D277"/>
      <c r="E277"/>
      <c r="T277" s="27" t="s">
        <v>7</v>
      </c>
      <c r="U277" s="27" t="s">
        <v>8</v>
      </c>
    </row>
    <row r="278" spans="1:22" x14ac:dyDescent="0.25">
      <c r="A278" s="30">
        <v>0.15660536473605399</v>
      </c>
      <c r="B278"/>
      <c r="C278"/>
      <c r="D278"/>
      <c r="E278"/>
      <c r="T278" s="27" t="s">
        <v>7</v>
      </c>
      <c r="U278" s="27" t="s">
        <v>8</v>
      </c>
    </row>
    <row r="279" spans="1:22" x14ac:dyDescent="0.25">
      <c r="A279" s="30">
        <v>0.14914796641528946</v>
      </c>
      <c r="B279"/>
      <c r="C279"/>
      <c r="D279"/>
      <c r="E279"/>
      <c r="T279" s="27" t="s">
        <v>7</v>
      </c>
      <c r="U279" s="27" t="s">
        <v>8</v>
      </c>
    </row>
    <row r="280" spans="1:22" x14ac:dyDescent="0.25">
      <c r="A280" s="30">
        <v>0.14204568230027562</v>
      </c>
      <c r="B280"/>
      <c r="C280"/>
      <c r="D280"/>
      <c r="E280"/>
      <c r="T280" s="27" t="s">
        <v>7</v>
      </c>
      <c r="U280" s="27" t="s">
        <v>8</v>
      </c>
    </row>
    <row r="281" spans="1:22" x14ac:dyDescent="0.25">
      <c r="A281" s="30">
        <v>0.13528160219073862</v>
      </c>
      <c r="B281"/>
      <c r="C281"/>
      <c r="D281"/>
      <c r="E281"/>
      <c r="T281" s="27" t="s">
        <v>7</v>
      </c>
    </row>
    <row r="282" spans="1:22" x14ac:dyDescent="0.25">
      <c r="A282" s="30">
        <v>0.12883962113403674</v>
      </c>
      <c r="B282"/>
      <c r="C282"/>
      <c r="D282"/>
      <c r="E282"/>
    </row>
    <row r="283" spans="1:22" x14ac:dyDescent="0.25">
      <c r="A283" s="30">
        <v>0.12270440108003494</v>
      </c>
      <c r="B283"/>
      <c r="C283"/>
      <c r="D283"/>
      <c r="E283"/>
    </row>
    <row r="284" spans="1:22" x14ac:dyDescent="0.25">
      <c r="A284" s="30">
        <v>0.11686133436193799</v>
      </c>
      <c r="B284"/>
      <c r="C284"/>
      <c r="D284"/>
      <c r="E284"/>
    </row>
    <row r="285" spans="1:22" x14ac:dyDescent="0.25">
      <c r="A285" s="30">
        <v>0.11129650891613138</v>
      </c>
      <c r="B285"/>
      <c r="C285"/>
      <c r="D285"/>
      <c r="E285"/>
    </row>
    <row r="286" spans="1:22" x14ac:dyDescent="0.25">
      <c r="A286" s="30">
        <v>0.10599667515822032</v>
      </c>
      <c r="B286"/>
      <c r="C286"/>
      <c r="D286"/>
      <c r="E286"/>
    </row>
    <row r="287" spans="1:22" x14ac:dyDescent="0.25">
      <c r="A287" s="30">
        <v>0.10094921443640027</v>
      </c>
      <c r="B287"/>
      <c r="C287"/>
      <c r="D287"/>
      <c r="E287"/>
    </row>
    <row r="288" spans="1:22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2" zoomScale="90" zoomScaleNormal="90" workbookViewId="0">
      <pane xSplit="4" topLeftCell="G1" activePane="topRight" state="frozen"/>
      <selection activeCell="A109" sqref="A109"/>
      <selection pane="topRight" activeCell="BH134" sqref="BH13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$A$133</v>
      </c>
      <c r="D111" s="1" t="str">
        <f>ADDRESS(C121-1,D121,1,1)</f>
        <v>$BH$133</v>
      </c>
      <c r="E111"/>
    </row>
    <row r="112" spans="1:5" x14ac:dyDescent="0.25">
      <c r="A112" s="30">
        <v>2.3579476910000019</v>
      </c>
      <c r="C112" s="1" t="str">
        <f>ADDRESS(C121,1,1,1)</f>
        <v>$A$134</v>
      </c>
      <c r="D112" s="1" t="str">
        <f>ADDRESS(C121,D121-1,1,1)</f>
        <v>$BG$134</v>
      </c>
      <c r="E112"/>
    </row>
    <row r="113" spans="1:60" x14ac:dyDescent="0.25">
      <c r="A113" s="30">
        <v>2.1435888100000016</v>
      </c>
      <c r="C113" s="1" t="str">
        <f>ADDRESS(C121+1,1,1,1)</f>
        <v>$A$135</v>
      </c>
      <c r="D113" s="1" t="str">
        <f>ADDRESS(C121-1,D121+1,1,1)</f>
        <v>$BI$133</v>
      </c>
    </row>
    <row r="114" spans="1:60" x14ac:dyDescent="0.25">
      <c r="A114" s="30">
        <v>1.9487171000000014</v>
      </c>
      <c r="C114" s="1" t="str">
        <f>ADDRESS(C121,D121,1,1)</f>
        <v>$BH$134</v>
      </c>
      <c r="D114" s="1" t="str">
        <f>ADDRESS(C121+1,D121+1,1,1)</f>
        <v>$BI$135</v>
      </c>
      <c r="AE114" s="31" t="s">
        <v>8</v>
      </c>
      <c r="AG114" s="31" t="s">
        <v>8</v>
      </c>
    </row>
    <row r="115" spans="1:60" x14ac:dyDescent="0.25">
      <c r="A115" s="30">
        <v>1.7715610000000011</v>
      </c>
      <c r="C115" s="1" t="str">
        <f>ADDRESS(C121+1,D121,1,1)</f>
        <v>$BH$135</v>
      </c>
      <c r="AE115" s="27" t="s">
        <v>8</v>
      </c>
      <c r="AF115" s="27" t="s">
        <v>7</v>
      </c>
      <c r="AG115" s="27" t="s">
        <v>8</v>
      </c>
      <c r="AH115" s="32" t="s">
        <v>7</v>
      </c>
    </row>
    <row r="116" spans="1:60" x14ac:dyDescent="0.25">
      <c r="A116" s="30">
        <v>1.6105100000000008</v>
      </c>
      <c r="C116" s="1">
        <f>C117-1</f>
        <v>133</v>
      </c>
      <c r="AE116" s="27" t="s">
        <v>8</v>
      </c>
      <c r="AF116" s="27" t="s">
        <v>7</v>
      </c>
      <c r="AG116" s="27" t="s">
        <v>8</v>
      </c>
      <c r="AH116" s="27" t="s">
        <v>7</v>
      </c>
      <c r="AI116" s="32" t="s">
        <v>8</v>
      </c>
    </row>
    <row r="117" spans="1:60" x14ac:dyDescent="0.25">
      <c r="A117" s="30">
        <v>1.4641000000000006</v>
      </c>
      <c r="C117" s="1">
        <f>C121</f>
        <v>134</v>
      </c>
      <c r="D117" s="1">
        <f>D121</f>
        <v>60</v>
      </c>
      <c r="AA117" s="31" t="s">
        <v>8</v>
      </c>
      <c r="AC117" s="31" t="s">
        <v>8</v>
      </c>
      <c r="AE117" s="27" t="s">
        <v>8</v>
      </c>
      <c r="AF117" s="27" t="s">
        <v>7</v>
      </c>
      <c r="AG117" s="27" t="s">
        <v>8</v>
      </c>
      <c r="AH117" s="27" t="s">
        <v>7</v>
      </c>
      <c r="AI117" s="27" t="s">
        <v>8</v>
      </c>
      <c r="AJ117" s="32" t="s">
        <v>7</v>
      </c>
    </row>
    <row r="118" spans="1:60" x14ac:dyDescent="0.25">
      <c r="A118" s="30">
        <v>1.3310000000000004</v>
      </c>
      <c r="C118" s="1">
        <f>C117+1</f>
        <v>135</v>
      </c>
      <c r="D118" s="1">
        <f>D117+1</f>
        <v>61</v>
      </c>
      <c r="AA118" s="27" t="s">
        <v>8</v>
      </c>
      <c r="AB118" s="27" t="s">
        <v>7</v>
      </c>
      <c r="AC118" s="27" t="s">
        <v>8</v>
      </c>
      <c r="AD118" s="27" t="s">
        <v>7</v>
      </c>
      <c r="AE118" s="27" t="s">
        <v>8</v>
      </c>
      <c r="AF118" s="27" t="s">
        <v>7</v>
      </c>
      <c r="AH118" s="27" t="s">
        <v>7</v>
      </c>
      <c r="AI118" s="27" t="s">
        <v>8</v>
      </c>
      <c r="AJ118" s="27" t="s">
        <v>7</v>
      </c>
      <c r="AK118" s="32"/>
    </row>
    <row r="119" spans="1:60" x14ac:dyDescent="0.25">
      <c r="A119" s="30">
        <v>1.2100000000000002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H119" s="34" t="s">
        <v>7</v>
      </c>
      <c r="AI119" s="27" t="s">
        <v>8</v>
      </c>
      <c r="AJ119" s="27" t="s">
        <v>7</v>
      </c>
      <c r="AL119" s="32"/>
      <c r="BC119" s="27" t="s">
        <v>8</v>
      </c>
    </row>
    <row r="120" spans="1:60" x14ac:dyDescent="0.25">
      <c r="A120" s="30">
        <v>1.1000000000000001</v>
      </c>
      <c r="C120" s="1" t="s">
        <v>9</v>
      </c>
      <c r="AA120" s="27" t="s">
        <v>8</v>
      </c>
      <c r="AB120" s="27" t="s">
        <v>7</v>
      </c>
      <c r="AC120" s="27" t="s">
        <v>8</v>
      </c>
      <c r="AD120" s="27" t="s">
        <v>7</v>
      </c>
      <c r="AH120" s="27" t="s">
        <v>7</v>
      </c>
      <c r="AI120" s="27" t="s">
        <v>8</v>
      </c>
      <c r="AJ120" s="27" t="s">
        <v>7</v>
      </c>
      <c r="AM120" s="32"/>
      <c r="BC120" s="27" t="s">
        <v>8</v>
      </c>
      <c r="BD120" s="27" t="s">
        <v>7</v>
      </c>
    </row>
    <row r="121" spans="1:60" x14ac:dyDescent="0.25">
      <c r="A121" s="30">
        <v>1</v>
      </c>
      <c r="C121" s="18">
        <v>134</v>
      </c>
      <c r="D121" s="19">
        <v>60</v>
      </c>
      <c r="E121" s="18" t="s">
        <v>8</v>
      </c>
      <c r="G121" s="27" t="s">
        <v>8</v>
      </c>
      <c r="AA121" s="27" t="s">
        <v>8</v>
      </c>
      <c r="AB121" s="27" t="s">
        <v>7</v>
      </c>
      <c r="AC121" s="27" t="s">
        <v>8</v>
      </c>
      <c r="AH121" s="27" t="s">
        <v>7</v>
      </c>
      <c r="AJ121" s="27" t="s">
        <v>7</v>
      </c>
      <c r="AK121" s="27" t="s">
        <v>8</v>
      </c>
      <c r="AN121" s="32"/>
      <c r="AW121" s="27" t="s">
        <v>8</v>
      </c>
      <c r="BC121" s="27" t="s">
        <v>8</v>
      </c>
      <c r="BD121" s="27" t="s">
        <v>7</v>
      </c>
    </row>
    <row r="122" spans="1:60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Y122" s="27" t="s">
        <v>8</v>
      </c>
      <c r="AA122" s="27" t="s">
        <v>8</v>
      </c>
      <c r="AB122" s="27" t="s">
        <v>7</v>
      </c>
      <c r="AJ122" s="27" t="s">
        <v>7</v>
      </c>
      <c r="AK122" s="27" t="s">
        <v>8</v>
      </c>
      <c r="AL122" s="27" t="s">
        <v>7</v>
      </c>
      <c r="AM122" s="27" t="s">
        <v>8</v>
      </c>
      <c r="AO122" s="32"/>
      <c r="AW122" s="27" t="s">
        <v>8</v>
      </c>
      <c r="AX122" s="27" t="s">
        <v>7</v>
      </c>
      <c r="AY122" s="27" t="s">
        <v>8</v>
      </c>
      <c r="BC122" s="27" t="s">
        <v>8</v>
      </c>
      <c r="BD122" s="27" t="s">
        <v>7</v>
      </c>
      <c r="BE122" s="27" t="s">
        <v>8</v>
      </c>
    </row>
    <row r="123" spans="1:60" x14ac:dyDescent="0.25">
      <c r="A123" s="30">
        <v>0.82644628099173523</v>
      </c>
      <c r="C123" s="1" t="str">
        <f>"R"&amp;C121</f>
        <v>R134</v>
      </c>
      <c r="D123" s="1" t="str">
        <f>"C"&amp;D121</f>
        <v>C60</v>
      </c>
      <c r="F123" s="27" t="s">
        <v>7</v>
      </c>
      <c r="G123" s="27" t="s">
        <v>8</v>
      </c>
      <c r="H123" s="27" t="s">
        <v>7</v>
      </c>
      <c r="Y123" s="27" t="s">
        <v>8</v>
      </c>
      <c r="Z123" s="27" t="s">
        <v>7</v>
      </c>
      <c r="AA123" s="27" t="s">
        <v>8</v>
      </c>
      <c r="AJ123" s="27" t="s">
        <v>7</v>
      </c>
      <c r="AK123" s="27" t="s">
        <v>8</v>
      </c>
      <c r="AL123" s="27" t="s">
        <v>7</v>
      </c>
      <c r="AM123" s="27" t="s">
        <v>8</v>
      </c>
      <c r="AN123" s="27" t="s">
        <v>7</v>
      </c>
      <c r="AP123" s="32"/>
      <c r="AS123" s="27" t="s">
        <v>8</v>
      </c>
      <c r="AU123" s="27" t="s">
        <v>8</v>
      </c>
      <c r="AW123" s="27" t="s">
        <v>8</v>
      </c>
      <c r="AX123" s="27" t="s">
        <v>7</v>
      </c>
      <c r="AY123" s="27" t="s">
        <v>8</v>
      </c>
      <c r="AZ123" s="27" t="s">
        <v>7</v>
      </c>
      <c r="BA123" s="27" t="s">
        <v>8</v>
      </c>
      <c r="BC123" s="27" t="s">
        <v>8</v>
      </c>
      <c r="BD123" s="27" t="s">
        <v>7</v>
      </c>
      <c r="BE123" s="27" t="s">
        <v>8</v>
      </c>
      <c r="BF123" s="27" t="s">
        <v>7</v>
      </c>
    </row>
    <row r="124" spans="1:6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Y124" s="27" t="s">
        <v>8</v>
      </c>
      <c r="Z124" s="27" t="s">
        <v>7</v>
      </c>
      <c r="AA124" s="27" t="s">
        <v>8</v>
      </c>
      <c r="AJ124" s="27" t="s">
        <v>7</v>
      </c>
      <c r="AK124" s="27" t="s">
        <v>8</v>
      </c>
      <c r="AL124" s="27" t="s">
        <v>7</v>
      </c>
      <c r="AM124" s="27" t="s">
        <v>8</v>
      </c>
      <c r="AN124" s="27" t="s">
        <v>7</v>
      </c>
      <c r="AO124" s="27" t="s">
        <v>8</v>
      </c>
      <c r="AQ124" s="32"/>
      <c r="AS124" s="27" t="s">
        <v>8</v>
      </c>
      <c r="AT124" s="27" t="s">
        <v>7</v>
      </c>
      <c r="AU124" s="27" t="s">
        <v>8</v>
      </c>
      <c r="AV124" s="27" t="s">
        <v>7</v>
      </c>
      <c r="AW124" s="27" t="s">
        <v>8</v>
      </c>
      <c r="AX124" s="27" t="s">
        <v>7</v>
      </c>
      <c r="AY124" s="27" t="s">
        <v>8</v>
      </c>
      <c r="AZ124" s="27" t="s">
        <v>7</v>
      </c>
      <c r="BA124" s="27" t="s">
        <v>8</v>
      </c>
      <c r="BB124" s="27" t="s">
        <v>7</v>
      </c>
      <c r="BC124" s="27" t="s">
        <v>8</v>
      </c>
      <c r="BD124" s="27" t="s">
        <v>7</v>
      </c>
      <c r="BE124" s="27" t="s">
        <v>8</v>
      </c>
      <c r="BF124" s="27" t="s">
        <v>7</v>
      </c>
      <c r="BG124" s="27" t="s">
        <v>8</v>
      </c>
    </row>
    <row r="125" spans="1:60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Y125" s="27" t="s">
        <v>8</v>
      </c>
      <c r="Z125" s="27" t="s">
        <v>7</v>
      </c>
      <c r="AA125" s="27" t="s">
        <v>8</v>
      </c>
      <c r="AJ125" s="27" t="s">
        <v>7</v>
      </c>
      <c r="AL125" s="27" t="s">
        <v>7</v>
      </c>
      <c r="AM125" s="27" t="s">
        <v>8</v>
      </c>
      <c r="AN125" s="27" t="s">
        <v>7</v>
      </c>
      <c r="AO125" s="27" t="s">
        <v>8</v>
      </c>
      <c r="AP125" s="27" t="s">
        <v>7</v>
      </c>
      <c r="AR125" s="32"/>
      <c r="AS125" s="27" t="s">
        <v>8</v>
      </c>
      <c r="AT125" s="27" t="s">
        <v>7</v>
      </c>
      <c r="AU125" s="27" t="s">
        <v>8</v>
      </c>
      <c r="AV125" s="27" t="s">
        <v>7</v>
      </c>
      <c r="AW125" s="27" t="s">
        <v>8</v>
      </c>
      <c r="AX125" s="27" t="s">
        <v>7</v>
      </c>
      <c r="AZ125" s="27" t="s">
        <v>7</v>
      </c>
      <c r="BA125" s="27" t="s">
        <v>8</v>
      </c>
      <c r="BB125" s="27" t="s">
        <v>7</v>
      </c>
      <c r="BC125" s="27" t="s">
        <v>8</v>
      </c>
      <c r="BD125" s="27" t="s">
        <v>7</v>
      </c>
      <c r="BF125" s="27" t="s">
        <v>7</v>
      </c>
      <c r="BG125" s="27" t="s">
        <v>8</v>
      </c>
      <c r="BH125" s="27" t="s">
        <v>7</v>
      </c>
    </row>
    <row r="126" spans="1:60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Q126" s="27" t="s">
        <v>8</v>
      </c>
      <c r="Y126" s="27" t="s">
        <v>8</v>
      </c>
      <c r="Z126" s="27" t="s">
        <v>7</v>
      </c>
      <c r="AA126" s="27" t="s">
        <v>8</v>
      </c>
      <c r="AL126" s="27" t="s">
        <v>7</v>
      </c>
      <c r="AM126" s="27" t="s">
        <v>8</v>
      </c>
      <c r="AN126" s="27" t="s">
        <v>7</v>
      </c>
      <c r="AO126" s="27" t="s">
        <v>8</v>
      </c>
      <c r="AP126" s="27" t="s">
        <v>7</v>
      </c>
      <c r="AQ126" s="27" t="s">
        <v>8</v>
      </c>
      <c r="AS126" s="32" t="s">
        <v>8</v>
      </c>
      <c r="AT126" s="27" t="s">
        <v>7</v>
      </c>
      <c r="AV126" s="27" t="s">
        <v>7</v>
      </c>
      <c r="AW126" s="27" t="s">
        <v>8</v>
      </c>
      <c r="AZ126" s="27" t="s">
        <v>7</v>
      </c>
      <c r="BA126" s="27" t="s">
        <v>8</v>
      </c>
      <c r="BB126" s="27" t="s">
        <v>7</v>
      </c>
      <c r="BF126" s="27" t="s">
        <v>7</v>
      </c>
      <c r="BG126" s="27" t="s">
        <v>8</v>
      </c>
      <c r="BH126" s="27" t="s">
        <v>7</v>
      </c>
    </row>
    <row r="127" spans="1:60" x14ac:dyDescent="0.25">
      <c r="A127" s="30">
        <v>0.56447393005377677</v>
      </c>
      <c r="C127" s="30">
        <v>0.28966437973668741</v>
      </c>
      <c r="D127"/>
      <c r="F127" s="27" t="s">
        <v>7</v>
      </c>
      <c r="G127" s="27" t="s">
        <v>8</v>
      </c>
      <c r="H127" s="27" t="s">
        <v>7</v>
      </c>
      <c r="O127" s="27" t="s">
        <v>8</v>
      </c>
      <c r="Q127" s="27" t="s">
        <v>8</v>
      </c>
      <c r="R127" s="27" t="s">
        <v>7</v>
      </c>
      <c r="Y127" s="27" t="s">
        <v>8</v>
      </c>
      <c r="Z127" s="27" t="s">
        <v>7</v>
      </c>
      <c r="AA127" s="27" t="s">
        <v>8</v>
      </c>
      <c r="AL127" s="27" t="s">
        <v>7</v>
      </c>
      <c r="AM127" s="27" t="s">
        <v>8</v>
      </c>
      <c r="AN127" s="27" t="s">
        <v>7</v>
      </c>
      <c r="AP127" s="27" t="s">
        <v>7</v>
      </c>
      <c r="AQ127" s="27" t="s">
        <v>8</v>
      </c>
      <c r="AR127" s="27" t="s">
        <v>7</v>
      </c>
      <c r="AS127" s="27" t="s">
        <v>8</v>
      </c>
      <c r="AT127" s="32"/>
      <c r="AV127" s="27" t="s">
        <v>7</v>
      </c>
      <c r="AW127" s="27" t="s">
        <v>8</v>
      </c>
      <c r="AZ127" s="27" t="s">
        <v>7</v>
      </c>
      <c r="BF127" s="27" t="s">
        <v>7</v>
      </c>
      <c r="BH127" s="27" t="s">
        <v>7</v>
      </c>
    </row>
    <row r="128" spans="1:60" x14ac:dyDescent="0.25">
      <c r="A128" s="30">
        <v>0.51315811823070612</v>
      </c>
      <c r="F128" s="27" t="s">
        <v>7</v>
      </c>
      <c r="H128" s="27" t="s">
        <v>7</v>
      </c>
      <c r="O128" s="27" t="s">
        <v>8</v>
      </c>
      <c r="P128" s="27" t="s">
        <v>7</v>
      </c>
      <c r="Q128" s="27" t="s">
        <v>8</v>
      </c>
      <c r="R128" s="27" t="s">
        <v>7</v>
      </c>
      <c r="U128" s="27" t="s">
        <v>8</v>
      </c>
      <c r="Y128" s="27" t="s">
        <v>8</v>
      </c>
      <c r="Z128" s="27" t="s">
        <v>7</v>
      </c>
      <c r="AA128" s="27" t="s">
        <v>8</v>
      </c>
      <c r="AL128" s="27" t="s">
        <v>7</v>
      </c>
      <c r="AM128" s="27" t="s">
        <v>8</v>
      </c>
      <c r="AP128" s="27" t="s">
        <v>7</v>
      </c>
      <c r="AQ128" s="27" t="s">
        <v>8</v>
      </c>
      <c r="AR128" s="27" t="s">
        <v>7</v>
      </c>
      <c r="AS128" s="27" t="s">
        <v>8</v>
      </c>
      <c r="AU128" s="32"/>
      <c r="AV128" s="27" t="s">
        <v>7</v>
      </c>
      <c r="BH128" s="27" t="s">
        <v>7</v>
      </c>
    </row>
    <row r="129" spans="1:60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O129" s="27" t="s">
        <v>8</v>
      </c>
      <c r="P129" s="27" t="s">
        <v>7</v>
      </c>
      <c r="Q129" s="27" t="s">
        <v>8</v>
      </c>
      <c r="R129" s="27" t="s">
        <v>7</v>
      </c>
      <c r="U129" s="27" t="s">
        <v>8</v>
      </c>
      <c r="V129" s="27" t="s">
        <v>7</v>
      </c>
      <c r="Y129" s="27" t="s">
        <v>8</v>
      </c>
      <c r="Z129" s="27" t="s">
        <v>7</v>
      </c>
      <c r="AL129" s="27" t="s">
        <v>7</v>
      </c>
      <c r="AP129" s="27" t="s">
        <v>7</v>
      </c>
      <c r="AQ129" s="27" t="s">
        <v>8</v>
      </c>
      <c r="AR129" s="27" t="s">
        <v>7</v>
      </c>
      <c r="AS129" s="27" t="s">
        <v>8</v>
      </c>
      <c r="BH129" s="27" t="s">
        <v>7</v>
      </c>
    </row>
    <row r="130" spans="1:60" x14ac:dyDescent="0.25">
      <c r="A130" s="30">
        <v>0.42409761837248428</v>
      </c>
      <c r="C130" s="6"/>
      <c r="D130" s="6"/>
      <c r="E130"/>
      <c r="H130" s="27" t="s">
        <v>7</v>
      </c>
      <c r="O130" s="27" t="s">
        <v>8</v>
      </c>
      <c r="P130" s="27" t="s">
        <v>7</v>
      </c>
      <c r="Q130" s="27" t="s">
        <v>8</v>
      </c>
      <c r="R130" s="27" t="s">
        <v>7</v>
      </c>
      <c r="U130" s="27" t="s">
        <v>8</v>
      </c>
      <c r="V130" s="27" t="s">
        <v>7</v>
      </c>
      <c r="W130" s="27" t="s">
        <v>8</v>
      </c>
      <c r="Y130" s="27" t="s">
        <v>8</v>
      </c>
      <c r="AP130" s="27" t="s">
        <v>7</v>
      </c>
      <c r="AQ130" s="27" t="s">
        <v>8</v>
      </c>
      <c r="AR130" s="18" t="s">
        <v>7</v>
      </c>
      <c r="AS130" s="27" t="s">
        <v>8</v>
      </c>
      <c r="BH130" s="27" t="s">
        <v>7</v>
      </c>
    </row>
    <row r="131" spans="1:60" x14ac:dyDescent="0.25">
      <c r="A131" s="30">
        <v>0.38554328942953109</v>
      </c>
      <c r="E131"/>
      <c r="H131" s="27" t="s">
        <v>7</v>
      </c>
      <c r="O131" s="27" t="s">
        <v>8</v>
      </c>
      <c r="P131" s="27" t="s">
        <v>7</v>
      </c>
      <c r="Q131" s="27" t="s">
        <v>8</v>
      </c>
      <c r="R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Y131" s="27" t="s">
        <v>8</v>
      </c>
      <c r="AP131" s="27" t="s">
        <v>7</v>
      </c>
      <c r="AQ131" s="27" t="s">
        <v>8</v>
      </c>
      <c r="AR131" s="27" t="s">
        <v>7</v>
      </c>
      <c r="AS131" s="27" t="s">
        <v>8</v>
      </c>
      <c r="BH131" s="27" t="s">
        <v>7</v>
      </c>
    </row>
    <row r="132" spans="1:60" x14ac:dyDescent="0.25">
      <c r="A132" s="30">
        <v>0.35049389948139187</v>
      </c>
      <c r="C132" s="1" t="s">
        <v>13</v>
      </c>
      <c r="E132"/>
      <c r="H132" s="27" t="s">
        <v>7</v>
      </c>
      <c r="K132" s="31" t="s">
        <v>8</v>
      </c>
      <c r="M132" s="31" t="s">
        <v>8</v>
      </c>
      <c r="O132" s="27" t="s">
        <v>8</v>
      </c>
      <c r="P132" s="27" t="s">
        <v>7</v>
      </c>
      <c r="R132" s="27" t="s">
        <v>7</v>
      </c>
      <c r="U132" s="33" t="s">
        <v>8</v>
      </c>
      <c r="V132" s="27" t="s">
        <v>7</v>
      </c>
      <c r="W132" s="27" t="s">
        <v>8</v>
      </c>
      <c r="X132" s="27" t="s">
        <v>7</v>
      </c>
      <c r="Y132" s="27" t="s">
        <v>8</v>
      </c>
      <c r="AP132" s="31" t="s">
        <v>7</v>
      </c>
      <c r="AR132" s="31" t="s">
        <v>7</v>
      </c>
      <c r="BH132" s="27" t="s">
        <v>7</v>
      </c>
    </row>
    <row r="133" spans="1:60" x14ac:dyDescent="0.25">
      <c r="A133" s="30">
        <v>0.31863081771035617</v>
      </c>
      <c r="C133" s="1" t="str">
        <f>C122</f>
        <v>O</v>
      </c>
      <c r="E133"/>
      <c r="H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O133" s="27" t="s">
        <v>8</v>
      </c>
      <c r="R133" s="34" t="s">
        <v>7</v>
      </c>
      <c r="S133" s="27" t="s">
        <v>8</v>
      </c>
      <c r="U133" s="27" t="s">
        <v>8</v>
      </c>
      <c r="V133" s="27" t="s">
        <v>7</v>
      </c>
      <c r="W133" s="27" t="s">
        <v>8</v>
      </c>
      <c r="X133" s="27" t="s">
        <v>7</v>
      </c>
      <c r="BH133" s="27" t="s">
        <v>7</v>
      </c>
    </row>
    <row r="134" spans="1:60" x14ac:dyDescent="0.25">
      <c r="A134" s="30">
        <v>0.28966437973668741</v>
      </c>
      <c r="C134"/>
      <c r="D134"/>
      <c r="E134"/>
      <c r="H134" s="27" t="s">
        <v>7</v>
      </c>
      <c r="K134" s="33" t="s">
        <v>8</v>
      </c>
      <c r="L134" s="27" t="s">
        <v>7</v>
      </c>
      <c r="M134" s="27" t="s">
        <v>8</v>
      </c>
      <c r="N134" s="27" t="s">
        <v>7</v>
      </c>
      <c r="O134" s="27" t="s">
        <v>8</v>
      </c>
      <c r="R134" s="27" t="s">
        <v>7</v>
      </c>
      <c r="S134" s="27" t="s">
        <v>8</v>
      </c>
      <c r="T134" s="27" t="s">
        <v>7</v>
      </c>
      <c r="U134" s="27" t="s">
        <v>8</v>
      </c>
      <c r="V134" s="27" t="s">
        <v>7</v>
      </c>
      <c r="W134" s="27" t="s">
        <v>8</v>
      </c>
      <c r="BH134" s="27" t="s">
        <v>7</v>
      </c>
    </row>
    <row r="135" spans="1:60" x14ac:dyDescent="0.25">
      <c r="A135" s="30">
        <v>0.2633312543060794</v>
      </c>
      <c r="C135" s="1" t="s">
        <v>14</v>
      </c>
      <c r="E135"/>
      <c r="H135" s="27" t="s">
        <v>7</v>
      </c>
      <c r="I135" s="27" t="s">
        <v>8</v>
      </c>
      <c r="K135" s="27" t="s">
        <v>8</v>
      </c>
      <c r="L135" s="31" t="s">
        <v>7</v>
      </c>
      <c r="N135" s="31" t="s">
        <v>7</v>
      </c>
      <c r="R135" s="27" t="s">
        <v>7</v>
      </c>
      <c r="S135" s="27" t="s">
        <v>8</v>
      </c>
      <c r="T135" s="27" t="s">
        <v>7</v>
      </c>
      <c r="U135" s="27" t="s">
        <v>8</v>
      </c>
      <c r="V135" s="27" t="s">
        <v>7</v>
      </c>
    </row>
    <row r="136" spans="1:6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H136" s="27" t="s">
        <v>7</v>
      </c>
      <c r="I136" s="27" t="s">
        <v>8</v>
      </c>
      <c r="J136" s="27" t="s">
        <v>7</v>
      </c>
      <c r="K136" s="27" t="s">
        <v>8</v>
      </c>
      <c r="R136" s="27" t="s">
        <v>7</v>
      </c>
      <c r="S136" s="27" t="s">
        <v>8</v>
      </c>
      <c r="T136" s="27" t="s">
        <v>7</v>
      </c>
    </row>
    <row r="137" spans="1:60" x14ac:dyDescent="0.25">
      <c r="A137" s="30">
        <v>0.2176291357901482</v>
      </c>
      <c r="E137"/>
      <c r="H137" s="27" t="s">
        <v>7</v>
      </c>
      <c r="I137" s="27" t="s">
        <v>8</v>
      </c>
      <c r="J137" s="27" t="s">
        <v>7</v>
      </c>
      <c r="K137" s="27" t="s">
        <v>8</v>
      </c>
      <c r="R137" s="27" t="s">
        <v>7</v>
      </c>
    </row>
    <row r="138" spans="1:6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H138" s="27" t="s">
        <v>7</v>
      </c>
      <c r="I138" s="27" t="s">
        <v>8</v>
      </c>
      <c r="J138" s="27" t="s">
        <v>7</v>
      </c>
    </row>
    <row r="139" spans="1:60" x14ac:dyDescent="0.25">
      <c r="A139" s="30">
        <v>0.17985878990921333</v>
      </c>
      <c r="E139"/>
      <c r="H139" s="27" t="s">
        <v>7</v>
      </c>
      <c r="I139" s="27" t="s">
        <v>8</v>
      </c>
    </row>
    <row r="140" spans="1:60" x14ac:dyDescent="0.25">
      <c r="A140" s="30">
        <v>0.16350799082655756</v>
      </c>
      <c r="C140" s="1">
        <v>0</v>
      </c>
      <c r="E140"/>
      <c r="H140" s="27" t="s">
        <v>7</v>
      </c>
      <c r="I140" s="27" t="s">
        <v>8</v>
      </c>
    </row>
    <row r="141" spans="1:60" x14ac:dyDescent="0.25">
      <c r="A141" s="30">
        <v>0.14864362802414322</v>
      </c>
      <c r="C141" s="1">
        <v>1</v>
      </c>
      <c r="E141"/>
      <c r="H141" s="27" t="s">
        <v>7</v>
      </c>
      <c r="I141" s="27" t="s">
        <v>8</v>
      </c>
    </row>
    <row r="142" spans="1:60" x14ac:dyDescent="0.25">
      <c r="A142" s="30">
        <v>0.13513057093103928</v>
      </c>
      <c r="C142" s="1">
        <v>2</v>
      </c>
      <c r="E142"/>
      <c r="H142" s="27" t="s">
        <v>7</v>
      </c>
    </row>
    <row r="143" spans="1:60" x14ac:dyDescent="0.25">
      <c r="A143" s="30">
        <v>0.12284597357367205</v>
      </c>
      <c r="C143" s="1">
        <v>3</v>
      </c>
      <c r="E143"/>
    </row>
    <row r="144" spans="1:60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2022-01-28T01:14:22Z</dcterms:modified>
</cp:coreProperties>
</file>